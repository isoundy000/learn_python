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/>
  <workbookPr codeName="ThisWorkbook"/>
  <mc:AlternateContent xmlns:mc="http://schemas.openxmlformats.org/markup-compatibility/2006">
    <mc:Choice Requires="x15">
      <x15ac:absPath xmlns:x15ac="http://schemas.microsoft.com/office/spreadsheetml/2010/11/ac" url="D:\newfish\branches\weixin_v3\res-wx\tools\config_load\"/>
    </mc:Choice>
  </mc:AlternateContent>
  <xr:revisionPtr revIDLastSave="0" documentId="13_ncr:1_{21DD7105-206A-4EA6-A070-B54C4FF275C6}" xr6:coauthVersionLast="45" xr6:coauthVersionMax="45" xr10:uidLastSave="{00000000-0000-0000-0000-000000000000}"/>
  <bookViews>
    <workbookView xWindow="2565" yWindow="1260" windowWidth="21075" windowHeight="12960" tabRatio="934" firstSheet="1" activeTab="1" xr2:uid="{00000000-000D-0000-FFFF-FFFF00000000}"/>
  </bookViews>
  <sheets>
    <sheet name="ID" sheetId="1" r:id="rId1"/>
    <sheet name="Fish" sheetId="170" r:id="rId2"/>
    <sheet name="SkillGrade" sheetId="153" r:id="rId3"/>
    <sheet name="SkillStar" sheetId="154" r:id="rId4"/>
    <sheet name="TerrorFish" sheetId="165" r:id="rId5"/>
    <sheet name="LevelFunds" sheetId="161" r:id="rId6"/>
    <sheet name="LevelFunds_25794" sheetId="162" r:id="rId7"/>
    <sheet name="SuperBossExchange" sheetId="151" r:id="rId8"/>
    <sheet name="SuperBossMinigame" sheetId="149" r:id="rId9"/>
    <sheet name="SuperBossCommon" sheetId="150" r:id="rId10"/>
    <sheet name="SuperBossDrop" sheetId="183" r:id="rId11"/>
    <sheet name="Gun" sheetId="156" r:id="rId12"/>
    <sheet name="GunSkin" sheetId="157" r:id="rId13"/>
    <sheet name="GunLevel" sheetId="158" r:id="rId14"/>
    <sheet name="Weapon" sheetId="160" r:id="rId15"/>
    <sheet name="WeaponPowerRate" sheetId="168" r:id="rId16"/>
    <sheet name="WeaponStageCount" sheetId="169" r:id="rId17"/>
    <sheet name="LevelPrizeWheel" sheetId="163" r:id="rId18"/>
    <sheet name="TimePointMatchSkill" sheetId="164" r:id="rId19"/>
    <sheet name="AutofillFish" sheetId="166" r:id="rId20"/>
    <sheet name="TideTask" sheetId="171" r:id="rId21"/>
    <sheet name="MultipleFish" sheetId="175" r:id="rId22"/>
    <sheet name="BossFish" sheetId="179" r:id="rId23"/>
    <sheet name="BossMultiple" sheetId="181" r:id="rId24"/>
    <sheet name="MatchFish" sheetId="174" r:id="rId25"/>
    <sheet name="MatchBufferFish" sheetId="177" r:id="rId26"/>
    <sheet name="MatchMultipleFish" sheetId="176" r:id="rId27"/>
    <sheet name="FixedMultipleFish" sheetId="172" r:id="rId28"/>
    <sheet name="RandomMultipleFish" sheetId="173" r:id="rId29"/>
    <sheet name="PlayerBuffer" sheetId="178" r:id="rId30"/>
    <sheet name="PlatterFish" sheetId="182" r:id="rId31"/>
    <sheet name="CatchDrop" sheetId="184" r:id="rId32"/>
    <sheet name="LevelGift" sheetId="185" r:id="rId33"/>
  </sheets>
  <definedNames>
    <definedName name="_xlnm._FilterDatabase" localSheetId="1" hidden="1">Fish!$E$1:$E$155</definedName>
    <definedName name="_xlnm._FilterDatabase" localSheetId="20" hidden="1">TideTask!$A$1:$K$45</definedName>
  </definedNames>
  <calcPr calcId="181029"/>
</workbook>
</file>

<file path=xl/calcChain.xml><?xml version="1.0" encoding="utf-8"?>
<calcChain xmlns="http://schemas.openxmlformats.org/spreadsheetml/2006/main">
  <c r="G428" i="166" l="1"/>
  <c r="AE427" i="166"/>
  <c r="Y427" i="166"/>
  <c r="S427" i="166"/>
  <c r="M427" i="166"/>
  <c r="G427" i="166"/>
  <c r="AE426" i="166"/>
  <c r="Y426" i="166"/>
  <c r="S426" i="166"/>
  <c r="M426" i="166"/>
  <c r="G426" i="166"/>
  <c r="S425" i="166"/>
  <c r="M425" i="166"/>
  <c r="G425" i="166"/>
  <c r="Y424" i="166"/>
  <c r="S424" i="166"/>
  <c r="M424" i="166"/>
  <c r="G424" i="166"/>
  <c r="Y423" i="166"/>
  <c r="S423" i="166"/>
  <c r="M423" i="166"/>
  <c r="G423" i="166"/>
  <c r="Y422" i="166"/>
  <c r="S422" i="166"/>
  <c r="M422" i="166"/>
  <c r="G422" i="166"/>
  <c r="Y421" i="166"/>
  <c r="S421" i="166"/>
  <c r="M421" i="166"/>
  <c r="G421" i="166"/>
  <c r="Y420" i="166"/>
  <c r="S420" i="166"/>
  <c r="M420" i="166"/>
  <c r="G420" i="166"/>
  <c r="Y419" i="166"/>
  <c r="S419" i="166"/>
  <c r="M419" i="166"/>
  <c r="G419" i="166"/>
  <c r="Y418" i="166"/>
  <c r="S418" i="166"/>
  <c r="M418" i="166"/>
  <c r="G418" i="166"/>
  <c r="Y417" i="166"/>
  <c r="S417" i="166"/>
  <c r="M417" i="166"/>
  <c r="G417" i="166"/>
  <c r="Y416" i="166"/>
  <c r="S416" i="166"/>
  <c r="M416" i="166"/>
  <c r="G416" i="166"/>
  <c r="Y415" i="166"/>
  <c r="S415" i="166"/>
  <c r="M415" i="166"/>
  <c r="G415" i="166"/>
  <c r="Y414" i="166"/>
  <c r="S414" i="166"/>
  <c r="M414" i="166"/>
  <c r="G414" i="166"/>
  <c r="Y413" i="166"/>
  <c r="S413" i="166"/>
  <c r="M413" i="166"/>
  <c r="G413" i="166"/>
  <c r="Y412" i="166"/>
  <c r="S412" i="166"/>
  <c r="M412" i="166"/>
  <c r="G412" i="166"/>
  <c r="Y411" i="166"/>
  <c r="S411" i="166"/>
  <c r="M411" i="166"/>
  <c r="G411" i="166"/>
  <c r="Y410" i="166"/>
  <c r="S410" i="166"/>
  <c r="M410" i="166"/>
  <c r="G410" i="166"/>
  <c r="Y409" i="166"/>
  <c r="S409" i="166"/>
  <c r="M409" i="166"/>
  <c r="G409" i="166"/>
  <c r="Y408" i="166"/>
  <c r="S408" i="166"/>
  <c r="M408" i="166"/>
  <c r="G408" i="166"/>
  <c r="Y407" i="166"/>
  <c r="S407" i="166"/>
  <c r="M407" i="166"/>
  <c r="G407" i="166"/>
  <c r="Y406" i="166"/>
  <c r="S406" i="166"/>
  <c r="M406" i="166"/>
  <c r="G406" i="166"/>
  <c r="Y405" i="166"/>
  <c r="S405" i="166"/>
  <c r="M405" i="166"/>
  <c r="G405" i="166"/>
  <c r="Y404" i="166"/>
  <c r="S404" i="166"/>
  <c r="M404" i="166"/>
  <c r="G404" i="166"/>
  <c r="Y403" i="166"/>
  <c r="S403" i="166"/>
  <c r="M403" i="166"/>
  <c r="G403" i="166"/>
  <c r="Y402" i="166"/>
  <c r="S402" i="166"/>
  <c r="M402" i="166"/>
  <c r="G402" i="166"/>
  <c r="Y401" i="166"/>
  <c r="S401" i="166"/>
  <c r="M401" i="166"/>
  <c r="G401" i="166"/>
  <c r="M400" i="166"/>
  <c r="G400" i="166"/>
  <c r="M399" i="166"/>
  <c r="G399" i="166"/>
  <c r="M398" i="166"/>
  <c r="G398" i="166"/>
  <c r="M397" i="166"/>
  <c r="G397" i="166"/>
  <c r="M396" i="166"/>
  <c r="G396" i="166"/>
  <c r="M395" i="166"/>
  <c r="G395" i="166"/>
  <c r="M394" i="166"/>
  <c r="G394" i="166"/>
  <c r="M393" i="166"/>
  <c r="G393" i="166"/>
  <c r="M392" i="166"/>
  <c r="G392" i="166"/>
  <c r="M391" i="166"/>
  <c r="G391" i="166"/>
  <c r="AE390" i="166"/>
  <c r="Y390" i="166"/>
  <c r="S390" i="166"/>
  <c r="M390" i="166"/>
  <c r="G390" i="166"/>
  <c r="AE389" i="166"/>
  <c r="Y389" i="166"/>
  <c r="S389" i="166"/>
  <c r="M389" i="166"/>
  <c r="G389" i="166"/>
  <c r="S388" i="166"/>
  <c r="M388" i="166"/>
  <c r="G388" i="166"/>
  <c r="Y387" i="166"/>
  <c r="S387" i="166"/>
  <c r="M387" i="166"/>
  <c r="G387" i="166"/>
  <c r="Y386" i="166"/>
  <c r="S386" i="166"/>
  <c r="M386" i="166"/>
  <c r="G386" i="166"/>
  <c r="Y385" i="166"/>
  <c r="S385" i="166"/>
  <c r="M385" i="166"/>
  <c r="G385" i="166"/>
  <c r="Y384" i="166"/>
  <c r="S384" i="166"/>
  <c r="M384" i="166"/>
  <c r="G384" i="166"/>
  <c r="Y383" i="166"/>
  <c r="S383" i="166"/>
  <c r="M383" i="166"/>
  <c r="G383" i="166"/>
  <c r="Y382" i="166"/>
  <c r="S382" i="166"/>
  <c r="M382" i="166"/>
  <c r="G382" i="166"/>
  <c r="Y381" i="166"/>
  <c r="S381" i="166"/>
  <c r="M381" i="166"/>
  <c r="G381" i="166"/>
  <c r="Y380" i="166"/>
  <c r="S380" i="166"/>
  <c r="M380" i="166"/>
  <c r="G380" i="166"/>
  <c r="Y379" i="166"/>
  <c r="S379" i="166"/>
  <c r="M379" i="166"/>
  <c r="G379" i="166"/>
  <c r="Y378" i="166"/>
  <c r="S378" i="166"/>
  <c r="M378" i="166"/>
  <c r="G378" i="166"/>
  <c r="Y377" i="166"/>
  <c r="S377" i="166"/>
  <c r="M377" i="166"/>
  <c r="G377" i="166"/>
  <c r="Y376" i="166"/>
  <c r="S376" i="166"/>
  <c r="M376" i="166"/>
  <c r="G376" i="166"/>
  <c r="Y375" i="166"/>
  <c r="S375" i="166"/>
  <c r="M375" i="166"/>
  <c r="G375" i="166"/>
  <c r="Y374" i="166"/>
  <c r="S374" i="166"/>
  <c r="M374" i="166"/>
  <c r="G374" i="166"/>
  <c r="Y373" i="166"/>
  <c r="S373" i="166"/>
  <c r="M373" i="166"/>
  <c r="G373" i="166"/>
  <c r="Y372" i="166"/>
  <c r="S372" i="166"/>
  <c r="M372" i="166"/>
  <c r="G372" i="166"/>
  <c r="Y371" i="166"/>
  <c r="S371" i="166"/>
  <c r="M371" i="166"/>
  <c r="G371" i="166"/>
  <c r="Y370" i="166"/>
  <c r="S370" i="166"/>
  <c r="M370" i="166"/>
  <c r="G370" i="166"/>
  <c r="Y369" i="166"/>
  <c r="S369" i="166"/>
  <c r="M369" i="166"/>
  <c r="G369" i="166"/>
  <c r="Y368" i="166"/>
  <c r="S368" i="166"/>
  <c r="M368" i="166"/>
  <c r="G368" i="166"/>
  <c r="Y367" i="166"/>
  <c r="S367" i="166"/>
  <c r="M367" i="166"/>
  <c r="G367" i="166"/>
  <c r="Y366" i="166"/>
  <c r="S366" i="166"/>
  <c r="M366" i="166"/>
  <c r="G366" i="166"/>
  <c r="Y365" i="166"/>
  <c r="S365" i="166"/>
  <c r="M365" i="166"/>
  <c r="G365" i="166"/>
  <c r="Y364" i="166"/>
  <c r="S364" i="166"/>
  <c r="M364" i="166"/>
  <c r="G364" i="166"/>
  <c r="M363" i="166"/>
  <c r="G363" i="166"/>
  <c r="M362" i="166"/>
  <c r="G362" i="166"/>
  <c r="M361" i="166"/>
  <c r="G361" i="166"/>
  <c r="M360" i="166"/>
  <c r="G360" i="166"/>
  <c r="M359" i="166"/>
  <c r="G359" i="166"/>
  <c r="M358" i="166"/>
  <c r="G358" i="166"/>
  <c r="M357" i="166"/>
  <c r="G357" i="166"/>
  <c r="M356" i="166"/>
  <c r="G356" i="166"/>
  <c r="M355" i="166"/>
  <c r="G355" i="166"/>
  <c r="M354" i="166"/>
  <c r="G354" i="166"/>
  <c r="AE353" i="166"/>
  <c r="Y353" i="166"/>
  <c r="S353" i="166"/>
  <c r="M353" i="166"/>
  <c r="G353" i="166"/>
  <c r="AE352" i="166"/>
  <c r="Y352" i="166"/>
  <c r="S352" i="166"/>
  <c r="M352" i="166"/>
  <c r="G352" i="166"/>
  <c r="S351" i="166"/>
  <c r="M351" i="166"/>
  <c r="G351" i="166"/>
  <c r="AE350" i="166"/>
  <c r="Y350" i="166"/>
  <c r="S350" i="166"/>
  <c r="M350" i="166"/>
  <c r="G350" i="166"/>
  <c r="AE349" i="166"/>
  <c r="Y349" i="166"/>
  <c r="S349" i="166"/>
  <c r="M349" i="166"/>
  <c r="G349" i="166"/>
  <c r="AE348" i="166"/>
  <c r="Y348" i="166"/>
  <c r="S348" i="166"/>
  <c r="M348" i="166"/>
  <c r="G348" i="166"/>
  <c r="AE347" i="166"/>
  <c r="Y347" i="166"/>
  <c r="S347" i="166"/>
  <c r="M347" i="166"/>
  <c r="G347" i="166"/>
  <c r="AE346" i="166"/>
  <c r="Y346" i="166"/>
  <c r="S346" i="166"/>
  <c r="M346" i="166"/>
  <c r="G346" i="166"/>
  <c r="AE345" i="166"/>
  <c r="Y345" i="166"/>
  <c r="S345" i="166"/>
  <c r="M345" i="166"/>
  <c r="G345" i="166"/>
  <c r="AE344" i="166"/>
  <c r="Y344" i="166"/>
  <c r="S344" i="166"/>
  <c r="M344" i="166"/>
  <c r="G344" i="166"/>
  <c r="AE343" i="166"/>
  <c r="Y343" i="166"/>
  <c r="S343" i="166"/>
  <c r="M343" i="166"/>
  <c r="G343" i="166"/>
  <c r="AE342" i="166"/>
  <c r="Y342" i="166"/>
  <c r="S342" i="166"/>
  <c r="M342" i="166"/>
  <c r="G342" i="166"/>
  <c r="AE341" i="166"/>
  <c r="Y341" i="166"/>
  <c r="S341" i="166"/>
  <c r="M341" i="166"/>
  <c r="G341" i="166"/>
  <c r="AE340" i="166"/>
  <c r="Y340" i="166"/>
  <c r="S340" i="166"/>
  <c r="M340" i="166"/>
  <c r="G340" i="166"/>
  <c r="AE339" i="166"/>
  <c r="Y339" i="166"/>
  <c r="S339" i="166"/>
  <c r="M339" i="166"/>
  <c r="G339" i="166"/>
  <c r="AE338" i="166"/>
  <c r="Y338" i="166"/>
  <c r="S338" i="166"/>
  <c r="M338" i="166"/>
  <c r="G338" i="166"/>
  <c r="AE337" i="166"/>
  <c r="Y337" i="166"/>
  <c r="S337" i="166"/>
  <c r="M337" i="166"/>
  <c r="G337" i="166"/>
  <c r="AE336" i="166"/>
  <c r="Y336" i="166"/>
  <c r="S336" i="166"/>
  <c r="M336" i="166"/>
  <c r="G336" i="166"/>
  <c r="AE335" i="166"/>
  <c r="Y335" i="166"/>
  <c r="S335" i="166"/>
  <c r="M335" i="166"/>
  <c r="G335" i="166"/>
  <c r="AE334" i="166"/>
  <c r="Y334" i="166"/>
  <c r="S334" i="166"/>
  <c r="M334" i="166"/>
  <c r="G334" i="166"/>
  <c r="AE333" i="166"/>
  <c r="Y333" i="166"/>
  <c r="S333" i="166"/>
  <c r="M333" i="166"/>
  <c r="G333" i="166"/>
  <c r="AE332" i="166"/>
  <c r="Y332" i="166"/>
  <c r="S332" i="166"/>
  <c r="M332" i="166"/>
  <c r="G332" i="166"/>
  <c r="AE331" i="166"/>
  <c r="Y331" i="166"/>
  <c r="S331" i="166"/>
  <c r="M331" i="166"/>
  <c r="G331" i="166"/>
  <c r="AE330" i="166"/>
  <c r="Y330" i="166"/>
  <c r="S330" i="166"/>
  <c r="M330" i="166"/>
  <c r="G330" i="166"/>
  <c r="AE329" i="166"/>
  <c r="Y329" i="166"/>
  <c r="S329" i="166"/>
  <c r="M329" i="166"/>
  <c r="G329" i="166"/>
  <c r="AE328" i="166"/>
  <c r="Y328" i="166"/>
  <c r="S328" i="166"/>
  <c r="M328" i="166"/>
  <c r="G328" i="166"/>
  <c r="AE327" i="166"/>
  <c r="Y327" i="166"/>
  <c r="S327" i="166"/>
  <c r="M327" i="166"/>
  <c r="G327" i="166"/>
  <c r="AE326" i="166"/>
  <c r="Y326" i="166"/>
  <c r="S326" i="166"/>
  <c r="M326" i="166"/>
  <c r="G326" i="166"/>
  <c r="AE325" i="166"/>
  <c r="Y325" i="166"/>
  <c r="S325" i="166"/>
  <c r="M325" i="166"/>
  <c r="G325" i="166"/>
  <c r="AE324" i="166"/>
  <c r="Y324" i="166"/>
  <c r="S324" i="166"/>
  <c r="M324" i="166"/>
  <c r="G324" i="166"/>
  <c r="AE323" i="166"/>
  <c r="Y323" i="166"/>
  <c r="S323" i="166"/>
  <c r="M323" i="166"/>
  <c r="G323" i="166"/>
  <c r="AE322" i="166"/>
  <c r="Y322" i="166"/>
  <c r="S322" i="166"/>
  <c r="M322" i="166"/>
  <c r="G322" i="166"/>
  <c r="AE321" i="166"/>
  <c r="Y321" i="166"/>
  <c r="S321" i="166"/>
  <c r="M321" i="166"/>
  <c r="G321" i="166"/>
  <c r="AE320" i="166"/>
  <c r="Y320" i="166"/>
  <c r="S320" i="166"/>
  <c r="M320" i="166"/>
  <c r="G320" i="166"/>
  <c r="AE319" i="166"/>
  <c r="Y319" i="166"/>
  <c r="S319" i="166"/>
  <c r="M319" i="166"/>
  <c r="G319" i="166"/>
  <c r="M318" i="166"/>
  <c r="G318" i="166"/>
  <c r="M317" i="166"/>
  <c r="G317" i="166"/>
  <c r="M316" i="166"/>
  <c r="G316" i="166"/>
  <c r="M315" i="166"/>
  <c r="G315" i="166"/>
  <c r="M314" i="166"/>
  <c r="G314" i="166"/>
  <c r="M313" i="166"/>
  <c r="G313" i="166"/>
  <c r="AE312" i="166"/>
  <c r="Y312" i="166"/>
  <c r="S312" i="166"/>
  <c r="M312" i="166"/>
  <c r="G312" i="166"/>
  <c r="AE311" i="166"/>
  <c r="Y311" i="166"/>
  <c r="S311" i="166"/>
  <c r="M311" i="166"/>
  <c r="G311" i="166"/>
  <c r="AE310" i="166"/>
  <c r="Y310" i="166"/>
  <c r="S310" i="166"/>
  <c r="M310" i="166"/>
  <c r="G310" i="166"/>
  <c r="AE309" i="166"/>
  <c r="Y309" i="166"/>
  <c r="S309" i="166"/>
  <c r="M309" i="166"/>
  <c r="G309" i="166"/>
  <c r="AE308" i="166"/>
  <c r="Y308" i="166"/>
  <c r="S308" i="166"/>
  <c r="M308" i="166"/>
  <c r="G308" i="166"/>
  <c r="AE307" i="166"/>
  <c r="Y307" i="166"/>
  <c r="S307" i="166"/>
  <c r="M307" i="166"/>
  <c r="G307" i="166"/>
  <c r="AE306" i="166"/>
  <c r="Y306" i="166"/>
  <c r="S306" i="166"/>
  <c r="M306" i="166"/>
  <c r="G306" i="166"/>
  <c r="AE305" i="166"/>
  <c r="Y305" i="166"/>
  <c r="S305" i="166"/>
  <c r="M305" i="166"/>
  <c r="G305" i="166"/>
  <c r="AE304" i="166"/>
  <c r="Y304" i="166"/>
  <c r="S304" i="166"/>
  <c r="M304" i="166"/>
  <c r="G304" i="166"/>
  <c r="AE303" i="166"/>
  <c r="Y303" i="166"/>
  <c r="S303" i="166"/>
  <c r="M303" i="166"/>
  <c r="G303" i="166"/>
  <c r="AE302" i="166"/>
  <c r="Y302" i="166"/>
  <c r="S302" i="166"/>
  <c r="M302" i="166"/>
  <c r="G302" i="166"/>
  <c r="AE301" i="166"/>
  <c r="Y301" i="166"/>
  <c r="S301" i="166"/>
  <c r="M301" i="166"/>
  <c r="G301" i="166"/>
  <c r="AE300" i="166"/>
  <c r="Y300" i="166"/>
  <c r="S300" i="166"/>
  <c r="M300" i="166"/>
  <c r="G300" i="166"/>
  <c r="AE299" i="166"/>
  <c r="Y299" i="166"/>
  <c r="S299" i="166"/>
  <c r="M299" i="166"/>
  <c r="G299" i="166"/>
  <c r="AE298" i="166"/>
  <c r="Y298" i="166"/>
  <c r="S298" i="166"/>
  <c r="M298" i="166"/>
  <c r="G298" i="166"/>
  <c r="AE297" i="166"/>
  <c r="Y297" i="166"/>
  <c r="S297" i="166"/>
  <c r="M297" i="166"/>
  <c r="G297" i="166"/>
  <c r="AE296" i="166"/>
  <c r="Y296" i="166"/>
  <c r="S296" i="166"/>
  <c r="M296" i="166"/>
  <c r="G296" i="166"/>
  <c r="AE295" i="166"/>
  <c r="Y295" i="166"/>
  <c r="S295" i="166"/>
  <c r="M295" i="166"/>
  <c r="G295" i="166"/>
  <c r="AE294" i="166"/>
  <c r="Y294" i="166"/>
  <c r="S294" i="166"/>
  <c r="M294" i="166"/>
  <c r="G294" i="166"/>
  <c r="AE293" i="166"/>
  <c r="Y293" i="166"/>
  <c r="S293" i="166"/>
  <c r="M293" i="166"/>
  <c r="G293" i="166"/>
  <c r="AE292" i="166"/>
  <c r="Y292" i="166"/>
  <c r="S292" i="166"/>
  <c r="M292" i="166"/>
  <c r="G292" i="166"/>
  <c r="AE291" i="166"/>
  <c r="Y291" i="166"/>
  <c r="S291" i="166"/>
  <c r="M291" i="166"/>
  <c r="G291" i="166"/>
  <c r="AE290" i="166"/>
  <c r="Y290" i="166"/>
  <c r="S290" i="166"/>
  <c r="M290" i="166"/>
  <c r="G290" i="166"/>
  <c r="AE289" i="166"/>
  <c r="Y289" i="166"/>
  <c r="S289" i="166"/>
  <c r="M289" i="166"/>
  <c r="G289" i="166"/>
  <c r="AE288" i="166"/>
  <c r="Y288" i="166"/>
  <c r="S288" i="166"/>
  <c r="M288" i="166"/>
  <c r="G288" i="166"/>
  <c r="AE287" i="166"/>
  <c r="Y287" i="166"/>
  <c r="S287" i="166"/>
  <c r="M287" i="166"/>
  <c r="G287" i="166"/>
  <c r="AE286" i="166"/>
  <c r="Y286" i="166"/>
  <c r="S286" i="166"/>
  <c r="M286" i="166"/>
  <c r="G286" i="166"/>
  <c r="AE285" i="166"/>
  <c r="Y285" i="166"/>
  <c r="S285" i="166"/>
  <c r="M285" i="166"/>
  <c r="G285" i="166"/>
  <c r="AE284" i="166"/>
  <c r="Y284" i="166"/>
  <c r="S284" i="166"/>
  <c r="M284" i="166"/>
  <c r="G284" i="166"/>
  <c r="AE283" i="166"/>
  <c r="Y283" i="166"/>
  <c r="S283" i="166"/>
  <c r="M283" i="166"/>
  <c r="G283" i="166"/>
  <c r="AE282" i="166"/>
  <c r="Y282" i="166"/>
  <c r="S282" i="166"/>
  <c r="M282" i="166"/>
  <c r="G282" i="166"/>
  <c r="AE281" i="166"/>
  <c r="Y281" i="166"/>
  <c r="S281" i="166"/>
  <c r="M281" i="166"/>
  <c r="G281" i="166"/>
  <c r="AE280" i="166"/>
  <c r="Y280" i="166"/>
  <c r="S280" i="166"/>
  <c r="M280" i="166"/>
  <c r="G280" i="166"/>
  <c r="AE279" i="166"/>
  <c r="Y279" i="166"/>
  <c r="S279" i="166"/>
  <c r="M279" i="166"/>
  <c r="G279" i="166"/>
  <c r="AE278" i="166"/>
  <c r="Y278" i="166"/>
  <c r="S278" i="166"/>
  <c r="M278" i="166"/>
  <c r="G278" i="166"/>
  <c r="AE277" i="166"/>
  <c r="Y277" i="166"/>
  <c r="S277" i="166"/>
  <c r="M277" i="166"/>
  <c r="G277" i="166"/>
  <c r="AE276" i="166"/>
  <c r="Y276" i="166"/>
  <c r="S276" i="166"/>
  <c r="M276" i="166"/>
  <c r="G276" i="166"/>
  <c r="AE275" i="166"/>
  <c r="Y275" i="166"/>
  <c r="S275" i="166"/>
  <c r="M275" i="166"/>
  <c r="G275" i="166"/>
  <c r="AE274" i="166"/>
  <c r="Y274" i="166"/>
  <c r="S274" i="166"/>
  <c r="M274" i="166"/>
  <c r="G274" i="166"/>
  <c r="AE273" i="166"/>
  <c r="Y273" i="166"/>
  <c r="S273" i="166"/>
  <c r="M273" i="166"/>
  <c r="G273" i="166"/>
  <c r="AE272" i="166"/>
  <c r="Y272" i="166"/>
  <c r="S272" i="166"/>
  <c r="M272" i="166"/>
  <c r="G272" i="166"/>
  <c r="AE271" i="166"/>
  <c r="Y271" i="166"/>
  <c r="S271" i="166"/>
  <c r="M271" i="166"/>
  <c r="G271" i="166"/>
  <c r="AE270" i="166"/>
  <c r="Y270" i="166"/>
  <c r="S270" i="166"/>
  <c r="M270" i="166"/>
  <c r="G270" i="166"/>
  <c r="AE269" i="166"/>
  <c r="Y269" i="166"/>
  <c r="S269" i="166"/>
  <c r="M269" i="166"/>
  <c r="G269" i="166"/>
  <c r="AE268" i="166"/>
  <c r="Y268" i="166"/>
  <c r="S268" i="166"/>
  <c r="M268" i="166"/>
  <c r="G268" i="166"/>
  <c r="AE267" i="166"/>
  <c r="Y267" i="166"/>
  <c r="S267" i="166"/>
  <c r="M267" i="166"/>
  <c r="G267" i="166"/>
  <c r="AE266" i="166"/>
  <c r="Y266" i="166"/>
  <c r="S266" i="166"/>
  <c r="M266" i="166"/>
  <c r="G266" i="166"/>
  <c r="AE265" i="166"/>
  <c r="Y265" i="166"/>
  <c r="S265" i="166"/>
  <c r="M265" i="166"/>
  <c r="G265" i="166"/>
  <c r="AE264" i="166"/>
  <c r="Y264" i="166"/>
  <c r="S264" i="166"/>
  <c r="M264" i="166"/>
  <c r="G264" i="166"/>
  <c r="AE263" i="166"/>
  <c r="Y263" i="166"/>
  <c r="S263" i="166"/>
  <c r="M263" i="166"/>
  <c r="G263" i="166"/>
  <c r="AE262" i="166"/>
  <c r="Y262" i="166"/>
  <c r="S262" i="166"/>
  <c r="M262" i="166"/>
  <c r="G262" i="166"/>
  <c r="AE261" i="166"/>
  <c r="Y261" i="166"/>
  <c r="S261" i="166"/>
  <c r="M261" i="166"/>
  <c r="G261" i="166"/>
  <c r="AE260" i="166"/>
  <c r="Y260" i="166"/>
  <c r="S260" i="166"/>
  <c r="M260" i="166"/>
  <c r="G260" i="166"/>
  <c r="AE259" i="166"/>
  <c r="Y259" i="166"/>
  <c r="S259" i="166"/>
  <c r="M259" i="166"/>
  <c r="G259" i="166"/>
  <c r="AE258" i="166"/>
  <c r="Y258" i="166"/>
  <c r="S258" i="166"/>
  <c r="M258" i="166"/>
  <c r="G258" i="166"/>
  <c r="AE257" i="166"/>
  <c r="Y257" i="166"/>
  <c r="S257" i="166"/>
  <c r="M257" i="166"/>
  <c r="G257" i="166"/>
  <c r="AE256" i="166"/>
  <c r="Y256" i="166"/>
  <c r="S256" i="166"/>
  <c r="M256" i="166"/>
  <c r="G256" i="166"/>
  <c r="AE255" i="166"/>
  <c r="Y255" i="166"/>
  <c r="S255" i="166"/>
  <c r="M255" i="166"/>
  <c r="G255" i="166"/>
  <c r="AE254" i="166"/>
  <c r="Y254" i="166"/>
  <c r="S254" i="166"/>
  <c r="M254" i="166"/>
  <c r="G254" i="166"/>
  <c r="AE253" i="166"/>
  <c r="Y253" i="166"/>
  <c r="S253" i="166"/>
  <c r="M253" i="166"/>
  <c r="G253" i="166"/>
  <c r="AE252" i="166"/>
  <c r="Y252" i="166"/>
  <c r="S252" i="166"/>
  <c r="M252" i="166"/>
  <c r="G252" i="166"/>
  <c r="AE251" i="166"/>
  <c r="Y251" i="166"/>
  <c r="S251" i="166"/>
  <c r="M251" i="166"/>
  <c r="G251" i="166"/>
  <c r="AE250" i="166"/>
  <c r="Y250" i="166"/>
  <c r="S250" i="166"/>
  <c r="M250" i="166"/>
  <c r="G250" i="166"/>
  <c r="AE249" i="166"/>
  <c r="Y249" i="166"/>
  <c r="S249" i="166"/>
  <c r="M249" i="166"/>
  <c r="G249" i="166"/>
  <c r="AE248" i="166"/>
  <c r="Y248" i="166"/>
  <c r="S248" i="166"/>
  <c r="M248" i="166"/>
  <c r="G248" i="166"/>
  <c r="AE247" i="166"/>
  <c r="Y247" i="166"/>
  <c r="S247" i="166"/>
  <c r="M247" i="166"/>
  <c r="G247" i="166"/>
  <c r="AE243" i="166"/>
  <c r="Y243" i="166"/>
  <c r="AE242" i="166"/>
  <c r="Y242" i="166"/>
  <c r="S242" i="166"/>
  <c r="M242" i="166"/>
  <c r="G242" i="166"/>
  <c r="AE241" i="166"/>
  <c r="Y241" i="166"/>
  <c r="S241" i="166"/>
  <c r="M241" i="166"/>
  <c r="G241" i="166"/>
  <c r="AE240" i="166"/>
  <c r="Y240" i="166"/>
  <c r="S240" i="166"/>
  <c r="M240" i="166"/>
  <c r="G240" i="166"/>
  <c r="AE239" i="166"/>
  <c r="Y239" i="166"/>
  <c r="S239" i="166"/>
  <c r="M239" i="166"/>
  <c r="G239" i="166"/>
  <c r="AE238" i="166"/>
  <c r="Y238" i="166"/>
  <c r="S238" i="166"/>
  <c r="M238" i="166"/>
  <c r="G238" i="166"/>
  <c r="AE237" i="166"/>
  <c r="Y237" i="166"/>
  <c r="S237" i="166"/>
  <c r="M237" i="166"/>
  <c r="G237" i="166"/>
  <c r="AE236" i="166"/>
  <c r="Y236" i="166"/>
  <c r="S236" i="166"/>
  <c r="M236" i="166"/>
  <c r="G236" i="166"/>
  <c r="AE235" i="166"/>
  <c r="Y235" i="166"/>
  <c r="S235" i="166"/>
  <c r="M235" i="166"/>
  <c r="G235" i="166"/>
  <c r="AE234" i="166"/>
  <c r="Y234" i="166"/>
  <c r="S234" i="166"/>
  <c r="M234" i="166"/>
  <c r="G234" i="166"/>
  <c r="AE233" i="166"/>
  <c r="Y233" i="166"/>
  <c r="S233" i="166"/>
  <c r="M233" i="166"/>
  <c r="G233" i="166"/>
  <c r="AE232" i="166"/>
  <c r="Y232" i="166"/>
  <c r="S232" i="166"/>
  <c r="M232" i="166"/>
  <c r="G232" i="166"/>
  <c r="AE231" i="166"/>
  <c r="Y231" i="166"/>
  <c r="S231" i="166"/>
  <c r="M231" i="166"/>
  <c r="G231" i="166"/>
  <c r="AE230" i="166"/>
  <c r="Y230" i="166"/>
  <c r="S230" i="166"/>
  <c r="M230" i="166"/>
  <c r="G230" i="166"/>
  <c r="AE229" i="166"/>
  <c r="Y229" i="166"/>
  <c r="S229" i="166"/>
  <c r="M229" i="166"/>
  <c r="G229" i="166"/>
  <c r="AE228" i="166"/>
  <c r="Y228" i="166"/>
  <c r="S228" i="166"/>
  <c r="M228" i="166"/>
  <c r="G228" i="166"/>
  <c r="AE227" i="166"/>
  <c r="Y227" i="166"/>
  <c r="S227" i="166"/>
  <c r="M227" i="166"/>
  <c r="G227" i="166"/>
  <c r="AE226" i="166"/>
  <c r="Y226" i="166"/>
  <c r="S226" i="166"/>
  <c r="M226" i="166"/>
  <c r="G226" i="166"/>
  <c r="AE225" i="166"/>
  <c r="Y225" i="166"/>
  <c r="S225" i="166"/>
  <c r="M225" i="166"/>
  <c r="G225" i="166"/>
  <c r="AE224" i="166"/>
  <c r="Y224" i="166"/>
  <c r="S224" i="166"/>
  <c r="M224" i="166"/>
  <c r="G224" i="166"/>
  <c r="AE223" i="166"/>
  <c r="Y223" i="166"/>
  <c r="S223" i="166"/>
  <c r="M223" i="166"/>
  <c r="G223" i="166"/>
  <c r="AE222" i="166"/>
  <c r="Y222" i="166"/>
  <c r="S222" i="166"/>
  <c r="M222" i="166"/>
  <c r="G222" i="166"/>
  <c r="AE221" i="166"/>
  <c r="Y221" i="166"/>
  <c r="S221" i="166"/>
  <c r="M221" i="166"/>
  <c r="G221" i="166"/>
  <c r="AE220" i="166"/>
  <c r="Y220" i="166"/>
  <c r="S220" i="166"/>
  <c r="M220" i="166"/>
  <c r="G220" i="166"/>
  <c r="M219" i="166"/>
  <c r="G219" i="166"/>
  <c r="M218" i="166"/>
  <c r="G218" i="166"/>
  <c r="M217" i="166"/>
  <c r="G217" i="166"/>
  <c r="M216" i="166"/>
  <c r="G216" i="166"/>
  <c r="M215" i="166"/>
  <c r="G215" i="166"/>
  <c r="M214" i="166"/>
  <c r="G214" i="166"/>
  <c r="M213" i="166"/>
  <c r="G213" i="166"/>
  <c r="M212" i="166"/>
  <c r="G212" i="166"/>
  <c r="M211" i="166"/>
  <c r="G211" i="166"/>
  <c r="M210" i="166"/>
  <c r="G210" i="166"/>
  <c r="M209" i="166"/>
  <c r="G209" i="166"/>
  <c r="M208" i="166"/>
  <c r="G208" i="166"/>
  <c r="M207" i="166"/>
  <c r="G207" i="166"/>
  <c r="M206" i="166"/>
  <c r="G206" i="166"/>
  <c r="M205" i="166"/>
  <c r="G205" i="166"/>
  <c r="M204" i="166"/>
  <c r="G204" i="166"/>
  <c r="M203" i="166"/>
  <c r="G203" i="166"/>
  <c r="M202" i="166"/>
  <c r="G202" i="166"/>
  <c r="M201" i="166"/>
  <c r="G201" i="166"/>
  <c r="M200" i="166"/>
  <c r="G200" i="166"/>
  <c r="M199" i="166"/>
  <c r="G199" i="166"/>
  <c r="M198" i="166"/>
  <c r="G198" i="166"/>
  <c r="M197" i="166"/>
  <c r="G197" i="166"/>
  <c r="M196" i="166"/>
  <c r="G196" i="166"/>
  <c r="M195" i="166"/>
  <c r="G195" i="166"/>
  <c r="M194" i="166"/>
  <c r="G194" i="166"/>
  <c r="M193" i="166"/>
  <c r="G193" i="166"/>
  <c r="M192" i="166"/>
  <c r="G192" i="166"/>
  <c r="M191" i="166"/>
  <c r="G191" i="166"/>
  <c r="M190" i="166"/>
  <c r="G190" i="166"/>
  <c r="M189" i="166"/>
  <c r="G189" i="166"/>
  <c r="M188" i="166"/>
  <c r="G188" i="166"/>
  <c r="M187" i="166"/>
  <c r="G187" i="166"/>
  <c r="M186" i="166"/>
  <c r="G186" i="166"/>
  <c r="M185" i="166"/>
  <c r="G185" i="166"/>
  <c r="M184" i="166"/>
  <c r="G184" i="166"/>
  <c r="M183" i="166"/>
  <c r="G183" i="166"/>
  <c r="M182" i="166"/>
  <c r="G182" i="166"/>
  <c r="M181" i="166"/>
  <c r="G181" i="166"/>
  <c r="AE180" i="166"/>
  <c r="Y180" i="166"/>
  <c r="S180" i="166"/>
  <c r="M180" i="166"/>
  <c r="G180" i="166"/>
  <c r="AE179" i="166"/>
  <c r="Y179" i="166"/>
  <c r="S179" i="166"/>
  <c r="M179" i="166"/>
  <c r="G179" i="166"/>
  <c r="S178" i="166"/>
  <c r="M178" i="166"/>
  <c r="G178" i="166"/>
  <c r="Y177" i="166"/>
  <c r="S177" i="166"/>
  <c r="M177" i="166"/>
  <c r="G177" i="166"/>
  <c r="Y176" i="166"/>
  <c r="S176" i="166"/>
  <c r="M176" i="166"/>
  <c r="G176" i="166"/>
  <c r="Y175" i="166"/>
  <c r="S175" i="166"/>
  <c r="M175" i="166"/>
  <c r="G175" i="166"/>
  <c r="Y174" i="166"/>
  <c r="S174" i="166"/>
  <c r="M174" i="166"/>
  <c r="G174" i="166"/>
  <c r="Y173" i="166"/>
  <c r="S173" i="166"/>
  <c r="M173" i="166"/>
  <c r="G173" i="166"/>
  <c r="Y172" i="166"/>
  <c r="S172" i="166"/>
  <c r="M172" i="166"/>
  <c r="G172" i="166"/>
  <c r="Y171" i="166"/>
  <c r="S171" i="166"/>
  <c r="M171" i="166"/>
  <c r="G171" i="166"/>
  <c r="Y170" i="166"/>
  <c r="S170" i="166"/>
  <c r="M170" i="166"/>
  <c r="G170" i="166"/>
  <c r="Y169" i="166"/>
  <c r="S169" i="166"/>
  <c r="M169" i="166"/>
  <c r="G169" i="166"/>
  <c r="Y168" i="166"/>
  <c r="S168" i="166"/>
  <c r="M168" i="166"/>
  <c r="G168" i="166"/>
  <c r="Y167" i="166"/>
  <c r="S167" i="166"/>
  <c r="M167" i="166"/>
  <c r="G167" i="166"/>
  <c r="Y166" i="166"/>
  <c r="S166" i="166"/>
  <c r="M166" i="166"/>
  <c r="G166" i="166"/>
  <c r="Y165" i="166"/>
  <c r="S165" i="166"/>
  <c r="M165" i="166"/>
  <c r="G165" i="166"/>
  <c r="Y164" i="166"/>
  <c r="S164" i="166"/>
  <c r="M164" i="166"/>
  <c r="G164" i="166"/>
  <c r="Y163" i="166"/>
  <c r="S163" i="166"/>
  <c r="M163" i="166"/>
  <c r="G163" i="166"/>
  <c r="Y162" i="166"/>
  <c r="S162" i="166"/>
  <c r="M162" i="166"/>
  <c r="G162" i="166"/>
  <c r="Y161" i="166"/>
  <c r="S161" i="166"/>
  <c r="M161" i="166"/>
  <c r="G161" i="166"/>
  <c r="Y160" i="166"/>
  <c r="S160" i="166"/>
  <c r="M160" i="166"/>
  <c r="G160" i="166"/>
  <c r="Y159" i="166"/>
  <c r="S159" i="166"/>
  <c r="M159" i="166"/>
  <c r="G159" i="166"/>
  <c r="Y158" i="166"/>
  <c r="S158" i="166"/>
  <c r="M158" i="166"/>
  <c r="G158" i="166"/>
  <c r="Y157" i="166"/>
  <c r="S157" i="166"/>
  <c r="M157" i="166"/>
  <c r="G157" i="166"/>
  <c r="Y156" i="166"/>
  <c r="S156" i="166"/>
  <c r="M156" i="166"/>
  <c r="G156" i="166"/>
  <c r="Y155" i="166"/>
  <c r="S155" i="166"/>
  <c r="M155" i="166"/>
  <c r="G155" i="166"/>
  <c r="Y154" i="166"/>
  <c r="S154" i="166"/>
  <c r="M154" i="166"/>
  <c r="G154" i="166"/>
  <c r="M153" i="166"/>
  <c r="G153" i="166"/>
  <c r="M152" i="166"/>
  <c r="G152" i="166"/>
  <c r="M151" i="166"/>
  <c r="G151" i="166"/>
  <c r="M150" i="166"/>
  <c r="G150" i="166"/>
  <c r="M149" i="166"/>
  <c r="G149" i="166"/>
  <c r="M148" i="166"/>
  <c r="G148" i="166"/>
  <c r="M147" i="166"/>
  <c r="G147" i="166"/>
  <c r="M146" i="166"/>
  <c r="G146" i="166"/>
  <c r="M145" i="166"/>
  <c r="G145" i="166"/>
  <c r="M144" i="166"/>
  <c r="G144" i="166"/>
  <c r="AE143" i="166"/>
  <c r="Y143" i="166"/>
  <c r="S143" i="166"/>
  <c r="M143" i="166"/>
  <c r="G143" i="166"/>
  <c r="AE142" i="166"/>
  <c r="Y142" i="166"/>
  <c r="S142" i="166"/>
  <c r="M142" i="166"/>
  <c r="G142" i="166"/>
  <c r="S141" i="166"/>
  <c r="M141" i="166"/>
  <c r="G141" i="166"/>
  <c r="Y140" i="166"/>
  <c r="S140" i="166"/>
  <c r="M140" i="166"/>
  <c r="G140" i="166"/>
  <c r="Y139" i="166"/>
  <c r="S139" i="166"/>
  <c r="M139" i="166"/>
  <c r="G139" i="166"/>
  <c r="Y138" i="166"/>
  <c r="S138" i="166"/>
  <c r="M138" i="166"/>
  <c r="G138" i="166"/>
  <c r="Y137" i="166"/>
  <c r="S137" i="166"/>
  <c r="M137" i="166"/>
  <c r="G137" i="166"/>
  <c r="Y136" i="166"/>
  <c r="S136" i="166"/>
  <c r="M136" i="166"/>
  <c r="G136" i="166"/>
  <c r="Y135" i="166"/>
  <c r="S135" i="166"/>
  <c r="M135" i="166"/>
  <c r="G135" i="166"/>
  <c r="Y134" i="166"/>
  <c r="S134" i="166"/>
  <c r="M134" i="166"/>
  <c r="G134" i="166"/>
  <c r="Y133" i="166"/>
  <c r="S133" i="166"/>
  <c r="M133" i="166"/>
  <c r="G133" i="166"/>
  <c r="Y132" i="166"/>
  <c r="S132" i="166"/>
  <c r="M132" i="166"/>
  <c r="G132" i="166"/>
  <c r="Y131" i="166"/>
  <c r="S131" i="166"/>
  <c r="M131" i="166"/>
  <c r="G131" i="166"/>
  <c r="Y130" i="166"/>
  <c r="S130" i="166"/>
  <c r="M130" i="166"/>
  <c r="G130" i="166"/>
  <c r="Y129" i="166"/>
  <c r="S129" i="166"/>
  <c r="M129" i="166"/>
  <c r="G129" i="166"/>
  <c r="Y128" i="166"/>
  <c r="S128" i="166"/>
  <c r="M128" i="166"/>
  <c r="G128" i="166"/>
  <c r="Y127" i="166"/>
  <c r="S127" i="166"/>
  <c r="M127" i="166"/>
  <c r="G127" i="166"/>
  <c r="Y126" i="166"/>
  <c r="S126" i="166"/>
  <c r="M126" i="166"/>
  <c r="G126" i="166"/>
  <c r="Y125" i="166"/>
  <c r="S125" i="166"/>
  <c r="M125" i="166"/>
  <c r="G125" i="166"/>
  <c r="Y124" i="166"/>
  <c r="S124" i="166"/>
  <c r="M124" i="166"/>
  <c r="G124" i="166"/>
  <c r="Y123" i="166"/>
  <c r="S123" i="166"/>
  <c r="M123" i="166"/>
  <c r="G123" i="166"/>
  <c r="Y122" i="166"/>
  <c r="S122" i="166"/>
  <c r="M122" i="166"/>
  <c r="G122" i="166"/>
  <c r="Y121" i="166"/>
  <c r="S121" i="166"/>
  <c r="M121" i="166"/>
  <c r="G121" i="166"/>
  <c r="Y120" i="166"/>
  <c r="S120" i="166"/>
  <c r="M120" i="166"/>
  <c r="G120" i="166"/>
  <c r="Y119" i="166"/>
  <c r="S119" i="166"/>
  <c r="M119" i="166"/>
  <c r="G119" i="166"/>
  <c r="Y118" i="166"/>
  <c r="S118" i="166"/>
  <c r="M118" i="166"/>
  <c r="G118" i="166"/>
  <c r="Y117" i="166"/>
  <c r="S117" i="166"/>
  <c r="M117" i="166"/>
  <c r="G117" i="166"/>
  <c r="M116" i="166"/>
  <c r="G116" i="166"/>
  <c r="M115" i="166"/>
  <c r="G115" i="166"/>
  <c r="M114" i="166"/>
  <c r="G114" i="166"/>
  <c r="M113" i="166"/>
  <c r="G113" i="166"/>
  <c r="M112" i="166"/>
  <c r="G112" i="166"/>
  <c r="M111" i="166"/>
  <c r="G111" i="166"/>
  <c r="M110" i="166"/>
  <c r="G110" i="166"/>
  <c r="M109" i="166"/>
  <c r="G109" i="166"/>
  <c r="M108" i="166"/>
  <c r="G108" i="166"/>
  <c r="M107" i="166"/>
  <c r="G107" i="166"/>
  <c r="AE106" i="166"/>
  <c r="Y106" i="166"/>
  <c r="S106" i="166"/>
  <c r="M106" i="166"/>
  <c r="G106" i="166"/>
  <c r="AE105" i="166"/>
  <c r="Y105" i="166"/>
  <c r="S105" i="166"/>
  <c r="M105" i="166"/>
  <c r="G105" i="166"/>
  <c r="S104" i="166"/>
  <c r="M104" i="166"/>
  <c r="G104" i="166"/>
  <c r="AE103" i="166"/>
  <c r="Y103" i="166"/>
  <c r="S103" i="166"/>
  <c r="M103" i="166"/>
  <c r="G103" i="166"/>
  <c r="AE102" i="166"/>
  <c r="Y102" i="166"/>
  <c r="S102" i="166"/>
  <c r="M102" i="166"/>
  <c r="G102" i="166"/>
  <c r="AE101" i="166"/>
  <c r="Y101" i="166"/>
  <c r="S101" i="166"/>
  <c r="M101" i="166"/>
  <c r="G101" i="166"/>
  <c r="AE100" i="166"/>
  <c r="Y100" i="166"/>
  <c r="S100" i="166"/>
  <c r="M100" i="166"/>
  <c r="G100" i="166"/>
  <c r="AE99" i="166"/>
  <c r="Y99" i="166"/>
  <c r="S99" i="166"/>
  <c r="M99" i="166"/>
  <c r="G99" i="166"/>
  <c r="AE98" i="166"/>
  <c r="Y98" i="166"/>
  <c r="S98" i="166"/>
  <c r="M98" i="166"/>
  <c r="G98" i="166"/>
  <c r="AE97" i="166"/>
  <c r="Y97" i="166"/>
  <c r="S97" i="166"/>
  <c r="M97" i="166"/>
  <c r="G97" i="166"/>
  <c r="AE96" i="166"/>
  <c r="Y96" i="166"/>
  <c r="S96" i="166"/>
  <c r="M96" i="166"/>
  <c r="G96" i="166"/>
  <c r="AE95" i="166"/>
  <c r="Y95" i="166"/>
  <c r="S95" i="166"/>
  <c r="M95" i="166"/>
  <c r="G95" i="166"/>
  <c r="AE94" i="166"/>
  <c r="Y94" i="166"/>
  <c r="S94" i="166"/>
  <c r="M94" i="166"/>
  <c r="G94" i="166"/>
  <c r="AE93" i="166"/>
  <c r="Y93" i="166"/>
  <c r="S93" i="166"/>
  <c r="M93" i="166"/>
  <c r="G93" i="166"/>
  <c r="AE92" i="166"/>
  <c r="Y92" i="166"/>
  <c r="S92" i="166"/>
  <c r="M92" i="166"/>
  <c r="G92" i="166"/>
  <c r="AE91" i="166"/>
  <c r="Y91" i="166"/>
  <c r="S91" i="166"/>
  <c r="M91" i="166"/>
  <c r="G91" i="166"/>
  <c r="AE90" i="166"/>
  <c r="Y90" i="166"/>
  <c r="S90" i="166"/>
  <c r="M90" i="166"/>
  <c r="G90" i="166"/>
  <c r="AE89" i="166"/>
  <c r="Y89" i="166"/>
  <c r="S89" i="166"/>
  <c r="M89" i="166"/>
  <c r="G89" i="166"/>
  <c r="AE88" i="166"/>
  <c r="Y88" i="166"/>
  <c r="S88" i="166"/>
  <c r="M88" i="166"/>
  <c r="G88" i="166"/>
  <c r="AE87" i="166"/>
  <c r="Y87" i="166"/>
  <c r="S87" i="166"/>
  <c r="M87" i="166"/>
  <c r="G87" i="166"/>
  <c r="AE86" i="166"/>
  <c r="Y86" i="166"/>
  <c r="S86" i="166"/>
  <c r="M86" i="166"/>
  <c r="G86" i="166"/>
  <c r="AE85" i="166"/>
  <c r="Y85" i="166"/>
  <c r="S85" i="166"/>
  <c r="M85" i="166"/>
  <c r="G85" i="166"/>
  <c r="AE84" i="166"/>
  <c r="Y84" i="166"/>
  <c r="S84" i="166"/>
  <c r="M84" i="166"/>
  <c r="G84" i="166"/>
  <c r="AE83" i="166"/>
  <c r="Y83" i="166"/>
  <c r="S83" i="166"/>
  <c r="M83" i="166"/>
  <c r="G83" i="166"/>
  <c r="AE82" i="166"/>
  <c r="Y82" i="166"/>
  <c r="S82" i="166"/>
  <c r="M82" i="166"/>
  <c r="G82" i="166"/>
  <c r="AE81" i="166"/>
  <c r="Y81" i="166"/>
  <c r="S81" i="166"/>
  <c r="M81" i="166"/>
  <c r="G81" i="166"/>
  <c r="AE80" i="166"/>
  <c r="Y80" i="166"/>
  <c r="S80" i="166"/>
  <c r="M80" i="166"/>
  <c r="G80" i="166"/>
  <c r="AE79" i="166"/>
  <c r="Y79" i="166"/>
  <c r="S79" i="166"/>
  <c r="M79" i="166"/>
  <c r="G79" i="166"/>
  <c r="AE78" i="166"/>
  <c r="Y78" i="166"/>
  <c r="S78" i="166"/>
  <c r="M78" i="166"/>
  <c r="G78" i="166"/>
  <c r="AE77" i="166"/>
  <c r="Y77" i="166"/>
  <c r="S77" i="166"/>
  <c r="M77" i="166"/>
  <c r="G77" i="166"/>
  <c r="AE76" i="166"/>
  <c r="Y76" i="166"/>
  <c r="S76" i="166"/>
  <c r="M76" i="166"/>
  <c r="G76" i="166"/>
  <c r="AE75" i="166"/>
  <c r="Y75" i="166"/>
  <c r="S75" i="166"/>
  <c r="M75" i="166"/>
  <c r="G75" i="166"/>
  <c r="AE74" i="166"/>
  <c r="Y74" i="166"/>
  <c r="S74" i="166"/>
  <c r="M74" i="166"/>
  <c r="G74" i="166"/>
  <c r="AE73" i="166"/>
  <c r="Y73" i="166"/>
  <c r="S73" i="166"/>
  <c r="M73" i="166"/>
  <c r="G73" i="166"/>
  <c r="AE72" i="166"/>
  <c r="Y72" i="166"/>
  <c r="S72" i="166"/>
  <c r="M72" i="166"/>
  <c r="G72" i="166"/>
  <c r="M71" i="166"/>
  <c r="G71" i="166"/>
  <c r="M70" i="166"/>
  <c r="G70" i="166"/>
  <c r="M69" i="166"/>
  <c r="G69" i="166"/>
  <c r="M68" i="166"/>
  <c r="G68" i="166"/>
  <c r="M67" i="166"/>
  <c r="G67" i="166"/>
  <c r="M66" i="166"/>
  <c r="G66" i="166"/>
  <c r="AE65" i="166"/>
  <c r="Y65" i="166"/>
  <c r="S65" i="166"/>
  <c r="M65" i="166"/>
  <c r="G65" i="166"/>
  <c r="AE64" i="166"/>
  <c r="Y64" i="166"/>
  <c r="S64" i="166"/>
  <c r="M64" i="166"/>
  <c r="G64" i="166"/>
  <c r="AE63" i="166"/>
  <c r="Y63" i="166"/>
  <c r="S63" i="166"/>
  <c r="M63" i="166"/>
  <c r="G63" i="166"/>
  <c r="AE62" i="166"/>
  <c r="Y62" i="166"/>
  <c r="S62" i="166"/>
  <c r="M62" i="166"/>
  <c r="G62" i="166"/>
  <c r="AE61" i="166"/>
  <c r="Y61" i="166"/>
  <c r="S61" i="166"/>
  <c r="M61" i="166"/>
  <c r="G61" i="166"/>
  <c r="AE60" i="166"/>
  <c r="Y60" i="166"/>
  <c r="S60" i="166"/>
  <c r="M60" i="166"/>
  <c r="G60" i="166"/>
  <c r="AE59" i="166"/>
  <c r="Y59" i="166"/>
  <c r="S59" i="166"/>
  <c r="M59" i="166"/>
  <c r="G59" i="166"/>
  <c r="AE58" i="166"/>
  <c r="Y58" i="166"/>
  <c r="S58" i="166"/>
  <c r="M58" i="166"/>
  <c r="G58" i="166"/>
  <c r="AE57" i="166"/>
  <c r="Y57" i="166"/>
  <c r="S57" i="166"/>
  <c r="M57" i="166"/>
  <c r="G57" i="166"/>
  <c r="AE56" i="166"/>
  <c r="Y56" i="166"/>
  <c r="S56" i="166"/>
  <c r="M56" i="166"/>
  <c r="G56" i="166"/>
  <c r="AE55" i="166"/>
  <c r="Y55" i="166"/>
  <c r="S55" i="166"/>
  <c r="M55" i="166"/>
  <c r="G55" i="166"/>
  <c r="AE54" i="166"/>
  <c r="Y54" i="166"/>
  <c r="S54" i="166"/>
  <c r="M54" i="166"/>
  <c r="G54" i="166"/>
  <c r="AE53" i="166"/>
  <c r="Y53" i="166"/>
  <c r="S53" i="166"/>
  <c r="M53" i="166"/>
  <c r="G53" i="166"/>
  <c r="AE52" i="166"/>
  <c r="Y52" i="166"/>
  <c r="S52" i="166"/>
  <c r="M52" i="166"/>
  <c r="G52" i="166"/>
  <c r="AE51" i="166"/>
  <c r="Y51" i="166"/>
  <c r="S51" i="166"/>
  <c r="M51" i="166"/>
  <c r="G51" i="166"/>
  <c r="AE50" i="166"/>
  <c r="Y50" i="166"/>
  <c r="S50" i="166"/>
  <c r="M50" i="166"/>
  <c r="G50" i="166"/>
  <c r="AE49" i="166"/>
  <c r="Y49" i="166"/>
  <c r="S49" i="166"/>
  <c r="M49" i="166"/>
  <c r="G49" i="166"/>
  <c r="AE48" i="166"/>
  <c r="Y48" i="166"/>
  <c r="S48" i="166"/>
  <c r="M48" i="166"/>
  <c r="G48" i="166"/>
  <c r="AE47" i="166"/>
  <c r="Y47" i="166"/>
  <c r="S47" i="166"/>
  <c r="M47" i="166"/>
  <c r="G47" i="166"/>
  <c r="AE46" i="166"/>
  <c r="Y46" i="166"/>
  <c r="S46" i="166"/>
  <c r="M46" i="166"/>
  <c r="G46" i="166"/>
  <c r="AE45" i="166"/>
  <c r="Y45" i="166"/>
  <c r="S45" i="166"/>
  <c r="M45" i="166"/>
  <c r="G45" i="166"/>
  <c r="AE44" i="166"/>
  <c r="Y44" i="166"/>
  <c r="S44" i="166"/>
  <c r="M44" i="166"/>
  <c r="G44" i="166"/>
  <c r="AE43" i="166"/>
  <c r="Y43" i="166"/>
  <c r="S43" i="166"/>
  <c r="M43" i="166"/>
  <c r="G43" i="166"/>
  <c r="AE42" i="166"/>
  <c r="Y42" i="166"/>
  <c r="S42" i="166"/>
  <c r="M42" i="166"/>
  <c r="G42" i="166"/>
  <c r="AE41" i="166"/>
  <c r="Y41" i="166"/>
  <c r="S41" i="166"/>
  <c r="M41" i="166"/>
  <c r="G41" i="166"/>
  <c r="AE40" i="166"/>
  <c r="Y40" i="166"/>
  <c r="S40" i="166"/>
  <c r="M40" i="166"/>
  <c r="G40" i="166"/>
  <c r="AE39" i="166"/>
  <c r="Y39" i="166"/>
  <c r="S39" i="166"/>
  <c r="M39" i="166"/>
  <c r="G39" i="166"/>
  <c r="AE38" i="166"/>
  <c r="Y38" i="166"/>
  <c r="S38" i="166"/>
  <c r="M38" i="166"/>
  <c r="G38" i="166"/>
  <c r="AE37" i="166"/>
  <c r="Y37" i="166"/>
  <c r="S37" i="166"/>
  <c r="M37" i="166"/>
  <c r="G37" i="166"/>
  <c r="AE36" i="166"/>
  <c r="Y36" i="166"/>
  <c r="S36" i="166"/>
  <c r="M36" i="166"/>
  <c r="G36" i="166"/>
  <c r="AE35" i="166"/>
  <c r="Y35" i="166"/>
  <c r="S35" i="166"/>
  <c r="M35" i="166"/>
  <c r="G35" i="166"/>
  <c r="AE34" i="166"/>
  <c r="Y34" i="166"/>
  <c r="S34" i="166"/>
  <c r="M34" i="166"/>
  <c r="G34" i="166"/>
  <c r="AE33" i="166"/>
  <c r="Y33" i="166"/>
  <c r="S33" i="166"/>
  <c r="M33" i="166"/>
  <c r="G33" i="166"/>
  <c r="AE32" i="166"/>
  <c r="Y32" i="166"/>
  <c r="S32" i="166"/>
  <c r="M32" i="166"/>
  <c r="G32" i="166"/>
  <c r="AE31" i="166"/>
  <c r="Y31" i="166"/>
  <c r="S31" i="166"/>
  <c r="M31" i="166"/>
  <c r="G31" i="166"/>
  <c r="AE30" i="166"/>
  <c r="Y30" i="166"/>
  <c r="S30" i="166"/>
  <c r="M30" i="166"/>
  <c r="G30" i="166"/>
  <c r="AE29" i="166"/>
  <c r="Y29" i="166"/>
  <c r="S29" i="166"/>
  <c r="M29" i="166"/>
  <c r="G29" i="166"/>
  <c r="AE28" i="166"/>
  <c r="Y28" i="166"/>
  <c r="S28" i="166"/>
  <c r="M28" i="166"/>
  <c r="G28" i="166"/>
  <c r="AE27" i="166"/>
  <c r="Y27" i="166"/>
  <c r="S27" i="166"/>
  <c r="M27" i="166"/>
  <c r="G27" i="166"/>
  <c r="AE26" i="166"/>
  <c r="Y26" i="166"/>
  <c r="S26" i="166"/>
  <c r="M26" i="166"/>
  <c r="G26" i="166"/>
  <c r="AE25" i="166"/>
  <c r="Y25" i="166"/>
  <c r="S25" i="166"/>
  <c r="M25" i="166"/>
  <c r="G25" i="166"/>
  <c r="AE24" i="166"/>
  <c r="Y24" i="166"/>
  <c r="S24" i="166"/>
  <c r="M24" i="166"/>
  <c r="G24" i="166"/>
  <c r="AE23" i="166"/>
  <c r="Y23" i="166"/>
  <c r="S23" i="166"/>
  <c r="M23" i="166"/>
  <c r="G23" i="166"/>
  <c r="AE22" i="166"/>
  <c r="Y22" i="166"/>
  <c r="S22" i="166"/>
  <c r="M22" i="166"/>
  <c r="G22" i="166"/>
  <c r="AE21" i="166"/>
  <c r="Y21" i="166"/>
  <c r="S21" i="166"/>
  <c r="M21" i="166"/>
  <c r="G21" i="166"/>
  <c r="AE20" i="166"/>
  <c r="Y20" i="166"/>
  <c r="S20" i="166"/>
  <c r="M20" i="166"/>
  <c r="G20" i="166"/>
  <c r="AE19" i="166"/>
  <c r="Y19" i="166"/>
  <c r="S19" i="166"/>
  <c r="M19" i="166"/>
  <c r="G19" i="166"/>
  <c r="AE18" i="166"/>
  <c r="Y18" i="166"/>
  <c r="S18" i="166"/>
  <c r="M18" i="166"/>
  <c r="G18" i="166"/>
  <c r="AE17" i="166"/>
  <c r="Y17" i="166"/>
  <c r="S17" i="166"/>
  <c r="M17" i="166"/>
  <c r="G17" i="166"/>
  <c r="AE16" i="166"/>
  <c r="Y16" i="166"/>
  <c r="S16" i="166"/>
  <c r="M16" i="166"/>
  <c r="G16" i="166"/>
  <c r="AE15" i="166"/>
  <c r="Y15" i="166"/>
  <c r="S15" i="166"/>
  <c r="M15" i="166"/>
  <c r="G15" i="166"/>
  <c r="AE14" i="166"/>
  <c r="Y14" i="166"/>
  <c r="S14" i="166"/>
  <c r="M14" i="166"/>
  <c r="G14" i="166"/>
  <c r="AE13" i="166"/>
  <c r="Y13" i="166"/>
  <c r="S13" i="166"/>
  <c r="M13" i="166"/>
  <c r="G13" i="166"/>
  <c r="AE12" i="166"/>
  <c r="Y12" i="166"/>
  <c r="S12" i="166"/>
  <c r="M12" i="166"/>
  <c r="G12" i="166"/>
  <c r="AE11" i="166"/>
  <c r="Y11" i="166"/>
  <c r="S11" i="166"/>
  <c r="M11" i="166"/>
  <c r="G11" i="166"/>
  <c r="AE10" i="166"/>
  <c r="Y10" i="166"/>
  <c r="S10" i="166"/>
  <c r="M10" i="166"/>
  <c r="G10" i="166"/>
  <c r="AE9" i="166"/>
  <c r="Y9" i="166"/>
  <c r="S9" i="166"/>
  <c r="M9" i="166"/>
  <c r="G9" i="166"/>
  <c r="AE8" i="166"/>
  <c r="Y8" i="166"/>
  <c r="S8" i="166"/>
  <c r="M8" i="166"/>
  <c r="G8" i="166"/>
  <c r="AE7" i="166"/>
  <c r="Y7" i="166"/>
  <c r="S7" i="166"/>
  <c r="M7" i="166"/>
  <c r="G7" i="166"/>
  <c r="AE6" i="166"/>
  <c r="Y6" i="166"/>
  <c r="S6" i="166"/>
  <c r="M6" i="166"/>
  <c r="G6" i="166"/>
  <c r="AE5" i="166"/>
  <c r="Y5" i="166"/>
  <c r="S5" i="166"/>
  <c r="M5" i="166"/>
  <c r="G5" i="166"/>
  <c r="AE4" i="166"/>
  <c r="Y4" i="166"/>
  <c r="S4" i="166"/>
  <c r="M4" i="166"/>
  <c r="G4" i="166"/>
  <c r="J25" i="183"/>
  <c r="D25" i="183"/>
  <c r="J24" i="183"/>
  <c r="D24" i="183"/>
  <c r="J23" i="183"/>
  <c r="D23" i="183"/>
  <c r="J22" i="183"/>
  <c r="D22" i="183"/>
  <c r="J21" i="183"/>
  <c r="D21" i="183"/>
  <c r="J20" i="183"/>
  <c r="D20" i="183"/>
  <c r="J19" i="183"/>
  <c r="D19" i="183"/>
  <c r="J18" i="183"/>
  <c r="D18" i="183"/>
  <c r="J17" i="183"/>
  <c r="D17" i="183"/>
  <c r="J16" i="183"/>
  <c r="D16" i="183"/>
  <c r="J15" i="183"/>
  <c r="D15" i="183"/>
  <c r="J14" i="183"/>
  <c r="D14" i="183"/>
  <c r="J13" i="183"/>
  <c r="D13" i="183"/>
  <c r="J12" i="183"/>
  <c r="D12" i="183"/>
  <c r="J11" i="183"/>
  <c r="D11" i="183"/>
  <c r="J10" i="183"/>
  <c r="D10" i="183"/>
  <c r="J9" i="183"/>
  <c r="D9" i="183"/>
  <c r="J8" i="183"/>
  <c r="D8" i="183"/>
  <c r="J7" i="183"/>
  <c r="D7" i="183"/>
  <c r="J6" i="183"/>
  <c r="D6" i="183"/>
  <c r="J5" i="183"/>
  <c r="D5" i="183"/>
  <c r="J4" i="183"/>
  <c r="D4" i="1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tugame</author>
  </authors>
  <commentList>
    <comment ref="B1" authorId="0" shapeId="0" xr:uid="{00000000-0006-0000-0100-000001000000}">
      <text>
        <r>
          <rPr>
            <sz val="18"/>
            <rFont val="方正书宋_GBK"/>
            <charset val="134"/>
          </rPr>
          <t>若要修改鱼名，复制对应的ID，去multiLangText.xlsx表中查找并修改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I3" authorId="0" shapeId="0" xr:uid="{00000000-0006-0000-0300-000001000000}">
      <text>
        <r>
          <rPr>
            <b/>
            <sz val="11"/>
            <rFont val="黑体"/>
            <family val="3"/>
            <charset val="134"/>
          </rPr>
          <t>0:无具体数值
1:数字
2:百分比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tugame</author>
  </authors>
  <commentList>
    <comment ref="F3" authorId="0" shapeId="0" xr:uid="{00000000-0006-0000-0900-000001000000}">
      <text>
        <r>
          <rPr>
            <sz val="18"/>
            <rFont val="方正书宋_GBK"/>
            <charset val="134"/>
          </rPr>
          <t>box,octopus,queen,dragon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E3" authorId="0" shapeId="0" xr:uid="{00000000-0006-0000-0B00-000001000000}">
      <text>
        <r>
          <rPr>
            <b/>
            <sz val="11"/>
            <rFont val="MS PGothic"/>
            <family val="2"/>
            <charset val="128"/>
          </rPr>
          <t>0：无限制
1：VIP等级
2：称号ID
3：火炮等级</t>
        </r>
      </text>
    </comment>
    <comment ref="G3" authorId="0" shapeId="0" xr:uid="{00000000-0006-0000-0B00-000002000000}">
      <text>
        <r>
          <rPr>
            <b/>
            <sz val="11"/>
            <rFont val="MS PGothic"/>
            <family val="2"/>
            <charset val="128"/>
          </rPr>
          <t>0：无限制
1：VIP等级
2：称号ID
3：火炮等级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zw</author>
  </authors>
  <commentList>
    <comment ref="D3" authorId="0" shapeId="0" xr:uid="{00000000-0006-0000-1300-000001000000}">
      <text>
        <r>
          <rPr>
            <sz val="9"/>
            <rFont val="方正书宋_GBK"/>
            <charset val="134"/>
          </rPr>
          <t>1、小鱼
2、中鱼
3、大鱼
4、黄金鱼
5、倍率鱼</t>
        </r>
      </text>
    </comment>
    <comment ref="E3" authorId="0" shapeId="0" xr:uid="{00000000-0006-0000-1300-000002000000}">
      <text>
        <r>
          <rPr>
            <sz val="9"/>
            <rFont val="方正书宋_GBK"/>
            <charset val="134"/>
          </rPr>
          <t>1、不随机
2、权重随机</t>
        </r>
      </text>
    </comment>
    <comment ref="D246" authorId="0" shapeId="0" xr:uid="{00000000-0006-0000-1300-000003000000}">
      <text>
        <r>
          <rPr>
            <sz val="9"/>
            <rFont val="方正书宋_GBK"/>
            <charset val="134"/>
          </rPr>
          <t>1、小鱼
2、中鱼
3、大鱼
4、黄金鱼
5、倍率鱼</t>
        </r>
      </text>
    </comment>
    <comment ref="E246" authorId="0" shapeId="0" xr:uid="{00000000-0006-0000-1300-000004000000}">
      <text>
        <r>
          <rPr>
            <sz val="9"/>
            <rFont val="方正书宋_GBK"/>
            <charset val="134"/>
          </rPr>
          <t>1、不随机
2、权重随机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lingyun</author>
  </authors>
  <commentList>
    <comment ref="F3" authorId="0" shapeId="0" xr:uid="{00000000-0006-0000-1400-000001000000}">
      <text>
        <r>
          <rPr>
            <b/>
            <sz val="9"/>
            <rFont val="宋体"/>
            <family val="3"/>
            <charset val="134"/>
          </rPr>
          <t>lingyun:</t>
        </r>
        <r>
          <rPr>
            <sz val="9"/>
            <rFont val="宋体"/>
            <family val="3"/>
            <charset val="134"/>
          </rPr>
          <t xml:space="preserve">
1 - 捕获%d条%s
2 - 捕获%d条鱼
3 - 获得%d积分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Hao Xian</author>
  </authors>
  <commentList>
    <comment ref="D1" authorId="0" shapeId="0" xr:uid="{00000000-0006-0000-1D00-000001000000}">
      <text>
        <r>
          <rPr>
            <b/>
            <sz val="10"/>
            <rFont val="Verdana"/>
            <family val="2"/>
          </rPr>
          <t>Hao Xian:</t>
        </r>
        <r>
          <rPr>
            <sz val="10"/>
            <rFont val="Verdana"/>
            <family val="2"/>
          </rPr>
          <t xml:space="preserve">
</t>
        </r>
        <r>
          <rPr>
            <sz val="10"/>
            <rFont val="宋体"/>
            <family val="3"/>
            <charset val="134"/>
          </rPr>
          <t>冷却时间减少的百分比</t>
        </r>
      </text>
    </comment>
  </commentList>
</comments>
</file>

<file path=xl/sharedStrings.xml><?xml version="1.0" encoding="utf-8"?>
<sst xmlns="http://schemas.openxmlformats.org/spreadsheetml/2006/main" count="5495" uniqueCount="1312">
  <si>
    <t>名称</t>
  </si>
  <si>
    <t>货币ID</t>
  </si>
  <si>
    <t>首位</t>
  </si>
  <si>
    <t>二位</t>
  </si>
  <si>
    <t>三位</t>
  </si>
  <si>
    <t>后2位</t>
  </si>
  <si>
    <t>金币</t>
  </si>
  <si>
    <t>鱼</t>
  </si>
  <si>
    <t>类型</t>
  </si>
  <si>
    <t>编号</t>
  </si>
  <si>
    <t>钻石</t>
  </si>
  <si>
    <t>武器</t>
  </si>
  <si>
    <t>奖券</t>
  </si>
  <si>
    <t>宝箱</t>
  </si>
  <si>
    <t>星级</t>
  </si>
  <si>
    <t>类别</t>
  </si>
  <si>
    <t>掉落</t>
  </si>
  <si>
    <t>技能</t>
  </si>
  <si>
    <t>任务</t>
  </si>
  <si>
    <t>所属房间</t>
  </si>
  <si>
    <t>礼包</t>
  </si>
  <si>
    <t>称号</t>
  </si>
  <si>
    <t>比赛*</t>
  </si>
  <si>
    <t>商品</t>
  </si>
  <si>
    <t>表情</t>
  </si>
  <si>
    <t>index</t>
  </si>
  <si>
    <t>name</t>
  </si>
  <si>
    <t>fishType</t>
  </si>
  <si>
    <t>type</t>
  </si>
  <si>
    <t>itemId</t>
  </si>
  <si>
    <t>score</t>
  </si>
  <si>
    <t>probb1</t>
  </si>
  <si>
    <t>probb2</t>
  </si>
  <si>
    <t>HP</t>
  </si>
  <si>
    <t>value</t>
  </si>
  <si>
    <t>desc</t>
  </si>
  <si>
    <t>weaponId</t>
  </si>
  <si>
    <t>prizeWheelValue</t>
  </si>
  <si>
    <t>triggerRate</t>
  </si>
  <si>
    <t>int</t>
  </si>
  <si>
    <t>string</t>
  </si>
  <si>
    <t>float</t>
  </si>
  <si>
    <t>鱼类型索引</t>
  </si>
  <si>
    <t>鱼名ID</t>
  </si>
  <si>
    <t>鱼种名</t>
  </si>
  <si>
    <t>鱼种ID</t>
  </si>
  <si>
    <t>鱼种类别</t>
  </si>
  <si>
    <t>捕获必掉道具ID</t>
  </si>
  <si>
    <t>分值</t>
  </si>
  <si>
    <t>无HP时概率基数</t>
  </si>
  <si>
    <t>有HP时概率基数</t>
  </si>
  <si>
    <t>生命</t>
  </si>
  <si>
    <t>实际价值</t>
  </si>
  <si>
    <t>描述</t>
  </si>
  <si>
    <t>武器Id</t>
  </si>
  <si>
    <t>积攒价值</t>
  </si>
  <si>
    <t>触发几率(10000)</t>
  </si>
  <si>
    <t>ID_CONFIG_FISH_NAME_11001</t>
  </si>
  <si>
    <t>小黄鱼</t>
  </si>
  <si>
    <t>ID_CONFIG_FISH_NAME_11002</t>
  </si>
  <si>
    <t>金枪鱼</t>
  </si>
  <si>
    <t>ID_CONFIG_FISH_NAME_11003</t>
  </si>
  <si>
    <t>小丑鱼</t>
  </si>
  <si>
    <t>ID_CONFIG_FISH_NAME_11004</t>
  </si>
  <si>
    <t>神仙鱼</t>
  </si>
  <si>
    <t>ID_CONFIG_FISH_NAME_11005</t>
  </si>
  <si>
    <t>蓝藻鱼</t>
  </si>
  <si>
    <t>ID_CONFIG_FISH_NAME_11006</t>
  </si>
  <si>
    <t>红鹦鹉鱼</t>
  </si>
  <si>
    <t>ID_CONFIG_FISH_NAME_11007</t>
  </si>
  <si>
    <t>月光鱼</t>
  </si>
  <si>
    <t>ID_CONFIG_FISH_NAME_11008</t>
  </si>
  <si>
    <t>小飞鱼</t>
  </si>
  <si>
    <t>ID_CONFIG_FISH_NAME_11009</t>
  </si>
  <si>
    <t>孔雀鱼</t>
  </si>
  <si>
    <t>ID_CONFIG_FISH_NAME_11085</t>
  </si>
  <si>
    <t>红杉鱼</t>
  </si>
  <si>
    <t>ID_CONFIG_FISH_NAME_11010</t>
  </si>
  <si>
    <t>海龟</t>
  </si>
  <si>
    <t>ID_CONFIG_FISH_NAME_11011</t>
  </si>
  <si>
    <t>河豚</t>
  </si>
  <si>
    <t>ID_CONFIG_FISH_NAME_11012</t>
  </si>
  <si>
    <t>水母</t>
  </si>
  <si>
    <t>ID_CONFIG_FISH_NAME_11013</t>
  </si>
  <si>
    <t>蝙蝠鱼</t>
  </si>
  <si>
    <t>ID_CONFIG_FISH_NAME_33075</t>
  </si>
  <si>
    <t>绿鳍鱼</t>
  </si>
  <si>
    <t>ID_CONFIG_FISH_NAME_11015</t>
  </si>
  <si>
    <t>狮子鱼</t>
  </si>
  <si>
    <t>ID_CONFIG_FISH_NAME_11016</t>
  </si>
  <si>
    <t>灯笼鱼</t>
  </si>
  <si>
    <t>ID_CONFIG_FISH_NAME_11017</t>
  </si>
  <si>
    <t>剑鱼</t>
  </si>
  <si>
    <t>ID_CONFIG_FISH_NAME_11020</t>
  </si>
  <si>
    <t>海豚</t>
  </si>
  <si>
    <t>ID_CONFIG_FISH_NAME_11024</t>
  </si>
  <si>
    <t>双髻鲨</t>
  </si>
  <si>
    <t>ID_CONFIG_FISH_NAME_11090</t>
  </si>
  <si>
    <t>鳄鱼</t>
  </si>
  <si>
    <t>ID_CONFIG_FISH_NAME_11025</t>
  </si>
  <si>
    <t>大白鲨</t>
  </si>
  <si>
    <t>ID_CONFIG_FISH_NAME_11211</t>
  </si>
  <si>
    <t>透明鲨</t>
  </si>
  <si>
    <t>ID_CONFIG_FISH_NAME_12028</t>
  </si>
  <si>
    <t>小冰龙</t>
  </si>
  <si>
    <t>ID_CONFIG_FISH_NAME_12032</t>
  </si>
  <si>
    <t>章鱼伯爵</t>
  </si>
  <si>
    <t>ID_CONFIG_FISH_NAME_25031</t>
  </si>
  <si>
    <t>小龙女</t>
  </si>
  <si>
    <t>ID_CONFIG_FISH_NAME_12213</t>
  </si>
  <si>
    <t>独角鲸</t>
  </si>
  <si>
    <t>ID_CONFIG_FISH_NAME_79232</t>
  </si>
  <si>
    <t>财宝螃蟹</t>
  </si>
  <si>
    <t>ID_CONFIG_FISH_NAME_79233</t>
  </si>
  <si>
    <t>深渊螃蟹</t>
  </si>
  <si>
    <t>ID_CONFIG_FISH_NAME_79234</t>
  </si>
  <si>
    <t>麒麟</t>
  </si>
  <si>
    <t>倍率孔雀鱼</t>
  </si>
  <si>
    <t>倍率河豚</t>
  </si>
  <si>
    <t>倍率蝙蝠鱼</t>
  </si>
  <si>
    <t>倍率狮子鱼</t>
  </si>
  <si>
    <t>倍率海豚</t>
  </si>
  <si>
    <t>倍率双髻鲨</t>
  </si>
  <si>
    <t>倍率白鲨</t>
  </si>
  <si>
    <t>倍率绿鳍鱼</t>
  </si>
  <si>
    <t>倍率鳄鱼</t>
  </si>
  <si>
    <t>ID_CONFIG_FISH_NAME_15033</t>
  </si>
  <si>
    <t>0.01奖券</t>
  </si>
  <si>
    <t>奖券x1</t>
  </si>
  <si>
    <t>ID_CONFIG_FISH_NAME_15034</t>
  </si>
  <si>
    <t>0.05奖券</t>
  </si>
  <si>
    <t>奖券x5</t>
  </si>
  <si>
    <t>ID_CONFIG_FISH_NAME_15035</t>
  </si>
  <si>
    <t>0.10奖券</t>
  </si>
  <si>
    <t>奖券x10</t>
  </si>
  <si>
    <t>ID_CONFIG_FISH_NAME_15036</t>
  </si>
  <si>
    <t>0.40奖券</t>
  </si>
  <si>
    <t>奖券x40</t>
  </si>
  <si>
    <t>ID_CONFIG_FISH_NAME_15037</t>
  </si>
  <si>
    <t>1.00奖券</t>
  </si>
  <si>
    <t>奖券x100</t>
  </si>
  <si>
    <t>ID_CONFIG_FISH_NAME_15038</t>
  </si>
  <si>
    <t>2.00奖券</t>
  </si>
  <si>
    <t>奖券x200</t>
  </si>
  <si>
    <t>ID_CONFIG_FISH_NAME_15039</t>
  </si>
  <si>
    <t>3.00奖券</t>
  </si>
  <si>
    <t>奖券x300</t>
  </si>
  <si>
    <t>ID_CONFIG_FISH_NAME_15055</t>
  </si>
  <si>
    <t>10.00奖券</t>
  </si>
  <si>
    <t>奖券x1000</t>
  </si>
  <si>
    <t>ID_CONFIG_FISH_NAME_15056</t>
  </si>
  <si>
    <t>20.00奖券</t>
  </si>
  <si>
    <t>奖券x2000</t>
  </si>
  <si>
    <t>ID_CONFIG_FISH_NAME_15057</t>
  </si>
  <si>
    <t>50.00奖券</t>
  </si>
  <si>
    <t>奖券x5000</t>
  </si>
  <si>
    <t>ID_CONFIG_FISH_NAME_15058</t>
  </si>
  <si>
    <t>100.00奖券</t>
  </si>
  <si>
    <t>奖券x10000</t>
  </si>
  <si>
    <t>ID_CONFIG_FISH_NAME_15081</t>
  </si>
  <si>
    <t>5.00奖券</t>
  </si>
  <si>
    <t>奖券x500</t>
  </si>
  <si>
    <t>ID_CONFIG_FISH_NAME_15082</t>
  </si>
  <si>
    <t>30.00奖券</t>
  </si>
  <si>
    <t>奖券x3000</t>
  </si>
  <si>
    <t>ID_CONFIG_FISH_NAME_15115</t>
  </si>
  <si>
    <t>0.20奖券</t>
  </si>
  <si>
    <t>奖券x20</t>
  </si>
  <si>
    <t>新手场红包券</t>
  </si>
  <si>
    <t>0.1奖券</t>
  </si>
  <si>
    <t>10倍场红包券</t>
  </si>
  <si>
    <t>0.4奖券</t>
  </si>
  <si>
    <t>50倍场红包券</t>
  </si>
  <si>
    <t>1奖券</t>
  </si>
  <si>
    <t>200倍场红包券</t>
  </si>
  <si>
    <t>ID_CONFIG_FISH_NAME_16040</t>
  </si>
  <si>
    <t>炸弹鱼</t>
  </si>
  <si>
    <t>炸弹鱼v1</t>
  </si>
  <si>
    <t>ID_CONFIG_FISH_NAME_22041</t>
  </si>
  <si>
    <t>冰锥</t>
  </si>
  <si>
    <t>ID_CONFIG_FISH_NAME_23042</t>
  </si>
  <si>
    <t>捕鱼机器人</t>
  </si>
  <si>
    <t>ID_CONFIG_FISH_NAME_26043</t>
  </si>
  <si>
    <t>金币宝箱</t>
  </si>
  <si>
    <t>随机金币宝箱</t>
  </si>
  <si>
    <t>ID_CONFIG_FISH_NAME_27044</t>
  </si>
  <si>
    <t>1元微信红包</t>
  </si>
  <si>
    <t>ID_CONFIG_FISH_NAME_27080</t>
  </si>
  <si>
    <t>5奖券</t>
  </si>
  <si>
    <t>5元微信红包</t>
  </si>
  <si>
    <t>ID_CONFIG_FISH_NAME_27046</t>
  </si>
  <si>
    <t>10奖券</t>
  </si>
  <si>
    <t>10元微信红包</t>
  </si>
  <si>
    <t>ID_CONFIG_FISH_NAME_27047</t>
  </si>
  <si>
    <t>20奖券</t>
  </si>
  <si>
    <t>20元微信红包</t>
  </si>
  <si>
    <t>ID_CONFIG_FISH_NAME_27048</t>
  </si>
  <si>
    <t>50奖券</t>
  </si>
  <si>
    <t>50元微信红包</t>
  </si>
  <si>
    <t>ID_CONFIG_FISH_NAME_27049</t>
  </si>
  <si>
    <t>100奖券</t>
  </si>
  <si>
    <t>100元微信红包</t>
  </si>
  <si>
    <t>ID_CONFIG_FISH_NAME_28050</t>
  </si>
  <si>
    <t>海螺x1</t>
  </si>
  <si>
    <t>ID_CONFIG_FISH_NAME_28051</t>
  </si>
  <si>
    <t>海螺x3</t>
  </si>
  <si>
    <t>ID_CONFIG_FISH_NAME_28052</t>
  </si>
  <si>
    <t>海螺x10</t>
  </si>
  <si>
    <t>ID_CONFIG_FISH_NAME_28053</t>
  </si>
  <si>
    <t>海螺x30</t>
  </si>
  <si>
    <t>ID_CONFIG_FISH_NAME_28070</t>
  </si>
  <si>
    <t>海螺x100</t>
  </si>
  <si>
    <t>ID_CONFIG_FISH_NAME_28071</t>
  </si>
  <si>
    <t>海螺x300</t>
  </si>
  <si>
    <t>ID_CONFIG_FISH_NAME_28072</t>
  </si>
  <si>
    <t>海螺x400</t>
  </si>
  <si>
    <t>ID_CONFIG_FISH_NAME_28073</t>
  </si>
  <si>
    <t>海螺x1000</t>
  </si>
  <si>
    <t>ID_CONFIG_FISH_NAME_28116</t>
  </si>
  <si>
    <t>海螺x800</t>
  </si>
  <si>
    <t>ID_CONFIG_FISH_NAME_28117</t>
  </si>
  <si>
    <t>海螺x3000</t>
  </si>
  <si>
    <t>ID_CONFIG_FISH_NAME_29054</t>
  </si>
  <si>
    <t>随机奖品</t>
  </si>
  <si>
    <t>随机奖品鱼-场次1</t>
  </si>
  <si>
    <t>随机奖品鱼-场次2</t>
  </si>
  <si>
    <t>随机奖品鱼-场次3</t>
  </si>
  <si>
    <t>随机奖品鱼-场次4</t>
  </si>
  <si>
    <t>随机奖品鱼-场次5</t>
  </si>
  <si>
    <t>ID_CONFIG_FISH_NAME_30059</t>
  </si>
  <si>
    <t>10元话费卡</t>
  </si>
  <si>
    <t>话费x10</t>
  </si>
  <si>
    <t>ID_CONFIG_FISH_NAME_30060</t>
  </si>
  <si>
    <t>30元话费卡</t>
  </si>
  <si>
    <t>话费x30</t>
  </si>
  <si>
    <t>ID_CONFIG_FISH_NAME_30061</t>
  </si>
  <si>
    <t>100元话费卡</t>
  </si>
  <si>
    <t>话费x100</t>
  </si>
  <si>
    <t>ID_CONFIG_FISH_NAME_31062</t>
  </si>
  <si>
    <t>100元京东卡</t>
  </si>
  <si>
    <t>京东卡x100</t>
  </si>
  <si>
    <t>ID_CONFIG_FISH_NAME_32063</t>
  </si>
  <si>
    <t>海星x1</t>
  </si>
  <si>
    <t>ID_CONFIG_FISH_NAME_32064</t>
  </si>
  <si>
    <t>海星x5</t>
  </si>
  <si>
    <t>ID_CONFIG_FISH_NAME_32065</t>
  </si>
  <si>
    <t>海星x20</t>
  </si>
  <si>
    <t>ID_CONFIG_FISH_NAME_32066</t>
  </si>
  <si>
    <t>海星x50</t>
  </si>
  <si>
    <t>ID_CONFIG_FISH_NAME_33074</t>
  </si>
  <si>
    <t>金钱鱼</t>
  </si>
  <si>
    <t>招财模式金钱鱼</t>
  </si>
  <si>
    <t>招财模式绿鳍鱼</t>
  </si>
  <si>
    <t>ID_CONFIG_FISH_NAME_33076</t>
  </si>
  <si>
    <t>鸭嘴兽</t>
  </si>
  <si>
    <t>招财模式鸭嘴兽</t>
  </si>
  <si>
    <t>ID_CONFIG_FISH_NAME_34077</t>
  </si>
  <si>
    <t>黄金海马</t>
  </si>
  <si>
    <t>招财模式黄金海马(倍率鱼)</t>
  </si>
  <si>
    <t>ID_CONFIG_FISH_NAME_35027</t>
  </si>
  <si>
    <t>黄金白鲨</t>
  </si>
  <si>
    <t>青铜招财珠黄金白鲨</t>
  </si>
  <si>
    <t>ID_CONFIG_FISH_NAME_12030</t>
  </si>
  <si>
    <t>海龙兽</t>
  </si>
  <si>
    <t>青铜招财珠海龙兽</t>
  </si>
  <si>
    <t>青铜招财珠小龙女</t>
  </si>
  <si>
    <t>冰龙宝宝</t>
  </si>
  <si>
    <t>青铜招财珠冰龙宝宝</t>
  </si>
  <si>
    <t>招财模式小龙女(Boss)</t>
  </si>
  <si>
    <t>ID_CONFIG_FISH_NAME_36078</t>
  </si>
  <si>
    <t>海妖</t>
  </si>
  <si>
    <t>招财模式海妖(Boss)</t>
  </si>
  <si>
    <t>ID_CONFIG_FISH_NAME_37083</t>
  </si>
  <si>
    <t>Buff鱼</t>
  </si>
  <si>
    <t>[10000,10002]</t>
  </si>
  <si>
    <t>[10000,10001]</t>
  </si>
  <si>
    <t>ID_CONFIG_FISH_NAME_11091</t>
  </si>
  <si>
    <t>河马</t>
  </si>
  <si>
    <t>荧光鱼河马</t>
  </si>
  <si>
    <t>ID_CONFIG_FISH_NAME_58109</t>
  </si>
  <si>
    <t>分享奖券鱼</t>
  </si>
  <si>
    <t>全渔场分享奖券鱼奖券x10</t>
  </si>
  <si>
    <t>ID_CONFIG_FISH_NAME_60118</t>
  </si>
  <si>
    <t>电鳗</t>
  </si>
  <si>
    <t>电鳗1</t>
  </si>
  <si>
    <t>ID_CONFIG_FISH_NAME_65119</t>
  </si>
  <si>
    <t>钻头鱼</t>
  </si>
  <si>
    <t>钻头1</t>
  </si>
  <si>
    <t>ID_CONFIG_FISH_NAME_70122</t>
  </si>
  <si>
    <t>波塞冬</t>
  </si>
  <si>
    <t>海皇来袭模式波塞冬</t>
  </si>
  <si>
    <t>ID_CONFIG_FISH_NAME_71201</t>
  </si>
  <si>
    <t>宝箱宝宝</t>
  </si>
  <si>
    <t>ID_CONFIG_FISH_NAME_71202</t>
  </si>
  <si>
    <t>宝箱妈妈</t>
  </si>
  <si>
    <t>ID_CONFIG_FISH_NAME_71203</t>
  </si>
  <si>
    <t>宝箱爸爸</t>
  </si>
  <si>
    <t>ID_CONFIG_FISH_NAME_73204</t>
  </si>
  <si>
    <t>北海巨妖触手</t>
  </si>
  <si>
    <t>ID_CONFIG_FISH_NAME_73205</t>
  </si>
  <si>
    <t>戒指触手</t>
  </si>
  <si>
    <t>ID_CONFIG_FISH_NAME_73206</t>
  </si>
  <si>
    <t>皇冠触手</t>
  </si>
  <si>
    <t>ID_CONFIG_FISH_NAME_74207</t>
  </si>
  <si>
    <t>龙女王阶段2</t>
  </si>
  <si>
    <t>龙女王</t>
  </si>
  <si>
    <t>ID_CONFIG_FISH_NAME_74215</t>
  </si>
  <si>
    <t>龙女王阶段1</t>
  </si>
  <si>
    <t>龙女王护罩</t>
  </si>
  <si>
    <t>ID_CONFIG_FISH_NAME_75208</t>
  </si>
  <si>
    <t>远古寒龙阶段1</t>
  </si>
  <si>
    <t>ID_CONFIG_FISH_NAME_75216</t>
  </si>
  <si>
    <t>远古寒龙阶段2</t>
  </si>
  <si>
    <t>ID_CONFIG_FISH_NAME_75209</t>
  </si>
  <si>
    <t>远古龙蛋</t>
  </si>
  <si>
    <t>ID_CONFIG_FISH_NAME_75210</t>
  </si>
  <si>
    <t>寒龙幼崽</t>
  </si>
  <si>
    <t>ID_CONFIG_FISH_NAME_76217</t>
  </si>
  <si>
    <t>彩虹小飞鱼盘</t>
  </si>
  <si>
    <t>ID_CONFIG_FISH_NAME_76218</t>
  </si>
  <si>
    <t>彩虹孔雀鱼盘</t>
  </si>
  <si>
    <t>ID_CONFIG_FISH_NAME_76219</t>
  </si>
  <si>
    <t>彩虹河豚盘</t>
  </si>
  <si>
    <t>ID_CONFIG_FISH_NAME_76220</t>
  </si>
  <si>
    <t>彩虹绿鳍鱼盘</t>
  </si>
  <si>
    <t>ID_CONFIG_FISH_NAME_76221</t>
  </si>
  <si>
    <t>彩虹海龟盘</t>
  </si>
  <si>
    <t>ID_CONFIG_FISH_NAME_76222</t>
  </si>
  <si>
    <t>彩虹剑鱼盘</t>
  </si>
  <si>
    <t>ID_CONFIG_FISH_NAME_76223</t>
  </si>
  <si>
    <t>彩虹狮子鱼盘</t>
  </si>
  <si>
    <t>ID_CONFIG_FISH_NAME_76224</t>
  </si>
  <si>
    <t>彩虹蝙蝠鱼盘</t>
  </si>
  <si>
    <t>ID_CONFIG_FISH_NAME_76225</t>
  </si>
  <si>
    <t>彩虹灯笼鱼盘</t>
  </si>
  <si>
    <t>ID_CONFIG_FISH_NAME_76226</t>
  </si>
  <si>
    <t>彩虹双髻鲨盘</t>
  </si>
  <si>
    <t>ID_CONFIG_FISH_NAME_76227</t>
  </si>
  <si>
    <t>彩虹大白鲨盘</t>
  </si>
  <si>
    <t>ID_CONFIG_FISH_NAME_77228</t>
  </si>
  <si>
    <t>火神珠</t>
  </si>
  <si>
    <t>ID_CONFIG_FISH_NAME_78229</t>
  </si>
  <si>
    <t>三叉戟</t>
  </si>
  <si>
    <t>ID_CONFIG_FISH_NAME_79230</t>
  </si>
  <si>
    <t>金钱箱</t>
  </si>
  <si>
    <t>ID_CONFIG_FISH_NAME_11018</t>
  </si>
  <si>
    <t>黄金龟</t>
  </si>
  <si>
    <t>ID_CONFIG_FISH_NAME_11092</t>
  </si>
  <si>
    <t>黄金水母</t>
  </si>
  <si>
    <t>ID_CONFIG_FISH_NAME_11021</t>
  </si>
  <si>
    <t>金蝙蝠鱼</t>
  </si>
  <si>
    <t>ID_CONFIG_FISH_NAME_11026</t>
  </si>
  <si>
    <t>黄金双髻鲨</t>
  </si>
  <si>
    <t>ID_CONFIG_FISH_NAME_11027</t>
  </si>
  <si>
    <t>金大白鲨</t>
  </si>
  <si>
    <t>ID_CONFIG_FISH_NAME_11214</t>
  </si>
  <si>
    <t>金河豚</t>
  </si>
  <si>
    <t>金财富龟</t>
  </si>
  <si>
    <t>ID_CONFIG_FISH_NAME_12029</t>
  </si>
  <si>
    <t>美人鱼</t>
  </si>
  <si>
    <t>skill_name</t>
  </si>
  <si>
    <t>skill_id</t>
  </si>
  <si>
    <t>skill_level</t>
  </si>
  <si>
    <t>cost</t>
  </si>
  <si>
    <t>power</t>
  </si>
  <si>
    <t>impale</t>
  </si>
  <si>
    <t>bullet</t>
  </si>
  <si>
    <t>interval</t>
  </si>
  <si>
    <t>duration</t>
  </si>
  <si>
    <t>cool_down</t>
  </si>
  <si>
    <t>weapon_id</t>
  </si>
  <si>
    <t>double</t>
  </si>
  <si>
    <t>isReturn</t>
  </si>
  <si>
    <t>技能名</t>
  </si>
  <si>
    <t>技能ID</t>
  </si>
  <si>
    <t>技能等级</t>
  </si>
  <si>
    <t>消耗子弹</t>
  </si>
  <si>
    <t>单发威力</t>
  </si>
  <si>
    <t>贯穿力</t>
  </si>
  <si>
    <t>技能子弹数</t>
  </si>
  <si>
    <t>每发间隔时间</t>
  </si>
  <si>
    <t>效果时间</t>
  </si>
  <si>
    <t>冷却时间</t>
  </si>
  <si>
    <t>对应武器</t>
  </si>
  <si>
    <t>双倍皮肤炮ID</t>
  </si>
  <si>
    <t>打空是否返还子弹</t>
  </si>
  <si>
    <t>合金飞弹</t>
  </si>
  <si>
    <t>[1290]</t>
  </si>
  <si>
    <t>火蛇加农炮</t>
  </si>
  <si>
    <t>榴弹炮</t>
  </si>
  <si>
    <t>汇能弹</t>
  </si>
  <si>
    <t>激光炮</t>
  </si>
  <si>
    <t>猎鱼机甲</t>
  </si>
  <si>
    <t>格林机关枪</t>
  </si>
  <si>
    <t>ability_type</t>
  </si>
  <si>
    <t>value_type</t>
  </si>
  <si>
    <t>skill_ability_type</t>
  </si>
  <si>
    <t>skill_ability_desc</t>
  </si>
  <si>
    <t>技能星级</t>
  </si>
  <si>
    <t>提升能力类型</t>
  </si>
  <si>
    <t>数值类型</t>
  </si>
  <si>
    <t>数值</t>
  </si>
  <si>
    <t>技能能力类型</t>
  </si>
  <si>
    <t>技能能力描述</t>
  </si>
  <si>
    <t>冷却时间减少[var]秒</t>
  </si>
  <si>
    <t>威力提高[var]%</t>
  </si>
  <si>
    <t>使召唤出的鱼在[var]秒内无法被其他玩家捕获</t>
  </si>
  <si>
    <t>无法被其他玩家捕获的时间增加[var]秒</t>
  </si>
  <si>
    <t>产生冰锥的数量增加[var]</t>
  </si>
  <si>
    <t>子弹总数量增加[var]发</t>
  </si>
  <si>
    <t>机器人耐久提高[var]%</t>
  </si>
  <si>
    <t>提高对远距离鱼的威力</t>
  </si>
  <si>
    <t>冰锥HP在[var]%以上受到致命伤害时HP最低为1</t>
  </si>
  <si>
    <t>被贯穿的鱼必被捕获</t>
  </si>
  <si>
    <t>爆炸范围变大[var]%</t>
  </si>
  <si>
    <t>子弹飞行时间减少[var]%</t>
  </si>
  <si>
    <t>喷射距离提升[var]%</t>
  </si>
  <si>
    <t>连续发炮的时间间隔减少[var]%</t>
  </si>
  <si>
    <t>冻结范围变大[var]%</t>
  </si>
  <si>
    <t>提高[var]%炮弹飞行速度</t>
  </si>
  <si>
    <t>反弹次数增加[var]次</t>
  </si>
  <si>
    <t>有效范围变大[var]%</t>
  </si>
  <si>
    <t>魔法球的飞行速度提高[var]%</t>
  </si>
  <si>
    <t>激光炮范围变宽[var]%</t>
  </si>
  <si>
    <t>蓄力时间减少[var]%</t>
  </si>
  <si>
    <t xml:space="preserve"> 机器人射出的子弹可反弹[var]次</t>
  </si>
  <si>
    <t>机器人射出的子弹速度提高[var]%</t>
  </si>
  <si>
    <t>机器人自爆时的范围增加[var]%</t>
  </si>
  <si>
    <t>每天可在最高[var]倍下免费使用1次</t>
  </si>
  <si>
    <t>fish_pool</t>
  </si>
  <si>
    <t>fish1</t>
  </si>
  <si>
    <t>fish2</t>
  </si>
  <si>
    <t>fish3</t>
  </si>
  <si>
    <t>probb3</t>
  </si>
  <si>
    <t>fish4</t>
  </si>
  <si>
    <t>probb4</t>
  </si>
  <si>
    <t>fish5</t>
  </si>
  <si>
    <t>probb5</t>
  </si>
  <si>
    <t>fish6</t>
  </si>
  <si>
    <t>probb6</t>
  </si>
  <si>
    <t>渔场</t>
  </si>
  <si>
    <t>间隔(秒)</t>
  </si>
  <si>
    <t>鱼ID</t>
  </si>
  <si>
    <t>概率</t>
  </si>
  <si>
    <t>canBuyIdx</t>
  </si>
  <si>
    <t>idx</t>
  </si>
  <si>
    <t>product_id</t>
  </si>
  <si>
    <t>buy_type</t>
  </si>
  <si>
    <t>price_direct</t>
  </si>
  <si>
    <t>price_diamond</t>
  </si>
  <si>
    <t>other_buyType</t>
  </si>
  <si>
    <t>des</t>
  </si>
  <si>
    <t>showLevel</t>
  </si>
  <si>
    <t>level</t>
  </si>
  <si>
    <t>free_rewards</t>
  </si>
  <si>
    <t>recharge_bonus</t>
  </si>
  <si>
    <t>paid_rewards</t>
  </si>
  <si>
    <t>str</t>
  </si>
  <si>
    <r>
      <rPr>
        <sz val="14"/>
        <color rgb="FF000000"/>
        <rFont val="Helvetica"/>
        <family val="2"/>
      </rPr>
      <t>可购买索引</t>
    </r>
  </si>
  <si>
    <t>索引</t>
  </si>
  <si>
    <t>商品id</t>
  </si>
  <si>
    <t>基金名字</t>
  </si>
  <si>
    <t>购买方式</t>
  </si>
  <si>
    <t>价格/元</t>
  </si>
  <si>
    <t>钻石价格</t>
  </si>
  <si>
    <t>其他购买方式</t>
  </si>
  <si>
    <t>标题宣传语</t>
  </si>
  <si>
    <t>展示限制等级</t>
  </si>
  <si>
    <r>
      <rPr>
        <sz val="14"/>
        <color rgb="FF000000"/>
        <rFont val="Helvetica"/>
        <family val="2"/>
      </rPr>
      <t>要求火炮倍率</t>
    </r>
  </si>
  <si>
    <r>
      <rPr>
        <sz val="14"/>
        <color rgb="FF000000"/>
        <rFont val="Helvetica"/>
        <family val="2"/>
      </rPr>
      <t>商品索引</t>
    </r>
  </si>
  <si>
    <t>免费奖励</t>
  </si>
  <si>
    <t>免费奖励数量</t>
  </si>
  <si>
    <t>充值奖池</t>
  </si>
  <si>
    <t>基金奖励</t>
  </si>
  <si>
    <t>基金奖励数量</t>
  </si>
  <si>
    <t>[1,2,3,4,5]</t>
  </si>
  <si>
    <t>LevelFunds_6_1</t>
  </si>
  <si>
    <t>ID_CONFIG_LEVEL_FUNDS_NAME_QIHANG</t>
  </si>
  <si>
    <t>diamond</t>
  </si>
  <si>
    <t>{"voucher": 6}</t>
  </si>
  <si>
    <r>
      <rPr>
        <sz val="14"/>
        <color rgb="FF000000"/>
        <rFont val="Helvetica"/>
        <family val="2"/>
      </rPr>
      <t>6,300</t>
    </r>
    <r>
      <rPr>
        <sz val="14"/>
        <color rgb="FF000000"/>
        <rFont val="Helvetica"/>
        <family val="2"/>
      </rPr>
      <t>万</t>
    </r>
  </si>
  <si>
    <t>锁定</t>
  </si>
  <si>
    <t>[{"name":14120,"count":10}]</t>
  </si>
  <si>
    <t>[{"name":101,"count":300000}]</t>
  </si>
  <si>
    <t>LevelFunds_25_1</t>
  </si>
  <si>
    <t>ID_CONFIG_LEVEL_FUNDS_NAME_ADVANCED</t>
  </si>
  <si>
    <t>{"voucher": 25}</t>
  </si>
  <si>
    <r>
      <rPr>
        <sz val="14"/>
        <color rgb="FF000000"/>
        <rFont val="Helvetica"/>
        <family val="2"/>
      </rPr>
      <t>25,1300</t>
    </r>
    <r>
      <rPr>
        <sz val="14"/>
        <color rgb="FF000000"/>
        <rFont val="Helvetica"/>
        <family val="2"/>
      </rPr>
      <t>万</t>
    </r>
  </si>
  <si>
    <t>冰冻</t>
  </si>
  <si>
    <t>[{"name":14119,"count":5}]</t>
  </si>
  <si>
    <t>LevelFunds_298_1</t>
  </si>
  <si>
    <t>ID_CONFIG_LEVEL_FUNDS_NAME_TALENT</t>
  </si>
  <si>
    <t>{"voucher": 298}</t>
  </si>
  <si>
    <r>
      <rPr>
        <sz val="14"/>
        <color rgb="FF000000"/>
        <rFont val="Helvetica"/>
        <family val="2"/>
      </rPr>
      <t>298,1.6</t>
    </r>
    <r>
      <rPr>
        <sz val="14"/>
        <color rgb="FF000000"/>
        <rFont val="Helvetica"/>
        <family val="2"/>
      </rPr>
      <t>亿</t>
    </r>
  </si>
  <si>
    <t>[{"name":101,"count":50000}]</t>
  </si>
  <si>
    <t>[{"name":101,"count":500000}]</t>
  </si>
  <si>
    <t>LevelFunds_588_1</t>
  </si>
  <si>
    <t>ID_CONFIG_LEVEL_FUNDS_NAME_REGAL</t>
  </si>
  <si>
    <t>{"voucher": 588}</t>
  </si>
  <si>
    <r>
      <rPr>
        <sz val="14"/>
        <color rgb="FF000000"/>
        <rFont val="Helvetica"/>
        <family val="2"/>
      </rPr>
      <t>588,3.3</t>
    </r>
    <r>
      <rPr>
        <sz val="14"/>
        <color rgb="FF000000"/>
        <rFont val="Helvetica"/>
        <family val="2"/>
      </rPr>
      <t>亿</t>
    </r>
  </si>
  <si>
    <t>齿轮</t>
  </si>
  <si>
    <t>[{"name":14124,"count":30}]</t>
  </si>
  <si>
    <t>LevelFunds_618_1</t>
  </si>
  <si>
    <t>ID_CONFIG_LEVEL_FUNDS_NAME_KING</t>
  </si>
  <si>
    <t>{"voucher": 618}</t>
  </si>
  <si>
    <r>
      <rPr>
        <sz val="14"/>
        <color rgb="FF000000"/>
        <rFont val="Helvetica"/>
        <family val="2"/>
      </rPr>
      <t>618,4</t>
    </r>
    <r>
      <rPr>
        <sz val="14"/>
        <color rgb="FF000000"/>
        <rFont val="Helvetica"/>
        <family val="2"/>
      </rPr>
      <t>亿</t>
    </r>
  </si>
  <si>
    <t>[{"name":101,"count":600000}]</t>
  </si>
  <si>
    <t>红宝石</t>
  </si>
  <si>
    <t>[{"name":13543,"count":100}]</t>
  </si>
  <si>
    <t>[{"name":101,"count":800000}]</t>
  </si>
  <si>
    <t>[{"name":14120,"count":15}]</t>
  </si>
  <si>
    <t>[{"name":101,"count":1500000}]</t>
  </si>
  <si>
    <t>[{"name":14119,"count":10}]</t>
  </si>
  <si>
    <t>[{"name":101,"count":2000000}]</t>
  </si>
  <si>
    <t>[{"name":14124,"count":40}]</t>
  </si>
  <si>
    <t>[{"name":101,"count":2500000}]</t>
  </si>
  <si>
    <t>[{"name":101,"count":3000000}]</t>
  </si>
  <si>
    <t>[{"name":14124,"count":60}]</t>
  </si>
  <si>
    <t>[{"name":101,"count":4000000}]</t>
  </si>
  <si>
    <t>[{"name":101,"count":20000000}]</t>
  </si>
  <si>
    <t>[{"name":101,"count":25000000}]</t>
  </si>
  <si>
    <t>稀有突破石</t>
  </si>
  <si>
    <t>[{"name":14126,"count":4}]</t>
  </si>
  <si>
    <t>[{"name":101,"count":30000000}]</t>
  </si>
  <si>
    <t>[{"name":101,"count":40000000}]</t>
  </si>
  <si>
    <t>[{"name":14124,"count":120}]</t>
  </si>
  <si>
    <t>[{"name":101,"count":50000000}]</t>
  </si>
  <si>
    <t>[{"name":101,"count":2400000}]</t>
  </si>
  <si>
    <t>[{"name":101,"count":60000000}]</t>
  </si>
  <si>
    <t>史诗突破石</t>
  </si>
  <si>
    <t>[{"name":14127,"count":2}]</t>
  </si>
  <si>
    <t>[{"name":101,"count":80000000}]</t>
  </si>
  <si>
    <t>[{"name":101,"count":3500000}]</t>
  </si>
  <si>
    <t>[{"name":101,"count":5000000}]</t>
  </si>
  <si>
    <t>[{"name":101,"count":70000000}]</t>
  </si>
  <si>
    <t>[{"name":14124,"count":200}]</t>
  </si>
  <si>
    <t>[{"name":101,"count":100000000}]</t>
  </si>
  <si>
    <t>[{"name":101,"count":10000000}]</t>
  </si>
  <si>
    <t>[{"name":101,"count":150000000}]</t>
  </si>
  <si>
    <t>可购买索引</t>
  </si>
  <si>
    <t>要求火炮倍率</t>
  </si>
  <si>
    <t>商品索引</t>
  </si>
  <si>
    <t>[1,2,3,4,6]</t>
  </si>
  <si>
    <t>TY0044F00300001</t>
  </si>
  <si>
    <t>xianlai.h5</t>
  </si>
  <si>
    <t>{"voucher": 30}</t>
  </si>
  <si>
    <r>
      <rPr>
        <sz val="14"/>
        <color rgb="FF000000"/>
        <rFont val="华文宋体"/>
        <family val="3"/>
        <charset val="134"/>
      </rPr>
      <t>30,</t>
    </r>
    <r>
      <rPr>
        <sz val="14"/>
        <color rgb="FF000000"/>
        <rFont val="Tahoma"/>
        <family val="2"/>
      </rPr>
      <t>100</t>
    </r>
    <r>
      <rPr>
        <sz val="14"/>
        <color rgb="FF000000"/>
        <rFont val="华文宋体"/>
        <family val="3"/>
        <charset val="134"/>
      </rPr>
      <t>万</t>
    </r>
  </si>
  <si>
    <t>火舌加农炮技能卡</t>
  </si>
  <si>
    <t>[{"name":1147,"count":1}]</t>
  </si>
  <si>
    <t>40000金币</t>
  </si>
  <si>
    <t>[{"name":101,"count":40000}]</t>
  </si>
  <si>
    <t>TY0044F01980001</t>
  </si>
  <si>
    <t>{"voucher": 198}</t>
  </si>
  <si>
    <r>
      <rPr>
        <sz val="14"/>
        <color rgb="FF000000"/>
        <rFont val="华文宋体"/>
        <family val="3"/>
        <charset val="134"/>
      </rPr>
      <t>198,</t>
    </r>
    <r>
      <rPr>
        <sz val="14"/>
        <color rgb="FF000000"/>
        <rFont val="Tahoma"/>
        <family val="2"/>
      </rPr>
      <t>600</t>
    </r>
    <r>
      <rPr>
        <sz val="14"/>
        <color rgb="FF000000"/>
        <rFont val="华文宋体"/>
        <family val="3"/>
        <charset val="134"/>
      </rPr>
      <t>万</t>
    </r>
  </si>
  <si>
    <t>[{"name":101,"count":2500}]</t>
  </si>
  <si>
    <t>50000金币</t>
  </si>
  <si>
    <t>TY0044F03280001</t>
  </si>
  <si>
    <t>{"voucher": 328}</t>
  </si>
  <si>
    <r>
      <rPr>
        <sz val="14"/>
        <color rgb="FF000000"/>
        <rFont val="华文宋体"/>
        <family val="3"/>
        <charset val="134"/>
      </rPr>
      <t>328,</t>
    </r>
    <r>
      <rPr>
        <sz val="14"/>
        <color rgb="FF000000"/>
        <rFont val="Tahoma"/>
        <family val="2"/>
      </rPr>
      <t>1000</t>
    </r>
    <r>
      <rPr>
        <sz val="14"/>
        <color rgb="FF000000"/>
        <rFont val="华文宋体"/>
        <family val="3"/>
        <charset val="134"/>
      </rPr>
      <t>万</t>
    </r>
  </si>
  <si>
    <t>[{"name":101,"count":3000}]</t>
  </si>
  <si>
    <t>[{"name":101,"count":60000}]</t>
  </si>
  <si>
    <t>TY0044F06480001</t>
  </si>
  <si>
    <t>{"voucher": 648}</t>
  </si>
  <si>
    <r>
      <rPr>
        <sz val="14"/>
        <color rgb="FF000000"/>
        <rFont val="华文宋体"/>
        <family val="3"/>
        <charset val="134"/>
      </rPr>
      <t>648,</t>
    </r>
    <r>
      <rPr>
        <sz val="14"/>
        <color rgb="FF000000"/>
        <rFont val="Tahoma"/>
        <family val="2"/>
      </rPr>
      <t>2000</t>
    </r>
    <r>
      <rPr>
        <sz val="14"/>
        <color rgb="FF000000"/>
        <rFont val="华文宋体"/>
        <family val="3"/>
        <charset val="134"/>
      </rPr>
      <t>万</t>
    </r>
  </si>
  <si>
    <t>[{"name":101,"count":4000}]</t>
  </si>
  <si>
    <t>[{"name":101,"count":70000}]</t>
  </si>
  <si>
    <t>TY0044F03280002</t>
  </si>
  <si>
    <r>
      <rPr>
        <sz val="14"/>
        <color rgb="FF000000"/>
        <rFont val="华文宋体"/>
        <family val="3"/>
        <charset val="134"/>
      </rPr>
      <t>328,</t>
    </r>
    <r>
      <rPr>
        <sz val="14"/>
        <color rgb="FF000000"/>
        <rFont val="Tahoma"/>
        <family val="2"/>
      </rPr>
      <t>1100</t>
    </r>
    <r>
      <rPr>
        <sz val="14"/>
        <color rgb="FF000000"/>
        <rFont val="华文宋体"/>
        <family val="3"/>
        <charset val="134"/>
      </rPr>
      <t>万</t>
    </r>
  </si>
  <si>
    <t>合金飞弹升星卡</t>
  </si>
  <si>
    <t>[{"name": 1155,"count":200}]</t>
  </si>
  <si>
    <t>[{"name":101,"count":80000}]</t>
  </si>
  <si>
    <t>TY0044F06480002</t>
  </si>
  <si>
    <r>
      <rPr>
        <sz val="14"/>
        <color rgb="FF000000"/>
        <rFont val="华文宋体"/>
        <family val="3"/>
        <charset val="134"/>
      </rPr>
      <t>648,</t>
    </r>
    <r>
      <rPr>
        <sz val="14"/>
        <color rgb="FF000000"/>
        <rFont val="Tahoma"/>
        <family val="2"/>
      </rPr>
      <t>2500</t>
    </r>
    <r>
      <rPr>
        <sz val="14"/>
        <color rgb="FF000000"/>
        <rFont val="华文宋体"/>
        <family val="3"/>
        <charset val="134"/>
      </rPr>
      <t>万</t>
    </r>
  </si>
  <si>
    <t>[{"name":101,"count":5000}]</t>
  </si>
  <si>
    <t>[{"name":101,"count":90000}]</t>
  </si>
  <si>
    <t>TY0044F03280003</t>
  </si>
  <si>
    <r>
      <rPr>
        <sz val="14"/>
        <color rgb="FF000000"/>
        <rFont val="华文宋体"/>
        <family val="3"/>
        <charset val="134"/>
      </rPr>
      <t>328,</t>
    </r>
    <r>
      <rPr>
        <sz val="14"/>
        <color rgb="FF000000"/>
        <rFont val="Tahoma"/>
        <family val="2"/>
      </rPr>
      <t>1300</t>
    </r>
    <r>
      <rPr>
        <sz val="14"/>
        <color rgb="FF000000"/>
        <rFont val="华文宋体"/>
        <family val="3"/>
        <charset val="134"/>
      </rPr>
      <t>万</t>
    </r>
  </si>
  <si>
    <t>海星</t>
  </si>
  <si>
    <t>[{"name": 3106,"count":50,"des":"比赛门票"}]</t>
  </si>
  <si>
    <t>[{"name":101,"count":100000}]</t>
  </si>
  <si>
    <t>[{"name":101,"count":8000}]</t>
  </si>
  <si>
    <t>[{"name":101,"count":120000}]</t>
  </si>
  <si>
    <t>[{"name": 13543,"count":20}]</t>
  </si>
  <si>
    <t>[{"name":101,"count":150000}]</t>
  </si>
  <si>
    <t>[{"name":101,"count":10000}]</t>
  </si>
  <si>
    <t>[{"name":101,"count":180000}]</t>
  </si>
  <si>
    <t>汇能弹技能卡</t>
  </si>
  <si>
    <t>[{"name": 1150,"count":15,"des":"稀有技能"}]</t>
  </si>
  <si>
    <t>[{"name":101,"count":200000}]</t>
  </si>
  <si>
    <t>[{"name":101,"count":15000}]</t>
  </si>
  <si>
    <t>冷却</t>
  </si>
  <si>
    <t>[{"name":1408,"count":15}]</t>
  </si>
  <si>
    <t>[{"name":101,"count":1000000}]</t>
  </si>
  <si>
    <t>[{"name":101,"count":20000}]</t>
  </si>
  <si>
    <t>[{"name":101,"count":1200000}]</t>
  </si>
  <si>
    <t>炎龙</t>
  </si>
  <si>
    <t>[{"name": 1166,"count":72,"des":"强力炮台"}]</t>
  </si>
  <si>
    <t>[{"name":101,"count":25000}]</t>
  </si>
  <si>
    <t>[{"name": 3106,"count":200,"des":"比赛门票"}]</t>
  </si>
  <si>
    <t>[{"name":101,"count":30000}]</t>
  </si>
  <si>
    <t>[{"name":101,"count":1800000}]</t>
  </si>
  <si>
    <t>[{"name": 13543,"count":100}]</t>
  </si>
  <si>
    <t>[{"name":101,"count":2100000}]</t>
  </si>
  <si>
    <t>激光炮技能卡</t>
  </si>
  <si>
    <t>[{"name": 1152,"count":25,"des":"稀有技能"}]</t>
  </si>
  <si>
    <t>激光炮升星卡</t>
  </si>
  <si>
    <t>[{"name": 1162,"count":200}]</t>
  </si>
  <si>
    <t>魅影</t>
  </si>
  <si>
    <t>[{"name": 1167,"count":72}]</t>
  </si>
  <si>
    <t>[{"name":101,"count":6000000}]</t>
  </si>
  <si>
    <t>[{"name":101,"count":2200000}]</t>
  </si>
  <si>
    <t>光辉</t>
  </si>
  <si>
    <t>[{"name": 1289,"count":72}]</t>
  </si>
  <si>
    <t>[{"name": 13543,"count":200}]</t>
  </si>
  <si>
    <t>暮刃</t>
  </si>
  <si>
    <t>[{"name": 1290,"count":72,"des":"技能双倍！"}]</t>
  </si>
  <si>
    <t>[{"name":101,"count":7000000}]</t>
  </si>
  <si>
    <t>mode</t>
  </si>
  <si>
    <t>currencyList</t>
  </si>
  <si>
    <t>id</t>
  </si>
  <si>
    <t>exchangeTimes</t>
  </si>
  <si>
    <t>costTypeCount</t>
  </si>
  <si>
    <t>costItem1</t>
  </si>
  <si>
    <t>costItem3</t>
  </si>
  <si>
    <t>listCount</t>
  </si>
  <si>
    <t>gainItem1</t>
  </si>
  <si>
    <t>gainItem2</t>
  </si>
  <si>
    <t>gainItem3</t>
  </si>
  <si>
    <t>gainItem4</t>
  </si>
  <si>
    <t>gainItem5</t>
  </si>
  <si>
    <t>金币0/金环1</t>
  </si>
  <si>
    <t>货币列表</t>
  </si>
  <si>
    <t>兑换的唯一标识</t>
  </si>
  <si>
    <t>兑换次数</t>
  </si>
  <si>
    <t>消耗类型数量</t>
  </si>
  <si>
    <t>消耗物品</t>
  </si>
  <si>
    <t>兑换列表数量</t>
  </si>
  <si>
    <t>兑换物品</t>
  </si>
  <si>
    <t>box</t>
  </si>
  <si>
    <t>[13757,14166]</t>
  </si>
  <si>
    <t>{"name":13757, "count":10}</t>
  </si>
  <si>
    <t/>
  </si>
  <si>
    <t>{"name":101, "minCount": 100000, "maxCount": 100000}</t>
  </si>
  <si>
    <t>octopus</t>
  </si>
  <si>
    <t>[13758,13759,13760,14166]</t>
  </si>
  <si>
    <t>{"name":13757, "count":100}</t>
  </si>
  <si>
    <t>{"name":101, "minCount": 1000000, "maxCount": 1000000}</t>
  </si>
  <si>
    <t>queen</t>
  </si>
  <si>
    <t>[13761,14166]</t>
  </si>
  <si>
    <t>{"name":14125, "minCount": 1, "maxCount": 1}</t>
  </si>
  <si>
    <t>dragon</t>
  </si>
  <si>
    <t>[13762,14166]</t>
  </si>
  <si>
    <t>{"name":14166, "count":1}</t>
  </si>
  <si>
    <t>{"name":1301, "minCount": 1, "maxCount": 1}</t>
  </si>
  <si>
    <t>{"name":14166, "count":10}</t>
  </si>
  <si>
    <t>{"name":1193, "minCount": 1, "maxCount": 1}</t>
  </si>
  <si>
    <t>{"name":13757, "count":500}</t>
  </si>
  <si>
    <t>{"name":14166, "count":50}</t>
  </si>
  <si>
    <t>{"name":1194, "minCount": 1, "maxCount": 1}</t>
  </si>
  <si>
    <t>{"name":13758, "count":10}</t>
  </si>
  <si>
    <t>{"name":101, "minCount": 500000, "maxCount": 500000}</t>
  </si>
  <si>
    <t>{"name":13758, "count":100}</t>
  </si>
  <si>
    <t>{"name":101, "minCount": 5000000, "maxCount": 5000000}</t>
  </si>
  <si>
    <t>{"name":13758, "count":20}</t>
  </si>
  <si>
    <t>{"name":13758, "count":40}</t>
  </si>
  <si>
    <t>{"name":14126, "minCount": 1, "maxCount": 1}</t>
  </si>
  <si>
    <t>{"name":13758, "count":4}</t>
  </si>
  <si>
    <t>{"name":14166, "count":2}</t>
  </si>
  <si>
    <t>{"name":1301, "minCount": 2, "maxCount": 2}</t>
  </si>
  <si>
    <t>{"name":13759, "count":1}</t>
  </si>
  <si>
    <t>{"name":13758, "minCount": 2, "maxCount": 2}</t>
  </si>
  <si>
    <t>{"name":13760, "count":1}</t>
  </si>
  <si>
    <t>{"name":13758, "minCount": 4, "maxCount": 4}</t>
  </si>
  <si>
    <t>{"name":13761, "count":100}</t>
  </si>
  <si>
    <t>{"name":13761, "count":1000}</t>
  </si>
  <si>
    <t>{"name":101, "minCount": 10000000, "maxCount": 10000000}</t>
  </si>
  <si>
    <t>{"name":13761, "count":200}</t>
  </si>
  <si>
    <t>{"name":13761, "count":500}</t>
  </si>
  <si>
    <t>{"name":14127, "minCount": 1, "maxCount": 1}</t>
  </si>
  <si>
    <t>{"name":13761, "count":20}</t>
  </si>
  <si>
    <t>{"name":13762, "count":2}</t>
  </si>
  <si>
    <t>{"name":13762, "count":20}</t>
  </si>
  <si>
    <t>{"name":13762, "count":4}</t>
  </si>
  <si>
    <t>{"name":13762, "count":10}</t>
  </si>
  <si>
    <t>{"name":1301, "minCount": 10, "maxCount": 10}</t>
  </si>
  <si>
    <t>{"name":1193, "minCount": 5, "maxCount": 5}</t>
  </si>
  <si>
    <t>{"name":14166, "count":100}</t>
  </si>
  <si>
    <t>{"name":1194, "minCount": 2, "maxCount": 2}</t>
  </si>
  <si>
    <t>maxTimes</t>
  </si>
  <si>
    <t>costItem</t>
  </si>
  <si>
    <t>rewardItem</t>
  </si>
  <si>
    <t>vip限制最大次数列表</t>
  </si>
  <si>
    <t>炮台倍数限制</t>
  </si>
  <si>
    <t>[5,5,5,5,5,6,6,7,8,9,10,10,10]</t>
  </si>
  <si>
    <t>[101, 13757]</t>
  </si>
  <si>
    <t>SuperBossMinigame_des_box_1</t>
  </si>
  <si>
    <t>[{"name":13757, "count":4}]</t>
  </si>
  <si>
    <t>[{"2000":[{"name":101, "count": 15000, "probb": 3334},{"name":101, "count": 40000, "probb": 3333},{"name":101, "count": 60000, "probb": 3333}]},{"2000":[{"name":101, "count": 15000, "probb": 2500},{"name":101, "count": 30000, "probb": 4500},{"name":101, "count": 70000, "probb": 3000}]},{"2000":[{"name":101, "count": 12000, "probb": 3334},{"name":101, "count": 27000, "probb": 3333},{"name":101, "count": 76000, "probb": 3333}]},{"2000":[{"name":101, "count": 12000, "probb": 2000},{"name":101, "count": 35000, "probb": 6000},{"name":101, "count": 76000, "probb": 2000}]},{"2000":[{"name":101, "count": 15000, "probb": 3000},{"name":101, "count": 35000, "probb": 6000},{"name":101, "count": 130000, "probb": 1000}]}]</t>
  </si>
  <si>
    <t>[101, 13763]</t>
  </si>
  <si>
    <t>SuperBossMinigame_des_box_2</t>
  </si>
  <si>
    <t>[{"name":13757, "count":25}]</t>
  </si>
  <si>
    <t>[{"2000":[{"name":101, "count": 160000, "probb": 3000},{"name":101, "count": 240000, "probb": 5000},{"name":101, "count": 360000, "probb": 2000}]},{"2000":[{"name":101, "count": 120000, "probb": 3334},{"name":101, "count": 240000, "probb": 3333},{"name":101, "count": 360000, "probb": 3333}]},{"2000":[{"name":101, "count": 100000, "probb": 3334},{"name":101, "count": 240000, "probb": 3333},{"name":101, "count": 400000, "probb": 3333}]},{"2000":[{"name":101, "count": 100000, "probb": 2500},{"name":101, "count": 200000, "probb": 4500},{"name":101, "count": 450000, "probb": 3000}]},{"2000":[{"name":101, "count": 80000, "probb": 3334},{"name":101, "count": 180000, "probb": 3333},{"name":101, "count": 500000, "probb": 3333}]}]</t>
  </si>
  <si>
    <t>[101, 1402]</t>
  </si>
  <si>
    <t>SuperBossMinigame_des_box_3</t>
  </si>
  <si>
    <t>[{"name":13757, "count":120}]</t>
  </si>
  <si>
    <t>[{"2000":[{"name":101, "count": 840000, "probb": 3334},{"name":101, "count": 1080000, "probb": 3333},{"name":101, "count": 1680000, "probb": 3333}]},{"2000":[{"name":101, "count": 720000, "probb": 3000},{"name":101, "count": 1200000, "probb": 5000},{"name":101, "count": 1920000, "probb": 2000}]},{"2000":[{"name":101, "count": 600000, "probb": 3334},{"name":101, "count": 1200000, "probb": 3333},{"name":101, "count": 1800000, "probb": 3333}]},{"2000":[{"name":101, "count": 480000, "probb": 3334},{"name":101, "count": 1200000, "probb": 3333},{"name":101, "count": 1920000, "probb": 3333}]},{"2000":[{"name":101, "count": 480000, "probb": 2500},{"name":101, "count": 960000, "probb": 4500},{"name":101, "count": 2160000, "probb": 3000}]}]</t>
  </si>
  <si>
    <t>[{"name":13757, "count":600}]</t>
  </si>
  <si>
    <t>[{"2000":[{"name":101, "count": 4200000, "probb": 3334},{"name":101, "count": 5400000, "probb": 3333},{"name":101, "count": 8400000, "probb": 3333}]},{"2000":[{"name":101, "count": 3600000, "probb": 3000},{"name":101, "count": 6000000, "probb": 5000},{"name":101, "count": 9600000, "probb": 2000}]},{"2000":[{"name":101, "count": 3000000, "probb": 3334},{"name":101, "count": 6000000, "probb": 3333},{"name":101, "count": 9000000, "probb": 3333}]},{"2000":[{"name":101, "count": 2400000, "probb": 3334},{"name":101, "count": 6000000, "probb": 3333},{"name":101, "count": 9600000, "probb": 3333}]},{"2000":[{"name":101, "count": 2400000, "probb": 2500},{"name":101, "count": 4800000, "probb": 4500},{"name":101, "count": 10800000, "probb": 3000}]}]</t>
  </si>
  <si>
    <t>[101, 13761]</t>
  </si>
  <si>
    <t>[{"name":13763, "count":120}]</t>
  </si>
  <si>
    <t>[{"2000":[{"name":101, "count": 480000, "probb": 3334},{"name":101, "count": 1200000, "probb": 3333},{"name":101, "count": 2000000, "probb": 3333}]},{"2000":[{"name":101, "count": 480000, "probb": 2500},{"name":101, "count": 960000, "probb": 4500},{"name":101, "count": 2000000, "probb": 3000}]},{"2000":[{"name":101, "count": 360000, "probb": 3334},{"name":101, "count": 800000, "probb": 3333},{"name":101, "count": 2400000, "probb": 3333}]},{"2000":[{"name":101, "count": 360000, "probb": 2000},{"name":101, "count": 1200000, "probb": 6000},{"name":101, "count": 2400000, "probb": 2000}]},{"2000":[{"name":101, "count": 480000, "probb": 3000},{"name":101, "count": 1000000, "probb": 6000},{"name":101, "count": 4000000, "probb": 1000}]}]</t>
  </si>
  <si>
    <t>[{"name":13763, "count":600}]</t>
  </si>
  <si>
    <t>[{"2000":[{"name":101, "count": 3600000, "probb": 3000},{"name":101, "count": 6000000, "probb": 5000},{"name":101, "count": 9600000, "probb": 2000}]},{"2000":[{"name":101, "count": 3000000, "probb": 3334},{"name":101, "count": 6000000, "probb": 3333},{"name":101, "count": 9000000, "probb": 3333}]},{"2000":[{"name":101, "count": 2400000, "probb": 3334},{"name":101, "count": 6000000, "probb": 3333},{"name":101, "count": 9600000, "probb": 3333}]},{"2000":[{"name":101, "count": 2400000, "probb": 2500},{"name":101, "count": 4800000, "probb": 4500},{"name":101, "count": 10800000, "probb": 3000}]},{"2000":[{"name":101, "count": 1800000, "probb": 2000},{"name":101, "count": 5400000, "probb": 6000},{"name":101, "count": 12000000, "probb": 2000}]}]</t>
  </si>
  <si>
    <t>[101, 13762]</t>
  </si>
  <si>
    <t>[{"name":13763, "count":2500}]</t>
  </si>
  <si>
    <t>[{"2000":[{"name":101, "count": 17500000, "probb": 3334},{"name":101, "count": 22500000, "probb": 333.3},{"name":101, "count": 35000000, "probb": 3333}]},{"2000":[{"name":101, "count": 15000000, "probb": 3000},{"name":101, "count": 25000000, "probb": 5000},{"name":101, "count": 40000000, "probb": 2000}]},{"2000":[{"name":101, "count": 12500000, "probb": 3334},{"name":101, "count": 25000000, "probb": 3333},{"name":101, "count": 37500000, "probb": 3333}]},{"2000":[{"name":101, "count": 10000000, "probb": 3334},{"name":101, "count": 25000000, "probb": 3333},{"name":101, "count": 40000000, "probb": 3333}]},{"2000":[{"name":101, "count": 10000000, "probb": 2500},{"name":101, "count": 20000000, "probb": 4500},{"name":101, "count": 45000000, "probb": 3000}]}]</t>
  </si>
  <si>
    <t>[101, 14116]</t>
  </si>
  <si>
    <t>[{"name":13758, "count": 3}]</t>
  </si>
  <si>
    <t>[{"name":101, "count": 30000, "probb": 1666},{"name":101, "count": 60000, "probb": 1666},{"name":101, "count": 120000, "probb": 1666},{"name":101, "count": 180000, "probb": 1666},{"name":101, "count": 225000, "probb": 1666},{"name":101, "count": 250000, "probb": 1666}]</t>
  </si>
  <si>
    <t>[{"name":13758, "count": 2},{"name":13759,"count":1}]</t>
  </si>
  <si>
    <t>[{"name":101, "count": 80000, "probb": 2000},{"name":101, "count": 135000, "probb": 2000},{"name":101, "count": 200000, "probb": 2000},{"name":101, "count": 240000, "probb": 2000},{"name":101, "count": 300000, "probb": 1000},{"name":101, "count": 350000, "probb": 1000}]</t>
  </si>
  <si>
    <t>[{"name":13758, "count": 3},{"name":13759,"count":1},{"name":13760,"count":1}]</t>
  </si>
  <si>
    <t>[{"name":101, "count": 90000, "probb": 1000},{"name":101, "count": 270000, "probb": 1000},{"name":101, "count": 360000, "probb": 1500},{"name":101, "count": 450000, "probb": 2000},{"name":101, "count": 540000, "probb": 2500},{"name":101, "count": 675000, "probb": 2000}]</t>
  </si>
  <si>
    <t>[{"name":13758, "count": 15}]</t>
  </si>
  <si>
    <t>[{"name":101, "count": 150000, "probb": 1666},{"name":101, "count": 300000, "probb": 1666},{"name":101, "count": 600000, "probb": 1666},{"name":101, "count": 850000, "probb": 1666},{"name":101, "count": 1120000, "probb": 1666},{"name":101, "count": 1300000, "probb": 1666}]</t>
  </si>
  <si>
    <t>[{"name":13758, "count": 10},{"name":13759,"count":5}]</t>
  </si>
  <si>
    <t>[{"name":101, "count": 300000, "probb": 2000},{"name":101, "count": 750000, "probb": 2000},{"name":101, "count": 1000000, "probb": 2000},{"name":101, "count": 1200000, "probb": 2000},{"name":101, "count": 1500000, "probb": 1000},{"name":101, "count": 1800000, "probb": 1000}]</t>
  </si>
  <si>
    <t>[{"name":13758, "count": 15},{"name":13759,"count":5},{"name":13760,"count":5}]</t>
  </si>
  <si>
    <t>[{"name":101, "count": 450000, "probb": 1000},{"name":101, "count": 1200000, "probb": 1000},{"name":101, "count": 1800000, "probb": 1500},{"name":101, "count": 2200000, "probb": 2000},{"name":101, "count": 2700000, "probb": 2500},{"name":101, "count": 3500000, "probb": 2000}]</t>
  </si>
  <si>
    <t>[{"name":13758, "count": 50}]</t>
  </si>
  <si>
    <t>[{"name":101, "count": 500000, "probb": 1666},{"name":101, "count": 1000000, "probb": 1666},{"name":101, "count": 1800000, "probb": 1666},{"name":101, "count": 3000000, "probb": 1666},{"name":101, "count": 3600000, "probb": 1666},{"name":101, "count": 4500000, "probb": 1666}]</t>
  </si>
  <si>
    <t>[{"name":13758, "count": 30},{"name":13759,"count":15}]</t>
  </si>
  <si>
    <t>[{"name":101, "count": 1250000, "probb": 2000},{"name":101, "count": 2000000, "probb": 2000},{"name":101, "count": 3000000, "probb": 2000},{"name":101, "count": 3500000, "probb": 2000},{"name":101, "count": 4500000, "probb": 1000},{"name":101, "count": 5400000, "probb": 1000}]</t>
  </si>
  <si>
    <t>[{"name":13758, "count": 50},{"name":13759,"count":15},{"name":13760,"count":15}]</t>
  </si>
  <si>
    <t>[{"name":101, "count": 1400000, "probb": 1000},{"name":101, "count": 4200000, "probb": 1000},{"name":101, "count": 5600000, "probb": 1500},{"name":101, "count": 7000000, "probb": 2000},{"name":101, "count": 8400000, "probb": 2500},{"name":101, "count": 10500000, "probb": 2000}]</t>
  </si>
  <si>
    <t>[{"name":13758, "count": 300}]</t>
  </si>
  <si>
    <t>[{"name":101, "count": 3000000, "probb": 1666},{"name":101, "count": 6000000, "probb": 1666},{"name":101, "count": 12000000, "probb": 1666},{"name":101, "count": 18000000, "probb": 1666},{"name":101, "count": 20000000, "probb": 1666},{"name":101, "count": 27500000, "probb": 1666}]</t>
  </si>
  <si>
    <t>[{"name":13758, "count": 200},{"name":13759,"count":100}]</t>
  </si>
  <si>
    <t>[{"name":101, "count": 7500000, "probb": 2000},{"name":101, "count": 13000000, "probb": 2000},{"name":101, "count": 20000000, "probb": 2000},{"name":101, "count": 25000000, "probb": 2000},{"name":101, "count": 30000000, "probb": 1000},{"name":101, "count": 35000000, "probb": 1000}]</t>
  </si>
  <si>
    <t>[{"name":13758, "count": 300},{"name":13759,"count":100},{"name":13760,"count":100}]</t>
  </si>
  <si>
    <t>[{"name":101, "count": 9000000, "probb": 1000},{"name":101, "count": 27000000, "probb": 1000},{"name":101, "count": 36000000, "probb": 1500},{"name":101, "count": 45000000, "probb": 2000},{"name":101, "count": 54000000, "probb": 2500},{"name":101, "count": 67500000, "probb": 2000}]</t>
  </si>
  <si>
    <t>[{"name":13764, "count": 50}]</t>
  </si>
  <si>
    <t>[{"name":13764, "count": 30},{"name":13765,"count":15}]</t>
  </si>
  <si>
    <t>[{"name":13764, "count": 50},{"name":13765,"count":15},{"name":14114,"count":15}]</t>
  </si>
  <si>
    <t>[{"name":13764, "count": 300}]</t>
  </si>
  <si>
    <t>[{"name":13764, "count": 200},{"name":13765,"count":100}]</t>
  </si>
  <si>
    <t>[{"name":13764, "count": 300},{"name":13765,"count":100},{"name":14114,"count":100}]</t>
  </si>
  <si>
    <t>[{"name":13764, "count": 1000}]</t>
  </si>
  <si>
    <t>[{"name":101, "count": 9000000, "probb": 1666},{"name":101, "count": 18000000, "probb": 1666},{"name":101, "count": 40000000, "probb": 1666},{"name":101, "count": 56000000, "probb": 1666},{"name":101, "count": 75000000, "probb": 1666},{"name":101, "count": 90000000, "probb": 1666}]</t>
  </si>
  <si>
    <t>[{"name":13764, "count": 600},{"name":13765,"count":300}]</t>
  </si>
  <si>
    <t>[{"name":101, "count": 20000000, "probb": 2000},{"name":101, "count": 40000000, "probb": 2000},{"name":101, "count": 60000000, "probb": 2000},{"name":101, "count": 75000000, "probb": 2000},{"name":101, "count": 90000000, "probb": 1000},{"name":101, "count": 108000000, "probb": 1000}]</t>
  </si>
  <si>
    <t>[{"name":13764, "count": 1000},{"name":13765,"count":300},{"name":14114,"count":300}]</t>
  </si>
  <si>
    <t>[{"name":101, "count": 20000000, "probb": 1000},{"name":101, "count": 60000000, "probb": 1000},{"name":101, "count": 100000000, "probb": 1500},{"name":101, "count": 120000000, "probb": 2000},{"name":101, "count": 180000000, "probb": 2500},{"name":101, "count": 240000000, "probb": 2000}]</t>
  </si>
  <si>
    <t>[{"name":13761, "count": 500}]</t>
  </si>
  <si>
    <t>[{"name":101, "count": 9600000, "probb": 1060},{"name":101, "count": 8500000, "probb": 1100},{"name":101, "count": 7200000, "probb": 1100},{"name":101, "count": 5600000, "probb": 1100},{"name":101, "count": 4500000, "probb": 1240},{"name":101, "count": 3000000, "probb": 1100}]</t>
  </si>
  <si>
    <t>[{"name":13761, "count": 1200}]</t>
  </si>
  <si>
    <t>[{"name":101, "count": 24000000, "probb": 1000},{"name":101, "count": 20000000, "probb": 1200},{"name":101, "count": 18000000, "probb": 1200},{"name":101, "count": 15000000, "probb": 1200},{"name":101, "count": 10000000, "probb": 1200},{"name":101, "count": 6000000, "probb": 1200}]</t>
  </si>
  <si>
    <t>[{"name":13761, "count": 2500}]</t>
  </si>
  <si>
    <t>[{"name":101, "count": 60000000, "probb": 1100},{"name":101, "count": 40000000, "probb": 1200},{"name":101, "count": 30000000, "probb": 1200},{"name":101, "count": 25000000, "probb": 1200},{"name":101, "count": 18000000, "probb": 1100},{"name":101, "count": 15000000, "probb": 1100}]</t>
  </si>
  <si>
    <t>[{"name":13761, "count": 5000}]</t>
  </si>
  <si>
    <t>[{"name":101, "count": 125000000, "probb": 1100},{"name":101, "count": 80000000, "probb": 1200},{"name":101, "count": 60000000, "probb": 1200},{"name":101, "count": 45000000, "probb": 1200},{"name":101, "count": 40000000, "probb": 1100},{"name":101, "count": 30000000, "probb": 1100}]</t>
  </si>
  <si>
    <t>[{"name":13761, "count": 10000}]</t>
  </si>
  <si>
    <t>[{"name":101, "count": 300000000, "probb": 800.000000000001},{"name":101, "count": 160000000, "probb": 1200},{"name":101, "count": 125000000, "probb": 1200},{"name":101, "count": 100000000, "probb": 1400},{"name":101, "count": 80000000, "probb": 1200},{"name":101, "count": 60000000, "probb": 1200}]</t>
  </si>
  <si>
    <t>[{"name":14115, "count": 500}]</t>
  </si>
  <si>
    <t>[{"name":101, "count": 30000000, "probb": 1060},{"name":101, "count": 25000000, "probb": 1100},{"name":101, "count": 20000000, "probb": 1100},{"name":101, "count": 16000000, "probb": 1100},{"name":101, "count": 15000000, "probb": 1240},{"name":101, "count": 10000000, "probb": 1100}]</t>
  </si>
  <si>
    <t>[{"name":14115, "count": 1200}]</t>
  </si>
  <si>
    <t>[{"name":101, "count": 60000000, "probb": 1000},{"name":101, "count": 50000000, "probb": 1200},{"name":101, "count": 45000000, "probb": 1200},{"name":101, "count": 36000000, "probb": 1200},{"name":101, "count": 25000000, "probb": 1200},{"name":101, "count": 18000000, "probb": 1200}]</t>
  </si>
  <si>
    <t>[{"name":14115, "count": 2500}]</t>
  </si>
  <si>
    <t>[{"name":101, "count": 150000000, "probb": 1100},{"name":101, "count": 96000000, "probb": 1200},{"name":101, "count": 72000000, "probb": 1200},{"name":101, "count": 60000000, "probb": 1200},{"name":101, "count": 45000000, "probb": 1100},{"name":101, "count": 35000000, "probb": 1100}]</t>
  </si>
  <si>
    <t>[{"name":14115, "count": 5000}]</t>
  </si>
  <si>
    <t>[{"name":101, "count": 250000000, "probb": 1100},{"name":101, "count": 160000000, "probb": 1200},{"name":101, "count": 120000000, "probb": 1200},{"name":101, "count": 100000000, "probb": 1200},{"name":101, "count": 80000000, "probb": 1100},{"name":101, "count": 60000000, "probb": 1100}]</t>
  </si>
  <si>
    <t>[{"name":14115, "count": 10000}]</t>
  </si>
  <si>
    <t>[{"name":101, "count": 600000000, "probb": 800.000000000001},{"name":101, "count": 320000000, "probb": 1200},{"name":101, "count": 250000000, "probb": 1200},{"name":101, "count": 200000000, "probb": 1400},{"name":101, "count": 160000000, "probb": 1200},{"name":101, "count": 120000000, "probb": 1200}]</t>
  </si>
  <si>
    <t>SuperBossMinigame_des_dragon_1</t>
  </si>
  <si>
    <t>[{"name":13762, "count": 10}]</t>
  </si>
  <si>
    <t>[{"name":101, "count":500000, "probb": 400},{"name":0, "count":0, "probb": 0},{"name":101, "count":1000000, "probb": 400},{"name":0, "count":0, "probb": 0},{"name":101, "count":1500000, "probb": 500},{"name":0, "count":0, "probb": 0},{"name":101, "count":2000000, "probb": 500},{"name":0, "count":0, "probb": 0},{"name":101, "count":2500000, "probb": 1200},{"name":0, "count":0, "probb": 0},{"name":101, "count":3600000, "probb": 1200},{"name":101, "count":2500000, "probb": 1200},{"name":0, "count":0, "probb": 0},{"name":101, "count":3600000, "probb": 1200},{"name":101, "count":4000000, "probb": 1200},{"name":101, "count":6000000, "probb": 1200},{"name":0, "count":0, "probb": 0},{"name":101, "count":20000000, "probb": 1000}]</t>
  </si>
  <si>
    <t>SuperBossMinigame_des_dragon_2</t>
  </si>
  <si>
    <t>[{"name":13762, "count": 25}]</t>
  </si>
  <si>
    <t>[{"name":101, "count":1500000, "probb": 500},{"name":0, "count":0, "probb": 0},{"name":101, "count":2400000, "probb": 500},{"name":0, "count":0, "probb": 0},{"name":101, "count":3000000, "probb": 500},{"name":0, "count":0, "probb": 0},{"name":101, "count":5000000, "probb": 500},{"name":0, "count":0, "probb": 0},{"name":101, "count":6400000, "probb": 1200},{"name":0, "count":0, "probb": 0},{"name":101, "count":10000000, "probb": 1200},{"name":101, "count":6400000, "probb": 1200},{"name":0, "count":0, "probb": 0},{"name":101, "count":10000000, "probb": 1200},{"name":101, "count":12000000, "probb": 1200},{"name":101, "count":16000000, "probb": 1200},{"name":0, "count":0, "probb": 0},{"name":101, "count":56000000, "probb": 800}]</t>
  </si>
  <si>
    <t>SuperBossMinigame_des_dragon_3</t>
  </si>
  <si>
    <t>[{"name":13762, "count": 60}]</t>
  </si>
  <si>
    <t>[{"name":101, "count":3200000, "probb": 500},{"name":0, "count":0, "probb": 0},{"name":101, "count":6000000, "probb": 500},{"name":0, "count":0, "probb": 0},{"name":101, "count":7500000, "probb": 500},{"name":0, "count":0, "probb": 0},{"name":101, "count":12000000, "probb": 500},{"name":0, "count":0, "probb": 0},{"name":101, "count":15000000, "probb": 1200},{"name":0, "count":0, "probb": 0},{"name":101, "count":24000000, "probb": 1200},{"name":101, "count":15000000, "probb": 1200},{"name":0, "count":0, "probb": 0},{"name":101, "count":24000000, "probb": 1200},{"name":101, "count":24000000, "probb": 1200},{"name":101, "count":36000000, "probb": 1200},{"name":0, "count":0, "probb": 0},{"name":101, "count":150000000, "probb": 800}]</t>
  </si>
  <si>
    <t>SuperBossMinigame_des_dragon_4</t>
  </si>
  <si>
    <t>[{"name":14116, "count": 20}]</t>
  </si>
  <si>
    <t>[{"name":101, "count":1000000, "probb": 400},{"name":0, "count":0, "probb": 0},{"name":101, "count":2500000, "probb": 400},{"name":0, "count":0, "probb": 0},{"name":101, "count":3000000, "probb": 500},{"name":0, "count":0, "probb": 0},{"name":101, "count":5000000, "probb": 500},{"name":0, "count":0, "probb": 0},{"name":101, "count":6000000, "probb": 1200},{"name":0, "count":0, "probb": 0},{"name":101, "count":8000000, "probb": 1200},{"name":101, "count":5000000, "probb": 1200},{"name":0, "count":0, "probb": 0},{"name":101, "count":8000000, "probb": 1200},{"name":101, "count":9000000, "probb": 1200},{"name":101, "count":12000000, "probb": 1200},{"name":0, "count":0, "probb": 0},{"name":101, "count":36000000, "probb": 1000}]</t>
  </si>
  <si>
    <t>SuperBossMinigame_des_dragon_5</t>
  </si>
  <si>
    <t>[{"name":14116, "count": 40}]</t>
  </si>
  <si>
    <t>[{"name":101, "count":2400000, "probb": 500},{"name":0, "count":0, "probb": 0},{"name":101, "count":3600000, "probb": 500},{"name":0, "count":0, "probb": 0},{"name":101, "count":4800000, "probb": 500},{"name":0, "count":0, "probb": 0},{"name":101, "count":8000000, "probb": 500},{"name":0, "count":0, "probb": 0},{"name":101, "count":10000000, "probb": 1200},{"name":0, "count":0, "probb": 0},{"name":101, "count":15000000, "probb": 1200},{"name":101, "count":10000000, "probb": 1200},{"name":0, "count":0, "probb": 0},{"name":101, "count":16000000, "probb": 1200},{"name":101, "count":18000000, "probb": 1200},{"name":101, "count":25000000, "probb": 1200},{"name":0, "count":0, "probb": 0},{"name":101, "count":96000000, "probb": 800}]</t>
  </si>
  <si>
    <t>SuperBossMinigame_des_dragon_6</t>
  </si>
  <si>
    <t>[{"name":14116, "count": 80}]</t>
  </si>
  <si>
    <t>[{"name":101, "count":4000000, "probb": 400},{"name":0, "count":0, "probb": 0},{"name":101, "count":8000000, "probb": 400},{"name":0, "count":0, "probb": 0},{"name":101, "count":12000000, "probb": 500},{"name":0, "count":0, "probb": 0},{"name":101, "count":15000000, "probb": 500},{"name":0, "count":0, "probb": 0},{"name":101, "count":20000000, "probb": 1200},{"name":0, "count":0, "probb": 0},{"name":101, "count":25000000, "probb": 1200},{"name":101, "count":20000000, "probb": 1200},{"name":0, "count":0, "probb": 0},{"name":101, "count":32000000, "probb": 1200},{"name":101, "count":36000000, "probb": 1300},{"name":101, "count":45000000, "probb": 1300},{"name":0, "count":0, "probb": 0},{"name":101, "count":200000000, "probb": 800}]</t>
  </si>
  <si>
    <t>roomId</t>
  </si>
  <si>
    <t>tabs</t>
  </si>
  <si>
    <t>poolPct</t>
  </si>
  <si>
    <t>nextDayPoolPct</t>
  </si>
  <si>
    <t>rule</t>
  </si>
  <si>
    <t>房间id</t>
  </si>
  <si>
    <r>
      <rPr>
        <sz val="12"/>
        <color rgb="FF000000"/>
        <rFont val="Verdana"/>
        <family val="2"/>
      </rPr>
      <t>tab</t>
    </r>
    <r>
      <rPr>
        <sz val="12"/>
        <color rgb="FF000000"/>
        <rFont val="华文宋体"/>
        <family val="3"/>
        <charset val="134"/>
      </rPr>
      <t>数据</t>
    </r>
  </si>
  <si>
    <t>奖池占房间奖池比例</t>
  </si>
  <si>
    <t>第二天奖池占房间奖池比例</t>
  </si>
  <si>
    <t>规则</t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</si>
  <si>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ID_SUPERBOSS_GAME_MINIGAME:44411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ID_SUPERBOSS_GAME_EXCHANGE:44411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33}, {"title":"ID_LAST_SUPERBOSS_RANK", "data": "lastrank", "param": 34}]</t>
    </r>
  </si>
  <si>
    <t>{"game":"ID_SUPERBOSS_RULE:44411"}</t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</si>
  <si>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ID_SUPERBOSS_GAME_MINIGAME:44411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ID_SUPERBOSS_GAME_EXCHANGE:44411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41}, {"title":"ID_LAST_SUPERBOSS_RANK", "data": "lastrank", "param": 42}]</t>
    </r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</si>
  <si>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ID_SUPERBOSS_GAME_MINIGAME:44412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ID_SUPERBOSS_GAME_EXCHANGE:44412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35}, {"title":"ID_LAST_SUPERBOSS_RANK", "data": "lastrank", "param": 36}]</t>
    </r>
  </si>
  <si>
    <t>{"game":"ID_SUPERBOSS_RULE:44412"}</t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</si>
  <si>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ID_SUPERBOSS_GAME_MINIGAME:44412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ID_SUPERBOSS_GAME_EXCHANGE:44412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43}, {"title":"ID_LAST_SUPERBOSS_RANK", "data": "lastrank", "param": 44}]</t>
    </r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</si>
  <si>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ID_SUPERBOSS_GAME_MINIGAME:44414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ID_SUPERBOSS_GAME_EXCHANGE:44414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37}, {"title":"ID_LAST_SUPERBOSS_RANK", "data": "lastrank", "param": 38}]</t>
    </r>
  </si>
  <si>
    <t>{"game":"ID_SUPERBOSS_RULE:44414"}</t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</si>
  <si>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ID_SUPERBOSS_GAME_MINIGAME:44414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ID_SUPERBOSS_GAME_EXCHANGE:44414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45}, {"title":"ID_LAST_SUPERBOSS_RANK", "data": "lastrank", "param": 46}]</t>
    </r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</si>
  <si>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ID_SUPERBOSS_GAME_MINIGAME:44415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ID_SUPERBOSS_GAME_EXCHANGE:44415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39}, {"title":"ID_LAST_SUPERBOSS_RANK", "data": "lastrank", "param": 40}]</t>
    </r>
  </si>
  <si>
    <t>{"game":"ID_SUPERBOSS_RULE:44415"}</t>
  </si>
  <si>
    <r>
      <rPr>
        <sz val="12"/>
        <color rgb="FF000000"/>
        <rFont val="Verdana"/>
        <family val="2"/>
      </rPr>
      <t>[{"title":"</t>
    </r>
    <r>
      <rPr>
        <sz val="12"/>
        <color rgb="FF000000"/>
        <rFont val="华文宋体"/>
        <family val="3"/>
        <charset val="134"/>
      </rPr>
      <t>ID_SUPERBOSS_GAME_MINIGAME:44415</t>
    </r>
    <r>
      <rPr>
        <sz val="12"/>
        <color rgb="FF000000"/>
        <rFont val="Verdana"/>
        <family val="2"/>
      </rPr>
      <t>", "data": "minigame"}, {"title":"</t>
    </r>
    <r>
      <rPr>
        <sz val="12"/>
        <color rgb="FF000000"/>
        <rFont val="华文宋体"/>
        <family val="3"/>
        <charset val="134"/>
      </rPr>
      <t>ID_SUPERBOSS_GAME_EXCHANGE:44415</t>
    </r>
    <r>
      <rPr>
        <sz val="12"/>
        <color rgb="FF000000"/>
        <rFont val="Verdana"/>
        <family val="2"/>
      </rPr>
      <t>", "data": "convert"}, {"title":"</t>
    </r>
    <r>
      <rPr>
        <sz val="12"/>
        <color rgb="FF000000"/>
        <rFont val="华文宋体"/>
        <family val="3"/>
        <charset val="134"/>
      </rPr>
      <t>ID_SUPERBOSS_RANK</t>
    </r>
    <r>
      <rPr>
        <sz val="12"/>
        <color rgb="FF000000"/>
        <rFont val="Verdana"/>
        <family val="2"/>
      </rPr>
      <t>", "data": "rank", "param": 47}, {"title":"ID_LAST_SUPERBOSS_RANK", "data": "lastrank", "param": 48}]</t>
    </r>
  </si>
  <si>
    <t>kindId</t>
  </si>
  <si>
    <r>
      <rPr>
        <sz val="14"/>
        <color indexed="8"/>
        <rFont val="Tahoma"/>
        <family val="2"/>
      </rPr>
      <t>鱼</t>
    </r>
    <r>
      <rPr>
        <sz val="14"/>
        <color rgb="FF000000"/>
        <rFont val="Tahoma"/>
        <family val="2"/>
      </rPr>
      <t>ID</t>
    </r>
  </si>
  <si>
    <t>金币模式下掉落道具ID</t>
  </si>
  <si>
    <t>价值</t>
  </si>
  <si>
    <r>
      <rPr>
        <sz val="14"/>
        <color rgb="FF000000"/>
        <rFont val="方正书宋_GBK"/>
        <charset val="134"/>
      </rPr>
      <t>金环模式下掉落道具</t>
    </r>
    <r>
      <rPr>
        <sz val="14"/>
        <color rgb="FF000000"/>
        <rFont val="Tahoma"/>
        <family val="2"/>
      </rPr>
      <t>ID</t>
    </r>
  </si>
  <si>
    <r>
      <rPr>
        <sz val="14"/>
        <color indexed="8"/>
        <rFont val="宋体"/>
        <family val="3"/>
        <charset val="134"/>
      </rPr>
      <t>远古寒龙阶段</t>
    </r>
    <r>
      <rPr>
        <sz val="14"/>
        <color indexed="8"/>
        <rFont val="Tahoma"/>
        <family val="2"/>
      </rPr>
      <t>2</t>
    </r>
  </si>
  <si>
    <t>gunskin_name</t>
  </si>
  <si>
    <t>gunskin_id</t>
  </si>
  <si>
    <t>gunskin_level</t>
  </si>
  <si>
    <t>multiple</t>
  </si>
  <si>
    <t>unlock_type</t>
  </si>
  <si>
    <t>unlock_value</t>
  </si>
  <si>
    <t>equip_type</t>
  </si>
  <si>
    <t>equip_value</t>
  </si>
  <si>
    <t>exp</t>
  </si>
  <si>
    <t>sum_exp</t>
  </si>
  <si>
    <t>effect_addition</t>
  </si>
  <si>
    <t>effect_type</t>
  </si>
  <si>
    <t>probb</t>
  </si>
  <si>
    <t>unlock_desc</t>
  </si>
  <si>
    <t>equip_desc</t>
  </si>
  <si>
    <t xml:space="preserve">unit_price </t>
  </si>
  <si>
    <t>skins</t>
  </si>
  <si>
    <t>fire_count</t>
  </si>
  <si>
    <t>power_rate</t>
  </si>
  <si>
    <t>percent</t>
  </si>
  <si>
    <t>odds</t>
  </si>
  <si>
    <t>arr</t>
  </si>
  <si>
    <t>皮肤炮名</t>
  </si>
  <si>
    <t>皮肤炮ID</t>
  </si>
  <si>
    <t>皮肤炮等级</t>
  </si>
  <si>
    <t>消耗&amp;奖励倍率</t>
  </si>
  <si>
    <t>解锁条件</t>
  </si>
  <si>
    <r>
      <rPr>
        <sz val="14"/>
        <color rgb="FF000000"/>
        <rFont val="华文宋体"/>
        <family val="3"/>
        <charset val="134"/>
      </rPr>
      <t>条件数值</t>
    </r>
    <r>
      <rPr>
        <sz val="14"/>
        <color rgb="FF000000"/>
        <rFont val="Tahoma"/>
        <family val="2"/>
      </rPr>
      <t>(</t>
    </r>
    <r>
      <rPr>
        <sz val="14"/>
        <color rgb="FF000000"/>
        <rFont val="华文宋体"/>
        <family val="3"/>
        <charset val="134"/>
      </rPr>
      <t>火炮倍率</t>
    </r>
    <r>
      <rPr>
        <sz val="14"/>
        <color rgb="FF000000"/>
        <rFont val="Tahoma"/>
        <family val="2"/>
      </rPr>
      <t>)</t>
    </r>
  </si>
  <si>
    <t>装备条件</t>
  </si>
  <si>
    <t>所需经验</t>
  </si>
  <si>
    <t>累计经验</t>
  </si>
  <si>
    <t>熟练效果加成</t>
  </si>
  <si>
    <t>效果类型</t>
  </si>
  <si>
    <t>触发概率</t>
  </si>
  <si>
    <t>单价</t>
  </si>
  <si>
    <t>对应皮肤的Id</t>
  </si>
  <si>
    <t>狂暴开火数需求</t>
  </si>
  <si>
    <t>狂暴弹最大威力</t>
  </si>
  <si>
    <t>狂暴时间</t>
  </si>
  <si>
    <t>储能比例</t>
  </si>
  <si>
    <t>概率系数</t>
  </si>
  <si>
    <t>出现概率</t>
  </si>
  <si>
    <t>ID_CONFIG_GUN_NAME_1</t>
  </si>
  <si>
    <t>[0,1366,14182,14183,14184,-1]</t>
  </si>
  <si>
    <t>ID_CONFIG_GUN_NAME_2</t>
  </si>
  <si>
    <t>ID_CONFIG_LEVEL_UNLOCK_MULTIPLE</t>
  </si>
  <si>
    <t>ID_CONFIG_LEVEL_EQUIP_MULTIPLE</t>
  </si>
  <si>
    <t>[1352,1395,-1]</t>
  </si>
  <si>
    <t>ID_CONFIG_GUN_NAME_3</t>
  </si>
  <si>
    <t>[1353,1472,-1]</t>
  </si>
  <si>
    <t>ID_CONFIG_GUN_NAME_4</t>
  </si>
  <si>
    <t>[1354,1473,-1]</t>
  </si>
  <si>
    <t>ID_CONFIG_GUN_NAME_5</t>
  </si>
  <si>
    <t>[1355,1476,-1]</t>
  </si>
  <si>
    <t>ID_CONFIG_GUN_NAME_6</t>
  </si>
  <si>
    <t>[1356,1478,-1]</t>
  </si>
  <si>
    <t>ID_CONFIG_GUN_NAME_7</t>
  </si>
  <si>
    <t>[1357,-1,-1]</t>
  </si>
  <si>
    <t>skinId</t>
  </si>
  <si>
    <t>gunId</t>
  </si>
  <si>
    <t>consumeCount</t>
  </si>
  <si>
    <t>皮肤ID</t>
  </si>
  <si>
    <t>对应的火炮ID</t>
  </si>
  <si>
    <t>消耗物品ID</t>
  </si>
  <si>
    <t>合成需要消耗碎片数</t>
  </si>
  <si>
    <t>gunLevel</t>
  </si>
  <si>
    <t>num</t>
  </si>
  <si>
    <t>rate</t>
  </si>
  <si>
    <t>weight</t>
  </si>
  <si>
    <t>fireInterval</t>
  </si>
  <si>
    <t>levelAddition</t>
  </si>
  <si>
    <t>levelValue</t>
  </si>
  <si>
    <t>千炮火炮</t>
  </si>
  <si>
    <t>所需道具ID</t>
  </si>
  <si>
    <t>所需数量</t>
  </si>
  <si>
    <t>成功率</t>
  </si>
  <si>
    <t>100%升级成功率所需道具ID</t>
  </si>
  <si>
    <t>升级失败返还道具ID</t>
  </si>
  <si>
    <t>返还数量</t>
  </si>
  <si>
    <t>权重</t>
  </si>
  <si>
    <t>开火间隔</t>
  </si>
  <si>
    <t>大奖赛等级加成</t>
  </si>
  <si>
    <t>倍率</t>
  </si>
  <si>
    <t>weapon_name</t>
  </si>
  <si>
    <t>weapon_cost</t>
  </si>
  <si>
    <t>weapon_power</t>
  </si>
  <si>
    <t>match_addition</t>
  </si>
  <si>
    <t>cooldown</t>
  </si>
  <si>
    <t>bullet_speed</t>
  </si>
  <si>
    <t>net_size</t>
  </si>
  <si>
    <t>weapon_icon</t>
  </si>
  <si>
    <t>bullet_animation</t>
  </si>
  <si>
    <t>explosion_animation</t>
  </si>
  <si>
    <t>weapon_power_ratio</t>
  </si>
  <si>
    <t>武器索引</t>
  </si>
  <si>
    <t>武器名</t>
  </si>
  <si>
    <t>武器ID</t>
  </si>
  <si>
    <t>武器威力</t>
  </si>
  <si>
    <t>炮等级对比赛的加成</t>
  </si>
  <si>
    <t>发射间隔</t>
  </si>
  <si>
    <t>弹失速度</t>
  </si>
  <si>
    <t>渔网大小</t>
  </si>
  <si>
    <t>武器图标</t>
  </si>
  <si>
    <t>子弹动画</t>
  </si>
  <si>
    <t>爆炸动画</t>
  </si>
  <si>
    <t>威力系数</t>
  </si>
  <si>
    <t>10倍炮</t>
  </si>
  <si>
    <t>bullet01</t>
  </si>
  <si>
    <t>15倍炮</t>
  </si>
  <si>
    <t>20倍炮</t>
  </si>
  <si>
    <t>25倍炮</t>
  </si>
  <si>
    <t>30倍炮</t>
  </si>
  <si>
    <t>40倍炮</t>
  </si>
  <si>
    <t>50倍炮</t>
  </si>
  <si>
    <t>60倍炮</t>
  </si>
  <si>
    <t>70倍炮</t>
  </si>
  <si>
    <t>80倍炮</t>
  </si>
  <si>
    <t>90倍炮</t>
  </si>
  <si>
    <t>100倍炮</t>
  </si>
  <si>
    <t>150倍炮</t>
  </si>
  <si>
    <t>200倍炮</t>
  </si>
  <si>
    <t>250倍炮</t>
  </si>
  <si>
    <t>300倍炮</t>
  </si>
  <si>
    <t>350倍炮</t>
  </si>
  <si>
    <t>400倍炮</t>
  </si>
  <si>
    <t>450倍炮</t>
  </si>
  <si>
    <t>500倍炮</t>
  </si>
  <si>
    <t>600倍炮</t>
  </si>
  <si>
    <t>700倍炮</t>
  </si>
  <si>
    <t>800倍炮</t>
  </si>
  <si>
    <t>900倍炮</t>
  </si>
  <si>
    <t>1000倍炮</t>
  </si>
  <si>
    <t>1500倍炮</t>
  </si>
  <si>
    <t>2000倍炮</t>
  </si>
  <si>
    <t>2500倍炮</t>
  </si>
  <si>
    <t>3000倍炮</t>
  </si>
  <si>
    <t>3500倍炮</t>
  </si>
  <si>
    <t>4000倍炮</t>
  </si>
  <si>
    <t>4500倍炮</t>
  </si>
  <si>
    <t>5000倍炮</t>
  </si>
  <si>
    <t>6000倍炮</t>
  </si>
  <si>
    <t>7000倍炮</t>
  </si>
  <si>
    <t>8000倍炮</t>
  </si>
  <si>
    <t>9000倍炮</t>
  </si>
  <si>
    <t>10000倍炮</t>
  </si>
  <si>
    <t>15000倍炮</t>
  </si>
  <si>
    <t>20000倍炮</t>
  </si>
  <si>
    <t>25000倍炮</t>
  </si>
  <si>
    <t>30000倍炮</t>
  </si>
  <si>
    <t>35000倍炮</t>
  </si>
  <si>
    <t>40000倍炮</t>
  </si>
  <si>
    <t>45000倍炮</t>
  </si>
  <si>
    <t>50000倍炮</t>
  </si>
  <si>
    <t>60000倍炮</t>
  </si>
  <si>
    <t>70000倍炮</t>
  </si>
  <si>
    <t>80000倍炮</t>
  </si>
  <si>
    <t>90000倍炮</t>
  </si>
  <si>
    <t>100000倍炮</t>
  </si>
  <si>
    <t>合金飞弹技能</t>
  </si>
  <si>
    <t>魔术炮技能</t>
  </si>
  <si>
    <t>火蛇加农炮技能</t>
  </si>
  <si>
    <t>极冻炮技能</t>
  </si>
  <si>
    <t>榴弹炮技能</t>
  </si>
  <si>
    <t>汇能弹技能</t>
  </si>
  <si>
    <t>欺诈水晶技能</t>
  </si>
  <si>
    <t>激光炮技能</t>
  </si>
  <si>
    <t>猎鱼机甲技能</t>
  </si>
  <si>
    <t>格林机关枪技能</t>
  </si>
  <si>
    <t>捕鱼机器人爆炸</t>
  </si>
  <si>
    <t>招财模式1级火炮</t>
  </si>
  <si>
    <t>招财模式2级火炮</t>
  </si>
  <si>
    <t>招财模式3级火炮</t>
  </si>
  <si>
    <t>招财模式4级火炮</t>
  </si>
  <si>
    <t>招财模式5级火炮</t>
  </si>
  <si>
    <t>招财模式6级火炮</t>
  </si>
  <si>
    <t>招财模式7级火炮</t>
  </si>
  <si>
    <t>招财模式8级火炮</t>
  </si>
  <si>
    <t>招财模式9级火炮</t>
  </si>
  <si>
    <t>招财模式10级火炮</t>
  </si>
  <si>
    <t>钻头</t>
  </si>
  <si>
    <t>大冰龙</t>
  </si>
  <si>
    <t>fishName</t>
  </si>
  <si>
    <t>percent1</t>
  </si>
  <si>
    <t>probability1</t>
  </si>
  <si>
    <t>鱼名</t>
  </si>
  <si>
    <t>随机值</t>
  </si>
  <si>
    <t>list</t>
  </si>
  <si>
    <t>[0.4,0.7]</t>
  </si>
  <si>
    <t>[0.75,0.95]</t>
  </si>
  <si>
    <t>[0.85,1.5]</t>
  </si>
  <si>
    <t>[1.5,2]</t>
  </si>
  <si>
    <t>[2,2.5]</t>
  </si>
  <si>
    <r>
      <rPr>
        <sz val="14"/>
        <color rgb="FF000000"/>
        <rFont val="Helvetica"/>
        <family val="2"/>
      </rPr>
      <t>1</t>
    </r>
    <r>
      <rPr>
        <sz val="14"/>
        <color rgb="FF000000"/>
        <rFont val="方正书宋_GBK"/>
        <charset val="134"/>
      </rPr>
      <t>次</t>
    </r>
  </si>
  <si>
    <r>
      <rPr>
        <sz val="14"/>
        <color rgb="FF000000"/>
        <rFont val="Helvetica"/>
        <family val="2"/>
      </rPr>
      <t>2</t>
    </r>
    <r>
      <rPr>
        <sz val="14"/>
        <color rgb="FF000000"/>
        <rFont val="方正书宋_GBK"/>
        <charset val="134"/>
      </rPr>
      <t>次</t>
    </r>
  </si>
  <si>
    <r>
      <rPr>
        <sz val="14"/>
        <color rgb="FF000000"/>
        <rFont val="Helvetica"/>
        <family val="2"/>
      </rPr>
      <t>3</t>
    </r>
    <r>
      <rPr>
        <sz val="14"/>
        <color rgb="FF000000"/>
        <rFont val="方正书宋_GBK"/>
        <charset val="134"/>
      </rPr>
      <t>次</t>
    </r>
  </si>
  <si>
    <r>
      <rPr>
        <sz val="14"/>
        <color rgb="FF000000"/>
        <rFont val="Helvetica"/>
        <family val="2"/>
      </rPr>
      <t>4</t>
    </r>
    <r>
      <rPr>
        <sz val="14"/>
        <color rgb="FF000000"/>
        <rFont val="方正书宋_GBK"/>
        <charset val="134"/>
      </rPr>
      <t>次</t>
    </r>
  </si>
  <si>
    <r>
      <rPr>
        <sz val="14"/>
        <color rgb="FF000000"/>
        <rFont val="Helvetica"/>
        <family val="2"/>
      </rPr>
      <t>5</t>
    </r>
    <r>
      <rPr>
        <sz val="14"/>
        <color rgb="FF000000"/>
        <rFont val="方正书宋_GBK"/>
        <charset val="134"/>
      </rPr>
      <t>次</t>
    </r>
  </si>
  <si>
    <r>
      <rPr>
        <sz val="14"/>
        <color rgb="FF000000"/>
        <rFont val="Helvetica"/>
        <family val="2"/>
      </rPr>
      <t>6</t>
    </r>
    <r>
      <rPr>
        <sz val="14"/>
        <color rgb="FF000000"/>
        <rFont val="方正书宋_GBK"/>
        <charset val="134"/>
      </rPr>
      <t>次</t>
    </r>
  </si>
  <si>
    <t>maxSpinTimes</t>
  </si>
  <si>
    <t>costValue</t>
  </si>
  <si>
    <t>ratio</t>
  </si>
  <si>
    <t>rewards</t>
  </si>
  <si>
    <t>reset</t>
  </si>
  <si>
    <t>bet</t>
  </si>
  <si>
    <t>fishpool</t>
  </si>
  <si>
    <t>data</t>
  </si>
  <si>
    <t>condition</t>
  </si>
  <si>
    <r>
      <rPr>
        <sz val="12"/>
        <color indexed="8"/>
        <rFont val="Helvetica"/>
        <family val="2"/>
      </rPr>
      <t>抽奖累计次数</t>
    </r>
  </si>
  <si>
    <r>
      <rPr>
        <sz val="12"/>
        <color indexed="8"/>
        <rFont val="Helvetica"/>
        <family val="2"/>
      </rPr>
      <t>抽奖阶段</t>
    </r>
  </si>
  <si>
    <r>
      <rPr>
        <sz val="12"/>
        <color indexed="8"/>
        <rFont val="Helvetica"/>
        <family val="2"/>
      </rPr>
      <t>耗能</t>
    </r>
  </si>
  <si>
    <r>
      <rPr>
        <sz val="12"/>
        <color indexed="8"/>
        <rFont val="Helvetica"/>
        <family val="2"/>
      </rPr>
      <t>阶段</t>
    </r>
  </si>
  <si>
    <r>
      <rPr>
        <sz val="12"/>
        <color indexed="8"/>
        <rFont val="Helvetica"/>
        <family val="2"/>
      </rPr>
      <t>可选取的翻倍倍数</t>
    </r>
  </si>
  <si>
    <r>
      <rPr>
        <sz val="12"/>
        <color indexed="8"/>
        <rFont val="Helvetica"/>
        <family val="2"/>
      </rPr>
      <t>奖励</t>
    </r>
  </si>
  <si>
    <r>
      <rPr>
        <sz val="12"/>
        <color indexed="8"/>
        <rFont val="Helvetica"/>
        <family val="2"/>
      </rPr>
      <t>权重</t>
    </r>
  </si>
  <si>
    <r>
      <rPr>
        <sz val="12"/>
        <color indexed="8"/>
        <rFont val="Helvetica"/>
        <family val="2"/>
      </rPr>
      <t>转到重置</t>
    </r>
  </si>
  <si>
    <r>
      <rPr>
        <sz val="12"/>
        <color indexed="8"/>
        <rFont val="Helvetica"/>
        <family val="2"/>
      </rPr>
      <t>倍数</t>
    </r>
  </si>
  <si>
    <r>
      <rPr>
        <sz val="12"/>
        <color indexed="8"/>
        <rFont val="Helvetica"/>
        <family val="2"/>
      </rPr>
      <t>渔场</t>
    </r>
  </si>
  <si>
    <r>
      <rPr>
        <sz val="12"/>
        <color indexed="8"/>
        <rFont val="Helvetica"/>
        <family val="2"/>
      </rPr>
      <t>倍率</t>
    </r>
  </si>
  <si>
    <r>
      <rPr>
        <sz val="12"/>
        <color rgb="FF000000"/>
        <rFont val="Helvetica"/>
        <family val="2"/>
      </rPr>
      <t>最低捕获鱼的条数</t>
    </r>
  </si>
  <si>
    <t>[2]</t>
  </si>
  <si>
    <t>{"name":101,"count":5000}</t>
  </si>
  <si>
    <t>{"name":101,"count":200}</t>
  </si>
  <si>
    <t>{"name":101,"count":1500}</t>
  </si>
  <si>
    <t>{"name":101,"count":400}</t>
  </si>
  <si>
    <t>{"name":101,"count":600}</t>
  </si>
  <si>
    <t>{"name":101,"count":2500}</t>
  </si>
  <si>
    <t>{"name":101,"count":300}</t>
  </si>
  <si>
    <t>{"name":101,"count":1000}</t>
  </si>
  <si>
    <t>{"name":101,"count":500}</t>
  </si>
  <si>
    <t>{"name":101,"count":750}</t>
  </si>
  <si>
    <t>[{"ratio":0, "extra":0, "weight":100,"rate":"50%"},{"ratio":2, "extra":0, "weight":100,"rate":"50%"}]</t>
  </si>
  <si>
    <t>[2,3]</t>
  </si>
  <si>
    <t>{"name":101,"count":400000}</t>
  </si>
  <si>
    <t>{"name":101,"count":16000}</t>
  </si>
  <si>
    <t>{"name":101,"count":120000}</t>
  </si>
  <si>
    <t>{"name":101,"count":32000}</t>
  </si>
  <si>
    <t>{"name":101,"count":48000}</t>
  </si>
  <si>
    <t>{"name":101,"count":200000}</t>
  </si>
  <si>
    <t>{"name":101,"count":24000}</t>
  </si>
  <si>
    <t>{"name":101,"count":80000}</t>
  </si>
  <si>
    <t>{"name":101,"count":40000}</t>
  </si>
  <si>
    <t>{"name":101,"count":60000}</t>
  </si>
  <si>
    <t>[{"ratio":0, "extra":0, "weight":100,"rate":"33%"},{"ratio":0, "extra":0, "weight":100,"rate":"33%"},{"ratio":3, "extra":0, "weight":100,"rate":"34%"}]</t>
  </si>
  <si>
    <t>{"name":101,"count":5000000}</t>
  </si>
  <si>
    <t>{"name":101,"count":1500000}</t>
  </si>
  <si>
    <t>{"name":101,"count":600000}</t>
  </si>
  <si>
    <t>{"name":101,"count":2500000}</t>
  </si>
  <si>
    <t>{"name":101,"count":300000}</t>
  </si>
  <si>
    <t>{"name":101,"count":1000000}</t>
  </si>
  <si>
    <t>{"name":101,"count":500000}</t>
  </si>
  <si>
    <t>{"name":101,"count":750000}</t>
  </si>
  <si>
    <t>[{"ratio":0, "extra":0, "weight":100,"rate":"25%"},{"ratio":0, "extra":0, "weight":100,"rate":"25%"},{"ratio":0, "extra":0, "weight":100,"rate":"25%"},{"ratio":4, "extra":0, "weight":100,"rate":"25%"}]</t>
  </si>
  <si>
    <t>[2,3,4]</t>
  </si>
  <si>
    <t>{"name":101,"count":25000000}</t>
  </si>
  <si>
    <t>{"name":101,"count":900000}</t>
  </si>
  <si>
    <t>{"name":101,"count":6500000}</t>
  </si>
  <si>
    <t>{"name":101,"count":1600000}</t>
  </si>
  <si>
    <t>{"name":101,"count":2400000}</t>
  </si>
  <si>
    <t>{"name":101,"count":12000000}</t>
  </si>
  <si>
    <t>{"name":101,"count":1300000}</t>
  </si>
  <si>
    <t>{"name":101,"count":4500000}</t>
  </si>
  <si>
    <t>{"name":101,"count":2000000}</t>
  </si>
  <si>
    <t>{"name":101,"count":3500000}</t>
  </si>
  <si>
    <t>{"name":101,"count":75000000}</t>
  </si>
  <si>
    <t>{"name":101,"count":3000000}</t>
  </si>
  <si>
    <t>{"name":101,"count":20000000}</t>
  </si>
  <si>
    <t>{"name":101,"count":6000000}</t>
  </si>
  <si>
    <t>{"name":101,"count":9000000}</t>
  </si>
  <si>
    <t>{"name":101,"count":36000000}</t>
  </si>
  <si>
    <t>{"name":101,"count":4000000}</t>
  </si>
  <si>
    <t>{"name":101,"count":15000000}</t>
  </si>
  <si>
    <t>{"name":101,"count":7000000}</t>
  </si>
  <si>
    <t>bigroom</t>
  </si>
  <si>
    <t>skill_id1</t>
  </si>
  <si>
    <t>weight_1</t>
  </si>
  <si>
    <t>skill_id2</t>
  </si>
  <si>
    <t>weight_2</t>
  </si>
  <si>
    <t>渔场编号</t>
  </si>
  <si>
    <t>第一个技能</t>
  </si>
  <si>
    <t>第二个技能</t>
  </si>
  <si>
    <t>火舌加农炮</t>
  </si>
  <si>
    <t>汇能枪</t>
  </si>
  <si>
    <t>fishPool</t>
  </si>
  <si>
    <t>cSupplyInterval</t>
  </si>
  <si>
    <t>sSupplyInterval</t>
  </si>
  <si>
    <t>fishCategory</t>
  </si>
  <si>
    <t>groupType</t>
  </si>
  <si>
    <t>fishId</t>
  </si>
  <si>
    <t>fishCount</t>
  </si>
  <si>
    <t>minCount</t>
  </si>
  <si>
    <t>maxCount</t>
  </si>
  <si>
    <t>所在渔场</t>
  </si>
  <si>
    <t>鱼类填充时间间隔</t>
  </si>
  <si>
    <t>鱼群填充时间间隔</t>
  </si>
  <si>
    <t>分组规则</t>
  </si>
  <si>
    <t>鱼名称</t>
  </si>
  <si>
    <t>鱼数量</t>
  </si>
  <si>
    <t>最少条数</t>
  </si>
  <si>
    <t>最多条数</t>
  </si>
  <si>
    <t>gSupplyInterval</t>
  </si>
  <si>
    <t>group_name</t>
  </si>
  <si>
    <t>quest_id</t>
  </si>
  <si>
    <t>tip_seconds</t>
  </si>
  <si>
    <t>ready_seconds</t>
  </si>
  <si>
    <t>time_long</t>
  </si>
  <si>
    <t>task_type</t>
  </si>
  <si>
    <t>target</t>
  </si>
  <si>
    <t>number</t>
  </si>
  <si>
    <t>count</t>
  </si>
  <si>
    <t>鱼阵</t>
  </si>
  <si>
    <t>任务ID</t>
  </si>
  <si>
    <t>提示时长</t>
  </si>
  <si>
    <t>任务时长</t>
  </si>
  <si>
    <t>任务类型</t>
  </si>
  <si>
    <t>任务描述</t>
  </si>
  <si>
    <t>目标</t>
  </si>
  <si>
    <t>数量</t>
  </si>
  <si>
    <t>奖励</t>
  </si>
  <si>
    <t>tide_44411_1</t>
  </si>
  <si>
    <t>ID_CONFIG_TIDE_TASK_DESC_1</t>
  </si>
  <si>
    <t>tide_44411_2</t>
  </si>
  <si>
    <t>tide_44411_3</t>
  </si>
  <si>
    <t>ID_CONFIG_TIDE_TASK_DESC_2</t>
  </si>
  <si>
    <t>tide_44411_4</t>
  </si>
  <si>
    <t>ID_CONFIG_TIDE_TASK_DESC_3</t>
  </si>
  <si>
    <t>tide_44411_5</t>
  </si>
  <si>
    <t>tide_44411_6</t>
  </si>
  <si>
    <t>tide_44411_7</t>
  </si>
  <si>
    <t>tide_44411_8</t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</si>
  <si>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_1</t>
    </r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</si>
  <si>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_2</t>
    </r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</si>
  <si>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_3</t>
    </r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</si>
  <si>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_4</t>
    </r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</si>
  <si>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_5</t>
    </r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</si>
  <si>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_6</t>
    </r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</si>
  <si>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_7</t>
    </r>
  </si>
  <si>
    <r>
      <rPr>
        <sz val="12"/>
        <color indexed="8"/>
        <rFont val="Verdana"/>
        <family val="2"/>
      </rPr>
      <t>tide_4441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_8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</si>
  <si>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_1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</si>
  <si>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_2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</si>
  <si>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_3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</si>
  <si>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_4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</si>
  <si>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_5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</si>
  <si>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_6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</si>
  <si>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_7</t>
    </r>
  </si>
  <si>
    <r>
      <rPr>
        <sz val="12"/>
        <color indexed="8"/>
        <rFont val="Verdana"/>
        <family val="2"/>
      </rPr>
      <t>tide_44413</t>
    </r>
    <r>
      <rPr>
        <sz val="12"/>
        <color indexed="8"/>
        <rFont val="Verdana"/>
        <family val="2"/>
      </rPr>
      <t>_8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</si>
  <si>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_1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</si>
  <si>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_2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</si>
  <si>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_3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</si>
  <si>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_4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</si>
  <si>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_5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</si>
  <si>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_6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</si>
  <si>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_7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</si>
  <si>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_8</t>
    </r>
  </si>
  <si>
    <r>
      <rPr>
        <sz val="12"/>
        <color indexed="8"/>
        <rFont val="Verdana"/>
        <family val="2"/>
      </rPr>
      <t>tide_44414</t>
    </r>
    <r>
      <rPr>
        <sz val="12"/>
        <color indexed="8"/>
        <rFont val="Verdana"/>
        <family val="2"/>
      </rPr>
      <t>_9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</si>
  <si>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_1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</si>
  <si>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_2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</si>
  <si>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_3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</si>
  <si>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_4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</si>
  <si>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_5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</si>
  <si>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_6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</si>
  <si>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_7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</si>
  <si>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_8</t>
    </r>
  </si>
  <si>
    <r>
      <rPr>
        <sz val="12"/>
        <color indexed="8"/>
        <rFont val="Verdana"/>
        <family val="2"/>
      </rPr>
      <t>tide_44415</t>
    </r>
    <r>
      <rPr>
        <sz val="12"/>
        <color indexed="8"/>
        <rFont val="Verdana"/>
        <family val="2"/>
      </rPr>
      <t>_9</t>
    </r>
  </si>
  <si>
    <t>multiple1</t>
  </si>
  <si>
    <t>high_probb1</t>
  </si>
  <si>
    <t>high_probb</t>
  </si>
  <si>
    <t>multiple2</t>
  </si>
  <si>
    <t>high_probb2</t>
  </si>
  <si>
    <t>multiple3</t>
  </si>
  <si>
    <t>high_probb3</t>
  </si>
  <si>
    <t>multiple4</t>
  </si>
  <si>
    <t>high_probb4</t>
  </si>
  <si>
    <t>multiple5</t>
  </si>
  <si>
    <t>multiple6</t>
  </si>
  <si>
    <t>倍数</t>
  </si>
  <si>
    <t>倍率奖池高概率</t>
  </si>
  <si>
    <t>充值奖池高概率</t>
  </si>
  <si>
    <t>fish_name</t>
  </si>
  <si>
    <t>fish_id</t>
  </si>
  <si>
    <t>fish_type</t>
  </si>
  <si>
    <t>nil_HP_probb</t>
  </si>
  <si>
    <t>HP_probb</t>
  </si>
  <si>
    <t>fish_hp</t>
  </si>
  <si>
    <t>掉落道具</t>
  </si>
  <si>
    <t>加倍鱼倍率</t>
  </si>
  <si>
    <t>加倍鱼出现渔场</t>
  </si>
  <si>
    <t>44101|44102|44104|44201</t>
  </si>
  <si>
    <t>天使鱼</t>
  </si>
  <si>
    <t>44101|44102|44103|44104|44201</t>
  </si>
  <si>
    <t>44102|44103</t>
  </si>
  <si>
    <t>章鱼王</t>
  </si>
  <si>
    <t>倍率大白鲨</t>
  </si>
  <si>
    <t>lucky_value</t>
  </si>
  <si>
    <t>幸运值</t>
  </si>
  <si>
    <t>range</t>
  </si>
  <si>
    <t>固定倍率鱼范围</t>
  </si>
  <si>
    <t>成为固定倍率鱼概率</t>
  </si>
  <si>
    <t>[11008,11009,11010,11011,11012,11013,11015,11017,11018,11020,11021,11090,11092,11214]</t>
  </si>
  <si>
    <t>[11008,11009,11010,11011,11012,11013,11015,11016,11017,11090,11092,11214]</t>
  </si>
  <si>
    <t>[11007,11008,11009,11010,11011,11012,11013,11015,11016,11017,11018,11020,11021,11024,11025,11026,11090,11092,11214]</t>
  </si>
  <si>
    <t>[11007,11008,11010,11012,11085,11090]</t>
  </si>
  <si>
    <t xml:space="preserve"> </t>
  </si>
  <si>
    <t>weaponIds</t>
  </si>
  <si>
    <t>weaponType</t>
  </si>
  <si>
    <t>cd_reduce</t>
  </si>
  <si>
    <t>coin_add</t>
  </si>
  <si>
    <t>power_add</t>
  </si>
  <si>
    <t>delayTime</t>
  </si>
  <si>
    <t>sting</t>
  </si>
  <si>
    <r>
      <rPr>
        <sz val="14"/>
        <color indexed="8"/>
        <rFont val="Tahoma"/>
        <family val="2"/>
      </rPr>
      <t>buffer</t>
    </r>
    <r>
      <rPr>
        <sz val="14"/>
        <color indexed="8"/>
        <rFont val="宋体"/>
        <family val="3"/>
        <charset val="134"/>
      </rPr>
      <t>的</t>
    </r>
    <r>
      <rPr>
        <sz val="14"/>
        <color indexed="8"/>
        <rFont val="Tahoma"/>
        <family val="2"/>
      </rPr>
      <t>Id</t>
    </r>
  </si>
  <si>
    <t>对哪些武器Id</t>
  </si>
  <si>
    <t>针对的武器类型</t>
  </si>
  <si>
    <t>技能冷却时间减少的百分比</t>
  </si>
  <si>
    <t>金币加成</t>
  </si>
  <si>
    <t>威力加成</t>
  </si>
  <si>
    <t>持续时间s</t>
  </si>
  <si>
    <t>延时触发时间s</t>
  </si>
  <si>
    <t>[]</t>
  </si>
  <si>
    <t>技能cd</t>
  </si>
  <si>
    <t>分数双倍</t>
  </si>
  <si>
    <t>[1,2,3]</t>
  </si>
  <si>
    <t>威力双倍</t>
  </si>
  <si>
    <t>fish7</t>
  </si>
  <si>
    <t>probb7</t>
  </si>
  <si>
    <t>fish8</t>
  </si>
  <si>
    <t>probb8</t>
  </si>
  <si>
    <t>gunX</t>
  </si>
  <si>
    <t>dropGroupId</t>
  </si>
  <si>
    <t>min</t>
  </si>
  <si>
    <t>max</t>
  </si>
  <si>
    <t>probability</t>
  </si>
  <si>
    <t>typeList</t>
  </si>
  <si>
    <t>dropData</t>
  </si>
  <si>
    <t>炮倍数</t>
  </si>
  <si>
    <t>掉落组</t>
  </si>
  <si>
    <t>最小掉落数</t>
  </si>
  <si>
    <t>最大掉落数</t>
  </si>
  <si>
    <t>掉落难度</t>
  </si>
  <si>
    <t>掉落组索引</t>
  </si>
  <si>
    <t>鱼类型数组</t>
  </si>
  <si>
    <t>掉落数据1(uid为偶数)</t>
  </si>
  <si>
    <t>掉落数据2(uid为奇数)</t>
  </si>
  <si>
    <t>[1, 2, 3, 31, 32, 36, 38]</t>
  </si>
  <si>
    <t>[{"kindId":3106,"poss":100}]</t>
  </si>
  <si>
    <t>[1, 3, 32, 36, 38]</t>
  </si>
  <si>
    <t>[{"kindId":1137,"poss":100}]</t>
  </si>
  <si>
    <t>珍珠</t>
  </si>
  <si>
    <t>[{"kindId":1429,"poss":60},{"kindId":1430,"poss":40}]</t>
  </si>
  <si>
    <t>[{"kindId":1429,"poss":40},{"kindId":1430,"poss":60}]</t>
  </si>
  <si>
    <t>水晶</t>
  </si>
  <si>
    <t>[2, 31]</t>
  </si>
  <si>
    <t>[{"kindId":3157,"poss":100}]</t>
  </si>
  <si>
    <r>
      <rPr>
        <sz val="12"/>
        <color indexed="8"/>
        <rFont val="宋体"/>
        <family val="3"/>
        <charset val="134"/>
      </rPr>
      <t>boss</t>
    </r>
    <r>
      <rPr>
        <sz val="12"/>
        <color indexed="8"/>
        <rFont val="宋体"/>
        <family val="3"/>
        <charset val="134"/>
      </rPr>
      <t>商店货币</t>
    </r>
  </si>
  <si>
    <t>gift_id</t>
  </si>
  <si>
    <t>gift_name</t>
  </si>
  <si>
    <t>productId</t>
  </si>
  <si>
    <t>min_level_limit</t>
  </si>
  <si>
    <t>max_level_limit</t>
  </si>
  <si>
    <t>level_up</t>
  </si>
  <si>
    <t>show_time</t>
  </si>
  <si>
    <t>price</t>
  </si>
  <si>
    <t>discountPrice</t>
  </si>
  <si>
    <t>item_id</t>
  </si>
  <si>
    <t>礼包ID</t>
  </si>
  <si>
    <t>礼包名称</t>
  </si>
  <si>
    <t>商品ID</t>
  </si>
  <si>
    <t>最小炮倍限制</t>
  </si>
  <si>
    <t>最大炮倍限制</t>
  </si>
  <si>
    <r>
      <rPr>
        <sz val="12"/>
        <color indexed="8"/>
        <rFont val="宋体"/>
        <family val="3"/>
        <charset val="134"/>
      </rPr>
      <t>直升效果</t>
    </r>
  </si>
  <si>
    <r>
      <rPr>
        <sz val="12"/>
        <color rgb="FF000000"/>
        <rFont val="方正书宋_GBK"/>
        <charset val="134"/>
      </rPr>
      <t>展示时长限制</t>
    </r>
    <r>
      <rPr>
        <sz val="12"/>
        <color rgb="FF000000"/>
        <rFont val="Verdana"/>
        <family val="2"/>
      </rPr>
      <t>min</t>
    </r>
  </si>
  <si>
    <t>原价</t>
  </si>
  <si>
    <t>折扣价</t>
  </si>
  <si>
    <r>
      <rPr>
        <sz val="12"/>
        <color indexed="8"/>
        <rFont val="宋体"/>
        <family val="3"/>
        <charset val="134"/>
      </rPr>
      <t>奖励</t>
    </r>
    <r>
      <rPr>
        <sz val="12"/>
        <color indexed="8"/>
        <rFont val="Verdana"/>
        <family val="2"/>
      </rPr>
      <t>1</t>
    </r>
    <r>
      <rPr>
        <sz val="12"/>
        <color indexed="8"/>
        <rFont val="宋体"/>
        <family val="3"/>
        <charset val="134"/>
      </rPr>
      <t>道具</t>
    </r>
  </si>
  <si>
    <r>
      <rPr>
        <sz val="12"/>
        <color indexed="8"/>
        <rFont val="宋体"/>
        <family val="3"/>
        <charset val="134"/>
      </rPr>
      <t>奖励</t>
    </r>
    <r>
      <rPr>
        <sz val="12"/>
        <color indexed="8"/>
        <rFont val="Verdana"/>
        <family val="2"/>
      </rPr>
      <t>1</t>
    </r>
    <r>
      <rPr>
        <sz val="12"/>
        <color indexed="8"/>
        <rFont val="宋体"/>
        <family val="3"/>
        <charset val="134"/>
      </rPr>
      <t>数量</t>
    </r>
  </si>
  <si>
    <r>
      <rPr>
        <sz val="12"/>
        <color indexed="8"/>
        <rFont val="宋体"/>
        <family val="3"/>
        <charset val="134"/>
      </rPr>
      <t>奖励</t>
    </r>
    <r>
      <rPr>
        <sz val="12"/>
        <color indexed="8"/>
        <rFont val="Verdana"/>
        <family val="2"/>
      </rPr>
      <t>2</t>
    </r>
    <r>
      <rPr>
        <sz val="12"/>
        <color indexed="8"/>
        <rFont val="宋体"/>
        <family val="3"/>
        <charset val="134"/>
      </rPr>
      <t>道具</t>
    </r>
  </si>
  <si>
    <r>
      <rPr>
        <sz val="12"/>
        <color indexed="8"/>
        <rFont val="宋体"/>
        <family val="3"/>
        <charset val="134"/>
      </rPr>
      <t>奖励</t>
    </r>
    <r>
      <rPr>
        <sz val="12"/>
        <color indexed="8"/>
        <rFont val="Verdana"/>
        <family val="2"/>
      </rPr>
      <t>2</t>
    </r>
    <r>
      <rPr>
        <sz val="12"/>
        <color indexed="8"/>
        <rFont val="宋体"/>
        <family val="3"/>
        <charset val="134"/>
      </rPr>
      <t>数量</t>
    </r>
  </si>
  <si>
    <r>
      <rPr>
        <sz val="12"/>
        <color indexed="8"/>
        <rFont val="宋体"/>
        <family val="3"/>
        <charset val="134"/>
      </rPr>
      <t>奖励</t>
    </r>
    <r>
      <rPr>
        <sz val="12"/>
        <color indexed="8"/>
        <rFont val="Verdana"/>
        <family val="2"/>
      </rPr>
      <t>3</t>
    </r>
    <r>
      <rPr>
        <sz val="12"/>
        <color indexed="8"/>
        <rFont val="宋体"/>
        <family val="3"/>
        <charset val="134"/>
      </rPr>
      <t>道具</t>
    </r>
  </si>
  <si>
    <r>
      <rPr>
        <sz val="12"/>
        <color indexed="8"/>
        <rFont val="宋体"/>
        <family val="3"/>
        <charset val="134"/>
      </rPr>
      <t>奖励</t>
    </r>
    <r>
      <rPr>
        <sz val="12"/>
        <color indexed="8"/>
        <rFont val="Verdana"/>
        <family val="2"/>
      </rPr>
      <t>3</t>
    </r>
    <r>
      <rPr>
        <sz val="12"/>
        <color indexed="8"/>
        <rFont val="宋体"/>
        <family val="3"/>
        <charset val="134"/>
      </rPr>
      <t>数量</t>
    </r>
  </si>
  <si>
    <t>ID_GIFT_NAME_1</t>
  </si>
  <si>
    <t>LevelGift_1</t>
  </si>
  <si>
    <t>ID_GIFT_NAME_2</t>
  </si>
  <si>
    <t>LevelGift_2</t>
  </si>
  <si>
    <t>LevelGift_3</t>
  </si>
  <si>
    <t>LevelGift_4</t>
  </si>
  <si>
    <t>LevelGift_5</t>
  </si>
  <si>
    <t>LevelGift_6</t>
  </si>
  <si>
    <t>LevelGift_7</t>
  </si>
  <si>
    <t>LevelGift_8</t>
  </si>
  <si>
    <t>LevelGift_9</t>
  </si>
  <si>
    <t>LevelGift_10</t>
  </si>
  <si>
    <t>LevelGift_11</t>
  </si>
  <si>
    <t>远古寒龙穿梭</t>
    <phoneticPr fontId="42" type="noConversion"/>
  </si>
  <si>
    <t>ID_CONFIG_FISH_NAME_75236</t>
    <phoneticPr fontId="4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</si>
</sst>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0.00_);[Red]\(0.00\)"/>
  </numFmts>
  <fonts count="43">
    <font>
      <sz val="12"/>
      <color indexed="8"/>
      <name val="Verdana"/>
      <charset val="134"/>
    </font>
    <font>
      <sz val="12"/>
      <color rgb="FF000000"/>
      <name val="方正书宋_GBK"/>
      <charset val="134"/>
    </font>
    <font>
      <sz val="12"/>
      <color indexed="8"/>
      <name val="宋体"/>
      <family val="3"/>
      <charset val="134"/>
    </font>
    <font>
      <sz val="11"/>
      <name val="Helvetica"/>
      <family val="2"/>
      <scheme val="minor"/>
    </font>
    <font>
      <sz val="14"/>
      <color indexed="8"/>
      <name val="Tahoma"/>
      <family val="2"/>
    </font>
    <font>
      <sz val="14"/>
      <color rgb="FF000000"/>
      <name val="宋体-简"/>
      <charset val="134"/>
    </font>
    <font>
      <sz val="14"/>
      <color rgb="FF000000"/>
      <name val="方正书宋_GBK"/>
      <charset val="134"/>
    </font>
    <font>
      <sz val="14"/>
      <color rgb="FF000000"/>
      <name val="Tahoma"/>
      <family val="2"/>
    </font>
    <font>
      <sz val="14"/>
      <color indexed="8"/>
      <name val="宋体"/>
      <family val="3"/>
      <charset val="134"/>
    </font>
    <font>
      <sz val="14"/>
      <color indexed="8"/>
      <name val="Helvetica"/>
      <family val="2"/>
    </font>
    <font>
      <sz val="14"/>
      <color rgb="FF000000"/>
      <name val="Helvetica"/>
      <family val="2"/>
    </font>
    <font>
      <sz val="14"/>
      <color rgb="FF000000"/>
      <name val="华文宋体"/>
      <family val="3"/>
      <charset val="134"/>
    </font>
    <font>
      <sz val="12"/>
      <color rgb="FF000000"/>
      <name val="微软雅黑"/>
      <family val="2"/>
      <charset val="134"/>
    </font>
    <font>
      <sz val="12"/>
      <color indexed="8"/>
      <name val="Helvetica"/>
      <family val="2"/>
    </font>
    <font>
      <sz val="11"/>
      <color theme="1"/>
      <name val="Helvetica"/>
      <family val="2"/>
      <scheme val="minor"/>
    </font>
    <font>
      <sz val="12"/>
      <color rgb="FF000000"/>
      <name val="华文宋体"/>
      <family val="3"/>
      <charset val="134"/>
    </font>
    <font>
      <sz val="12"/>
      <color indexed="8"/>
      <name val="Helvetica"/>
      <family val="2"/>
      <scheme val="minor"/>
    </font>
    <font>
      <sz val="12"/>
      <color rgb="FF000000"/>
      <name val="Helvetica"/>
      <family val="2"/>
      <scheme val="minor"/>
    </font>
    <font>
      <sz val="12"/>
      <color theme="1"/>
      <name val="Helvetica"/>
      <family val="2"/>
      <scheme val="minor"/>
    </font>
    <font>
      <sz val="11"/>
      <color theme="1"/>
      <name val="等线"/>
      <family val="3"/>
      <charset val="134"/>
    </font>
    <font>
      <sz val="14"/>
      <color theme="1"/>
      <name val="Tahoma"/>
      <family val="2"/>
    </font>
    <font>
      <sz val="12"/>
      <color rgb="FF000000"/>
      <name val="Verdana"/>
      <family val="2"/>
    </font>
    <font>
      <sz val="14"/>
      <color indexed="8"/>
      <name val="Helvetica"/>
      <family val="2"/>
      <scheme val="minor"/>
    </font>
    <font>
      <sz val="14"/>
      <color rgb="FF000000"/>
      <name val="Helvetica"/>
      <family val="2"/>
      <scheme val="minor"/>
    </font>
    <font>
      <sz val="14"/>
      <color rgb="FF000000"/>
      <name val="Microsoft YaHei UI"/>
      <family val="2"/>
      <charset val="134"/>
    </font>
    <font>
      <sz val="14"/>
      <color theme="1"/>
      <name val="Helvetica"/>
      <family val="2"/>
      <scheme val="minor"/>
    </font>
    <font>
      <sz val="14"/>
      <color rgb="FF000000"/>
      <name val="宋体"/>
      <family val="3"/>
      <charset val="134"/>
    </font>
    <font>
      <sz val="14"/>
      <color rgb="FFFF0000"/>
      <name val="Tahoma"/>
      <family val="2"/>
    </font>
    <font>
      <sz val="14"/>
      <color indexed="8"/>
      <name val="Verdana"/>
      <family val="2"/>
    </font>
    <font>
      <sz val="14"/>
      <color indexed="8"/>
      <name val="Microsoft YaHei"/>
      <charset val="134"/>
    </font>
    <font>
      <sz val="11"/>
      <color rgb="FF9C0006"/>
      <name val="Helvetica"/>
      <family val="2"/>
      <scheme val="minor"/>
    </font>
    <font>
      <sz val="12"/>
      <color rgb="FF000000"/>
      <name val="Helvetica"/>
      <family val="2"/>
    </font>
    <font>
      <sz val="12"/>
      <color indexed="8"/>
      <name val="Verdana"/>
      <family val="2"/>
    </font>
    <font>
      <sz val="18"/>
      <name val="方正书宋_GBK"/>
      <charset val="134"/>
    </font>
    <font>
      <b/>
      <sz val="11"/>
      <name val="黑体"/>
      <family val="3"/>
      <charset val="134"/>
    </font>
    <font>
      <b/>
      <sz val="11"/>
      <name val="MS PGothic"/>
      <family val="2"/>
      <charset val="128"/>
    </font>
    <font>
      <sz val="9"/>
      <name val="方正书宋_GBK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name val="Verdana"/>
      <family val="2"/>
    </font>
    <font>
      <sz val="10"/>
      <name val="Verdana"/>
      <family val="2"/>
    </font>
    <font>
      <sz val="10"/>
      <name val="宋体"/>
      <family val="3"/>
      <charset val="134"/>
    </font>
    <font>
      <sz val="9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3408001953185"/>
        <bgColor indexed="64"/>
      </patternFill>
    </fill>
    <fill>
      <patternFill patternType="solid">
        <fgColor theme="3" tint="0.79934080019531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rgb="FFFCF5D6"/>
        <bgColor rgb="FF000000"/>
      </patternFill>
    </fill>
    <fill>
      <patternFill patternType="solid">
        <fgColor rgb="FFFFD5D2"/>
        <bgColor rgb="FF000000"/>
      </patternFill>
    </fill>
    <fill>
      <patternFill patternType="solid">
        <fgColor rgb="FFE5F1F7"/>
        <bgColor indexed="64"/>
      </patternFill>
    </fill>
    <fill>
      <patternFill patternType="solid">
        <fgColor rgb="FFE5F4FF"/>
        <bgColor indexed="64"/>
      </patternFill>
    </fill>
    <fill>
      <patternFill patternType="solid">
        <fgColor rgb="FFFFE7E5"/>
        <bgColor indexed="64"/>
      </patternFill>
    </fill>
    <fill>
      <patternFill patternType="solid">
        <fgColor rgb="FFECF8E4"/>
        <bgColor indexed="64"/>
      </patternFill>
    </fill>
    <fill>
      <patternFill patternType="solid">
        <fgColor rgb="FFF3E4F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1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2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30">
    <xf numFmtId="0" fontId="0" fillId="0" borderId="0" applyNumberFormat="0" applyFill="0" applyBorder="0" applyProtection="0">
      <alignment vertical="top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/>
    <xf numFmtId="0" fontId="14" fillId="0" borderId="0"/>
    <xf numFmtId="0" fontId="32" fillId="0" borderId="0" applyNumberFormat="0" applyFill="0" applyBorder="0" applyProtection="0">
      <alignment vertical="top" wrapText="1"/>
    </xf>
    <xf numFmtId="0" fontId="14" fillId="0" borderId="0"/>
    <xf numFmtId="0" fontId="14" fillId="0" borderId="0"/>
    <xf numFmtId="0" fontId="14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0" fillId="20" borderId="0" applyNumberFormat="0" applyBorder="0" applyAlignment="0" applyProtection="0">
      <alignment vertical="center"/>
    </xf>
    <xf numFmtId="0" fontId="14" fillId="0" borderId="0"/>
    <xf numFmtId="0" fontId="14" fillId="0" borderId="0">
      <alignment vertical="center"/>
    </xf>
    <xf numFmtId="0" fontId="14" fillId="0" borderId="0">
      <alignment vertical="center"/>
    </xf>
    <xf numFmtId="0" fontId="32" fillId="0" borderId="0" applyNumberFormat="0" applyFill="0" applyBorder="0" applyProtection="0">
      <alignment vertical="top" wrapText="1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</cellStyleXfs>
  <cellXfs count="178">
    <xf numFmtId="0" fontId="0" fillId="0" borderId="0" xfId="0" applyFont="1" applyAlignment="1">
      <alignment vertical="top" wrapText="1"/>
    </xf>
    <xf numFmtId="0" fontId="0" fillId="0" borderId="0" xfId="0" applyFont="1" applyAlignment="1">
      <alignment vertical="top"/>
    </xf>
    <xf numFmtId="0" fontId="0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3" fillId="2" borderId="1" xfId="22" applyFont="1" applyFill="1" applyBorder="1" applyAlignment="1">
      <alignment horizontal="center" vertical="top"/>
    </xf>
    <xf numFmtId="0" fontId="0" fillId="2" borderId="1" xfId="0" applyFont="1" applyFill="1" applyBorder="1" applyAlignment="1">
      <alignment horizontal="center" vertical="top"/>
    </xf>
    <xf numFmtId="0" fontId="4" fillId="0" borderId="2" xfId="26" applyNumberFormat="1" applyFont="1" applyBorder="1" applyAlignment="1">
      <alignment horizontal="center" vertical="center" wrapText="1"/>
    </xf>
    <xf numFmtId="0" fontId="4" fillId="3" borderId="2" xfId="0" applyNumberFormat="1" applyFont="1" applyFill="1" applyBorder="1" applyAlignment="1" applyProtection="1">
      <alignment horizontal="center" vertical="center" wrapText="1"/>
    </xf>
    <xf numFmtId="0" fontId="4" fillId="0" borderId="2" xfId="0" applyNumberFormat="1" applyFont="1" applyFill="1" applyBorder="1" applyAlignment="1" applyProtection="1">
      <alignment horizontal="center" vertical="center" wrapText="1"/>
    </xf>
    <xf numFmtId="0" fontId="5" fillId="3" borderId="2" xfId="0" applyNumberFormat="1" applyFont="1" applyFill="1" applyBorder="1" applyAlignment="1" applyProtection="1">
      <alignment horizontal="center" vertical="center" wrapText="1"/>
    </xf>
    <xf numFmtId="0" fontId="6" fillId="0" borderId="2" xfId="0" applyNumberFormat="1" applyFont="1" applyFill="1" applyBorder="1" applyAlignment="1" applyProtection="1">
      <alignment horizontal="center" vertical="center" wrapText="1"/>
    </xf>
    <xf numFmtId="0" fontId="7" fillId="0" borderId="2" xfId="0" applyNumberFormat="1" applyFont="1" applyFill="1" applyBorder="1" applyAlignment="1" applyProtection="1">
      <alignment horizontal="center" vertical="center" wrapText="1"/>
    </xf>
    <xf numFmtId="0" fontId="4" fillId="3" borderId="3" xfId="0" applyNumberFormat="1" applyFont="1" applyFill="1" applyBorder="1" applyAlignment="1" applyProtection="1">
      <alignment horizontal="center" vertical="center" wrapText="1"/>
    </xf>
    <xf numFmtId="0" fontId="4" fillId="3" borderId="1" xfId="0" applyNumberFormat="1" applyFont="1" applyFill="1" applyBorder="1" applyAlignment="1" applyProtection="1">
      <alignment horizontal="center" vertical="center" wrapText="1"/>
    </xf>
    <xf numFmtId="0" fontId="5" fillId="0" borderId="2" xfId="0" applyNumberFormat="1" applyFont="1" applyFill="1" applyBorder="1" applyAlignment="1" applyProtection="1">
      <alignment horizontal="center" vertical="center" wrapText="1"/>
    </xf>
    <xf numFmtId="0" fontId="4" fillId="0" borderId="3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Alignment="1">
      <alignment vertical="top" wrapText="1"/>
    </xf>
    <xf numFmtId="0" fontId="4" fillId="0" borderId="1" xfId="0" applyNumberFormat="1" applyFont="1" applyFill="1" applyBorder="1" applyAlignment="1" applyProtection="1">
      <alignment horizontal="center" vertical="center" wrapText="1"/>
    </xf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Alignment="1">
      <alignment vertical="top"/>
    </xf>
    <xf numFmtId="0" fontId="0" fillId="0" borderId="0" xfId="0">
      <alignment vertical="top" wrapText="1"/>
    </xf>
    <xf numFmtId="0" fontId="32" fillId="0" borderId="0" xfId="26">
      <alignment vertical="top" wrapText="1"/>
    </xf>
    <xf numFmtId="0" fontId="32" fillId="0" borderId="0" xfId="26" applyAlignment="1">
      <alignment horizontal="center" vertical="top" wrapText="1"/>
    </xf>
    <xf numFmtId="0" fontId="4" fillId="0" borderId="2" xfId="0" applyNumberFormat="1" applyFont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0" fontId="4" fillId="0" borderId="2" xfId="0" applyNumberFormat="1" applyFont="1" applyBorder="1" applyAlignment="1">
      <alignment horizontal="center" vertical="center"/>
    </xf>
    <xf numFmtId="0" fontId="4" fillId="4" borderId="2" xfId="0" applyNumberFormat="1" applyFont="1" applyFill="1" applyBorder="1" applyAlignment="1">
      <alignment horizontal="center" vertical="center" wrapText="1"/>
    </xf>
    <xf numFmtId="0" fontId="9" fillId="0" borderId="2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 applyProtection="1">
      <alignment horizontal="center" vertical="center" wrapText="1"/>
    </xf>
    <xf numFmtId="0" fontId="4" fillId="0" borderId="1" xfId="0" applyNumberFormat="1" applyFont="1" applyFill="1" applyBorder="1" applyAlignment="1" applyProtection="1">
      <alignment horizontal="center" vertical="top" wrapText="1"/>
    </xf>
    <xf numFmtId="0" fontId="6" fillId="0" borderId="2" xfId="0" applyNumberFormat="1" applyFont="1" applyBorder="1" applyAlignment="1">
      <alignment horizontal="center" vertical="center" wrapText="1"/>
    </xf>
    <xf numFmtId="0" fontId="4" fillId="0" borderId="2" xfId="2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11" fillId="0" borderId="1" xfId="0" applyNumberFormat="1" applyFont="1" applyFill="1" applyBorder="1" applyAlignment="1" applyProtection="1">
      <alignment horizontal="center" vertical="center"/>
    </xf>
    <xf numFmtId="0" fontId="8" fillId="0" borderId="1" xfId="0" applyNumberFormat="1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>
      <alignment horizontal="center"/>
    </xf>
    <xf numFmtId="49" fontId="13" fillId="5" borderId="2" xfId="0" applyNumberFormat="1" applyFont="1" applyFill="1" applyBorder="1" applyAlignment="1" applyProtection="1">
      <alignment horizontal="center" vertical="center"/>
    </xf>
    <xf numFmtId="49" fontId="0" fillId="5" borderId="7" xfId="0" applyNumberFormat="1" applyFont="1" applyFill="1" applyBorder="1" applyAlignment="1" applyProtection="1">
      <alignment horizontal="center" vertical="center" wrapText="1"/>
    </xf>
    <xf numFmtId="49" fontId="0" fillId="5" borderId="8" xfId="0" applyNumberFormat="1" applyFont="1" applyFill="1" applyBorder="1" applyAlignment="1" applyProtection="1">
      <alignment horizontal="center" vertical="center" wrapText="1"/>
    </xf>
    <xf numFmtId="0" fontId="14" fillId="2" borderId="1" xfId="0" applyNumberFormat="1" applyFont="1" applyFill="1" applyBorder="1" applyAlignment="1" applyProtection="1">
      <alignment horizontal="center"/>
    </xf>
    <xf numFmtId="0" fontId="15" fillId="0" borderId="0" xfId="0" applyNumberFormat="1" applyFont="1" applyFill="1" applyBorder="1" applyAlignment="1" applyProtection="1">
      <alignment horizontal="center" vertical="top" wrapText="1"/>
    </xf>
    <xf numFmtId="0" fontId="0" fillId="0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Fill="1" applyBorder="1" applyAlignment="1" applyProtection="1">
      <alignment horizontal="center" vertical="top" wrapText="1"/>
    </xf>
    <xf numFmtId="0" fontId="16" fillId="0" borderId="0" xfId="0" applyFont="1" applyFill="1" applyBorder="1" applyAlignment="1">
      <alignment horizontal="center" vertic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49" fontId="16" fillId="0" borderId="1" xfId="0" applyNumberFormat="1" applyFont="1" applyFill="1" applyBorder="1" applyAlignment="1">
      <alignment horizontal="center" vertical="center"/>
    </xf>
    <xf numFmtId="0" fontId="16" fillId="0" borderId="1" xfId="0" applyNumberFormat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9" fillId="0" borderId="1" xfId="26" applyNumberFormat="1" applyFont="1" applyBorder="1" applyAlignment="1">
      <alignment horizontal="center" vertical="center" wrapText="1"/>
    </xf>
    <xf numFmtId="0" fontId="10" fillId="0" borderId="1" xfId="26" applyNumberFormat="1" applyFont="1" applyBorder="1" applyAlignment="1">
      <alignment horizontal="center" vertical="center" wrapText="1"/>
    </xf>
    <xf numFmtId="0" fontId="14" fillId="0" borderId="0" xfId="0" applyNumberFormat="1" applyFont="1" applyFill="1" applyBorder="1" applyAlignment="1" applyProtection="1"/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/>
    </xf>
    <xf numFmtId="0" fontId="6" fillId="0" borderId="1" xfId="26" applyNumberFormat="1" applyFont="1" applyBorder="1" applyAlignment="1">
      <alignment horizontal="center" vertical="center" wrapText="1"/>
    </xf>
    <xf numFmtId="0" fontId="0" fillId="0" borderId="0" xfId="0" applyNumberFormat="1" applyFont="1" applyAlignment="1">
      <alignment vertical="top" wrapText="1"/>
    </xf>
    <xf numFmtId="0" fontId="14" fillId="0" borderId="1" xfId="0" applyNumberFormat="1" applyFont="1" applyFill="1" applyBorder="1" applyAlignment="1" applyProtection="1"/>
    <xf numFmtId="1" fontId="4" fillId="0" borderId="2" xfId="0" applyNumberFormat="1" applyFont="1" applyBorder="1" applyAlignment="1">
      <alignment horizontal="center" vertical="center"/>
    </xf>
    <xf numFmtId="0" fontId="5" fillId="2" borderId="9" xfId="7" applyNumberFormat="1" applyFont="1" applyFill="1" applyBorder="1" applyAlignment="1">
      <alignment horizontal="center" vertical="center" wrapText="1"/>
    </xf>
    <xf numFmtId="0" fontId="4" fillId="0" borderId="2" xfId="7" applyNumberFormat="1" applyFont="1" applyBorder="1" applyAlignment="1">
      <alignment horizontal="center" vertical="center" wrapText="1"/>
    </xf>
    <xf numFmtId="0" fontId="4" fillId="2" borderId="2" xfId="7" applyNumberFormat="1" applyFont="1" applyFill="1" applyBorder="1" applyAlignment="1">
      <alignment horizontal="center" vertical="center" wrapText="1"/>
    </xf>
    <xf numFmtId="0" fontId="18" fillId="6" borderId="10" xfId="0" applyFont="1" applyFill="1" applyBorder="1" applyAlignment="1">
      <alignment horizontal="center" vertical="center"/>
    </xf>
    <xf numFmtId="0" fontId="19" fillId="6" borderId="10" xfId="0" applyFont="1" applyFill="1" applyBorder="1" applyAlignment="1">
      <alignment horizontal="center" vertical="center" wrapText="1"/>
    </xf>
    <xf numFmtId="0" fontId="18" fillId="7" borderId="10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178" fontId="7" fillId="0" borderId="12" xfId="0" applyNumberFormat="1" applyFont="1" applyBorder="1" applyAlignment="1">
      <alignment horizontal="center" vertical="center" wrapText="1"/>
    </xf>
    <xf numFmtId="178" fontId="7" fillId="0" borderId="11" xfId="0" applyNumberFormat="1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14" fillId="2" borderId="13" xfId="13" applyFont="1" applyFill="1" applyBorder="1" applyAlignment="1">
      <alignment horizontal="center"/>
    </xf>
    <xf numFmtId="0" fontId="14" fillId="2" borderId="14" xfId="0" applyNumberFormat="1" applyFont="1" applyFill="1" applyBorder="1" applyAlignment="1" applyProtection="1">
      <alignment horizontal="center"/>
    </xf>
    <xf numFmtId="0" fontId="7" fillId="8" borderId="12" xfId="0" applyFont="1" applyFill="1" applyBorder="1" applyAlignment="1">
      <alignment horizontal="center" vertical="center" wrapText="1"/>
    </xf>
    <xf numFmtId="0" fontId="7" fillId="9" borderId="12" xfId="0" applyFont="1" applyFill="1" applyBorder="1" applyAlignment="1">
      <alignment horizontal="center" vertical="center" wrapText="1"/>
    </xf>
    <xf numFmtId="0" fontId="20" fillId="10" borderId="12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 wrapText="1"/>
    </xf>
    <xf numFmtId="0" fontId="7" fillId="11" borderId="12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4" fillId="0" borderId="2" xfId="21" applyFont="1" applyFill="1" applyBorder="1" applyAlignment="1">
      <alignment horizontal="center" vertical="center" wrapText="1"/>
    </xf>
    <xf numFmtId="0" fontId="6" fillId="0" borderId="2" xfId="26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left" vertical="center" wrapText="1"/>
    </xf>
    <xf numFmtId="0" fontId="21" fillId="13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horizontal="left" vertical="center" wrapText="1"/>
    </xf>
    <xf numFmtId="0" fontId="21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top" wrapText="1"/>
    </xf>
    <xf numFmtId="49" fontId="0" fillId="2" borderId="0" xfId="0" applyNumberFormat="1" applyFont="1" applyFill="1" applyAlignment="1">
      <alignment horizontal="center" vertical="center" wrapText="1"/>
    </xf>
    <xf numFmtId="49" fontId="0" fillId="2" borderId="0" xfId="0" applyNumberFormat="1" applyFont="1" applyFill="1" applyAlignment="1">
      <alignment vertical="top" wrapText="1"/>
    </xf>
    <xf numFmtId="49" fontId="0" fillId="0" borderId="1" xfId="0" applyNumberFormat="1" applyFont="1" applyBorder="1" applyAlignment="1">
      <alignment horizontal="center" vertical="center" wrapText="1"/>
    </xf>
    <xf numFmtId="49" fontId="15" fillId="0" borderId="1" xfId="0" applyNumberFormat="1" applyFont="1" applyBorder="1" applyAlignment="1">
      <alignment horizontal="center" vertical="center" wrapText="1"/>
    </xf>
    <xf numFmtId="49" fontId="0" fillId="14" borderId="1" xfId="0" applyNumberFormat="1" applyFont="1" applyFill="1" applyBorder="1" applyAlignment="1">
      <alignment horizontal="center" vertical="center" wrapText="1"/>
    </xf>
    <xf numFmtId="49" fontId="0" fillId="15" borderId="1" xfId="0" applyNumberFormat="1" applyFont="1" applyFill="1" applyBorder="1" applyAlignment="1">
      <alignment horizontal="center" vertical="center" wrapText="1"/>
    </xf>
    <xf numFmtId="49" fontId="0" fillId="16" borderId="1" xfId="0" applyNumberFormat="1" applyFont="1" applyFill="1" applyBorder="1" applyAlignment="1">
      <alignment horizontal="center" vertical="center" wrapText="1"/>
    </xf>
    <xf numFmtId="49" fontId="0" fillId="17" borderId="1" xfId="0" applyNumberFormat="1" applyFont="1" applyFill="1" applyBorder="1" applyAlignment="1">
      <alignment horizontal="center" vertical="center" wrapText="1"/>
    </xf>
    <xf numFmtId="49" fontId="0" fillId="14" borderId="1" xfId="0" applyNumberFormat="1" applyFont="1" applyFill="1" applyBorder="1" applyAlignment="1">
      <alignment horizontal="left" vertical="center" wrapText="1"/>
    </xf>
    <xf numFmtId="49" fontId="0" fillId="15" borderId="1" xfId="0" applyNumberFormat="1" applyFont="1" applyFill="1" applyBorder="1" applyAlignment="1">
      <alignment horizontal="left" vertical="center" wrapText="1"/>
    </xf>
    <xf numFmtId="49" fontId="0" fillId="16" borderId="1" xfId="0" applyNumberFormat="1" applyFont="1" applyFill="1" applyBorder="1" applyAlignment="1">
      <alignment horizontal="left" vertical="center" wrapText="1"/>
    </xf>
    <xf numFmtId="49" fontId="0" fillId="17" borderId="1" xfId="0" applyNumberFormat="1" applyFont="1" applyFill="1" applyBorder="1" applyAlignment="1">
      <alignment horizontal="left" vertical="center" wrapText="1"/>
    </xf>
    <xf numFmtId="49" fontId="21" fillId="14" borderId="1" xfId="0" applyNumberFormat="1" applyFont="1" applyFill="1" applyBorder="1" applyAlignment="1">
      <alignment horizontal="left" vertical="center" wrapText="1"/>
    </xf>
    <xf numFmtId="0" fontId="22" fillId="0" borderId="0" xfId="0" applyFont="1" applyFill="1" applyAlignment="1">
      <alignment vertical="top" wrapText="1"/>
    </xf>
    <xf numFmtId="0" fontId="22" fillId="0" borderId="1" xfId="0" applyNumberFormat="1" applyFont="1" applyFill="1" applyBorder="1" applyAlignment="1" applyProtection="1">
      <alignment horizontal="center" vertical="center" wrapText="1"/>
    </xf>
    <xf numFmtId="0" fontId="11" fillId="0" borderId="1" xfId="0" applyNumberFormat="1" applyFont="1" applyFill="1" applyBorder="1" applyAlignment="1" applyProtection="1">
      <alignment horizontal="center" vertical="center" wrapText="1"/>
    </xf>
    <xf numFmtId="0" fontId="23" fillId="0" borderId="1" xfId="0" applyNumberFormat="1" applyFont="1" applyFill="1" applyBorder="1" applyAlignment="1" applyProtection="1">
      <alignment horizontal="center" vertical="center" wrapText="1"/>
    </xf>
    <xf numFmtId="0" fontId="10" fillId="0" borderId="1" xfId="0" applyNumberFormat="1" applyFont="1" applyFill="1" applyBorder="1" applyAlignment="1" applyProtection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4" fillId="18" borderId="1" xfId="0" applyNumberFormat="1" applyFont="1" applyFill="1" applyBorder="1" applyAlignment="1" applyProtection="1">
      <alignment horizontal="center" vertical="center" wrapText="1"/>
    </xf>
    <xf numFmtId="0" fontId="11" fillId="18" borderId="1" xfId="0" applyNumberFormat="1" applyFont="1" applyFill="1" applyBorder="1" applyAlignment="1" applyProtection="1">
      <alignment horizontal="center" vertical="center" wrapText="1"/>
    </xf>
    <xf numFmtId="0" fontId="24" fillId="18" borderId="1" xfId="0" applyNumberFormat="1" applyFont="1" applyFill="1" applyBorder="1" applyAlignment="1" applyProtection="1">
      <alignment horizontal="center" vertical="center" wrapText="1"/>
    </xf>
    <xf numFmtId="0" fontId="4" fillId="8" borderId="1" xfId="0" applyNumberFormat="1" applyFont="1" applyFill="1" applyBorder="1" applyAlignment="1" applyProtection="1">
      <alignment horizontal="center" vertical="center" wrapText="1"/>
    </xf>
    <xf numFmtId="0" fontId="4" fillId="19" borderId="1" xfId="0" applyNumberFormat="1" applyFont="1" applyFill="1" applyBorder="1" applyAlignment="1" applyProtection="1">
      <alignment horizontal="center" vertical="center" wrapText="1"/>
    </xf>
    <xf numFmtId="0" fontId="24" fillId="19" borderId="1" xfId="0" applyNumberFormat="1" applyFont="1" applyFill="1" applyBorder="1" applyAlignment="1" applyProtection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 vertical="center" wrapText="1"/>
    </xf>
    <xf numFmtId="0" fontId="4" fillId="10" borderId="1" xfId="0" applyNumberFormat="1" applyFont="1" applyFill="1" applyBorder="1" applyAlignment="1" applyProtection="1">
      <alignment horizontal="center" vertical="center" wrapText="1"/>
    </xf>
    <xf numFmtId="0" fontId="24" fillId="4" borderId="1" xfId="0" applyNumberFormat="1" applyFont="1" applyFill="1" applyBorder="1" applyAlignment="1" applyProtection="1">
      <alignment horizontal="center" vertical="center" wrapText="1"/>
    </xf>
    <xf numFmtId="0" fontId="7" fillId="18" borderId="1" xfId="0" applyNumberFormat="1" applyFont="1" applyFill="1" applyBorder="1" applyAlignment="1" applyProtection="1">
      <alignment horizontal="center" vertical="center" wrapText="1"/>
    </xf>
    <xf numFmtId="0" fontId="7" fillId="8" borderId="1" xfId="0" applyNumberFormat="1" applyFont="1" applyFill="1" applyBorder="1" applyAlignment="1" applyProtection="1">
      <alignment horizontal="center" vertical="center" wrapText="1"/>
    </xf>
    <xf numFmtId="0" fontId="7" fillId="19" borderId="1" xfId="0" applyNumberFormat="1" applyFont="1" applyFill="1" applyBorder="1" applyAlignment="1" applyProtection="1">
      <alignment horizontal="center" vertical="center" wrapText="1"/>
    </xf>
    <xf numFmtId="0" fontId="7" fillId="4" borderId="1" xfId="0" applyNumberFormat="1" applyFont="1" applyFill="1" applyBorder="1" applyAlignment="1" applyProtection="1">
      <alignment horizontal="center" vertical="center" wrapText="1"/>
    </xf>
    <xf numFmtId="0" fontId="7" fillId="10" borderId="1" xfId="0" applyNumberFormat="1" applyFont="1" applyFill="1" applyBorder="1" applyAlignment="1" applyProtection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2" fillId="0" borderId="1" xfId="0" applyNumberFormat="1" applyFont="1" applyFill="1" applyBorder="1" applyAlignment="1" applyProtection="1">
      <alignment horizontal="left" vertical="center" wrapText="1"/>
    </xf>
    <xf numFmtId="0" fontId="5" fillId="0" borderId="2" xfId="26" applyNumberFormat="1" applyFont="1" applyBorder="1" applyAlignment="1">
      <alignment horizontal="center" vertical="center" wrapText="1"/>
    </xf>
    <xf numFmtId="0" fontId="4" fillId="0" borderId="1" xfId="26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24" applyFont="1" applyBorder="1" applyAlignment="1">
      <alignment horizontal="center" vertical="center" wrapText="1"/>
    </xf>
    <xf numFmtId="0" fontId="7" fillId="0" borderId="2" xfId="0" applyNumberFormat="1" applyFont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center" vertical="center"/>
    </xf>
    <xf numFmtId="0" fontId="0" fillId="0" borderId="0" xfId="0" applyFill="1">
      <alignment vertical="top" wrapText="1"/>
    </xf>
    <xf numFmtId="0" fontId="0" fillId="0" borderId="0" xfId="0" applyFont="1" applyFill="1" applyAlignment="1">
      <alignment vertical="top" wrapText="1"/>
    </xf>
    <xf numFmtId="0" fontId="11" fillId="0" borderId="2" xfId="21" applyFont="1" applyFill="1" applyBorder="1" applyAlignment="1">
      <alignment horizontal="center" vertical="center" wrapText="1"/>
    </xf>
    <xf numFmtId="0" fontId="26" fillId="0" borderId="2" xfId="21" applyFont="1" applyFill="1" applyBorder="1" applyAlignment="1">
      <alignment horizontal="center" vertical="center" wrapText="1"/>
    </xf>
    <xf numFmtId="0" fontId="8" fillId="0" borderId="2" xfId="21" applyFont="1" applyFill="1" applyBorder="1" applyAlignment="1">
      <alignment horizontal="center" vertical="center" wrapText="1"/>
    </xf>
    <xf numFmtId="0" fontId="8" fillId="0" borderId="1" xfId="21" applyFont="1" applyFill="1" applyBorder="1" applyAlignment="1">
      <alignment horizontal="center" vertical="center" wrapText="1"/>
    </xf>
    <xf numFmtId="0" fontId="7" fillId="0" borderId="2" xfId="21" applyFont="1" applyFill="1" applyBorder="1" applyAlignment="1">
      <alignment horizontal="center" vertical="center" wrapText="1"/>
    </xf>
    <xf numFmtId="0" fontId="4" fillId="0" borderId="9" xfId="21" applyFont="1" applyFill="1" applyBorder="1" applyAlignment="1">
      <alignment horizontal="center" vertical="center" wrapText="1"/>
    </xf>
    <xf numFmtId="0" fontId="4" fillId="0" borderId="1" xfId="21" applyFont="1" applyFill="1" applyBorder="1" applyAlignment="1">
      <alignment horizontal="center" vertical="center" wrapText="1"/>
    </xf>
    <xf numFmtId="0" fontId="8" fillId="0" borderId="9" xfId="21" applyFont="1" applyFill="1" applyBorder="1" applyAlignment="1">
      <alignment horizontal="center" vertical="center" wrapText="1"/>
    </xf>
    <xf numFmtId="0" fontId="4" fillId="0" borderId="2" xfId="7" applyFont="1" applyFill="1" applyBorder="1" applyAlignment="1">
      <alignment horizontal="center" vertical="center" wrapText="1"/>
    </xf>
    <xf numFmtId="0" fontId="26" fillId="0" borderId="1" xfId="21" applyFont="1" applyFill="1" applyBorder="1" applyAlignment="1">
      <alignment horizontal="center" vertical="center" wrapText="1"/>
    </xf>
    <xf numFmtId="0" fontId="27" fillId="0" borderId="9" xfId="21" applyFont="1" applyFill="1" applyBorder="1" applyAlignment="1">
      <alignment horizontal="center" vertical="center" wrapText="1"/>
    </xf>
    <xf numFmtId="0" fontId="32" fillId="0" borderId="1" xfId="26" applyNumberFormat="1" applyFill="1" applyBorder="1" applyAlignment="1">
      <alignment horizontal="center" vertical="top" wrapText="1"/>
    </xf>
    <xf numFmtId="0" fontId="20" fillId="0" borderId="1" xfId="21" applyFont="1" applyFill="1" applyBorder="1" applyAlignment="1">
      <alignment horizontal="center" vertical="center" wrapText="1"/>
    </xf>
    <xf numFmtId="0" fontId="20" fillId="0" borderId="1" xfId="11" applyFont="1" applyFill="1" applyBorder="1" applyAlignment="1">
      <alignment horizontal="center" vertical="center" wrapText="1"/>
    </xf>
    <xf numFmtId="0" fontId="32" fillId="0" borderId="1" xfId="26" applyNumberFormat="1" applyFill="1" applyBorder="1">
      <alignment vertical="top" wrapText="1"/>
    </xf>
    <xf numFmtId="0" fontId="4" fillId="0" borderId="1" xfId="26" applyNumberFormat="1" applyFont="1" applyFill="1" applyBorder="1" applyAlignment="1">
      <alignment horizontal="center" vertical="center" wrapText="1"/>
    </xf>
    <xf numFmtId="0" fontId="4" fillId="0" borderId="2" xfId="26" applyNumberFormat="1" applyFont="1" applyFill="1" applyBorder="1" applyAlignment="1">
      <alignment horizontal="center" vertical="center" wrapText="1"/>
    </xf>
    <xf numFmtId="0" fontId="21" fillId="0" borderId="1" xfId="26" applyFont="1" applyFill="1" applyBorder="1">
      <alignment vertical="top" wrapText="1"/>
    </xf>
    <xf numFmtId="0" fontId="20" fillId="0" borderId="9" xfId="21" applyFont="1" applyFill="1" applyBorder="1" applyAlignment="1">
      <alignment horizontal="center" vertical="center" wrapText="1"/>
    </xf>
    <xf numFmtId="0" fontId="32" fillId="0" borderId="9" xfId="26" applyNumberFormat="1" applyFill="1" applyBorder="1">
      <alignment vertical="top" wrapText="1"/>
    </xf>
    <xf numFmtId="0" fontId="4" fillId="0" borderId="0" xfId="21" applyFont="1" applyFill="1" applyBorder="1" applyAlignment="1">
      <alignment horizontal="center" vertical="center" wrapText="1"/>
    </xf>
    <xf numFmtId="0" fontId="4" fillId="0" borderId="9" xfId="21" applyFont="1" applyBorder="1" applyAlignment="1">
      <alignment horizontal="center" vertical="center" wrapText="1"/>
    </xf>
    <xf numFmtId="0" fontId="4" fillId="0" borderId="1" xfId="21" applyFont="1" applyBorder="1" applyAlignment="1">
      <alignment horizontal="center" vertical="center" wrapText="1"/>
    </xf>
    <xf numFmtId="0" fontId="28" fillId="0" borderId="0" xfId="0" applyNumberFormat="1" applyFont="1" applyAlignment="1">
      <alignment vertical="top" wrapText="1"/>
    </xf>
    <xf numFmtId="0" fontId="28" fillId="0" borderId="0" xfId="0" applyFont="1" applyAlignment="1">
      <alignment vertical="top" wrapText="1"/>
    </xf>
    <xf numFmtId="0" fontId="29" fillId="0" borderId="15" xfId="0" applyNumberFormat="1" applyFont="1" applyBorder="1" applyAlignment="1">
      <alignment horizontal="center"/>
    </xf>
    <xf numFmtId="1" fontId="4" fillId="0" borderId="15" xfId="0" applyNumberFormat="1" applyFont="1" applyBorder="1" applyAlignment="1">
      <alignment horizontal="center"/>
    </xf>
  </cellXfs>
  <cellStyles count="30">
    <cellStyle name="差" xfId="22" builtinId="27"/>
    <cellStyle name="常规" xfId="0" builtinId="0"/>
    <cellStyle name="常规 10 2 2 2 2" xfId="1" xr:uid="{00000000-0005-0000-0000-000001000000}"/>
    <cellStyle name="常规 10 2 2 2 2 2" xfId="2" xr:uid="{00000000-0005-0000-0000-000002000000}"/>
    <cellStyle name="常规 11" xfId="3" xr:uid="{00000000-0005-0000-0000-000003000000}"/>
    <cellStyle name="常规 12" xfId="4" xr:uid="{00000000-0005-0000-0000-000004000000}"/>
    <cellStyle name="常规 13" xfId="5" xr:uid="{00000000-0005-0000-0000-000005000000}"/>
    <cellStyle name="常规 2 2" xfId="26" xr:uid="{00000000-0005-0000-0000-000036000000}"/>
    <cellStyle name="常规 2 2 2" xfId="25" xr:uid="{00000000-0005-0000-0000-000031000000}"/>
    <cellStyle name="常规 2 2 2 2" xfId="19" xr:uid="{00000000-0005-0000-0000-00001D000000}"/>
    <cellStyle name="常规 2 2 2 2 2" xfId="27" xr:uid="{00000000-0005-0000-0000-000039000000}"/>
    <cellStyle name="常规 2 2 2 3" xfId="18" xr:uid="{00000000-0005-0000-0000-000012000000}"/>
    <cellStyle name="常规 3" xfId="29" xr:uid="{00000000-0005-0000-0000-00004B000000}"/>
    <cellStyle name="常规 3 2" xfId="6" xr:uid="{00000000-0005-0000-0000-000006000000}"/>
    <cellStyle name="常规 4" xfId="7" xr:uid="{00000000-0005-0000-0000-000007000000}"/>
    <cellStyle name="常规 4 2" xfId="8" xr:uid="{00000000-0005-0000-0000-000008000000}"/>
    <cellStyle name="常规 4 3" xfId="24" xr:uid="{00000000-0005-0000-0000-00002E000000}"/>
    <cellStyle name="常规 4 3 2" xfId="9" xr:uid="{00000000-0005-0000-0000-000009000000}"/>
    <cellStyle name="常规 4 3 2 2" xfId="20" xr:uid="{00000000-0005-0000-0000-000024000000}"/>
    <cellStyle name="常规 4 3 2 2 2" xfId="28" xr:uid="{00000000-0005-0000-0000-000047000000}"/>
    <cellStyle name="常规 4 3 2 2 3" xfId="21" xr:uid="{00000000-0005-0000-0000-00002A000000}"/>
    <cellStyle name="常规 4 3 2 3" xfId="10" xr:uid="{00000000-0005-0000-0000-00000A000000}"/>
    <cellStyle name="常规 4 3 2 4" xfId="11" xr:uid="{00000000-0005-0000-0000-00000B000000}"/>
    <cellStyle name="常规 5" xfId="12" xr:uid="{00000000-0005-0000-0000-00000C000000}"/>
    <cellStyle name="常规 5 2" xfId="13" xr:uid="{00000000-0005-0000-0000-00000D000000}"/>
    <cellStyle name="常规 6" xfId="14" xr:uid="{00000000-0005-0000-0000-00000E000000}"/>
    <cellStyle name="常规 9 2" xfId="15" xr:uid="{00000000-0005-0000-0000-00000F000000}"/>
    <cellStyle name="常规 9 2 2" xfId="16" xr:uid="{00000000-0005-0000-0000-000010000000}"/>
    <cellStyle name="常规 9 2 2 2" xfId="23" xr:uid="{00000000-0005-0000-0000-00002C000000}"/>
    <cellStyle name="常规 9 2 3" xfId="17" xr:uid="{00000000-0005-0000-0000-000011000000}"/>
  </cellStyles>
  <dxfs count="120"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font>
        <color theme="0" tint="-0.24994659260841701"/>
      </font>
      <fill>
        <patternFill patternType="none"/>
      </fill>
    </dxf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  <dxf>
      <fill>
        <patternFill patternType="solid">
          <bgColor theme="5" tint="0.3966490676595355"/>
        </patternFill>
      </fill>
    </dxf>
  </dxfs>
  <tableStyles count="0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AAAAAA"/>
      <rgbColor rgb="00FF0000"/>
      <rgbColor rgb="00000000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404040"/>
      </a:dk2>
      <a:lt2>
        <a:srgbClr val="BFBFBF"/>
      </a:lt2>
      <a:accent1>
        <a:srgbClr val="499BC9"/>
      </a:accent1>
      <a:accent2>
        <a:srgbClr val="6EC038"/>
      </a:accent2>
      <a:accent3>
        <a:srgbClr val="F1D130"/>
      </a:accent3>
      <a:accent4>
        <a:srgbClr val="FFA93A"/>
      </a:accent4>
      <a:accent5>
        <a:srgbClr val="FF2D21"/>
      </a:accent5>
      <a:accent6>
        <a:srgbClr val="6C2085"/>
      </a:accent6>
      <a:hlink>
        <a:srgbClr val="0000FF"/>
      </a:hlink>
      <a:folHlink>
        <a:srgbClr val="FF00FF"/>
      </a:folHlink>
    </a:clrScheme>
    <a:fontScheme name="Blank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rotWithShape="1">
          <a:blip xmlns:r="http://schemas.openxmlformats.org/officeDocument/2006/relationships" r:embed="rId1"/>
          <a:srcRect/>
          <a:tile tx="0" ty="0" sx="100000" sy="100000" flip="none" algn="tl"/>
        </a:blipFill>
        <a:ln w="12700" cap="flat">
          <a:noFill/>
          <a:miter lim="400000"/>
        </a:ln>
        <a:effectLst>
          <a:outerShdw blurRad="38100" dist="25400" dir="5400000" rotWithShape="0">
            <a:srgbClr val="000000">
              <a:alpha val="50000"/>
            </a:srgbClr>
          </a:outerShdw>
        </a:effectLst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6350" cap="flat">
          <a:solidFill>
            <a:srgbClr val="000000"/>
          </a:solidFill>
          <a:prstDash val="solid"/>
          <a:miter lim="4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V13"/>
  <sheetViews>
    <sheetView showGridLines="0" workbookViewId="0">
      <selection activeCell="C6" sqref="C6"/>
    </sheetView>
  </sheetViews>
  <sheetFormatPr defaultColWidth="6.59765625" defaultRowHeight="23.1" customHeight="1"/>
  <cols>
    <col min="1" max="1" width="9.59765625" style="174" customWidth="1"/>
    <col min="2" max="2" width="6.59765625" style="174" customWidth="1"/>
    <col min="3" max="3" width="9.59765625" style="174" customWidth="1"/>
    <col min="4" max="4" width="9.5" style="174" customWidth="1"/>
    <col min="5" max="6" width="6.59765625" style="174" customWidth="1"/>
    <col min="7" max="7" width="9.69921875" style="174" customWidth="1"/>
    <col min="8" max="256" width="6.59765625" style="174" customWidth="1"/>
    <col min="257" max="16384" width="6.59765625" style="175"/>
  </cols>
  <sheetData>
    <row r="1" spans="1:8" ht="23.1" customHeight="1">
      <c r="A1" s="176" t="s">
        <v>0</v>
      </c>
      <c r="B1" s="177"/>
      <c r="C1" s="177"/>
      <c r="D1" s="177"/>
      <c r="E1" s="177"/>
      <c r="F1" s="177"/>
      <c r="G1" s="176" t="s">
        <v>1</v>
      </c>
      <c r="H1" s="177"/>
    </row>
    <row r="2" spans="1:8" ht="23.1" customHeight="1">
      <c r="A2" s="177"/>
      <c r="B2" s="176" t="s">
        <v>2</v>
      </c>
      <c r="C2" s="176" t="s">
        <v>3</v>
      </c>
      <c r="D2" s="176" t="s">
        <v>4</v>
      </c>
      <c r="E2" s="176" t="s">
        <v>5</v>
      </c>
      <c r="F2" s="177"/>
      <c r="G2" s="176" t="s">
        <v>6</v>
      </c>
      <c r="H2" s="176">
        <v>101</v>
      </c>
    </row>
    <row r="3" spans="1:8" ht="23.1" customHeight="1">
      <c r="A3" s="176" t="s">
        <v>7</v>
      </c>
      <c r="B3" s="176">
        <v>1</v>
      </c>
      <c r="C3" s="176" t="s">
        <v>8</v>
      </c>
      <c r="D3" s="176"/>
      <c r="E3" s="176" t="s">
        <v>9</v>
      </c>
      <c r="F3" s="177"/>
      <c r="G3" s="176" t="s">
        <v>10</v>
      </c>
      <c r="H3" s="176">
        <v>102</v>
      </c>
    </row>
    <row r="4" spans="1:8" ht="23.1" customHeight="1">
      <c r="A4" s="176" t="s">
        <v>11</v>
      </c>
      <c r="B4" s="176">
        <v>2</v>
      </c>
      <c r="C4" s="176" t="s">
        <v>8</v>
      </c>
      <c r="D4" s="176"/>
      <c r="E4" s="176" t="s">
        <v>9</v>
      </c>
      <c r="F4" s="177"/>
      <c r="G4" s="176" t="s">
        <v>12</v>
      </c>
      <c r="H4" s="176">
        <v>103</v>
      </c>
    </row>
    <row r="5" spans="1:8" ht="23.1" customHeight="1">
      <c r="A5" s="176" t="s">
        <v>13</v>
      </c>
      <c r="B5" s="176">
        <v>3</v>
      </c>
      <c r="C5" s="176" t="s">
        <v>14</v>
      </c>
      <c r="D5" s="176" t="s">
        <v>15</v>
      </c>
      <c r="E5" s="176" t="s">
        <v>9</v>
      </c>
      <c r="F5" s="177"/>
      <c r="G5" s="176"/>
      <c r="H5" s="176"/>
    </row>
    <row r="6" spans="1:8" ht="23.1" customHeight="1">
      <c r="A6" s="176" t="s">
        <v>16</v>
      </c>
      <c r="B6" s="176">
        <v>4</v>
      </c>
      <c r="C6" s="176" t="s">
        <v>8</v>
      </c>
      <c r="D6" s="176"/>
      <c r="E6" s="176" t="s">
        <v>9</v>
      </c>
      <c r="F6" s="177"/>
      <c r="G6" s="176"/>
      <c r="H6" s="176"/>
    </row>
    <row r="7" spans="1:8" ht="23.1" customHeight="1">
      <c r="A7" s="176" t="s">
        <v>17</v>
      </c>
      <c r="B7" s="176">
        <v>5</v>
      </c>
      <c r="C7" s="176" t="s">
        <v>8</v>
      </c>
      <c r="D7" s="176"/>
      <c r="E7" s="176" t="s">
        <v>9</v>
      </c>
      <c r="F7" s="177"/>
      <c r="G7" s="177"/>
      <c r="H7" s="177"/>
    </row>
    <row r="8" spans="1:8" ht="23.1" customHeight="1">
      <c r="A8" s="176" t="s">
        <v>18</v>
      </c>
      <c r="B8" s="176">
        <v>6</v>
      </c>
      <c r="C8" s="176" t="s">
        <v>8</v>
      </c>
      <c r="D8" s="176" t="s">
        <v>19</v>
      </c>
      <c r="E8" s="176" t="s">
        <v>9</v>
      </c>
      <c r="F8" s="177"/>
      <c r="G8" s="177"/>
      <c r="H8" s="177"/>
    </row>
    <row r="9" spans="1:8" ht="23.1" customHeight="1">
      <c r="A9" s="176" t="s">
        <v>20</v>
      </c>
      <c r="B9" s="176">
        <v>7</v>
      </c>
      <c r="C9" s="176" t="s">
        <v>8</v>
      </c>
      <c r="D9" s="176"/>
      <c r="E9" s="176" t="s">
        <v>9</v>
      </c>
      <c r="F9" s="177"/>
      <c r="G9" s="177"/>
      <c r="H9" s="177"/>
    </row>
    <row r="10" spans="1:8" ht="23.1" customHeight="1">
      <c r="A10" s="176" t="s">
        <v>21</v>
      </c>
      <c r="B10" s="176">
        <v>8</v>
      </c>
      <c r="C10" s="176" t="s">
        <v>8</v>
      </c>
      <c r="D10" s="176"/>
      <c r="E10" s="176" t="s">
        <v>9</v>
      </c>
      <c r="F10" s="177"/>
      <c r="G10" s="177"/>
      <c r="H10" s="177"/>
    </row>
    <row r="11" spans="1:8" ht="23.1" customHeight="1">
      <c r="A11" s="176" t="s">
        <v>22</v>
      </c>
      <c r="B11" s="176">
        <v>9</v>
      </c>
      <c r="C11" s="176"/>
      <c r="D11" s="176"/>
      <c r="E11" s="176" t="s">
        <v>9</v>
      </c>
      <c r="F11" s="177"/>
      <c r="G11" s="177"/>
      <c r="H11" s="177"/>
    </row>
    <row r="12" spans="1:8" ht="23.1" customHeight="1">
      <c r="A12" s="176" t="s">
        <v>23</v>
      </c>
      <c r="B12" s="176">
        <v>10</v>
      </c>
      <c r="C12" s="176" t="s">
        <v>8</v>
      </c>
      <c r="D12" s="176"/>
      <c r="E12" s="176" t="s">
        <v>9</v>
      </c>
      <c r="F12" s="177"/>
      <c r="G12" s="177"/>
      <c r="H12" s="177"/>
    </row>
    <row r="13" spans="1:8" ht="23.1" customHeight="1">
      <c r="A13" s="176" t="s">
        <v>24</v>
      </c>
      <c r="B13" s="176">
        <v>11</v>
      </c>
      <c r="C13" s="176" t="s">
        <v>8</v>
      </c>
      <c r="D13" s="176"/>
      <c r="E13" s="176" t="s">
        <v>9</v>
      </c>
      <c r="F13" s="177"/>
      <c r="G13" s="177"/>
      <c r="H13" s="177"/>
    </row>
  </sheetData>
  <phoneticPr fontId="42" type="noConversion"/>
  <pageMargins left="0.75" right="0.75" top="1" bottom="1" header="0.5" footer="0.5"/>
  <pageSetup orientation="portrait"/>
  <headerFooter>
    <oddFooter>&amp;L&amp;"Helvetica,Regular"&amp;12&amp;K000000	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70"/>
  <sheetViews>
    <sheetView tabSelected="1" zoomScale="90" zoomScaleNormal="90" workbookViewId="0">
      <pane ySplit="3" topLeftCell="A121" activePane="bottomLeft" state="frozen"/>
      <selection pane="bottomLeft" activeCell="A131" sqref="A131"/>
    </sheetView>
  </sheetViews>
  <sheetFormatPr defaultColWidth="43.796875" defaultRowHeight="15"/>
  <cols>
    <col min="1" max="1" width="11" style="150" customWidth="1"/>
    <col min="2" max="2" width="29.796875" style="150" customWidth="1"/>
    <col min="3" max="3" width="17.19921875" style="150" customWidth="1"/>
    <col min="4" max="4" width="8.5" style="150" customWidth="1"/>
    <col min="5" max="5" width="9" style="150" customWidth="1"/>
    <col min="6" max="6" width="15.19921875" style="150" customWidth="1"/>
    <col min="7" max="7" width="6.3984375" style="150" customWidth="1"/>
    <col min="8" max="9" width="15.5" style="150" customWidth="1"/>
    <col min="10" max="10" width="7.5" style="150" customWidth="1"/>
    <col min="11" max="11" width="9.69921875" style="150" customWidth="1"/>
    <col min="12" max="12" width="24.8984375" style="150" customWidth="1"/>
    <col min="13" max="13" width="9.796875" style="150" customWidth="1"/>
    <col min="14" max="14" width="14.3984375" style="150" customWidth="1"/>
    <col min="15" max="15" width="15.8984375" style="150" customWidth="1"/>
    <col min="16" max="16384" width="43.796875" style="150"/>
  </cols>
  <sheetData>
    <row r="1" spans="1:15" ht="30">
      <c r="A1" s="95" t="s">
        <v>25</v>
      </c>
      <c r="B1" s="95" t="s">
        <v>26</v>
      </c>
      <c r="C1" s="95" t="s">
        <v>26</v>
      </c>
      <c r="D1" s="95" t="s">
        <v>27</v>
      </c>
      <c r="E1" s="95" t="s">
        <v>28</v>
      </c>
      <c r="F1" s="95" t="s">
        <v>29</v>
      </c>
      <c r="G1" s="95" t="s">
        <v>30</v>
      </c>
      <c r="H1" s="95" t="s">
        <v>31</v>
      </c>
      <c r="I1" s="95" t="s">
        <v>32</v>
      </c>
      <c r="J1" s="95" t="s">
        <v>33</v>
      </c>
      <c r="K1" s="156" t="s">
        <v>34</v>
      </c>
      <c r="L1" s="157" t="s">
        <v>35</v>
      </c>
      <c r="M1" s="157" t="s">
        <v>36</v>
      </c>
      <c r="N1" s="162" t="s">
        <v>37</v>
      </c>
      <c r="O1" s="162" t="s">
        <v>38</v>
      </c>
    </row>
    <row r="2" spans="1:15" ht="18">
      <c r="A2" s="95" t="s">
        <v>39</v>
      </c>
      <c r="B2" s="95" t="s">
        <v>40</v>
      </c>
      <c r="C2" s="95" t="s">
        <v>40</v>
      </c>
      <c r="D2" s="95" t="s">
        <v>39</v>
      </c>
      <c r="E2" s="95" t="s">
        <v>39</v>
      </c>
      <c r="F2" s="95" t="s">
        <v>39</v>
      </c>
      <c r="G2" s="95" t="s">
        <v>39</v>
      </c>
      <c r="H2" s="95" t="s">
        <v>41</v>
      </c>
      <c r="I2" s="95" t="s">
        <v>41</v>
      </c>
      <c r="J2" s="95" t="s">
        <v>39</v>
      </c>
      <c r="K2" s="156" t="s">
        <v>39</v>
      </c>
      <c r="L2" s="157" t="s">
        <v>40</v>
      </c>
      <c r="M2" s="157" t="s">
        <v>39</v>
      </c>
      <c r="N2" s="162" t="s">
        <v>39</v>
      </c>
      <c r="O2" s="162" t="s">
        <v>39</v>
      </c>
    </row>
    <row r="3" spans="1:15" ht="20.25">
      <c r="A3" s="95" t="s">
        <v>42</v>
      </c>
      <c r="B3" s="151" t="s">
        <v>43</v>
      </c>
      <c r="C3" s="95" t="s">
        <v>44</v>
      </c>
      <c r="D3" s="95" t="s">
        <v>45</v>
      </c>
      <c r="E3" s="95" t="s">
        <v>46</v>
      </c>
      <c r="F3" s="95" t="s">
        <v>47</v>
      </c>
      <c r="G3" s="95" t="s">
        <v>48</v>
      </c>
      <c r="H3" s="95" t="s">
        <v>49</v>
      </c>
      <c r="I3" s="95" t="s">
        <v>50</v>
      </c>
      <c r="J3" s="95" t="s">
        <v>51</v>
      </c>
      <c r="K3" s="158" t="s">
        <v>52</v>
      </c>
      <c r="L3" s="157" t="s">
        <v>53</v>
      </c>
      <c r="M3" s="157" t="s">
        <v>54</v>
      </c>
      <c r="N3" s="163" t="s">
        <v>55</v>
      </c>
      <c r="O3" s="164" t="s">
        <v>56</v>
      </c>
    </row>
    <row r="4" spans="1:15" ht="18">
      <c r="A4" s="95">
        <v>1</v>
      </c>
      <c r="B4" s="95" t="s">
        <v>57</v>
      </c>
      <c r="C4" s="95" t="s">
        <v>58</v>
      </c>
      <c r="D4" s="95">
        <v>11001</v>
      </c>
      <c r="E4" s="95">
        <v>1</v>
      </c>
      <c r="F4" s="95">
        <v>101</v>
      </c>
      <c r="G4" s="95">
        <v>2</v>
      </c>
      <c r="H4" s="95">
        <v>2</v>
      </c>
      <c r="I4" s="95">
        <v>2</v>
      </c>
      <c r="J4" s="95">
        <v>0</v>
      </c>
      <c r="K4" s="156">
        <v>2</v>
      </c>
      <c r="L4" s="157" t="s">
        <v>58</v>
      </c>
      <c r="M4" s="165"/>
      <c r="N4" s="156">
        <v>0</v>
      </c>
      <c r="O4" s="164">
        <v>0</v>
      </c>
    </row>
    <row r="5" spans="1:15" ht="18">
      <c r="A5" s="95">
        <v>2</v>
      </c>
      <c r="B5" s="95" t="s">
        <v>59</v>
      </c>
      <c r="C5" s="95" t="s">
        <v>60</v>
      </c>
      <c r="D5" s="95">
        <v>11002</v>
      </c>
      <c r="E5" s="95">
        <v>1</v>
      </c>
      <c r="F5" s="95">
        <v>101</v>
      </c>
      <c r="G5" s="95">
        <v>2</v>
      </c>
      <c r="H5" s="95">
        <v>2</v>
      </c>
      <c r="I5" s="95">
        <v>2</v>
      </c>
      <c r="J5" s="95">
        <v>0</v>
      </c>
      <c r="K5" s="156">
        <v>2</v>
      </c>
      <c r="L5" s="157" t="s">
        <v>60</v>
      </c>
      <c r="M5" s="165"/>
      <c r="N5" s="156">
        <v>0</v>
      </c>
      <c r="O5" s="164">
        <v>0</v>
      </c>
    </row>
    <row r="6" spans="1:15" ht="18">
      <c r="A6" s="95">
        <v>3</v>
      </c>
      <c r="B6" s="95" t="s">
        <v>61</v>
      </c>
      <c r="C6" s="95" t="s">
        <v>62</v>
      </c>
      <c r="D6" s="95">
        <v>11003</v>
      </c>
      <c r="E6" s="95">
        <v>1</v>
      </c>
      <c r="F6" s="95">
        <v>101</v>
      </c>
      <c r="G6" s="95">
        <v>3</v>
      </c>
      <c r="H6" s="95">
        <v>3</v>
      </c>
      <c r="I6" s="95">
        <v>3</v>
      </c>
      <c r="J6" s="95">
        <v>0</v>
      </c>
      <c r="K6" s="156">
        <v>3</v>
      </c>
      <c r="L6" s="157" t="s">
        <v>62</v>
      </c>
      <c r="M6" s="165"/>
      <c r="N6" s="156">
        <v>0</v>
      </c>
      <c r="O6" s="164">
        <v>0</v>
      </c>
    </row>
    <row r="7" spans="1:15" ht="20.25">
      <c r="A7" s="95">
        <v>4</v>
      </c>
      <c r="B7" s="95" t="s">
        <v>63</v>
      </c>
      <c r="C7" s="151" t="s">
        <v>64</v>
      </c>
      <c r="D7" s="95">
        <v>11004</v>
      </c>
      <c r="E7" s="95">
        <v>1</v>
      </c>
      <c r="F7" s="95">
        <v>101</v>
      </c>
      <c r="G7" s="95">
        <v>4</v>
      </c>
      <c r="H7" s="95">
        <v>4</v>
      </c>
      <c r="I7" s="95">
        <v>4</v>
      </c>
      <c r="J7" s="95">
        <v>0</v>
      </c>
      <c r="K7" s="156">
        <v>4</v>
      </c>
      <c r="L7" s="157" t="s">
        <v>64</v>
      </c>
      <c r="M7" s="165"/>
      <c r="N7" s="156">
        <v>0</v>
      </c>
      <c r="O7" s="164">
        <v>0</v>
      </c>
    </row>
    <row r="8" spans="1:15" ht="18">
      <c r="A8" s="95">
        <v>5</v>
      </c>
      <c r="B8" s="95" t="s">
        <v>65</v>
      </c>
      <c r="C8" s="95" t="s">
        <v>66</v>
      </c>
      <c r="D8" s="95">
        <v>11005</v>
      </c>
      <c r="E8" s="95">
        <v>1</v>
      </c>
      <c r="F8" s="95">
        <v>101</v>
      </c>
      <c r="G8" s="95">
        <v>7</v>
      </c>
      <c r="H8" s="95">
        <v>7</v>
      </c>
      <c r="I8" s="95">
        <v>7</v>
      </c>
      <c r="J8" s="95">
        <v>0</v>
      </c>
      <c r="K8" s="156">
        <v>7</v>
      </c>
      <c r="L8" s="157" t="s">
        <v>66</v>
      </c>
      <c r="M8" s="165"/>
      <c r="N8" s="156">
        <v>0</v>
      </c>
      <c r="O8" s="164">
        <v>0</v>
      </c>
    </row>
    <row r="9" spans="1:15" ht="18">
      <c r="A9" s="95">
        <v>6</v>
      </c>
      <c r="B9" s="95" t="s">
        <v>67</v>
      </c>
      <c r="C9" s="95" t="s">
        <v>68</v>
      </c>
      <c r="D9" s="95">
        <v>11006</v>
      </c>
      <c r="E9" s="95">
        <v>1</v>
      </c>
      <c r="F9" s="95">
        <v>101</v>
      </c>
      <c r="G9" s="95">
        <v>3</v>
      </c>
      <c r="H9" s="95">
        <v>3</v>
      </c>
      <c r="I9" s="95">
        <v>3</v>
      </c>
      <c r="J9" s="95">
        <v>0</v>
      </c>
      <c r="K9" s="156">
        <v>3</v>
      </c>
      <c r="L9" s="157" t="s">
        <v>68</v>
      </c>
      <c r="M9" s="165"/>
      <c r="N9" s="156">
        <v>0</v>
      </c>
      <c r="O9" s="164">
        <v>0</v>
      </c>
    </row>
    <row r="10" spans="1:15" ht="18">
      <c r="A10" s="95">
        <v>7</v>
      </c>
      <c r="B10" s="95" t="s">
        <v>69</v>
      </c>
      <c r="C10" s="95" t="s">
        <v>70</v>
      </c>
      <c r="D10" s="95">
        <v>11007</v>
      </c>
      <c r="E10" s="95">
        <v>1</v>
      </c>
      <c r="F10" s="95">
        <v>101</v>
      </c>
      <c r="G10" s="95">
        <v>4</v>
      </c>
      <c r="H10" s="95">
        <v>4</v>
      </c>
      <c r="I10" s="95">
        <v>4</v>
      </c>
      <c r="J10" s="95">
        <v>0</v>
      </c>
      <c r="K10" s="156">
        <v>4</v>
      </c>
      <c r="L10" s="157" t="s">
        <v>70</v>
      </c>
      <c r="M10" s="165"/>
      <c r="N10" s="156">
        <v>0</v>
      </c>
      <c r="O10" s="164">
        <v>0</v>
      </c>
    </row>
    <row r="11" spans="1:15" ht="18">
      <c r="A11" s="95">
        <v>8</v>
      </c>
      <c r="B11" s="95" t="s">
        <v>71</v>
      </c>
      <c r="C11" s="95" t="s">
        <v>72</v>
      </c>
      <c r="D11" s="95">
        <v>11008</v>
      </c>
      <c r="E11" s="95">
        <v>1</v>
      </c>
      <c r="F11" s="95">
        <v>101</v>
      </c>
      <c r="G11" s="95">
        <v>5</v>
      </c>
      <c r="H11" s="95">
        <v>5</v>
      </c>
      <c r="I11" s="95">
        <v>5</v>
      </c>
      <c r="J11" s="95">
        <v>0</v>
      </c>
      <c r="K11" s="156">
        <v>5</v>
      </c>
      <c r="L11" s="157" t="s">
        <v>72</v>
      </c>
      <c r="M11" s="165"/>
      <c r="N11" s="156">
        <v>0</v>
      </c>
      <c r="O11" s="164">
        <v>0</v>
      </c>
    </row>
    <row r="12" spans="1:15" ht="18">
      <c r="A12" s="95">
        <v>9</v>
      </c>
      <c r="B12" s="95" t="s">
        <v>73</v>
      </c>
      <c r="C12" s="95" t="s">
        <v>74</v>
      </c>
      <c r="D12" s="95">
        <v>11009</v>
      </c>
      <c r="E12" s="95">
        <v>1</v>
      </c>
      <c r="F12" s="95">
        <v>101</v>
      </c>
      <c r="G12" s="95">
        <v>6</v>
      </c>
      <c r="H12" s="95">
        <v>6</v>
      </c>
      <c r="I12" s="95">
        <v>6</v>
      </c>
      <c r="J12" s="95">
        <v>0</v>
      </c>
      <c r="K12" s="156">
        <v>6</v>
      </c>
      <c r="L12" s="157" t="s">
        <v>74</v>
      </c>
      <c r="M12" s="165"/>
      <c r="N12" s="156">
        <v>0</v>
      </c>
      <c r="O12" s="164">
        <v>0</v>
      </c>
    </row>
    <row r="13" spans="1:15" ht="18">
      <c r="A13" s="95">
        <v>10</v>
      </c>
      <c r="B13" s="95" t="s">
        <v>75</v>
      </c>
      <c r="C13" s="95" t="s">
        <v>76</v>
      </c>
      <c r="D13" s="95">
        <v>11085</v>
      </c>
      <c r="E13" s="95">
        <v>1</v>
      </c>
      <c r="F13" s="95">
        <v>101</v>
      </c>
      <c r="G13" s="95">
        <v>4</v>
      </c>
      <c r="H13" s="95">
        <v>4</v>
      </c>
      <c r="I13" s="95">
        <v>4</v>
      </c>
      <c r="J13" s="95">
        <v>0</v>
      </c>
      <c r="K13" s="156">
        <v>4</v>
      </c>
      <c r="L13" s="157" t="s">
        <v>76</v>
      </c>
      <c r="M13" s="165"/>
      <c r="N13" s="156">
        <v>0</v>
      </c>
      <c r="O13" s="164">
        <v>0</v>
      </c>
    </row>
    <row r="14" spans="1:15" ht="18">
      <c r="A14" s="95">
        <v>11</v>
      </c>
      <c r="B14" s="95" t="s">
        <v>77</v>
      </c>
      <c r="C14" s="95" t="s">
        <v>78</v>
      </c>
      <c r="D14" s="95">
        <v>11010</v>
      </c>
      <c r="E14" s="95">
        <v>1</v>
      </c>
      <c r="F14" s="95">
        <v>101</v>
      </c>
      <c r="G14" s="95">
        <v>8</v>
      </c>
      <c r="H14" s="95">
        <v>8</v>
      </c>
      <c r="I14" s="95">
        <v>8</v>
      </c>
      <c r="J14" s="95">
        <v>0</v>
      </c>
      <c r="K14" s="156">
        <v>8</v>
      </c>
      <c r="L14" s="157" t="s">
        <v>78</v>
      </c>
      <c r="M14" s="165"/>
      <c r="N14" s="156">
        <v>0</v>
      </c>
      <c r="O14" s="164">
        <v>0</v>
      </c>
    </row>
    <row r="15" spans="1:15" ht="18">
      <c r="A15" s="95">
        <v>12</v>
      </c>
      <c r="B15" s="95" t="s">
        <v>79</v>
      </c>
      <c r="C15" s="95" t="s">
        <v>80</v>
      </c>
      <c r="D15" s="95">
        <v>11011</v>
      </c>
      <c r="E15" s="95">
        <v>1</v>
      </c>
      <c r="F15" s="95">
        <v>101</v>
      </c>
      <c r="G15" s="95">
        <v>7</v>
      </c>
      <c r="H15" s="95">
        <v>7</v>
      </c>
      <c r="I15" s="95">
        <v>7</v>
      </c>
      <c r="J15" s="95">
        <v>0</v>
      </c>
      <c r="K15" s="156">
        <v>7</v>
      </c>
      <c r="L15" s="157" t="s">
        <v>80</v>
      </c>
      <c r="M15" s="165"/>
      <c r="N15" s="156">
        <v>0</v>
      </c>
      <c r="O15" s="164">
        <v>0</v>
      </c>
    </row>
    <row r="16" spans="1:15" ht="18">
      <c r="A16" s="95">
        <v>13</v>
      </c>
      <c r="B16" s="95" t="s">
        <v>81</v>
      </c>
      <c r="C16" s="95" t="s">
        <v>82</v>
      </c>
      <c r="D16" s="95">
        <v>11012</v>
      </c>
      <c r="E16" s="95">
        <v>1</v>
      </c>
      <c r="F16" s="95">
        <v>101</v>
      </c>
      <c r="G16" s="95">
        <v>10</v>
      </c>
      <c r="H16" s="95">
        <v>10</v>
      </c>
      <c r="I16" s="95">
        <v>10</v>
      </c>
      <c r="J16" s="95">
        <v>0</v>
      </c>
      <c r="K16" s="156">
        <v>10</v>
      </c>
      <c r="L16" s="157" t="s">
        <v>82</v>
      </c>
      <c r="M16" s="165"/>
      <c r="N16" s="156">
        <v>0</v>
      </c>
      <c r="O16" s="164">
        <v>0</v>
      </c>
    </row>
    <row r="17" spans="1:15" ht="18">
      <c r="A17" s="95">
        <v>14</v>
      </c>
      <c r="B17" s="95" t="s">
        <v>83</v>
      </c>
      <c r="C17" s="95" t="s">
        <v>84</v>
      </c>
      <c r="D17" s="95">
        <v>11013</v>
      </c>
      <c r="E17" s="95">
        <v>1</v>
      </c>
      <c r="F17" s="95">
        <v>101</v>
      </c>
      <c r="G17" s="95">
        <v>18</v>
      </c>
      <c r="H17" s="95">
        <v>18</v>
      </c>
      <c r="I17" s="95">
        <v>18</v>
      </c>
      <c r="J17" s="95">
        <v>0</v>
      </c>
      <c r="K17" s="156">
        <v>18</v>
      </c>
      <c r="L17" s="157" t="s">
        <v>84</v>
      </c>
      <c r="M17" s="165"/>
      <c r="N17" s="156">
        <v>0</v>
      </c>
      <c r="O17" s="164">
        <v>0</v>
      </c>
    </row>
    <row r="18" spans="1:15" ht="18">
      <c r="A18" s="95">
        <v>15</v>
      </c>
      <c r="B18" s="95" t="s">
        <v>85</v>
      </c>
      <c r="C18" s="95" t="s">
        <v>86</v>
      </c>
      <c r="D18" s="95">
        <v>11235</v>
      </c>
      <c r="E18" s="95">
        <v>1</v>
      </c>
      <c r="F18" s="95">
        <v>101</v>
      </c>
      <c r="G18" s="95">
        <v>15</v>
      </c>
      <c r="H18" s="95">
        <v>15</v>
      </c>
      <c r="I18" s="95">
        <v>15</v>
      </c>
      <c r="J18" s="95">
        <v>0</v>
      </c>
      <c r="K18" s="156">
        <v>15</v>
      </c>
      <c r="L18" s="159" t="s">
        <v>86</v>
      </c>
      <c r="M18" s="165"/>
      <c r="N18" s="156">
        <v>0</v>
      </c>
      <c r="O18" s="164">
        <v>0</v>
      </c>
    </row>
    <row r="19" spans="1:15" ht="18">
      <c r="A19" s="95">
        <v>16</v>
      </c>
      <c r="B19" s="95" t="s">
        <v>87</v>
      </c>
      <c r="C19" s="95" t="s">
        <v>88</v>
      </c>
      <c r="D19" s="95">
        <v>11015</v>
      </c>
      <c r="E19" s="95">
        <v>1</v>
      </c>
      <c r="F19" s="95">
        <v>101</v>
      </c>
      <c r="G19" s="95">
        <v>12</v>
      </c>
      <c r="H19" s="95">
        <v>12</v>
      </c>
      <c r="I19" s="95">
        <v>12</v>
      </c>
      <c r="J19" s="95">
        <v>0</v>
      </c>
      <c r="K19" s="156">
        <v>12</v>
      </c>
      <c r="L19" s="157" t="s">
        <v>88</v>
      </c>
      <c r="M19" s="165"/>
      <c r="N19" s="156">
        <v>0</v>
      </c>
      <c r="O19" s="164">
        <v>0</v>
      </c>
    </row>
    <row r="20" spans="1:15" ht="18">
      <c r="A20" s="95">
        <v>17</v>
      </c>
      <c r="B20" s="95" t="s">
        <v>89</v>
      </c>
      <c r="C20" s="95" t="s">
        <v>90</v>
      </c>
      <c r="D20" s="95">
        <v>11016</v>
      </c>
      <c r="E20" s="95">
        <v>1</v>
      </c>
      <c r="F20" s="95">
        <v>101</v>
      </c>
      <c r="G20" s="95">
        <v>20</v>
      </c>
      <c r="H20" s="95">
        <v>20</v>
      </c>
      <c r="I20" s="95">
        <v>20</v>
      </c>
      <c r="J20" s="95">
        <v>0</v>
      </c>
      <c r="K20" s="156">
        <v>20</v>
      </c>
      <c r="L20" s="157" t="s">
        <v>90</v>
      </c>
      <c r="M20" s="165"/>
      <c r="N20" s="156">
        <v>0</v>
      </c>
      <c r="O20" s="164">
        <v>0</v>
      </c>
    </row>
    <row r="21" spans="1:15" ht="18">
      <c r="A21" s="95">
        <v>18</v>
      </c>
      <c r="B21" s="95" t="s">
        <v>91</v>
      </c>
      <c r="C21" s="95" t="s">
        <v>92</v>
      </c>
      <c r="D21" s="95">
        <v>11017</v>
      </c>
      <c r="E21" s="95">
        <v>1</v>
      </c>
      <c r="F21" s="95">
        <v>101</v>
      </c>
      <c r="G21" s="95">
        <v>9</v>
      </c>
      <c r="H21" s="95">
        <v>9</v>
      </c>
      <c r="I21" s="95">
        <v>9</v>
      </c>
      <c r="J21" s="95">
        <v>0</v>
      </c>
      <c r="K21" s="156">
        <v>9</v>
      </c>
      <c r="L21" s="157" t="s">
        <v>92</v>
      </c>
      <c r="M21" s="165"/>
      <c r="N21" s="156">
        <v>0</v>
      </c>
      <c r="O21" s="164">
        <v>0</v>
      </c>
    </row>
    <row r="22" spans="1:15" ht="18">
      <c r="A22" s="95">
        <v>19</v>
      </c>
      <c r="B22" s="95" t="s">
        <v>93</v>
      </c>
      <c r="C22" s="95" t="s">
        <v>94</v>
      </c>
      <c r="D22" s="95">
        <v>11020</v>
      </c>
      <c r="E22" s="95">
        <v>1</v>
      </c>
      <c r="F22" s="95">
        <v>101</v>
      </c>
      <c r="G22" s="95">
        <v>16</v>
      </c>
      <c r="H22" s="95">
        <v>16</v>
      </c>
      <c r="I22" s="95">
        <v>16</v>
      </c>
      <c r="J22" s="95">
        <v>0</v>
      </c>
      <c r="K22" s="156">
        <v>16</v>
      </c>
      <c r="L22" s="157" t="s">
        <v>94</v>
      </c>
      <c r="M22" s="165"/>
      <c r="N22" s="156">
        <v>0</v>
      </c>
      <c r="O22" s="164">
        <v>0</v>
      </c>
    </row>
    <row r="23" spans="1:15" ht="18">
      <c r="A23" s="95">
        <v>20</v>
      </c>
      <c r="B23" s="95" t="s">
        <v>95</v>
      </c>
      <c r="C23" s="95" t="s">
        <v>96</v>
      </c>
      <c r="D23" s="95">
        <v>11024</v>
      </c>
      <c r="E23" s="95">
        <v>1</v>
      </c>
      <c r="F23" s="95">
        <v>101</v>
      </c>
      <c r="G23" s="95">
        <v>30</v>
      </c>
      <c r="H23" s="95">
        <v>30</v>
      </c>
      <c r="I23" s="95">
        <v>30</v>
      </c>
      <c r="J23" s="95">
        <v>0</v>
      </c>
      <c r="K23" s="156">
        <v>30</v>
      </c>
      <c r="L23" s="157" t="s">
        <v>96</v>
      </c>
      <c r="M23" s="165"/>
      <c r="N23" s="163">
        <v>0</v>
      </c>
      <c r="O23" s="164">
        <v>0</v>
      </c>
    </row>
    <row r="24" spans="1:15" ht="18">
      <c r="A24" s="95">
        <v>21</v>
      </c>
      <c r="B24" s="95" t="s">
        <v>97</v>
      </c>
      <c r="C24" s="95" t="s">
        <v>98</v>
      </c>
      <c r="D24" s="95">
        <v>11090</v>
      </c>
      <c r="E24" s="95">
        <v>1</v>
      </c>
      <c r="F24" s="95">
        <v>101</v>
      </c>
      <c r="G24" s="95">
        <v>25</v>
      </c>
      <c r="H24" s="95">
        <v>25</v>
      </c>
      <c r="I24" s="95">
        <v>25</v>
      </c>
      <c r="J24" s="95">
        <v>0</v>
      </c>
      <c r="K24" s="156">
        <v>25</v>
      </c>
      <c r="L24" s="157" t="s">
        <v>98</v>
      </c>
      <c r="M24" s="165"/>
      <c r="N24" s="163">
        <v>0</v>
      </c>
      <c r="O24" s="164">
        <v>0</v>
      </c>
    </row>
    <row r="25" spans="1:15" ht="18">
      <c r="A25" s="95">
        <v>22</v>
      </c>
      <c r="B25" s="95" t="s">
        <v>99</v>
      </c>
      <c r="C25" s="95" t="s">
        <v>100</v>
      </c>
      <c r="D25" s="95">
        <v>11025</v>
      </c>
      <c r="E25" s="95">
        <v>1</v>
      </c>
      <c r="F25" s="95">
        <v>101</v>
      </c>
      <c r="G25" s="95">
        <v>40</v>
      </c>
      <c r="H25" s="95">
        <v>40</v>
      </c>
      <c r="I25" s="95">
        <v>40</v>
      </c>
      <c r="J25" s="95">
        <v>0</v>
      </c>
      <c r="K25" s="156">
        <v>40</v>
      </c>
      <c r="L25" s="157" t="s">
        <v>100</v>
      </c>
      <c r="M25" s="165"/>
      <c r="N25" s="163">
        <v>0</v>
      </c>
      <c r="O25" s="164">
        <v>0</v>
      </c>
    </row>
    <row r="26" spans="1:15" ht="18">
      <c r="A26" s="95">
        <v>23</v>
      </c>
      <c r="B26" s="95" t="s">
        <v>99</v>
      </c>
      <c r="C26" s="95" t="s">
        <v>100</v>
      </c>
      <c r="D26" s="95">
        <v>72025</v>
      </c>
      <c r="E26" s="95">
        <v>1</v>
      </c>
      <c r="F26" s="95">
        <v>101</v>
      </c>
      <c r="G26" s="95">
        <v>40</v>
      </c>
      <c r="H26" s="95">
        <v>40</v>
      </c>
      <c r="I26" s="95">
        <v>40</v>
      </c>
      <c r="J26" s="95">
        <v>0</v>
      </c>
      <c r="K26" s="156">
        <v>40</v>
      </c>
      <c r="L26" s="157" t="s">
        <v>100</v>
      </c>
      <c r="M26" s="157"/>
      <c r="N26" s="157">
        <v>0</v>
      </c>
      <c r="O26" s="164">
        <v>0</v>
      </c>
    </row>
    <row r="27" spans="1:15" ht="18.75">
      <c r="A27" s="95">
        <v>24</v>
      </c>
      <c r="B27" s="95" t="s">
        <v>101</v>
      </c>
      <c r="C27" s="152" t="s">
        <v>102</v>
      </c>
      <c r="D27" s="95">
        <v>11211</v>
      </c>
      <c r="E27" s="95">
        <v>1</v>
      </c>
      <c r="F27" s="95">
        <v>101</v>
      </c>
      <c r="G27" s="95">
        <v>50</v>
      </c>
      <c r="H27" s="95">
        <v>50</v>
      </c>
      <c r="I27" s="95">
        <v>50</v>
      </c>
      <c r="J27" s="95">
        <v>0</v>
      </c>
      <c r="K27" s="156">
        <v>50</v>
      </c>
      <c r="L27" s="160" t="s">
        <v>102</v>
      </c>
      <c r="M27" s="157"/>
      <c r="N27" s="157">
        <v>0</v>
      </c>
      <c r="O27" s="164">
        <v>0</v>
      </c>
    </row>
    <row r="28" spans="1:15" ht="18.75">
      <c r="A28" s="95">
        <v>25</v>
      </c>
      <c r="B28" s="95" t="s">
        <v>103</v>
      </c>
      <c r="C28" s="153" t="s">
        <v>104</v>
      </c>
      <c r="D28" s="95">
        <v>12028</v>
      </c>
      <c r="E28" s="95">
        <v>2</v>
      </c>
      <c r="F28" s="95">
        <v>101</v>
      </c>
      <c r="G28" s="95">
        <v>210</v>
      </c>
      <c r="H28" s="95">
        <v>231</v>
      </c>
      <c r="I28" s="95">
        <v>231</v>
      </c>
      <c r="J28" s="95">
        <v>0</v>
      </c>
      <c r="K28" s="156">
        <v>231</v>
      </c>
      <c r="L28" s="154" t="s">
        <v>104</v>
      </c>
      <c r="M28" s="165"/>
      <c r="N28" s="163">
        <v>21</v>
      </c>
      <c r="O28" s="164">
        <v>10000</v>
      </c>
    </row>
    <row r="29" spans="1:15" ht="18.75">
      <c r="A29" s="95">
        <v>27</v>
      </c>
      <c r="B29" s="95" t="s">
        <v>105</v>
      </c>
      <c r="C29" s="154" t="s">
        <v>106</v>
      </c>
      <c r="D29" s="95">
        <v>12032</v>
      </c>
      <c r="E29" s="95">
        <v>2</v>
      </c>
      <c r="F29" s="95">
        <v>101</v>
      </c>
      <c r="G29" s="95">
        <v>140</v>
      </c>
      <c r="H29" s="95">
        <v>154</v>
      </c>
      <c r="I29" s="95">
        <v>154</v>
      </c>
      <c r="J29" s="95">
        <v>0</v>
      </c>
      <c r="K29" s="156">
        <v>154</v>
      </c>
      <c r="L29" s="154" t="s">
        <v>106</v>
      </c>
      <c r="M29" s="165"/>
      <c r="N29" s="163">
        <v>14</v>
      </c>
      <c r="O29" s="164">
        <v>10000</v>
      </c>
    </row>
    <row r="30" spans="1:15" ht="18">
      <c r="A30" s="95">
        <v>28</v>
      </c>
      <c r="B30" s="95" t="s">
        <v>107</v>
      </c>
      <c r="C30" s="95" t="s">
        <v>108</v>
      </c>
      <c r="D30" s="95">
        <v>12031</v>
      </c>
      <c r="E30" s="95">
        <v>2</v>
      </c>
      <c r="F30" s="95">
        <v>101</v>
      </c>
      <c r="G30" s="95">
        <v>420</v>
      </c>
      <c r="H30" s="95">
        <v>462</v>
      </c>
      <c r="I30" s="95">
        <v>462</v>
      </c>
      <c r="J30" s="95">
        <v>0</v>
      </c>
      <c r="K30" s="156">
        <v>462</v>
      </c>
      <c r="L30" s="157" t="s">
        <v>108</v>
      </c>
      <c r="M30" s="165"/>
      <c r="N30" s="163">
        <v>42</v>
      </c>
      <c r="O30" s="164">
        <v>10000</v>
      </c>
    </row>
    <row r="31" spans="1:15" ht="18.75">
      <c r="A31" s="95">
        <v>29</v>
      </c>
      <c r="B31" s="95" t="s">
        <v>109</v>
      </c>
      <c r="C31" s="153" t="s">
        <v>110</v>
      </c>
      <c r="D31" s="95">
        <v>12213</v>
      </c>
      <c r="E31" s="95">
        <v>2</v>
      </c>
      <c r="F31" s="95">
        <v>101</v>
      </c>
      <c r="G31" s="95">
        <v>315</v>
      </c>
      <c r="H31" s="95">
        <v>346</v>
      </c>
      <c r="I31" s="95">
        <v>346</v>
      </c>
      <c r="J31" s="95">
        <v>0</v>
      </c>
      <c r="K31" s="156">
        <v>346</v>
      </c>
      <c r="L31" s="157" t="s">
        <v>110</v>
      </c>
      <c r="M31" s="157"/>
      <c r="N31" s="157">
        <v>31</v>
      </c>
      <c r="O31" s="164">
        <v>10000</v>
      </c>
    </row>
    <row r="32" spans="1:15" ht="18.75">
      <c r="A32" s="95">
        <v>30</v>
      </c>
      <c r="B32" s="95" t="s">
        <v>111</v>
      </c>
      <c r="C32" s="153" t="s">
        <v>112</v>
      </c>
      <c r="D32" s="95">
        <v>12232</v>
      </c>
      <c r="E32" s="95">
        <v>2</v>
      </c>
      <c r="F32" s="95">
        <v>101</v>
      </c>
      <c r="G32" s="95">
        <v>350</v>
      </c>
      <c r="H32" s="95">
        <v>385</v>
      </c>
      <c r="I32" s="95">
        <v>385</v>
      </c>
      <c r="J32" s="95">
        <v>0</v>
      </c>
      <c r="K32" s="156">
        <v>385</v>
      </c>
      <c r="L32" s="157" t="s">
        <v>112</v>
      </c>
      <c r="M32" s="157"/>
      <c r="N32" s="163">
        <v>35</v>
      </c>
      <c r="O32" s="164">
        <v>10000</v>
      </c>
    </row>
    <row r="33" spans="1:15" ht="18.75">
      <c r="A33" s="95">
        <v>31</v>
      </c>
      <c r="B33" s="95" t="s">
        <v>113</v>
      </c>
      <c r="C33" s="153" t="s">
        <v>114</v>
      </c>
      <c r="D33" s="95">
        <v>12233</v>
      </c>
      <c r="E33" s="95">
        <v>2</v>
      </c>
      <c r="F33" s="95">
        <v>101</v>
      </c>
      <c r="G33" s="95">
        <v>525</v>
      </c>
      <c r="H33" s="95">
        <v>577</v>
      </c>
      <c r="I33" s="95">
        <v>577</v>
      </c>
      <c r="J33" s="95">
        <v>0</v>
      </c>
      <c r="K33" s="156">
        <v>577</v>
      </c>
      <c r="L33" s="157" t="s">
        <v>114</v>
      </c>
      <c r="M33" s="157"/>
      <c r="N33" s="163">
        <v>52</v>
      </c>
      <c r="O33" s="164">
        <v>10000</v>
      </c>
    </row>
    <row r="34" spans="1:15" ht="18.75">
      <c r="A34" s="95">
        <v>32</v>
      </c>
      <c r="B34" s="95" t="s">
        <v>115</v>
      </c>
      <c r="C34" s="153" t="s">
        <v>116</v>
      </c>
      <c r="D34" s="95">
        <v>12234</v>
      </c>
      <c r="E34" s="95">
        <v>2</v>
      </c>
      <c r="F34" s="95">
        <v>101</v>
      </c>
      <c r="G34" s="95">
        <v>630</v>
      </c>
      <c r="H34" s="95">
        <v>693</v>
      </c>
      <c r="I34" s="95">
        <v>693</v>
      </c>
      <c r="J34" s="95">
        <v>0</v>
      </c>
      <c r="K34" s="156">
        <v>693</v>
      </c>
      <c r="L34" s="157" t="s">
        <v>116</v>
      </c>
      <c r="M34" s="157"/>
      <c r="N34" s="163">
        <v>63</v>
      </c>
      <c r="O34" s="164">
        <v>10000</v>
      </c>
    </row>
    <row r="35" spans="1:15" ht="18">
      <c r="A35" s="95">
        <v>33</v>
      </c>
      <c r="B35" s="95" t="s">
        <v>73</v>
      </c>
      <c r="C35" s="95" t="s">
        <v>74</v>
      </c>
      <c r="D35" s="95">
        <v>14009</v>
      </c>
      <c r="E35" s="95">
        <v>3</v>
      </c>
      <c r="F35" s="95">
        <v>101</v>
      </c>
      <c r="G35" s="95">
        <v>6</v>
      </c>
      <c r="H35" s="95">
        <v>40</v>
      </c>
      <c r="I35" s="95">
        <v>40</v>
      </c>
      <c r="J35" s="95">
        <v>0</v>
      </c>
      <c r="K35" s="156">
        <v>40</v>
      </c>
      <c r="L35" s="157" t="s">
        <v>117</v>
      </c>
      <c r="M35" s="165"/>
      <c r="N35" s="163">
        <v>4</v>
      </c>
      <c r="O35" s="164">
        <v>10000</v>
      </c>
    </row>
    <row r="36" spans="1:15" ht="18">
      <c r="A36" s="95">
        <v>34</v>
      </c>
      <c r="B36" s="95" t="s">
        <v>79</v>
      </c>
      <c r="C36" s="95" t="s">
        <v>80</v>
      </c>
      <c r="D36" s="95">
        <v>14011</v>
      </c>
      <c r="E36" s="95">
        <v>3</v>
      </c>
      <c r="F36" s="95">
        <v>101</v>
      </c>
      <c r="G36" s="95">
        <v>7</v>
      </c>
      <c r="H36" s="95">
        <v>47</v>
      </c>
      <c r="I36" s="95">
        <v>47</v>
      </c>
      <c r="J36" s="95">
        <v>0</v>
      </c>
      <c r="K36" s="156">
        <v>47</v>
      </c>
      <c r="L36" s="157" t="s">
        <v>118</v>
      </c>
      <c r="M36" s="165"/>
      <c r="N36" s="163">
        <v>5</v>
      </c>
      <c r="O36" s="164">
        <v>10000</v>
      </c>
    </row>
    <row r="37" spans="1:15" ht="18">
      <c r="A37" s="95">
        <v>35</v>
      </c>
      <c r="B37" s="95" t="s">
        <v>83</v>
      </c>
      <c r="C37" s="95" t="s">
        <v>84</v>
      </c>
      <c r="D37" s="95">
        <v>14013</v>
      </c>
      <c r="E37" s="95">
        <v>3</v>
      </c>
      <c r="F37" s="95">
        <v>101</v>
      </c>
      <c r="G37" s="95">
        <v>12</v>
      </c>
      <c r="H37" s="95">
        <v>80</v>
      </c>
      <c r="I37" s="95">
        <v>80</v>
      </c>
      <c r="J37" s="95">
        <v>0</v>
      </c>
      <c r="K37" s="156">
        <v>80</v>
      </c>
      <c r="L37" s="157" t="s">
        <v>119</v>
      </c>
      <c r="M37" s="165"/>
      <c r="N37" s="163">
        <v>8</v>
      </c>
      <c r="O37" s="164">
        <v>10000</v>
      </c>
    </row>
    <row r="38" spans="1:15" ht="18">
      <c r="A38" s="95">
        <v>36</v>
      </c>
      <c r="B38" s="95" t="s">
        <v>87</v>
      </c>
      <c r="C38" s="95" t="s">
        <v>88</v>
      </c>
      <c r="D38" s="95">
        <v>14015</v>
      </c>
      <c r="E38" s="95">
        <v>3</v>
      </c>
      <c r="F38" s="95">
        <v>101</v>
      </c>
      <c r="G38" s="95">
        <v>10</v>
      </c>
      <c r="H38" s="95">
        <v>67</v>
      </c>
      <c r="I38" s="95">
        <v>67</v>
      </c>
      <c r="J38" s="95">
        <v>0</v>
      </c>
      <c r="K38" s="156">
        <v>67</v>
      </c>
      <c r="L38" s="157" t="s">
        <v>120</v>
      </c>
      <c r="M38" s="165"/>
      <c r="N38" s="163">
        <v>7</v>
      </c>
      <c r="O38" s="164">
        <v>10000</v>
      </c>
    </row>
    <row r="39" spans="1:15" ht="18">
      <c r="A39" s="95">
        <v>37</v>
      </c>
      <c r="B39" s="95" t="s">
        <v>93</v>
      </c>
      <c r="C39" s="95" t="s">
        <v>94</v>
      </c>
      <c r="D39" s="95">
        <v>14020</v>
      </c>
      <c r="E39" s="95">
        <v>3</v>
      </c>
      <c r="F39" s="95">
        <v>101</v>
      </c>
      <c r="G39" s="95">
        <v>16</v>
      </c>
      <c r="H39" s="95">
        <v>107</v>
      </c>
      <c r="I39" s="95">
        <v>107</v>
      </c>
      <c r="J39" s="95">
        <v>0</v>
      </c>
      <c r="K39" s="156">
        <v>107</v>
      </c>
      <c r="L39" s="157" t="s">
        <v>121</v>
      </c>
      <c r="M39" s="165"/>
      <c r="N39" s="163">
        <v>11</v>
      </c>
      <c r="O39" s="164">
        <v>10000</v>
      </c>
    </row>
    <row r="40" spans="1:15" ht="18">
      <c r="A40" s="95">
        <v>38</v>
      </c>
      <c r="B40" s="95" t="s">
        <v>95</v>
      </c>
      <c r="C40" s="95" t="s">
        <v>96</v>
      </c>
      <c r="D40" s="95">
        <v>14024</v>
      </c>
      <c r="E40" s="95">
        <v>3</v>
      </c>
      <c r="F40" s="95">
        <v>101</v>
      </c>
      <c r="G40" s="95">
        <v>30</v>
      </c>
      <c r="H40" s="95">
        <v>200</v>
      </c>
      <c r="I40" s="95">
        <v>200</v>
      </c>
      <c r="J40" s="95">
        <v>0</v>
      </c>
      <c r="K40" s="156">
        <v>200</v>
      </c>
      <c r="L40" s="157" t="s">
        <v>122</v>
      </c>
      <c r="M40" s="165"/>
      <c r="N40" s="163">
        <v>20</v>
      </c>
      <c r="O40" s="164">
        <v>10000</v>
      </c>
    </row>
    <row r="41" spans="1:15" ht="18.75">
      <c r="A41" s="95">
        <v>39</v>
      </c>
      <c r="B41" s="95" t="s">
        <v>99</v>
      </c>
      <c r="C41" s="95" t="s">
        <v>100</v>
      </c>
      <c r="D41" s="95">
        <v>14025</v>
      </c>
      <c r="E41" s="95">
        <v>3</v>
      </c>
      <c r="F41" s="95">
        <v>101</v>
      </c>
      <c r="G41" s="95">
        <v>40</v>
      </c>
      <c r="H41" s="95">
        <v>267</v>
      </c>
      <c r="I41" s="95">
        <v>267</v>
      </c>
      <c r="J41" s="95">
        <v>0</v>
      </c>
      <c r="K41" s="156">
        <v>267</v>
      </c>
      <c r="L41" s="154" t="s">
        <v>123</v>
      </c>
      <c r="M41" s="165"/>
      <c r="N41" s="163">
        <v>27</v>
      </c>
      <c r="O41" s="164">
        <v>10000</v>
      </c>
    </row>
    <row r="42" spans="1:15" s="149" customFormat="1" ht="18.75">
      <c r="A42" s="95">
        <v>40</v>
      </c>
      <c r="B42" s="95" t="s">
        <v>85</v>
      </c>
      <c r="C42" s="153" t="s">
        <v>86</v>
      </c>
      <c r="D42" s="95">
        <v>14235</v>
      </c>
      <c r="E42" s="95">
        <v>3</v>
      </c>
      <c r="F42" s="95">
        <v>101</v>
      </c>
      <c r="G42" s="95">
        <v>15</v>
      </c>
      <c r="H42" s="95">
        <v>100</v>
      </c>
      <c r="I42" s="95">
        <v>100</v>
      </c>
      <c r="J42" s="95">
        <v>0</v>
      </c>
      <c r="K42" s="156">
        <v>100</v>
      </c>
      <c r="L42" s="154" t="s">
        <v>124</v>
      </c>
      <c r="M42" s="165"/>
      <c r="N42" s="163">
        <v>10</v>
      </c>
      <c r="O42" s="164">
        <v>10000</v>
      </c>
    </row>
    <row r="43" spans="1:15" ht="18">
      <c r="A43" s="95">
        <v>41</v>
      </c>
      <c r="B43" s="95" t="s">
        <v>97</v>
      </c>
      <c r="C43" s="95" t="s">
        <v>98</v>
      </c>
      <c r="D43" s="95">
        <v>14090</v>
      </c>
      <c r="E43" s="95">
        <v>3</v>
      </c>
      <c r="F43" s="95">
        <v>101</v>
      </c>
      <c r="G43" s="95">
        <v>25</v>
      </c>
      <c r="H43" s="95">
        <v>167</v>
      </c>
      <c r="I43" s="95">
        <v>167</v>
      </c>
      <c r="J43" s="95">
        <v>0</v>
      </c>
      <c r="K43" s="156">
        <v>167</v>
      </c>
      <c r="L43" s="157" t="s">
        <v>125</v>
      </c>
      <c r="M43" s="165"/>
      <c r="N43" s="163">
        <v>17</v>
      </c>
      <c r="O43" s="164">
        <v>10000</v>
      </c>
    </row>
    <row r="44" spans="1:15" ht="18">
      <c r="A44" s="95">
        <v>42</v>
      </c>
      <c r="B44" s="95" t="s">
        <v>126</v>
      </c>
      <c r="C44" s="95" t="s">
        <v>127</v>
      </c>
      <c r="D44" s="95">
        <v>15033</v>
      </c>
      <c r="E44" s="95">
        <v>4</v>
      </c>
      <c r="F44" s="95">
        <v>103</v>
      </c>
      <c r="G44" s="95">
        <v>1</v>
      </c>
      <c r="H44" s="95">
        <v>350</v>
      </c>
      <c r="I44" s="95">
        <v>350</v>
      </c>
      <c r="J44" s="95">
        <v>0</v>
      </c>
      <c r="K44" s="161">
        <v>350</v>
      </c>
      <c r="L44" s="157" t="s">
        <v>128</v>
      </c>
      <c r="M44" s="165"/>
      <c r="N44" s="163">
        <v>0</v>
      </c>
      <c r="O44" s="164">
        <v>0</v>
      </c>
    </row>
    <row r="45" spans="1:15" ht="18">
      <c r="A45" s="95">
        <v>43</v>
      </c>
      <c r="B45" s="95" t="s">
        <v>129</v>
      </c>
      <c r="C45" s="95" t="s">
        <v>130</v>
      </c>
      <c r="D45" s="95">
        <v>15034</v>
      </c>
      <c r="E45" s="95">
        <v>4</v>
      </c>
      <c r="F45" s="95">
        <v>103</v>
      </c>
      <c r="G45" s="95">
        <v>5</v>
      </c>
      <c r="H45" s="95">
        <v>2000</v>
      </c>
      <c r="I45" s="95">
        <v>2000</v>
      </c>
      <c r="J45" s="95">
        <v>0</v>
      </c>
      <c r="K45" s="161">
        <v>2000</v>
      </c>
      <c r="L45" s="157" t="s">
        <v>131</v>
      </c>
      <c r="M45" s="165"/>
      <c r="N45" s="163">
        <v>0</v>
      </c>
      <c r="O45" s="164">
        <v>0</v>
      </c>
    </row>
    <row r="46" spans="1:15" ht="18">
      <c r="A46" s="95">
        <v>44</v>
      </c>
      <c r="B46" s="95" t="s">
        <v>132</v>
      </c>
      <c r="C46" s="95" t="s">
        <v>133</v>
      </c>
      <c r="D46" s="95">
        <v>15035</v>
      </c>
      <c r="E46" s="95">
        <v>4</v>
      </c>
      <c r="F46" s="95">
        <v>103</v>
      </c>
      <c r="G46" s="95">
        <v>10</v>
      </c>
      <c r="H46" s="95">
        <v>12000</v>
      </c>
      <c r="I46" s="95">
        <v>12000</v>
      </c>
      <c r="J46" s="95">
        <v>0</v>
      </c>
      <c r="K46" s="161">
        <v>12000</v>
      </c>
      <c r="L46" s="157" t="s">
        <v>134</v>
      </c>
      <c r="M46" s="165"/>
      <c r="N46" s="163">
        <v>0</v>
      </c>
      <c r="O46" s="164">
        <v>0</v>
      </c>
    </row>
    <row r="47" spans="1:15" ht="18">
      <c r="A47" s="95">
        <v>45</v>
      </c>
      <c r="B47" s="95" t="s">
        <v>135</v>
      </c>
      <c r="C47" s="95" t="s">
        <v>136</v>
      </c>
      <c r="D47" s="95">
        <v>15036</v>
      </c>
      <c r="E47" s="95">
        <v>4</v>
      </c>
      <c r="F47" s="95">
        <v>103</v>
      </c>
      <c r="G47" s="95">
        <v>40</v>
      </c>
      <c r="H47" s="95">
        <v>48000</v>
      </c>
      <c r="I47" s="95">
        <v>48000</v>
      </c>
      <c r="J47" s="95">
        <v>0</v>
      </c>
      <c r="K47" s="161">
        <v>48000</v>
      </c>
      <c r="L47" s="157" t="s">
        <v>137</v>
      </c>
      <c r="M47" s="165"/>
      <c r="N47" s="163">
        <v>0</v>
      </c>
      <c r="O47" s="164">
        <v>0</v>
      </c>
    </row>
    <row r="48" spans="1:15" ht="18">
      <c r="A48" s="95">
        <v>46</v>
      </c>
      <c r="B48" s="95" t="s">
        <v>138</v>
      </c>
      <c r="C48" s="95" t="s">
        <v>139</v>
      </c>
      <c r="D48" s="95">
        <v>15037</v>
      </c>
      <c r="E48" s="95">
        <v>4</v>
      </c>
      <c r="F48" s="95">
        <v>103</v>
      </c>
      <c r="G48" s="95">
        <v>100</v>
      </c>
      <c r="H48" s="95">
        <v>120000</v>
      </c>
      <c r="I48" s="95">
        <v>120000</v>
      </c>
      <c r="J48" s="95">
        <v>0</v>
      </c>
      <c r="K48" s="161">
        <v>120000</v>
      </c>
      <c r="L48" s="157" t="s">
        <v>140</v>
      </c>
      <c r="M48" s="165"/>
      <c r="N48" s="163">
        <v>0</v>
      </c>
      <c r="O48" s="164">
        <v>0</v>
      </c>
    </row>
    <row r="49" spans="1:15" ht="18">
      <c r="A49" s="95">
        <v>47</v>
      </c>
      <c r="B49" s="95" t="s">
        <v>141</v>
      </c>
      <c r="C49" s="95" t="s">
        <v>142</v>
      </c>
      <c r="D49" s="95">
        <v>15038</v>
      </c>
      <c r="E49" s="95">
        <v>4</v>
      </c>
      <c r="F49" s="95">
        <v>103</v>
      </c>
      <c r="G49" s="95">
        <v>200</v>
      </c>
      <c r="H49" s="95">
        <v>240000</v>
      </c>
      <c r="I49" s="95">
        <v>240000</v>
      </c>
      <c r="J49" s="95">
        <v>0</v>
      </c>
      <c r="K49" s="161">
        <v>240000</v>
      </c>
      <c r="L49" s="157" t="s">
        <v>143</v>
      </c>
      <c r="M49" s="165"/>
      <c r="N49" s="163">
        <v>0</v>
      </c>
      <c r="O49" s="164">
        <v>0</v>
      </c>
    </row>
    <row r="50" spans="1:15" ht="18">
      <c r="A50" s="95">
        <v>48</v>
      </c>
      <c r="B50" s="95" t="s">
        <v>144</v>
      </c>
      <c r="C50" s="95" t="s">
        <v>145</v>
      </c>
      <c r="D50" s="95">
        <v>15039</v>
      </c>
      <c r="E50" s="95">
        <v>4</v>
      </c>
      <c r="F50" s="95">
        <v>103</v>
      </c>
      <c r="G50" s="95">
        <v>300</v>
      </c>
      <c r="H50" s="95">
        <v>360000</v>
      </c>
      <c r="I50" s="95">
        <v>360000</v>
      </c>
      <c r="J50" s="95">
        <v>0</v>
      </c>
      <c r="K50" s="161">
        <v>360000</v>
      </c>
      <c r="L50" s="157" t="s">
        <v>146</v>
      </c>
      <c r="M50" s="165"/>
      <c r="N50" s="163">
        <v>0</v>
      </c>
      <c r="O50" s="164">
        <v>0</v>
      </c>
    </row>
    <row r="51" spans="1:15" ht="18">
      <c r="A51" s="95">
        <v>49</v>
      </c>
      <c r="B51" s="95" t="s">
        <v>147</v>
      </c>
      <c r="C51" s="95" t="s">
        <v>148</v>
      </c>
      <c r="D51" s="95">
        <v>15055</v>
      </c>
      <c r="E51" s="95">
        <v>4</v>
      </c>
      <c r="F51" s="95">
        <v>103</v>
      </c>
      <c r="G51" s="95">
        <v>1000</v>
      </c>
      <c r="H51" s="95">
        <v>1200000</v>
      </c>
      <c r="I51" s="95">
        <v>1200000</v>
      </c>
      <c r="J51" s="95">
        <v>0</v>
      </c>
      <c r="K51" s="161">
        <v>1200000</v>
      </c>
      <c r="L51" s="157" t="s">
        <v>149</v>
      </c>
      <c r="M51" s="165"/>
      <c r="N51" s="163">
        <v>0</v>
      </c>
      <c r="O51" s="164">
        <v>0</v>
      </c>
    </row>
    <row r="52" spans="1:15" ht="18">
      <c r="A52" s="95">
        <v>50</v>
      </c>
      <c r="B52" s="95" t="s">
        <v>150</v>
      </c>
      <c r="C52" s="95" t="s">
        <v>151</v>
      </c>
      <c r="D52" s="95">
        <v>15056</v>
      </c>
      <c r="E52" s="95">
        <v>4</v>
      </c>
      <c r="F52" s="95">
        <v>103</v>
      </c>
      <c r="G52" s="95">
        <v>2000</v>
      </c>
      <c r="H52" s="95">
        <v>2400000</v>
      </c>
      <c r="I52" s="95">
        <v>2400000</v>
      </c>
      <c r="J52" s="95">
        <v>0</v>
      </c>
      <c r="K52" s="161">
        <v>2400000</v>
      </c>
      <c r="L52" s="157" t="s">
        <v>152</v>
      </c>
      <c r="M52" s="165"/>
      <c r="N52" s="163">
        <v>0</v>
      </c>
      <c r="O52" s="164">
        <v>0</v>
      </c>
    </row>
    <row r="53" spans="1:15" ht="18">
      <c r="A53" s="95">
        <v>51</v>
      </c>
      <c r="B53" s="95" t="s">
        <v>153</v>
      </c>
      <c r="C53" s="95" t="s">
        <v>154</v>
      </c>
      <c r="D53" s="95">
        <v>15057</v>
      </c>
      <c r="E53" s="95">
        <v>4</v>
      </c>
      <c r="F53" s="95">
        <v>103</v>
      </c>
      <c r="G53" s="95">
        <v>5000</v>
      </c>
      <c r="H53" s="95">
        <v>6000000</v>
      </c>
      <c r="I53" s="95">
        <v>6000000</v>
      </c>
      <c r="J53" s="95">
        <v>0</v>
      </c>
      <c r="K53" s="161">
        <v>6000000</v>
      </c>
      <c r="L53" s="157" t="s">
        <v>155</v>
      </c>
      <c r="M53" s="165"/>
      <c r="N53" s="163">
        <v>0</v>
      </c>
      <c r="O53" s="164">
        <v>0</v>
      </c>
    </row>
    <row r="54" spans="1:15" ht="18">
      <c r="A54" s="95">
        <v>52</v>
      </c>
      <c r="B54" s="95" t="s">
        <v>156</v>
      </c>
      <c r="C54" s="95" t="s">
        <v>157</v>
      </c>
      <c r="D54" s="95">
        <v>15058</v>
      </c>
      <c r="E54" s="95">
        <v>4</v>
      </c>
      <c r="F54" s="95">
        <v>103</v>
      </c>
      <c r="G54" s="95">
        <v>10000</v>
      </c>
      <c r="H54" s="95">
        <v>12000000</v>
      </c>
      <c r="I54" s="95">
        <v>12000000</v>
      </c>
      <c r="J54" s="95">
        <v>0</v>
      </c>
      <c r="K54" s="161">
        <v>12000000</v>
      </c>
      <c r="L54" s="157" t="s">
        <v>158</v>
      </c>
      <c r="M54" s="165"/>
      <c r="N54" s="163">
        <v>0</v>
      </c>
      <c r="O54" s="164">
        <v>0</v>
      </c>
    </row>
    <row r="55" spans="1:15" ht="18">
      <c r="A55" s="95">
        <v>53</v>
      </c>
      <c r="B55" s="95" t="s">
        <v>159</v>
      </c>
      <c r="C55" s="95" t="s">
        <v>160</v>
      </c>
      <c r="D55" s="95">
        <v>15081</v>
      </c>
      <c r="E55" s="95">
        <v>4</v>
      </c>
      <c r="F55" s="95">
        <v>103</v>
      </c>
      <c r="G55" s="95">
        <v>500</v>
      </c>
      <c r="H55" s="95">
        <v>600000</v>
      </c>
      <c r="I55" s="95">
        <v>600000</v>
      </c>
      <c r="J55" s="95">
        <v>0</v>
      </c>
      <c r="K55" s="161">
        <v>600000</v>
      </c>
      <c r="L55" s="157" t="s">
        <v>161</v>
      </c>
      <c r="M55" s="165"/>
      <c r="N55" s="163">
        <v>0</v>
      </c>
      <c r="O55" s="164">
        <v>0</v>
      </c>
    </row>
    <row r="56" spans="1:15" ht="18">
      <c r="A56" s="95">
        <v>54</v>
      </c>
      <c r="B56" s="95" t="s">
        <v>162</v>
      </c>
      <c r="C56" s="95" t="s">
        <v>163</v>
      </c>
      <c r="D56" s="95">
        <v>15082</v>
      </c>
      <c r="E56" s="95">
        <v>4</v>
      </c>
      <c r="F56" s="95">
        <v>103</v>
      </c>
      <c r="G56" s="95">
        <v>3000</v>
      </c>
      <c r="H56" s="95">
        <v>3600000</v>
      </c>
      <c r="I56" s="95">
        <v>3600000</v>
      </c>
      <c r="J56" s="95">
        <v>0</v>
      </c>
      <c r="K56" s="161">
        <v>3600000</v>
      </c>
      <c r="L56" s="157" t="s">
        <v>164</v>
      </c>
      <c r="M56" s="165"/>
      <c r="N56" s="163">
        <v>0</v>
      </c>
      <c r="O56" s="164">
        <v>0</v>
      </c>
    </row>
    <row r="57" spans="1:15" ht="18">
      <c r="A57" s="95">
        <v>55</v>
      </c>
      <c r="B57" s="95" t="s">
        <v>165</v>
      </c>
      <c r="C57" s="95" t="s">
        <v>166</v>
      </c>
      <c r="D57" s="95">
        <v>15115</v>
      </c>
      <c r="E57" s="95">
        <v>4</v>
      </c>
      <c r="F57" s="95">
        <v>103</v>
      </c>
      <c r="G57" s="95">
        <v>20</v>
      </c>
      <c r="H57" s="95">
        <v>12000</v>
      </c>
      <c r="I57" s="95">
        <v>12000</v>
      </c>
      <c r="J57" s="95">
        <v>0</v>
      </c>
      <c r="K57" s="161">
        <v>12000</v>
      </c>
      <c r="L57" s="157" t="s">
        <v>167</v>
      </c>
      <c r="M57" s="165"/>
      <c r="N57" s="163">
        <v>0</v>
      </c>
      <c r="O57" s="164">
        <v>0</v>
      </c>
    </row>
    <row r="58" spans="1:15" ht="18">
      <c r="A58" s="95">
        <v>56</v>
      </c>
      <c r="B58" s="95" t="s">
        <v>129</v>
      </c>
      <c r="C58" s="95" t="s">
        <v>130</v>
      </c>
      <c r="D58" s="95">
        <v>15123</v>
      </c>
      <c r="E58" s="95">
        <v>4</v>
      </c>
      <c r="F58" s="95">
        <v>103</v>
      </c>
      <c r="G58" s="95">
        <v>5</v>
      </c>
      <c r="H58" s="95">
        <v>50</v>
      </c>
      <c r="I58" s="95">
        <v>50</v>
      </c>
      <c r="J58" s="95">
        <v>0</v>
      </c>
      <c r="K58" s="156">
        <v>3000</v>
      </c>
      <c r="L58" s="157" t="s">
        <v>168</v>
      </c>
      <c r="M58" s="157"/>
      <c r="N58" s="157">
        <v>0</v>
      </c>
      <c r="O58" s="164">
        <v>0</v>
      </c>
    </row>
    <row r="59" spans="1:15" ht="18">
      <c r="A59" s="95">
        <v>57</v>
      </c>
      <c r="B59" s="95" t="s">
        <v>132</v>
      </c>
      <c r="C59" s="155" t="s">
        <v>169</v>
      </c>
      <c r="D59" s="95">
        <v>15124</v>
      </c>
      <c r="E59" s="95">
        <v>4</v>
      </c>
      <c r="F59" s="95">
        <v>103</v>
      </c>
      <c r="G59" s="95">
        <v>10</v>
      </c>
      <c r="H59" s="95">
        <v>2000</v>
      </c>
      <c r="I59" s="95">
        <v>2000</v>
      </c>
      <c r="J59" s="95">
        <v>0</v>
      </c>
      <c r="K59" s="156">
        <v>6000</v>
      </c>
      <c r="L59" s="157" t="s">
        <v>170</v>
      </c>
      <c r="M59" s="157"/>
      <c r="N59" s="157">
        <v>0</v>
      </c>
      <c r="O59" s="164">
        <v>0</v>
      </c>
    </row>
    <row r="60" spans="1:15" ht="18">
      <c r="A60" s="95">
        <v>58</v>
      </c>
      <c r="B60" s="95" t="s">
        <v>132</v>
      </c>
      <c r="C60" s="155" t="s">
        <v>169</v>
      </c>
      <c r="D60" s="95">
        <v>15125</v>
      </c>
      <c r="E60" s="95">
        <v>4</v>
      </c>
      <c r="F60" s="95">
        <v>103</v>
      </c>
      <c r="G60" s="95">
        <v>10</v>
      </c>
      <c r="H60" s="95">
        <v>3000</v>
      </c>
      <c r="I60" s="95">
        <v>3000</v>
      </c>
      <c r="J60" s="95">
        <v>0</v>
      </c>
      <c r="K60" s="156">
        <v>6000</v>
      </c>
      <c r="L60" s="157" t="s">
        <v>170</v>
      </c>
      <c r="M60" s="157"/>
      <c r="N60" s="157">
        <v>0</v>
      </c>
      <c r="O60" s="164">
        <v>0</v>
      </c>
    </row>
    <row r="61" spans="1:15" ht="18">
      <c r="A61" s="95">
        <v>59</v>
      </c>
      <c r="B61" s="95" t="s">
        <v>135</v>
      </c>
      <c r="C61" s="155" t="s">
        <v>171</v>
      </c>
      <c r="D61" s="95">
        <v>15126</v>
      </c>
      <c r="E61" s="95">
        <v>4</v>
      </c>
      <c r="F61" s="95">
        <v>103</v>
      </c>
      <c r="G61" s="95">
        <v>40</v>
      </c>
      <c r="H61" s="95">
        <v>16000</v>
      </c>
      <c r="I61" s="95">
        <v>16000</v>
      </c>
      <c r="J61" s="95">
        <v>0</v>
      </c>
      <c r="K61" s="156">
        <v>24000</v>
      </c>
      <c r="L61" s="157" t="s">
        <v>172</v>
      </c>
      <c r="M61" s="157"/>
      <c r="N61" s="157">
        <v>0</v>
      </c>
      <c r="O61" s="164">
        <v>0</v>
      </c>
    </row>
    <row r="62" spans="1:15" ht="18">
      <c r="A62" s="95">
        <v>60</v>
      </c>
      <c r="B62" s="95" t="s">
        <v>135</v>
      </c>
      <c r="C62" s="155" t="s">
        <v>171</v>
      </c>
      <c r="D62" s="95">
        <v>15127</v>
      </c>
      <c r="E62" s="95">
        <v>4</v>
      </c>
      <c r="F62" s="95">
        <v>103</v>
      </c>
      <c r="G62" s="95">
        <v>40</v>
      </c>
      <c r="H62" s="95">
        <v>20000</v>
      </c>
      <c r="I62" s="95">
        <v>20000</v>
      </c>
      <c r="J62" s="95">
        <v>0</v>
      </c>
      <c r="K62" s="156">
        <v>24000</v>
      </c>
      <c r="L62" s="157" t="s">
        <v>172</v>
      </c>
      <c r="M62" s="157"/>
      <c r="N62" s="157">
        <v>0</v>
      </c>
      <c r="O62" s="164">
        <v>0</v>
      </c>
    </row>
    <row r="63" spans="1:15" ht="18">
      <c r="A63" s="95">
        <v>61</v>
      </c>
      <c r="B63" s="95" t="s">
        <v>138</v>
      </c>
      <c r="C63" s="155" t="s">
        <v>173</v>
      </c>
      <c r="D63" s="95">
        <v>15128</v>
      </c>
      <c r="E63" s="95">
        <v>4</v>
      </c>
      <c r="F63" s="95">
        <v>103</v>
      </c>
      <c r="G63" s="95">
        <v>100</v>
      </c>
      <c r="H63" s="95">
        <v>50000</v>
      </c>
      <c r="I63" s="95">
        <v>50000</v>
      </c>
      <c r="J63" s="95">
        <v>0</v>
      </c>
      <c r="K63" s="156">
        <v>60000</v>
      </c>
      <c r="L63" s="157" t="s">
        <v>174</v>
      </c>
      <c r="M63" s="166"/>
      <c r="N63" s="157">
        <v>0</v>
      </c>
      <c r="O63" s="164">
        <v>0</v>
      </c>
    </row>
    <row r="64" spans="1:15" ht="18">
      <c r="A64" s="95">
        <v>62</v>
      </c>
      <c r="B64" s="95" t="s">
        <v>138</v>
      </c>
      <c r="C64" s="155" t="s">
        <v>173</v>
      </c>
      <c r="D64" s="95">
        <v>15129</v>
      </c>
      <c r="E64" s="95">
        <v>4</v>
      </c>
      <c r="F64" s="95">
        <v>103</v>
      </c>
      <c r="G64" s="95">
        <v>100</v>
      </c>
      <c r="H64" s="95">
        <v>60000</v>
      </c>
      <c r="I64" s="95">
        <v>60000</v>
      </c>
      <c r="J64" s="95">
        <v>0</v>
      </c>
      <c r="K64" s="156">
        <v>60000</v>
      </c>
      <c r="L64" s="157" t="s">
        <v>174</v>
      </c>
      <c r="M64" s="166"/>
      <c r="N64" s="157">
        <v>0</v>
      </c>
      <c r="O64" s="164">
        <v>0</v>
      </c>
    </row>
    <row r="65" spans="1:15" ht="18.75">
      <c r="A65" s="95">
        <v>63</v>
      </c>
      <c r="B65" s="95" t="s">
        <v>175</v>
      </c>
      <c r="C65" s="153" t="s">
        <v>176</v>
      </c>
      <c r="D65" s="95">
        <v>16040</v>
      </c>
      <c r="E65" s="95">
        <v>5</v>
      </c>
      <c r="F65" s="95">
        <v>0</v>
      </c>
      <c r="G65" s="95">
        <v>0</v>
      </c>
      <c r="H65" s="95">
        <v>100</v>
      </c>
      <c r="I65" s="95">
        <v>120</v>
      </c>
      <c r="J65" s="95">
        <v>100</v>
      </c>
      <c r="K65" s="156">
        <v>0</v>
      </c>
      <c r="L65" s="157" t="s">
        <v>177</v>
      </c>
      <c r="M65" s="166">
        <v>2401</v>
      </c>
      <c r="N65" s="163">
        <v>0</v>
      </c>
      <c r="O65" s="164">
        <v>0</v>
      </c>
    </row>
    <row r="66" spans="1:15" ht="18">
      <c r="A66" s="95">
        <v>64</v>
      </c>
      <c r="B66" s="95" t="s">
        <v>178</v>
      </c>
      <c r="C66" s="95" t="s">
        <v>179</v>
      </c>
      <c r="D66" s="95">
        <v>22041</v>
      </c>
      <c r="E66" s="95">
        <v>6</v>
      </c>
      <c r="F66" s="95">
        <v>0</v>
      </c>
      <c r="G66" s="95">
        <v>0</v>
      </c>
      <c r="H66" s="95">
        <v>0</v>
      </c>
      <c r="I66" s="95">
        <v>0</v>
      </c>
      <c r="J66" s="95">
        <v>1</v>
      </c>
      <c r="K66" s="156">
        <v>0</v>
      </c>
      <c r="L66" s="157" t="s">
        <v>179</v>
      </c>
      <c r="M66" s="166"/>
      <c r="N66" s="163">
        <v>0</v>
      </c>
      <c r="O66" s="164">
        <v>0</v>
      </c>
    </row>
    <row r="67" spans="1:15" ht="18">
      <c r="A67" s="95">
        <v>65</v>
      </c>
      <c r="B67" s="95" t="s">
        <v>180</v>
      </c>
      <c r="C67" s="95" t="s">
        <v>181</v>
      </c>
      <c r="D67" s="95">
        <v>23042</v>
      </c>
      <c r="E67" s="95">
        <v>7</v>
      </c>
      <c r="F67" s="95">
        <v>0</v>
      </c>
      <c r="G67" s="95">
        <v>0</v>
      </c>
      <c r="H67" s="95">
        <v>0</v>
      </c>
      <c r="I67" s="95">
        <v>0</v>
      </c>
      <c r="J67" s="95">
        <v>1</v>
      </c>
      <c r="K67" s="156">
        <v>0</v>
      </c>
      <c r="L67" s="157" t="s">
        <v>181</v>
      </c>
      <c r="M67" s="166"/>
      <c r="N67" s="163">
        <v>0</v>
      </c>
      <c r="O67" s="164">
        <v>0</v>
      </c>
    </row>
    <row r="68" spans="1:15" ht="18">
      <c r="A68" s="95">
        <v>66</v>
      </c>
      <c r="B68" s="95" t="s">
        <v>182</v>
      </c>
      <c r="C68" s="95" t="s">
        <v>183</v>
      </c>
      <c r="D68" s="95">
        <v>26043</v>
      </c>
      <c r="E68" s="95">
        <v>10</v>
      </c>
      <c r="F68" s="95">
        <v>101</v>
      </c>
      <c r="G68" s="95">
        <v>1</v>
      </c>
      <c r="H68" s="95">
        <v>600</v>
      </c>
      <c r="I68" s="95">
        <v>3600</v>
      </c>
      <c r="J68" s="95">
        <v>0</v>
      </c>
      <c r="K68" s="156">
        <v>3600</v>
      </c>
      <c r="L68" s="157" t="s">
        <v>184</v>
      </c>
      <c r="M68" s="166"/>
      <c r="N68" s="163">
        <v>0</v>
      </c>
      <c r="O68" s="164">
        <v>0</v>
      </c>
    </row>
    <row r="69" spans="1:15" ht="18">
      <c r="A69" s="95">
        <v>67</v>
      </c>
      <c r="B69" s="95" t="s">
        <v>185</v>
      </c>
      <c r="C69" s="95" t="s">
        <v>173</v>
      </c>
      <c r="D69" s="95">
        <v>27044</v>
      </c>
      <c r="E69" s="95">
        <v>11</v>
      </c>
      <c r="F69" s="95">
        <v>2057</v>
      </c>
      <c r="G69" s="95">
        <v>1</v>
      </c>
      <c r="H69" s="95">
        <v>20600</v>
      </c>
      <c r="I69" s="95">
        <v>20600</v>
      </c>
      <c r="J69" s="95">
        <v>0</v>
      </c>
      <c r="K69" s="161">
        <v>20600</v>
      </c>
      <c r="L69" s="157" t="s">
        <v>186</v>
      </c>
      <c r="M69" s="166"/>
      <c r="N69" s="163">
        <v>0</v>
      </c>
      <c r="O69" s="164">
        <v>0</v>
      </c>
    </row>
    <row r="70" spans="1:15" ht="18">
      <c r="A70" s="95">
        <v>68</v>
      </c>
      <c r="B70" s="95" t="s">
        <v>187</v>
      </c>
      <c r="C70" s="95" t="s">
        <v>188</v>
      </c>
      <c r="D70" s="95">
        <v>27045</v>
      </c>
      <c r="E70" s="95">
        <v>11</v>
      </c>
      <c r="F70" s="95">
        <v>2061</v>
      </c>
      <c r="G70" s="95">
        <v>1</v>
      </c>
      <c r="H70" s="95">
        <v>128750</v>
      </c>
      <c r="I70" s="95">
        <v>128750</v>
      </c>
      <c r="J70" s="95">
        <v>0</v>
      </c>
      <c r="K70" s="161">
        <v>128750</v>
      </c>
      <c r="L70" s="157" t="s">
        <v>189</v>
      </c>
      <c r="M70" s="166"/>
      <c r="N70" s="163">
        <v>0</v>
      </c>
      <c r="O70" s="164">
        <v>0</v>
      </c>
    </row>
    <row r="71" spans="1:15" ht="18">
      <c r="A71" s="95">
        <v>69</v>
      </c>
      <c r="B71" s="95" t="s">
        <v>190</v>
      </c>
      <c r="C71" s="95" t="s">
        <v>191</v>
      </c>
      <c r="D71" s="95">
        <v>27046</v>
      </c>
      <c r="E71" s="95">
        <v>11</v>
      </c>
      <c r="F71" s="95">
        <v>2048</v>
      </c>
      <c r="G71" s="95">
        <v>1</v>
      </c>
      <c r="H71" s="95">
        <v>257500</v>
      </c>
      <c r="I71" s="95">
        <v>257500</v>
      </c>
      <c r="J71" s="95">
        <v>0</v>
      </c>
      <c r="K71" s="161">
        <v>257500</v>
      </c>
      <c r="L71" s="157" t="s">
        <v>192</v>
      </c>
      <c r="M71" s="166"/>
      <c r="N71" s="163">
        <v>0</v>
      </c>
      <c r="O71" s="164">
        <v>0</v>
      </c>
    </row>
    <row r="72" spans="1:15" ht="18">
      <c r="A72" s="95">
        <v>70</v>
      </c>
      <c r="B72" s="95" t="s">
        <v>193</v>
      </c>
      <c r="C72" s="95" t="s">
        <v>194</v>
      </c>
      <c r="D72" s="95">
        <v>27047</v>
      </c>
      <c r="E72" s="95">
        <v>11</v>
      </c>
      <c r="F72" s="95">
        <v>2062</v>
      </c>
      <c r="G72" s="95">
        <v>1</v>
      </c>
      <c r="H72" s="95">
        <v>618000</v>
      </c>
      <c r="I72" s="95">
        <v>618000</v>
      </c>
      <c r="J72" s="95">
        <v>0</v>
      </c>
      <c r="K72" s="161">
        <v>618000</v>
      </c>
      <c r="L72" s="157" t="s">
        <v>195</v>
      </c>
      <c r="M72" s="166"/>
      <c r="N72" s="163">
        <v>0</v>
      </c>
      <c r="O72" s="164">
        <v>0</v>
      </c>
    </row>
    <row r="73" spans="1:15" ht="18">
      <c r="A73" s="95">
        <v>71</v>
      </c>
      <c r="B73" s="95" t="s">
        <v>196</v>
      </c>
      <c r="C73" s="95" t="s">
        <v>197</v>
      </c>
      <c r="D73" s="95">
        <v>27048</v>
      </c>
      <c r="E73" s="95">
        <v>11</v>
      </c>
      <c r="F73" s="95">
        <v>2059</v>
      </c>
      <c r="G73" s="95">
        <v>1</v>
      </c>
      <c r="H73" s="95">
        <v>1545000</v>
      </c>
      <c r="I73" s="95">
        <v>1545000</v>
      </c>
      <c r="J73" s="95">
        <v>0</v>
      </c>
      <c r="K73" s="161">
        <v>1545000</v>
      </c>
      <c r="L73" s="157" t="s">
        <v>198</v>
      </c>
      <c r="M73" s="166"/>
      <c r="N73" s="163">
        <v>0</v>
      </c>
      <c r="O73" s="164">
        <v>0</v>
      </c>
    </row>
    <row r="74" spans="1:15" ht="18">
      <c r="A74" s="95">
        <v>72</v>
      </c>
      <c r="B74" s="95" t="s">
        <v>199</v>
      </c>
      <c r="C74" s="95" t="s">
        <v>200</v>
      </c>
      <c r="D74" s="95">
        <v>27049</v>
      </c>
      <c r="E74" s="95">
        <v>11</v>
      </c>
      <c r="F74" s="95">
        <v>2050</v>
      </c>
      <c r="G74" s="95">
        <v>1</v>
      </c>
      <c r="H74" s="95">
        <v>3090000</v>
      </c>
      <c r="I74" s="95">
        <v>3090000</v>
      </c>
      <c r="J74" s="95">
        <v>0</v>
      </c>
      <c r="K74" s="161">
        <v>3090000</v>
      </c>
      <c r="L74" s="157" t="s">
        <v>201</v>
      </c>
      <c r="M74" s="166"/>
      <c r="N74" s="163">
        <v>0</v>
      </c>
      <c r="O74" s="164">
        <v>0</v>
      </c>
    </row>
    <row r="75" spans="1:15" ht="18">
      <c r="A75" s="95">
        <v>73</v>
      </c>
      <c r="B75" s="95" t="s">
        <v>185</v>
      </c>
      <c r="C75" s="95" t="s">
        <v>173</v>
      </c>
      <c r="D75" s="95">
        <v>27079</v>
      </c>
      <c r="E75" s="95">
        <v>11</v>
      </c>
      <c r="F75" s="95">
        <v>2057</v>
      </c>
      <c r="G75" s="95">
        <v>1</v>
      </c>
      <c r="H75" s="95">
        <v>25750</v>
      </c>
      <c r="I75" s="95">
        <v>25750</v>
      </c>
      <c r="J75" s="95">
        <v>0</v>
      </c>
      <c r="K75" s="161">
        <v>25750</v>
      </c>
      <c r="L75" s="157" t="s">
        <v>186</v>
      </c>
      <c r="M75" s="166"/>
      <c r="N75" s="163">
        <v>0</v>
      </c>
      <c r="O75" s="164">
        <v>0</v>
      </c>
    </row>
    <row r="76" spans="1:15" ht="18">
      <c r="A76" s="95">
        <v>74</v>
      </c>
      <c r="B76" s="95" t="s">
        <v>187</v>
      </c>
      <c r="C76" s="95" t="s">
        <v>188</v>
      </c>
      <c r="D76" s="95">
        <v>27080</v>
      </c>
      <c r="E76" s="95">
        <v>11</v>
      </c>
      <c r="F76" s="95">
        <v>2061</v>
      </c>
      <c r="G76" s="95">
        <v>1</v>
      </c>
      <c r="H76" s="95">
        <v>154500</v>
      </c>
      <c r="I76" s="95">
        <v>154500</v>
      </c>
      <c r="J76" s="95">
        <v>0</v>
      </c>
      <c r="K76" s="161">
        <v>154500</v>
      </c>
      <c r="L76" s="157" t="s">
        <v>189</v>
      </c>
      <c r="M76" s="165"/>
      <c r="N76" s="163">
        <v>0</v>
      </c>
      <c r="O76" s="164">
        <v>0</v>
      </c>
    </row>
    <row r="77" spans="1:15" ht="18">
      <c r="A77" s="95">
        <v>75</v>
      </c>
      <c r="B77" s="95" t="s">
        <v>202</v>
      </c>
      <c r="C77" s="95" t="s">
        <v>203</v>
      </c>
      <c r="D77" s="95">
        <v>28050</v>
      </c>
      <c r="E77" s="95">
        <v>12</v>
      </c>
      <c r="F77" s="95">
        <v>1228</v>
      </c>
      <c r="G77" s="95">
        <v>1</v>
      </c>
      <c r="H77" s="95">
        <v>115</v>
      </c>
      <c r="I77" s="95">
        <v>115</v>
      </c>
      <c r="J77" s="95">
        <v>0</v>
      </c>
      <c r="K77" s="161">
        <v>115</v>
      </c>
      <c r="L77" s="157" t="s">
        <v>203</v>
      </c>
      <c r="M77" s="168"/>
      <c r="N77" s="163">
        <v>0</v>
      </c>
      <c r="O77" s="164">
        <v>0</v>
      </c>
    </row>
    <row r="78" spans="1:15" ht="18">
      <c r="A78" s="95">
        <v>76</v>
      </c>
      <c r="B78" s="95" t="s">
        <v>204</v>
      </c>
      <c r="C78" s="95" t="s">
        <v>205</v>
      </c>
      <c r="D78" s="95">
        <v>28051</v>
      </c>
      <c r="E78" s="95">
        <v>12</v>
      </c>
      <c r="F78" s="95">
        <v>1228</v>
      </c>
      <c r="G78" s="95">
        <v>3</v>
      </c>
      <c r="H78" s="95">
        <v>345</v>
      </c>
      <c r="I78" s="95">
        <v>345</v>
      </c>
      <c r="J78" s="95">
        <v>0</v>
      </c>
      <c r="K78" s="161">
        <v>345</v>
      </c>
      <c r="L78" s="157" t="s">
        <v>205</v>
      </c>
      <c r="M78" s="168"/>
      <c r="N78" s="163">
        <v>0</v>
      </c>
      <c r="O78" s="164">
        <v>0</v>
      </c>
    </row>
    <row r="79" spans="1:15" ht="18">
      <c r="A79" s="95">
        <v>77</v>
      </c>
      <c r="B79" s="95" t="s">
        <v>206</v>
      </c>
      <c r="C79" s="95" t="s">
        <v>207</v>
      </c>
      <c r="D79" s="95">
        <v>28052</v>
      </c>
      <c r="E79" s="95">
        <v>12</v>
      </c>
      <c r="F79" s="95">
        <v>1228</v>
      </c>
      <c r="G79" s="95">
        <v>10</v>
      </c>
      <c r="H79" s="95">
        <v>1150</v>
      </c>
      <c r="I79" s="95">
        <v>1150</v>
      </c>
      <c r="J79" s="95">
        <v>0</v>
      </c>
      <c r="K79" s="161">
        <v>1150</v>
      </c>
      <c r="L79" s="157" t="s">
        <v>207</v>
      </c>
      <c r="M79" s="165"/>
      <c r="N79" s="163">
        <v>0</v>
      </c>
      <c r="O79" s="164">
        <v>0</v>
      </c>
    </row>
    <row r="80" spans="1:15" ht="18">
      <c r="A80" s="95">
        <v>78</v>
      </c>
      <c r="B80" s="95" t="s">
        <v>208</v>
      </c>
      <c r="C80" s="95" t="s">
        <v>209</v>
      </c>
      <c r="D80" s="95">
        <v>28053</v>
      </c>
      <c r="E80" s="95">
        <v>12</v>
      </c>
      <c r="F80" s="95">
        <v>1228</v>
      </c>
      <c r="G80" s="95">
        <v>30</v>
      </c>
      <c r="H80" s="95">
        <v>3450</v>
      </c>
      <c r="I80" s="95">
        <v>3450</v>
      </c>
      <c r="J80" s="95">
        <v>0</v>
      </c>
      <c r="K80" s="161">
        <v>3450</v>
      </c>
      <c r="L80" s="157" t="s">
        <v>209</v>
      </c>
      <c r="M80" s="165"/>
      <c r="N80" s="163">
        <v>0</v>
      </c>
      <c r="O80" s="164">
        <v>0</v>
      </c>
    </row>
    <row r="81" spans="1:15" ht="18">
      <c r="A81" s="95">
        <v>79</v>
      </c>
      <c r="B81" s="95" t="s">
        <v>210</v>
      </c>
      <c r="C81" s="95" t="s">
        <v>211</v>
      </c>
      <c r="D81" s="95">
        <v>28070</v>
      </c>
      <c r="E81" s="95">
        <v>12</v>
      </c>
      <c r="F81" s="95">
        <v>1228</v>
      </c>
      <c r="G81" s="95">
        <v>100</v>
      </c>
      <c r="H81" s="95">
        <v>11500</v>
      </c>
      <c r="I81" s="95">
        <v>11500</v>
      </c>
      <c r="J81" s="95">
        <v>0</v>
      </c>
      <c r="K81" s="161">
        <v>11500</v>
      </c>
      <c r="L81" s="157" t="s">
        <v>211</v>
      </c>
      <c r="M81" s="165"/>
      <c r="N81" s="163">
        <v>0</v>
      </c>
      <c r="O81" s="164">
        <v>0</v>
      </c>
    </row>
    <row r="82" spans="1:15" ht="18">
      <c r="A82" s="95">
        <v>80</v>
      </c>
      <c r="B82" s="95" t="s">
        <v>212</v>
      </c>
      <c r="C82" s="95" t="s">
        <v>213</v>
      </c>
      <c r="D82" s="95">
        <v>28071</v>
      </c>
      <c r="E82" s="95">
        <v>12</v>
      </c>
      <c r="F82" s="95">
        <v>1228</v>
      </c>
      <c r="G82" s="95">
        <v>300</v>
      </c>
      <c r="H82" s="95">
        <v>34500</v>
      </c>
      <c r="I82" s="95">
        <v>34500</v>
      </c>
      <c r="J82" s="95">
        <v>0</v>
      </c>
      <c r="K82" s="161">
        <v>34500</v>
      </c>
      <c r="L82" s="157" t="s">
        <v>213</v>
      </c>
      <c r="M82" s="165"/>
      <c r="N82" s="163">
        <v>0</v>
      </c>
      <c r="O82" s="164">
        <v>0</v>
      </c>
    </row>
    <row r="83" spans="1:15" ht="18">
      <c r="A83" s="95">
        <v>81</v>
      </c>
      <c r="B83" s="95" t="s">
        <v>214</v>
      </c>
      <c r="C83" s="95" t="s">
        <v>215</v>
      </c>
      <c r="D83" s="95">
        <v>28072</v>
      </c>
      <c r="E83" s="95">
        <v>12</v>
      </c>
      <c r="F83" s="95">
        <v>1228</v>
      </c>
      <c r="G83" s="95">
        <v>400</v>
      </c>
      <c r="H83" s="95">
        <v>46000</v>
      </c>
      <c r="I83" s="95">
        <v>46000</v>
      </c>
      <c r="J83" s="95">
        <v>0</v>
      </c>
      <c r="K83" s="161">
        <v>46000</v>
      </c>
      <c r="L83" s="157" t="s">
        <v>215</v>
      </c>
      <c r="M83" s="165"/>
      <c r="N83" s="163">
        <v>0</v>
      </c>
      <c r="O83" s="164">
        <v>0</v>
      </c>
    </row>
    <row r="84" spans="1:15" ht="18">
      <c r="A84" s="95">
        <v>82</v>
      </c>
      <c r="B84" s="95" t="s">
        <v>216</v>
      </c>
      <c r="C84" s="95" t="s">
        <v>217</v>
      </c>
      <c r="D84" s="95">
        <v>28073</v>
      </c>
      <c r="E84" s="95">
        <v>12</v>
      </c>
      <c r="F84" s="95">
        <v>1228</v>
      </c>
      <c r="G84" s="95">
        <v>1000</v>
      </c>
      <c r="H84" s="95">
        <v>115000</v>
      </c>
      <c r="I84" s="95">
        <v>115000</v>
      </c>
      <c r="J84" s="95">
        <v>0</v>
      </c>
      <c r="K84" s="161">
        <v>115000</v>
      </c>
      <c r="L84" s="157" t="s">
        <v>217</v>
      </c>
      <c r="M84" s="165"/>
      <c r="N84" s="163">
        <v>0</v>
      </c>
      <c r="O84" s="164">
        <v>0</v>
      </c>
    </row>
    <row r="85" spans="1:15" ht="18">
      <c r="A85" s="95">
        <v>83</v>
      </c>
      <c r="B85" s="95" t="s">
        <v>218</v>
      </c>
      <c r="C85" s="95" t="s">
        <v>219</v>
      </c>
      <c r="D85" s="95">
        <v>28116</v>
      </c>
      <c r="E85" s="95">
        <v>12</v>
      </c>
      <c r="F85" s="95">
        <v>1228</v>
      </c>
      <c r="G85" s="95">
        <v>800</v>
      </c>
      <c r="H85" s="95">
        <v>92000</v>
      </c>
      <c r="I85" s="95">
        <v>92000</v>
      </c>
      <c r="J85" s="95">
        <v>0</v>
      </c>
      <c r="K85" s="161">
        <v>92000</v>
      </c>
      <c r="L85" s="157" t="s">
        <v>219</v>
      </c>
      <c r="M85" s="165"/>
      <c r="N85" s="163">
        <v>0</v>
      </c>
      <c r="O85" s="164">
        <v>0</v>
      </c>
    </row>
    <row r="86" spans="1:15" ht="18">
      <c r="A86" s="95">
        <v>84</v>
      </c>
      <c r="B86" s="95" t="s">
        <v>220</v>
      </c>
      <c r="C86" s="95" t="s">
        <v>221</v>
      </c>
      <c r="D86" s="95">
        <v>28117</v>
      </c>
      <c r="E86" s="95">
        <v>12</v>
      </c>
      <c r="F86" s="95">
        <v>1228</v>
      </c>
      <c r="G86" s="95">
        <v>3000</v>
      </c>
      <c r="H86" s="95">
        <v>345000</v>
      </c>
      <c r="I86" s="95">
        <v>345000</v>
      </c>
      <c r="J86" s="95">
        <v>0</v>
      </c>
      <c r="K86" s="161">
        <v>345000</v>
      </c>
      <c r="L86" s="157" t="s">
        <v>221</v>
      </c>
      <c r="M86" s="165"/>
      <c r="N86" s="163">
        <v>0</v>
      </c>
      <c r="O86" s="164">
        <v>0</v>
      </c>
    </row>
    <row r="87" spans="1:15" ht="18">
      <c r="A87" s="95">
        <v>85</v>
      </c>
      <c r="B87" s="95" t="s">
        <v>222</v>
      </c>
      <c r="C87" s="95" t="s">
        <v>223</v>
      </c>
      <c r="D87" s="95">
        <v>29054</v>
      </c>
      <c r="E87" s="95">
        <v>13</v>
      </c>
      <c r="F87" s="95">
        <v>46001</v>
      </c>
      <c r="G87" s="95">
        <v>1</v>
      </c>
      <c r="H87" s="95">
        <v>350</v>
      </c>
      <c r="I87" s="95">
        <v>350</v>
      </c>
      <c r="J87" s="95">
        <v>0</v>
      </c>
      <c r="K87" s="161">
        <v>350</v>
      </c>
      <c r="L87" s="157" t="s">
        <v>224</v>
      </c>
      <c r="M87" s="165"/>
      <c r="N87" s="163">
        <v>0</v>
      </c>
      <c r="O87" s="164">
        <v>0</v>
      </c>
    </row>
    <row r="88" spans="1:15" ht="18">
      <c r="A88" s="95">
        <v>86</v>
      </c>
      <c r="B88" s="95" t="s">
        <v>222</v>
      </c>
      <c r="C88" s="95" t="s">
        <v>223</v>
      </c>
      <c r="D88" s="95">
        <v>29067</v>
      </c>
      <c r="E88" s="95">
        <v>13</v>
      </c>
      <c r="F88" s="95">
        <v>46002</v>
      </c>
      <c r="G88" s="95">
        <v>1</v>
      </c>
      <c r="H88" s="95">
        <v>15000</v>
      </c>
      <c r="I88" s="95">
        <v>15000</v>
      </c>
      <c r="J88" s="95">
        <v>0</v>
      </c>
      <c r="K88" s="161">
        <v>15000</v>
      </c>
      <c r="L88" s="157" t="s">
        <v>225</v>
      </c>
      <c r="M88" s="165"/>
      <c r="N88" s="163">
        <v>0</v>
      </c>
      <c r="O88" s="164">
        <v>0</v>
      </c>
    </row>
    <row r="89" spans="1:15" ht="18">
      <c r="A89" s="95">
        <v>87</v>
      </c>
      <c r="B89" s="95" t="s">
        <v>222</v>
      </c>
      <c r="C89" s="95" t="s">
        <v>223</v>
      </c>
      <c r="D89" s="95">
        <v>29068</v>
      </c>
      <c r="E89" s="95">
        <v>13</v>
      </c>
      <c r="F89" s="95">
        <v>46003</v>
      </c>
      <c r="G89" s="95">
        <v>1</v>
      </c>
      <c r="H89" s="95">
        <v>160000</v>
      </c>
      <c r="I89" s="95">
        <v>160000</v>
      </c>
      <c r="J89" s="95">
        <v>0</v>
      </c>
      <c r="K89" s="161">
        <v>160000</v>
      </c>
      <c r="L89" s="157" t="s">
        <v>226</v>
      </c>
      <c r="M89" s="165"/>
      <c r="N89" s="163">
        <v>0</v>
      </c>
      <c r="O89" s="164">
        <v>0</v>
      </c>
    </row>
    <row r="90" spans="1:15" ht="18">
      <c r="A90" s="95">
        <v>88</v>
      </c>
      <c r="B90" s="95" t="s">
        <v>222</v>
      </c>
      <c r="C90" s="95" t="s">
        <v>223</v>
      </c>
      <c r="D90" s="95">
        <v>29069</v>
      </c>
      <c r="E90" s="95">
        <v>13</v>
      </c>
      <c r="F90" s="95">
        <v>46004</v>
      </c>
      <c r="G90" s="95">
        <v>1</v>
      </c>
      <c r="H90" s="95">
        <v>1000000</v>
      </c>
      <c r="I90" s="95">
        <v>1000000</v>
      </c>
      <c r="J90" s="95">
        <v>0</v>
      </c>
      <c r="K90" s="161">
        <v>1000000</v>
      </c>
      <c r="L90" s="157" t="s">
        <v>227</v>
      </c>
      <c r="M90" s="165"/>
      <c r="N90" s="163">
        <v>0</v>
      </c>
      <c r="O90" s="164">
        <v>0</v>
      </c>
    </row>
    <row r="91" spans="1:15" ht="18">
      <c r="A91" s="95">
        <v>89</v>
      </c>
      <c r="B91" s="95" t="s">
        <v>222</v>
      </c>
      <c r="C91" s="95" t="s">
        <v>223</v>
      </c>
      <c r="D91" s="95">
        <v>29100</v>
      </c>
      <c r="E91" s="95">
        <v>13</v>
      </c>
      <c r="F91" s="95">
        <v>46005</v>
      </c>
      <c r="G91" s="95">
        <v>1</v>
      </c>
      <c r="H91" s="95">
        <v>3000000</v>
      </c>
      <c r="I91" s="95">
        <v>3000000</v>
      </c>
      <c r="J91" s="95">
        <v>0</v>
      </c>
      <c r="K91" s="161">
        <v>3000000</v>
      </c>
      <c r="L91" s="157" t="s">
        <v>228</v>
      </c>
      <c r="M91" s="165"/>
      <c r="N91" s="163">
        <v>0</v>
      </c>
      <c r="O91" s="164">
        <v>0</v>
      </c>
    </row>
    <row r="92" spans="1:15" ht="18">
      <c r="A92" s="95">
        <v>90</v>
      </c>
      <c r="B92" s="95" t="s">
        <v>229</v>
      </c>
      <c r="C92" s="95" t="s">
        <v>230</v>
      </c>
      <c r="D92" s="95">
        <v>30059</v>
      </c>
      <c r="E92" s="95">
        <v>14</v>
      </c>
      <c r="F92" s="95">
        <v>4141</v>
      </c>
      <c r="G92" s="95">
        <v>1</v>
      </c>
      <c r="H92" s="95">
        <v>1200000</v>
      </c>
      <c r="I92" s="95">
        <v>1200000</v>
      </c>
      <c r="J92" s="95">
        <v>0</v>
      </c>
      <c r="K92" s="161">
        <v>1200000</v>
      </c>
      <c r="L92" s="95" t="s">
        <v>231</v>
      </c>
      <c r="M92" s="165"/>
      <c r="N92" s="163">
        <v>0</v>
      </c>
      <c r="O92" s="164">
        <v>0</v>
      </c>
    </row>
    <row r="93" spans="1:15" ht="18">
      <c r="A93" s="95">
        <v>91</v>
      </c>
      <c r="B93" s="95" t="s">
        <v>232</v>
      </c>
      <c r="C93" s="95" t="s">
        <v>233</v>
      </c>
      <c r="D93" s="95">
        <v>30060</v>
      </c>
      <c r="E93" s="95">
        <v>14</v>
      </c>
      <c r="F93" s="95">
        <v>4142</v>
      </c>
      <c r="G93" s="95">
        <v>1</v>
      </c>
      <c r="H93" s="95">
        <v>3600000</v>
      </c>
      <c r="I93" s="95">
        <v>3600000</v>
      </c>
      <c r="J93" s="95">
        <v>0</v>
      </c>
      <c r="K93" s="161">
        <v>3600000</v>
      </c>
      <c r="L93" s="95" t="s">
        <v>234</v>
      </c>
      <c r="M93" s="165"/>
      <c r="N93" s="163">
        <v>0</v>
      </c>
      <c r="O93" s="164">
        <v>0</v>
      </c>
    </row>
    <row r="94" spans="1:15" ht="18">
      <c r="A94" s="95">
        <v>92</v>
      </c>
      <c r="B94" s="95" t="s">
        <v>235</v>
      </c>
      <c r="C94" s="95" t="s">
        <v>236</v>
      </c>
      <c r="D94" s="95">
        <v>30061</v>
      </c>
      <c r="E94" s="95">
        <v>14</v>
      </c>
      <c r="F94" s="95">
        <v>4144</v>
      </c>
      <c r="G94" s="95">
        <v>1</v>
      </c>
      <c r="H94" s="95">
        <v>12000000</v>
      </c>
      <c r="I94" s="95">
        <v>12000000</v>
      </c>
      <c r="J94" s="95">
        <v>0</v>
      </c>
      <c r="K94" s="161">
        <v>12000000</v>
      </c>
      <c r="L94" s="95" t="s">
        <v>237</v>
      </c>
      <c r="M94" s="165"/>
      <c r="N94" s="163">
        <v>0</v>
      </c>
      <c r="O94" s="164">
        <v>0</v>
      </c>
    </row>
    <row r="95" spans="1:15" ht="18">
      <c r="A95" s="95">
        <v>93</v>
      </c>
      <c r="B95" s="95" t="s">
        <v>238</v>
      </c>
      <c r="C95" s="95" t="s">
        <v>239</v>
      </c>
      <c r="D95" s="95">
        <v>31062</v>
      </c>
      <c r="E95" s="95">
        <v>15</v>
      </c>
      <c r="F95" s="95">
        <v>4233</v>
      </c>
      <c r="G95" s="95">
        <v>1</v>
      </c>
      <c r="H95" s="95">
        <v>12000000</v>
      </c>
      <c r="I95" s="95">
        <v>12000000</v>
      </c>
      <c r="J95" s="95">
        <v>0</v>
      </c>
      <c r="K95" s="161">
        <v>12000000</v>
      </c>
      <c r="L95" s="95" t="s">
        <v>240</v>
      </c>
      <c r="M95" s="165"/>
      <c r="N95" s="163">
        <v>0</v>
      </c>
      <c r="O95" s="164">
        <v>0</v>
      </c>
    </row>
    <row r="96" spans="1:15" ht="18">
      <c r="A96" s="95">
        <v>94</v>
      </c>
      <c r="B96" s="95" t="s">
        <v>241</v>
      </c>
      <c r="C96" s="95" t="s">
        <v>242</v>
      </c>
      <c r="D96" s="95">
        <v>32063</v>
      </c>
      <c r="E96" s="95">
        <v>16</v>
      </c>
      <c r="F96" s="95">
        <v>3106</v>
      </c>
      <c r="G96" s="95">
        <v>1</v>
      </c>
      <c r="H96" s="95">
        <v>300</v>
      </c>
      <c r="I96" s="95">
        <v>300</v>
      </c>
      <c r="J96" s="95">
        <v>0</v>
      </c>
      <c r="K96" s="161">
        <v>300</v>
      </c>
      <c r="L96" s="95" t="s">
        <v>242</v>
      </c>
      <c r="M96" s="165"/>
      <c r="N96" s="163">
        <v>0</v>
      </c>
      <c r="O96" s="164">
        <v>0</v>
      </c>
    </row>
    <row r="97" spans="1:15" ht="18">
      <c r="A97" s="95">
        <v>95</v>
      </c>
      <c r="B97" s="95" t="s">
        <v>243</v>
      </c>
      <c r="C97" s="95" t="s">
        <v>244</v>
      </c>
      <c r="D97" s="95">
        <v>32064</v>
      </c>
      <c r="E97" s="95">
        <v>16</v>
      </c>
      <c r="F97" s="95">
        <v>3106</v>
      </c>
      <c r="G97" s="95">
        <v>5</v>
      </c>
      <c r="H97" s="95">
        <v>7500</v>
      </c>
      <c r="I97" s="95">
        <v>7500</v>
      </c>
      <c r="J97" s="95">
        <v>0</v>
      </c>
      <c r="K97" s="161">
        <v>7500</v>
      </c>
      <c r="L97" s="95" t="s">
        <v>244</v>
      </c>
      <c r="M97" s="165"/>
      <c r="N97" s="163">
        <v>0</v>
      </c>
      <c r="O97" s="164">
        <v>0</v>
      </c>
    </row>
    <row r="98" spans="1:15" ht="18">
      <c r="A98" s="95">
        <v>96</v>
      </c>
      <c r="B98" s="95" t="s">
        <v>245</v>
      </c>
      <c r="C98" s="95" t="s">
        <v>246</v>
      </c>
      <c r="D98" s="95">
        <v>32065</v>
      </c>
      <c r="E98" s="95">
        <v>16</v>
      </c>
      <c r="F98" s="95">
        <v>3106</v>
      </c>
      <c r="G98" s="95">
        <v>20</v>
      </c>
      <c r="H98" s="95">
        <v>30000</v>
      </c>
      <c r="I98" s="95">
        <v>30000</v>
      </c>
      <c r="J98" s="95">
        <v>0</v>
      </c>
      <c r="K98" s="161">
        <v>30000</v>
      </c>
      <c r="L98" s="95" t="s">
        <v>246</v>
      </c>
      <c r="M98" s="165"/>
      <c r="N98" s="163">
        <v>0</v>
      </c>
      <c r="O98" s="164">
        <v>0</v>
      </c>
    </row>
    <row r="99" spans="1:15" ht="18">
      <c r="A99" s="95">
        <v>97</v>
      </c>
      <c r="B99" s="95" t="s">
        <v>247</v>
      </c>
      <c r="C99" s="95" t="s">
        <v>248</v>
      </c>
      <c r="D99" s="95">
        <v>32066</v>
      </c>
      <c r="E99" s="95">
        <v>16</v>
      </c>
      <c r="F99" s="95">
        <v>3106</v>
      </c>
      <c r="G99" s="95">
        <v>50</v>
      </c>
      <c r="H99" s="95">
        <v>100000</v>
      </c>
      <c r="I99" s="95">
        <v>100000</v>
      </c>
      <c r="J99" s="95">
        <v>0</v>
      </c>
      <c r="K99" s="161">
        <v>100000</v>
      </c>
      <c r="L99" s="95" t="s">
        <v>248</v>
      </c>
      <c r="M99" s="165"/>
      <c r="N99" s="163">
        <v>0</v>
      </c>
      <c r="O99" s="164">
        <v>0</v>
      </c>
    </row>
    <row r="100" spans="1:15" ht="18">
      <c r="A100" s="95">
        <v>98</v>
      </c>
      <c r="B100" s="95" t="s">
        <v>249</v>
      </c>
      <c r="C100" s="95" t="s">
        <v>250</v>
      </c>
      <c r="D100" s="95">
        <v>33074</v>
      </c>
      <c r="E100" s="95">
        <v>17</v>
      </c>
      <c r="F100" s="95">
        <v>0</v>
      </c>
      <c r="G100" s="95">
        <v>2</v>
      </c>
      <c r="H100" s="95">
        <v>4800</v>
      </c>
      <c r="I100" s="95">
        <v>4800</v>
      </c>
      <c r="J100" s="95">
        <v>0</v>
      </c>
      <c r="K100" s="156">
        <v>0</v>
      </c>
      <c r="L100" s="95" t="s">
        <v>251</v>
      </c>
      <c r="M100" s="165"/>
      <c r="N100" s="163">
        <v>0</v>
      </c>
      <c r="O100" s="164">
        <v>0</v>
      </c>
    </row>
    <row r="101" spans="1:15" ht="18">
      <c r="A101" s="95">
        <v>99</v>
      </c>
      <c r="B101" s="95" t="s">
        <v>85</v>
      </c>
      <c r="C101" s="95" t="s">
        <v>86</v>
      </c>
      <c r="D101" s="95">
        <v>33075</v>
      </c>
      <c r="E101" s="95">
        <v>17</v>
      </c>
      <c r="F101" s="95">
        <v>0</v>
      </c>
      <c r="G101" s="95">
        <v>3</v>
      </c>
      <c r="H101" s="95">
        <v>3200</v>
      </c>
      <c r="I101" s="95">
        <v>3200</v>
      </c>
      <c r="J101" s="95">
        <v>0</v>
      </c>
      <c r="K101" s="156">
        <v>0</v>
      </c>
      <c r="L101" s="95" t="s">
        <v>252</v>
      </c>
      <c r="M101" s="165"/>
      <c r="N101" s="163">
        <v>0</v>
      </c>
      <c r="O101" s="164">
        <v>0</v>
      </c>
    </row>
    <row r="102" spans="1:15" ht="18">
      <c r="A102" s="95">
        <v>100</v>
      </c>
      <c r="B102" s="95" t="s">
        <v>253</v>
      </c>
      <c r="C102" s="95" t="s">
        <v>254</v>
      </c>
      <c r="D102" s="95">
        <v>33076</v>
      </c>
      <c r="E102" s="95">
        <v>17</v>
      </c>
      <c r="F102" s="95">
        <v>0</v>
      </c>
      <c r="G102" s="95">
        <v>4</v>
      </c>
      <c r="H102" s="95">
        <v>2400</v>
      </c>
      <c r="I102" s="95">
        <v>2400</v>
      </c>
      <c r="J102" s="95">
        <v>0</v>
      </c>
      <c r="K102" s="156">
        <v>0</v>
      </c>
      <c r="L102" s="95" t="s">
        <v>255</v>
      </c>
      <c r="M102" s="165"/>
      <c r="N102" s="163">
        <v>0</v>
      </c>
      <c r="O102" s="164">
        <v>0</v>
      </c>
    </row>
    <row r="103" spans="1:15" ht="18">
      <c r="A103" s="95">
        <v>101</v>
      </c>
      <c r="B103" s="95" t="s">
        <v>256</v>
      </c>
      <c r="C103" s="95" t="s">
        <v>257</v>
      </c>
      <c r="D103" s="95">
        <v>34077</v>
      </c>
      <c r="E103" s="95">
        <v>18</v>
      </c>
      <c r="F103" s="95">
        <v>0</v>
      </c>
      <c r="G103" s="95">
        <v>1</v>
      </c>
      <c r="H103" s="95">
        <v>2000</v>
      </c>
      <c r="I103" s="95">
        <v>2000</v>
      </c>
      <c r="J103" s="95">
        <v>0</v>
      </c>
      <c r="K103" s="156">
        <v>0</v>
      </c>
      <c r="L103" s="95" t="s">
        <v>258</v>
      </c>
      <c r="M103" s="165"/>
      <c r="N103" s="163">
        <v>0</v>
      </c>
      <c r="O103" s="164">
        <v>0</v>
      </c>
    </row>
    <row r="104" spans="1:15" ht="18">
      <c r="A104" s="95">
        <v>102</v>
      </c>
      <c r="B104" s="95" t="s">
        <v>259</v>
      </c>
      <c r="C104" s="95" t="s">
        <v>260</v>
      </c>
      <c r="D104" s="95">
        <v>35027</v>
      </c>
      <c r="E104" s="95">
        <v>19</v>
      </c>
      <c r="F104" s="95">
        <v>1301</v>
      </c>
      <c r="G104" s="95">
        <v>2</v>
      </c>
      <c r="H104" s="95">
        <v>2060</v>
      </c>
      <c r="I104" s="95">
        <v>2060</v>
      </c>
      <c r="J104" s="95">
        <v>2000</v>
      </c>
      <c r="K104" s="156">
        <v>2000</v>
      </c>
      <c r="L104" s="95" t="s">
        <v>261</v>
      </c>
      <c r="M104" s="165"/>
      <c r="N104" s="163">
        <v>0</v>
      </c>
      <c r="O104" s="164">
        <v>0</v>
      </c>
    </row>
    <row r="105" spans="1:15" ht="18">
      <c r="A105" s="95">
        <v>103</v>
      </c>
      <c r="B105" s="95" t="s">
        <v>262</v>
      </c>
      <c r="C105" s="95" t="s">
        <v>263</v>
      </c>
      <c r="D105" s="95">
        <v>35030</v>
      </c>
      <c r="E105" s="95">
        <v>19</v>
      </c>
      <c r="F105" s="95">
        <v>1301</v>
      </c>
      <c r="G105" s="95">
        <v>4</v>
      </c>
      <c r="H105" s="95">
        <v>4120</v>
      </c>
      <c r="I105" s="95">
        <v>4120</v>
      </c>
      <c r="J105" s="95">
        <v>4000</v>
      </c>
      <c r="K105" s="156">
        <v>4000</v>
      </c>
      <c r="L105" s="95" t="s">
        <v>264</v>
      </c>
      <c r="M105" s="165"/>
      <c r="N105" s="163">
        <v>0</v>
      </c>
      <c r="O105" s="164">
        <v>0</v>
      </c>
    </row>
    <row r="106" spans="1:15" ht="18">
      <c r="A106" s="95">
        <v>104</v>
      </c>
      <c r="B106" s="95" t="s">
        <v>107</v>
      </c>
      <c r="C106" s="95" t="s">
        <v>108</v>
      </c>
      <c r="D106" s="95">
        <v>35031</v>
      </c>
      <c r="E106" s="95">
        <v>19</v>
      </c>
      <c r="F106" s="95">
        <v>1301</v>
      </c>
      <c r="G106" s="95">
        <v>6</v>
      </c>
      <c r="H106" s="95">
        <v>6180</v>
      </c>
      <c r="I106" s="95">
        <v>6180</v>
      </c>
      <c r="J106" s="95">
        <v>6000</v>
      </c>
      <c r="K106" s="156">
        <v>6000</v>
      </c>
      <c r="L106" s="95" t="s">
        <v>265</v>
      </c>
      <c r="M106" s="165"/>
      <c r="N106" s="163">
        <v>0</v>
      </c>
      <c r="O106" s="164">
        <v>0</v>
      </c>
    </row>
    <row r="107" spans="1:15" ht="18">
      <c r="A107" s="95">
        <v>105</v>
      </c>
      <c r="B107" s="95" t="s">
        <v>103</v>
      </c>
      <c r="C107" s="95" t="s">
        <v>266</v>
      </c>
      <c r="D107" s="95">
        <v>35028</v>
      </c>
      <c r="E107" s="95">
        <v>19</v>
      </c>
      <c r="F107" s="95">
        <v>1301</v>
      </c>
      <c r="G107" s="95">
        <v>3</v>
      </c>
      <c r="H107" s="95">
        <v>3090</v>
      </c>
      <c r="I107" s="95">
        <v>3090</v>
      </c>
      <c r="J107" s="95">
        <v>3000</v>
      </c>
      <c r="K107" s="156">
        <v>3000</v>
      </c>
      <c r="L107" s="95" t="s">
        <v>267</v>
      </c>
      <c r="M107" s="165"/>
      <c r="N107" s="163">
        <v>0</v>
      </c>
      <c r="O107" s="164">
        <v>0</v>
      </c>
    </row>
    <row r="108" spans="1:15" ht="18">
      <c r="A108" s="95">
        <v>106</v>
      </c>
      <c r="B108" s="95" t="s">
        <v>107</v>
      </c>
      <c r="C108" s="95" t="s">
        <v>108</v>
      </c>
      <c r="D108" s="95">
        <v>36031</v>
      </c>
      <c r="E108" s="95">
        <v>20</v>
      </c>
      <c r="F108" s="95">
        <v>0</v>
      </c>
      <c r="G108" s="95">
        <v>10</v>
      </c>
      <c r="H108" s="95">
        <v>880</v>
      </c>
      <c r="I108" s="95">
        <v>880</v>
      </c>
      <c r="J108" s="95">
        <v>0</v>
      </c>
      <c r="K108" s="156">
        <v>0</v>
      </c>
      <c r="L108" s="95" t="s">
        <v>268</v>
      </c>
      <c r="M108" s="165"/>
      <c r="N108" s="163">
        <v>0</v>
      </c>
      <c r="O108" s="164">
        <v>0</v>
      </c>
    </row>
    <row r="109" spans="1:15" ht="18">
      <c r="A109" s="95">
        <v>107</v>
      </c>
      <c r="B109" s="95" t="s">
        <v>269</v>
      </c>
      <c r="C109" s="95" t="s">
        <v>270</v>
      </c>
      <c r="D109" s="95">
        <v>36078</v>
      </c>
      <c r="E109" s="95">
        <v>20</v>
      </c>
      <c r="F109" s="95">
        <v>0</v>
      </c>
      <c r="G109" s="95">
        <v>20</v>
      </c>
      <c r="H109" s="95">
        <v>400</v>
      </c>
      <c r="I109" s="95">
        <v>400</v>
      </c>
      <c r="J109" s="95">
        <v>0</v>
      </c>
      <c r="K109" s="156">
        <v>0</v>
      </c>
      <c r="L109" s="95" t="s">
        <v>271</v>
      </c>
      <c r="M109" s="165"/>
      <c r="N109" s="163">
        <v>0</v>
      </c>
      <c r="O109" s="164">
        <v>0</v>
      </c>
    </row>
    <row r="110" spans="1:15" ht="18">
      <c r="A110" s="95">
        <v>108</v>
      </c>
      <c r="B110" s="95" t="s">
        <v>272</v>
      </c>
      <c r="C110" s="95" t="s">
        <v>273</v>
      </c>
      <c r="D110" s="95">
        <v>37083</v>
      </c>
      <c r="E110" s="95">
        <v>21</v>
      </c>
      <c r="F110" s="95" t="s">
        <v>274</v>
      </c>
      <c r="G110" s="95">
        <v>0</v>
      </c>
      <c r="H110" s="95">
        <v>40</v>
      </c>
      <c r="I110" s="95">
        <v>40</v>
      </c>
      <c r="J110" s="95">
        <v>0</v>
      </c>
      <c r="K110" s="156">
        <v>0</v>
      </c>
      <c r="L110" s="95" t="s">
        <v>273</v>
      </c>
      <c r="M110" s="165"/>
      <c r="N110" s="163">
        <v>0</v>
      </c>
      <c r="O110" s="164">
        <v>0</v>
      </c>
    </row>
    <row r="111" spans="1:15" ht="18">
      <c r="A111" s="95">
        <v>109</v>
      </c>
      <c r="B111" s="95" t="s">
        <v>272</v>
      </c>
      <c r="C111" s="95" t="s">
        <v>273</v>
      </c>
      <c r="D111" s="95">
        <v>37084</v>
      </c>
      <c r="E111" s="95">
        <v>21</v>
      </c>
      <c r="F111" s="95" t="s">
        <v>275</v>
      </c>
      <c r="G111" s="95">
        <v>0</v>
      </c>
      <c r="H111" s="95">
        <v>100</v>
      </c>
      <c r="I111" s="95">
        <v>100</v>
      </c>
      <c r="J111" s="95">
        <v>0</v>
      </c>
      <c r="K111" s="156">
        <v>0</v>
      </c>
      <c r="L111" s="95" t="s">
        <v>273</v>
      </c>
      <c r="M111" s="165"/>
      <c r="N111" s="163">
        <v>0</v>
      </c>
      <c r="O111" s="164">
        <v>0</v>
      </c>
    </row>
    <row r="112" spans="1:15" ht="18">
      <c r="A112" s="95">
        <v>110</v>
      </c>
      <c r="B112" s="95" t="s">
        <v>276</v>
      </c>
      <c r="C112" s="95" t="s">
        <v>277</v>
      </c>
      <c r="D112" s="95">
        <v>40099</v>
      </c>
      <c r="E112" s="95">
        <v>22</v>
      </c>
      <c r="F112" s="167">
        <v>48001</v>
      </c>
      <c r="G112" s="95">
        <v>1</v>
      </c>
      <c r="H112" s="95">
        <v>200</v>
      </c>
      <c r="I112" s="95">
        <v>200</v>
      </c>
      <c r="J112" s="95">
        <v>0</v>
      </c>
      <c r="K112" s="156">
        <v>200</v>
      </c>
      <c r="L112" s="95" t="s">
        <v>278</v>
      </c>
      <c r="M112" s="165"/>
      <c r="N112" s="163">
        <v>0</v>
      </c>
      <c r="O112" s="164">
        <v>0</v>
      </c>
    </row>
    <row r="113" spans="1:15" ht="18">
      <c r="A113" s="95">
        <v>111</v>
      </c>
      <c r="B113" s="95" t="s">
        <v>276</v>
      </c>
      <c r="C113" s="95" t="s">
        <v>277</v>
      </c>
      <c r="D113" s="95">
        <v>41099</v>
      </c>
      <c r="E113" s="95">
        <v>22</v>
      </c>
      <c r="F113" s="167">
        <v>48002</v>
      </c>
      <c r="G113" s="95">
        <v>1</v>
      </c>
      <c r="H113" s="95">
        <v>300</v>
      </c>
      <c r="I113" s="95">
        <v>300</v>
      </c>
      <c r="J113" s="95">
        <v>0</v>
      </c>
      <c r="K113" s="156">
        <v>300</v>
      </c>
      <c r="L113" s="95" t="s">
        <v>278</v>
      </c>
      <c r="M113" s="165"/>
      <c r="N113" s="163">
        <v>0</v>
      </c>
      <c r="O113" s="164">
        <v>0</v>
      </c>
    </row>
    <row r="114" spans="1:15" ht="18">
      <c r="A114" s="95">
        <v>112</v>
      </c>
      <c r="B114" s="95" t="s">
        <v>276</v>
      </c>
      <c r="C114" s="95" t="s">
        <v>277</v>
      </c>
      <c r="D114" s="95">
        <v>42099</v>
      </c>
      <c r="E114" s="95">
        <v>22</v>
      </c>
      <c r="F114" s="167">
        <v>48003</v>
      </c>
      <c r="G114" s="95">
        <v>1</v>
      </c>
      <c r="H114" s="95">
        <v>600</v>
      </c>
      <c r="I114" s="95">
        <v>600</v>
      </c>
      <c r="J114" s="95">
        <v>0</v>
      </c>
      <c r="K114" s="156">
        <v>600</v>
      </c>
      <c r="L114" s="95" t="s">
        <v>278</v>
      </c>
      <c r="M114" s="165"/>
      <c r="N114" s="163">
        <v>0</v>
      </c>
      <c r="O114" s="164">
        <v>0</v>
      </c>
    </row>
    <row r="115" spans="1:15" ht="18">
      <c r="A115" s="95">
        <v>113</v>
      </c>
      <c r="B115" s="95" t="s">
        <v>276</v>
      </c>
      <c r="C115" s="95" t="s">
        <v>277</v>
      </c>
      <c r="D115" s="95">
        <v>43099</v>
      </c>
      <c r="E115" s="95">
        <v>22</v>
      </c>
      <c r="F115" s="167">
        <v>48004</v>
      </c>
      <c r="G115" s="95">
        <v>1</v>
      </c>
      <c r="H115" s="95">
        <v>750</v>
      </c>
      <c r="I115" s="95">
        <v>750</v>
      </c>
      <c r="J115" s="95">
        <v>0</v>
      </c>
      <c r="K115" s="156">
        <v>750</v>
      </c>
      <c r="L115" s="95" t="s">
        <v>278</v>
      </c>
      <c r="M115" s="165"/>
      <c r="N115" s="163">
        <v>0</v>
      </c>
      <c r="O115" s="164">
        <v>0</v>
      </c>
    </row>
    <row r="116" spans="1:15" ht="18">
      <c r="A116" s="95">
        <v>114</v>
      </c>
      <c r="B116" s="95" t="s">
        <v>276</v>
      </c>
      <c r="C116" s="95" t="s">
        <v>277</v>
      </c>
      <c r="D116" s="95">
        <v>44099</v>
      </c>
      <c r="E116" s="95">
        <v>22</v>
      </c>
      <c r="F116" s="167">
        <v>48005</v>
      </c>
      <c r="G116" s="95">
        <v>1</v>
      </c>
      <c r="H116" s="95">
        <v>600</v>
      </c>
      <c r="I116" s="95">
        <v>600</v>
      </c>
      <c r="J116" s="95">
        <v>0</v>
      </c>
      <c r="K116" s="156">
        <v>600</v>
      </c>
      <c r="L116" s="95" t="s">
        <v>278</v>
      </c>
      <c r="M116" s="165"/>
      <c r="N116" s="163">
        <v>0</v>
      </c>
      <c r="O116" s="164">
        <v>0</v>
      </c>
    </row>
    <row r="117" spans="1:15" ht="18.75">
      <c r="A117" s="95">
        <v>115</v>
      </c>
      <c r="B117" s="95" t="s">
        <v>279</v>
      </c>
      <c r="C117" s="153" t="s">
        <v>280</v>
      </c>
      <c r="D117" s="95">
        <v>59114</v>
      </c>
      <c r="E117" s="95">
        <v>27</v>
      </c>
      <c r="F117" s="95">
        <v>0</v>
      </c>
      <c r="G117" s="95">
        <v>0</v>
      </c>
      <c r="H117" s="95">
        <v>100</v>
      </c>
      <c r="I117" s="95">
        <v>6000</v>
      </c>
      <c r="J117" s="95">
        <v>0</v>
      </c>
      <c r="K117" s="156">
        <v>0</v>
      </c>
      <c r="L117" s="95" t="s">
        <v>281</v>
      </c>
      <c r="M117" s="165"/>
      <c r="N117" s="163">
        <v>0</v>
      </c>
      <c r="O117" s="164">
        <v>0</v>
      </c>
    </row>
    <row r="118" spans="1:15" ht="18">
      <c r="A118" s="95">
        <v>116</v>
      </c>
      <c r="B118" s="95" t="s">
        <v>282</v>
      </c>
      <c r="C118" s="95" t="s">
        <v>283</v>
      </c>
      <c r="D118" s="95">
        <v>60118</v>
      </c>
      <c r="E118" s="95">
        <v>28</v>
      </c>
      <c r="F118" s="95">
        <v>0</v>
      </c>
      <c r="G118" s="95">
        <v>0</v>
      </c>
      <c r="H118" s="95">
        <v>100</v>
      </c>
      <c r="I118" s="95">
        <v>80</v>
      </c>
      <c r="J118" s="95">
        <v>100</v>
      </c>
      <c r="K118" s="156">
        <v>0</v>
      </c>
      <c r="L118" s="95" t="s">
        <v>284</v>
      </c>
      <c r="M118" s="157">
        <v>2701</v>
      </c>
      <c r="N118" s="163">
        <v>0</v>
      </c>
      <c r="O118" s="164">
        <v>0</v>
      </c>
    </row>
    <row r="119" spans="1:15" ht="18.75">
      <c r="A119" s="95">
        <v>117</v>
      </c>
      <c r="B119" s="95" t="s">
        <v>285</v>
      </c>
      <c r="C119" s="153" t="s">
        <v>286</v>
      </c>
      <c r="D119" s="95">
        <v>65119</v>
      </c>
      <c r="E119" s="95">
        <v>29</v>
      </c>
      <c r="F119" s="95">
        <v>0</v>
      </c>
      <c r="G119" s="95">
        <v>0</v>
      </c>
      <c r="H119" s="95">
        <v>280</v>
      </c>
      <c r="I119" s="95">
        <v>400</v>
      </c>
      <c r="J119" s="95">
        <v>100</v>
      </c>
      <c r="K119" s="95">
        <v>0</v>
      </c>
      <c r="L119" s="95" t="s">
        <v>287</v>
      </c>
      <c r="M119" s="156">
        <v>2801</v>
      </c>
      <c r="N119" s="169">
        <v>0</v>
      </c>
      <c r="O119" s="164">
        <v>0</v>
      </c>
    </row>
    <row r="120" spans="1:15" ht="18.75">
      <c r="A120" s="95">
        <v>118</v>
      </c>
      <c r="B120" s="95" t="s">
        <v>288</v>
      </c>
      <c r="C120" s="153" t="s">
        <v>289</v>
      </c>
      <c r="D120" s="95">
        <v>70122</v>
      </c>
      <c r="E120" s="95">
        <v>30</v>
      </c>
      <c r="F120" s="95">
        <v>0</v>
      </c>
      <c r="G120" s="95">
        <v>0</v>
      </c>
      <c r="H120" s="95">
        <v>0</v>
      </c>
      <c r="I120" s="95">
        <v>0</v>
      </c>
      <c r="J120" s="95">
        <v>0</v>
      </c>
      <c r="K120" s="95">
        <v>0</v>
      </c>
      <c r="L120" s="95" t="s">
        <v>290</v>
      </c>
      <c r="M120" s="170"/>
      <c r="N120" s="169">
        <v>0</v>
      </c>
      <c r="O120" s="164">
        <v>0</v>
      </c>
    </row>
    <row r="121" spans="1:15" ht="18.75">
      <c r="A121" s="95">
        <v>119</v>
      </c>
      <c r="B121" s="95" t="s">
        <v>291</v>
      </c>
      <c r="C121" s="153" t="s">
        <v>292</v>
      </c>
      <c r="D121" s="95">
        <v>71201</v>
      </c>
      <c r="E121" s="95">
        <v>31</v>
      </c>
      <c r="F121" s="95">
        <v>101</v>
      </c>
      <c r="G121" s="95">
        <v>123</v>
      </c>
      <c r="H121" s="95">
        <v>154</v>
      </c>
      <c r="I121" s="95">
        <v>154</v>
      </c>
      <c r="J121" s="95">
        <v>0</v>
      </c>
      <c r="K121" s="95">
        <v>154</v>
      </c>
      <c r="L121" s="95" t="s">
        <v>292</v>
      </c>
      <c r="M121" s="170"/>
      <c r="N121" s="169">
        <v>0</v>
      </c>
      <c r="O121" s="164">
        <v>0</v>
      </c>
    </row>
    <row r="122" spans="1:15" ht="18.75">
      <c r="A122" s="95">
        <v>120</v>
      </c>
      <c r="B122" s="95" t="s">
        <v>293</v>
      </c>
      <c r="C122" s="153" t="s">
        <v>294</v>
      </c>
      <c r="D122" s="95">
        <v>71202</v>
      </c>
      <c r="E122" s="95">
        <v>31</v>
      </c>
      <c r="F122" s="95">
        <v>101</v>
      </c>
      <c r="G122" s="95">
        <v>210</v>
      </c>
      <c r="H122" s="95">
        <v>263</v>
      </c>
      <c r="I122" s="95">
        <v>263</v>
      </c>
      <c r="J122" s="95">
        <v>0</v>
      </c>
      <c r="K122" s="95">
        <v>263</v>
      </c>
      <c r="L122" s="95" t="s">
        <v>294</v>
      </c>
      <c r="M122" s="156"/>
      <c r="N122" s="156">
        <v>0</v>
      </c>
      <c r="O122" s="164">
        <v>0</v>
      </c>
    </row>
    <row r="123" spans="1:15" ht="18">
      <c r="A123" s="95">
        <v>121</v>
      </c>
      <c r="B123" s="95" t="s">
        <v>295</v>
      </c>
      <c r="C123" s="95" t="s">
        <v>296</v>
      </c>
      <c r="D123" s="95">
        <v>71203</v>
      </c>
      <c r="E123" s="95">
        <v>31</v>
      </c>
      <c r="F123" s="95">
        <v>0</v>
      </c>
      <c r="G123" s="95">
        <v>0</v>
      </c>
      <c r="H123" s="95">
        <v>507</v>
      </c>
      <c r="I123" s="95">
        <v>507</v>
      </c>
      <c r="J123" s="95">
        <v>0</v>
      </c>
      <c r="K123" s="95">
        <v>507</v>
      </c>
      <c r="L123" s="95" t="s">
        <v>296</v>
      </c>
      <c r="M123" s="156">
        <v>2901</v>
      </c>
      <c r="N123" s="156">
        <v>0</v>
      </c>
      <c r="O123" s="164">
        <v>0</v>
      </c>
    </row>
    <row r="124" spans="1:15" ht="18">
      <c r="A124" s="95">
        <v>122</v>
      </c>
      <c r="B124" s="95" t="s">
        <v>297</v>
      </c>
      <c r="C124" s="95" t="s">
        <v>298</v>
      </c>
      <c r="D124" s="95">
        <v>73204</v>
      </c>
      <c r="E124" s="95">
        <v>31</v>
      </c>
      <c r="F124" s="95">
        <v>101</v>
      </c>
      <c r="G124" s="95">
        <v>175</v>
      </c>
      <c r="H124" s="95">
        <v>219</v>
      </c>
      <c r="I124" s="95">
        <v>219</v>
      </c>
      <c r="J124" s="95">
        <v>0</v>
      </c>
      <c r="K124" s="95">
        <v>219</v>
      </c>
      <c r="L124" s="95" t="s">
        <v>298</v>
      </c>
      <c r="M124" s="156"/>
      <c r="N124" s="156">
        <v>0</v>
      </c>
      <c r="O124" s="164">
        <v>0</v>
      </c>
    </row>
    <row r="125" spans="1:15" ht="18">
      <c r="A125" s="95">
        <v>123</v>
      </c>
      <c r="B125" s="95" t="s">
        <v>299</v>
      </c>
      <c r="C125" s="95" t="s">
        <v>300</v>
      </c>
      <c r="D125" s="95">
        <v>73205</v>
      </c>
      <c r="E125" s="95">
        <v>31</v>
      </c>
      <c r="F125" s="95">
        <v>101</v>
      </c>
      <c r="G125" s="95">
        <v>300</v>
      </c>
      <c r="H125" s="95">
        <v>375</v>
      </c>
      <c r="I125" s="95">
        <v>375</v>
      </c>
      <c r="J125" s="95">
        <v>0</v>
      </c>
      <c r="K125" s="95">
        <v>375</v>
      </c>
      <c r="L125" s="95" t="s">
        <v>300</v>
      </c>
      <c r="M125" s="156"/>
      <c r="N125" s="156">
        <v>0</v>
      </c>
      <c r="O125" s="164">
        <v>0</v>
      </c>
    </row>
    <row r="126" spans="1:15" ht="18">
      <c r="A126" s="95">
        <v>124</v>
      </c>
      <c r="B126" s="95" t="s">
        <v>301</v>
      </c>
      <c r="C126" s="95" t="s">
        <v>302</v>
      </c>
      <c r="D126" s="95">
        <v>73206</v>
      </c>
      <c r="E126" s="95">
        <v>31</v>
      </c>
      <c r="F126" s="95">
        <v>101</v>
      </c>
      <c r="G126" s="95">
        <v>380</v>
      </c>
      <c r="H126" s="95">
        <v>475</v>
      </c>
      <c r="I126" s="95">
        <v>475</v>
      </c>
      <c r="J126" s="95">
        <v>0</v>
      </c>
      <c r="K126" s="95">
        <v>475</v>
      </c>
      <c r="L126" s="95" t="s">
        <v>302</v>
      </c>
      <c r="M126" s="156"/>
      <c r="N126" s="156">
        <v>0</v>
      </c>
      <c r="O126" s="164">
        <v>0</v>
      </c>
    </row>
    <row r="127" spans="1:15" ht="18">
      <c r="A127" s="95">
        <v>125</v>
      </c>
      <c r="B127" s="95" t="s">
        <v>303</v>
      </c>
      <c r="C127" s="95" t="s">
        <v>304</v>
      </c>
      <c r="D127" s="95">
        <v>74207</v>
      </c>
      <c r="E127" s="95">
        <v>31</v>
      </c>
      <c r="F127" s="95">
        <v>0</v>
      </c>
      <c r="G127" s="95">
        <v>0</v>
      </c>
      <c r="H127" s="95">
        <v>608</v>
      </c>
      <c r="I127" s="95">
        <v>608</v>
      </c>
      <c r="J127" s="95">
        <v>0</v>
      </c>
      <c r="K127" s="95">
        <v>608</v>
      </c>
      <c r="L127" s="95" t="s">
        <v>305</v>
      </c>
      <c r="M127" s="156">
        <v>3001</v>
      </c>
      <c r="N127" s="156">
        <v>0</v>
      </c>
      <c r="O127" s="164">
        <v>0</v>
      </c>
    </row>
    <row r="128" spans="1:15" ht="18.75">
      <c r="A128" s="95">
        <v>126</v>
      </c>
      <c r="B128" s="95" t="s">
        <v>306</v>
      </c>
      <c r="C128" s="95" t="s">
        <v>307</v>
      </c>
      <c r="D128" s="95">
        <v>74215</v>
      </c>
      <c r="E128" s="95">
        <v>31</v>
      </c>
      <c r="F128" s="95">
        <v>101</v>
      </c>
      <c r="G128" s="95">
        <v>320</v>
      </c>
      <c r="H128" s="95">
        <v>400</v>
      </c>
      <c r="I128" s="95">
        <v>400</v>
      </c>
      <c r="J128" s="95">
        <v>0</v>
      </c>
      <c r="K128" s="156">
        <v>400</v>
      </c>
      <c r="L128" s="153" t="s">
        <v>308</v>
      </c>
      <c r="M128" s="171"/>
      <c r="N128" s="156">
        <v>0</v>
      </c>
      <c r="O128" s="164">
        <v>0</v>
      </c>
    </row>
    <row r="129" spans="1:15" ht="18">
      <c r="A129" s="95">
        <v>127</v>
      </c>
      <c r="B129" s="95" t="s">
        <v>309</v>
      </c>
      <c r="C129" s="95" t="s">
        <v>310</v>
      </c>
      <c r="D129" s="95">
        <v>75208</v>
      </c>
      <c r="E129" s="95">
        <v>31</v>
      </c>
      <c r="F129" s="95">
        <v>101</v>
      </c>
      <c r="G129" s="95">
        <v>400</v>
      </c>
      <c r="H129" s="95">
        <v>500</v>
      </c>
      <c r="I129" s="95">
        <v>500</v>
      </c>
      <c r="J129" s="95">
        <v>0</v>
      </c>
      <c r="K129" s="156">
        <v>500</v>
      </c>
      <c r="L129" s="95" t="s">
        <v>310</v>
      </c>
      <c r="M129" s="157"/>
      <c r="N129" s="157">
        <v>0</v>
      </c>
      <c r="O129" s="164">
        <v>0</v>
      </c>
    </row>
    <row r="130" spans="1:15" ht="18">
      <c r="A130" s="95">
        <v>128</v>
      </c>
      <c r="B130" s="95" t="s">
        <v>311</v>
      </c>
      <c r="C130" s="95" t="s">
        <v>312</v>
      </c>
      <c r="D130" s="95">
        <v>75216</v>
      </c>
      <c r="E130" s="95">
        <v>31</v>
      </c>
      <c r="F130" s="95">
        <v>0</v>
      </c>
      <c r="G130" s="95">
        <v>0</v>
      </c>
      <c r="H130" s="95">
        <v>720</v>
      </c>
      <c r="I130" s="95">
        <v>720</v>
      </c>
      <c r="J130" s="95">
        <v>0</v>
      </c>
      <c r="K130" s="156">
        <v>720</v>
      </c>
      <c r="L130" s="95" t="s">
        <v>312</v>
      </c>
      <c r="M130" s="156">
        <v>3101</v>
      </c>
      <c r="N130" s="157">
        <v>0</v>
      </c>
      <c r="O130" s="164">
        <v>0</v>
      </c>
    </row>
    <row r="131" spans="1:15" ht="18.75">
      <c r="A131" s="95">
        <v>128</v>
      </c>
      <c r="B131" s="95" t="s">
        <v>1311</v>
      </c>
      <c r="C131" s="153" t="s">
        <v>1310</v>
      </c>
      <c r="D131" s="95">
        <v>75236</v>
      </c>
      <c r="E131" s="95">
        <v>31</v>
      </c>
      <c r="F131" s="95">
        <v>0</v>
      </c>
      <c r="G131" s="95">
        <v>0</v>
      </c>
      <c r="H131" s="95">
        <v>720</v>
      </c>
      <c r="I131" s="95">
        <v>720</v>
      </c>
      <c r="J131" s="95">
        <v>0</v>
      </c>
      <c r="K131" s="156">
        <v>720</v>
      </c>
      <c r="L131" s="153" t="s">
        <v>1310</v>
      </c>
      <c r="M131" s="156"/>
      <c r="N131" s="157">
        <v>0</v>
      </c>
      <c r="O131" s="164">
        <v>0</v>
      </c>
    </row>
    <row r="132" spans="1:15" ht="18.75">
      <c r="A132" s="95">
        <v>129</v>
      </c>
      <c r="B132" s="95" t="s">
        <v>313</v>
      </c>
      <c r="C132" s="95" t="s">
        <v>314</v>
      </c>
      <c r="D132" s="95">
        <v>75209</v>
      </c>
      <c r="E132" s="95">
        <v>38</v>
      </c>
      <c r="F132" s="95">
        <v>0</v>
      </c>
      <c r="G132" s="95">
        <v>0</v>
      </c>
      <c r="H132" s="95">
        <v>60</v>
      </c>
      <c r="I132" s="95">
        <v>60</v>
      </c>
      <c r="J132" s="95">
        <v>0</v>
      </c>
      <c r="K132" s="156">
        <v>60</v>
      </c>
      <c r="L132" s="153" t="s">
        <v>314</v>
      </c>
      <c r="M132" s="156"/>
      <c r="N132" s="157">
        <v>0</v>
      </c>
      <c r="O132" s="164">
        <v>0</v>
      </c>
    </row>
    <row r="133" spans="1:15" ht="18.75">
      <c r="A133" s="95">
        <v>130</v>
      </c>
      <c r="B133" s="95" t="s">
        <v>315</v>
      </c>
      <c r="C133" s="95" t="s">
        <v>316</v>
      </c>
      <c r="D133" s="95">
        <v>75210</v>
      </c>
      <c r="E133" s="95">
        <v>38</v>
      </c>
      <c r="F133" s="95">
        <v>0</v>
      </c>
      <c r="G133" s="95">
        <v>0</v>
      </c>
      <c r="H133" s="95">
        <v>150</v>
      </c>
      <c r="I133" s="95">
        <v>150</v>
      </c>
      <c r="J133" s="95">
        <v>0</v>
      </c>
      <c r="K133" s="156">
        <v>150</v>
      </c>
      <c r="L133" s="153" t="s">
        <v>316</v>
      </c>
      <c r="M133" s="156"/>
      <c r="N133" s="157">
        <v>0</v>
      </c>
      <c r="O133" s="164">
        <v>0</v>
      </c>
    </row>
    <row r="134" spans="1:15" ht="18.75">
      <c r="A134" s="95">
        <v>131</v>
      </c>
      <c r="B134" s="95" t="s">
        <v>317</v>
      </c>
      <c r="C134" s="95" t="s">
        <v>318</v>
      </c>
      <c r="D134" s="95">
        <v>76217</v>
      </c>
      <c r="E134" s="95">
        <v>32</v>
      </c>
      <c r="F134" s="95">
        <v>101</v>
      </c>
      <c r="G134" s="95">
        <v>60</v>
      </c>
      <c r="H134" s="95">
        <v>60</v>
      </c>
      <c r="I134" s="95">
        <v>60</v>
      </c>
      <c r="J134" s="95">
        <v>0</v>
      </c>
      <c r="K134" s="156">
        <v>60</v>
      </c>
      <c r="L134" s="153" t="s">
        <v>318</v>
      </c>
      <c r="M134" s="156"/>
      <c r="N134" s="163">
        <v>0</v>
      </c>
      <c r="O134" s="164">
        <v>0</v>
      </c>
    </row>
    <row r="135" spans="1:15" ht="18.75">
      <c r="A135" s="95">
        <v>132</v>
      </c>
      <c r="B135" s="95" t="s">
        <v>319</v>
      </c>
      <c r="C135" s="153" t="s">
        <v>320</v>
      </c>
      <c r="D135" s="95">
        <v>76218</v>
      </c>
      <c r="E135" s="95">
        <v>32</v>
      </c>
      <c r="F135" s="95">
        <v>101</v>
      </c>
      <c r="G135" s="95">
        <v>75</v>
      </c>
      <c r="H135" s="95">
        <v>75</v>
      </c>
      <c r="I135" s="95">
        <v>75</v>
      </c>
      <c r="J135" s="95">
        <v>0</v>
      </c>
      <c r="K135" s="156">
        <v>75</v>
      </c>
      <c r="L135" s="95" t="s">
        <v>320</v>
      </c>
      <c r="M135" s="156"/>
      <c r="N135" s="163">
        <v>0</v>
      </c>
      <c r="O135" s="164">
        <v>0</v>
      </c>
    </row>
    <row r="136" spans="1:15" ht="18.75">
      <c r="A136" s="95">
        <v>133</v>
      </c>
      <c r="B136" s="95" t="s">
        <v>321</v>
      </c>
      <c r="C136" s="153" t="s">
        <v>322</v>
      </c>
      <c r="D136" s="95">
        <v>76219</v>
      </c>
      <c r="E136" s="95">
        <v>32</v>
      </c>
      <c r="F136" s="95">
        <v>101</v>
      </c>
      <c r="G136" s="95">
        <v>100</v>
      </c>
      <c r="H136" s="95">
        <v>100</v>
      </c>
      <c r="I136" s="95">
        <v>100</v>
      </c>
      <c r="J136" s="95">
        <v>0</v>
      </c>
      <c r="K136" s="156">
        <v>100</v>
      </c>
      <c r="L136" s="95" t="s">
        <v>322</v>
      </c>
      <c r="M136" s="156"/>
      <c r="N136" s="163">
        <v>0</v>
      </c>
      <c r="O136" s="164">
        <v>0</v>
      </c>
    </row>
    <row r="137" spans="1:15" ht="18.75">
      <c r="A137" s="95">
        <v>134</v>
      </c>
      <c r="B137" s="95" t="s">
        <v>323</v>
      </c>
      <c r="C137" s="153" t="s">
        <v>324</v>
      </c>
      <c r="D137" s="95">
        <v>76220</v>
      </c>
      <c r="E137" s="95">
        <v>32</v>
      </c>
      <c r="F137" s="95">
        <v>101</v>
      </c>
      <c r="G137" s="95">
        <v>80</v>
      </c>
      <c r="H137" s="95">
        <v>80</v>
      </c>
      <c r="I137" s="95">
        <v>80</v>
      </c>
      <c r="J137" s="95">
        <v>0</v>
      </c>
      <c r="K137" s="156">
        <v>80</v>
      </c>
      <c r="L137" s="153" t="s">
        <v>324</v>
      </c>
      <c r="M137" s="156"/>
      <c r="N137" s="163">
        <v>0</v>
      </c>
      <c r="O137" s="164">
        <v>0</v>
      </c>
    </row>
    <row r="138" spans="1:15" ht="18.75">
      <c r="A138" s="95">
        <v>135</v>
      </c>
      <c r="B138" s="95" t="s">
        <v>325</v>
      </c>
      <c r="C138" s="153" t="s">
        <v>326</v>
      </c>
      <c r="D138" s="95">
        <v>76221</v>
      </c>
      <c r="E138" s="95">
        <v>32</v>
      </c>
      <c r="F138" s="95">
        <v>101</v>
      </c>
      <c r="G138" s="95">
        <v>120</v>
      </c>
      <c r="H138" s="95">
        <v>120</v>
      </c>
      <c r="I138" s="95">
        <v>120</v>
      </c>
      <c r="J138" s="95">
        <v>0</v>
      </c>
      <c r="K138" s="156">
        <v>120</v>
      </c>
      <c r="L138" s="95" t="s">
        <v>326</v>
      </c>
      <c r="M138" s="156"/>
      <c r="N138" s="163">
        <v>0</v>
      </c>
      <c r="O138" s="164">
        <v>0</v>
      </c>
    </row>
    <row r="139" spans="1:15" ht="18.75">
      <c r="A139" s="95">
        <v>136</v>
      </c>
      <c r="B139" s="95" t="s">
        <v>327</v>
      </c>
      <c r="C139" s="153" t="s">
        <v>328</v>
      </c>
      <c r="D139" s="95">
        <v>76222</v>
      </c>
      <c r="E139" s="95">
        <v>32</v>
      </c>
      <c r="F139" s="95">
        <v>101</v>
      </c>
      <c r="G139" s="95">
        <v>120</v>
      </c>
      <c r="H139" s="95">
        <v>120</v>
      </c>
      <c r="I139" s="95">
        <v>120</v>
      </c>
      <c r="J139" s="95">
        <v>0</v>
      </c>
      <c r="K139" s="156">
        <v>120</v>
      </c>
      <c r="L139" s="95" t="s">
        <v>328</v>
      </c>
      <c r="M139" s="156"/>
      <c r="N139" s="163">
        <v>0</v>
      </c>
      <c r="O139" s="164">
        <v>0</v>
      </c>
    </row>
    <row r="140" spans="1:15" ht="18.75">
      <c r="A140" s="95">
        <v>137</v>
      </c>
      <c r="B140" s="95" t="s">
        <v>329</v>
      </c>
      <c r="C140" s="153" t="s">
        <v>330</v>
      </c>
      <c r="D140" s="95">
        <v>76223</v>
      </c>
      <c r="E140" s="95">
        <v>32</v>
      </c>
      <c r="F140" s="95">
        <v>101</v>
      </c>
      <c r="G140" s="95">
        <v>90</v>
      </c>
      <c r="H140" s="95">
        <v>90</v>
      </c>
      <c r="I140" s="95">
        <v>90</v>
      </c>
      <c r="J140" s="95">
        <v>0</v>
      </c>
      <c r="K140" s="156">
        <v>90</v>
      </c>
      <c r="L140" s="95" t="s">
        <v>330</v>
      </c>
      <c r="M140" s="156"/>
      <c r="N140" s="163">
        <v>0</v>
      </c>
      <c r="O140" s="164">
        <v>0</v>
      </c>
    </row>
    <row r="141" spans="1:15" ht="18.75">
      <c r="A141" s="95">
        <v>138</v>
      </c>
      <c r="B141" s="95" t="s">
        <v>331</v>
      </c>
      <c r="C141" s="153" t="s">
        <v>332</v>
      </c>
      <c r="D141" s="95">
        <v>76224</v>
      </c>
      <c r="E141" s="95">
        <v>32</v>
      </c>
      <c r="F141" s="95">
        <v>101</v>
      </c>
      <c r="G141" s="95">
        <v>160</v>
      </c>
      <c r="H141" s="95">
        <v>160</v>
      </c>
      <c r="I141" s="95">
        <v>160</v>
      </c>
      <c r="J141" s="95">
        <v>0</v>
      </c>
      <c r="K141" s="156">
        <v>160</v>
      </c>
      <c r="L141" s="95" t="s">
        <v>332</v>
      </c>
      <c r="M141" s="156"/>
      <c r="N141" s="163">
        <v>0</v>
      </c>
      <c r="O141" s="164">
        <v>0</v>
      </c>
    </row>
    <row r="142" spans="1:15" ht="18.75">
      <c r="A142" s="95">
        <v>139</v>
      </c>
      <c r="B142" s="95" t="s">
        <v>333</v>
      </c>
      <c r="C142" s="153" t="s">
        <v>334</v>
      </c>
      <c r="D142" s="95">
        <v>76225</v>
      </c>
      <c r="E142" s="95">
        <v>32</v>
      </c>
      <c r="F142" s="95">
        <v>101</v>
      </c>
      <c r="G142" s="95">
        <v>200</v>
      </c>
      <c r="H142" s="95">
        <v>200</v>
      </c>
      <c r="I142" s="95">
        <v>200</v>
      </c>
      <c r="J142" s="95">
        <v>0</v>
      </c>
      <c r="K142" s="156">
        <v>200</v>
      </c>
      <c r="L142" s="95" t="s">
        <v>334</v>
      </c>
      <c r="M142" s="156"/>
      <c r="N142" s="163">
        <v>0</v>
      </c>
      <c r="O142" s="164">
        <v>0</v>
      </c>
    </row>
    <row r="143" spans="1:15" ht="18.75">
      <c r="A143" s="95">
        <v>140</v>
      </c>
      <c r="B143" s="95" t="s">
        <v>335</v>
      </c>
      <c r="C143" s="153" t="s">
        <v>336</v>
      </c>
      <c r="D143" s="95">
        <v>76226</v>
      </c>
      <c r="E143" s="95">
        <v>32</v>
      </c>
      <c r="F143" s="95">
        <v>101</v>
      </c>
      <c r="G143" s="95">
        <v>240</v>
      </c>
      <c r="H143" s="95">
        <v>240</v>
      </c>
      <c r="I143" s="95">
        <v>240</v>
      </c>
      <c r="J143" s="95">
        <v>0</v>
      </c>
      <c r="K143" s="156">
        <v>240</v>
      </c>
      <c r="L143" s="95" t="s">
        <v>336</v>
      </c>
      <c r="M143" s="156"/>
      <c r="N143" s="163">
        <v>0</v>
      </c>
      <c r="O143" s="164">
        <v>0</v>
      </c>
    </row>
    <row r="144" spans="1:15" ht="18.75">
      <c r="A144" s="95">
        <v>141</v>
      </c>
      <c r="B144" s="95" t="s">
        <v>337</v>
      </c>
      <c r="C144" s="153" t="s">
        <v>338</v>
      </c>
      <c r="D144" s="95">
        <v>76227</v>
      </c>
      <c r="E144" s="95">
        <v>32</v>
      </c>
      <c r="F144" s="95">
        <v>101</v>
      </c>
      <c r="G144" s="95">
        <v>320</v>
      </c>
      <c r="H144" s="95">
        <v>320</v>
      </c>
      <c r="I144" s="95">
        <v>320</v>
      </c>
      <c r="J144" s="95">
        <v>0</v>
      </c>
      <c r="K144" s="156">
        <v>320</v>
      </c>
      <c r="L144" s="95" t="s">
        <v>338</v>
      </c>
      <c r="M144" s="156"/>
      <c r="N144" s="163">
        <v>0</v>
      </c>
      <c r="O144" s="164">
        <v>0</v>
      </c>
    </row>
    <row r="145" spans="1:15" ht="18.75">
      <c r="A145" s="95">
        <v>142</v>
      </c>
      <c r="B145" s="95" t="s">
        <v>339</v>
      </c>
      <c r="C145" s="153" t="s">
        <v>340</v>
      </c>
      <c r="D145" s="95">
        <v>77228</v>
      </c>
      <c r="E145" s="95">
        <v>33</v>
      </c>
      <c r="F145" s="95">
        <v>0</v>
      </c>
      <c r="G145" s="95">
        <v>0</v>
      </c>
      <c r="H145" s="95">
        <v>198</v>
      </c>
      <c r="I145" s="95">
        <v>198</v>
      </c>
      <c r="J145" s="95">
        <v>0</v>
      </c>
      <c r="K145" s="156">
        <v>0</v>
      </c>
      <c r="L145" s="95" t="s">
        <v>340</v>
      </c>
      <c r="M145" s="156">
        <v>3201</v>
      </c>
      <c r="N145" s="163">
        <v>0</v>
      </c>
      <c r="O145" s="164">
        <v>0</v>
      </c>
    </row>
    <row r="146" spans="1:15" ht="18.75">
      <c r="A146" s="95">
        <v>143</v>
      </c>
      <c r="B146" s="95" t="s">
        <v>341</v>
      </c>
      <c r="C146" s="153" t="s">
        <v>342</v>
      </c>
      <c r="D146" s="95">
        <v>78229</v>
      </c>
      <c r="E146" s="95">
        <v>34</v>
      </c>
      <c r="F146" s="95">
        <v>0</v>
      </c>
      <c r="G146" s="95">
        <v>0</v>
      </c>
      <c r="H146" s="95">
        <v>504</v>
      </c>
      <c r="I146" s="95">
        <v>504</v>
      </c>
      <c r="J146" s="95">
        <v>0</v>
      </c>
      <c r="K146" s="156">
        <v>0</v>
      </c>
      <c r="L146" s="95" t="s">
        <v>342</v>
      </c>
      <c r="M146" s="156">
        <v>3301</v>
      </c>
      <c r="N146" s="163">
        <v>0</v>
      </c>
      <c r="O146" s="164">
        <v>0</v>
      </c>
    </row>
    <row r="147" spans="1:15" ht="18.75">
      <c r="A147" s="95">
        <v>144</v>
      </c>
      <c r="B147" s="95" t="s">
        <v>343</v>
      </c>
      <c r="C147" s="153" t="s">
        <v>344</v>
      </c>
      <c r="D147" s="95">
        <v>79230</v>
      </c>
      <c r="E147" s="95">
        <v>35</v>
      </c>
      <c r="F147" s="95">
        <v>101</v>
      </c>
      <c r="G147" s="95">
        <v>315</v>
      </c>
      <c r="H147" s="95">
        <v>315</v>
      </c>
      <c r="I147" s="95">
        <v>315</v>
      </c>
      <c r="J147" s="95">
        <v>0</v>
      </c>
      <c r="K147" s="95">
        <v>0</v>
      </c>
      <c r="L147" s="95" t="s">
        <v>344</v>
      </c>
      <c r="M147" s="156">
        <v>3401</v>
      </c>
      <c r="N147" s="169">
        <v>0</v>
      </c>
      <c r="O147" s="164">
        <v>0</v>
      </c>
    </row>
    <row r="148" spans="1:15" ht="18">
      <c r="A148" s="95">
        <v>145</v>
      </c>
      <c r="B148" s="95" t="s">
        <v>345</v>
      </c>
      <c r="C148" s="95" t="s">
        <v>346</v>
      </c>
      <c r="D148" s="95">
        <v>11018</v>
      </c>
      <c r="E148" s="95">
        <v>36</v>
      </c>
      <c r="F148" s="95">
        <v>101</v>
      </c>
      <c r="G148" s="95">
        <v>60</v>
      </c>
      <c r="H148" s="95">
        <v>66</v>
      </c>
      <c r="I148" s="95">
        <v>66</v>
      </c>
      <c r="J148" s="95">
        <v>0</v>
      </c>
      <c r="K148" s="95">
        <v>66</v>
      </c>
      <c r="L148" s="95" t="s">
        <v>346</v>
      </c>
      <c r="M148" s="170"/>
      <c r="N148" s="169">
        <v>6</v>
      </c>
      <c r="O148" s="164">
        <v>10000</v>
      </c>
    </row>
    <row r="149" spans="1:15" ht="18">
      <c r="A149" s="95">
        <v>146</v>
      </c>
      <c r="B149" s="95" t="s">
        <v>347</v>
      </c>
      <c r="C149" s="95" t="s">
        <v>348</v>
      </c>
      <c r="D149" s="95">
        <v>11092</v>
      </c>
      <c r="E149" s="95">
        <v>36</v>
      </c>
      <c r="F149" s="95">
        <v>101</v>
      </c>
      <c r="G149" s="95">
        <v>120</v>
      </c>
      <c r="H149" s="95">
        <v>132</v>
      </c>
      <c r="I149" s="95">
        <v>132</v>
      </c>
      <c r="J149" s="95">
        <v>0</v>
      </c>
      <c r="K149" s="95">
        <v>132</v>
      </c>
      <c r="L149" s="95" t="s">
        <v>348</v>
      </c>
      <c r="M149" s="170"/>
      <c r="N149" s="169">
        <v>12</v>
      </c>
      <c r="O149" s="164">
        <v>10000</v>
      </c>
    </row>
    <row r="150" spans="1:15" ht="18">
      <c r="A150" s="95">
        <v>147</v>
      </c>
      <c r="B150" s="95" t="s">
        <v>349</v>
      </c>
      <c r="C150" s="95" t="s">
        <v>350</v>
      </c>
      <c r="D150" s="95">
        <v>11021</v>
      </c>
      <c r="E150" s="95">
        <v>36</v>
      </c>
      <c r="F150" s="95">
        <v>101</v>
      </c>
      <c r="G150" s="95">
        <v>100</v>
      </c>
      <c r="H150" s="95">
        <v>110</v>
      </c>
      <c r="I150" s="95">
        <v>110</v>
      </c>
      <c r="J150" s="95">
        <v>0</v>
      </c>
      <c r="K150" s="95">
        <v>110</v>
      </c>
      <c r="L150" s="95" t="s">
        <v>350</v>
      </c>
      <c r="M150" s="170"/>
      <c r="N150" s="169">
        <v>10</v>
      </c>
      <c r="O150" s="164">
        <v>10000</v>
      </c>
    </row>
    <row r="151" spans="1:15" ht="18">
      <c r="A151" s="95">
        <v>148</v>
      </c>
      <c r="B151" s="95" t="s">
        <v>351</v>
      </c>
      <c r="C151" s="95" t="s">
        <v>352</v>
      </c>
      <c r="D151" s="95">
        <v>11026</v>
      </c>
      <c r="E151" s="95">
        <v>36</v>
      </c>
      <c r="F151" s="95">
        <v>101</v>
      </c>
      <c r="G151" s="95">
        <v>160</v>
      </c>
      <c r="H151" s="95">
        <v>176</v>
      </c>
      <c r="I151" s="95">
        <v>176</v>
      </c>
      <c r="J151" s="95">
        <v>0</v>
      </c>
      <c r="K151" s="95">
        <v>176</v>
      </c>
      <c r="L151" s="95" t="s">
        <v>352</v>
      </c>
      <c r="M151" s="170"/>
      <c r="N151" s="169">
        <v>16</v>
      </c>
      <c r="O151" s="164">
        <v>10000</v>
      </c>
    </row>
    <row r="152" spans="1:15" ht="18.75">
      <c r="A152" s="95">
        <v>149</v>
      </c>
      <c r="B152" s="95" t="s">
        <v>353</v>
      </c>
      <c r="C152" s="152" t="s">
        <v>354</v>
      </c>
      <c r="D152" s="95">
        <v>11027</v>
      </c>
      <c r="E152" s="95">
        <v>36</v>
      </c>
      <c r="F152" s="95">
        <v>101</v>
      </c>
      <c r="G152" s="95">
        <v>200</v>
      </c>
      <c r="H152" s="95">
        <v>220</v>
      </c>
      <c r="I152" s="95">
        <v>220</v>
      </c>
      <c r="J152" s="95">
        <v>0</v>
      </c>
      <c r="K152" s="95">
        <v>220</v>
      </c>
      <c r="L152" s="152" t="s">
        <v>354</v>
      </c>
      <c r="M152" s="156"/>
      <c r="N152" s="156">
        <v>20</v>
      </c>
      <c r="O152" s="164">
        <v>10000</v>
      </c>
    </row>
    <row r="153" spans="1:15" ht="18.75">
      <c r="A153" s="95">
        <v>150</v>
      </c>
      <c r="B153" s="95" t="s">
        <v>355</v>
      </c>
      <c r="C153" s="153" t="s">
        <v>356</v>
      </c>
      <c r="D153" s="95">
        <v>11214</v>
      </c>
      <c r="E153" s="95">
        <v>36</v>
      </c>
      <c r="F153" s="95">
        <v>101</v>
      </c>
      <c r="G153" s="95">
        <v>80</v>
      </c>
      <c r="H153" s="95">
        <v>88</v>
      </c>
      <c r="I153" s="95">
        <v>88</v>
      </c>
      <c r="J153" s="95">
        <v>0</v>
      </c>
      <c r="K153" s="95">
        <v>88</v>
      </c>
      <c r="L153" s="95" t="s">
        <v>356</v>
      </c>
      <c r="M153" s="156"/>
      <c r="N153" s="156">
        <v>8</v>
      </c>
      <c r="O153" s="164">
        <v>10000</v>
      </c>
    </row>
    <row r="154" spans="1:15" ht="18.75">
      <c r="A154" s="95">
        <v>151</v>
      </c>
      <c r="B154" s="95" t="s">
        <v>355</v>
      </c>
      <c r="C154" s="153" t="s">
        <v>357</v>
      </c>
      <c r="D154" s="95">
        <v>11231</v>
      </c>
      <c r="E154" s="95">
        <v>36</v>
      </c>
      <c r="F154" s="95">
        <v>101</v>
      </c>
      <c r="G154" s="95">
        <v>250</v>
      </c>
      <c r="H154" s="95">
        <v>275</v>
      </c>
      <c r="I154" s="95">
        <v>275</v>
      </c>
      <c r="J154" s="95">
        <v>0</v>
      </c>
      <c r="K154" s="95">
        <v>275</v>
      </c>
      <c r="L154" s="153" t="s">
        <v>357</v>
      </c>
      <c r="M154" s="156"/>
      <c r="N154" s="156">
        <v>25</v>
      </c>
      <c r="O154" s="164">
        <v>10000</v>
      </c>
    </row>
    <row r="155" spans="1:15" ht="18">
      <c r="A155" s="95">
        <v>152</v>
      </c>
      <c r="B155" s="95" t="s">
        <v>358</v>
      </c>
      <c r="C155" s="95" t="s">
        <v>359</v>
      </c>
      <c r="D155" s="95">
        <v>80029</v>
      </c>
      <c r="E155" s="95">
        <v>37</v>
      </c>
      <c r="F155" s="95">
        <v>101</v>
      </c>
      <c r="G155" s="95">
        <v>250</v>
      </c>
      <c r="H155" s="95">
        <v>250</v>
      </c>
      <c r="I155" s="95">
        <v>250</v>
      </c>
      <c r="J155" s="95">
        <v>250</v>
      </c>
      <c r="K155" s="156">
        <v>250</v>
      </c>
      <c r="L155" s="157" t="s">
        <v>359</v>
      </c>
      <c r="M155" s="165"/>
      <c r="N155" s="163">
        <v>0</v>
      </c>
      <c r="O155" s="164">
        <v>0</v>
      </c>
    </row>
    <row r="156" spans="1:15" ht="18">
      <c r="A156" s="95">
        <v>153</v>
      </c>
      <c r="B156" s="95" t="s">
        <v>59</v>
      </c>
      <c r="C156" s="95" t="s">
        <v>60</v>
      </c>
      <c r="D156" s="95">
        <v>74002</v>
      </c>
      <c r="E156" s="95">
        <v>38</v>
      </c>
      <c r="F156" s="95">
        <v>0</v>
      </c>
      <c r="G156" s="95">
        <v>0</v>
      </c>
      <c r="H156" s="95">
        <v>2</v>
      </c>
      <c r="I156" s="95">
        <v>2</v>
      </c>
      <c r="J156" s="95">
        <v>0</v>
      </c>
      <c r="K156" s="156">
        <v>2</v>
      </c>
      <c r="L156" s="157" t="s">
        <v>60</v>
      </c>
      <c r="M156" s="165"/>
      <c r="N156" s="163">
        <v>0</v>
      </c>
      <c r="O156" s="164">
        <v>0</v>
      </c>
    </row>
    <row r="157" spans="1:15" ht="18">
      <c r="A157" s="95">
        <v>154</v>
      </c>
      <c r="B157" s="95" t="s">
        <v>61</v>
      </c>
      <c r="C157" s="95" t="s">
        <v>62</v>
      </c>
      <c r="D157" s="95">
        <v>74003</v>
      </c>
      <c r="E157" s="95">
        <v>38</v>
      </c>
      <c r="F157" s="95">
        <v>0</v>
      </c>
      <c r="G157" s="95">
        <v>0</v>
      </c>
      <c r="H157" s="95">
        <v>3</v>
      </c>
      <c r="I157" s="95">
        <v>3</v>
      </c>
      <c r="J157" s="95">
        <v>0</v>
      </c>
      <c r="K157" s="156">
        <v>3</v>
      </c>
      <c r="L157" s="157" t="s">
        <v>62</v>
      </c>
      <c r="M157" s="165"/>
      <c r="N157" s="163">
        <v>0</v>
      </c>
      <c r="O157" s="164">
        <v>0</v>
      </c>
    </row>
    <row r="158" spans="1:15" ht="18">
      <c r="A158" s="95">
        <v>155</v>
      </c>
      <c r="B158" s="95" t="s">
        <v>63</v>
      </c>
      <c r="C158" s="95" t="s">
        <v>64</v>
      </c>
      <c r="D158" s="95">
        <v>74004</v>
      </c>
      <c r="E158" s="95">
        <v>38</v>
      </c>
      <c r="F158" s="95">
        <v>0</v>
      </c>
      <c r="G158" s="95">
        <v>0</v>
      </c>
      <c r="H158" s="95">
        <v>4</v>
      </c>
      <c r="I158" s="95">
        <v>4</v>
      </c>
      <c r="J158" s="95">
        <v>0</v>
      </c>
      <c r="K158" s="156">
        <v>4</v>
      </c>
      <c r="L158" s="157" t="s">
        <v>64</v>
      </c>
      <c r="M158" s="165"/>
      <c r="N158" s="163">
        <v>0</v>
      </c>
      <c r="O158" s="164">
        <v>0</v>
      </c>
    </row>
    <row r="159" spans="1:15" ht="18">
      <c r="A159" s="95">
        <v>156</v>
      </c>
      <c r="B159" s="95" t="s">
        <v>65</v>
      </c>
      <c r="C159" s="95" t="s">
        <v>66</v>
      </c>
      <c r="D159" s="95">
        <v>74005</v>
      </c>
      <c r="E159" s="95">
        <v>38</v>
      </c>
      <c r="F159" s="95">
        <v>0</v>
      </c>
      <c r="G159" s="95">
        <v>0</v>
      </c>
      <c r="H159" s="95">
        <v>7</v>
      </c>
      <c r="I159" s="95">
        <v>7</v>
      </c>
      <c r="J159" s="95">
        <v>0</v>
      </c>
      <c r="K159" s="156">
        <v>7</v>
      </c>
      <c r="L159" s="157" t="s">
        <v>66</v>
      </c>
      <c r="M159" s="165"/>
      <c r="N159" s="156">
        <v>0</v>
      </c>
      <c r="O159" s="164">
        <v>0</v>
      </c>
    </row>
    <row r="160" spans="1:15" ht="18">
      <c r="A160" s="95">
        <v>157</v>
      </c>
      <c r="B160" s="95" t="s">
        <v>67</v>
      </c>
      <c r="C160" s="95" t="s">
        <v>68</v>
      </c>
      <c r="D160" s="95">
        <v>74006</v>
      </c>
      <c r="E160" s="95">
        <v>38</v>
      </c>
      <c r="F160" s="95">
        <v>0</v>
      </c>
      <c r="G160" s="95">
        <v>0</v>
      </c>
      <c r="H160" s="95">
        <v>3</v>
      </c>
      <c r="I160" s="95">
        <v>3</v>
      </c>
      <c r="J160" s="95">
        <v>0</v>
      </c>
      <c r="K160" s="156">
        <v>3</v>
      </c>
      <c r="L160" s="157" t="s">
        <v>68</v>
      </c>
      <c r="M160" s="165"/>
      <c r="N160" s="163">
        <v>0</v>
      </c>
      <c r="O160" s="164">
        <v>0</v>
      </c>
    </row>
    <row r="161" spans="1:15" ht="18">
      <c r="A161" s="95">
        <v>158</v>
      </c>
      <c r="B161" s="95" t="s">
        <v>69</v>
      </c>
      <c r="C161" s="95" t="s">
        <v>70</v>
      </c>
      <c r="D161" s="95">
        <v>74007</v>
      </c>
      <c r="E161" s="95">
        <v>38</v>
      </c>
      <c r="F161" s="95">
        <v>0</v>
      </c>
      <c r="G161" s="95">
        <v>0</v>
      </c>
      <c r="H161" s="95">
        <v>4</v>
      </c>
      <c r="I161" s="95">
        <v>4</v>
      </c>
      <c r="J161" s="95">
        <v>0</v>
      </c>
      <c r="K161" s="156">
        <v>4</v>
      </c>
      <c r="L161" s="157" t="s">
        <v>70</v>
      </c>
      <c r="M161" s="165"/>
      <c r="N161" s="163">
        <v>0</v>
      </c>
      <c r="O161" s="164">
        <v>0</v>
      </c>
    </row>
    <row r="162" spans="1:15" ht="18">
      <c r="A162" s="95">
        <v>159</v>
      </c>
      <c r="B162" s="95" t="s">
        <v>71</v>
      </c>
      <c r="C162" s="95" t="s">
        <v>72</v>
      </c>
      <c r="D162" s="95">
        <v>74008</v>
      </c>
      <c r="E162" s="95">
        <v>38</v>
      </c>
      <c r="F162" s="95">
        <v>0</v>
      </c>
      <c r="G162" s="95">
        <v>0</v>
      </c>
      <c r="H162" s="95">
        <v>5</v>
      </c>
      <c r="I162" s="95">
        <v>5</v>
      </c>
      <c r="J162" s="95">
        <v>0</v>
      </c>
      <c r="K162" s="156">
        <v>5</v>
      </c>
      <c r="L162" s="157" t="s">
        <v>72</v>
      </c>
      <c r="M162" s="165"/>
      <c r="N162" s="163">
        <v>0</v>
      </c>
      <c r="O162" s="164">
        <v>0</v>
      </c>
    </row>
    <row r="163" spans="1:15" ht="18">
      <c r="A163" s="95">
        <v>160</v>
      </c>
      <c r="B163" s="95" t="s">
        <v>73</v>
      </c>
      <c r="C163" s="95" t="s">
        <v>74</v>
      </c>
      <c r="D163" s="95">
        <v>74009</v>
      </c>
      <c r="E163" s="95">
        <v>38</v>
      </c>
      <c r="F163" s="95">
        <v>0</v>
      </c>
      <c r="G163" s="95">
        <v>0</v>
      </c>
      <c r="H163" s="95">
        <v>6</v>
      </c>
      <c r="I163" s="95">
        <v>6</v>
      </c>
      <c r="J163" s="95">
        <v>0</v>
      </c>
      <c r="K163" s="156">
        <v>6</v>
      </c>
      <c r="L163" s="157" t="s">
        <v>74</v>
      </c>
      <c r="M163" s="165"/>
      <c r="N163" s="163">
        <v>0</v>
      </c>
      <c r="O163" s="164">
        <v>0</v>
      </c>
    </row>
    <row r="164" spans="1:15" s="149" customFormat="1" ht="18">
      <c r="A164" s="95">
        <v>161</v>
      </c>
      <c r="B164" s="37" t="s">
        <v>91</v>
      </c>
      <c r="C164" s="37" t="s">
        <v>92</v>
      </c>
      <c r="D164" s="37">
        <v>74017</v>
      </c>
      <c r="E164" s="37">
        <v>38</v>
      </c>
      <c r="F164" s="37">
        <v>0</v>
      </c>
      <c r="G164" s="37">
        <v>0</v>
      </c>
      <c r="H164" s="37">
        <v>9</v>
      </c>
      <c r="I164" s="37">
        <v>9</v>
      </c>
      <c r="J164" s="37">
        <v>0</v>
      </c>
      <c r="K164" s="172">
        <v>9</v>
      </c>
      <c r="L164" s="173" t="s">
        <v>92</v>
      </c>
      <c r="M164" s="165"/>
      <c r="N164" s="163">
        <v>0</v>
      </c>
      <c r="O164" s="164">
        <v>0</v>
      </c>
    </row>
    <row r="165" spans="1:15" s="149" customFormat="1" ht="18">
      <c r="A165" s="95">
        <v>162</v>
      </c>
      <c r="B165" s="37" t="s">
        <v>93</v>
      </c>
      <c r="C165" s="37" t="s">
        <v>94</v>
      </c>
      <c r="D165" s="37">
        <v>74020</v>
      </c>
      <c r="E165" s="37">
        <v>38</v>
      </c>
      <c r="F165" s="37">
        <v>0</v>
      </c>
      <c r="G165" s="37">
        <v>0</v>
      </c>
      <c r="H165" s="37">
        <v>16</v>
      </c>
      <c r="I165" s="37">
        <v>16</v>
      </c>
      <c r="J165" s="37">
        <v>0</v>
      </c>
      <c r="K165" s="172">
        <v>16</v>
      </c>
      <c r="L165" s="173" t="s">
        <v>94</v>
      </c>
      <c r="M165" s="165"/>
      <c r="N165" s="163">
        <v>0</v>
      </c>
      <c r="O165" s="164">
        <v>0</v>
      </c>
    </row>
    <row r="166" spans="1:15" s="149" customFormat="1" ht="18">
      <c r="A166" s="95">
        <v>163</v>
      </c>
      <c r="B166" s="37" t="s">
        <v>99</v>
      </c>
      <c r="C166" s="37" t="s">
        <v>100</v>
      </c>
      <c r="D166" s="37">
        <v>74025</v>
      </c>
      <c r="E166" s="37">
        <v>38</v>
      </c>
      <c r="F166" s="37">
        <v>0</v>
      </c>
      <c r="G166" s="37">
        <v>0</v>
      </c>
      <c r="H166" s="37">
        <v>40</v>
      </c>
      <c r="I166" s="37">
        <v>40</v>
      </c>
      <c r="J166" s="37">
        <v>0</v>
      </c>
      <c r="K166" s="172">
        <v>40</v>
      </c>
      <c r="L166" s="173" t="s">
        <v>100</v>
      </c>
      <c r="M166" s="165"/>
      <c r="N166" s="163">
        <v>0</v>
      </c>
      <c r="O166" s="164">
        <v>0</v>
      </c>
    </row>
    <row r="167" spans="1:15" ht="18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156"/>
      <c r="L167" s="157"/>
      <c r="M167" s="165"/>
      <c r="N167" s="163"/>
      <c r="O167" s="164"/>
    </row>
    <row r="168" spans="1:15" ht="18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156"/>
      <c r="L168" s="157"/>
      <c r="M168" s="165"/>
      <c r="N168" s="163"/>
      <c r="O168" s="164"/>
    </row>
    <row r="169" spans="1:15" ht="18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156"/>
      <c r="L169" s="157"/>
      <c r="M169" s="165"/>
      <c r="N169" s="163"/>
      <c r="O169" s="164"/>
    </row>
    <row r="170" spans="1:15" ht="18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156"/>
      <c r="L170" s="157"/>
      <c r="M170" s="165"/>
      <c r="N170" s="163"/>
      <c r="O170" s="164"/>
    </row>
  </sheetData>
  <sortState xmlns:xlrd2="http://schemas.microsoft.com/office/spreadsheetml/2017/richdata2" ref="A5:R154">
    <sortCondition ref="E5:E154"/>
  </sortState>
  <phoneticPr fontId="42" type="noConversion"/>
  <conditionalFormatting sqref="N144:O144">
    <cfRule type="expression" dxfId="119" priority="14">
      <formula>N144&lt;&gt;#REF!</formula>
    </cfRule>
  </conditionalFormatting>
  <conditionalFormatting sqref="N145">
    <cfRule type="expression" dxfId="118" priority="13">
      <formula>N145&lt;&gt;#REF!</formula>
    </cfRule>
  </conditionalFormatting>
  <conditionalFormatting sqref="N166">
    <cfRule type="expression" dxfId="117" priority="6">
      <formula>N166&lt;&gt;#REF!</formula>
    </cfRule>
  </conditionalFormatting>
  <conditionalFormatting sqref="O3:O130 O132:O139">
    <cfRule type="expression" dxfId="116" priority="4">
      <formula>O3&lt;&gt;#REF!</formula>
    </cfRule>
  </conditionalFormatting>
  <conditionalFormatting sqref="O145:O168">
    <cfRule type="expression" dxfId="115" priority="3">
      <formula>O145&lt;&gt;#REF!</formula>
    </cfRule>
  </conditionalFormatting>
  <conditionalFormatting sqref="N3 N23:N43 N129:N130 N140:O143 N132:N139">
    <cfRule type="expression" dxfId="114" priority="15">
      <formula>N3&lt;&gt;#REF!</formula>
    </cfRule>
  </conditionalFormatting>
  <conditionalFormatting sqref="N44:N118 N146">
    <cfRule type="expression" dxfId="113" priority="12">
      <formula>N44&lt;&gt;#REF!</formula>
    </cfRule>
  </conditionalFormatting>
  <conditionalFormatting sqref="N155:N158 N160:N168 N169:O170">
    <cfRule type="expression" dxfId="112" priority="8">
      <formula>N155&lt;&gt;#REF!</formula>
    </cfRule>
  </conditionalFormatting>
  <conditionalFormatting sqref="O131">
    <cfRule type="expression" dxfId="1" priority="1">
      <formula>O131&lt;&gt;#REF!</formula>
    </cfRule>
  </conditionalFormatting>
  <conditionalFormatting sqref="N131">
    <cfRule type="expression" dxfId="0" priority="2">
      <formula>N131&lt;&gt;#REF!</formula>
    </cfRule>
  </conditionalFormatting>
  <pageMargins left="0.69930555555555596" right="0.69930555555555596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8"/>
  <sheetViews>
    <sheetView workbookViewId="0">
      <pane xSplit="1" ySplit="3" topLeftCell="B147" activePane="bottomRight" state="frozen"/>
      <selection pane="topRight"/>
      <selection pane="bottomLeft"/>
      <selection pane="bottomRight" activeCell="K176" sqref="K176"/>
    </sheetView>
  </sheetViews>
  <sheetFormatPr defaultColWidth="9" defaultRowHeight="15.75" customHeight="1"/>
  <cols>
    <col min="1" max="1" width="14.19921875" customWidth="1"/>
  </cols>
  <sheetData>
    <row r="1" spans="1:14" ht="15.75" customHeight="1">
      <c r="A1" s="24" t="s">
        <v>360</v>
      </c>
      <c r="B1" s="24" t="s">
        <v>361</v>
      </c>
      <c r="C1" s="24" t="s">
        <v>362</v>
      </c>
      <c r="D1" s="24" t="s">
        <v>363</v>
      </c>
      <c r="E1" s="24" t="s">
        <v>364</v>
      </c>
      <c r="F1" s="24" t="s">
        <v>33</v>
      </c>
      <c r="G1" s="24" t="s">
        <v>365</v>
      </c>
      <c r="H1" s="24" t="s">
        <v>366</v>
      </c>
      <c r="I1" s="24" t="s">
        <v>367</v>
      </c>
      <c r="J1" s="24" t="s">
        <v>368</v>
      </c>
      <c r="K1" s="24" t="s">
        <v>369</v>
      </c>
      <c r="L1" s="24" t="s">
        <v>370</v>
      </c>
      <c r="M1" s="24" t="s">
        <v>371</v>
      </c>
      <c r="N1" s="24" t="s">
        <v>372</v>
      </c>
    </row>
    <row r="2" spans="1:14" ht="15.75" customHeight="1">
      <c r="A2" s="24" t="s">
        <v>40</v>
      </c>
      <c r="B2" s="24" t="s">
        <v>39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  <c r="I2" s="24" t="s">
        <v>41</v>
      </c>
      <c r="J2" s="24" t="s">
        <v>41</v>
      </c>
      <c r="K2" s="24" t="s">
        <v>39</v>
      </c>
      <c r="L2" s="24" t="s">
        <v>39</v>
      </c>
      <c r="M2" s="24" t="s">
        <v>39</v>
      </c>
      <c r="N2" s="24" t="s">
        <v>39</v>
      </c>
    </row>
    <row r="3" spans="1:14" ht="15.75" customHeight="1">
      <c r="A3" s="24" t="s">
        <v>373</v>
      </c>
      <c r="B3" s="24" t="s">
        <v>374</v>
      </c>
      <c r="C3" s="24" t="s">
        <v>375</v>
      </c>
      <c r="D3" s="24" t="s">
        <v>376</v>
      </c>
      <c r="E3" s="24" t="s">
        <v>377</v>
      </c>
      <c r="F3" s="24" t="s">
        <v>33</v>
      </c>
      <c r="G3" s="24" t="s">
        <v>378</v>
      </c>
      <c r="H3" s="24" t="s">
        <v>379</v>
      </c>
      <c r="I3" s="24" t="s">
        <v>380</v>
      </c>
      <c r="J3" s="24" t="s">
        <v>381</v>
      </c>
      <c r="K3" s="24" t="s">
        <v>382</v>
      </c>
      <c r="L3" s="24" t="s">
        <v>383</v>
      </c>
      <c r="M3" s="24" t="s">
        <v>384</v>
      </c>
      <c r="N3" s="147" t="s">
        <v>385</v>
      </c>
    </row>
    <row r="4" spans="1:14" ht="15.75" customHeight="1">
      <c r="A4" s="147" t="s">
        <v>386</v>
      </c>
      <c r="B4" s="24">
        <v>5101</v>
      </c>
      <c r="C4" s="24">
        <v>1</v>
      </c>
      <c r="D4" s="24">
        <v>20</v>
      </c>
      <c r="E4" s="24">
        <v>20</v>
      </c>
      <c r="F4" s="24">
        <v>0</v>
      </c>
      <c r="G4" s="24">
        <v>0</v>
      </c>
      <c r="H4" s="24">
        <v>1</v>
      </c>
      <c r="I4" s="24">
        <v>1.2</v>
      </c>
      <c r="J4" s="24">
        <v>0</v>
      </c>
      <c r="K4" s="24">
        <v>50</v>
      </c>
      <c r="L4" s="24">
        <v>2201</v>
      </c>
      <c r="M4" s="24" t="s">
        <v>387</v>
      </c>
      <c r="N4" s="24">
        <v>0</v>
      </c>
    </row>
    <row r="5" spans="1:14" ht="15.75" customHeight="1">
      <c r="A5" s="147" t="s">
        <v>386</v>
      </c>
      <c r="B5" s="24">
        <v>5101</v>
      </c>
      <c r="C5" s="24">
        <v>2</v>
      </c>
      <c r="D5" s="24">
        <v>22</v>
      </c>
      <c r="E5" s="24">
        <v>22</v>
      </c>
      <c r="F5" s="24">
        <v>0</v>
      </c>
      <c r="G5" s="24">
        <v>0</v>
      </c>
      <c r="H5" s="24">
        <v>1</v>
      </c>
      <c r="I5" s="24">
        <v>1.2</v>
      </c>
      <c r="J5" s="24">
        <v>0</v>
      </c>
      <c r="K5" s="24">
        <v>50</v>
      </c>
      <c r="L5" s="24">
        <v>2201</v>
      </c>
      <c r="M5" s="24" t="s">
        <v>387</v>
      </c>
      <c r="N5" s="24">
        <v>0</v>
      </c>
    </row>
    <row r="6" spans="1:14" ht="15.75" customHeight="1">
      <c r="A6" s="147" t="s">
        <v>386</v>
      </c>
      <c r="B6" s="24">
        <v>5101</v>
      </c>
      <c r="C6" s="24">
        <v>3</v>
      </c>
      <c r="D6" s="24">
        <v>24</v>
      </c>
      <c r="E6" s="24">
        <v>24</v>
      </c>
      <c r="F6" s="24">
        <v>0</v>
      </c>
      <c r="G6" s="24">
        <v>0</v>
      </c>
      <c r="H6" s="24">
        <v>1</v>
      </c>
      <c r="I6" s="24">
        <v>1.2</v>
      </c>
      <c r="J6" s="24">
        <v>0</v>
      </c>
      <c r="K6" s="24">
        <v>50</v>
      </c>
      <c r="L6" s="24">
        <v>2201</v>
      </c>
      <c r="M6" s="24" t="s">
        <v>387</v>
      </c>
      <c r="N6" s="24">
        <v>0</v>
      </c>
    </row>
    <row r="7" spans="1:14" ht="15.75" customHeight="1">
      <c r="A7" s="147" t="s">
        <v>386</v>
      </c>
      <c r="B7" s="24">
        <v>5101</v>
      </c>
      <c r="C7" s="24">
        <v>4</v>
      </c>
      <c r="D7" s="24">
        <v>26</v>
      </c>
      <c r="E7" s="24">
        <v>26</v>
      </c>
      <c r="F7" s="24">
        <v>0</v>
      </c>
      <c r="G7" s="24">
        <v>0</v>
      </c>
      <c r="H7" s="24">
        <v>1</v>
      </c>
      <c r="I7" s="24">
        <v>1.2</v>
      </c>
      <c r="J7" s="24">
        <v>0</v>
      </c>
      <c r="K7" s="24">
        <v>50</v>
      </c>
      <c r="L7" s="24">
        <v>2201</v>
      </c>
      <c r="M7" s="24" t="s">
        <v>387</v>
      </c>
      <c r="N7" s="24">
        <v>0</v>
      </c>
    </row>
    <row r="8" spans="1:14" ht="15.75" customHeight="1">
      <c r="A8" s="147" t="s">
        <v>386</v>
      </c>
      <c r="B8" s="24">
        <v>5101</v>
      </c>
      <c r="C8" s="24">
        <v>5</v>
      </c>
      <c r="D8" s="24">
        <v>28</v>
      </c>
      <c r="E8" s="24">
        <v>28</v>
      </c>
      <c r="F8" s="24">
        <v>0</v>
      </c>
      <c r="G8" s="24">
        <v>0</v>
      </c>
      <c r="H8" s="24">
        <v>1</v>
      </c>
      <c r="I8" s="24">
        <v>1.2</v>
      </c>
      <c r="J8" s="24">
        <v>0</v>
      </c>
      <c r="K8" s="24">
        <v>50</v>
      </c>
      <c r="L8" s="24">
        <v>2201</v>
      </c>
      <c r="M8" s="24" t="s">
        <v>387</v>
      </c>
      <c r="N8" s="24">
        <v>0</v>
      </c>
    </row>
    <row r="9" spans="1:14" ht="15.75" customHeight="1">
      <c r="A9" s="147" t="s">
        <v>386</v>
      </c>
      <c r="B9" s="24">
        <v>5101</v>
      </c>
      <c r="C9" s="24">
        <v>6</v>
      </c>
      <c r="D9" s="24">
        <v>30</v>
      </c>
      <c r="E9" s="24">
        <v>30</v>
      </c>
      <c r="F9" s="24">
        <v>0</v>
      </c>
      <c r="G9" s="24">
        <v>0</v>
      </c>
      <c r="H9" s="24">
        <v>1</v>
      </c>
      <c r="I9" s="24">
        <v>1.2</v>
      </c>
      <c r="J9" s="24">
        <v>0</v>
      </c>
      <c r="K9" s="24">
        <v>50</v>
      </c>
      <c r="L9" s="24">
        <v>2201</v>
      </c>
      <c r="M9" s="24" t="s">
        <v>387</v>
      </c>
      <c r="N9" s="24">
        <v>0</v>
      </c>
    </row>
    <row r="10" spans="1:14" ht="15.75" customHeight="1">
      <c r="A10" s="147" t="s">
        <v>386</v>
      </c>
      <c r="B10" s="24">
        <v>5101</v>
      </c>
      <c r="C10" s="24">
        <v>7</v>
      </c>
      <c r="D10" s="24">
        <v>32</v>
      </c>
      <c r="E10" s="24">
        <v>32</v>
      </c>
      <c r="F10" s="24">
        <v>0</v>
      </c>
      <c r="G10" s="24">
        <v>0</v>
      </c>
      <c r="H10" s="24">
        <v>1</v>
      </c>
      <c r="I10" s="24">
        <v>1.2</v>
      </c>
      <c r="J10" s="24">
        <v>0</v>
      </c>
      <c r="K10" s="24">
        <v>50</v>
      </c>
      <c r="L10" s="24">
        <v>2201</v>
      </c>
      <c r="M10" s="24" t="s">
        <v>387</v>
      </c>
      <c r="N10" s="24">
        <v>0</v>
      </c>
    </row>
    <row r="11" spans="1:14" ht="15.75" customHeight="1">
      <c r="A11" s="147" t="s">
        <v>386</v>
      </c>
      <c r="B11" s="24">
        <v>5101</v>
      </c>
      <c r="C11" s="24">
        <v>8</v>
      </c>
      <c r="D11" s="24">
        <v>34</v>
      </c>
      <c r="E11" s="24">
        <v>34</v>
      </c>
      <c r="F11" s="24">
        <v>0</v>
      </c>
      <c r="G11" s="24">
        <v>0</v>
      </c>
      <c r="H11" s="24">
        <v>1</v>
      </c>
      <c r="I11" s="24">
        <v>1.2</v>
      </c>
      <c r="J11" s="24">
        <v>0</v>
      </c>
      <c r="K11" s="24">
        <v>50</v>
      </c>
      <c r="L11" s="24">
        <v>2201</v>
      </c>
      <c r="M11" s="24" t="s">
        <v>387</v>
      </c>
      <c r="N11" s="24">
        <v>0</v>
      </c>
    </row>
    <row r="12" spans="1:14" ht="15.75" customHeight="1">
      <c r="A12" s="147" t="s">
        <v>386</v>
      </c>
      <c r="B12" s="24">
        <v>5101</v>
      </c>
      <c r="C12" s="24">
        <v>9</v>
      </c>
      <c r="D12" s="24">
        <v>36</v>
      </c>
      <c r="E12" s="24">
        <v>36</v>
      </c>
      <c r="F12" s="24">
        <v>0</v>
      </c>
      <c r="G12" s="24">
        <v>0</v>
      </c>
      <c r="H12" s="24">
        <v>1</v>
      </c>
      <c r="I12" s="24">
        <v>1.2</v>
      </c>
      <c r="J12" s="24">
        <v>0</v>
      </c>
      <c r="K12" s="24">
        <v>50</v>
      </c>
      <c r="L12" s="24">
        <v>2201</v>
      </c>
      <c r="M12" s="24" t="s">
        <v>387</v>
      </c>
      <c r="N12" s="24">
        <v>0</v>
      </c>
    </row>
    <row r="13" spans="1:14" ht="15.75" customHeight="1">
      <c r="A13" s="147" t="s">
        <v>386</v>
      </c>
      <c r="B13" s="24">
        <v>5101</v>
      </c>
      <c r="C13" s="24">
        <v>10</v>
      </c>
      <c r="D13" s="24">
        <v>38</v>
      </c>
      <c r="E13" s="24">
        <v>38</v>
      </c>
      <c r="F13" s="24">
        <v>0</v>
      </c>
      <c r="G13" s="24">
        <v>0</v>
      </c>
      <c r="H13" s="24">
        <v>1</v>
      </c>
      <c r="I13" s="24">
        <v>1.2</v>
      </c>
      <c r="J13" s="24">
        <v>0</v>
      </c>
      <c r="K13" s="24">
        <v>50</v>
      </c>
      <c r="L13" s="24">
        <v>2201</v>
      </c>
      <c r="M13" s="24" t="s">
        <v>387</v>
      </c>
      <c r="N13" s="24">
        <v>0</v>
      </c>
    </row>
    <row r="14" spans="1:14" ht="15.75" customHeight="1">
      <c r="A14" s="147" t="s">
        <v>386</v>
      </c>
      <c r="B14" s="24">
        <v>5101</v>
      </c>
      <c r="C14" s="24">
        <v>11</v>
      </c>
      <c r="D14" s="24">
        <v>40</v>
      </c>
      <c r="E14" s="24">
        <v>40</v>
      </c>
      <c r="F14" s="24">
        <v>0</v>
      </c>
      <c r="G14" s="24">
        <v>0</v>
      </c>
      <c r="H14" s="24">
        <v>1</v>
      </c>
      <c r="I14" s="24">
        <v>1.2</v>
      </c>
      <c r="J14" s="24">
        <v>0</v>
      </c>
      <c r="K14" s="24">
        <v>50</v>
      </c>
      <c r="L14" s="24">
        <v>2201</v>
      </c>
      <c r="M14" s="24" t="s">
        <v>387</v>
      </c>
      <c r="N14" s="24">
        <v>0</v>
      </c>
    </row>
    <row r="15" spans="1:14" ht="15.75" customHeight="1">
      <c r="A15" s="147" t="s">
        <v>386</v>
      </c>
      <c r="B15" s="24">
        <v>5101</v>
      </c>
      <c r="C15" s="24">
        <v>12</v>
      </c>
      <c r="D15" s="24">
        <v>42</v>
      </c>
      <c r="E15" s="24">
        <v>42</v>
      </c>
      <c r="F15" s="24">
        <v>0</v>
      </c>
      <c r="G15" s="24">
        <v>0</v>
      </c>
      <c r="H15" s="24">
        <v>1</v>
      </c>
      <c r="I15" s="24">
        <v>1.2</v>
      </c>
      <c r="J15" s="24">
        <v>0</v>
      </c>
      <c r="K15" s="24">
        <v>50</v>
      </c>
      <c r="L15" s="24">
        <v>2201</v>
      </c>
      <c r="M15" s="24" t="s">
        <v>387</v>
      </c>
      <c r="N15" s="24">
        <v>0</v>
      </c>
    </row>
    <row r="16" spans="1:14" ht="15.75" customHeight="1">
      <c r="A16" s="147" t="s">
        <v>386</v>
      </c>
      <c r="B16" s="24">
        <v>5101</v>
      </c>
      <c r="C16" s="24">
        <v>13</v>
      </c>
      <c r="D16" s="24">
        <v>44</v>
      </c>
      <c r="E16" s="24">
        <v>44</v>
      </c>
      <c r="F16" s="24">
        <v>0</v>
      </c>
      <c r="G16" s="24">
        <v>0</v>
      </c>
      <c r="H16" s="24">
        <v>1</v>
      </c>
      <c r="I16" s="24">
        <v>1.2</v>
      </c>
      <c r="J16" s="24">
        <v>0</v>
      </c>
      <c r="K16" s="24">
        <v>50</v>
      </c>
      <c r="L16" s="24">
        <v>2201</v>
      </c>
      <c r="M16" s="24" t="s">
        <v>387</v>
      </c>
      <c r="N16" s="24">
        <v>0</v>
      </c>
    </row>
    <row r="17" spans="1:14" ht="15.75" customHeight="1">
      <c r="A17" s="147" t="s">
        <v>386</v>
      </c>
      <c r="B17" s="24">
        <v>5101</v>
      </c>
      <c r="C17" s="24">
        <v>14</v>
      </c>
      <c r="D17" s="24">
        <v>46</v>
      </c>
      <c r="E17" s="24">
        <v>46</v>
      </c>
      <c r="F17" s="24">
        <v>0</v>
      </c>
      <c r="G17" s="24">
        <v>0</v>
      </c>
      <c r="H17" s="24">
        <v>1</v>
      </c>
      <c r="I17" s="24">
        <v>1.2</v>
      </c>
      <c r="J17" s="24">
        <v>0</v>
      </c>
      <c r="K17" s="24">
        <v>50</v>
      </c>
      <c r="L17" s="24">
        <v>2201</v>
      </c>
      <c r="M17" s="24" t="s">
        <v>387</v>
      </c>
      <c r="N17" s="24">
        <v>0</v>
      </c>
    </row>
    <row r="18" spans="1:14" ht="15.75" customHeight="1">
      <c r="A18" s="147" t="s">
        <v>386</v>
      </c>
      <c r="B18" s="24">
        <v>5101</v>
      </c>
      <c r="C18" s="24">
        <v>15</v>
      </c>
      <c r="D18" s="24">
        <v>48</v>
      </c>
      <c r="E18" s="24">
        <v>48</v>
      </c>
      <c r="F18" s="24">
        <v>0</v>
      </c>
      <c r="G18" s="24">
        <v>0</v>
      </c>
      <c r="H18" s="24">
        <v>1</v>
      </c>
      <c r="I18" s="24">
        <v>1.2</v>
      </c>
      <c r="J18" s="24">
        <v>0</v>
      </c>
      <c r="K18" s="24">
        <v>50</v>
      </c>
      <c r="L18" s="24">
        <v>2201</v>
      </c>
      <c r="M18" s="24" t="s">
        <v>387</v>
      </c>
      <c r="N18" s="24">
        <v>0</v>
      </c>
    </row>
    <row r="19" spans="1:14" ht="15.75" customHeight="1">
      <c r="A19" s="147" t="s">
        <v>386</v>
      </c>
      <c r="B19" s="24">
        <v>5101</v>
      </c>
      <c r="C19" s="24">
        <v>16</v>
      </c>
      <c r="D19" s="24">
        <v>50</v>
      </c>
      <c r="E19" s="24">
        <v>50</v>
      </c>
      <c r="F19" s="24">
        <v>0</v>
      </c>
      <c r="G19" s="24">
        <v>0</v>
      </c>
      <c r="H19" s="24">
        <v>1</v>
      </c>
      <c r="I19" s="24">
        <v>1.2</v>
      </c>
      <c r="J19" s="24">
        <v>0</v>
      </c>
      <c r="K19" s="24">
        <v>50</v>
      </c>
      <c r="L19" s="24">
        <v>2201</v>
      </c>
      <c r="M19" s="24" t="s">
        <v>387</v>
      </c>
      <c r="N19" s="24">
        <v>0</v>
      </c>
    </row>
    <row r="20" spans="1:14" ht="15.75" customHeight="1">
      <c r="A20" s="147" t="s">
        <v>386</v>
      </c>
      <c r="B20" s="24">
        <v>5101</v>
      </c>
      <c r="C20" s="24">
        <v>17</v>
      </c>
      <c r="D20" s="24">
        <v>52</v>
      </c>
      <c r="E20" s="24">
        <v>52</v>
      </c>
      <c r="F20" s="24">
        <v>0</v>
      </c>
      <c r="G20" s="24">
        <v>0</v>
      </c>
      <c r="H20" s="24">
        <v>1</v>
      </c>
      <c r="I20" s="24">
        <v>1.2</v>
      </c>
      <c r="J20" s="24">
        <v>0</v>
      </c>
      <c r="K20" s="24">
        <v>50</v>
      </c>
      <c r="L20" s="24">
        <v>2201</v>
      </c>
      <c r="M20" s="24" t="s">
        <v>387</v>
      </c>
      <c r="N20" s="24">
        <v>0</v>
      </c>
    </row>
    <row r="21" spans="1:14" ht="15.75" customHeight="1">
      <c r="A21" s="147" t="s">
        <v>386</v>
      </c>
      <c r="B21" s="24">
        <v>5101</v>
      </c>
      <c r="C21" s="24">
        <v>18</v>
      </c>
      <c r="D21" s="24">
        <v>54</v>
      </c>
      <c r="E21" s="24">
        <v>54</v>
      </c>
      <c r="F21" s="24">
        <v>0</v>
      </c>
      <c r="G21" s="24">
        <v>0</v>
      </c>
      <c r="H21" s="24">
        <v>1</v>
      </c>
      <c r="I21" s="24">
        <v>1.2</v>
      </c>
      <c r="J21" s="24">
        <v>0</v>
      </c>
      <c r="K21" s="24">
        <v>50</v>
      </c>
      <c r="L21" s="24">
        <v>2201</v>
      </c>
      <c r="M21" s="24" t="s">
        <v>387</v>
      </c>
      <c r="N21" s="24">
        <v>0</v>
      </c>
    </row>
    <row r="22" spans="1:14" ht="15.75" customHeight="1">
      <c r="A22" s="147" t="s">
        <v>386</v>
      </c>
      <c r="B22" s="24">
        <v>5101</v>
      </c>
      <c r="C22" s="24">
        <v>19</v>
      </c>
      <c r="D22" s="24">
        <v>56</v>
      </c>
      <c r="E22" s="24">
        <v>56</v>
      </c>
      <c r="F22" s="24">
        <v>0</v>
      </c>
      <c r="G22" s="24">
        <v>0</v>
      </c>
      <c r="H22" s="24">
        <v>1</v>
      </c>
      <c r="I22" s="24">
        <v>1.2</v>
      </c>
      <c r="J22" s="24">
        <v>0</v>
      </c>
      <c r="K22" s="24">
        <v>50</v>
      </c>
      <c r="L22" s="24">
        <v>2201</v>
      </c>
      <c r="M22" s="24" t="s">
        <v>387</v>
      </c>
      <c r="N22" s="24">
        <v>0</v>
      </c>
    </row>
    <row r="23" spans="1:14" ht="15.75" customHeight="1">
      <c r="A23" s="147" t="s">
        <v>386</v>
      </c>
      <c r="B23" s="24">
        <v>5101</v>
      </c>
      <c r="C23" s="24">
        <v>20</v>
      </c>
      <c r="D23" s="24">
        <v>58</v>
      </c>
      <c r="E23" s="24">
        <v>58</v>
      </c>
      <c r="F23" s="24">
        <v>0</v>
      </c>
      <c r="G23" s="24">
        <v>0</v>
      </c>
      <c r="H23" s="24">
        <v>1</v>
      </c>
      <c r="I23" s="24">
        <v>1.2</v>
      </c>
      <c r="J23" s="24">
        <v>0</v>
      </c>
      <c r="K23" s="24">
        <v>50</v>
      </c>
      <c r="L23" s="24">
        <v>2201</v>
      </c>
      <c r="M23" s="24" t="s">
        <v>387</v>
      </c>
      <c r="N23" s="24">
        <v>0</v>
      </c>
    </row>
    <row r="24" spans="1:14" ht="15.75" customHeight="1">
      <c r="A24" s="147" t="s">
        <v>386</v>
      </c>
      <c r="B24" s="24">
        <v>5101</v>
      </c>
      <c r="C24" s="24">
        <v>21</v>
      </c>
      <c r="D24" s="24">
        <v>60</v>
      </c>
      <c r="E24" s="24">
        <v>60</v>
      </c>
      <c r="F24" s="24">
        <v>0</v>
      </c>
      <c r="G24" s="24">
        <v>0</v>
      </c>
      <c r="H24" s="24">
        <v>1</v>
      </c>
      <c r="I24" s="24">
        <v>1.2</v>
      </c>
      <c r="J24" s="24">
        <v>0</v>
      </c>
      <c r="K24" s="24">
        <v>50</v>
      </c>
      <c r="L24" s="24">
        <v>2201</v>
      </c>
      <c r="M24" s="24" t="s">
        <v>387</v>
      </c>
      <c r="N24" s="24">
        <v>0</v>
      </c>
    </row>
    <row r="25" spans="1:14" ht="15.75" customHeight="1">
      <c r="A25" s="147" t="s">
        <v>386</v>
      </c>
      <c r="B25" s="24">
        <v>5101</v>
      </c>
      <c r="C25" s="24">
        <v>22</v>
      </c>
      <c r="D25" s="24">
        <v>62</v>
      </c>
      <c r="E25" s="24">
        <v>62</v>
      </c>
      <c r="F25" s="24">
        <v>0</v>
      </c>
      <c r="G25" s="24">
        <v>0</v>
      </c>
      <c r="H25" s="24">
        <v>1</v>
      </c>
      <c r="I25" s="24">
        <v>1.2</v>
      </c>
      <c r="J25" s="24">
        <v>0</v>
      </c>
      <c r="K25" s="24">
        <v>50</v>
      </c>
      <c r="L25" s="24">
        <v>2201</v>
      </c>
      <c r="M25" s="24" t="s">
        <v>387</v>
      </c>
      <c r="N25" s="24">
        <v>0</v>
      </c>
    </row>
    <row r="26" spans="1:14" ht="15.75" customHeight="1">
      <c r="A26" s="147" t="s">
        <v>386</v>
      </c>
      <c r="B26" s="24">
        <v>5101</v>
      </c>
      <c r="C26" s="24">
        <v>23</v>
      </c>
      <c r="D26" s="24">
        <v>64</v>
      </c>
      <c r="E26" s="24">
        <v>64</v>
      </c>
      <c r="F26" s="24">
        <v>0</v>
      </c>
      <c r="G26" s="24">
        <v>0</v>
      </c>
      <c r="H26" s="24">
        <v>1</v>
      </c>
      <c r="I26" s="24">
        <v>1.2</v>
      </c>
      <c r="J26" s="24">
        <v>0</v>
      </c>
      <c r="K26" s="24">
        <v>50</v>
      </c>
      <c r="L26" s="24">
        <v>2201</v>
      </c>
      <c r="M26" s="24" t="s">
        <v>387</v>
      </c>
      <c r="N26" s="24">
        <v>0</v>
      </c>
    </row>
    <row r="27" spans="1:14" ht="15.75" customHeight="1">
      <c r="A27" s="147" t="s">
        <v>386</v>
      </c>
      <c r="B27" s="24">
        <v>5101</v>
      </c>
      <c r="C27" s="24">
        <v>24</v>
      </c>
      <c r="D27" s="24">
        <v>66</v>
      </c>
      <c r="E27" s="24">
        <v>66</v>
      </c>
      <c r="F27" s="24">
        <v>0</v>
      </c>
      <c r="G27" s="24">
        <v>0</v>
      </c>
      <c r="H27" s="24">
        <v>1</v>
      </c>
      <c r="I27" s="24">
        <v>1.2</v>
      </c>
      <c r="J27" s="24">
        <v>0</v>
      </c>
      <c r="K27" s="24">
        <v>50</v>
      </c>
      <c r="L27" s="24">
        <v>2201</v>
      </c>
      <c r="M27" s="24" t="s">
        <v>387</v>
      </c>
      <c r="N27" s="24">
        <v>0</v>
      </c>
    </row>
    <row r="28" spans="1:14" ht="15.75" customHeight="1">
      <c r="A28" s="147" t="s">
        <v>386</v>
      </c>
      <c r="B28" s="24">
        <v>5101</v>
      </c>
      <c r="C28" s="24">
        <v>25</v>
      </c>
      <c r="D28" s="24">
        <v>70</v>
      </c>
      <c r="E28" s="24">
        <v>70</v>
      </c>
      <c r="F28" s="24">
        <v>0</v>
      </c>
      <c r="G28" s="24">
        <v>0</v>
      </c>
      <c r="H28" s="24">
        <v>1</v>
      </c>
      <c r="I28" s="24">
        <v>1.2</v>
      </c>
      <c r="J28" s="24">
        <v>0</v>
      </c>
      <c r="K28" s="24">
        <v>50</v>
      </c>
      <c r="L28" s="24">
        <v>2201</v>
      </c>
      <c r="M28" s="24" t="s">
        <v>387</v>
      </c>
      <c r="N28" s="24">
        <v>0</v>
      </c>
    </row>
    <row r="29" spans="1:14" ht="15.75" customHeight="1">
      <c r="A29" s="147" t="s">
        <v>388</v>
      </c>
      <c r="B29" s="24">
        <v>5103</v>
      </c>
      <c r="C29" s="24">
        <v>1</v>
      </c>
      <c r="D29" s="24">
        <v>24</v>
      </c>
      <c r="E29" s="24">
        <v>0</v>
      </c>
      <c r="F29" s="24">
        <v>0</v>
      </c>
      <c r="G29" s="24">
        <v>2.4</v>
      </c>
      <c r="H29" s="24">
        <v>10</v>
      </c>
      <c r="I29" s="24">
        <v>0.3</v>
      </c>
      <c r="J29" s="24">
        <v>0</v>
      </c>
      <c r="K29" s="24">
        <v>45</v>
      </c>
      <c r="L29" s="27">
        <v>2203</v>
      </c>
      <c r="M29" s="24" t="s">
        <v>387</v>
      </c>
      <c r="N29" s="24">
        <v>1</v>
      </c>
    </row>
    <row r="30" spans="1:14" ht="15.75" customHeight="1">
      <c r="A30" s="147" t="s">
        <v>388</v>
      </c>
      <c r="B30" s="24">
        <v>5103</v>
      </c>
      <c r="C30" s="24">
        <v>2</v>
      </c>
      <c r="D30" s="24">
        <v>26</v>
      </c>
      <c r="E30" s="24">
        <v>0</v>
      </c>
      <c r="F30" s="24">
        <v>0</v>
      </c>
      <c r="G30" s="24">
        <v>2.6</v>
      </c>
      <c r="H30" s="24">
        <v>10</v>
      </c>
      <c r="I30" s="24">
        <v>0.3</v>
      </c>
      <c r="J30" s="24">
        <v>0</v>
      </c>
      <c r="K30" s="24">
        <v>45</v>
      </c>
      <c r="L30" s="27">
        <v>2203</v>
      </c>
      <c r="M30" s="24" t="s">
        <v>387</v>
      </c>
      <c r="N30" s="24">
        <v>1</v>
      </c>
    </row>
    <row r="31" spans="1:14" ht="15.75" customHeight="1">
      <c r="A31" s="147" t="s">
        <v>388</v>
      </c>
      <c r="B31" s="24">
        <v>5103</v>
      </c>
      <c r="C31" s="24">
        <v>3</v>
      </c>
      <c r="D31" s="24">
        <v>28</v>
      </c>
      <c r="E31" s="24">
        <v>0</v>
      </c>
      <c r="F31" s="24">
        <v>0</v>
      </c>
      <c r="G31" s="24">
        <v>2.8</v>
      </c>
      <c r="H31" s="24">
        <v>10</v>
      </c>
      <c r="I31" s="24">
        <v>0.3</v>
      </c>
      <c r="J31" s="24">
        <v>0</v>
      </c>
      <c r="K31" s="24">
        <v>45</v>
      </c>
      <c r="L31" s="27">
        <v>2203</v>
      </c>
      <c r="M31" s="24" t="s">
        <v>387</v>
      </c>
      <c r="N31" s="24">
        <v>1</v>
      </c>
    </row>
    <row r="32" spans="1:14" ht="15.75" customHeight="1">
      <c r="A32" s="147" t="s">
        <v>388</v>
      </c>
      <c r="B32" s="24">
        <v>5103</v>
      </c>
      <c r="C32" s="24">
        <v>4</v>
      </c>
      <c r="D32" s="24">
        <v>30</v>
      </c>
      <c r="E32" s="24">
        <v>0</v>
      </c>
      <c r="F32" s="24">
        <v>0</v>
      </c>
      <c r="G32" s="24">
        <v>3</v>
      </c>
      <c r="H32" s="24">
        <v>10</v>
      </c>
      <c r="I32" s="24">
        <v>0.3</v>
      </c>
      <c r="J32" s="24">
        <v>0</v>
      </c>
      <c r="K32" s="24">
        <v>45</v>
      </c>
      <c r="L32" s="27">
        <v>2203</v>
      </c>
      <c r="M32" s="24" t="s">
        <v>387</v>
      </c>
      <c r="N32" s="24">
        <v>1</v>
      </c>
    </row>
    <row r="33" spans="1:14" ht="15.75" customHeight="1">
      <c r="A33" s="147" t="s">
        <v>388</v>
      </c>
      <c r="B33" s="24">
        <v>5103</v>
      </c>
      <c r="C33" s="24">
        <v>5</v>
      </c>
      <c r="D33" s="24">
        <v>32</v>
      </c>
      <c r="E33" s="24">
        <v>0</v>
      </c>
      <c r="F33" s="24">
        <v>0</v>
      </c>
      <c r="G33" s="24">
        <v>3.2</v>
      </c>
      <c r="H33" s="24">
        <v>10</v>
      </c>
      <c r="I33" s="24">
        <v>0.3</v>
      </c>
      <c r="J33" s="24">
        <v>0</v>
      </c>
      <c r="K33" s="24">
        <v>45</v>
      </c>
      <c r="L33" s="27">
        <v>2203</v>
      </c>
      <c r="M33" s="24" t="s">
        <v>387</v>
      </c>
      <c r="N33" s="24">
        <v>1</v>
      </c>
    </row>
    <row r="34" spans="1:14" ht="15.75" customHeight="1">
      <c r="A34" s="147" t="s">
        <v>388</v>
      </c>
      <c r="B34" s="24">
        <v>5103</v>
      </c>
      <c r="C34" s="24">
        <v>6</v>
      </c>
      <c r="D34" s="24">
        <v>36</v>
      </c>
      <c r="E34" s="24">
        <v>0</v>
      </c>
      <c r="F34" s="24">
        <v>0</v>
      </c>
      <c r="G34" s="24">
        <v>3.6</v>
      </c>
      <c r="H34" s="24">
        <v>10</v>
      </c>
      <c r="I34" s="24">
        <v>0.3</v>
      </c>
      <c r="J34" s="24">
        <v>0</v>
      </c>
      <c r="K34" s="24">
        <v>45</v>
      </c>
      <c r="L34" s="27">
        <v>2203</v>
      </c>
      <c r="M34" s="24" t="s">
        <v>387</v>
      </c>
      <c r="N34" s="24">
        <v>1</v>
      </c>
    </row>
    <row r="35" spans="1:14" ht="15.75" customHeight="1">
      <c r="A35" s="147" t="s">
        <v>388</v>
      </c>
      <c r="B35" s="24">
        <v>5103</v>
      </c>
      <c r="C35" s="24">
        <v>7</v>
      </c>
      <c r="D35" s="24">
        <v>38</v>
      </c>
      <c r="E35" s="24">
        <v>0</v>
      </c>
      <c r="F35" s="24">
        <v>0</v>
      </c>
      <c r="G35" s="24">
        <v>3.8</v>
      </c>
      <c r="H35" s="24">
        <v>10</v>
      </c>
      <c r="I35" s="24">
        <v>0.3</v>
      </c>
      <c r="J35" s="24">
        <v>0</v>
      </c>
      <c r="K35" s="24">
        <v>45</v>
      </c>
      <c r="L35" s="27">
        <v>2203</v>
      </c>
      <c r="M35" s="24" t="s">
        <v>387</v>
      </c>
      <c r="N35" s="24">
        <v>1</v>
      </c>
    </row>
    <row r="36" spans="1:14" ht="15.75" customHeight="1">
      <c r="A36" s="147" t="s">
        <v>388</v>
      </c>
      <c r="B36" s="24">
        <v>5103</v>
      </c>
      <c r="C36" s="24">
        <v>8</v>
      </c>
      <c r="D36" s="24">
        <v>40</v>
      </c>
      <c r="E36" s="24">
        <v>0</v>
      </c>
      <c r="F36" s="24">
        <v>0</v>
      </c>
      <c r="G36" s="24">
        <v>4</v>
      </c>
      <c r="H36" s="24">
        <v>10</v>
      </c>
      <c r="I36" s="24">
        <v>0.3</v>
      </c>
      <c r="J36" s="24">
        <v>0</v>
      </c>
      <c r="K36" s="24">
        <v>45</v>
      </c>
      <c r="L36" s="27">
        <v>2203</v>
      </c>
      <c r="M36" s="24" t="s">
        <v>387</v>
      </c>
      <c r="N36" s="24">
        <v>1</v>
      </c>
    </row>
    <row r="37" spans="1:14" ht="15.75" customHeight="1">
      <c r="A37" s="147" t="s">
        <v>388</v>
      </c>
      <c r="B37" s="24">
        <v>5103</v>
      </c>
      <c r="C37" s="24">
        <v>9</v>
      </c>
      <c r="D37" s="24">
        <v>42</v>
      </c>
      <c r="E37" s="24">
        <v>0</v>
      </c>
      <c r="F37" s="24">
        <v>0</v>
      </c>
      <c r="G37" s="24">
        <v>4.2</v>
      </c>
      <c r="H37" s="24">
        <v>10</v>
      </c>
      <c r="I37" s="24">
        <v>0.3</v>
      </c>
      <c r="J37" s="24">
        <v>0</v>
      </c>
      <c r="K37" s="24">
        <v>45</v>
      </c>
      <c r="L37" s="27">
        <v>2203</v>
      </c>
      <c r="M37" s="24" t="s">
        <v>387</v>
      </c>
      <c r="N37" s="24">
        <v>1</v>
      </c>
    </row>
    <row r="38" spans="1:14" ht="15.75" customHeight="1">
      <c r="A38" s="147" t="s">
        <v>388</v>
      </c>
      <c r="B38" s="24">
        <v>5103</v>
      </c>
      <c r="C38" s="24">
        <v>10</v>
      </c>
      <c r="D38" s="24">
        <v>44</v>
      </c>
      <c r="E38" s="24">
        <v>0</v>
      </c>
      <c r="F38" s="24">
        <v>0</v>
      </c>
      <c r="G38" s="24">
        <v>4.4000000000000004</v>
      </c>
      <c r="H38" s="24">
        <v>10</v>
      </c>
      <c r="I38" s="24">
        <v>0.3</v>
      </c>
      <c r="J38" s="24">
        <v>0</v>
      </c>
      <c r="K38" s="24">
        <v>45</v>
      </c>
      <c r="L38" s="27">
        <v>2203</v>
      </c>
      <c r="M38" s="24" t="s">
        <v>387</v>
      </c>
      <c r="N38" s="24">
        <v>1</v>
      </c>
    </row>
    <row r="39" spans="1:14" ht="15.75" customHeight="1">
      <c r="A39" s="147" t="s">
        <v>388</v>
      </c>
      <c r="B39" s="24">
        <v>5103</v>
      </c>
      <c r="C39" s="24">
        <v>11</v>
      </c>
      <c r="D39" s="24">
        <v>48</v>
      </c>
      <c r="E39" s="24">
        <v>0</v>
      </c>
      <c r="F39" s="24">
        <v>0</v>
      </c>
      <c r="G39" s="24">
        <v>4.8</v>
      </c>
      <c r="H39" s="24">
        <v>10</v>
      </c>
      <c r="I39" s="24">
        <v>0.3</v>
      </c>
      <c r="J39" s="24">
        <v>0</v>
      </c>
      <c r="K39" s="24">
        <v>45</v>
      </c>
      <c r="L39" s="27">
        <v>2203</v>
      </c>
      <c r="M39" s="24" t="s">
        <v>387</v>
      </c>
      <c r="N39" s="24">
        <v>1</v>
      </c>
    </row>
    <row r="40" spans="1:14" ht="15.75" customHeight="1">
      <c r="A40" s="147" t="s">
        <v>388</v>
      </c>
      <c r="B40" s="24">
        <v>5103</v>
      </c>
      <c r="C40" s="24">
        <v>12</v>
      </c>
      <c r="D40" s="24">
        <v>50</v>
      </c>
      <c r="E40" s="24">
        <v>0</v>
      </c>
      <c r="F40" s="24">
        <v>0</v>
      </c>
      <c r="G40" s="24">
        <v>5</v>
      </c>
      <c r="H40" s="24">
        <v>10</v>
      </c>
      <c r="I40" s="24">
        <v>0.3</v>
      </c>
      <c r="J40" s="24">
        <v>0</v>
      </c>
      <c r="K40" s="24">
        <v>45</v>
      </c>
      <c r="L40" s="27">
        <v>2203</v>
      </c>
      <c r="M40" s="24" t="s">
        <v>387</v>
      </c>
      <c r="N40" s="24">
        <v>1</v>
      </c>
    </row>
    <row r="41" spans="1:14" ht="15.75" customHeight="1">
      <c r="A41" s="147" t="s">
        <v>388</v>
      </c>
      <c r="B41" s="24">
        <v>5103</v>
      </c>
      <c r="C41" s="24">
        <v>13</v>
      </c>
      <c r="D41" s="24">
        <v>52</v>
      </c>
      <c r="E41" s="24">
        <v>0</v>
      </c>
      <c r="F41" s="24">
        <v>0</v>
      </c>
      <c r="G41" s="24">
        <v>5.2</v>
      </c>
      <c r="H41" s="24">
        <v>10</v>
      </c>
      <c r="I41" s="24">
        <v>0.3</v>
      </c>
      <c r="J41" s="24">
        <v>0</v>
      </c>
      <c r="K41" s="24">
        <v>45</v>
      </c>
      <c r="L41" s="27">
        <v>2203</v>
      </c>
      <c r="M41" s="24" t="s">
        <v>387</v>
      </c>
      <c r="N41" s="24">
        <v>1</v>
      </c>
    </row>
    <row r="42" spans="1:14" ht="15.75" customHeight="1">
      <c r="A42" s="147" t="s">
        <v>388</v>
      </c>
      <c r="B42" s="24">
        <v>5103</v>
      </c>
      <c r="C42" s="24">
        <v>14</v>
      </c>
      <c r="D42" s="24">
        <v>54</v>
      </c>
      <c r="E42" s="24">
        <v>0</v>
      </c>
      <c r="F42" s="24">
        <v>0</v>
      </c>
      <c r="G42" s="24">
        <v>5.4</v>
      </c>
      <c r="H42" s="24">
        <v>10</v>
      </c>
      <c r="I42" s="24">
        <v>0.3</v>
      </c>
      <c r="J42" s="24">
        <v>0</v>
      </c>
      <c r="K42" s="24">
        <v>45</v>
      </c>
      <c r="L42" s="27">
        <v>2203</v>
      </c>
      <c r="M42" s="24" t="s">
        <v>387</v>
      </c>
      <c r="N42" s="24">
        <v>1</v>
      </c>
    </row>
    <row r="43" spans="1:14" ht="15.75" customHeight="1">
      <c r="A43" s="147" t="s">
        <v>388</v>
      </c>
      <c r="B43" s="24">
        <v>5103</v>
      </c>
      <c r="C43" s="24">
        <v>15</v>
      </c>
      <c r="D43" s="24">
        <v>56</v>
      </c>
      <c r="E43" s="24">
        <v>0</v>
      </c>
      <c r="F43" s="24">
        <v>0</v>
      </c>
      <c r="G43" s="24">
        <v>5.6</v>
      </c>
      <c r="H43" s="24">
        <v>10</v>
      </c>
      <c r="I43" s="24">
        <v>0.3</v>
      </c>
      <c r="J43" s="24">
        <v>0</v>
      </c>
      <c r="K43" s="24">
        <v>45</v>
      </c>
      <c r="L43" s="27">
        <v>2203</v>
      </c>
      <c r="M43" s="24" t="s">
        <v>387</v>
      </c>
      <c r="N43" s="24">
        <v>1</v>
      </c>
    </row>
    <row r="44" spans="1:14" ht="15.75" customHeight="1">
      <c r="A44" s="147" t="s">
        <v>388</v>
      </c>
      <c r="B44" s="24">
        <v>5103</v>
      </c>
      <c r="C44" s="24">
        <v>16</v>
      </c>
      <c r="D44" s="24">
        <v>60</v>
      </c>
      <c r="E44" s="24">
        <v>0</v>
      </c>
      <c r="F44" s="24">
        <v>0</v>
      </c>
      <c r="G44" s="24">
        <v>6</v>
      </c>
      <c r="H44" s="24">
        <v>10</v>
      </c>
      <c r="I44" s="24">
        <v>0.3</v>
      </c>
      <c r="J44" s="24">
        <v>0</v>
      </c>
      <c r="K44" s="24">
        <v>45</v>
      </c>
      <c r="L44" s="27">
        <v>2203</v>
      </c>
      <c r="M44" s="24" t="s">
        <v>387</v>
      </c>
      <c r="N44" s="24">
        <v>1</v>
      </c>
    </row>
    <row r="45" spans="1:14" ht="15.75" customHeight="1">
      <c r="A45" s="147" t="s">
        <v>388</v>
      </c>
      <c r="B45" s="24">
        <v>5103</v>
      </c>
      <c r="C45" s="24">
        <v>17</v>
      </c>
      <c r="D45" s="24">
        <v>62</v>
      </c>
      <c r="E45" s="24">
        <v>0</v>
      </c>
      <c r="F45" s="24">
        <v>0</v>
      </c>
      <c r="G45" s="24">
        <v>6.2</v>
      </c>
      <c r="H45" s="24">
        <v>10</v>
      </c>
      <c r="I45" s="24">
        <v>0.3</v>
      </c>
      <c r="J45" s="24">
        <v>0</v>
      </c>
      <c r="K45" s="24">
        <v>45</v>
      </c>
      <c r="L45" s="27">
        <v>2203</v>
      </c>
      <c r="M45" s="24" t="s">
        <v>387</v>
      </c>
      <c r="N45" s="24">
        <v>1</v>
      </c>
    </row>
    <row r="46" spans="1:14" ht="15.75" customHeight="1">
      <c r="A46" s="147" t="s">
        <v>388</v>
      </c>
      <c r="B46" s="24">
        <v>5103</v>
      </c>
      <c r="C46" s="24">
        <v>18</v>
      </c>
      <c r="D46" s="24">
        <v>64</v>
      </c>
      <c r="E46" s="24">
        <v>0</v>
      </c>
      <c r="F46" s="24">
        <v>0</v>
      </c>
      <c r="G46" s="24">
        <v>6.4</v>
      </c>
      <c r="H46" s="24">
        <v>10</v>
      </c>
      <c r="I46" s="24">
        <v>0.3</v>
      </c>
      <c r="J46" s="24">
        <v>0</v>
      </c>
      <c r="K46" s="24">
        <v>45</v>
      </c>
      <c r="L46" s="27">
        <v>2203</v>
      </c>
      <c r="M46" s="24" t="s">
        <v>387</v>
      </c>
      <c r="N46" s="24">
        <v>1</v>
      </c>
    </row>
    <row r="47" spans="1:14" ht="15.75" customHeight="1">
      <c r="A47" s="147" t="s">
        <v>388</v>
      </c>
      <c r="B47" s="24">
        <v>5103</v>
      </c>
      <c r="C47" s="24">
        <v>19</v>
      </c>
      <c r="D47" s="24">
        <v>66</v>
      </c>
      <c r="E47" s="24">
        <v>0</v>
      </c>
      <c r="F47" s="24">
        <v>0</v>
      </c>
      <c r="G47" s="24">
        <v>6.6</v>
      </c>
      <c r="H47" s="24">
        <v>10</v>
      </c>
      <c r="I47" s="24">
        <v>0.3</v>
      </c>
      <c r="J47" s="24">
        <v>0</v>
      </c>
      <c r="K47" s="24">
        <v>45</v>
      </c>
      <c r="L47" s="27">
        <v>2203</v>
      </c>
      <c r="M47" s="24" t="s">
        <v>387</v>
      </c>
      <c r="N47" s="24">
        <v>1</v>
      </c>
    </row>
    <row r="48" spans="1:14" ht="15.75" customHeight="1">
      <c r="A48" s="147" t="s">
        <v>388</v>
      </c>
      <c r="B48" s="24">
        <v>5103</v>
      </c>
      <c r="C48" s="24">
        <v>20</v>
      </c>
      <c r="D48" s="24">
        <v>70</v>
      </c>
      <c r="E48" s="24">
        <v>0</v>
      </c>
      <c r="F48" s="24">
        <v>0</v>
      </c>
      <c r="G48" s="24">
        <v>7</v>
      </c>
      <c r="H48" s="24">
        <v>10</v>
      </c>
      <c r="I48" s="24">
        <v>0.3</v>
      </c>
      <c r="J48" s="24">
        <v>0</v>
      </c>
      <c r="K48" s="24">
        <v>45</v>
      </c>
      <c r="L48" s="27">
        <v>2203</v>
      </c>
      <c r="M48" s="24" t="s">
        <v>387</v>
      </c>
      <c r="N48" s="24">
        <v>1</v>
      </c>
    </row>
    <row r="49" spans="1:14" ht="15.75" customHeight="1">
      <c r="A49" s="147" t="s">
        <v>388</v>
      </c>
      <c r="B49" s="24">
        <v>5103</v>
      </c>
      <c r="C49" s="24">
        <v>21</v>
      </c>
      <c r="D49" s="24">
        <v>74</v>
      </c>
      <c r="E49" s="24">
        <v>0</v>
      </c>
      <c r="F49" s="24">
        <v>0</v>
      </c>
      <c r="G49" s="24">
        <v>7.4</v>
      </c>
      <c r="H49" s="24">
        <v>10</v>
      </c>
      <c r="I49" s="24">
        <v>0.3</v>
      </c>
      <c r="J49" s="24">
        <v>0</v>
      </c>
      <c r="K49" s="24">
        <v>45</v>
      </c>
      <c r="L49" s="27">
        <v>2203</v>
      </c>
      <c r="M49" s="24" t="s">
        <v>387</v>
      </c>
      <c r="N49" s="24">
        <v>1</v>
      </c>
    </row>
    <row r="50" spans="1:14" ht="15.75" customHeight="1">
      <c r="A50" s="147" t="s">
        <v>388</v>
      </c>
      <c r="B50" s="24">
        <v>5103</v>
      </c>
      <c r="C50" s="24">
        <v>22</v>
      </c>
      <c r="D50" s="24">
        <v>78</v>
      </c>
      <c r="E50" s="24">
        <v>0</v>
      </c>
      <c r="F50" s="24">
        <v>0</v>
      </c>
      <c r="G50" s="24">
        <v>7.8</v>
      </c>
      <c r="H50" s="24">
        <v>10</v>
      </c>
      <c r="I50" s="24">
        <v>0.3</v>
      </c>
      <c r="J50" s="24">
        <v>0</v>
      </c>
      <c r="K50" s="24">
        <v>45</v>
      </c>
      <c r="L50" s="27">
        <v>2203</v>
      </c>
      <c r="M50" s="24" t="s">
        <v>387</v>
      </c>
      <c r="N50" s="24">
        <v>1</v>
      </c>
    </row>
    <row r="51" spans="1:14" ht="15.75" customHeight="1">
      <c r="A51" s="147" t="s">
        <v>388</v>
      </c>
      <c r="B51" s="24">
        <v>5103</v>
      </c>
      <c r="C51" s="24">
        <v>23</v>
      </c>
      <c r="D51" s="24">
        <v>82</v>
      </c>
      <c r="E51" s="24">
        <v>0</v>
      </c>
      <c r="F51" s="24">
        <v>0</v>
      </c>
      <c r="G51" s="24">
        <v>8.1999999999999993</v>
      </c>
      <c r="H51" s="24">
        <v>10</v>
      </c>
      <c r="I51" s="24">
        <v>0.3</v>
      </c>
      <c r="J51" s="24">
        <v>0</v>
      </c>
      <c r="K51" s="24">
        <v>45</v>
      </c>
      <c r="L51" s="27">
        <v>2203</v>
      </c>
      <c r="M51" s="24" t="s">
        <v>387</v>
      </c>
      <c r="N51" s="24">
        <v>1</v>
      </c>
    </row>
    <row r="52" spans="1:14" ht="15.75" customHeight="1">
      <c r="A52" s="147" t="s">
        <v>388</v>
      </c>
      <c r="B52" s="24">
        <v>5103</v>
      </c>
      <c r="C52" s="24">
        <v>24</v>
      </c>
      <c r="D52" s="24">
        <v>86</v>
      </c>
      <c r="E52" s="24">
        <v>0</v>
      </c>
      <c r="F52" s="24">
        <v>0</v>
      </c>
      <c r="G52" s="24">
        <v>8.6</v>
      </c>
      <c r="H52" s="24">
        <v>10</v>
      </c>
      <c r="I52" s="24">
        <v>0.3</v>
      </c>
      <c r="J52" s="24">
        <v>0</v>
      </c>
      <c r="K52" s="24">
        <v>45</v>
      </c>
      <c r="L52" s="27">
        <v>2203</v>
      </c>
      <c r="M52" s="24" t="s">
        <v>387</v>
      </c>
      <c r="N52" s="24">
        <v>1</v>
      </c>
    </row>
    <row r="53" spans="1:14" ht="15.75" customHeight="1">
      <c r="A53" s="147" t="s">
        <v>388</v>
      </c>
      <c r="B53" s="24">
        <v>5103</v>
      </c>
      <c r="C53" s="24">
        <v>25</v>
      </c>
      <c r="D53" s="24">
        <v>90</v>
      </c>
      <c r="E53" s="24">
        <v>0</v>
      </c>
      <c r="F53" s="24">
        <v>0</v>
      </c>
      <c r="G53" s="24">
        <v>9</v>
      </c>
      <c r="H53" s="24">
        <v>10</v>
      </c>
      <c r="I53" s="24">
        <v>0.3</v>
      </c>
      <c r="J53" s="24">
        <v>0</v>
      </c>
      <c r="K53" s="24">
        <v>45</v>
      </c>
      <c r="L53" s="27">
        <v>2203</v>
      </c>
      <c r="M53" s="24" t="s">
        <v>387</v>
      </c>
      <c r="N53" s="24">
        <v>1</v>
      </c>
    </row>
    <row r="54" spans="1:14" ht="15.75" customHeight="1">
      <c r="A54" s="147" t="s">
        <v>389</v>
      </c>
      <c r="B54" s="24">
        <v>5105</v>
      </c>
      <c r="C54" s="24">
        <v>1</v>
      </c>
      <c r="D54" s="24">
        <v>20</v>
      </c>
      <c r="E54" s="24">
        <v>2</v>
      </c>
      <c r="F54" s="24">
        <v>0</v>
      </c>
      <c r="G54" s="24">
        <v>0</v>
      </c>
      <c r="H54" s="24">
        <v>10</v>
      </c>
      <c r="I54" s="24">
        <v>0.33</v>
      </c>
      <c r="J54" s="24">
        <v>0</v>
      </c>
      <c r="K54" s="24">
        <v>45</v>
      </c>
      <c r="L54" s="27">
        <v>2205</v>
      </c>
      <c r="M54" s="24" t="s">
        <v>387</v>
      </c>
      <c r="N54" s="24">
        <v>1</v>
      </c>
    </row>
    <row r="55" spans="1:14" ht="15.75" customHeight="1">
      <c r="A55" s="147" t="s">
        <v>389</v>
      </c>
      <c r="B55" s="24">
        <v>5105</v>
      </c>
      <c r="C55" s="24">
        <v>2</v>
      </c>
      <c r="D55" s="24">
        <v>22</v>
      </c>
      <c r="E55" s="24">
        <v>2</v>
      </c>
      <c r="F55" s="24">
        <v>0</v>
      </c>
      <c r="G55" s="24">
        <v>0</v>
      </c>
      <c r="H55" s="24">
        <v>11</v>
      </c>
      <c r="I55" s="24">
        <v>0.33</v>
      </c>
      <c r="J55" s="24">
        <v>0</v>
      </c>
      <c r="K55" s="24">
        <v>45</v>
      </c>
      <c r="L55" s="27">
        <v>2205</v>
      </c>
      <c r="M55" s="24" t="s">
        <v>387</v>
      </c>
      <c r="N55" s="24">
        <v>1</v>
      </c>
    </row>
    <row r="56" spans="1:14" ht="15.75" customHeight="1">
      <c r="A56" s="147" t="s">
        <v>389</v>
      </c>
      <c r="B56" s="24">
        <v>5105</v>
      </c>
      <c r="C56" s="24">
        <v>3</v>
      </c>
      <c r="D56" s="24">
        <v>24</v>
      </c>
      <c r="E56" s="24">
        <v>2</v>
      </c>
      <c r="F56" s="24">
        <v>0</v>
      </c>
      <c r="G56" s="24">
        <v>0</v>
      </c>
      <c r="H56" s="24">
        <v>12</v>
      </c>
      <c r="I56" s="24">
        <v>0.33</v>
      </c>
      <c r="J56" s="24">
        <v>0</v>
      </c>
      <c r="K56" s="24">
        <v>45</v>
      </c>
      <c r="L56" s="27">
        <v>2205</v>
      </c>
      <c r="M56" s="24" t="s">
        <v>387</v>
      </c>
      <c r="N56" s="24">
        <v>1</v>
      </c>
    </row>
    <row r="57" spans="1:14" ht="15.75" customHeight="1">
      <c r="A57" s="147" t="s">
        <v>389</v>
      </c>
      <c r="B57" s="24">
        <v>5105</v>
      </c>
      <c r="C57" s="24">
        <v>4</v>
      </c>
      <c r="D57" s="24">
        <v>26</v>
      </c>
      <c r="E57" s="24">
        <v>2</v>
      </c>
      <c r="F57" s="24">
        <v>0</v>
      </c>
      <c r="G57" s="24">
        <v>0</v>
      </c>
      <c r="H57" s="24">
        <v>13</v>
      </c>
      <c r="I57" s="24">
        <v>0.33</v>
      </c>
      <c r="J57" s="24">
        <v>0</v>
      </c>
      <c r="K57" s="24">
        <v>45</v>
      </c>
      <c r="L57" s="27">
        <v>2205</v>
      </c>
      <c r="M57" s="24" t="s">
        <v>387</v>
      </c>
      <c r="N57" s="24">
        <v>1</v>
      </c>
    </row>
    <row r="58" spans="1:14" ht="15.75" customHeight="1">
      <c r="A58" s="147" t="s">
        <v>389</v>
      </c>
      <c r="B58" s="24">
        <v>5105</v>
      </c>
      <c r="C58" s="24">
        <v>5</v>
      </c>
      <c r="D58" s="24">
        <v>28</v>
      </c>
      <c r="E58" s="24">
        <v>2</v>
      </c>
      <c r="F58" s="24">
        <v>0</v>
      </c>
      <c r="G58" s="24">
        <v>0</v>
      </c>
      <c r="H58" s="24">
        <v>14</v>
      </c>
      <c r="I58" s="24">
        <v>0.33</v>
      </c>
      <c r="J58" s="24">
        <v>0</v>
      </c>
      <c r="K58" s="24">
        <v>45</v>
      </c>
      <c r="L58" s="27">
        <v>2205</v>
      </c>
      <c r="M58" s="24" t="s">
        <v>387</v>
      </c>
      <c r="N58" s="24">
        <v>1</v>
      </c>
    </row>
    <row r="59" spans="1:14" ht="15.75" customHeight="1">
      <c r="A59" s="147" t="s">
        <v>389</v>
      </c>
      <c r="B59" s="24">
        <v>5105</v>
      </c>
      <c r="C59" s="24">
        <v>6</v>
      </c>
      <c r="D59" s="24">
        <v>30</v>
      </c>
      <c r="E59" s="24">
        <v>2</v>
      </c>
      <c r="F59" s="24">
        <v>0</v>
      </c>
      <c r="G59" s="24">
        <v>0</v>
      </c>
      <c r="H59" s="24">
        <v>15</v>
      </c>
      <c r="I59" s="24">
        <v>0.31</v>
      </c>
      <c r="J59" s="24">
        <v>0</v>
      </c>
      <c r="K59" s="24">
        <v>45</v>
      </c>
      <c r="L59" s="27">
        <v>2205</v>
      </c>
      <c r="M59" s="24" t="s">
        <v>387</v>
      </c>
      <c r="N59" s="24">
        <v>1</v>
      </c>
    </row>
    <row r="60" spans="1:14" ht="15.75" customHeight="1">
      <c r="A60" s="147" t="s">
        <v>389</v>
      </c>
      <c r="B60" s="24">
        <v>5105</v>
      </c>
      <c r="C60" s="24">
        <v>7</v>
      </c>
      <c r="D60" s="24">
        <v>32</v>
      </c>
      <c r="E60" s="24">
        <v>2</v>
      </c>
      <c r="F60" s="24">
        <v>0</v>
      </c>
      <c r="G60" s="24">
        <v>0</v>
      </c>
      <c r="H60" s="24">
        <v>16</v>
      </c>
      <c r="I60" s="24">
        <v>0.31</v>
      </c>
      <c r="J60" s="24">
        <v>0</v>
      </c>
      <c r="K60" s="24">
        <v>45</v>
      </c>
      <c r="L60" s="27">
        <v>2205</v>
      </c>
      <c r="M60" s="24" t="s">
        <v>387</v>
      </c>
      <c r="N60" s="24">
        <v>1</v>
      </c>
    </row>
    <row r="61" spans="1:14" ht="15.75" customHeight="1">
      <c r="A61" s="147" t="s">
        <v>389</v>
      </c>
      <c r="B61" s="24">
        <v>5105</v>
      </c>
      <c r="C61" s="24">
        <v>8</v>
      </c>
      <c r="D61" s="24">
        <v>34</v>
      </c>
      <c r="E61" s="24">
        <v>2</v>
      </c>
      <c r="F61" s="24">
        <v>0</v>
      </c>
      <c r="G61" s="24">
        <v>0</v>
      </c>
      <c r="H61" s="24">
        <v>17</v>
      </c>
      <c r="I61" s="24">
        <v>0.31</v>
      </c>
      <c r="J61" s="24">
        <v>0</v>
      </c>
      <c r="K61" s="24">
        <v>45</v>
      </c>
      <c r="L61" s="27">
        <v>2205</v>
      </c>
      <c r="M61" s="24" t="s">
        <v>387</v>
      </c>
      <c r="N61" s="24">
        <v>1</v>
      </c>
    </row>
    <row r="62" spans="1:14" ht="15.75" customHeight="1">
      <c r="A62" s="147" t="s">
        <v>389</v>
      </c>
      <c r="B62" s="24">
        <v>5105</v>
      </c>
      <c r="C62" s="24">
        <v>9</v>
      </c>
      <c r="D62" s="24">
        <v>36</v>
      </c>
      <c r="E62" s="24">
        <v>2</v>
      </c>
      <c r="F62" s="24">
        <v>0</v>
      </c>
      <c r="G62" s="24">
        <v>0</v>
      </c>
      <c r="H62" s="24">
        <v>18</v>
      </c>
      <c r="I62" s="24">
        <v>0.31</v>
      </c>
      <c r="J62" s="24">
        <v>0</v>
      </c>
      <c r="K62" s="24">
        <v>45</v>
      </c>
      <c r="L62" s="27">
        <v>2205</v>
      </c>
      <c r="M62" s="24" t="s">
        <v>387</v>
      </c>
      <c r="N62" s="24">
        <v>1</v>
      </c>
    </row>
    <row r="63" spans="1:14" ht="15.75" customHeight="1">
      <c r="A63" s="147" t="s">
        <v>389</v>
      </c>
      <c r="B63" s="24">
        <v>5105</v>
      </c>
      <c r="C63" s="24">
        <v>10</v>
      </c>
      <c r="D63" s="24">
        <v>38</v>
      </c>
      <c r="E63" s="24">
        <v>2</v>
      </c>
      <c r="F63" s="24">
        <v>0</v>
      </c>
      <c r="G63" s="24">
        <v>0</v>
      </c>
      <c r="H63" s="24">
        <v>19</v>
      </c>
      <c r="I63" s="24">
        <v>0.31</v>
      </c>
      <c r="J63" s="24">
        <v>0</v>
      </c>
      <c r="K63" s="24">
        <v>45</v>
      </c>
      <c r="L63" s="27">
        <v>2205</v>
      </c>
      <c r="M63" s="24" t="s">
        <v>387</v>
      </c>
      <c r="N63" s="24">
        <v>1</v>
      </c>
    </row>
    <row r="64" spans="1:14" ht="15.75" customHeight="1">
      <c r="A64" s="147" t="s">
        <v>389</v>
      </c>
      <c r="B64" s="24">
        <v>5105</v>
      </c>
      <c r="C64" s="24">
        <v>11</v>
      </c>
      <c r="D64" s="24">
        <v>40</v>
      </c>
      <c r="E64" s="24">
        <v>2</v>
      </c>
      <c r="F64" s="24">
        <v>0</v>
      </c>
      <c r="G64" s="24">
        <v>0</v>
      </c>
      <c r="H64" s="24">
        <v>20</v>
      </c>
      <c r="I64" s="24">
        <v>0.28999999999999998</v>
      </c>
      <c r="J64" s="24">
        <v>0</v>
      </c>
      <c r="K64" s="24">
        <v>45</v>
      </c>
      <c r="L64" s="27">
        <v>2205</v>
      </c>
      <c r="M64" s="24" t="s">
        <v>387</v>
      </c>
      <c r="N64" s="24">
        <v>1</v>
      </c>
    </row>
    <row r="65" spans="1:14" ht="15.75" customHeight="1">
      <c r="A65" s="147" t="s">
        <v>389</v>
      </c>
      <c r="B65" s="24">
        <v>5105</v>
      </c>
      <c r="C65" s="24">
        <v>12</v>
      </c>
      <c r="D65" s="24">
        <v>42</v>
      </c>
      <c r="E65" s="24">
        <v>2</v>
      </c>
      <c r="F65" s="24">
        <v>0</v>
      </c>
      <c r="G65" s="24">
        <v>0</v>
      </c>
      <c r="H65" s="24">
        <v>21</v>
      </c>
      <c r="I65" s="24">
        <v>0.28999999999999998</v>
      </c>
      <c r="J65" s="24">
        <v>0</v>
      </c>
      <c r="K65" s="24">
        <v>45</v>
      </c>
      <c r="L65" s="27">
        <v>2205</v>
      </c>
      <c r="M65" s="24" t="s">
        <v>387</v>
      </c>
      <c r="N65" s="24">
        <v>1</v>
      </c>
    </row>
    <row r="66" spans="1:14" ht="15.75" customHeight="1">
      <c r="A66" s="147" t="s">
        <v>389</v>
      </c>
      <c r="B66" s="24">
        <v>5105</v>
      </c>
      <c r="C66" s="24">
        <v>13</v>
      </c>
      <c r="D66" s="24">
        <v>44</v>
      </c>
      <c r="E66" s="24">
        <v>2</v>
      </c>
      <c r="F66" s="24">
        <v>0</v>
      </c>
      <c r="G66" s="24">
        <v>0</v>
      </c>
      <c r="H66" s="24">
        <v>22</v>
      </c>
      <c r="I66" s="24">
        <v>0.28999999999999998</v>
      </c>
      <c r="J66" s="24">
        <v>0</v>
      </c>
      <c r="K66" s="24">
        <v>45</v>
      </c>
      <c r="L66" s="27">
        <v>2205</v>
      </c>
      <c r="M66" s="24" t="s">
        <v>387</v>
      </c>
      <c r="N66" s="24">
        <v>1</v>
      </c>
    </row>
    <row r="67" spans="1:14" ht="15.75" customHeight="1">
      <c r="A67" s="147" t="s">
        <v>389</v>
      </c>
      <c r="B67" s="24">
        <v>5105</v>
      </c>
      <c r="C67" s="24">
        <v>14</v>
      </c>
      <c r="D67" s="24">
        <v>46</v>
      </c>
      <c r="E67" s="24">
        <v>2</v>
      </c>
      <c r="F67" s="24">
        <v>0</v>
      </c>
      <c r="G67" s="24">
        <v>0</v>
      </c>
      <c r="H67" s="24">
        <v>23</v>
      </c>
      <c r="I67" s="24">
        <v>0.28999999999999998</v>
      </c>
      <c r="J67" s="24">
        <v>0</v>
      </c>
      <c r="K67" s="24">
        <v>45</v>
      </c>
      <c r="L67" s="27">
        <v>2205</v>
      </c>
      <c r="M67" s="24" t="s">
        <v>387</v>
      </c>
      <c r="N67" s="24">
        <v>1</v>
      </c>
    </row>
    <row r="68" spans="1:14" ht="15.75" customHeight="1">
      <c r="A68" s="147" t="s">
        <v>389</v>
      </c>
      <c r="B68" s="24">
        <v>5105</v>
      </c>
      <c r="C68" s="24">
        <v>15</v>
      </c>
      <c r="D68" s="24">
        <v>48</v>
      </c>
      <c r="E68" s="24">
        <v>2</v>
      </c>
      <c r="F68" s="24">
        <v>0</v>
      </c>
      <c r="G68" s="24">
        <v>0</v>
      </c>
      <c r="H68" s="24">
        <v>24</v>
      </c>
      <c r="I68" s="24">
        <v>0.28999999999999998</v>
      </c>
      <c r="J68" s="24">
        <v>0</v>
      </c>
      <c r="K68" s="24">
        <v>45</v>
      </c>
      <c r="L68" s="27">
        <v>2205</v>
      </c>
      <c r="M68" s="24" t="s">
        <v>387</v>
      </c>
      <c r="N68" s="24">
        <v>1</v>
      </c>
    </row>
    <row r="69" spans="1:14" ht="15.75" customHeight="1">
      <c r="A69" s="147" t="s">
        <v>389</v>
      </c>
      <c r="B69" s="24">
        <v>5105</v>
      </c>
      <c r="C69" s="24">
        <v>16</v>
      </c>
      <c r="D69" s="24">
        <v>50</v>
      </c>
      <c r="E69" s="24">
        <v>2</v>
      </c>
      <c r="F69" s="24">
        <v>0</v>
      </c>
      <c r="G69" s="24">
        <v>0</v>
      </c>
      <c r="H69" s="24">
        <v>25</v>
      </c>
      <c r="I69" s="24">
        <v>0.27</v>
      </c>
      <c r="J69" s="24">
        <v>0</v>
      </c>
      <c r="K69" s="24">
        <v>45</v>
      </c>
      <c r="L69" s="27">
        <v>2205</v>
      </c>
      <c r="M69" s="24" t="s">
        <v>387</v>
      </c>
      <c r="N69" s="24">
        <v>1</v>
      </c>
    </row>
    <row r="70" spans="1:14" ht="15.75" customHeight="1">
      <c r="A70" s="147" t="s">
        <v>389</v>
      </c>
      <c r="B70" s="24">
        <v>5105</v>
      </c>
      <c r="C70" s="24">
        <v>17</v>
      </c>
      <c r="D70" s="24">
        <v>52</v>
      </c>
      <c r="E70" s="24">
        <v>2</v>
      </c>
      <c r="F70" s="24">
        <v>0</v>
      </c>
      <c r="G70" s="24">
        <v>0</v>
      </c>
      <c r="H70" s="24">
        <v>26</v>
      </c>
      <c r="I70" s="24">
        <v>0.27</v>
      </c>
      <c r="J70" s="24">
        <v>0</v>
      </c>
      <c r="K70" s="24">
        <v>45</v>
      </c>
      <c r="L70" s="27">
        <v>2205</v>
      </c>
      <c r="M70" s="24" t="s">
        <v>387</v>
      </c>
      <c r="N70" s="24">
        <v>1</v>
      </c>
    </row>
    <row r="71" spans="1:14" ht="15.75" customHeight="1">
      <c r="A71" s="147" t="s">
        <v>389</v>
      </c>
      <c r="B71" s="24">
        <v>5105</v>
      </c>
      <c r="C71" s="24">
        <v>18</v>
      </c>
      <c r="D71" s="24">
        <v>54</v>
      </c>
      <c r="E71" s="24">
        <v>2</v>
      </c>
      <c r="F71" s="24">
        <v>0</v>
      </c>
      <c r="G71" s="24">
        <v>0</v>
      </c>
      <c r="H71" s="24">
        <v>27</v>
      </c>
      <c r="I71" s="24">
        <v>0.27</v>
      </c>
      <c r="J71" s="24">
        <v>0</v>
      </c>
      <c r="K71" s="24">
        <v>45</v>
      </c>
      <c r="L71" s="27">
        <v>2205</v>
      </c>
      <c r="M71" s="24" t="s">
        <v>387</v>
      </c>
      <c r="N71" s="24">
        <v>1</v>
      </c>
    </row>
    <row r="72" spans="1:14" ht="15.75" customHeight="1">
      <c r="A72" s="147" t="s">
        <v>389</v>
      </c>
      <c r="B72" s="24">
        <v>5105</v>
      </c>
      <c r="C72" s="24">
        <v>19</v>
      </c>
      <c r="D72" s="24">
        <v>56</v>
      </c>
      <c r="E72" s="24">
        <v>2</v>
      </c>
      <c r="F72" s="24">
        <v>0</v>
      </c>
      <c r="G72" s="24">
        <v>0</v>
      </c>
      <c r="H72" s="24">
        <v>28</v>
      </c>
      <c r="I72" s="24">
        <v>0.27</v>
      </c>
      <c r="J72" s="24">
        <v>0</v>
      </c>
      <c r="K72" s="24">
        <v>45</v>
      </c>
      <c r="L72" s="27">
        <v>2205</v>
      </c>
      <c r="M72" s="24" t="s">
        <v>387</v>
      </c>
      <c r="N72" s="24">
        <v>1</v>
      </c>
    </row>
    <row r="73" spans="1:14" ht="15.75" customHeight="1">
      <c r="A73" s="147" t="s">
        <v>389</v>
      </c>
      <c r="B73" s="24">
        <v>5105</v>
      </c>
      <c r="C73" s="24">
        <v>20</v>
      </c>
      <c r="D73" s="24">
        <v>58</v>
      </c>
      <c r="E73" s="24">
        <v>2</v>
      </c>
      <c r="F73" s="24">
        <v>0</v>
      </c>
      <c r="G73" s="24">
        <v>0</v>
      </c>
      <c r="H73" s="24">
        <v>29</v>
      </c>
      <c r="I73" s="24">
        <v>0.27</v>
      </c>
      <c r="J73" s="24">
        <v>0</v>
      </c>
      <c r="K73" s="24">
        <v>45</v>
      </c>
      <c r="L73" s="27">
        <v>2205</v>
      </c>
      <c r="M73" s="24" t="s">
        <v>387</v>
      </c>
      <c r="N73" s="24">
        <v>1</v>
      </c>
    </row>
    <row r="74" spans="1:14" ht="15.75" customHeight="1">
      <c r="A74" s="147" t="s">
        <v>389</v>
      </c>
      <c r="B74" s="24">
        <v>5105</v>
      </c>
      <c r="C74" s="24">
        <v>21</v>
      </c>
      <c r="D74" s="24">
        <v>60</v>
      </c>
      <c r="E74" s="24">
        <v>2</v>
      </c>
      <c r="F74" s="24">
        <v>0</v>
      </c>
      <c r="G74" s="24">
        <v>0</v>
      </c>
      <c r="H74" s="24">
        <v>30</v>
      </c>
      <c r="I74" s="24">
        <v>0.25</v>
      </c>
      <c r="J74" s="24">
        <v>0</v>
      </c>
      <c r="K74" s="24">
        <v>45</v>
      </c>
      <c r="L74" s="27">
        <v>2205</v>
      </c>
      <c r="M74" s="24" t="s">
        <v>387</v>
      </c>
      <c r="N74" s="24">
        <v>1</v>
      </c>
    </row>
    <row r="75" spans="1:14" ht="15.75" customHeight="1">
      <c r="A75" s="147" t="s">
        <v>389</v>
      </c>
      <c r="B75" s="24">
        <v>5105</v>
      </c>
      <c r="C75" s="24">
        <v>22</v>
      </c>
      <c r="D75" s="24">
        <v>62</v>
      </c>
      <c r="E75" s="24">
        <v>2</v>
      </c>
      <c r="F75" s="24">
        <v>0</v>
      </c>
      <c r="G75" s="24">
        <v>0</v>
      </c>
      <c r="H75" s="24">
        <v>31</v>
      </c>
      <c r="I75" s="24">
        <v>0.25</v>
      </c>
      <c r="J75" s="24">
        <v>0</v>
      </c>
      <c r="K75" s="24">
        <v>45</v>
      </c>
      <c r="L75" s="27">
        <v>2205</v>
      </c>
      <c r="M75" s="24" t="s">
        <v>387</v>
      </c>
      <c r="N75" s="24">
        <v>1</v>
      </c>
    </row>
    <row r="76" spans="1:14" ht="15.75" customHeight="1">
      <c r="A76" s="147" t="s">
        <v>389</v>
      </c>
      <c r="B76" s="24">
        <v>5105</v>
      </c>
      <c r="C76" s="24">
        <v>23</v>
      </c>
      <c r="D76" s="24">
        <v>64</v>
      </c>
      <c r="E76" s="24">
        <v>2</v>
      </c>
      <c r="F76" s="24">
        <v>0</v>
      </c>
      <c r="G76" s="24">
        <v>0</v>
      </c>
      <c r="H76" s="24">
        <v>32</v>
      </c>
      <c r="I76" s="24">
        <v>0.25</v>
      </c>
      <c r="J76" s="24">
        <v>0</v>
      </c>
      <c r="K76" s="24">
        <v>45</v>
      </c>
      <c r="L76" s="27">
        <v>2205</v>
      </c>
      <c r="M76" s="24" t="s">
        <v>387</v>
      </c>
      <c r="N76" s="24">
        <v>1</v>
      </c>
    </row>
    <row r="77" spans="1:14" ht="15.75" customHeight="1">
      <c r="A77" s="147" t="s">
        <v>389</v>
      </c>
      <c r="B77" s="24">
        <v>5105</v>
      </c>
      <c r="C77" s="24">
        <v>24</v>
      </c>
      <c r="D77" s="24">
        <v>66</v>
      </c>
      <c r="E77" s="24">
        <v>2</v>
      </c>
      <c r="F77" s="24">
        <v>0</v>
      </c>
      <c r="G77" s="24">
        <v>0</v>
      </c>
      <c r="H77" s="24">
        <v>33</v>
      </c>
      <c r="I77" s="24">
        <v>0.25</v>
      </c>
      <c r="J77" s="24">
        <v>0</v>
      </c>
      <c r="K77" s="24">
        <v>45</v>
      </c>
      <c r="L77" s="27">
        <v>2205</v>
      </c>
      <c r="M77" s="24" t="s">
        <v>387</v>
      </c>
      <c r="N77" s="24">
        <v>1</v>
      </c>
    </row>
    <row r="78" spans="1:14" ht="15.75" customHeight="1">
      <c r="A78" s="147" t="s">
        <v>389</v>
      </c>
      <c r="B78" s="24">
        <v>5105</v>
      </c>
      <c r="C78" s="24">
        <v>25</v>
      </c>
      <c r="D78" s="24">
        <v>70</v>
      </c>
      <c r="E78" s="24">
        <v>2</v>
      </c>
      <c r="F78" s="24">
        <v>0</v>
      </c>
      <c r="G78" s="24">
        <v>0</v>
      </c>
      <c r="H78" s="24">
        <v>35</v>
      </c>
      <c r="I78" s="24">
        <v>0.25</v>
      </c>
      <c r="J78" s="24">
        <v>0</v>
      </c>
      <c r="K78" s="24">
        <v>45</v>
      </c>
      <c r="L78" s="27">
        <v>2205</v>
      </c>
      <c r="M78" s="24" t="s">
        <v>387</v>
      </c>
      <c r="N78" s="24">
        <v>1</v>
      </c>
    </row>
    <row r="79" spans="1:14" ht="15.75" customHeight="1">
      <c r="A79" s="147" t="s">
        <v>390</v>
      </c>
      <c r="B79" s="24">
        <v>5106</v>
      </c>
      <c r="C79" s="24">
        <v>1</v>
      </c>
      <c r="D79" s="24">
        <v>24</v>
      </c>
      <c r="E79" s="24">
        <v>0</v>
      </c>
      <c r="F79" s="24">
        <v>0</v>
      </c>
      <c r="G79" s="24">
        <v>12</v>
      </c>
      <c r="H79" s="24">
        <v>2</v>
      </c>
      <c r="I79" s="24">
        <v>1</v>
      </c>
      <c r="J79" s="24">
        <v>0</v>
      </c>
      <c r="K79" s="24">
        <v>50</v>
      </c>
      <c r="L79" s="27">
        <v>2206</v>
      </c>
      <c r="M79" s="24" t="s">
        <v>387</v>
      </c>
      <c r="N79" s="24">
        <v>0</v>
      </c>
    </row>
    <row r="80" spans="1:14" ht="15.75" customHeight="1">
      <c r="A80" s="147" t="s">
        <v>390</v>
      </c>
      <c r="B80" s="24">
        <v>5106</v>
      </c>
      <c r="C80" s="24">
        <v>2</v>
      </c>
      <c r="D80" s="24">
        <v>26</v>
      </c>
      <c r="E80" s="24">
        <v>0</v>
      </c>
      <c r="F80" s="24">
        <v>0</v>
      </c>
      <c r="G80" s="24">
        <v>13</v>
      </c>
      <c r="H80" s="24">
        <v>2</v>
      </c>
      <c r="I80" s="24">
        <v>1</v>
      </c>
      <c r="J80" s="24">
        <v>0</v>
      </c>
      <c r="K80" s="24">
        <v>50</v>
      </c>
      <c r="L80" s="27">
        <v>2206</v>
      </c>
      <c r="M80" s="24" t="s">
        <v>387</v>
      </c>
      <c r="N80" s="24">
        <v>0</v>
      </c>
    </row>
    <row r="81" spans="1:14" ht="15.75" customHeight="1">
      <c r="A81" s="147" t="s">
        <v>390</v>
      </c>
      <c r="B81" s="24">
        <v>5106</v>
      </c>
      <c r="C81" s="24">
        <v>3</v>
      </c>
      <c r="D81" s="24">
        <v>28</v>
      </c>
      <c r="E81" s="24">
        <v>0</v>
      </c>
      <c r="F81" s="24">
        <v>0</v>
      </c>
      <c r="G81" s="24">
        <v>14</v>
      </c>
      <c r="H81" s="24">
        <v>2</v>
      </c>
      <c r="I81" s="24">
        <v>1</v>
      </c>
      <c r="J81" s="24">
        <v>0</v>
      </c>
      <c r="K81" s="24">
        <v>50</v>
      </c>
      <c r="L81" s="27">
        <v>2206</v>
      </c>
      <c r="M81" s="24" t="s">
        <v>387</v>
      </c>
      <c r="N81" s="24">
        <v>0</v>
      </c>
    </row>
    <row r="82" spans="1:14" ht="15.75" customHeight="1">
      <c r="A82" s="147" t="s">
        <v>390</v>
      </c>
      <c r="B82" s="24">
        <v>5106</v>
      </c>
      <c r="C82" s="24">
        <v>4</v>
      </c>
      <c r="D82" s="24">
        <v>30</v>
      </c>
      <c r="E82" s="24">
        <v>0</v>
      </c>
      <c r="F82" s="24">
        <v>0</v>
      </c>
      <c r="G82" s="24">
        <v>15</v>
      </c>
      <c r="H82" s="24">
        <v>2</v>
      </c>
      <c r="I82" s="24">
        <v>1</v>
      </c>
      <c r="J82" s="24">
        <v>0</v>
      </c>
      <c r="K82" s="24">
        <v>50</v>
      </c>
      <c r="L82" s="27">
        <v>2206</v>
      </c>
      <c r="M82" s="24" t="s">
        <v>387</v>
      </c>
      <c r="N82" s="24">
        <v>0</v>
      </c>
    </row>
    <row r="83" spans="1:14" ht="15.75" customHeight="1">
      <c r="A83" s="147" t="s">
        <v>390</v>
      </c>
      <c r="B83" s="24">
        <v>5106</v>
      </c>
      <c r="C83" s="24">
        <v>5</v>
      </c>
      <c r="D83" s="24">
        <v>32</v>
      </c>
      <c r="E83" s="24">
        <v>0</v>
      </c>
      <c r="F83" s="24">
        <v>0</v>
      </c>
      <c r="G83" s="24">
        <v>16</v>
      </c>
      <c r="H83" s="24">
        <v>2</v>
      </c>
      <c r="I83" s="24">
        <v>1</v>
      </c>
      <c r="J83" s="24">
        <v>0</v>
      </c>
      <c r="K83" s="24">
        <v>50</v>
      </c>
      <c r="L83" s="27">
        <v>2206</v>
      </c>
      <c r="M83" s="24" t="s">
        <v>387</v>
      </c>
      <c r="N83" s="24">
        <v>0</v>
      </c>
    </row>
    <row r="84" spans="1:14" ht="15.75" customHeight="1">
      <c r="A84" s="147" t="s">
        <v>390</v>
      </c>
      <c r="B84" s="24">
        <v>5106</v>
      </c>
      <c r="C84" s="24">
        <v>6</v>
      </c>
      <c r="D84" s="24">
        <v>36</v>
      </c>
      <c r="E84" s="24">
        <v>0</v>
      </c>
      <c r="F84" s="24">
        <v>0</v>
      </c>
      <c r="G84" s="24">
        <v>18</v>
      </c>
      <c r="H84" s="24">
        <v>2</v>
      </c>
      <c r="I84" s="24">
        <v>1</v>
      </c>
      <c r="J84" s="24">
        <v>0</v>
      </c>
      <c r="K84" s="24">
        <v>50</v>
      </c>
      <c r="L84" s="27">
        <v>2206</v>
      </c>
      <c r="M84" s="24" t="s">
        <v>387</v>
      </c>
      <c r="N84" s="24">
        <v>0</v>
      </c>
    </row>
    <row r="85" spans="1:14" ht="15.75" customHeight="1">
      <c r="A85" s="147" t="s">
        <v>390</v>
      </c>
      <c r="B85" s="24">
        <v>5106</v>
      </c>
      <c r="C85" s="24">
        <v>7</v>
      </c>
      <c r="D85" s="24">
        <v>38</v>
      </c>
      <c r="E85" s="24">
        <v>0</v>
      </c>
      <c r="F85" s="24">
        <v>0</v>
      </c>
      <c r="G85" s="24">
        <v>19</v>
      </c>
      <c r="H85" s="24">
        <v>2</v>
      </c>
      <c r="I85" s="24">
        <v>1</v>
      </c>
      <c r="J85" s="24">
        <v>0</v>
      </c>
      <c r="K85" s="24">
        <v>50</v>
      </c>
      <c r="L85" s="27">
        <v>2206</v>
      </c>
      <c r="M85" s="24" t="s">
        <v>387</v>
      </c>
      <c r="N85" s="24">
        <v>0</v>
      </c>
    </row>
    <row r="86" spans="1:14" ht="15.75" customHeight="1">
      <c r="A86" s="147" t="s">
        <v>390</v>
      </c>
      <c r="B86" s="24">
        <v>5106</v>
      </c>
      <c r="C86" s="24">
        <v>8</v>
      </c>
      <c r="D86" s="24">
        <v>40</v>
      </c>
      <c r="E86" s="24">
        <v>0</v>
      </c>
      <c r="F86" s="24">
        <v>0</v>
      </c>
      <c r="G86" s="24">
        <v>20</v>
      </c>
      <c r="H86" s="24">
        <v>2</v>
      </c>
      <c r="I86" s="24">
        <v>1</v>
      </c>
      <c r="J86" s="24">
        <v>0</v>
      </c>
      <c r="K86" s="24">
        <v>50</v>
      </c>
      <c r="L86" s="27">
        <v>2206</v>
      </c>
      <c r="M86" s="24" t="s">
        <v>387</v>
      </c>
      <c r="N86" s="24">
        <v>0</v>
      </c>
    </row>
    <row r="87" spans="1:14" ht="15.75" customHeight="1">
      <c r="A87" s="147" t="s">
        <v>390</v>
      </c>
      <c r="B87" s="24">
        <v>5106</v>
      </c>
      <c r="C87" s="24">
        <v>9</v>
      </c>
      <c r="D87" s="24">
        <v>42</v>
      </c>
      <c r="E87" s="24">
        <v>0</v>
      </c>
      <c r="F87" s="24">
        <v>0</v>
      </c>
      <c r="G87" s="24">
        <v>21</v>
      </c>
      <c r="H87" s="24">
        <v>2</v>
      </c>
      <c r="I87" s="24">
        <v>1</v>
      </c>
      <c r="J87" s="24">
        <v>0</v>
      </c>
      <c r="K87" s="24">
        <v>50</v>
      </c>
      <c r="L87" s="27">
        <v>2206</v>
      </c>
      <c r="M87" s="24" t="s">
        <v>387</v>
      </c>
      <c r="N87" s="24">
        <v>0</v>
      </c>
    </row>
    <row r="88" spans="1:14" ht="15.75" customHeight="1">
      <c r="A88" s="147" t="s">
        <v>390</v>
      </c>
      <c r="B88" s="24">
        <v>5106</v>
      </c>
      <c r="C88" s="24">
        <v>10</v>
      </c>
      <c r="D88" s="24">
        <v>44</v>
      </c>
      <c r="E88" s="24">
        <v>0</v>
      </c>
      <c r="F88" s="24">
        <v>0</v>
      </c>
      <c r="G88" s="24">
        <v>22</v>
      </c>
      <c r="H88" s="24">
        <v>2</v>
      </c>
      <c r="I88" s="24">
        <v>1</v>
      </c>
      <c r="J88" s="24">
        <v>0</v>
      </c>
      <c r="K88" s="24">
        <v>50</v>
      </c>
      <c r="L88" s="27">
        <v>2206</v>
      </c>
      <c r="M88" s="24" t="s">
        <v>387</v>
      </c>
      <c r="N88" s="24">
        <v>0</v>
      </c>
    </row>
    <row r="89" spans="1:14" ht="15.75" customHeight="1">
      <c r="A89" s="147" t="s">
        <v>390</v>
      </c>
      <c r="B89" s="24">
        <v>5106</v>
      </c>
      <c r="C89" s="24">
        <v>11</v>
      </c>
      <c r="D89" s="24">
        <v>48</v>
      </c>
      <c r="E89" s="24">
        <v>0</v>
      </c>
      <c r="F89" s="24">
        <v>0</v>
      </c>
      <c r="G89" s="24">
        <v>24</v>
      </c>
      <c r="H89" s="24">
        <v>2</v>
      </c>
      <c r="I89" s="24">
        <v>1</v>
      </c>
      <c r="J89" s="24">
        <v>0</v>
      </c>
      <c r="K89" s="24">
        <v>50</v>
      </c>
      <c r="L89" s="27">
        <v>2206</v>
      </c>
      <c r="M89" s="24" t="s">
        <v>387</v>
      </c>
      <c r="N89" s="24">
        <v>0</v>
      </c>
    </row>
    <row r="90" spans="1:14" ht="15.75" customHeight="1">
      <c r="A90" s="147" t="s">
        <v>390</v>
      </c>
      <c r="B90" s="24">
        <v>5106</v>
      </c>
      <c r="C90" s="24">
        <v>12</v>
      </c>
      <c r="D90" s="24">
        <v>50</v>
      </c>
      <c r="E90" s="24">
        <v>0</v>
      </c>
      <c r="F90" s="24">
        <v>0</v>
      </c>
      <c r="G90" s="24">
        <v>25</v>
      </c>
      <c r="H90" s="24">
        <v>2</v>
      </c>
      <c r="I90" s="24">
        <v>1</v>
      </c>
      <c r="J90" s="24">
        <v>0</v>
      </c>
      <c r="K90" s="24">
        <v>50</v>
      </c>
      <c r="L90" s="27">
        <v>2206</v>
      </c>
      <c r="M90" s="24" t="s">
        <v>387</v>
      </c>
      <c r="N90" s="24">
        <v>0</v>
      </c>
    </row>
    <row r="91" spans="1:14" ht="15.75" customHeight="1">
      <c r="A91" s="147" t="s">
        <v>390</v>
      </c>
      <c r="B91" s="24">
        <v>5106</v>
      </c>
      <c r="C91" s="24">
        <v>13</v>
      </c>
      <c r="D91" s="24">
        <v>52</v>
      </c>
      <c r="E91" s="24">
        <v>0</v>
      </c>
      <c r="F91" s="24">
        <v>0</v>
      </c>
      <c r="G91" s="24">
        <v>26</v>
      </c>
      <c r="H91" s="24">
        <v>2</v>
      </c>
      <c r="I91" s="24">
        <v>1</v>
      </c>
      <c r="J91" s="24">
        <v>0</v>
      </c>
      <c r="K91" s="24">
        <v>50</v>
      </c>
      <c r="L91" s="27">
        <v>2206</v>
      </c>
      <c r="M91" s="24" t="s">
        <v>387</v>
      </c>
      <c r="N91" s="24">
        <v>0</v>
      </c>
    </row>
    <row r="92" spans="1:14" ht="15.75" customHeight="1">
      <c r="A92" s="147" t="s">
        <v>390</v>
      </c>
      <c r="B92" s="24">
        <v>5106</v>
      </c>
      <c r="C92" s="24">
        <v>14</v>
      </c>
      <c r="D92" s="24">
        <v>54</v>
      </c>
      <c r="E92" s="24">
        <v>0</v>
      </c>
      <c r="F92" s="24">
        <v>0</v>
      </c>
      <c r="G92" s="24">
        <v>27</v>
      </c>
      <c r="H92" s="24">
        <v>2</v>
      </c>
      <c r="I92" s="24">
        <v>1</v>
      </c>
      <c r="J92" s="24">
        <v>0</v>
      </c>
      <c r="K92" s="24">
        <v>50</v>
      </c>
      <c r="L92" s="27">
        <v>2206</v>
      </c>
      <c r="M92" s="24" t="s">
        <v>387</v>
      </c>
      <c r="N92" s="24">
        <v>0</v>
      </c>
    </row>
    <row r="93" spans="1:14" ht="15.75" customHeight="1">
      <c r="A93" s="147" t="s">
        <v>390</v>
      </c>
      <c r="B93" s="24">
        <v>5106</v>
      </c>
      <c r="C93" s="24">
        <v>15</v>
      </c>
      <c r="D93" s="24">
        <v>56</v>
      </c>
      <c r="E93" s="24">
        <v>0</v>
      </c>
      <c r="F93" s="24">
        <v>0</v>
      </c>
      <c r="G93" s="24">
        <v>28</v>
      </c>
      <c r="H93" s="24">
        <v>2</v>
      </c>
      <c r="I93" s="24">
        <v>1</v>
      </c>
      <c r="J93" s="24">
        <v>0</v>
      </c>
      <c r="K93" s="24">
        <v>50</v>
      </c>
      <c r="L93" s="27">
        <v>2206</v>
      </c>
      <c r="M93" s="24" t="s">
        <v>387</v>
      </c>
      <c r="N93" s="24">
        <v>0</v>
      </c>
    </row>
    <row r="94" spans="1:14" ht="15.75" customHeight="1">
      <c r="A94" s="147" t="s">
        <v>390</v>
      </c>
      <c r="B94" s="24">
        <v>5106</v>
      </c>
      <c r="C94" s="24">
        <v>16</v>
      </c>
      <c r="D94" s="24">
        <v>60</v>
      </c>
      <c r="E94" s="24">
        <v>0</v>
      </c>
      <c r="F94" s="24">
        <v>0</v>
      </c>
      <c r="G94" s="24">
        <v>30</v>
      </c>
      <c r="H94" s="24">
        <v>2</v>
      </c>
      <c r="I94" s="24">
        <v>1</v>
      </c>
      <c r="J94" s="24">
        <v>0</v>
      </c>
      <c r="K94" s="24">
        <v>50</v>
      </c>
      <c r="L94" s="27">
        <v>2206</v>
      </c>
      <c r="M94" s="24" t="s">
        <v>387</v>
      </c>
      <c r="N94" s="24">
        <v>0</v>
      </c>
    </row>
    <row r="95" spans="1:14" ht="15.75" customHeight="1">
      <c r="A95" s="147" t="s">
        <v>390</v>
      </c>
      <c r="B95" s="24">
        <v>5106</v>
      </c>
      <c r="C95" s="24">
        <v>17</v>
      </c>
      <c r="D95" s="24">
        <v>62</v>
      </c>
      <c r="E95" s="24">
        <v>0</v>
      </c>
      <c r="F95" s="24">
        <v>0</v>
      </c>
      <c r="G95" s="24">
        <v>31</v>
      </c>
      <c r="H95" s="24">
        <v>2</v>
      </c>
      <c r="I95" s="24">
        <v>1</v>
      </c>
      <c r="J95" s="24">
        <v>0</v>
      </c>
      <c r="K95" s="24">
        <v>50</v>
      </c>
      <c r="L95" s="27">
        <v>2206</v>
      </c>
      <c r="M95" s="24" t="s">
        <v>387</v>
      </c>
      <c r="N95" s="24">
        <v>0</v>
      </c>
    </row>
    <row r="96" spans="1:14" ht="15.75" customHeight="1">
      <c r="A96" s="147" t="s">
        <v>390</v>
      </c>
      <c r="B96" s="24">
        <v>5106</v>
      </c>
      <c r="C96" s="24">
        <v>18</v>
      </c>
      <c r="D96" s="24">
        <v>64</v>
      </c>
      <c r="E96" s="24">
        <v>0</v>
      </c>
      <c r="F96" s="24">
        <v>0</v>
      </c>
      <c r="G96" s="24">
        <v>32</v>
      </c>
      <c r="H96" s="24">
        <v>2</v>
      </c>
      <c r="I96" s="24">
        <v>1</v>
      </c>
      <c r="J96" s="24">
        <v>0</v>
      </c>
      <c r="K96" s="24">
        <v>50</v>
      </c>
      <c r="L96" s="27">
        <v>2206</v>
      </c>
      <c r="M96" s="24" t="s">
        <v>387</v>
      </c>
      <c r="N96" s="24">
        <v>0</v>
      </c>
    </row>
    <row r="97" spans="1:14" ht="15.75" customHeight="1">
      <c r="A97" s="147" t="s">
        <v>390</v>
      </c>
      <c r="B97" s="24">
        <v>5106</v>
      </c>
      <c r="C97" s="24">
        <v>19</v>
      </c>
      <c r="D97" s="24">
        <v>66</v>
      </c>
      <c r="E97" s="24">
        <v>0</v>
      </c>
      <c r="F97" s="24">
        <v>0</v>
      </c>
      <c r="G97" s="24">
        <v>33</v>
      </c>
      <c r="H97" s="24">
        <v>2</v>
      </c>
      <c r="I97" s="24">
        <v>1</v>
      </c>
      <c r="J97" s="24">
        <v>0</v>
      </c>
      <c r="K97" s="24">
        <v>50</v>
      </c>
      <c r="L97" s="27">
        <v>2206</v>
      </c>
      <c r="M97" s="24" t="s">
        <v>387</v>
      </c>
      <c r="N97" s="24">
        <v>0</v>
      </c>
    </row>
    <row r="98" spans="1:14" ht="15.75" customHeight="1">
      <c r="A98" s="147" t="s">
        <v>390</v>
      </c>
      <c r="B98" s="24">
        <v>5106</v>
      </c>
      <c r="C98" s="24">
        <v>20</v>
      </c>
      <c r="D98" s="24">
        <v>70</v>
      </c>
      <c r="E98" s="24">
        <v>0</v>
      </c>
      <c r="F98" s="24">
        <v>0</v>
      </c>
      <c r="G98" s="24">
        <v>35</v>
      </c>
      <c r="H98" s="24">
        <v>2</v>
      </c>
      <c r="I98" s="24">
        <v>1</v>
      </c>
      <c r="J98" s="24">
        <v>0</v>
      </c>
      <c r="K98" s="24">
        <v>50</v>
      </c>
      <c r="L98" s="27">
        <v>2206</v>
      </c>
      <c r="M98" s="24" t="s">
        <v>387</v>
      </c>
      <c r="N98" s="24">
        <v>0</v>
      </c>
    </row>
    <row r="99" spans="1:14" ht="15.75" customHeight="1">
      <c r="A99" s="147" t="s">
        <v>390</v>
      </c>
      <c r="B99" s="24">
        <v>5106</v>
      </c>
      <c r="C99" s="24">
        <v>21</v>
      </c>
      <c r="D99" s="24">
        <v>74</v>
      </c>
      <c r="E99" s="24">
        <v>0</v>
      </c>
      <c r="F99" s="24">
        <v>0</v>
      </c>
      <c r="G99" s="24">
        <v>37</v>
      </c>
      <c r="H99" s="24">
        <v>2</v>
      </c>
      <c r="I99" s="24">
        <v>1</v>
      </c>
      <c r="J99" s="24">
        <v>0</v>
      </c>
      <c r="K99" s="24">
        <v>50</v>
      </c>
      <c r="L99" s="27">
        <v>2206</v>
      </c>
      <c r="M99" s="24" t="s">
        <v>387</v>
      </c>
      <c r="N99" s="24">
        <v>0</v>
      </c>
    </row>
    <row r="100" spans="1:14" ht="15.75" customHeight="1">
      <c r="A100" s="147" t="s">
        <v>390</v>
      </c>
      <c r="B100" s="24">
        <v>5106</v>
      </c>
      <c r="C100" s="24">
        <v>22</v>
      </c>
      <c r="D100" s="24">
        <v>78</v>
      </c>
      <c r="E100" s="24">
        <v>0</v>
      </c>
      <c r="F100" s="24">
        <v>0</v>
      </c>
      <c r="G100" s="24">
        <v>39</v>
      </c>
      <c r="H100" s="24">
        <v>2</v>
      </c>
      <c r="I100" s="24">
        <v>1</v>
      </c>
      <c r="J100" s="24">
        <v>0</v>
      </c>
      <c r="K100" s="24">
        <v>50</v>
      </c>
      <c r="L100" s="27">
        <v>2206</v>
      </c>
      <c r="M100" s="24" t="s">
        <v>387</v>
      </c>
      <c r="N100" s="24">
        <v>0</v>
      </c>
    </row>
    <row r="101" spans="1:14" ht="15.75" customHeight="1">
      <c r="A101" s="147" t="s">
        <v>390</v>
      </c>
      <c r="B101" s="24">
        <v>5106</v>
      </c>
      <c r="C101" s="24">
        <v>23</v>
      </c>
      <c r="D101" s="24">
        <v>82</v>
      </c>
      <c r="E101" s="24">
        <v>0</v>
      </c>
      <c r="F101" s="24">
        <v>0</v>
      </c>
      <c r="G101" s="24">
        <v>41</v>
      </c>
      <c r="H101" s="24">
        <v>2</v>
      </c>
      <c r="I101" s="24">
        <v>1</v>
      </c>
      <c r="J101" s="24">
        <v>0</v>
      </c>
      <c r="K101" s="24">
        <v>50</v>
      </c>
      <c r="L101" s="27">
        <v>2206</v>
      </c>
      <c r="M101" s="24" t="s">
        <v>387</v>
      </c>
      <c r="N101" s="24">
        <v>0</v>
      </c>
    </row>
    <row r="102" spans="1:14" ht="15.75" customHeight="1">
      <c r="A102" s="147" t="s">
        <v>390</v>
      </c>
      <c r="B102" s="24">
        <v>5106</v>
      </c>
      <c r="C102" s="24">
        <v>24</v>
      </c>
      <c r="D102" s="24">
        <v>86</v>
      </c>
      <c r="E102" s="24">
        <v>0</v>
      </c>
      <c r="F102" s="24">
        <v>0</v>
      </c>
      <c r="G102" s="24">
        <v>43</v>
      </c>
      <c r="H102" s="24">
        <v>2</v>
      </c>
      <c r="I102" s="24">
        <v>1</v>
      </c>
      <c r="J102" s="24">
        <v>0</v>
      </c>
      <c r="K102" s="24">
        <v>50</v>
      </c>
      <c r="L102" s="27">
        <v>2206</v>
      </c>
      <c r="M102" s="24" t="s">
        <v>387</v>
      </c>
      <c r="N102" s="24">
        <v>0</v>
      </c>
    </row>
    <row r="103" spans="1:14" ht="15.75" customHeight="1">
      <c r="A103" s="147" t="s">
        <v>390</v>
      </c>
      <c r="B103" s="24">
        <v>5106</v>
      </c>
      <c r="C103" s="24">
        <v>25</v>
      </c>
      <c r="D103" s="24">
        <v>90</v>
      </c>
      <c r="E103" s="24">
        <v>0</v>
      </c>
      <c r="F103" s="24">
        <v>0</v>
      </c>
      <c r="G103" s="24">
        <v>45</v>
      </c>
      <c r="H103" s="24">
        <v>2</v>
      </c>
      <c r="I103" s="24">
        <v>1</v>
      </c>
      <c r="J103" s="24">
        <v>0</v>
      </c>
      <c r="K103" s="24">
        <v>50</v>
      </c>
      <c r="L103" s="27">
        <v>2206</v>
      </c>
      <c r="M103" s="24" t="s">
        <v>387</v>
      </c>
      <c r="N103" s="24">
        <v>0</v>
      </c>
    </row>
    <row r="104" spans="1:14" ht="15.75" customHeight="1">
      <c r="A104" s="147" t="s">
        <v>391</v>
      </c>
      <c r="B104" s="24">
        <v>5108</v>
      </c>
      <c r="C104" s="24">
        <v>1</v>
      </c>
      <c r="D104" s="24">
        <v>30</v>
      </c>
      <c r="E104" s="24">
        <v>30</v>
      </c>
      <c r="F104" s="24">
        <v>0</v>
      </c>
      <c r="G104" s="24">
        <v>0</v>
      </c>
      <c r="H104" s="24">
        <v>1</v>
      </c>
      <c r="I104" s="24">
        <v>3.6</v>
      </c>
      <c r="J104" s="24">
        <v>0</v>
      </c>
      <c r="K104" s="24">
        <v>50</v>
      </c>
      <c r="L104" s="27">
        <v>2208</v>
      </c>
      <c r="M104" s="24" t="s">
        <v>387</v>
      </c>
      <c r="N104" s="24">
        <v>0</v>
      </c>
    </row>
    <row r="105" spans="1:14" ht="15.75" customHeight="1">
      <c r="A105" s="147" t="s">
        <v>391</v>
      </c>
      <c r="B105" s="24">
        <v>5108</v>
      </c>
      <c r="C105" s="24">
        <v>2</v>
      </c>
      <c r="D105" s="24">
        <v>32</v>
      </c>
      <c r="E105" s="24">
        <v>32</v>
      </c>
      <c r="F105" s="24">
        <v>0</v>
      </c>
      <c r="G105" s="24">
        <v>0</v>
      </c>
      <c r="H105" s="24">
        <v>1</v>
      </c>
      <c r="I105" s="24">
        <v>3.6</v>
      </c>
      <c r="J105" s="24">
        <v>0</v>
      </c>
      <c r="K105" s="24">
        <v>50</v>
      </c>
      <c r="L105" s="27">
        <v>2208</v>
      </c>
      <c r="M105" s="24" t="s">
        <v>387</v>
      </c>
      <c r="N105" s="24">
        <v>0</v>
      </c>
    </row>
    <row r="106" spans="1:14" ht="15.75" customHeight="1">
      <c r="A106" s="147" t="s">
        <v>391</v>
      </c>
      <c r="B106" s="24">
        <v>5108</v>
      </c>
      <c r="C106" s="24">
        <v>3</v>
      </c>
      <c r="D106" s="24">
        <v>34</v>
      </c>
      <c r="E106" s="24">
        <v>34</v>
      </c>
      <c r="F106" s="24">
        <v>0</v>
      </c>
      <c r="G106" s="24">
        <v>0</v>
      </c>
      <c r="H106" s="24">
        <v>1</v>
      </c>
      <c r="I106" s="24">
        <v>3.6</v>
      </c>
      <c r="J106" s="24">
        <v>0</v>
      </c>
      <c r="K106" s="24">
        <v>50</v>
      </c>
      <c r="L106" s="27">
        <v>2208</v>
      </c>
      <c r="M106" s="24" t="s">
        <v>387</v>
      </c>
      <c r="N106" s="24">
        <v>0</v>
      </c>
    </row>
    <row r="107" spans="1:14" ht="15.75" customHeight="1">
      <c r="A107" s="147" t="s">
        <v>391</v>
      </c>
      <c r="B107" s="24">
        <v>5108</v>
      </c>
      <c r="C107" s="24">
        <v>4</v>
      </c>
      <c r="D107" s="24">
        <v>36</v>
      </c>
      <c r="E107" s="24">
        <v>36</v>
      </c>
      <c r="F107" s="24">
        <v>0</v>
      </c>
      <c r="G107" s="24">
        <v>0</v>
      </c>
      <c r="H107" s="24">
        <v>1</v>
      </c>
      <c r="I107" s="24">
        <v>3.6</v>
      </c>
      <c r="J107" s="24">
        <v>0</v>
      </c>
      <c r="K107" s="24">
        <v>50</v>
      </c>
      <c r="L107" s="27">
        <v>2208</v>
      </c>
      <c r="M107" s="24" t="s">
        <v>387</v>
      </c>
      <c r="N107" s="24">
        <v>0</v>
      </c>
    </row>
    <row r="108" spans="1:14" ht="15.75" customHeight="1">
      <c r="A108" s="147" t="s">
        <v>391</v>
      </c>
      <c r="B108" s="24">
        <v>5108</v>
      </c>
      <c r="C108" s="24">
        <v>5</v>
      </c>
      <c r="D108" s="24">
        <v>38</v>
      </c>
      <c r="E108" s="24">
        <v>38</v>
      </c>
      <c r="F108" s="24">
        <v>0</v>
      </c>
      <c r="G108" s="24">
        <v>0</v>
      </c>
      <c r="H108" s="24">
        <v>1</v>
      </c>
      <c r="I108" s="24">
        <v>3.6</v>
      </c>
      <c r="J108" s="24">
        <v>0</v>
      </c>
      <c r="K108" s="24">
        <v>50</v>
      </c>
      <c r="L108" s="27">
        <v>2208</v>
      </c>
      <c r="M108" s="24" t="s">
        <v>387</v>
      </c>
      <c r="N108" s="24">
        <v>0</v>
      </c>
    </row>
    <row r="109" spans="1:14" ht="15.75" customHeight="1">
      <c r="A109" s="147" t="s">
        <v>391</v>
      </c>
      <c r="B109" s="24">
        <v>5108</v>
      </c>
      <c r="C109" s="24">
        <v>6</v>
      </c>
      <c r="D109" s="24">
        <v>40</v>
      </c>
      <c r="E109" s="24">
        <v>40</v>
      </c>
      <c r="F109" s="24">
        <v>0</v>
      </c>
      <c r="G109" s="24">
        <v>0</v>
      </c>
      <c r="H109" s="24">
        <v>1</v>
      </c>
      <c r="I109" s="24">
        <v>3.6</v>
      </c>
      <c r="J109" s="24">
        <v>0</v>
      </c>
      <c r="K109" s="24">
        <v>50</v>
      </c>
      <c r="L109" s="27">
        <v>2208</v>
      </c>
      <c r="M109" s="24" t="s">
        <v>387</v>
      </c>
      <c r="N109" s="24">
        <v>0</v>
      </c>
    </row>
    <row r="110" spans="1:14" ht="15.75" customHeight="1">
      <c r="A110" s="147" t="s">
        <v>391</v>
      </c>
      <c r="B110" s="24">
        <v>5108</v>
      </c>
      <c r="C110" s="24">
        <v>7</v>
      </c>
      <c r="D110" s="24">
        <v>44</v>
      </c>
      <c r="E110" s="24">
        <v>44</v>
      </c>
      <c r="F110" s="24">
        <v>0</v>
      </c>
      <c r="G110" s="24">
        <v>0</v>
      </c>
      <c r="H110" s="24">
        <v>1</v>
      </c>
      <c r="I110" s="24">
        <v>3.6</v>
      </c>
      <c r="J110" s="24">
        <v>0</v>
      </c>
      <c r="K110" s="24">
        <v>50</v>
      </c>
      <c r="L110" s="27">
        <v>2208</v>
      </c>
      <c r="M110" s="24" t="s">
        <v>387</v>
      </c>
      <c r="N110" s="24">
        <v>0</v>
      </c>
    </row>
    <row r="111" spans="1:14" ht="15.75" customHeight="1">
      <c r="A111" s="147" t="s">
        <v>391</v>
      </c>
      <c r="B111" s="24">
        <v>5108</v>
      </c>
      <c r="C111" s="24">
        <v>8</v>
      </c>
      <c r="D111" s="24">
        <v>48</v>
      </c>
      <c r="E111" s="24">
        <v>48</v>
      </c>
      <c r="F111" s="24">
        <v>0</v>
      </c>
      <c r="G111" s="24">
        <v>0</v>
      </c>
      <c r="H111" s="24">
        <v>1</v>
      </c>
      <c r="I111" s="24">
        <v>3.6</v>
      </c>
      <c r="J111" s="24">
        <v>0</v>
      </c>
      <c r="K111" s="24">
        <v>50</v>
      </c>
      <c r="L111" s="27">
        <v>2208</v>
      </c>
      <c r="M111" s="24" t="s">
        <v>387</v>
      </c>
      <c r="N111" s="24">
        <v>0</v>
      </c>
    </row>
    <row r="112" spans="1:14" ht="15.75" customHeight="1">
      <c r="A112" s="147" t="s">
        <v>391</v>
      </c>
      <c r="B112" s="24">
        <v>5108</v>
      </c>
      <c r="C112" s="24">
        <v>9</v>
      </c>
      <c r="D112" s="24">
        <v>52</v>
      </c>
      <c r="E112" s="24">
        <v>52</v>
      </c>
      <c r="F112" s="24">
        <v>0</v>
      </c>
      <c r="G112" s="24">
        <v>0</v>
      </c>
      <c r="H112" s="24">
        <v>1</v>
      </c>
      <c r="I112" s="24">
        <v>3.6</v>
      </c>
      <c r="J112" s="24">
        <v>0</v>
      </c>
      <c r="K112" s="24">
        <v>50</v>
      </c>
      <c r="L112" s="27">
        <v>2208</v>
      </c>
      <c r="M112" s="24" t="s">
        <v>387</v>
      </c>
      <c r="N112" s="24">
        <v>0</v>
      </c>
    </row>
    <row r="113" spans="1:14" ht="15.75" customHeight="1">
      <c r="A113" s="147" t="s">
        <v>391</v>
      </c>
      <c r="B113" s="24">
        <v>5108</v>
      </c>
      <c r="C113" s="24">
        <v>10</v>
      </c>
      <c r="D113" s="24">
        <v>56</v>
      </c>
      <c r="E113" s="24">
        <v>56</v>
      </c>
      <c r="F113" s="24">
        <v>0</v>
      </c>
      <c r="G113" s="24">
        <v>0</v>
      </c>
      <c r="H113" s="24">
        <v>1</v>
      </c>
      <c r="I113" s="24">
        <v>3.6</v>
      </c>
      <c r="J113" s="24">
        <v>0</v>
      </c>
      <c r="K113" s="24">
        <v>50</v>
      </c>
      <c r="L113" s="27">
        <v>2208</v>
      </c>
      <c r="M113" s="24" t="s">
        <v>387</v>
      </c>
      <c r="N113" s="24">
        <v>0</v>
      </c>
    </row>
    <row r="114" spans="1:14" ht="15.75" customHeight="1">
      <c r="A114" s="147" t="s">
        <v>391</v>
      </c>
      <c r="B114" s="24">
        <v>5108</v>
      </c>
      <c r="C114" s="24">
        <v>11</v>
      </c>
      <c r="D114" s="24">
        <v>60</v>
      </c>
      <c r="E114" s="24">
        <v>60</v>
      </c>
      <c r="F114" s="24">
        <v>0</v>
      </c>
      <c r="G114" s="24">
        <v>0</v>
      </c>
      <c r="H114" s="24">
        <v>1</v>
      </c>
      <c r="I114" s="24">
        <v>3.6</v>
      </c>
      <c r="J114" s="24">
        <v>0</v>
      </c>
      <c r="K114" s="24">
        <v>50</v>
      </c>
      <c r="L114" s="27">
        <v>2208</v>
      </c>
      <c r="M114" s="24" t="s">
        <v>387</v>
      </c>
      <c r="N114" s="24">
        <v>0</v>
      </c>
    </row>
    <row r="115" spans="1:14" ht="15.75" customHeight="1">
      <c r="A115" s="147" t="s">
        <v>391</v>
      </c>
      <c r="B115" s="24">
        <v>5108</v>
      </c>
      <c r="C115" s="24">
        <v>12</v>
      </c>
      <c r="D115" s="24">
        <v>64</v>
      </c>
      <c r="E115" s="24">
        <v>64</v>
      </c>
      <c r="F115" s="24">
        <v>0</v>
      </c>
      <c r="G115" s="24">
        <v>0</v>
      </c>
      <c r="H115" s="24">
        <v>1</v>
      </c>
      <c r="I115" s="24">
        <v>3.6</v>
      </c>
      <c r="J115" s="24">
        <v>0</v>
      </c>
      <c r="K115" s="24">
        <v>50</v>
      </c>
      <c r="L115" s="27">
        <v>2208</v>
      </c>
      <c r="M115" s="24" t="s">
        <v>387</v>
      </c>
      <c r="N115" s="24">
        <v>0</v>
      </c>
    </row>
    <row r="116" spans="1:14" ht="15.75" customHeight="1">
      <c r="A116" s="147" t="s">
        <v>391</v>
      </c>
      <c r="B116" s="24">
        <v>5108</v>
      </c>
      <c r="C116" s="24">
        <v>13</v>
      </c>
      <c r="D116" s="24">
        <v>68</v>
      </c>
      <c r="E116" s="24">
        <v>68</v>
      </c>
      <c r="F116" s="24">
        <v>0</v>
      </c>
      <c r="G116" s="24">
        <v>0</v>
      </c>
      <c r="H116" s="24">
        <v>1</v>
      </c>
      <c r="I116" s="24">
        <v>3.6</v>
      </c>
      <c r="J116" s="24">
        <v>0</v>
      </c>
      <c r="K116" s="24">
        <v>50</v>
      </c>
      <c r="L116" s="27">
        <v>2208</v>
      </c>
      <c r="M116" s="24" t="s">
        <v>387</v>
      </c>
      <c r="N116" s="24">
        <v>0</v>
      </c>
    </row>
    <row r="117" spans="1:14" ht="15.75" customHeight="1">
      <c r="A117" s="147" t="s">
        <v>391</v>
      </c>
      <c r="B117" s="24">
        <v>5108</v>
      </c>
      <c r="C117" s="24">
        <v>14</v>
      </c>
      <c r="D117" s="24">
        <v>72</v>
      </c>
      <c r="E117" s="24">
        <v>72</v>
      </c>
      <c r="F117" s="24">
        <v>0</v>
      </c>
      <c r="G117" s="24">
        <v>0</v>
      </c>
      <c r="H117" s="24">
        <v>1</v>
      </c>
      <c r="I117" s="24">
        <v>3.6</v>
      </c>
      <c r="J117" s="24">
        <v>0</v>
      </c>
      <c r="K117" s="24">
        <v>50</v>
      </c>
      <c r="L117" s="27">
        <v>2208</v>
      </c>
      <c r="M117" s="24" t="s">
        <v>387</v>
      </c>
      <c r="N117" s="24">
        <v>0</v>
      </c>
    </row>
    <row r="118" spans="1:14" ht="15.75" customHeight="1">
      <c r="A118" s="147" t="s">
        <v>391</v>
      </c>
      <c r="B118" s="24">
        <v>5108</v>
      </c>
      <c r="C118" s="24">
        <v>15</v>
      </c>
      <c r="D118" s="24">
        <v>76</v>
      </c>
      <c r="E118" s="24">
        <v>76</v>
      </c>
      <c r="F118" s="24">
        <v>0</v>
      </c>
      <c r="G118" s="24">
        <v>0</v>
      </c>
      <c r="H118" s="24">
        <v>1</v>
      </c>
      <c r="I118" s="24">
        <v>3.6</v>
      </c>
      <c r="J118" s="24">
        <v>0</v>
      </c>
      <c r="K118" s="24">
        <v>50</v>
      </c>
      <c r="L118" s="27">
        <v>2208</v>
      </c>
      <c r="M118" s="24" t="s">
        <v>387</v>
      </c>
      <c r="N118" s="24">
        <v>0</v>
      </c>
    </row>
    <row r="119" spans="1:14" ht="15.75" customHeight="1">
      <c r="A119" s="147" t="s">
        <v>391</v>
      </c>
      <c r="B119" s="24">
        <v>5108</v>
      </c>
      <c r="C119" s="24">
        <v>16</v>
      </c>
      <c r="D119" s="24">
        <v>80</v>
      </c>
      <c r="E119" s="24">
        <v>80</v>
      </c>
      <c r="F119" s="24">
        <v>0</v>
      </c>
      <c r="G119" s="24">
        <v>0</v>
      </c>
      <c r="H119" s="24">
        <v>1</v>
      </c>
      <c r="I119" s="24">
        <v>3.6</v>
      </c>
      <c r="J119" s="24">
        <v>0</v>
      </c>
      <c r="K119" s="24">
        <v>50</v>
      </c>
      <c r="L119" s="27">
        <v>2208</v>
      </c>
      <c r="M119" s="24" t="s">
        <v>387</v>
      </c>
      <c r="N119" s="24">
        <v>0</v>
      </c>
    </row>
    <row r="120" spans="1:14" ht="15.75" customHeight="1">
      <c r="A120" s="147" t="s">
        <v>391</v>
      </c>
      <c r="B120" s="24">
        <v>5108</v>
      </c>
      <c r="C120" s="24">
        <v>17</v>
      </c>
      <c r="D120" s="24">
        <v>84</v>
      </c>
      <c r="E120" s="24">
        <v>84</v>
      </c>
      <c r="F120" s="24">
        <v>0</v>
      </c>
      <c r="G120" s="24">
        <v>0</v>
      </c>
      <c r="H120" s="24">
        <v>1</v>
      </c>
      <c r="I120" s="24">
        <v>3.6</v>
      </c>
      <c r="J120" s="24">
        <v>0</v>
      </c>
      <c r="K120" s="24">
        <v>50</v>
      </c>
      <c r="L120" s="27">
        <v>2208</v>
      </c>
      <c r="M120" s="24" t="s">
        <v>387</v>
      </c>
      <c r="N120" s="24">
        <v>0</v>
      </c>
    </row>
    <row r="121" spans="1:14" ht="15.75" customHeight="1">
      <c r="A121" s="147" t="s">
        <v>391</v>
      </c>
      <c r="B121" s="24">
        <v>5108</v>
      </c>
      <c r="C121" s="24">
        <v>18</v>
      </c>
      <c r="D121" s="24">
        <v>88</v>
      </c>
      <c r="E121" s="24">
        <v>88</v>
      </c>
      <c r="F121" s="24">
        <v>0</v>
      </c>
      <c r="G121" s="24">
        <v>0</v>
      </c>
      <c r="H121" s="24">
        <v>1</v>
      </c>
      <c r="I121" s="24">
        <v>3.6</v>
      </c>
      <c r="J121" s="24">
        <v>0</v>
      </c>
      <c r="K121" s="24">
        <v>50</v>
      </c>
      <c r="L121" s="27">
        <v>2208</v>
      </c>
      <c r="M121" s="24" t="s">
        <v>387</v>
      </c>
      <c r="N121" s="24">
        <v>0</v>
      </c>
    </row>
    <row r="122" spans="1:14" ht="15.75" customHeight="1">
      <c r="A122" s="147" t="s">
        <v>391</v>
      </c>
      <c r="B122" s="24">
        <v>5108</v>
      </c>
      <c r="C122" s="24">
        <v>19</v>
      </c>
      <c r="D122" s="24">
        <v>92</v>
      </c>
      <c r="E122" s="24">
        <v>92</v>
      </c>
      <c r="F122" s="24">
        <v>0</v>
      </c>
      <c r="G122" s="24">
        <v>0</v>
      </c>
      <c r="H122" s="24">
        <v>1</v>
      </c>
      <c r="I122" s="24">
        <v>3.6</v>
      </c>
      <c r="J122" s="24">
        <v>0</v>
      </c>
      <c r="K122" s="24">
        <v>50</v>
      </c>
      <c r="L122" s="27">
        <v>2208</v>
      </c>
      <c r="M122" s="24" t="s">
        <v>387</v>
      </c>
      <c r="N122" s="24">
        <v>0</v>
      </c>
    </row>
    <row r="123" spans="1:14" ht="15.75" customHeight="1">
      <c r="A123" s="147" t="s">
        <v>391</v>
      </c>
      <c r="B123" s="24">
        <v>5108</v>
      </c>
      <c r="C123" s="24">
        <v>20</v>
      </c>
      <c r="D123" s="24">
        <v>96</v>
      </c>
      <c r="E123" s="24">
        <v>96</v>
      </c>
      <c r="F123" s="24">
        <v>0</v>
      </c>
      <c r="G123" s="24">
        <v>0</v>
      </c>
      <c r="H123" s="24">
        <v>1</v>
      </c>
      <c r="I123" s="24">
        <v>3.6</v>
      </c>
      <c r="J123" s="24">
        <v>0</v>
      </c>
      <c r="K123" s="24">
        <v>50</v>
      </c>
      <c r="L123" s="27">
        <v>2208</v>
      </c>
      <c r="M123" s="24" t="s">
        <v>387</v>
      </c>
      <c r="N123" s="24">
        <v>0</v>
      </c>
    </row>
    <row r="124" spans="1:14" ht="15.75" customHeight="1">
      <c r="A124" s="147" t="s">
        <v>391</v>
      </c>
      <c r="B124" s="24">
        <v>5108</v>
      </c>
      <c r="C124" s="24">
        <v>21</v>
      </c>
      <c r="D124" s="24">
        <v>100</v>
      </c>
      <c r="E124" s="24">
        <v>100</v>
      </c>
      <c r="F124" s="24">
        <v>0</v>
      </c>
      <c r="G124" s="24">
        <v>0</v>
      </c>
      <c r="H124" s="24">
        <v>1</v>
      </c>
      <c r="I124" s="24">
        <v>3.6</v>
      </c>
      <c r="J124" s="24">
        <v>0</v>
      </c>
      <c r="K124" s="24">
        <v>50</v>
      </c>
      <c r="L124" s="27">
        <v>2208</v>
      </c>
      <c r="M124" s="24" t="s">
        <v>387</v>
      </c>
      <c r="N124" s="24">
        <v>0</v>
      </c>
    </row>
    <row r="125" spans="1:14" ht="15.75" customHeight="1">
      <c r="A125" s="147" t="s">
        <v>391</v>
      </c>
      <c r="B125" s="24">
        <v>5108</v>
      </c>
      <c r="C125" s="24">
        <v>22</v>
      </c>
      <c r="D125" s="24">
        <v>104</v>
      </c>
      <c r="E125" s="24">
        <v>104</v>
      </c>
      <c r="F125" s="24">
        <v>0</v>
      </c>
      <c r="G125" s="24">
        <v>0</v>
      </c>
      <c r="H125" s="24">
        <v>1</v>
      </c>
      <c r="I125" s="24">
        <v>3.6</v>
      </c>
      <c r="J125" s="24">
        <v>0</v>
      </c>
      <c r="K125" s="24">
        <v>50</v>
      </c>
      <c r="L125" s="27">
        <v>2208</v>
      </c>
      <c r="M125" s="24" t="s">
        <v>387</v>
      </c>
      <c r="N125" s="24">
        <v>0</v>
      </c>
    </row>
    <row r="126" spans="1:14" ht="15.75" customHeight="1">
      <c r="A126" s="147" t="s">
        <v>391</v>
      </c>
      <c r="B126" s="24">
        <v>5108</v>
      </c>
      <c r="C126" s="24">
        <v>23</v>
      </c>
      <c r="D126" s="24">
        <v>108</v>
      </c>
      <c r="E126" s="24">
        <v>108</v>
      </c>
      <c r="F126" s="24">
        <v>0</v>
      </c>
      <c r="G126" s="24">
        <v>0</v>
      </c>
      <c r="H126" s="24">
        <v>1</v>
      </c>
      <c r="I126" s="24">
        <v>3.6</v>
      </c>
      <c r="J126" s="24">
        <v>0</v>
      </c>
      <c r="K126" s="24">
        <v>50</v>
      </c>
      <c r="L126" s="27">
        <v>2208</v>
      </c>
      <c r="M126" s="24" t="s">
        <v>387</v>
      </c>
      <c r="N126" s="24">
        <v>0</v>
      </c>
    </row>
    <row r="127" spans="1:14" ht="15.75" customHeight="1">
      <c r="A127" s="147" t="s">
        <v>391</v>
      </c>
      <c r="B127" s="24">
        <v>5108</v>
      </c>
      <c r="C127" s="24">
        <v>24</v>
      </c>
      <c r="D127" s="24">
        <v>112</v>
      </c>
      <c r="E127" s="24">
        <v>112</v>
      </c>
      <c r="F127" s="24">
        <v>0</v>
      </c>
      <c r="G127" s="24">
        <v>0</v>
      </c>
      <c r="H127" s="24">
        <v>1</v>
      </c>
      <c r="I127" s="24">
        <v>3.6</v>
      </c>
      <c r="J127" s="24">
        <v>0</v>
      </c>
      <c r="K127" s="24">
        <v>50</v>
      </c>
      <c r="L127" s="27">
        <v>2208</v>
      </c>
      <c r="M127" s="24" t="s">
        <v>387</v>
      </c>
      <c r="N127" s="24">
        <v>0</v>
      </c>
    </row>
    <row r="128" spans="1:14" ht="15.75" customHeight="1">
      <c r="A128" s="147" t="s">
        <v>391</v>
      </c>
      <c r="B128" s="24">
        <v>5108</v>
      </c>
      <c r="C128" s="24">
        <v>25</v>
      </c>
      <c r="D128" s="24">
        <v>120</v>
      </c>
      <c r="E128" s="24">
        <v>120</v>
      </c>
      <c r="F128" s="24">
        <v>0</v>
      </c>
      <c r="G128" s="24">
        <v>0</v>
      </c>
      <c r="H128" s="24">
        <v>1</v>
      </c>
      <c r="I128" s="24">
        <v>3.6</v>
      </c>
      <c r="J128" s="24">
        <v>0</v>
      </c>
      <c r="K128" s="24">
        <v>50</v>
      </c>
      <c r="L128" s="27">
        <v>2208</v>
      </c>
      <c r="M128" s="24" t="s">
        <v>387</v>
      </c>
      <c r="N128" s="24">
        <v>0</v>
      </c>
    </row>
    <row r="129" spans="1:14" ht="15.75" customHeight="1">
      <c r="A129" s="147" t="s">
        <v>392</v>
      </c>
      <c r="B129" s="24">
        <v>5109</v>
      </c>
      <c r="C129" s="24">
        <v>1</v>
      </c>
      <c r="D129" s="24">
        <v>30</v>
      </c>
      <c r="E129" s="24">
        <v>1</v>
      </c>
      <c r="F129" s="24">
        <v>0</v>
      </c>
      <c r="G129" s="24">
        <v>0</v>
      </c>
      <c r="H129" s="24">
        <v>1</v>
      </c>
      <c r="I129" s="24">
        <v>0.25</v>
      </c>
      <c r="J129" s="24">
        <v>7.5</v>
      </c>
      <c r="K129" s="24">
        <v>50</v>
      </c>
      <c r="L129" s="27">
        <v>2209</v>
      </c>
      <c r="M129" s="24" t="s">
        <v>387</v>
      </c>
      <c r="N129" s="24">
        <v>0</v>
      </c>
    </row>
    <row r="130" spans="1:14" ht="15.75" customHeight="1">
      <c r="A130" s="147" t="s">
        <v>392</v>
      </c>
      <c r="B130" s="24">
        <v>5109</v>
      </c>
      <c r="C130" s="24">
        <v>2</v>
      </c>
      <c r="D130" s="24">
        <v>32</v>
      </c>
      <c r="E130" s="24">
        <v>1</v>
      </c>
      <c r="F130" s="24">
        <v>0</v>
      </c>
      <c r="G130" s="24">
        <v>0</v>
      </c>
      <c r="H130" s="24">
        <v>1</v>
      </c>
      <c r="I130" s="24">
        <v>0.25</v>
      </c>
      <c r="J130" s="24">
        <v>8</v>
      </c>
      <c r="K130" s="24">
        <v>50</v>
      </c>
      <c r="L130" s="27">
        <v>2209</v>
      </c>
      <c r="M130" s="24" t="s">
        <v>387</v>
      </c>
      <c r="N130" s="24">
        <v>0</v>
      </c>
    </row>
    <row r="131" spans="1:14" ht="15.75" customHeight="1">
      <c r="A131" s="147" t="s">
        <v>392</v>
      </c>
      <c r="B131" s="24">
        <v>5109</v>
      </c>
      <c r="C131" s="24">
        <v>3</v>
      </c>
      <c r="D131" s="24">
        <v>34</v>
      </c>
      <c r="E131" s="24">
        <v>1</v>
      </c>
      <c r="F131" s="24">
        <v>0</v>
      </c>
      <c r="G131" s="24">
        <v>0</v>
      </c>
      <c r="H131" s="24">
        <v>1</v>
      </c>
      <c r="I131" s="24">
        <v>0.25</v>
      </c>
      <c r="J131" s="24">
        <v>8.5</v>
      </c>
      <c r="K131" s="24">
        <v>50</v>
      </c>
      <c r="L131" s="27">
        <v>2209</v>
      </c>
      <c r="M131" s="24" t="s">
        <v>387</v>
      </c>
      <c r="N131" s="24">
        <v>0</v>
      </c>
    </row>
    <row r="132" spans="1:14" ht="15.75" customHeight="1">
      <c r="A132" s="147" t="s">
        <v>392</v>
      </c>
      <c r="B132" s="24">
        <v>5109</v>
      </c>
      <c r="C132" s="24">
        <v>4</v>
      </c>
      <c r="D132" s="24">
        <v>36</v>
      </c>
      <c r="E132" s="24">
        <v>1</v>
      </c>
      <c r="F132" s="24">
        <v>0</v>
      </c>
      <c r="G132" s="24">
        <v>0</v>
      </c>
      <c r="H132" s="24">
        <v>1</v>
      </c>
      <c r="I132" s="24">
        <v>0.25</v>
      </c>
      <c r="J132" s="24">
        <v>9</v>
      </c>
      <c r="K132" s="24">
        <v>50</v>
      </c>
      <c r="L132" s="27">
        <v>2209</v>
      </c>
      <c r="M132" s="24" t="s">
        <v>387</v>
      </c>
      <c r="N132" s="24">
        <v>0</v>
      </c>
    </row>
    <row r="133" spans="1:14" ht="15.75" customHeight="1">
      <c r="A133" s="147" t="s">
        <v>392</v>
      </c>
      <c r="B133" s="24">
        <v>5109</v>
      </c>
      <c r="C133" s="24">
        <v>5</v>
      </c>
      <c r="D133" s="24">
        <v>38</v>
      </c>
      <c r="E133" s="24">
        <v>1</v>
      </c>
      <c r="F133" s="24">
        <v>0</v>
      </c>
      <c r="G133" s="24">
        <v>0</v>
      </c>
      <c r="H133" s="24">
        <v>1</v>
      </c>
      <c r="I133" s="24">
        <v>0.25</v>
      </c>
      <c r="J133" s="24">
        <v>9.5</v>
      </c>
      <c r="K133" s="24">
        <v>50</v>
      </c>
      <c r="L133" s="27">
        <v>2209</v>
      </c>
      <c r="M133" s="24" t="s">
        <v>387</v>
      </c>
      <c r="N133" s="24">
        <v>0</v>
      </c>
    </row>
    <row r="134" spans="1:14" ht="15.75" customHeight="1">
      <c r="A134" s="147" t="s">
        <v>392</v>
      </c>
      <c r="B134" s="24">
        <v>5109</v>
      </c>
      <c r="C134" s="24">
        <v>6</v>
      </c>
      <c r="D134" s="24">
        <v>40</v>
      </c>
      <c r="E134" s="24">
        <v>1</v>
      </c>
      <c r="F134" s="24">
        <v>0</v>
      </c>
      <c r="G134" s="24">
        <v>0</v>
      </c>
      <c r="H134" s="24">
        <v>1</v>
      </c>
      <c r="I134" s="24">
        <v>0.25</v>
      </c>
      <c r="J134" s="24">
        <v>10</v>
      </c>
      <c r="K134" s="24">
        <v>50</v>
      </c>
      <c r="L134" s="27">
        <v>2209</v>
      </c>
      <c r="M134" s="24" t="s">
        <v>387</v>
      </c>
      <c r="N134" s="24">
        <v>0</v>
      </c>
    </row>
    <row r="135" spans="1:14" ht="15.75" customHeight="1">
      <c r="A135" s="147" t="s">
        <v>392</v>
      </c>
      <c r="B135" s="24">
        <v>5109</v>
      </c>
      <c r="C135" s="24">
        <v>7</v>
      </c>
      <c r="D135" s="24">
        <v>44</v>
      </c>
      <c r="E135" s="24">
        <v>1.1000000000000001</v>
      </c>
      <c r="F135" s="24">
        <v>0</v>
      </c>
      <c r="G135" s="24">
        <v>0</v>
      </c>
      <c r="H135" s="24">
        <v>1</v>
      </c>
      <c r="I135" s="24">
        <v>0.25</v>
      </c>
      <c r="J135" s="24">
        <v>10</v>
      </c>
      <c r="K135" s="24">
        <v>50</v>
      </c>
      <c r="L135" s="27">
        <v>2209</v>
      </c>
      <c r="M135" s="24" t="s">
        <v>387</v>
      </c>
      <c r="N135" s="24">
        <v>0</v>
      </c>
    </row>
    <row r="136" spans="1:14" ht="15.75" customHeight="1">
      <c r="A136" s="147" t="s">
        <v>392</v>
      </c>
      <c r="B136" s="24">
        <v>5109</v>
      </c>
      <c r="C136" s="24">
        <v>8</v>
      </c>
      <c r="D136" s="24">
        <v>48</v>
      </c>
      <c r="E136" s="24">
        <v>1.2</v>
      </c>
      <c r="F136" s="24">
        <v>0</v>
      </c>
      <c r="G136" s="24">
        <v>0</v>
      </c>
      <c r="H136" s="24">
        <v>1</v>
      </c>
      <c r="I136" s="24">
        <v>0.25</v>
      </c>
      <c r="J136" s="24">
        <v>10</v>
      </c>
      <c r="K136" s="24">
        <v>50</v>
      </c>
      <c r="L136" s="27">
        <v>2209</v>
      </c>
      <c r="M136" s="24" t="s">
        <v>387</v>
      </c>
      <c r="N136" s="24">
        <v>0</v>
      </c>
    </row>
    <row r="137" spans="1:14" ht="15.75" customHeight="1">
      <c r="A137" s="147" t="s">
        <v>392</v>
      </c>
      <c r="B137" s="24">
        <v>5109</v>
      </c>
      <c r="C137" s="24">
        <v>9</v>
      </c>
      <c r="D137" s="24">
        <v>52</v>
      </c>
      <c r="E137" s="24">
        <v>1.3</v>
      </c>
      <c r="F137" s="24">
        <v>0</v>
      </c>
      <c r="G137" s="24">
        <v>0</v>
      </c>
      <c r="H137" s="24">
        <v>1</v>
      </c>
      <c r="I137" s="24">
        <v>0.25</v>
      </c>
      <c r="J137" s="24">
        <v>10</v>
      </c>
      <c r="K137" s="24">
        <v>50</v>
      </c>
      <c r="L137" s="27">
        <v>2209</v>
      </c>
      <c r="M137" s="24" t="s">
        <v>387</v>
      </c>
      <c r="N137" s="24">
        <v>0</v>
      </c>
    </row>
    <row r="138" spans="1:14" ht="15.75" customHeight="1">
      <c r="A138" s="147" t="s">
        <v>392</v>
      </c>
      <c r="B138" s="24">
        <v>5109</v>
      </c>
      <c r="C138" s="24">
        <v>10</v>
      </c>
      <c r="D138" s="24">
        <v>56</v>
      </c>
      <c r="E138" s="24">
        <v>1.4</v>
      </c>
      <c r="F138" s="24">
        <v>0</v>
      </c>
      <c r="G138" s="24">
        <v>0</v>
      </c>
      <c r="H138" s="24">
        <v>1</v>
      </c>
      <c r="I138" s="24">
        <v>0.25</v>
      </c>
      <c r="J138" s="24">
        <v>10</v>
      </c>
      <c r="K138" s="24">
        <v>50</v>
      </c>
      <c r="L138" s="27">
        <v>2209</v>
      </c>
      <c r="M138" s="24" t="s">
        <v>387</v>
      </c>
      <c r="N138" s="24">
        <v>0</v>
      </c>
    </row>
    <row r="139" spans="1:14" ht="15.75" customHeight="1">
      <c r="A139" s="147" t="s">
        <v>392</v>
      </c>
      <c r="B139" s="24">
        <v>5109</v>
      </c>
      <c r="C139" s="24">
        <v>11</v>
      </c>
      <c r="D139" s="24">
        <v>60</v>
      </c>
      <c r="E139" s="24">
        <v>1.5</v>
      </c>
      <c r="F139" s="24">
        <v>0</v>
      </c>
      <c r="G139" s="24">
        <v>0</v>
      </c>
      <c r="H139" s="24">
        <v>1</v>
      </c>
      <c r="I139" s="24">
        <v>0.25</v>
      </c>
      <c r="J139" s="24">
        <v>10</v>
      </c>
      <c r="K139" s="24">
        <v>50</v>
      </c>
      <c r="L139" s="27">
        <v>2209</v>
      </c>
      <c r="M139" s="24" t="s">
        <v>387</v>
      </c>
      <c r="N139" s="24">
        <v>0</v>
      </c>
    </row>
    <row r="140" spans="1:14" ht="15.75" customHeight="1">
      <c r="A140" s="147" t="s">
        <v>392</v>
      </c>
      <c r="B140" s="24">
        <v>5109</v>
      </c>
      <c r="C140" s="24">
        <v>12</v>
      </c>
      <c r="D140" s="24">
        <v>64</v>
      </c>
      <c r="E140" s="24">
        <v>1.6</v>
      </c>
      <c r="F140" s="24">
        <v>0</v>
      </c>
      <c r="G140" s="24">
        <v>0</v>
      </c>
      <c r="H140" s="24">
        <v>1</v>
      </c>
      <c r="I140" s="24">
        <v>0.25</v>
      </c>
      <c r="J140" s="24">
        <v>10</v>
      </c>
      <c r="K140" s="24">
        <v>50</v>
      </c>
      <c r="L140" s="27">
        <v>2209</v>
      </c>
      <c r="M140" s="24" t="s">
        <v>387</v>
      </c>
      <c r="N140" s="24">
        <v>0</v>
      </c>
    </row>
    <row r="141" spans="1:14" ht="15.75" customHeight="1">
      <c r="A141" s="147" t="s">
        <v>392</v>
      </c>
      <c r="B141" s="24">
        <v>5109</v>
      </c>
      <c r="C141" s="24">
        <v>13</v>
      </c>
      <c r="D141" s="24">
        <v>68</v>
      </c>
      <c r="E141" s="24">
        <v>1.7</v>
      </c>
      <c r="F141" s="24">
        <v>0</v>
      </c>
      <c r="G141" s="24">
        <v>0</v>
      </c>
      <c r="H141" s="24">
        <v>1</v>
      </c>
      <c r="I141" s="24">
        <v>0.25</v>
      </c>
      <c r="J141" s="24">
        <v>10</v>
      </c>
      <c r="K141" s="24">
        <v>50</v>
      </c>
      <c r="L141" s="27">
        <v>2209</v>
      </c>
      <c r="M141" s="24" t="s">
        <v>387</v>
      </c>
      <c r="N141" s="24">
        <v>0</v>
      </c>
    </row>
    <row r="142" spans="1:14" ht="15.75" customHeight="1">
      <c r="A142" s="147" t="s">
        <v>392</v>
      </c>
      <c r="B142" s="24">
        <v>5109</v>
      </c>
      <c r="C142" s="24">
        <v>14</v>
      </c>
      <c r="D142" s="24">
        <v>72</v>
      </c>
      <c r="E142" s="24">
        <v>1.8</v>
      </c>
      <c r="F142" s="24">
        <v>0</v>
      </c>
      <c r="G142" s="24">
        <v>0</v>
      </c>
      <c r="H142" s="24">
        <v>1</v>
      </c>
      <c r="I142" s="24">
        <v>0.25</v>
      </c>
      <c r="J142" s="24">
        <v>10</v>
      </c>
      <c r="K142" s="24">
        <v>50</v>
      </c>
      <c r="L142" s="27">
        <v>2209</v>
      </c>
      <c r="M142" s="24" t="s">
        <v>387</v>
      </c>
      <c r="N142" s="24">
        <v>0</v>
      </c>
    </row>
    <row r="143" spans="1:14" ht="15.75" customHeight="1">
      <c r="A143" s="147" t="s">
        <v>392</v>
      </c>
      <c r="B143" s="24">
        <v>5109</v>
      </c>
      <c r="C143" s="24">
        <v>15</v>
      </c>
      <c r="D143" s="24">
        <v>76</v>
      </c>
      <c r="E143" s="24">
        <v>1.9</v>
      </c>
      <c r="F143" s="24">
        <v>0</v>
      </c>
      <c r="G143" s="24">
        <v>0</v>
      </c>
      <c r="H143" s="24">
        <v>1</v>
      </c>
      <c r="I143" s="24">
        <v>0.25</v>
      </c>
      <c r="J143" s="24">
        <v>10</v>
      </c>
      <c r="K143" s="24">
        <v>50</v>
      </c>
      <c r="L143" s="27">
        <v>2209</v>
      </c>
      <c r="M143" s="24" t="s">
        <v>387</v>
      </c>
      <c r="N143" s="24">
        <v>0</v>
      </c>
    </row>
    <row r="144" spans="1:14" ht="15.75" customHeight="1">
      <c r="A144" s="147" t="s">
        <v>392</v>
      </c>
      <c r="B144" s="24">
        <v>5109</v>
      </c>
      <c r="C144" s="24">
        <v>16</v>
      </c>
      <c r="D144" s="24">
        <v>80</v>
      </c>
      <c r="E144" s="24">
        <v>2</v>
      </c>
      <c r="F144" s="24">
        <v>0</v>
      </c>
      <c r="G144" s="24">
        <v>0</v>
      </c>
      <c r="H144" s="24">
        <v>1</v>
      </c>
      <c r="I144" s="24">
        <v>0.25</v>
      </c>
      <c r="J144" s="24">
        <v>10</v>
      </c>
      <c r="K144" s="24">
        <v>50</v>
      </c>
      <c r="L144" s="27">
        <v>2209</v>
      </c>
      <c r="M144" s="24" t="s">
        <v>387</v>
      </c>
      <c r="N144" s="24">
        <v>0</v>
      </c>
    </row>
    <row r="145" spans="1:14" ht="15.75" customHeight="1">
      <c r="A145" s="147" t="s">
        <v>392</v>
      </c>
      <c r="B145" s="24">
        <v>5109</v>
      </c>
      <c r="C145" s="24">
        <v>17</v>
      </c>
      <c r="D145" s="24">
        <v>84</v>
      </c>
      <c r="E145" s="24">
        <v>2</v>
      </c>
      <c r="F145" s="24">
        <v>0</v>
      </c>
      <c r="G145" s="24">
        <v>0</v>
      </c>
      <c r="H145" s="24">
        <v>1</v>
      </c>
      <c r="I145" s="24">
        <v>0.25</v>
      </c>
      <c r="J145" s="24">
        <v>10.5</v>
      </c>
      <c r="K145" s="24">
        <v>50</v>
      </c>
      <c r="L145" s="27">
        <v>2209</v>
      </c>
      <c r="M145" s="24" t="s">
        <v>387</v>
      </c>
      <c r="N145" s="24">
        <v>0</v>
      </c>
    </row>
    <row r="146" spans="1:14" ht="15.75" customHeight="1">
      <c r="A146" s="147" t="s">
        <v>392</v>
      </c>
      <c r="B146" s="24">
        <v>5109</v>
      </c>
      <c r="C146" s="24">
        <v>18</v>
      </c>
      <c r="D146" s="24">
        <v>88</v>
      </c>
      <c r="E146" s="24">
        <v>2</v>
      </c>
      <c r="F146" s="24">
        <v>0</v>
      </c>
      <c r="G146" s="24">
        <v>0</v>
      </c>
      <c r="H146" s="24">
        <v>1</v>
      </c>
      <c r="I146" s="24">
        <v>0.25</v>
      </c>
      <c r="J146" s="24">
        <v>11</v>
      </c>
      <c r="K146" s="24">
        <v>50</v>
      </c>
      <c r="L146" s="27">
        <v>2209</v>
      </c>
      <c r="M146" s="24" t="s">
        <v>387</v>
      </c>
      <c r="N146" s="24">
        <v>0</v>
      </c>
    </row>
    <row r="147" spans="1:14" ht="15.75" customHeight="1">
      <c r="A147" s="147" t="s">
        <v>392</v>
      </c>
      <c r="B147" s="24">
        <v>5109</v>
      </c>
      <c r="C147" s="24">
        <v>19</v>
      </c>
      <c r="D147" s="24">
        <v>92</v>
      </c>
      <c r="E147" s="24">
        <v>2</v>
      </c>
      <c r="F147" s="24">
        <v>0</v>
      </c>
      <c r="G147" s="24">
        <v>0</v>
      </c>
      <c r="H147" s="24">
        <v>1</v>
      </c>
      <c r="I147" s="24">
        <v>0.25</v>
      </c>
      <c r="J147" s="24">
        <v>11.5</v>
      </c>
      <c r="K147" s="24">
        <v>50</v>
      </c>
      <c r="L147" s="27">
        <v>2209</v>
      </c>
      <c r="M147" s="24" t="s">
        <v>387</v>
      </c>
      <c r="N147" s="24">
        <v>0</v>
      </c>
    </row>
    <row r="148" spans="1:14" ht="15.75" customHeight="1">
      <c r="A148" s="147" t="s">
        <v>392</v>
      </c>
      <c r="B148" s="24">
        <v>5109</v>
      </c>
      <c r="C148" s="24">
        <v>20</v>
      </c>
      <c r="D148" s="24">
        <v>96</v>
      </c>
      <c r="E148" s="24">
        <v>2</v>
      </c>
      <c r="F148" s="24">
        <v>0</v>
      </c>
      <c r="G148" s="24">
        <v>0</v>
      </c>
      <c r="H148" s="24">
        <v>1</v>
      </c>
      <c r="I148" s="24">
        <v>0.25</v>
      </c>
      <c r="J148" s="24">
        <v>12</v>
      </c>
      <c r="K148" s="24">
        <v>50</v>
      </c>
      <c r="L148" s="27">
        <v>2209</v>
      </c>
      <c r="M148" s="24" t="s">
        <v>387</v>
      </c>
      <c r="N148" s="24">
        <v>0</v>
      </c>
    </row>
    <row r="149" spans="1:14" ht="15.75" customHeight="1">
      <c r="A149" s="147" t="s">
        <v>392</v>
      </c>
      <c r="B149" s="24">
        <v>5109</v>
      </c>
      <c r="C149" s="24">
        <v>21</v>
      </c>
      <c r="D149" s="24">
        <v>100</v>
      </c>
      <c r="E149" s="24">
        <v>2</v>
      </c>
      <c r="F149" s="24">
        <v>0</v>
      </c>
      <c r="G149" s="24">
        <v>0</v>
      </c>
      <c r="H149" s="24">
        <v>1</v>
      </c>
      <c r="I149" s="24">
        <v>0.25</v>
      </c>
      <c r="J149" s="24">
        <v>12.5</v>
      </c>
      <c r="K149" s="24">
        <v>50</v>
      </c>
      <c r="L149" s="27">
        <v>2209</v>
      </c>
      <c r="M149" s="24" t="s">
        <v>387</v>
      </c>
      <c r="N149" s="24">
        <v>0</v>
      </c>
    </row>
    <row r="150" spans="1:14" ht="15.75" customHeight="1">
      <c r="A150" s="147" t="s">
        <v>392</v>
      </c>
      <c r="B150" s="24">
        <v>5109</v>
      </c>
      <c r="C150" s="24">
        <v>22</v>
      </c>
      <c r="D150" s="24">
        <v>104</v>
      </c>
      <c r="E150" s="24">
        <v>2</v>
      </c>
      <c r="F150" s="24">
        <v>0</v>
      </c>
      <c r="G150" s="24">
        <v>0</v>
      </c>
      <c r="H150" s="24">
        <v>1</v>
      </c>
      <c r="I150" s="24">
        <v>0.25</v>
      </c>
      <c r="J150" s="24">
        <v>13</v>
      </c>
      <c r="K150" s="24">
        <v>50</v>
      </c>
      <c r="L150" s="27">
        <v>2209</v>
      </c>
      <c r="M150" s="24" t="s">
        <v>387</v>
      </c>
      <c r="N150" s="24">
        <v>0</v>
      </c>
    </row>
    <row r="151" spans="1:14" ht="15.75" customHeight="1">
      <c r="A151" s="147" t="s">
        <v>392</v>
      </c>
      <c r="B151" s="24">
        <v>5109</v>
      </c>
      <c r="C151" s="24">
        <v>23</v>
      </c>
      <c r="D151" s="24">
        <v>108</v>
      </c>
      <c r="E151" s="24">
        <v>2</v>
      </c>
      <c r="F151" s="24">
        <v>0</v>
      </c>
      <c r="G151" s="24">
        <v>0</v>
      </c>
      <c r="H151" s="24">
        <v>1</v>
      </c>
      <c r="I151" s="24">
        <v>0.25</v>
      </c>
      <c r="J151" s="24">
        <v>13.5</v>
      </c>
      <c r="K151" s="24">
        <v>50</v>
      </c>
      <c r="L151" s="27">
        <v>2209</v>
      </c>
      <c r="M151" s="24" t="s">
        <v>387</v>
      </c>
      <c r="N151" s="24">
        <v>0</v>
      </c>
    </row>
    <row r="152" spans="1:14" ht="15.75" customHeight="1">
      <c r="A152" s="147" t="s">
        <v>392</v>
      </c>
      <c r="B152" s="24">
        <v>5109</v>
      </c>
      <c r="C152" s="24">
        <v>24</v>
      </c>
      <c r="D152" s="24">
        <v>112</v>
      </c>
      <c r="E152" s="24">
        <v>2</v>
      </c>
      <c r="F152" s="24">
        <v>0</v>
      </c>
      <c r="G152" s="24">
        <v>0</v>
      </c>
      <c r="H152" s="24">
        <v>1</v>
      </c>
      <c r="I152" s="24">
        <v>0.25</v>
      </c>
      <c r="J152" s="24">
        <v>14</v>
      </c>
      <c r="K152" s="24">
        <v>50</v>
      </c>
      <c r="L152" s="27">
        <v>2209</v>
      </c>
      <c r="M152" s="24" t="s">
        <v>387</v>
      </c>
      <c r="N152" s="24">
        <v>0</v>
      </c>
    </row>
    <row r="153" spans="1:14" ht="15.75" customHeight="1">
      <c r="A153" s="147" t="s">
        <v>392</v>
      </c>
      <c r="B153" s="24">
        <v>5109</v>
      </c>
      <c r="C153" s="24">
        <v>25</v>
      </c>
      <c r="D153" s="24">
        <v>120</v>
      </c>
      <c r="E153" s="24">
        <v>2</v>
      </c>
      <c r="F153" s="24">
        <v>0</v>
      </c>
      <c r="G153" s="24">
        <v>0</v>
      </c>
      <c r="H153" s="24">
        <v>1</v>
      </c>
      <c r="I153" s="24">
        <v>0.25</v>
      </c>
      <c r="J153" s="24">
        <v>15</v>
      </c>
      <c r="K153" s="24">
        <v>50</v>
      </c>
      <c r="L153" s="27">
        <v>2209</v>
      </c>
      <c r="M153" s="24" t="s">
        <v>387</v>
      </c>
      <c r="N153" s="24">
        <v>0</v>
      </c>
    </row>
    <row r="154" spans="1:14" ht="15.75" customHeight="1">
      <c r="A154" s="147" t="s">
        <v>393</v>
      </c>
      <c r="B154" s="24">
        <v>5110</v>
      </c>
      <c r="C154" s="24">
        <v>1</v>
      </c>
      <c r="D154" s="24">
        <v>60</v>
      </c>
      <c r="E154" s="24">
        <v>1</v>
      </c>
      <c r="F154" s="24">
        <v>0</v>
      </c>
      <c r="G154" s="24">
        <v>0</v>
      </c>
      <c r="H154" s="24">
        <v>30</v>
      </c>
      <c r="I154" s="24">
        <v>0.15</v>
      </c>
      <c r="J154" s="24">
        <v>0</v>
      </c>
      <c r="K154" s="24">
        <v>45</v>
      </c>
      <c r="L154" s="24">
        <v>2210</v>
      </c>
      <c r="M154" s="24" t="s">
        <v>387</v>
      </c>
      <c r="N154" s="24">
        <v>0</v>
      </c>
    </row>
    <row r="155" spans="1:14" ht="15.75" customHeight="1">
      <c r="A155" s="147" t="s">
        <v>393</v>
      </c>
      <c r="B155" s="24">
        <v>5110</v>
      </c>
      <c r="C155" s="24">
        <v>2</v>
      </c>
      <c r="D155" s="24">
        <v>66</v>
      </c>
      <c r="E155" s="24">
        <v>1.1000000000000001</v>
      </c>
      <c r="F155" s="24">
        <v>0</v>
      </c>
      <c r="G155" s="24">
        <v>0</v>
      </c>
      <c r="H155" s="24">
        <v>30</v>
      </c>
      <c r="I155" s="24">
        <v>0.15</v>
      </c>
      <c r="J155" s="24">
        <v>0</v>
      </c>
      <c r="K155" s="24">
        <v>45</v>
      </c>
      <c r="L155" s="24">
        <v>2210</v>
      </c>
      <c r="M155" s="24" t="s">
        <v>387</v>
      </c>
      <c r="N155" s="24">
        <v>0</v>
      </c>
    </row>
    <row r="156" spans="1:14" ht="15.75" customHeight="1">
      <c r="A156" s="147" t="s">
        <v>393</v>
      </c>
      <c r="B156" s="24">
        <v>5110</v>
      </c>
      <c r="C156" s="24">
        <v>3</v>
      </c>
      <c r="D156" s="24">
        <v>72</v>
      </c>
      <c r="E156" s="24">
        <v>1.2</v>
      </c>
      <c r="F156" s="24">
        <v>0</v>
      </c>
      <c r="G156" s="24">
        <v>0</v>
      </c>
      <c r="H156" s="24">
        <v>30</v>
      </c>
      <c r="I156" s="24">
        <v>0.15</v>
      </c>
      <c r="J156" s="24">
        <v>0</v>
      </c>
      <c r="K156" s="24">
        <v>45</v>
      </c>
      <c r="L156" s="24">
        <v>2210</v>
      </c>
      <c r="M156" s="24" t="s">
        <v>387</v>
      </c>
      <c r="N156" s="24">
        <v>0</v>
      </c>
    </row>
    <row r="157" spans="1:14" ht="15.75" customHeight="1">
      <c r="A157" s="147" t="s">
        <v>393</v>
      </c>
      <c r="B157" s="24">
        <v>5110</v>
      </c>
      <c r="C157" s="24">
        <v>4</v>
      </c>
      <c r="D157" s="24">
        <v>78</v>
      </c>
      <c r="E157" s="24">
        <v>1.3</v>
      </c>
      <c r="F157" s="24">
        <v>0</v>
      </c>
      <c r="G157" s="24">
        <v>0</v>
      </c>
      <c r="H157" s="24">
        <v>30</v>
      </c>
      <c r="I157" s="24">
        <v>0.15</v>
      </c>
      <c r="J157" s="24">
        <v>0</v>
      </c>
      <c r="K157" s="24">
        <v>45</v>
      </c>
      <c r="L157" s="24">
        <v>2210</v>
      </c>
      <c r="M157" s="24" t="s">
        <v>387</v>
      </c>
      <c r="N157" s="24">
        <v>0</v>
      </c>
    </row>
    <row r="158" spans="1:14" ht="15.75" customHeight="1">
      <c r="A158" s="147" t="s">
        <v>393</v>
      </c>
      <c r="B158" s="24">
        <v>5110</v>
      </c>
      <c r="C158" s="24">
        <v>5</v>
      </c>
      <c r="D158" s="24">
        <v>84</v>
      </c>
      <c r="E158" s="24">
        <v>1.4</v>
      </c>
      <c r="F158" s="24">
        <v>0</v>
      </c>
      <c r="G158" s="24">
        <v>0</v>
      </c>
      <c r="H158" s="24">
        <v>30</v>
      </c>
      <c r="I158" s="24">
        <v>0.15</v>
      </c>
      <c r="J158" s="24">
        <v>0</v>
      </c>
      <c r="K158" s="24">
        <v>45</v>
      </c>
      <c r="L158" s="24">
        <v>2210</v>
      </c>
      <c r="M158" s="24" t="s">
        <v>387</v>
      </c>
      <c r="N158" s="24">
        <v>0</v>
      </c>
    </row>
    <row r="159" spans="1:14" ht="15.75" customHeight="1">
      <c r="A159" s="147" t="s">
        <v>393</v>
      </c>
      <c r="B159" s="24">
        <v>5110</v>
      </c>
      <c r="C159" s="24">
        <v>6</v>
      </c>
      <c r="D159" s="24">
        <v>90</v>
      </c>
      <c r="E159" s="24">
        <v>1.5</v>
      </c>
      <c r="F159" s="24">
        <v>0</v>
      </c>
      <c r="G159" s="24">
        <v>0</v>
      </c>
      <c r="H159" s="24">
        <v>30</v>
      </c>
      <c r="I159" s="24">
        <v>0.15</v>
      </c>
      <c r="J159" s="24">
        <v>0</v>
      </c>
      <c r="K159" s="24">
        <v>45</v>
      </c>
      <c r="L159" s="24">
        <v>2210</v>
      </c>
      <c r="M159" s="24" t="s">
        <v>387</v>
      </c>
      <c r="N159" s="24">
        <v>0</v>
      </c>
    </row>
    <row r="160" spans="1:14" ht="15.75" customHeight="1">
      <c r="A160" s="147" t="s">
        <v>393</v>
      </c>
      <c r="B160" s="24">
        <v>5110</v>
      </c>
      <c r="C160" s="24">
        <v>7</v>
      </c>
      <c r="D160" s="24">
        <v>96</v>
      </c>
      <c r="E160" s="24">
        <v>1.6</v>
      </c>
      <c r="F160" s="24">
        <v>0</v>
      </c>
      <c r="G160" s="24">
        <v>0</v>
      </c>
      <c r="H160" s="24">
        <v>30</v>
      </c>
      <c r="I160" s="24">
        <v>0.15</v>
      </c>
      <c r="J160" s="24">
        <v>0</v>
      </c>
      <c r="K160" s="24">
        <v>45</v>
      </c>
      <c r="L160" s="24">
        <v>2210</v>
      </c>
      <c r="M160" s="24" t="s">
        <v>387</v>
      </c>
      <c r="N160" s="24">
        <v>0</v>
      </c>
    </row>
    <row r="161" spans="1:14" ht="15.75" customHeight="1">
      <c r="A161" s="147" t="s">
        <v>393</v>
      </c>
      <c r="B161" s="24">
        <v>5110</v>
      </c>
      <c r="C161" s="24">
        <v>8</v>
      </c>
      <c r="D161" s="24">
        <v>102</v>
      </c>
      <c r="E161" s="24">
        <v>1.7</v>
      </c>
      <c r="F161" s="24">
        <v>0</v>
      </c>
      <c r="G161" s="24">
        <v>0</v>
      </c>
      <c r="H161" s="24">
        <v>30</v>
      </c>
      <c r="I161" s="24">
        <v>0.15</v>
      </c>
      <c r="J161" s="24">
        <v>0</v>
      </c>
      <c r="K161" s="24">
        <v>45</v>
      </c>
      <c r="L161" s="24">
        <v>2210</v>
      </c>
      <c r="M161" s="24" t="s">
        <v>387</v>
      </c>
      <c r="N161" s="24">
        <v>0</v>
      </c>
    </row>
    <row r="162" spans="1:14" ht="15.75" customHeight="1">
      <c r="A162" s="147" t="s">
        <v>393</v>
      </c>
      <c r="B162" s="24">
        <v>5110</v>
      </c>
      <c r="C162" s="24">
        <v>9</v>
      </c>
      <c r="D162" s="24">
        <v>108</v>
      </c>
      <c r="E162" s="24">
        <v>1.8</v>
      </c>
      <c r="F162" s="24">
        <v>0</v>
      </c>
      <c r="G162" s="24">
        <v>0</v>
      </c>
      <c r="H162" s="24">
        <v>30</v>
      </c>
      <c r="I162" s="24">
        <v>0.15</v>
      </c>
      <c r="J162" s="24">
        <v>0</v>
      </c>
      <c r="K162" s="24">
        <v>45</v>
      </c>
      <c r="L162" s="24">
        <v>2210</v>
      </c>
      <c r="M162" s="24" t="s">
        <v>387</v>
      </c>
      <c r="N162" s="24">
        <v>0</v>
      </c>
    </row>
    <row r="163" spans="1:14" ht="15.75" customHeight="1">
      <c r="A163" s="147" t="s">
        <v>393</v>
      </c>
      <c r="B163" s="24">
        <v>5110</v>
      </c>
      <c r="C163" s="24">
        <v>10</v>
      </c>
      <c r="D163" s="24">
        <v>114</v>
      </c>
      <c r="E163" s="24">
        <v>1.9</v>
      </c>
      <c r="F163" s="24">
        <v>0</v>
      </c>
      <c r="G163" s="24">
        <v>0</v>
      </c>
      <c r="H163" s="24">
        <v>30</v>
      </c>
      <c r="I163" s="24">
        <v>0.15</v>
      </c>
      <c r="J163" s="24">
        <v>0</v>
      </c>
      <c r="K163" s="24">
        <v>45</v>
      </c>
      <c r="L163" s="24">
        <v>2210</v>
      </c>
      <c r="M163" s="24" t="s">
        <v>387</v>
      </c>
      <c r="N163" s="24">
        <v>0</v>
      </c>
    </row>
    <row r="164" spans="1:14" ht="15.75" customHeight="1">
      <c r="A164" s="147" t="s">
        <v>393</v>
      </c>
      <c r="B164" s="24">
        <v>5110</v>
      </c>
      <c r="C164" s="24">
        <v>11</v>
      </c>
      <c r="D164" s="24">
        <v>120</v>
      </c>
      <c r="E164" s="24">
        <v>2</v>
      </c>
      <c r="F164" s="24">
        <v>0</v>
      </c>
      <c r="G164" s="24">
        <v>0</v>
      </c>
      <c r="H164" s="24">
        <v>30</v>
      </c>
      <c r="I164" s="24">
        <v>0.15</v>
      </c>
      <c r="J164" s="24">
        <v>0</v>
      </c>
      <c r="K164" s="24">
        <v>45</v>
      </c>
      <c r="L164" s="24">
        <v>2210</v>
      </c>
      <c r="M164" s="24" t="s">
        <v>387</v>
      </c>
      <c r="N164" s="24">
        <v>0</v>
      </c>
    </row>
    <row r="165" spans="1:14" ht="15.75" customHeight="1">
      <c r="A165" s="147" t="s">
        <v>393</v>
      </c>
      <c r="B165" s="24">
        <v>5110</v>
      </c>
      <c r="C165" s="24">
        <v>12</v>
      </c>
      <c r="D165" s="24">
        <v>128</v>
      </c>
      <c r="E165" s="24">
        <v>2</v>
      </c>
      <c r="F165" s="24">
        <v>0</v>
      </c>
      <c r="G165" s="24">
        <v>0</v>
      </c>
      <c r="H165" s="24">
        <v>32</v>
      </c>
      <c r="I165" s="24">
        <v>0.15</v>
      </c>
      <c r="J165" s="24">
        <v>0</v>
      </c>
      <c r="K165" s="24">
        <v>45</v>
      </c>
      <c r="L165" s="24">
        <v>2210</v>
      </c>
      <c r="M165" s="24" t="s">
        <v>387</v>
      </c>
      <c r="N165" s="24">
        <v>0</v>
      </c>
    </row>
    <row r="166" spans="1:14" ht="15.75" customHeight="1">
      <c r="A166" s="147" t="s">
        <v>393</v>
      </c>
      <c r="B166" s="24">
        <v>5110</v>
      </c>
      <c r="C166" s="24">
        <v>13</v>
      </c>
      <c r="D166" s="24">
        <v>136</v>
      </c>
      <c r="E166" s="24">
        <v>2</v>
      </c>
      <c r="F166" s="24">
        <v>0</v>
      </c>
      <c r="G166" s="24">
        <v>0</v>
      </c>
      <c r="H166" s="24">
        <v>34</v>
      </c>
      <c r="I166" s="24">
        <v>0.15</v>
      </c>
      <c r="J166" s="24">
        <v>0</v>
      </c>
      <c r="K166" s="24">
        <v>45</v>
      </c>
      <c r="L166" s="24">
        <v>2210</v>
      </c>
      <c r="M166" s="24" t="s">
        <v>387</v>
      </c>
      <c r="N166" s="24">
        <v>0</v>
      </c>
    </row>
    <row r="167" spans="1:14" ht="15.75" customHeight="1">
      <c r="A167" s="147" t="s">
        <v>393</v>
      </c>
      <c r="B167" s="24">
        <v>5110</v>
      </c>
      <c r="C167" s="24">
        <v>14</v>
      </c>
      <c r="D167" s="24">
        <v>144</v>
      </c>
      <c r="E167" s="24">
        <v>2</v>
      </c>
      <c r="F167" s="24">
        <v>0</v>
      </c>
      <c r="G167" s="24">
        <v>0</v>
      </c>
      <c r="H167" s="24">
        <v>36</v>
      </c>
      <c r="I167" s="24">
        <v>0.15</v>
      </c>
      <c r="J167" s="24">
        <v>0</v>
      </c>
      <c r="K167" s="24">
        <v>45</v>
      </c>
      <c r="L167" s="24">
        <v>2210</v>
      </c>
      <c r="M167" s="24" t="s">
        <v>387</v>
      </c>
      <c r="N167" s="24">
        <v>0</v>
      </c>
    </row>
    <row r="168" spans="1:14" ht="15.75" customHeight="1">
      <c r="A168" s="147" t="s">
        <v>393</v>
      </c>
      <c r="B168" s="24">
        <v>5110</v>
      </c>
      <c r="C168" s="24">
        <v>15</v>
      </c>
      <c r="D168" s="24">
        <v>152</v>
      </c>
      <c r="E168" s="24">
        <v>2</v>
      </c>
      <c r="F168" s="24">
        <v>0</v>
      </c>
      <c r="G168" s="24">
        <v>0</v>
      </c>
      <c r="H168" s="24">
        <v>38</v>
      </c>
      <c r="I168" s="24">
        <v>0.15</v>
      </c>
      <c r="J168" s="24">
        <v>0</v>
      </c>
      <c r="K168" s="24">
        <v>45</v>
      </c>
      <c r="L168" s="24">
        <v>2210</v>
      </c>
      <c r="M168" s="24" t="s">
        <v>387</v>
      </c>
      <c r="N168" s="24">
        <v>0</v>
      </c>
    </row>
    <row r="169" spans="1:14" ht="15.75" customHeight="1">
      <c r="A169" s="147" t="s">
        <v>393</v>
      </c>
      <c r="B169" s="24">
        <v>5110</v>
      </c>
      <c r="C169" s="24">
        <v>16</v>
      </c>
      <c r="D169" s="24">
        <v>160</v>
      </c>
      <c r="E169" s="24">
        <v>2</v>
      </c>
      <c r="F169" s="24">
        <v>0</v>
      </c>
      <c r="G169" s="24">
        <v>0</v>
      </c>
      <c r="H169" s="24">
        <v>40</v>
      </c>
      <c r="I169" s="24">
        <v>0.15</v>
      </c>
      <c r="J169" s="24">
        <v>0</v>
      </c>
      <c r="K169" s="24">
        <v>45</v>
      </c>
      <c r="L169" s="24">
        <v>2210</v>
      </c>
      <c r="M169" s="24" t="s">
        <v>387</v>
      </c>
      <c r="N169" s="24">
        <v>0</v>
      </c>
    </row>
    <row r="170" spans="1:14" ht="15.75" customHeight="1">
      <c r="A170" s="147" t="s">
        <v>393</v>
      </c>
      <c r="B170" s="24">
        <v>5110</v>
      </c>
      <c r="C170" s="24">
        <v>17</v>
      </c>
      <c r="D170" s="24">
        <v>168</v>
      </c>
      <c r="E170" s="24">
        <v>2</v>
      </c>
      <c r="F170" s="24">
        <v>0</v>
      </c>
      <c r="G170" s="24">
        <v>0</v>
      </c>
      <c r="H170" s="24">
        <v>42</v>
      </c>
      <c r="I170" s="24">
        <v>0.15</v>
      </c>
      <c r="J170" s="24">
        <v>0</v>
      </c>
      <c r="K170" s="24">
        <v>45</v>
      </c>
      <c r="L170" s="24">
        <v>2210</v>
      </c>
      <c r="M170" s="24" t="s">
        <v>387</v>
      </c>
      <c r="N170" s="24">
        <v>0</v>
      </c>
    </row>
    <row r="171" spans="1:14" ht="15.75" customHeight="1">
      <c r="A171" s="147" t="s">
        <v>393</v>
      </c>
      <c r="B171" s="24">
        <v>5110</v>
      </c>
      <c r="C171" s="24">
        <v>18</v>
      </c>
      <c r="D171" s="24">
        <v>176</v>
      </c>
      <c r="E171" s="24">
        <v>2</v>
      </c>
      <c r="F171" s="24">
        <v>0</v>
      </c>
      <c r="G171" s="24">
        <v>0</v>
      </c>
      <c r="H171" s="24">
        <v>44</v>
      </c>
      <c r="I171" s="24">
        <v>0.15</v>
      </c>
      <c r="J171" s="24">
        <v>0</v>
      </c>
      <c r="K171" s="24">
        <v>45</v>
      </c>
      <c r="L171" s="24">
        <v>2210</v>
      </c>
      <c r="M171" s="24" t="s">
        <v>387</v>
      </c>
      <c r="N171" s="24">
        <v>0</v>
      </c>
    </row>
    <row r="172" spans="1:14" ht="15.75" customHeight="1">
      <c r="A172" s="147" t="s">
        <v>393</v>
      </c>
      <c r="B172" s="24">
        <v>5110</v>
      </c>
      <c r="C172" s="24">
        <v>19</v>
      </c>
      <c r="D172" s="24">
        <v>184</v>
      </c>
      <c r="E172" s="24">
        <v>2</v>
      </c>
      <c r="F172" s="24">
        <v>0</v>
      </c>
      <c r="G172" s="24">
        <v>0</v>
      </c>
      <c r="H172" s="24">
        <v>46</v>
      </c>
      <c r="I172" s="24">
        <v>0.15</v>
      </c>
      <c r="J172" s="24">
        <v>0</v>
      </c>
      <c r="K172" s="24">
        <v>45</v>
      </c>
      <c r="L172" s="24">
        <v>2210</v>
      </c>
      <c r="M172" s="24" t="s">
        <v>387</v>
      </c>
      <c r="N172" s="24">
        <v>0</v>
      </c>
    </row>
    <row r="173" spans="1:14" ht="15.75" customHeight="1">
      <c r="A173" s="147" t="s">
        <v>393</v>
      </c>
      <c r="B173" s="24">
        <v>5110</v>
      </c>
      <c r="C173" s="24">
        <v>20</v>
      </c>
      <c r="D173" s="24">
        <v>192</v>
      </c>
      <c r="E173" s="24">
        <v>2</v>
      </c>
      <c r="F173" s="24">
        <v>0</v>
      </c>
      <c r="G173" s="24">
        <v>0</v>
      </c>
      <c r="H173" s="24">
        <v>48</v>
      </c>
      <c r="I173" s="24">
        <v>0.15</v>
      </c>
      <c r="J173" s="24">
        <v>0</v>
      </c>
      <c r="K173" s="24">
        <v>45</v>
      </c>
      <c r="L173" s="24">
        <v>2210</v>
      </c>
      <c r="M173" s="24" t="s">
        <v>387</v>
      </c>
      <c r="N173" s="24">
        <v>0</v>
      </c>
    </row>
    <row r="174" spans="1:14" ht="15.75" customHeight="1">
      <c r="A174" s="147" t="s">
        <v>393</v>
      </c>
      <c r="B174" s="24">
        <v>5110</v>
      </c>
      <c r="C174" s="24">
        <v>21</v>
      </c>
      <c r="D174" s="24">
        <v>200</v>
      </c>
      <c r="E174" s="24">
        <v>2</v>
      </c>
      <c r="F174" s="24">
        <v>0</v>
      </c>
      <c r="G174" s="24">
        <v>0</v>
      </c>
      <c r="H174" s="24">
        <v>50</v>
      </c>
      <c r="I174" s="24">
        <v>0.15</v>
      </c>
      <c r="J174" s="24">
        <v>0</v>
      </c>
      <c r="K174" s="24">
        <v>45</v>
      </c>
      <c r="L174" s="24">
        <v>2210</v>
      </c>
      <c r="M174" s="24" t="s">
        <v>387</v>
      </c>
      <c r="N174" s="24">
        <v>0</v>
      </c>
    </row>
    <row r="175" spans="1:14" ht="15.75" customHeight="1">
      <c r="A175" s="147" t="s">
        <v>393</v>
      </c>
      <c r="B175" s="24">
        <v>5110</v>
      </c>
      <c r="C175" s="24">
        <v>22</v>
      </c>
      <c r="D175" s="24">
        <v>208</v>
      </c>
      <c r="E175" s="24">
        <v>2</v>
      </c>
      <c r="F175" s="24">
        <v>0</v>
      </c>
      <c r="G175" s="24">
        <v>0</v>
      </c>
      <c r="H175" s="24">
        <v>52</v>
      </c>
      <c r="I175" s="24">
        <v>0.15</v>
      </c>
      <c r="J175" s="24">
        <v>0</v>
      </c>
      <c r="K175" s="24">
        <v>45</v>
      </c>
      <c r="L175" s="24">
        <v>2210</v>
      </c>
      <c r="M175" s="24" t="s">
        <v>387</v>
      </c>
      <c r="N175" s="24">
        <v>0</v>
      </c>
    </row>
    <row r="176" spans="1:14" ht="15.75" customHeight="1">
      <c r="A176" s="147" t="s">
        <v>393</v>
      </c>
      <c r="B176" s="24">
        <v>5110</v>
      </c>
      <c r="C176" s="24">
        <v>23</v>
      </c>
      <c r="D176" s="24">
        <v>216</v>
      </c>
      <c r="E176" s="24">
        <v>2</v>
      </c>
      <c r="F176" s="24">
        <v>0</v>
      </c>
      <c r="G176" s="24">
        <v>0</v>
      </c>
      <c r="H176" s="24">
        <v>54</v>
      </c>
      <c r="I176" s="24">
        <v>0.15</v>
      </c>
      <c r="J176" s="24">
        <v>0</v>
      </c>
      <c r="K176" s="24">
        <v>45</v>
      </c>
      <c r="L176" s="24">
        <v>2210</v>
      </c>
      <c r="M176" s="24" t="s">
        <v>387</v>
      </c>
      <c r="N176" s="24">
        <v>0</v>
      </c>
    </row>
    <row r="177" spans="1:14" ht="15.75" customHeight="1">
      <c r="A177" s="147" t="s">
        <v>393</v>
      </c>
      <c r="B177" s="24">
        <v>5110</v>
      </c>
      <c r="C177" s="24">
        <v>24</v>
      </c>
      <c r="D177" s="24">
        <v>224</v>
      </c>
      <c r="E177" s="24">
        <v>2</v>
      </c>
      <c r="F177" s="24">
        <v>0</v>
      </c>
      <c r="G177" s="24">
        <v>0</v>
      </c>
      <c r="H177" s="24">
        <v>56</v>
      </c>
      <c r="I177" s="24">
        <v>0.15</v>
      </c>
      <c r="J177" s="24">
        <v>0</v>
      </c>
      <c r="K177" s="24">
        <v>45</v>
      </c>
      <c r="L177" s="24">
        <v>2210</v>
      </c>
      <c r="M177" s="24" t="s">
        <v>387</v>
      </c>
      <c r="N177" s="24">
        <v>0</v>
      </c>
    </row>
    <row r="178" spans="1:14" ht="15.75" customHeight="1">
      <c r="A178" s="147" t="s">
        <v>393</v>
      </c>
      <c r="B178" s="24">
        <v>5110</v>
      </c>
      <c r="C178" s="24">
        <v>25</v>
      </c>
      <c r="D178" s="24">
        <v>240</v>
      </c>
      <c r="E178" s="24">
        <v>2</v>
      </c>
      <c r="F178" s="24">
        <v>0</v>
      </c>
      <c r="G178" s="24">
        <v>0</v>
      </c>
      <c r="H178" s="24">
        <v>60</v>
      </c>
      <c r="I178" s="24">
        <v>0.15</v>
      </c>
      <c r="J178" s="24">
        <v>0</v>
      </c>
      <c r="K178" s="24">
        <v>45</v>
      </c>
      <c r="L178" s="24">
        <v>2210</v>
      </c>
      <c r="M178" s="24" t="s">
        <v>387</v>
      </c>
      <c r="N178" s="24">
        <v>0</v>
      </c>
    </row>
  </sheetData>
  <phoneticPr fontId="42" type="noConversion"/>
  <pageMargins left="0.75" right="0.75" top="1" bottom="1" header="0.51180555555555596" footer="0.5118055555555559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8"/>
  <sheetViews>
    <sheetView workbookViewId="0">
      <selection activeCell="G6" sqref="G6"/>
    </sheetView>
  </sheetViews>
  <sheetFormatPr defaultColWidth="11.09765625" defaultRowHeight="15"/>
  <cols>
    <col min="1" max="1" width="22.69921875" customWidth="1"/>
    <col min="4" max="5" width="11.59765625" customWidth="1"/>
    <col min="6" max="6" width="12.8984375" customWidth="1"/>
    <col min="8" max="8" width="14.59765625" customWidth="1"/>
    <col min="9" max="9" width="13.19921875" customWidth="1"/>
    <col min="10" max="10" width="45.69921875" customWidth="1"/>
  </cols>
  <sheetData>
    <row r="1" spans="1:10" ht="23.1" customHeight="1">
      <c r="A1" s="24" t="s">
        <v>360</v>
      </c>
      <c r="B1" s="24" t="s">
        <v>361</v>
      </c>
      <c r="C1" s="24" t="s">
        <v>362</v>
      </c>
      <c r="D1" s="24" t="s">
        <v>394</v>
      </c>
      <c r="E1" s="24" t="s">
        <v>395</v>
      </c>
      <c r="F1" s="24" t="s">
        <v>34</v>
      </c>
      <c r="H1" s="27" t="s">
        <v>396</v>
      </c>
      <c r="I1" s="27" t="s">
        <v>395</v>
      </c>
      <c r="J1" s="27" t="s">
        <v>397</v>
      </c>
    </row>
    <row r="2" spans="1:10" ht="23.1" customHeight="1">
      <c r="A2" s="24" t="s">
        <v>40</v>
      </c>
      <c r="B2" s="24" t="s">
        <v>39</v>
      </c>
      <c r="C2" s="24" t="s">
        <v>39</v>
      </c>
      <c r="D2" s="24" t="s">
        <v>39</v>
      </c>
      <c r="E2" s="24" t="s">
        <v>39</v>
      </c>
      <c r="F2" s="24" t="s">
        <v>39</v>
      </c>
      <c r="H2" s="27" t="s">
        <v>39</v>
      </c>
      <c r="I2" s="27" t="s">
        <v>39</v>
      </c>
      <c r="J2" s="27" t="s">
        <v>40</v>
      </c>
    </row>
    <row r="3" spans="1:10" ht="23.1" customHeight="1">
      <c r="A3" s="24" t="s">
        <v>373</v>
      </c>
      <c r="B3" s="24" t="s">
        <v>374</v>
      </c>
      <c r="C3" s="24" t="s">
        <v>398</v>
      </c>
      <c r="D3" s="24" t="s">
        <v>399</v>
      </c>
      <c r="E3" s="24" t="s">
        <v>400</v>
      </c>
      <c r="F3" s="24" t="s">
        <v>401</v>
      </c>
      <c r="H3" s="27" t="s">
        <v>402</v>
      </c>
      <c r="I3" s="27" t="s">
        <v>400</v>
      </c>
      <c r="J3" s="27" t="s">
        <v>403</v>
      </c>
    </row>
    <row r="4" spans="1:10" ht="23.1" customHeight="1">
      <c r="A4" s="147" t="s">
        <v>386</v>
      </c>
      <c r="B4" s="24">
        <v>5101</v>
      </c>
      <c r="C4" s="24">
        <v>1</v>
      </c>
      <c r="D4" s="24">
        <v>0</v>
      </c>
      <c r="E4" s="24">
        <v>0</v>
      </c>
      <c r="F4" s="24">
        <v>0</v>
      </c>
      <c r="H4" s="27">
        <v>1</v>
      </c>
      <c r="I4" s="27">
        <v>1</v>
      </c>
      <c r="J4" s="148" t="s">
        <v>404</v>
      </c>
    </row>
    <row r="5" spans="1:10" ht="23.1" customHeight="1">
      <c r="A5" s="147" t="s">
        <v>386</v>
      </c>
      <c r="B5" s="24">
        <v>5101</v>
      </c>
      <c r="C5" s="24">
        <v>2</v>
      </c>
      <c r="D5" s="24">
        <v>25</v>
      </c>
      <c r="E5" s="24">
        <v>1</v>
      </c>
      <c r="F5" s="24">
        <v>30</v>
      </c>
      <c r="H5" s="27">
        <v>2</v>
      </c>
      <c r="I5" s="27">
        <v>2</v>
      </c>
      <c r="J5" s="148" t="s">
        <v>405</v>
      </c>
    </row>
    <row r="6" spans="1:10" ht="23.1" customHeight="1">
      <c r="A6" s="147" t="s">
        <v>386</v>
      </c>
      <c r="B6" s="24">
        <v>5101</v>
      </c>
      <c r="C6" s="24">
        <v>3</v>
      </c>
      <c r="D6" s="24">
        <v>25</v>
      </c>
      <c r="E6" s="24">
        <v>1</v>
      </c>
      <c r="F6" s="24">
        <v>300</v>
      </c>
      <c r="H6" s="27">
        <v>3</v>
      </c>
      <c r="I6" s="27">
        <v>1</v>
      </c>
      <c r="J6" s="148" t="s">
        <v>406</v>
      </c>
    </row>
    <row r="7" spans="1:10" ht="23.1" customHeight="1">
      <c r="A7" s="147" t="s">
        <v>386</v>
      </c>
      <c r="B7" s="24">
        <v>5101</v>
      </c>
      <c r="C7" s="24">
        <v>4</v>
      </c>
      <c r="D7" s="24">
        <v>1</v>
      </c>
      <c r="E7" s="24">
        <v>1</v>
      </c>
      <c r="F7" s="24">
        <v>10</v>
      </c>
      <c r="H7" s="27">
        <v>4</v>
      </c>
      <c r="I7" s="27">
        <v>1</v>
      </c>
      <c r="J7" s="148" t="s">
        <v>407</v>
      </c>
    </row>
    <row r="8" spans="1:10" ht="23.1" customHeight="1">
      <c r="A8" s="147" t="s">
        <v>386</v>
      </c>
      <c r="B8" s="24">
        <v>5101</v>
      </c>
      <c r="C8" s="24">
        <v>5</v>
      </c>
      <c r="D8" s="24">
        <v>25</v>
      </c>
      <c r="E8" s="24">
        <v>1</v>
      </c>
      <c r="F8" s="24">
        <v>3000</v>
      </c>
      <c r="H8" s="27">
        <v>5</v>
      </c>
      <c r="I8" s="27">
        <v>1</v>
      </c>
      <c r="J8" s="148" t="s">
        <v>408</v>
      </c>
    </row>
    <row r="9" spans="1:10" ht="23.1" customHeight="1">
      <c r="A9" s="147" t="s">
        <v>388</v>
      </c>
      <c r="B9" s="24">
        <v>5103</v>
      </c>
      <c r="C9" s="24">
        <v>1</v>
      </c>
      <c r="D9" s="24">
        <v>0</v>
      </c>
      <c r="E9" s="24">
        <v>0</v>
      </c>
      <c r="F9" s="24">
        <v>0</v>
      </c>
      <c r="H9" s="27">
        <v>6</v>
      </c>
      <c r="I9" s="27">
        <v>1</v>
      </c>
      <c r="J9" s="148" t="s">
        <v>409</v>
      </c>
    </row>
    <row r="10" spans="1:10" ht="23.1" customHeight="1">
      <c r="A10" s="147" t="s">
        <v>388</v>
      </c>
      <c r="B10" s="24">
        <v>5103</v>
      </c>
      <c r="C10" s="24">
        <v>2</v>
      </c>
      <c r="D10" s="24">
        <v>25</v>
      </c>
      <c r="E10" s="24">
        <v>1</v>
      </c>
      <c r="F10" s="24">
        <v>30</v>
      </c>
      <c r="H10" s="27">
        <v>7</v>
      </c>
      <c r="I10" s="27">
        <v>2</v>
      </c>
      <c r="J10" s="148" t="s">
        <v>410</v>
      </c>
    </row>
    <row r="11" spans="1:10" ht="23.1" customHeight="1">
      <c r="A11" s="147" t="s">
        <v>388</v>
      </c>
      <c r="B11" s="24">
        <v>5103</v>
      </c>
      <c r="C11" s="24">
        <v>3</v>
      </c>
      <c r="D11" s="24">
        <v>25</v>
      </c>
      <c r="E11" s="24">
        <v>1</v>
      </c>
      <c r="F11" s="24">
        <v>300</v>
      </c>
      <c r="H11" s="27">
        <v>8</v>
      </c>
      <c r="I11" s="27">
        <v>0</v>
      </c>
      <c r="J11" s="148" t="s">
        <v>411</v>
      </c>
    </row>
    <row r="12" spans="1:10" ht="23.1" customHeight="1">
      <c r="A12" s="147" t="s">
        <v>388</v>
      </c>
      <c r="B12" s="24">
        <v>5103</v>
      </c>
      <c r="C12" s="24">
        <v>4</v>
      </c>
      <c r="D12" s="24">
        <v>1</v>
      </c>
      <c r="E12" s="24">
        <v>1</v>
      </c>
      <c r="F12" s="24">
        <v>9</v>
      </c>
      <c r="H12" s="27">
        <v>9</v>
      </c>
      <c r="I12" s="27">
        <v>2</v>
      </c>
      <c r="J12" s="148" t="s">
        <v>412</v>
      </c>
    </row>
    <row r="13" spans="1:10" ht="23.1" customHeight="1">
      <c r="A13" s="147" t="s">
        <v>388</v>
      </c>
      <c r="B13" s="24">
        <v>5103</v>
      </c>
      <c r="C13" s="24">
        <v>5</v>
      </c>
      <c r="D13" s="24">
        <v>25</v>
      </c>
      <c r="E13" s="24">
        <v>1</v>
      </c>
      <c r="F13" s="24">
        <v>3000</v>
      </c>
      <c r="H13" s="27">
        <v>10</v>
      </c>
      <c r="I13" s="27">
        <v>0</v>
      </c>
      <c r="J13" s="148" t="s">
        <v>413</v>
      </c>
    </row>
    <row r="14" spans="1:10" ht="23.1" customHeight="1">
      <c r="A14" s="147" t="s">
        <v>389</v>
      </c>
      <c r="B14" s="24">
        <v>5105</v>
      </c>
      <c r="C14" s="24">
        <v>1</v>
      </c>
      <c r="D14" s="24">
        <v>0</v>
      </c>
      <c r="E14" s="24">
        <v>0</v>
      </c>
      <c r="F14" s="24">
        <v>0</v>
      </c>
      <c r="H14" s="27">
        <v>11</v>
      </c>
      <c r="I14" s="27">
        <v>2</v>
      </c>
      <c r="J14" s="148" t="s">
        <v>414</v>
      </c>
    </row>
    <row r="15" spans="1:10" ht="23.1" customHeight="1">
      <c r="A15" s="147" t="s">
        <v>389</v>
      </c>
      <c r="B15" s="24">
        <v>5105</v>
      </c>
      <c r="C15" s="24">
        <v>2</v>
      </c>
      <c r="D15" s="24">
        <v>25</v>
      </c>
      <c r="E15" s="24">
        <v>1</v>
      </c>
      <c r="F15" s="24">
        <v>30</v>
      </c>
      <c r="H15" s="27">
        <v>12</v>
      </c>
      <c r="I15" s="27">
        <v>2</v>
      </c>
      <c r="J15" s="148" t="s">
        <v>415</v>
      </c>
    </row>
    <row r="16" spans="1:10" ht="23.1" customHeight="1">
      <c r="A16" s="147" t="s">
        <v>389</v>
      </c>
      <c r="B16" s="24">
        <v>5105</v>
      </c>
      <c r="C16" s="24">
        <v>3</v>
      </c>
      <c r="D16" s="24">
        <v>25</v>
      </c>
      <c r="E16" s="24">
        <v>1</v>
      </c>
      <c r="F16" s="24">
        <v>300</v>
      </c>
      <c r="H16" s="27">
        <v>13</v>
      </c>
      <c r="I16" s="27">
        <v>2</v>
      </c>
      <c r="J16" s="148" t="s">
        <v>416</v>
      </c>
    </row>
    <row r="17" spans="1:10" ht="23.1" customHeight="1">
      <c r="A17" s="147" t="s">
        <v>389</v>
      </c>
      <c r="B17" s="24">
        <v>5105</v>
      </c>
      <c r="C17" s="24">
        <v>4</v>
      </c>
      <c r="D17" s="24">
        <v>1</v>
      </c>
      <c r="E17" s="24">
        <v>1</v>
      </c>
      <c r="F17" s="24">
        <v>9</v>
      </c>
      <c r="H17" s="27">
        <v>14</v>
      </c>
      <c r="I17" s="27">
        <v>2</v>
      </c>
      <c r="J17" s="148" t="s">
        <v>417</v>
      </c>
    </row>
    <row r="18" spans="1:10" ht="23.1" customHeight="1">
      <c r="A18" s="147" t="s">
        <v>389</v>
      </c>
      <c r="B18" s="24">
        <v>5105</v>
      </c>
      <c r="C18" s="24">
        <v>5</v>
      </c>
      <c r="D18" s="24">
        <v>25</v>
      </c>
      <c r="E18" s="24">
        <v>1</v>
      </c>
      <c r="F18" s="24">
        <v>3000</v>
      </c>
      <c r="H18" s="27">
        <v>15</v>
      </c>
      <c r="I18" s="27">
        <v>2</v>
      </c>
      <c r="J18" s="148" t="s">
        <v>418</v>
      </c>
    </row>
    <row r="19" spans="1:10" ht="23.1" customHeight="1">
      <c r="A19" s="147" t="s">
        <v>390</v>
      </c>
      <c r="B19" s="24">
        <v>5106</v>
      </c>
      <c r="C19" s="24">
        <v>1</v>
      </c>
      <c r="D19" s="24">
        <v>0</v>
      </c>
      <c r="E19" s="24">
        <v>0</v>
      </c>
      <c r="F19" s="24">
        <v>0</v>
      </c>
      <c r="H19" s="27">
        <v>16</v>
      </c>
      <c r="I19" s="27">
        <v>2</v>
      </c>
      <c r="J19" s="148" t="s">
        <v>419</v>
      </c>
    </row>
    <row r="20" spans="1:10" ht="23.1" customHeight="1">
      <c r="A20" s="147" t="s">
        <v>390</v>
      </c>
      <c r="B20" s="24">
        <v>5106</v>
      </c>
      <c r="C20" s="24">
        <v>2</v>
      </c>
      <c r="D20" s="24">
        <v>25</v>
      </c>
      <c r="E20" s="24">
        <v>1</v>
      </c>
      <c r="F20" s="24">
        <v>30</v>
      </c>
      <c r="H20" s="27">
        <v>17</v>
      </c>
      <c r="I20" s="27">
        <v>1</v>
      </c>
      <c r="J20" s="148" t="s">
        <v>420</v>
      </c>
    </row>
    <row r="21" spans="1:10" ht="23.1" customHeight="1">
      <c r="A21" s="147" t="s">
        <v>390</v>
      </c>
      <c r="B21" s="24">
        <v>5106</v>
      </c>
      <c r="C21" s="24">
        <v>3</v>
      </c>
      <c r="D21" s="24">
        <v>25</v>
      </c>
      <c r="E21" s="24">
        <v>1</v>
      </c>
      <c r="F21" s="24">
        <v>300</v>
      </c>
      <c r="H21" s="27">
        <v>18</v>
      </c>
      <c r="I21" s="27">
        <v>2</v>
      </c>
      <c r="J21" s="148" t="s">
        <v>421</v>
      </c>
    </row>
    <row r="22" spans="1:10" ht="23.1" customHeight="1">
      <c r="A22" s="147" t="s">
        <v>390</v>
      </c>
      <c r="B22" s="24">
        <v>5106</v>
      </c>
      <c r="C22" s="24">
        <v>4</v>
      </c>
      <c r="D22" s="24">
        <v>1</v>
      </c>
      <c r="E22" s="24">
        <v>1</v>
      </c>
      <c r="F22" s="24">
        <v>10</v>
      </c>
      <c r="H22" s="27">
        <v>19</v>
      </c>
      <c r="I22" s="27">
        <v>2</v>
      </c>
      <c r="J22" s="148" t="s">
        <v>422</v>
      </c>
    </row>
    <row r="23" spans="1:10" ht="23.1" customHeight="1">
      <c r="A23" s="147" t="s">
        <v>390</v>
      </c>
      <c r="B23" s="24">
        <v>5106</v>
      </c>
      <c r="C23" s="24">
        <v>5</v>
      </c>
      <c r="D23" s="24">
        <v>25</v>
      </c>
      <c r="E23" s="24">
        <v>1</v>
      </c>
      <c r="F23" s="24">
        <v>3000</v>
      </c>
      <c r="H23" s="27">
        <v>20</v>
      </c>
      <c r="I23" s="27">
        <v>2</v>
      </c>
      <c r="J23" s="148" t="s">
        <v>423</v>
      </c>
    </row>
    <row r="24" spans="1:10" ht="23.1" customHeight="1">
      <c r="A24" s="147" t="s">
        <v>391</v>
      </c>
      <c r="B24" s="24">
        <v>5108</v>
      </c>
      <c r="C24" s="24">
        <v>1</v>
      </c>
      <c r="D24" s="24">
        <v>0</v>
      </c>
      <c r="E24" s="24">
        <v>0</v>
      </c>
      <c r="F24" s="24">
        <v>0</v>
      </c>
      <c r="H24" s="27">
        <v>21</v>
      </c>
      <c r="I24" s="27">
        <v>2</v>
      </c>
      <c r="J24" s="148" t="s">
        <v>424</v>
      </c>
    </row>
    <row r="25" spans="1:10" ht="23.1" customHeight="1">
      <c r="A25" s="147" t="s">
        <v>391</v>
      </c>
      <c r="B25" s="24">
        <v>5108</v>
      </c>
      <c r="C25" s="24">
        <v>2</v>
      </c>
      <c r="D25" s="24">
        <v>25</v>
      </c>
      <c r="E25" s="24">
        <v>1</v>
      </c>
      <c r="F25" s="24">
        <v>30</v>
      </c>
      <c r="H25" s="27">
        <v>22</v>
      </c>
      <c r="I25" s="27">
        <v>1</v>
      </c>
      <c r="J25" s="148" t="s">
        <v>425</v>
      </c>
    </row>
    <row r="26" spans="1:10" ht="23.1" customHeight="1">
      <c r="A26" s="147" t="s">
        <v>391</v>
      </c>
      <c r="B26" s="24">
        <v>5108</v>
      </c>
      <c r="C26" s="24">
        <v>3</v>
      </c>
      <c r="D26" s="24">
        <v>25</v>
      </c>
      <c r="E26" s="24">
        <v>1</v>
      </c>
      <c r="F26" s="24">
        <v>300</v>
      </c>
      <c r="H26" s="27">
        <v>23</v>
      </c>
      <c r="I26" s="27">
        <v>2</v>
      </c>
      <c r="J26" s="148" t="s">
        <v>426</v>
      </c>
    </row>
    <row r="27" spans="1:10" ht="23.1" customHeight="1">
      <c r="A27" s="147" t="s">
        <v>391</v>
      </c>
      <c r="B27" s="24">
        <v>5108</v>
      </c>
      <c r="C27" s="24">
        <v>4</v>
      </c>
      <c r="D27" s="24">
        <v>1</v>
      </c>
      <c r="E27" s="24">
        <v>1</v>
      </c>
      <c r="F27" s="24">
        <v>10</v>
      </c>
      <c r="H27" s="27">
        <v>24</v>
      </c>
      <c r="I27" s="27">
        <v>2</v>
      </c>
      <c r="J27" s="148" t="s">
        <v>427</v>
      </c>
    </row>
    <row r="28" spans="1:10" ht="23.1" customHeight="1">
      <c r="A28" s="147" t="s">
        <v>391</v>
      </c>
      <c r="B28" s="24">
        <v>5108</v>
      </c>
      <c r="C28" s="24">
        <v>5</v>
      </c>
      <c r="D28" s="24">
        <v>25</v>
      </c>
      <c r="E28" s="24">
        <v>1</v>
      </c>
      <c r="F28" s="24">
        <v>3000</v>
      </c>
      <c r="H28" s="27">
        <v>25</v>
      </c>
      <c r="I28" s="27">
        <v>1</v>
      </c>
      <c r="J28" s="148" t="s">
        <v>428</v>
      </c>
    </row>
    <row r="29" spans="1:10" ht="23.1" customHeight="1">
      <c r="A29" s="147" t="s">
        <v>392</v>
      </c>
      <c r="B29" s="24">
        <v>5109</v>
      </c>
      <c r="C29" s="24">
        <v>1</v>
      </c>
      <c r="D29" s="24">
        <v>0</v>
      </c>
      <c r="E29" s="24">
        <v>0</v>
      </c>
      <c r="F29" s="24">
        <v>0</v>
      </c>
    </row>
    <row r="30" spans="1:10" ht="23.1" customHeight="1">
      <c r="A30" s="147" t="s">
        <v>392</v>
      </c>
      <c r="B30" s="24">
        <v>5109</v>
      </c>
      <c r="C30" s="24">
        <v>2</v>
      </c>
      <c r="D30" s="24">
        <v>25</v>
      </c>
      <c r="E30" s="24">
        <v>1</v>
      </c>
      <c r="F30" s="24">
        <v>30</v>
      </c>
    </row>
    <row r="31" spans="1:10" ht="23.1" customHeight="1">
      <c r="A31" s="147" t="s">
        <v>392</v>
      </c>
      <c r="B31" s="24">
        <v>5109</v>
      </c>
      <c r="C31" s="24">
        <v>3</v>
      </c>
      <c r="D31" s="24">
        <v>25</v>
      </c>
      <c r="E31" s="24">
        <v>1</v>
      </c>
      <c r="F31" s="24">
        <v>300</v>
      </c>
    </row>
    <row r="32" spans="1:10" ht="23.1" customHeight="1">
      <c r="A32" s="147" t="s">
        <v>392</v>
      </c>
      <c r="B32" s="24">
        <v>5109</v>
      </c>
      <c r="C32" s="24">
        <v>4</v>
      </c>
      <c r="D32" s="24">
        <v>1</v>
      </c>
      <c r="E32" s="24">
        <v>1</v>
      </c>
      <c r="F32" s="24">
        <v>10</v>
      </c>
    </row>
    <row r="33" spans="1:6" ht="23.1" customHeight="1">
      <c r="A33" s="147" t="s">
        <v>392</v>
      </c>
      <c r="B33" s="24">
        <v>5109</v>
      </c>
      <c r="C33" s="24">
        <v>5</v>
      </c>
      <c r="D33" s="24">
        <v>25</v>
      </c>
      <c r="E33" s="24">
        <v>1</v>
      </c>
      <c r="F33" s="24">
        <v>3000</v>
      </c>
    </row>
    <row r="34" spans="1:6" ht="23.1" customHeight="1">
      <c r="A34" s="147" t="s">
        <v>393</v>
      </c>
      <c r="B34" s="24">
        <v>5110</v>
      </c>
      <c r="C34" s="24">
        <v>1</v>
      </c>
      <c r="D34" s="24">
        <v>0</v>
      </c>
      <c r="E34" s="24">
        <v>0</v>
      </c>
      <c r="F34" s="24">
        <v>0</v>
      </c>
    </row>
    <row r="35" spans="1:6" ht="23.1" customHeight="1">
      <c r="A35" s="147" t="s">
        <v>393</v>
      </c>
      <c r="B35" s="24">
        <v>5110</v>
      </c>
      <c r="C35" s="24">
        <v>2</v>
      </c>
      <c r="D35" s="24">
        <v>25</v>
      </c>
      <c r="E35" s="24">
        <v>1</v>
      </c>
      <c r="F35" s="24">
        <v>30</v>
      </c>
    </row>
    <row r="36" spans="1:6" ht="23.1" customHeight="1">
      <c r="A36" s="147" t="s">
        <v>393</v>
      </c>
      <c r="B36" s="24">
        <v>5110</v>
      </c>
      <c r="C36" s="24">
        <v>3</v>
      </c>
      <c r="D36" s="24">
        <v>25</v>
      </c>
      <c r="E36" s="24">
        <v>1</v>
      </c>
      <c r="F36" s="24">
        <v>300</v>
      </c>
    </row>
    <row r="37" spans="1:6" ht="23.1" customHeight="1">
      <c r="A37" s="147" t="s">
        <v>393</v>
      </c>
      <c r="B37" s="24">
        <v>5110</v>
      </c>
      <c r="C37" s="24">
        <v>4</v>
      </c>
      <c r="D37" s="24">
        <v>1</v>
      </c>
      <c r="E37" s="24">
        <v>1</v>
      </c>
      <c r="F37" s="24">
        <v>9</v>
      </c>
    </row>
    <row r="38" spans="1:6" ht="23.1" customHeight="1">
      <c r="A38" s="147" t="s">
        <v>393</v>
      </c>
      <c r="B38" s="24">
        <v>5110</v>
      </c>
      <c r="C38" s="24">
        <v>5</v>
      </c>
      <c r="D38" s="24">
        <v>25</v>
      </c>
      <c r="E38" s="24">
        <v>1</v>
      </c>
      <c r="F38" s="24">
        <v>3000</v>
      </c>
    </row>
  </sheetData>
  <phoneticPr fontId="42" type="noConversion"/>
  <pageMargins left="0.75" right="0.75" top="1" bottom="1" header="0.51180555555555596" footer="0.51180555555555596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9"/>
  <sheetViews>
    <sheetView zoomScale="120" zoomScaleNormal="120" workbookViewId="0">
      <selection activeCell="A10" sqref="A10"/>
    </sheetView>
  </sheetViews>
  <sheetFormatPr defaultColWidth="9" defaultRowHeight="15"/>
  <cols>
    <col min="1" max="3" width="9" style="22"/>
    <col min="4" max="5" width="12.19921875" style="22" customWidth="1"/>
    <col min="6" max="16384" width="9" style="22"/>
  </cols>
  <sheetData>
    <row r="1" spans="1:14" ht="18">
      <c r="A1" s="7" t="s">
        <v>429</v>
      </c>
      <c r="B1" s="7" t="s">
        <v>367</v>
      </c>
      <c r="C1" s="7" t="s">
        <v>430</v>
      </c>
      <c r="D1" s="7" t="s">
        <v>31</v>
      </c>
      <c r="E1" s="7" t="s">
        <v>431</v>
      </c>
      <c r="F1" s="7" t="s">
        <v>32</v>
      </c>
      <c r="G1" s="7" t="s">
        <v>432</v>
      </c>
      <c r="H1" s="7" t="s">
        <v>433</v>
      </c>
      <c r="I1" s="7" t="s">
        <v>434</v>
      </c>
      <c r="J1" s="7" t="s">
        <v>435</v>
      </c>
      <c r="K1" s="7" t="s">
        <v>436</v>
      </c>
      <c r="L1" s="7" t="s">
        <v>437</v>
      </c>
      <c r="M1" s="7" t="s">
        <v>438</v>
      </c>
      <c r="N1" s="7" t="s">
        <v>439</v>
      </c>
    </row>
    <row r="2" spans="1:14" ht="18">
      <c r="A2" s="7" t="s">
        <v>39</v>
      </c>
      <c r="B2" s="7" t="s">
        <v>39</v>
      </c>
      <c r="C2" s="7" t="s">
        <v>39</v>
      </c>
      <c r="D2" s="7" t="s">
        <v>39</v>
      </c>
      <c r="E2" s="7" t="s">
        <v>39</v>
      </c>
      <c r="F2" s="7" t="s">
        <v>39</v>
      </c>
      <c r="G2" s="7" t="s">
        <v>39</v>
      </c>
      <c r="H2" s="7" t="s">
        <v>39</v>
      </c>
      <c r="I2" s="7" t="s">
        <v>39</v>
      </c>
      <c r="J2" s="7" t="s">
        <v>39</v>
      </c>
      <c r="K2" s="7" t="s">
        <v>39</v>
      </c>
      <c r="L2" s="7" t="s">
        <v>39</v>
      </c>
      <c r="M2" s="7" t="s">
        <v>39</v>
      </c>
      <c r="N2" s="7" t="s">
        <v>39</v>
      </c>
    </row>
    <row r="3" spans="1:14" ht="18.75">
      <c r="A3" s="143" t="s">
        <v>440</v>
      </c>
      <c r="B3" s="143" t="s">
        <v>441</v>
      </c>
      <c r="C3" s="7" t="s">
        <v>442</v>
      </c>
      <c r="D3" s="7" t="s">
        <v>443</v>
      </c>
      <c r="E3" s="7" t="s">
        <v>442</v>
      </c>
      <c r="F3" s="7" t="s">
        <v>443</v>
      </c>
      <c r="G3" s="7" t="s">
        <v>442</v>
      </c>
      <c r="H3" s="7" t="s">
        <v>443</v>
      </c>
      <c r="I3" s="7" t="s">
        <v>442</v>
      </c>
      <c r="J3" s="7" t="s">
        <v>443</v>
      </c>
      <c r="K3" s="7" t="s">
        <v>442</v>
      </c>
      <c r="L3" s="7" t="s">
        <v>443</v>
      </c>
      <c r="M3" s="7" t="s">
        <v>442</v>
      </c>
      <c r="N3" s="7" t="s">
        <v>443</v>
      </c>
    </row>
    <row r="4" spans="1:14" ht="18">
      <c r="A4" s="7">
        <v>44411</v>
      </c>
      <c r="B4" s="144">
        <v>30</v>
      </c>
      <c r="C4" s="144">
        <v>60118</v>
      </c>
      <c r="D4" s="144">
        <v>5000</v>
      </c>
      <c r="E4" s="146">
        <v>77228</v>
      </c>
      <c r="F4" s="7">
        <v>2000</v>
      </c>
      <c r="G4" s="146">
        <v>16040</v>
      </c>
      <c r="H4" s="7">
        <v>3000</v>
      </c>
      <c r="I4" s="7"/>
      <c r="J4" s="7"/>
      <c r="K4" s="7"/>
      <c r="L4" s="7"/>
      <c r="M4" s="7"/>
      <c r="N4" s="7"/>
    </row>
    <row r="5" spans="1:14" ht="18">
      <c r="A5" s="7">
        <v>44412</v>
      </c>
      <c r="B5" s="144">
        <v>30</v>
      </c>
      <c r="C5" s="144">
        <v>60118</v>
      </c>
      <c r="D5" s="144">
        <v>4500</v>
      </c>
      <c r="E5" s="146">
        <v>16040</v>
      </c>
      <c r="F5" s="7">
        <v>2500</v>
      </c>
      <c r="G5" s="146">
        <v>77228</v>
      </c>
      <c r="H5" s="7">
        <v>1800</v>
      </c>
      <c r="I5" s="7">
        <v>79230</v>
      </c>
      <c r="J5" s="7">
        <v>1200</v>
      </c>
      <c r="K5" s="7"/>
      <c r="L5" s="7"/>
      <c r="M5" s="7"/>
      <c r="N5" s="7"/>
    </row>
    <row r="6" spans="1:14" ht="18">
      <c r="A6" s="7">
        <v>44413</v>
      </c>
      <c r="B6" s="144">
        <v>30</v>
      </c>
      <c r="C6" s="144">
        <v>60118</v>
      </c>
      <c r="D6" s="144">
        <v>3500</v>
      </c>
      <c r="E6" s="146">
        <v>16040</v>
      </c>
      <c r="F6" s="7">
        <v>2500</v>
      </c>
      <c r="G6" s="146">
        <v>77228</v>
      </c>
      <c r="H6" s="7">
        <v>2000</v>
      </c>
      <c r="I6" s="7">
        <v>79230</v>
      </c>
      <c r="J6" s="7">
        <v>1000</v>
      </c>
      <c r="K6" s="7">
        <v>65119</v>
      </c>
      <c r="L6" s="7">
        <v>1000</v>
      </c>
      <c r="M6" s="7"/>
      <c r="N6" s="7"/>
    </row>
    <row r="7" spans="1:14" ht="18">
      <c r="A7" s="7">
        <v>44414</v>
      </c>
      <c r="B7" s="144">
        <v>30</v>
      </c>
      <c r="C7" s="144">
        <v>60118</v>
      </c>
      <c r="D7" s="144">
        <v>3000</v>
      </c>
      <c r="E7" s="146">
        <v>16040</v>
      </c>
      <c r="F7" s="7">
        <v>2500</v>
      </c>
      <c r="G7" s="146">
        <v>77228</v>
      </c>
      <c r="H7" s="7">
        <v>2000</v>
      </c>
      <c r="I7" s="7">
        <v>79230</v>
      </c>
      <c r="J7" s="7">
        <v>1000</v>
      </c>
      <c r="K7" s="7">
        <v>65119</v>
      </c>
      <c r="L7" s="7">
        <v>1000</v>
      </c>
      <c r="M7" s="7">
        <v>78229</v>
      </c>
      <c r="N7" s="7">
        <v>500</v>
      </c>
    </row>
    <row r="8" spans="1:14" ht="18">
      <c r="A8" s="7">
        <v>44415</v>
      </c>
      <c r="B8" s="144">
        <v>30</v>
      </c>
      <c r="C8" s="144">
        <v>60118</v>
      </c>
      <c r="D8" s="144">
        <v>3000</v>
      </c>
      <c r="E8" s="146">
        <v>16040</v>
      </c>
      <c r="F8" s="7">
        <v>2500</v>
      </c>
      <c r="G8" s="146">
        <v>77228</v>
      </c>
      <c r="H8" s="7">
        <v>2000</v>
      </c>
      <c r="I8" s="7">
        <v>79230</v>
      </c>
      <c r="J8" s="7">
        <v>1000</v>
      </c>
      <c r="K8" s="7">
        <v>65119</v>
      </c>
      <c r="L8" s="7">
        <v>1000</v>
      </c>
      <c r="M8" s="7">
        <v>78229</v>
      </c>
      <c r="N8" s="7">
        <v>500</v>
      </c>
    </row>
    <row r="9" spans="1:14" s="21" customFormat="1" ht="18">
      <c r="A9" s="38">
        <v>44501</v>
      </c>
      <c r="B9" s="145">
        <v>30</v>
      </c>
      <c r="C9" s="144">
        <v>60118</v>
      </c>
      <c r="D9" s="144">
        <v>3500</v>
      </c>
      <c r="E9" s="146">
        <v>16040</v>
      </c>
      <c r="F9" s="7">
        <v>2500</v>
      </c>
      <c r="G9" s="146">
        <v>77228</v>
      </c>
      <c r="H9" s="7">
        <v>2000</v>
      </c>
      <c r="I9" s="7">
        <v>79230</v>
      </c>
      <c r="J9" s="7">
        <v>1000</v>
      </c>
      <c r="K9" s="7">
        <v>65119</v>
      </c>
      <c r="L9" s="7">
        <v>1000</v>
      </c>
      <c r="M9" s="38"/>
      <c r="N9" s="38"/>
    </row>
  </sheetData>
  <phoneticPr fontId="42" type="noConversion"/>
  <pageMargins left="0.75" right="0.75" top="1" bottom="1" header="0.51180555555555596" footer="0.51180555555555596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44"/>
  <sheetViews>
    <sheetView workbookViewId="0">
      <selection activeCell="E9" sqref="E9"/>
    </sheetView>
  </sheetViews>
  <sheetFormatPr defaultColWidth="8.8984375" defaultRowHeight="18"/>
  <cols>
    <col min="1" max="1" width="10.5" style="119" customWidth="1"/>
    <col min="2" max="3" width="8.8984375" style="119"/>
    <col min="4" max="4" width="18.59765625" style="119" customWidth="1"/>
    <col min="5" max="5" width="8.8984375" style="119"/>
    <col min="6" max="6" width="39.09765625" style="119" customWidth="1"/>
    <col min="7" max="7" width="23.19921875" style="119" customWidth="1"/>
    <col min="8" max="8" width="11.8984375" style="119" customWidth="1"/>
    <col min="9" max="9" width="14.5" style="119" customWidth="1"/>
    <col min="10" max="10" width="15.09765625" style="119" customWidth="1"/>
    <col min="11" max="11" width="9.8984375" style="119" customWidth="1"/>
    <col min="12" max="12" width="18.3984375" style="119" customWidth="1"/>
    <col min="13" max="13" width="8.8984375" style="119"/>
    <col min="14" max="14" width="12.59765625" style="119" customWidth="1"/>
    <col min="15" max="15" width="8.5" style="119" customWidth="1"/>
    <col min="16" max="16" width="27.09765625" style="119" customWidth="1"/>
    <col min="17" max="17" width="42" style="119" customWidth="1"/>
    <col min="18" max="18" width="14" style="119" customWidth="1"/>
    <col min="19" max="19" width="8.8984375" style="119"/>
    <col min="20" max="20" width="31.09765625" style="119" customWidth="1"/>
    <col min="21" max="16384" width="8.8984375" style="119"/>
  </cols>
  <sheetData>
    <row r="1" spans="1:20" ht="21" customHeight="1">
      <c r="A1" s="139" t="s">
        <v>444</v>
      </c>
      <c r="C1" s="120" t="s">
        <v>445</v>
      </c>
      <c r="D1" s="120" t="s">
        <v>446</v>
      </c>
      <c r="E1" s="120" t="s">
        <v>28</v>
      </c>
      <c r="F1" s="120" t="s">
        <v>26</v>
      </c>
      <c r="G1" s="120" t="s">
        <v>447</v>
      </c>
      <c r="H1" s="120" t="s">
        <v>448</v>
      </c>
      <c r="I1" s="120" t="s">
        <v>449</v>
      </c>
      <c r="J1" s="120" t="s">
        <v>450</v>
      </c>
      <c r="K1" s="120" t="s">
        <v>451</v>
      </c>
      <c r="L1" s="120" t="s">
        <v>452</v>
      </c>
      <c r="N1" s="120" t="s">
        <v>453</v>
      </c>
      <c r="O1" s="120" t="s">
        <v>445</v>
      </c>
      <c r="P1" s="120" t="s">
        <v>451</v>
      </c>
      <c r="Q1" s="120" t="s">
        <v>454</v>
      </c>
      <c r="R1" s="120" t="s">
        <v>455</v>
      </c>
      <c r="S1" s="120" t="s">
        <v>451</v>
      </c>
      <c r="T1" s="120" t="s">
        <v>456</v>
      </c>
    </row>
    <row r="2" spans="1:20" ht="21" customHeight="1">
      <c r="A2" s="139" t="s">
        <v>457</v>
      </c>
      <c r="C2" s="120" t="s">
        <v>39</v>
      </c>
      <c r="D2" s="120" t="s">
        <v>457</v>
      </c>
      <c r="E2" s="120" t="s">
        <v>39</v>
      </c>
      <c r="F2" s="120" t="s">
        <v>457</v>
      </c>
      <c r="G2" s="120" t="s">
        <v>457</v>
      </c>
      <c r="H2" s="120" t="s">
        <v>39</v>
      </c>
      <c r="I2" s="120" t="s">
        <v>39</v>
      </c>
      <c r="J2" s="120" t="s">
        <v>457</v>
      </c>
      <c r="K2" s="120" t="s">
        <v>457</v>
      </c>
      <c r="L2" s="120" t="s">
        <v>39</v>
      </c>
      <c r="N2" s="120" t="s">
        <v>39</v>
      </c>
      <c r="O2" s="120" t="s">
        <v>39</v>
      </c>
      <c r="P2" s="120" t="s">
        <v>457</v>
      </c>
      <c r="Q2" s="120" t="s">
        <v>457</v>
      </c>
      <c r="R2" s="120" t="s">
        <v>39</v>
      </c>
      <c r="S2" s="120" t="s">
        <v>457</v>
      </c>
      <c r="T2" s="120" t="s">
        <v>457</v>
      </c>
    </row>
    <row r="3" spans="1:20" ht="21" customHeight="1">
      <c r="A3" s="140" t="s">
        <v>458</v>
      </c>
      <c r="C3" s="120" t="s">
        <v>459</v>
      </c>
      <c r="D3" s="120" t="s">
        <v>460</v>
      </c>
      <c r="E3" s="120" t="s">
        <v>8</v>
      </c>
      <c r="F3" s="120" t="s">
        <v>461</v>
      </c>
      <c r="G3" s="120" t="s">
        <v>462</v>
      </c>
      <c r="H3" s="120" t="s">
        <v>463</v>
      </c>
      <c r="I3" s="120" t="s">
        <v>464</v>
      </c>
      <c r="J3" s="120" t="s">
        <v>465</v>
      </c>
      <c r="K3" s="120" t="s">
        <v>466</v>
      </c>
      <c r="L3" s="120" t="s">
        <v>467</v>
      </c>
      <c r="N3" s="122" t="s">
        <v>468</v>
      </c>
      <c r="O3" s="122" t="s">
        <v>469</v>
      </c>
      <c r="P3" s="120" t="s">
        <v>470</v>
      </c>
      <c r="Q3" s="120" t="s">
        <v>471</v>
      </c>
      <c r="R3" s="120" t="s">
        <v>472</v>
      </c>
      <c r="S3" s="120" t="s">
        <v>473</v>
      </c>
      <c r="T3" s="120" t="s">
        <v>474</v>
      </c>
    </row>
    <row r="4" spans="1:20" ht="21" customHeight="1">
      <c r="A4" s="139" t="s">
        <v>475</v>
      </c>
      <c r="C4" s="120">
        <v>1</v>
      </c>
      <c r="D4" s="120" t="s">
        <v>476</v>
      </c>
      <c r="E4" s="120">
        <v>1</v>
      </c>
      <c r="F4" s="120" t="s">
        <v>477</v>
      </c>
      <c r="G4" s="120" t="s">
        <v>478</v>
      </c>
      <c r="H4" s="120">
        <v>6</v>
      </c>
      <c r="I4" s="120">
        <v>60</v>
      </c>
      <c r="J4" s="120" t="s">
        <v>479</v>
      </c>
      <c r="K4" s="122" t="s">
        <v>480</v>
      </c>
      <c r="L4" s="122">
        <v>0</v>
      </c>
      <c r="N4" s="141">
        <v>50</v>
      </c>
      <c r="O4" s="120">
        <v>1</v>
      </c>
      <c r="P4" s="120" t="s">
        <v>481</v>
      </c>
      <c r="Q4" s="120" t="s">
        <v>482</v>
      </c>
      <c r="R4" s="120">
        <v>0</v>
      </c>
      <c r="S4" s="120" t="s">
        <v>6</v>
      </c>
      <c r="T4" s="142" t="s">
        <v>483</v>
      </c>
    </row>
    <row r="5" spans="1:20" ht="21" customHeight="1">
      <c r="C5" s="120">
        <v>2</v>
      </c>
      <c r="D5" s="120" t="s">
        <v>484</v>
      </c>
      <c r="E5" s="120">
        <v>2</v>
      </c>
      <c r="F5" s="120" t="s">
        <v>485</v>
      </c>
      <c r="G5" s="120" t="s">
        <v>478</v>
      </c>
      <c r="H5" s="120">
        <v>25</v>
      </c>
      <c r="I5" s="120">
        <v>250</v>
      </c>
      <c r="J5" s="120" t="s">
        <v>486</v>
      </c>
      <c r="K5" s="122" t="s">
        <v>487</v>
      </c>
      <c r="L5" s="122">
        <v>0</v>
      </c>
      <c r="N5" s="141">
        <v>100</v>
      </c>
      <c r="O5" s="120">
        <v>1</v>
      </c>
      <c r="P5" s="122" t="s">
        <v>488</v>
      </c>
      <c r="Q5" s="120" t="s">
        <v>489</v>
      </c>
      <c r="R5" s="120">
        <v>0</v>
      </c>
      <c r="S5" s="120" t="s">
        <v>6</v>
      </c>
      <c r="T5" s="142" t="s">
        <v>483</v>
      </c>
    </row>
    <row r="6" spans="1:20" ht="21" customHeight="1">
      <c r="C6" s="120">
        <v>3</v>
      </c>
      <c r="D6" s="120" t="s">
        <v>490</v>
      </c>
      <c r="E6" s="120">
        <v>3</v>
      </c>
      <c r="F6" s="120" t="s">
        <v>491</v>
      </c>
      <c r="G6" s="120" t="s">
        <v>478</v>
      </c>
      <c r="H6" s="120">
        <v>298</v>
      </c>
      <c r="I6" s="120">
        <v>2980</v>
      </c>
      <c r="J6" s="120" t="s">
        <v>492</v>
      </c>
      <c r="K6" s="122" t="s">
        <v>493</v>
      </c>
      <c r="L6" s="122">
        <v>10000</v>
      </c>
      <c r="N6" s="141">
        <v>200</v>
      </c>
      <c r="O6" s="120">
        <v>1</v>
      </c>
      <c r="P6" s="122" t="s">
        <v>6</v>
      </c>
      <c r="Q6" s="120" t="s">
        <v>494</v>
      </c>
      <c r="R6" s="120">
        <v>0</v>
      </c>
      <c r="S6" s="120" t="s">
        <v>6</v>
      </c>
      <c r="T6" s="142" t="s">
        <v>495</v>
      </c>
    </row>
    <row r="7" spans="1:20" ht="21" customHeight="1">
      <c r="C7" s="120">
        <v>4</v>
      </c>
      <c r="D7" s="120" t="s">
        <v>496</v>
      </c>
      <c r="E7" s="120">
        <v>4</v>
      </c>
      <c r="F7" s="120" t="s">
        <v>497</v>
      </c>
      <c r="G7" s="120" t="s">
        <v>478</v>
      </c>
      <c r="H7" s="120">
        <v>588</v>
      </c>
      <c r="I7" s="120">
        <v>5880</v>
      </c>
      <c r="J7" s="120" t="s">
        <v>498</v>
      </c>
      <c r="K7" s="122" t="s">
        <v>499</v>
      </c>
      <c r="L7" s="123">
        <v>10000</v>
      </c>
      <c r="N7" s="141">
        <v>300</v>
      </c>
      <c r="O7" s="120">
        <v>1</v>
      </c>
      <c r="P7" s="120" t="s">
        <v>500</v>
      </c>
      <c r="Q7" s="120" t="s">
        <v>501</v>
      </c>
      <c r="R7" s="120">
        <v>0</v>
      </c>
      <c r="S7" s="120" t="s">
        <v>6</v>
      </c>
      <c r="T7" s="142" t="s">
        <v>495</v>
      </c>
    </row>
    <row r="8" spans="1:20" ht="21" customHeight="1">
      <c r="C8" s="120">
        <v>5</v>
      </c>
      <c r="D8" s="120" t="s">
        <v>502</v>
      </c>
      <c r="E8" s="120">
        <v>5</v>
      </c>
      <c r="F8" s="120" t="s">
        <v>503</v>
      </c>
      <c r="G8" s="120" t="s">
        <v>478</v>
      </c>
      <c r="H8" s="120">
        <v>618</v>
      </c>
      <c r="I8" s="120">
        <v>6180</v>
      </c>
      <c r="J8" s="120" t="s">
        <v>504</v>
      </c>
      <c r="K8" s="122" t="s">
        <v>505</v>
      </c>
      <c r="L8" s="122">
        <v>10000</v>
      </c>
      <c r="N8" s="141">
        <v>500</v>
      </c>
      <c r="O8" s="120">
        <v>1</v>
      </c>
      <c r="P8" s="120" t="s">
        <v>6</v>
      </c>
      <c r="Q8" s="120" t="s">
        <v>494</v>
      </c>
      <c r="R8" s="120">
        <v>0</v>
      </c>
      <c r="S8" s="120" t="s">
        <v>6</v>
      </c>
      <c r="T8" s="142" t="s">
        <v>506</v>
      </c>
    </row>
    <row r="9" spans="1:20" ht="21" customHeight="1">
      <c r="N9" s="141">
        <v>800</v>
      </c>
      <c r="O9" s="120">
        <v>1</v>
      </c>
      <c r="P9" s="120" t="s">
        <v>507</v>
      </c>
      <c r="Q9" s="120" t="s">
        <v>508</v>
      </c>
      <c r="R9" s="120">
        <v>0</v>
      </c>
      <c r="S9" s="120" t="s">
        <v>6</v>
      </c>
      <c r="T9" s="142" t="s">
        <v>509</v>
      </c>
    </row>
    <row r="10" spans="1:20" ht="21" customHeight="1">
      <c r="N10" s="141">
        <v>1000</v>
      </c>
      <c r="O10" s="120">
        <v>2</v>
      </c>
      <c r="P10" s="120" t="s">
        <v>481</v>
      </c>
      <c r="Q10" s="122" t="s">
        <v>510</v>
      </c>
      <c r="R10" s="120">
        <v>0</v>
      </c>
      <c r="S10" s="120" t="s">
        <v>6</v>
      </c>
      <c r="T10" s="142" t="s">
        <v>511</v>
      </c>
    </row>
    <row r="11" spans="1:20" ht="21" customHeight="1">
      <c r="N11" s="141">
        <v>2000</v>
      </c>
      <c r="O11" s="120">
        <v>2</v>
      </c>
      <c r="P11" s="120" t="s">
        <v>488</v>
      </c>
      <c r="Q11" s="120" t="s">
        <v>512</v>
      </c>
      <c r="R11" s="120">
        <v>0</v>
      </c>
      <c r="S11" s="120" t="s">
        <v>6</v>
      </c>
      <c r="T11" s="142" t="s">
        <v>513</v>
      </c>
    </row>
    <row r="12" spans="1:20" ht="21" customHeight="1">
      <c r="N12" s="141">
        <v>3000</v>
      </c>
      <c r="O12" s="120">
        <v>2</v>
      </c>
      <c r="P12" s="120" t="s">
        <v>500</v>
      </c>
      <c r="Q12" s="120" t="s">
        <v>514</v>
      </c>
      <c r="R12" s="120">
        <v>0</v>
      </c>
      <c r="S12" s="120" t="s">
        <v>6</v>
      </c>
      <c r="T12" s="142" t="s">
        <v>515</v>
      </c>
    </row>
    <row r="13" spans="1:20" ht="21" customHeight="1">
      <c r="N13" s="141">
        <v>5000</v>
      </c>
      <c r="O13" s="120">
        <v>2</v>
      </c>
      <c r="P13" s="120" t="s">
        <v>6</v>
      </c>
      <c r="Q13" s="120" t="s">
        <v>495</v>
      </c>
      <c r="R13" s="120">
        <v>0</v>
      </c>
      <c r="S13" s="120" t="s">
        <v>6</v>
      </c>
      <c r="T13" s="142" t="s">
        <v>516</v>
      </c>
    </row>
    <row r="14" spans="1:20" ht="21" customHeight="1">
      <c r="N14" s="141">
        <v>8000</v>
      </c>
      <c r="O14" s="120">
        <v>2</v>
      </c>
      <c r="P14" s="120" t="s">
        <v>500</v>
      </c>
      <c r="Q14" s="122" t="s">
        <v>517</v>
      </c>
      <c r="R14" s="120">
        <v>0</v>
      </c>
      <c r="S14" s="120" t="s">
        <v>6</v>
      </c>
      <c r="T14" s="142" t="s">
        <v>518</v>
      </c>
    </row>
    <row r="15" spans="1:20" ht="21" customHeight="1">
      <c r="N15" s="141">
        <v>10000</v>
      </c>
      <c r="O15" s="120">
        <v>3</v>
      </c>
      <c r="P15" s="120" t="s">
        <v>6</v>
      </c>
      <c r="Q15" s="120" t="s">
        <v>506</v>
      </c>
      <c r="R15" s="120">
        <v>0</v>
      </c>
      <c r="S15" s="120" t="s">
        <v>6</v>
      </c>
      <c r="T15" s="142" t="s">
        <v>519</v>
      </c>
    </row>
    <row r="16" spans="1:20" ht="21" customHeight="1">
      <c r="N16" s="141">
        <v>15000</v>
      </c>
      <c r="O16" s="120">
        <v>3</v>
      </c>
      <c r="P16" s="120" t="s">
        <v>6</v>
      </c>
      <c r="Q16" s="120" t="s">
        <v>509</v>
      </c>
      <c r="R16" s="120">
        <v>0</v>
      </c>
      <c r="S16" s="120" t="s">
        <v>6</v>
      </c>
      <c r="T16" s="142" t="s">
        <v>520</v>
      </c>
    </row>
    <row r="17" spans="14:20" ht="21" customHeight="1">
      <c r="N17" s="141">
        <v>20000</v>
      </c>
      <c r="O17" s="120">
        <v>3</v>
      </c>
      <c r="P17" s="120" t="s">
        <v>521</v>
      </c>
      <c r="Q17" s="120" t="s">
        <v>522</v>
      </c>
      <c r="R17" s="120">
        <v>0</v>
      </c>
      <c r="S17" s="120" t="s">
        <v>6</v>
      </c>
      <c r="T17" s="142" t="s">
        <v>523</v>
      </c>
    </row>
    <row r="18" spans="14:20" ht="21" customHeight="1">
      <c r="N18" s="141">
        <v>25000</v>
      </c>
      <c r="O18" s="120">
        <v>3</v>
      </c>
      <c r="P18" s="120" t="s">
        <v>6</v>
      </c>
      <c r="Q18" s="122" t="s">
        <v>511</v>
      </c>
      <c r="R18" s="120">
        <v>0</v>
      </c>
      <c r="S18" s="120" t="s">
        <v>6</v>
      </c>
      <c r="T18" s="142" t="s">
        <v>524</v>
      </c>
    </row>
    <row r="19" spans="14:20" ht="21" customHeight="1">
      <c r="N19" s="141">
        <v>30000</v>
      </c>
      <c r="O19" s="120">
        <v>3</v>
      </c>
      <c r="P19" s="120" t="s">
        <v>500</v>
      </c>
      <c r="Q19" s="120" t="s">
        <v>525</v>
      </c>
      <c r="R19" s="120">
        <v>0</v>
      </c>
      <c r="S19" s="120" t="s">
        <v>6</v>
      </c>
      <c r="T19" s="142" t="s">
        <v>526</v>
      </c>
    </row>
    <row r="20" spans="14:20" ht="21" customHeight="1">
      <c r="N20" s="141">
        <v>35000</v>
      </c>
      <c r="O20" s="120">
        <v>4</v>
      </c>
      <c r="P20" s="120" t="s">
        <v>6</v>
      </c>
      <c r="Q20" s="122" t="s">
        <v>513</v>
      </c>
      <c r="R20" s="120">
        <v>0</v>
      </c>
      <c r="S20" s="120" t="s">
        <v>6</v>
      </c>
      <c r="T20" s="142" t="s">
        <v>526</v>
      </c>
    </row>
    <row r="21" spans="14:20" ht="21" customHeight="1">
      <c r="N21" s="141">
        <v>40000</v>
      </c>
      <c r="O21" s="120">
        <v>4</v>
      </c>
      <c r="P21" s="120" t="s">
        <v>6</v>
      </c>
      <c r="Q21" s="120" t="s">
        <v>527</v>
      </c>
      <c r="R21" s="120">
        <v>0</v>
      </c>
      <c r="S21" s="120" t="s">
        <v>6</v>
      </c>
      <c r="T21" s="142" t="s">
        <v>528</v>
      </c>
    </row>
    <row r="22" spans="14:20" ht="21" customHeight="1">
      <c r="N22" s="141">
        <v>45000</v>
      </c>
      <c r="O22" s="120">
        <v>4</v>
      </c>
      <c r="P22" s="120" t="s">
        <v>6</v>
      </c>
      <c r="Q22" s="120" t="s">
        <v>516</v>
      </c>
      <c r="R22" s="120">
        <v>0</v>
      </c>
      <c r="S22" s="120" t="s">
        <v>6</v>
      </c>
      <c r="T22" s="142" t="s">
        <v>528</v>
      </c>
    </row>
    <row r="23" spans="14:20" ht="21" customHeight="1">
      <c r="N23" s="141">
        <v>50000</v>
      </c>
      <c r="O23" s="120">
        <v>4</v>
      </c>
      <c r="P23" s="120" t="s">
        <v>529</v>
      </c>
      <c r="Q23" s="120" t="s">
        <v>530</v>
      </c>
      <c r="R23" s="120">
        <v>0</v>
      </c>
      <c r="S23" s="120" t="s">
        <v>6</v>
      </c>
      <c r="T23" s="142" t="s">
        <v>531</v>
      </c>
    </row>
    <row r="24" spans="14:20" ht="21" customHeight="1">
      <c r="N24" s="141">
        <v>60000</v>
      </c>
      <c r="O24" s="120">
        <v>4</v>
      </c>
      <c r="P24" s="120" t="s">
        <v>6</v>
      </c>
      <c r="Q24" s="122" t="s">
        <v>532</v>
      </c>
      <c r="R24" s="120">
        <v>0</v>
      </c>
      <c r="S24" s="120" t="s">
        <v>6</v>
      </c>
      <c r="T24" s="142" t="s">
        <v>531</v>
      </c>
    </row>
    <row r="25" spans="14:20" ht="21" customHeight="1">
      <c r="N25" s="141">
        <v>70000</v>
      </c>
      <c r="O25" s="120">
        <v>5</v>
      </c>
      <c r="P25" s="120" t="s">
        <v>6</v>
      </c>
      <c r="Q25" s="120" t="s">
        <v>533</v>
      </c>
      <c r="R25" s="120">
        <v>0</v>
      </c>
      <c r="S25" s="120" t="s">
        <v>6</v>
      </c>
      <c r="T25" s="142" t="s">
        <v>534</v>
      </c>
    </row>
    <row r="26" spans="14:20" ht="21" customHeight="1">
      <c r="N26" s="141">
        <v>80000</v>
      </c>
      <c r="O26" s="120">
        <v>5</v>
      </c>
      <c r="P26" s="120" t="s">
        <v>500</v>
      </c>
      <c r="Q26" s="120" t="s">
        <v>535</v>
      </c>
      <c r="R26" s="120">
        <v>0</v>
      </c>
      <c r="S26" s="120" t="s">
        <v>6</v>
      </c>
      <c r="T26" s="142" t="s">
        <v>531</v>
      </c>
    </row>
    <row r="27" spans="14:20" ht="21" customHeight="1">
      <c r="N27" s="141">
        <v>90000</v>
      </c>
      <c r="O27" s="120">
        <v>5</v>
      </c>
      <c r="P27" s="120" t="s">
        <v>6</v>
      </c>
      <c r="Q27" s="120" t="s">
        <v>533</v>
      </c>
      <c r="R27" s="120">
        <v>0</v>
      </c>
      <c r="S27" s="120" t="s">
        <v>6</v>
      </c>
      <c r="T27" s="142" t="s">
        <v>536</v>
      </c>
    </row>
    <row r="28" spans="14:20" ht="21" customHeight="1">
      <c r="N28" s="141">
        <v>100000</v>
      </c>
      <c r="O28" s="120">
        <v>5</v>
      </c>
      <c r="P28" s="120" t="s">
        <v>6</v>
      </c>
      <c r="Q28" s="120" t="s">
        <v>537</v>
      </c>
      <c r="R28" s="120">
        <v>0</v>
      </c>
      <c r="S28" s="120" t="s">
        <v>6</v>
      </c>
      <c r="T28" s="142" t="s">
        <v>538</v>
      </c>
    </row>
    <row r="29" spans="14:20" ht="21" customHeight="1"/>
    <row r="30" spans="14:20" ht="21" customHeight="1"/>
    <row r="31" spans="14:20" ht="21" customHeight="1"/>
    <row r="32" spans="14:20" ht="21" customHeight="1"/>
    <row r="33" ht="21" customHeight="1"/>
    <row r="34" ht="21" customHeight="1"/>
    <row r="35" ht="21" customHeight="1"/>
    <row r="36" ht="21" customHeight="1"/>
    <row r="37" ht="21" customHeight="1"/>
    <row r="38" ht="21" customHeight="1"/>
    <row r="39" ht="21" customHeight="1"/>
    <row r="40" ht="21" customHeight="1"/>
    <row r="41" ht="21" customHeight="1"/>
    <row r="42" ht="21" customHeight="1"/>
    <row r="43" ht="21" customHeight="1"/>
    <row r="44" ht="21" customHeight="1"/>
  </sheetData>
  <phoneticPr fontId="42" type="noConversion"/>
  <conditionalFormatting sqref="N4:N28">
    <cfRule type="cellIs" dxfId="111" priority="1" operator="equal">
      <formula>"-"</formula>
    </cfRule>
    <cfRule type="cellIs" dxfId="110" priority="2" operator="equal">
      <formula>0</formula>
    </cfRule>
  </conditionalFormatting>
  <pageMargins left="0.75" right="0.75" top="1" bottom="1" header="0.51180555555555596" footer="0.5118055555555559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44"/>
  <sheetViews>
    <sheetView topLeftCell="A7" workbookViewId="0">
      <selection activeCell="O23" sqref="O23"/>
    </sheetView>
  </sheetViews>
  <sheetFormatPr defaultColWidth="8.8984375" defaultRowHeight="18"/>
  <cols>
    <col min="1" max="1" width="10.5" customWidth="1"/>
    <col min="4" max="4" width="18.59765625" customWidth="1"/>
    <col min="8" max="8" width="11.8984375" customWidth="1"/>
    <col min="9" max="9" width="14.5" customWidth="1"/>
    <col min="10" max="10" width="15.09765625" customWidth="1"/>
    <col min="11" max="11" width="11.3984375" customWidth="1"/>
    <col min="12" max="12" width="18.3984375" style="119" customWidth="1"/>
    <col min="14" max="14" width="12.59765625" customWidth="1"/>
    <col min="15" max="15" width="8.5" customWidth="1"/>
    <col min="16" max="16" width="27.09765625" customWidth="1"/>
    <col min="17" max="17" width="42" customWidth="1"/>
    <col min="18" max="18" width="14" customWidth="1"/>
    <col min="20" max="20" width="31.09765625" customWidth="1"/>
  </cols>
  <sheetData>
    <row r="1" spans="1:20" ht="36">
      <c r="A1" s="97" t="s">
        <v>444</v>
      </c>
      <c r="C1" s="18" t="s">
        <v>445</v>
      </c>
      <c r="D1" s="18" t="s">
        <v>446</v>
      </c>
      <c r="E1" s="18" t="s">
        <v>28</v>
      </c>
      <c r="F1" s="18" t="s">
        <v>26</v>
      </c>
      <c r="G1" s="18" t="s">
        <v>447</v>
      </c>
      <c r="H1" s="18" t="s">
        <v>448</v>
      </c>
      <c r="I1" s="18" t="s">
        <v>449</v>
      </c>
      <c r="J1" s="18" t="s">
        <v>450</v>
      </c>
      <c r="K1" s="18" t="s">
        <v>451</v>
      </c>
      <c r="L1" s="120" t="s">
        <v>452</v>
      </c>
      <c r="N1" s="18" t="s">
        <v>453</v>
      </c>
      <c r="O1" s="18" t="s">
        <v>445</v>
      </c>
      <c r="P1" s="18" t="s">
        <v>451</v>
      </c>
      <c r="Q1" s="18" t="s">
        <v>454</v>
      </c>
      <c r="R1" s="18" t="s">
        <v>455</v>
      </c>
      <c r="S1" s="18" t="s">
        <v>451</v>
      </c>
      <c r="T1" s="18" t="s">
        <v>456</v>
      </c>
    </row>
    <row r="2" spans="1:20">
      <c r="A2" s="97" t="s">
        <v>457</v>
      </c>
      <c r="C2" s="18" t="s">
        <v>39</v>
      </c>
      <c r="D2" s="18" t="s">
        <v>457</v>
      </c>
      <c r="E2" s="18" t="s">
        <v>39</v>
      </c>
      <c r="F2" s="18" t="s">
        <v>457</v>
      </c>
      <c r="G2" s="18" t="s">
        <v>457</v>
      </c>
      <c r="H2" s="18" t="s">
        <v>39</v>
      </c>
      <c r="I2" s="18" t="s">
        <v>39</v>
      </c>
      <c r="J2" s="18" t="s">
        <v>457</v>
      </c>
      <c r="K2" s="18" t="s">
        <v>457</v>
      </c>
      <c r="L2" s="120" t="s">
        <v>39</v>
      </c>
      <c r="N2" s="18" t="s">
        <v>39</v>
      </c>
      <c r="O2" s="18" t="s">
        <v>39</v>
      </c>
      <c r="P2" s="18" t="s">
        <v>457</v>
      </c>
      <c r="Q2" s="18" t="s">
        <v>457</v>
      </c>
      <c r="R2" s="18" t="s">
        <v>39</v>
      </c>
      <c r="S2" s="18" t="s">
        <v>457</v>
      </c>
      <c r="T2" s="18" t="s">
        <v>457</v>
      </c>
    </row>
    <row r="3" spans="1:20" ht="20.25">
      <c r="A3" s="98" t="s">
        <v>539</v>
      </c>
      <c r="C3" s="18" t="s">
        <v>459</v>
      </c>
      <c r="D3" s="18" t="s">
        <v>460</v>
      </c>
      <c r="E3" s="18" t="s">
        <v>8</v>
      </c>
      <c r="F3" s="18" t="s">
        <v>461</v>
      </c>
      <c r="G3" s="18" t="s">
        <v>462</v>
      </c>
      <c r="H3" s="18" t="s">
        <v>463</v>
      </c>
      <c r="I3" s="18" t="s">
        <v>464</v>
      </c>
      <c r="J3" s="18" t="s">
        <v>465</v>
      </c>
      <c r="K3" s="18" t="s">
        <v>466</v>
      </c>
      <c r="L3" s="120" t="s">
        <v>467</v>
      </c>
      <c r="N3" s="121" t="s">
        <v>540</v>
      </c>
      <c r="O3" s="121" t="s">
        <v>541</v>
      </c>
      <c r="P3" s="18" t="s">
        <v>470</v>
      </c>
      <c r="Q3" s="18" t="s">
        <v>471</v>
      </c>
      <c r="R3" s="18" t="s">
        <v>472</v>
      </c>
      <c r="S3" s="18" t="s">
        <v>473</v>
      </c>
      <c r="T3" s="18" t="s">
        <v>474</v>
      </c>
    </row>
    <row r="4" spans="1:20" ht="90">
      <c r="A4" s="97" t="s">
        <v>542</v>
      </c>
      <c r="C4" s="18">
        <v>1</v>
      </c>
      <c r="D4" s="18" t="s">
        <v>543</v>
      </c>
      <c r="E4" s="18">
        <v>1</v>
      </c>
      <c r="F4" s="18" t="s">
        <v>477</v>
      </c>
      <c r="G4" s="18" t="s">
        <v>544</v>
      </c>
      <c r="H4" s="18">
        <v>30</v>
      </c>
      <c r="I4" s="18">
        <v>300</v>
      </c>
      <c r="J4" s="18" t="s">
        <v>545</v>
      </c>
      <c r="K4" s="121" t="s">
        <v>546</v>
      </c>
      <c r="L4" s="122">
        <v>0</v>
      </c>
      <c r="N4" s="125">
        <v>10</v>
      </c>
      <c r="O4" s="125">
        <v>1</v>
      </c>
      <c r="P4" s="125" t="s">
        <v>547</v>
      </c>
      <c r="Q4" s="125" t="s">
        <v>548</v>
      </c>
      <c r="R4" s="125">
        <v>0</v>
      </c>
      <c r="S4" s="126" t="s">
        <v>549</v>
      </c>
      <c r="T4" s="125" t="s">
        <v>550</v>
      </c>
    </row>
    <row r="5" spans="1:20" ht="108">
      <c r="C5" s="18">
        <v>2</v>
      </c>
      <c r="D5" s="18" t="s">
        <v>551</v>
      </c>
      <c r="E5" s="18">
        <v>2</v>
      </c>
      <c r="F5" s="18" t="s">
        <v>485</v>
      </c>
      <c r="G5" s="18" t="s">
        <v>544</v>
      </c>
      <c r="H5" s="18">
        <v>198</v>
      </c>
      <c r="I5" s="18">
        <v>1980</v>
      </c>
      <c r="J5" s="18" t="s">
        <v>552</v>
      </c>
      <c r="K5" s="121" t="s">
        <v>553</v>
      </c>
      <c r="L5" s="122">
        <v>0</v>
      </c>
      <c r="N5" s="125">
        <v>11</v>
      </c>
      <c r="O5" s="125">
        <v>1</v>
      </c>
      <c r="P5" s="126" t="s">
        <v>6</v>
      </c>
      <c r="Q5" s="125" t="s">
        <v>554</v>
      </c>
      <c r="R5" s="125">
        <v>0</v>
      </c>
      <c r="S5" s="126" t="s">
        <v>555</v>
      </c>
      <c r="T5" s="125" t="s">
        <v>494</v>
      </c>
    </row>
    <row r="6" spans="1:20" ht="90">
      <c r="C6" s="18">
        <v>3</v>
      </c>
      <c r="D6" s="18" t="s">
        <v>556</v>
      </c>
      <c r="E6" s="18">
        <v>3</v>
      </c>
      <c r="F6" s="18" t="s">
        <v>491</v>
      </c>
      <c r="G6" s="18" t="s">
        <v>544</v>
      </c>
      <c r="H6" s="18">
        <v>328</v>
      </c>
      <c r="I6" s="18">
        <v>3280</v>
      </c>
      <c r="J6" s="18" t="s">
        <v>557</v>
      </c>
      <c r="K6" s="121" t="s">
        <v>558</v>
      </c>
      <c r="L6" s="122">
        <v>10000</v>
      </c>
      <c r="N6" s="125">
        <v>12</v>
      </c>
      <c r="O6" s="125">
        <v>1</v>
      </c>
      <c r="P6" s="126" t="s">
        <v>6</v>
      </c>
      <c r="Q6" s="125" t="s">
        <v>559</v>
      </c>
      <c r="R6" s="125">
        <v>0</v>
      </c>
      <c r="S6" s="125" t="s">
        <v>6</v>
      </c>
      <c r="T6" s="125" t="s">
        <v>560</v>
      </c>
    </row>
    <row r="7" spans="1:20" ht="90">
      <c r="C7" s="18">
        <v>4</v>
      </c>
      <c r="D7" s="18" t="s">
        <v>561</v>
      </c>
      <c r="E7" s="18">
        <v>4</v>
      </c>
      <c r="F7" s="18" t="s">
        <v>497</v>
      </c>
      <c r="G7" s="18" t="s">
        <v>544</v>
      </c>
      <c r="H7" s="18">
        <v>648</v>
      </c>
      <c r="I7" s="18">
        <v>6480</v>
      </c>
      <c r="J7" s="18" t="s">
        <v>562</v>
      </c>
      <c r="K7" s="121" t="s">
        <v>563</v>
      </c>
      <c r="L7" s="123">
        <v>10000</v>
      </c>
      <c r="N7" s="125">
        <v>13</v>
      </c>
      <c r="O7" s="125">
        <v>1</v>
      </c>
      <c r="P7" s="125" t="s">
        <v>6</v>
      </c>
      <c r="Q7" s="125" t="s">
        <v>564</v>
      </c>
      <c r="R7" s="125">
        <v>0</v>
      </c>
      <c r="S7" s="125" t="s">
        <v>6</v>
      </c>
      <c r="T7" s="125" t="s">
        <v>565</v>
      </c>
    </row>
    <row r="8" spans="1:20" ht="90">
      <c r="C8" s="18">
        <v>5</v>
      </c>
      <c r="D8" s="18" t="s">
        <v>566</v>
      </c>
      <c r="E8" s="18">
        <v>4</v>
      </c>
      <c r="F8" s="18" t="s">
        <v>497</v>
      </c>
      <c r="G8" s="18" t="s">
        <v>544</v>
      </c>
      <c r="H8" s="18">
        <v>328</v>
      </c>
      <c r="I8" s="18">
        <v>3280</v>
      </c>
      <c r="J8" s="18" t="s">
        <v>557</v>
      </c>
      <c r="K8" s="121" t="s">
        <v>567</v>
      </c>
      <c r="L8" s="122">
        <v>10000</v>
      </c>
      <c r="N8" s="125">
        <v>14</v>
      </c>
      <c r="O8" s="125">
        <v>1</v>
      </c>
      <c r="P8" s="125" t="s">
        <v>568</v>
      </c>
      <c r="Q8" s="125" t="s">
        <v>569</v>
      </c>
      <c r="R8" s="125">
        <v>0</v>
      </c>
      <c r="S8" s="125" t="s">
        <v>6</v>
      </c>
      <c r="T8" s="125" t="s">
        <v>570</v>
      </c>
    </row>
    <row r="9" spans="1:20" ht="90">
      <c r="C9" s="18">
        <v>6</v>
      </c>
      <c r="D9" s="18" t="s">
        <v>571</v>
      </c>
      <c r="E9" s="18">
        <v>5</v>
      </c>
      <c r="F9" s="18" t="s">
        <v>503</v>
      </c>
      <c r="G9" s="18" t="s">
        <v>544</v>
      </c>
      <c r="H9" s="18">
        <v>648</v>
      </c>
      <c r="I9" s="18">
        <v>6480</v>
      </c>
      <c r="J9" s="18" t="s">
        <v>562</v>
      </c>
      <c r="K9" s="121" t="s">
        <v>572</v>
      </c>
      <c r="L9" s="124">
        <v>10000</v>
      </c>
      <c r="N9" s="125">
        <v>15</v>
      </c>
      <c r="O9" s="125">
        <v>1</v>
      </c>
      <c r="P9" s="125" t="s">
        <v>6</v>
      </c>
      <c r="Q9" s="125" t="s">
        <v>573</v>
      </c>
      <c r="R9" s="125">
        <v>0</v>
      </c>
      <c r="S9" s="125" t="s">
        <v>6</v>
      </c>
      <c r="T9" s="125" t="s">
        <v>574</v>
      </c>
    </row>
    <row r="10" spans="1:20" ht="90">
      <c r="C10" s="18">
        <v>7</v>
      </c>
      <c r="D10" s="18" t="s">
        <v>575</v>
      </c>
      <c r="E10" s="18">
        <v>5</v>
      </c>
      <c r="F10" s="18" t="s">
        <v>503</v>
      </c>
      <c r="G10" s="18" t="s">
        <v>544</v>
      </c>
      <c r="H10" s="18">
        <v>328</v>
      </c>
      <c r="I10" s="18">
        <v>3280</v>
      </c>
      <c r="J10" s="18" t="s">
        <v>557</v>
      </c>
      <c r="K10" s="121" t="s">
        <v>576</v>
      </c>
      <c r="L10" s="124">
        <v>10000</v>
      </c>
      <c r="N10" s="125">
        <v>16</v>
      </c>
      <c r="O10" s="125">
        <v>1</v>
      </c>
      <c r="P10" s="125" t="s">
        <v>577</v>
      </c>
      <c r="Q10" s="134" t="s">
        <v>578</v>
      </c>
      <c r="R10" s="125">
        <v>15000</v>
      </c>
      <c r="S10" s="125" t="s">
        <v>6</v>
      </c>
      <c r="T10" s="125" t="s">
        <v>579</v>
      </c>
    </row>
    <row r="11" spans="1:20">
      <c r="N11" s="125">
        <v>17</v>
      </c>
      <c r="O11" s="125">
        <v>1</v>
      </c>
      <c r="P11" s="125" t="s">
        <v>6</v>
      </c>
      <c r="Q11" s="125" t="s">
        <v>580</v>
      </c>
      <c r="R11" s="125">
        <v>0</v>
      </c>
      <c r="S11" s="125" t="s">
        <v>6</v>
      </c>
      <c r="T11" s="125" t="s">
        <v>581</v>
      </c>
    </row>
    <row r="12" spans="1:20" ht="20.25">
      <c r="N12" s="125">
        <v>18</v>
      </c>
      <c r="O12" s="125">
        <v>1</v>
      </c>
      <c r="P12" s="127" t="s">
        <v>507</v>
      </c>
      <c r="Q12" s="125" t="s">
        <v>582</v>
      </c>
      <c r="R12" s="125">
        <v>15000</v>
      </c>
      <c r="S12" s="125" t="s">
        <v>6</v>
      </c>
      <c r="T12" s="125" t="s">
        <v>583</v>
      </c>
    </row>
    <row r="13" spans="1:20">
      <c r="N13" s="125">
        <v>19</v>
      </c>
      <c r="O13" s="125">
        <v>1</v>
      </c>
      <c r="P13" s="125" t="s">
        <v>6</v>
      </c>
      <c r="Q13" s="125" t="s">
        <v>584</v>
      </c>
      <c r="R13" s="125">
        <v>0</v>
      </c>
      <c r="S13" s="125" t="s">
        <v>6</v>
      </c>
      <c r="T13" s="125" t="s">
        <v>585</v>
      </c>
    </row>
    <row r="14" spans="1:20">
      <c r="N14" s="125">
        <v>20</v>
      </c>
      <c r="O14" s="125">
        <v>1</v>
      </c>
      <c r="P14" s="125" t="s">
        <v>586</v>
      </c>
      <c r="Q14" s="134" t="s">
        <v>587</v>
      </c>
      <c r="R14" s="125">
        <v>15000</v>
      </c>
      <c r="S14" s="125" t="s">
        <v>6</v>
      </c>
      <c r="T14" s="125" t="s">
        <v>588</v>
      </c>
    </row>
    <row r="15" spans="1:20">
      <c r="N15" s="128">
        <v>21</v>
      </c>
      <c r="O15" s="128">
        <v>2</v>
      </c>
      <c r="P15" s="128" t="s">
        <v>6</v>
      </c>
      <c r="Q15" s="128" t="s">
        <v>589</v>
      </c>
      <c r="R15" s="128">
        <v>0</v>
      </c>
      <c r="S15" s="128" t="s">
        <v>6</v>
      </c>
      <c r="T15" s="128" t="s">
        <v>509</v>
      </c>
    </row>
    <row r="16" spans="1:20">
      <c r="N16" s="128">
        <v>22</v>
      </c>
      <c r="O16" s="128">
        <v>2</v>
      </c>
      <c r="P16" s="128" t="s">
        <v>590</v>
      </c>
      <c r="Q16" s="128" t="s">
        <v>591</v>
      </c>
      <c r="R16" s="128">
        <v>20000</v>
      </c>
      <c r="S16" s="128" t="s">
        <v>6</v>
      </c>
      <c r="T16" s="128" t="s">
        <v>592</v>
      </c>
    </row>
    <row r="17" spans="14:20">
      <c r="N17" s="128">
        <v>23</v>
      </c>
      <c r="O17" s="128">
        <v>2</v>
      </c>
      <c r="P17" s="128" t="s">
        <v>6</v>
      </c>
      <c r="Q17" s="128" t="s">
        <v>593</v>
      </c>
      <c r="R17" s="128">
        <v>0</v>
      </c>
      <c r="S17" s="128" t="s">
        <v>6</v>
      </c>
      <c r="T17" s="128" t="s">
        <v>594</v>
      </c>
    </row>
    <row r="18" spans="14:20">
      <c r="N18" s="128">
        <v>24</v>
      </c>
      <c r="O18" s="128">
        <v>2</v>
      </c>
      <c r="P18" s="128" t="s">
        <v>595</v>
      </c>
      <c r="Q18" s="135" t="s">
        <v>596</v>
      </c>
      <c r="R18" s="128">
        <v>20000</v>
      </c>
      <c r="S18" s="128" t="s">
        <v>6</v>
      </c>
      <c r="T18" s="128" t="s">
        <v>511</v>
      </c>
    </row>
    <row r="19" spans="14:20">
      <c r="N19" s="128">
        <v>25</v>
      </c>
      <c r="O19" s="128">
        <v>2</v>
      </c>
      <c r="P19" s="128" t="s">
        <v>6</v>
      </c>
      <c r="Q19" s="128" t="s">
        <v>597</v>
      </c>
      <c r="R19" s="128">
        <v>0</v>
      </c>
      <c r="S19" s="128" t="s">
        <v>6</v>
      </c>
      <c r="T19" s="128" t="s">
        <v>513</v>
      </c>
    </row>
    <row r="20" spans="14:20">
      <c r="N20" s="129">
        <v>26</v>
      </c>
      <c r="O20" s="129">
        <v>3</v>
      </c>
      <c r="P20" s="129" t="s">
        <v>577</v>
      </c>
      <c r="Q20" s="136" t="s">
        <v>598</v>
      </c>
      <c r="R20" s="129">
        <v>30000</v>
      </c>
      <c r="S20" s="129" t="s">
        <v>6</v>
      </c>
      <c r="T20" s="129" t="s">
        <v>511</v>
      </c>
    </row>
    <row r="21" spans="14:20">
      <c r="N21" s="129">
        <v>27</v>
      </c>
      <c r="O21" s="129">
        <v>3</v>
      </c>
      <c r="P21" s="129" t="s">
        <v>6</v>
      </c>
      <c r="Q21" s="129" t="s">
        <v>599</v>
      </c>
      <c r="R21" s="129">
        <v>0</v>
      </c>
      <c r="S21" s="129" t="s">
        <v>6</v>
      </c>
      <c r="T21" s="129" t="s">
        <v>600</v>
      </c>
    </row>
    <row r="22" spans="14:20" ht="20.25">
      <c r="N22" s="129">
        <v>28</v>
      </c>
      <c r="O22" s="129">
        <v>3</v>
      </c>
      <c r="P22" s="130" t="s">
        <v>507</v>
      </c>
      <c r="Q22" s="129" t="s">
        <v>601</v>
      </c>
      <c r="R22" s="129">
        <v>30000</v>
      </c>
      <c r="S22" s="129" t="s">
        <v>6</v>
      </c>
      <c r="T22" s="129" t="s">
        <v>602</v>
      </c>
    </row>
    <row r="23" spans="14:20">
      <c r="N23" s="129">
        <v>29</v>
      </c>
      <c r="O23" s="129">
        <v>3</v>
      </c>
      <c r="P23" s="129" t="s">
        <v>6</v>
      </c>
      <c r="Q23" s="129" t="s">
        <v>550</v>
      </c>
      <c r="R23" s="129">
        <v>0</v>
      </c>
      <c r="S23" s="129" t="s">
        <v>6</v>
      </c>
      <c r="T23" s="129" t="s">
        <v>527</v>
      </c>
    </row>
    <row r="24" spans="14:20">
      <c r="N24" s="129">
        <v>30</v>
      </c>
      <c r="O24" s="129">
        <v>3</v>
      </c>
      <c r="P24" s="129" t="s">
        <v>603</v>
      </c>
      <c r="Q24" s="136" t="s">
        <v>604</v>
      </c>
      <c r="R24" s="129">
        <v>30000</v>
      </c>
      <c r="S24" s="129" t="s">
        <v>6</v>
      </c>
      <c r="T24" s="129" t="s">
        <v>516</v>
      </c>
    </row>
    <row r="25" spans="14:20">
      <c r="N25" s="131">
        <v>31</v>
      </c>
      <c r="O25" s="131">
        <v>4</v>
      </c>
      <c r="P25" s="131" t="s">
        <v>6</v>
      </c>
      <c r="Q25" s="131" t="s">
        <v>494</v>
      </c>
      <c r="R25" s="131">
        <v>0</v>
      </c>
      <c r="S25" s="131" t="s">
        <v>6</v>
      </c>
      <c r="T25" s="131" t="s">
        <v>516</v>
      </c>
    </row>
    <row r="26" spans="14:20">
      <c r="N26" s="131">
        <v>32</v>
      </c>
      <c r="O26" s="131">
        <v>4</v>
      </c>
      <c r="P26" s="131" t="s">
        <v>605</v>
      </c>
      <c r="Q26" s="131" t="s">
        <v>606</v>
      </c>
      <c r="R26" s="131">
        <v>40000</v>
      </c>
      <c r="S26" s="131" t="s">
        <v>6</v>
      </c>
      <c r="T26" s="131" t="s">
        <v>532</v>
      </c>
    </row>
    <row r="27" spans="14:20">
      <c r="N27" s="131">
        <v>33</v>
      </c>
      <c r="O27" s="131">
        <v>4</v>
      </c>
      <c r="P27" s="131" t="s">
        <v>6</v>
      </c>
      <c r="Q27" s="131" t="s">
        <v>560</v>
      </c>
      <c r="R27" s="131">
        <v>0</v>
      </c>
      <c r="S27" s="131" t="s">
        <v>6</v>
      </c>
      <c r="T27" s="131" t="s">
        <v>518</v>
      </c>
    </row>
    <row r="28" spans="14:20">
      <c r="N28" s="131">
        <v>34</v>
      </c>
      <c r="O28" s="131">
        <v>4</v>
      </c>
      <c r="P28" s="131" t="s">
        <v>607</v>
      </c>
      <c r="Q28" s="131" t="s">
        <v>608</v>
      </c>
      <c r="R28" s="131">
        <v>40000</v>
      </c>
      <c r="S28" s="131" t="s">
        <v>6</v>
      </c>
      <c r="T28" s="131" t="s">
        <v>533</v>
      </c>
    </row>
    <row r="29" spans="14:20">
      <c r="N29" s="131">
        <v>35</v>
      </c>
      <c r="O29" s="131">
        <v>4</v>
      </c>
      <c r="P29" s="131" t="s">
        <v>6</v>
      </c>
      <c r="Q29" s="131" t="s">
        <v>570</v>
      </c>
      <c r="R29" s="131">
        <v>0</v>
      </c>
      <c r="S29" s="131" t="s">
        <v>6</v>
      </c>
      <c r="T29" s="131" t="s">
        <v>609</v>
      </c>
    </row>
    <row r="30" spans="14:20">
      <c r="N30" s="132">
        <v>31</v>
      </c>
      <c r="O30" s="132">
        <v>5</v>
      </c>
      <c r="P30" s="132" t="s">
        <v>6</v>
      </c>
      <c r="Q30" s="132" t="s">
        <v>494</v>
      </c>
      <c r="R30" s="132">
        <v>0</v>
      </c>
      <c r="S30" s="132" t="s">
        <v>6</v>
      </c>
      <c r="T30" s="132" t="s">
        <v>600</v>
      </c>
    </row>
    <row r="31" spans="14:20">
      <c r="N31" s="132">
        <v>32</v>
      </c>
      <c r="O31" s="132">
        <v>5</v>
      </c>
      <c r="P31" s="132" t="s">
        <v>605</v>
      </c>
      <c r="Q31" s="132" t="s">
        <v>606</v>
      </c>
      <c r="R31" s="132">
        <v>40000</v>
      </c>
      <c r="S31" s="132" t="s">
        <v>6</v>
      </c>
      <c r="T31" s="132" t="s">
        <v>513</v>
      </c>
    </row>
    <row r="32" spans="14:20">
      <c r="N32" s="132">
        <v>33</v>
      </c>
      <c r="O32" s="132">
        <v>5</v>
      </c>
      <c r="P32" s="132" t="s">
        <v>6</v>
      </c>
      <c r="Q32" s="132" t="s">
        <v>560</v>
      </c>
      <c r="R32" s="132">
        <v>0</v>
      </c>
      <c r="S32" s="132" t="s">
        <v>6</v>
      </c>
      <c r="T32" s="132" t="s">
        <v>610</v>
      </c>
    </row>
    <row r="33" spans="14:20">
      <c r="N33" s="132">
        <v>34</v>
      </c>
      <c r="O33" s="132">
        <v>5</v>
      </c>
      <c r="P33" s="132" t="s">
        <v>607</v>
      </c>
      <c r="Q33" s="132" t="s">
        <v>608</v>
      </c>
      <c r="R33" s="132">
        <v>40000</v>
      </c>
      <c r="S33" s="132" t="s">
        <v>6</v>
      </c>
      <c r="T33" s="132" t="s">
        <v>515</v>
      </c>
    </row>
    <row r="34" spans="14:20">
      <c r="N34" s="132">
        <v>35</v>
      </c>
      <c r="O34" s="132">
        <v>5</v>
      </c>
      <c r="P34" s="132" t="s">
        <v>6</v>
      </c>
      <c r="Q34" s="132" t="s">
        <v>570</v>
      </c>
      <c r="R34" s="132">
        <v>0</v>
      </c>
      <c r="S34" s="132" t="s">
        <v>6</v>
      </c>
      <c r="T34" s="132" t="s">
        <v>516</v>
      </c>
    </row>
    <row r="35" spans="14:20" ht="20.25">
      <c r="N35" s="131">
        <v>36</v>
      </c>
      <c r="O35" s="131">
        <v>6</v>
      </c>
      <c r="P35" s="133" t="s">
        <v>611</v>
      </c>
      <c r="Q35" s="131" t="s">
        <v>612</v>
      </c>
      <c r="R35" s="131">
        <v>50000</v>
      </c>
      <c r="S35" s="131" t="s">
        <v>6</v>
      </c>
      <c r="T35" s="131" t="s">
        <v>532</v>
      </c>
    </row>
    <row r="36" spans="14:20">
      <c r="N36" s="131">
        <v>37</v>
      </c>
      <c r="O36" s="131">
        <v>6</v>
      </c>
      <c r="P36" s="131" t="s">
        <v>6</v>
      </c>
      <c r="Q36" s="131" t="s">
        <v>579</v>
      </c>
      <c r="R36" s="131">
        <v>0</v>
      </c>
      <c r="S36" s="131" t="s">
        <v>6</v>
      </c>
      <c r="T36" s="131" t="s">
        <v>518</v>
      </c>
    </row>
    <row r="37" spans="14:20">
      <c r="N37" s="131">
        <v>38</v>
      </c>
      <c r="O37" s="131">
        <v>6</v>
      </c>
      <c r="P37" s="131" t="s">
        <v>507</v>
      </c>
      <c r="Q37" s="131" t="s">
        <v>613</v>
      </c>
      <c r="R37" s="131">
        <v>50000</v>
      </c>
      <c r="S37" s="131" t="s">
        <v>6</v>
      </c>
      <c r="T37" s="131" t="s">
        <v>533</v>
      </c>
    </row>
    <row r="38" spans="14:20">
      <c r="N38" s="131">
        <v>39</v>
      </c>
      <c r="O38" s="131">
        <v>6</v>
      </c>
      <c r="P38" s="131" t="s">
        <v>6</v>
      </c>
      <c r="Q38" s="131" t="s">
        <v>588</v>
      </c>
      <c r="R38" s="131">
        <v>0</v>
      </c>
      <c r="S38" s="131" t="s">
        <v>6</v>
      </c>
      <c r="T38" s="131" t="s">
        <v>609</v>
      </c>
    </row>
    <row r="39" spans="14:20">
      <c r="N39" s="131">
        <v>40</v>
      </c>
      <c r="O39" s="131">
        <v>6</v>
      </c>
      <c r="P39" s="131" t="s">
        <v>614</v>
      </c>
      <c r="Q39" s="137" t="s">
        <v>615</v>
      </c>
      <c r="R39" s="131">
        <v>100000</v>
      </c>
      <c r="S39" s="131" t="s">
        <v>6</v>
      </c>
      <c r="T39" s="131" t="s">
        <v>616</v>
      </c>
    </row>
    <row r="40" spans="14:20">
      <c r="N40" s="132">
        <v>36</v>
      </c>
      <c r="O40" s="132">
        <v>7</v>
      </c>
      <c r="P40" s="132" t="s">
        <v>611</v>
      </c>
      <c r="Q40" s="132" t="s">
        <v>612</v>
      </c>
      <c r="R40" s="132">
        <v>50000</v>
      </c>
      <c r="S40" s="132" t="s">
        <v>6</v>
      </c>
      <c r="T40" s="132" t="s">
        <v>513</v>
      </c>
    </row>
    <row r="41" spans="14:20">
      <c r="N41" s="132">
        <v>37</v>
      </c>
      <c r="O41" s="132">
        <v>7</v>
      </c>
      <c r="P41" s="132" t="s">
        <v>6</v>
      </c>
      <c r="Q41" s="132" t="s">
        <v>579</v>
      </c>
      <c r="R41" s="132">
        <v>0</v>
      </c>
      <c r="S41" s="132" t="s">
        <v>6</v>
      </c>
      <c r="T41" s="132" t="s">
        <v>610</v>
      </c>
    </row>
    <row r="42" spans="14:20">
      <c r="N42" s="132">
        <v>38</v>
      </c>
      <c r="O42" s="132">
        <v>7</v>
      </c>
      <c r="P42" s="132" t="s">
        <v>507</v>
      </c>
      <c r="Q42" s="132" t="s">
        <v>613</v>
      </c>
      <c r="R42" s="132">
        <v>50000</v>
      </c>
      <c r="S42" s="132" t="s">
        <v>6</v>
      </c>
      <c r="T42" s="132" t="s">
        <v>527</v>
      </c>
    </row>
    <row r="43" spans="14:20">
      <c r="N43" s="132">
        <v>39</v>
      </c>
      <c r="O43" s="132">
        <v>7</v>
      </c>
      <c r="P43" s="132" t="s">
        <v>6</v>
      </c>
      <c r="Q43" s="132" t="s">
        <v>588</v>
      </c>
      <c r="R43" s="132">
        <v>0</v>
      </c>
      <c r="S43" s="132" t="s">
        <v>6</v>
      </c>
      <c r="T43" s="132" t="s">
        <v>516</v>
      </c>
    </row>
    <row r="44" spans="14:20">
      <c r="N44" s="132">
        <v>40</v>
      </c>
      <c r="O44" s="132">
        <v>7</v>
      </c>
      <c r="P44" s="132" t="s">
        <v>614</v>
      </c>
      <c r="Q44" s="138" t="s">
        <v>615</v>
      </c>
      <c r="R44" s="132">
        <v>100000</v>
      </c>
      <c r="S44" s="132" t="s">
        <v>6</v>
      </c>
      <c r="T44" s="132" t="s">
        <v>532</v>
      </c>
    </row>
  </sheetData>
  <phoneticPr fontId="42" type="noConversion"/>
  <pageMargins left="0.75" right="0.75" top="1" bottom="1" header="0.51180555555555596" footer="0.5118055555555559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T34"/>
  <sheetViews>
    <sheetView workbookViewId="0">
      <selection activeCell="A39" sqref="A39"/>
    </sheetView>
  </sheetViews>
  <sheetFormatPr defaultColWidth="7.8984375" defaultRowHeight="15" customHeight="1"/>
  <cols>
    <col min="1" max="1" width="11" style="107" customWidth="1"/>
    <col min="2" max="2" width="5.796875" style="107" customWidth="1"/>
    <col min="3" max="3" width="23.296875" style="107" customWidth="1"/>
    <col min="4" max="4" width="4.19921875" style="107" customWidth="1"/>
    <col min="5" max="5" width="7.8984375" style="107"/>
    <col min="6" max="6" width="9.09765625" style="107" customWidth="1"/>
    <col min="7" max="8" width="7.5" style="107" customWidth="1"/>
    <col min="9" max="9" width="8.69921875" style="107" customWidth="1"/>
    <col min="10" max="10" width="26.09765625" style="107" customWidth="1"/>
    <col min="11" max="11" width="27.19921875" style="107" customWidth="1"/>
    <col min="12" max="14" width="7.8984375" style="107"/>
    <col min="15" max="15" width="9.69921875" style="107" customWidth="1"/>
    <col min="16" max="16" width="56.5" style="107" customWidth="1"/>
    <col min="17" max="17" width="9.5" style="107" customWidth="1"/>
    <col min="18" max="18" width="9.59765625" style="107" customWidth="1"/>
    <col min="19" max="19" width="8.796875" style="107" customWidth="1"/>
    <col min="20" max="20" width="9.5" style="107" customWidth="1"/>
    <col min="21" max="16384" width="7.8984375" style="107"/>
  </cols>
  <sheetData>
    <row r="1" spans="1:20" s="106" customFormat="1" ht="14.25" customHeight="1">
      <c r="A1" s="108" t="s">
        <v>28</v>
      </c>
      <c r="B1" s="108" t="s">
        <v>617</v>
      </c>
      <c r="C1" s="108" t="s">
        <v>618</v>
      </c>
      <c r="D1" s="108"/>
      <c r="E1" s="108" t="s">
        <v>28</v>
      </c>
      <c r="F1" s="108" t="s">
        <v>617</v>
      </c>
      <c r="G1" s="108" t="s">
        <v>619</v>
      </c>
      <c r="H1" s="108" t="s">
        <v>620</v>
      </c>
      <c r="I1" s="108" t="s">
        <v>621</v>
      </c>
      <c r="J1" s="108" t="s">
        <v>622</v>
      </c>
      <c r="K1" s="108" t="s">
        <v>623</v>
      </c>
      <c r="L1" s="108" t="s">
        <v>623</v>
      </c>
      <c r="M1" s="108" t="s">
        <v>623</v>
      </c>
      <c r="N1" s="108" t="s">
        <v>623</v>
      </c>
      <c r="O1" s="108" t="s">
        <v>624</v>
      </c>
      <c r="P1" s="108" t="s">
        <v>625</v>
      </c>
      <c r="Q1" s="108" t="s">
        <v>626</v>
      </c>
      <c r="R1" s="108" t="s">
        <v>627</v>
      </c>
      <c r="S1" s="108" t="s">
        <v>628</v>
      </c>
      <c r="T1" s="108" t="s">
        <v>629</v>
      </c>
    </row>
    <row r="2" spans="1:20" ht="14.25" customHeight="1">
      <c r="A2" s="108" t="s">
        <v>457</v>
      </c>
      <c r="B2" s="108" t="s">
        <v>39</v>
      </c>
      <c r="C2" s="108" t="s">
        <v>457</v>
      </c>
      <c r="E2" s="108" t="s">
        <v>457</v>
      </c>
      <c r="F2" s="108" t="s">
        <v>39</v>
      </c>
      <c r="G2" s="108" t="s">
        <v>39</v>
      </c>
      <c r="H2" s="108" t="s">
        <v>39</v>
      </c>
      <c r="I2" s="108" t="s">
        <v>39</v>
      </c>
      <c r="J2" s="108" t="s">
        <v>40</v>
      </c>
      <c r="K2" s="108" t="s">
        <v>40</v>
      </c>
      <c r="L2" s="108" t="s">
        <v>40</v>
      </c>
      <c r="M2" s="108" t="s">
        <v>40</v>
      </c>
      <c r="N2" s="108" t="s">
        <v>40</v>
      </c>
      <c r="O2" s="108" t="s">
        <v>39</v>
      </c>
      <c r="P2" s="108" t="s">
        <v>40</v>
      </c>
      <c r="Q2" s="108" t="s">
        <v>40</v>
      </c>
      <c r="R2" s="108" t="s">
        <v>40</v>
      </c>
      <c r="S2" s="108" t="s">
        <v>40</v>
      </c>
      <c r="T2" s="108" t="s">
        <v>40</v>
      </c>
    </row>
    <row r="3" spans="1:20" ht="14.25" customHeight="1">
      <c r="A3" s="109" t="s">
        <v>8</v>
      </c>
      <c r="B3" s="109" t="s">
        <v>630</v>
      </c>
      <c r="C3" s="108" t="s">
        <v>631</v>
      </c>
      <c r="E3" s="109" t="s">
        <v>8</v>
      </c>
      <c r="F3" s="109" t="s">
        <v>630</v>
      </c>
      <c r="G3" s="109" t="s">
        <v>632</v>
      </c>
      <c r="H3" s="109" t="s">
        <v>633</v>
      </c>
      <c r="I3" s="109" t="s">
        <v>634</v>
      </c>
      <c r="J3" s="109" t="s">
        <v>635</v>
      </c>
      <c r="K3" s="109" t="s">
        <v>635</v>
      </c>
      <c r="L3" s="109" t="s">
        <v>635</v>
      </c>
      <c r="M3" s="109" t="s">
        <v>635</v>
      </c>
      <c r="N3" s="109" t="s">
        <v>635</v>
      </c>
      <c r="O3" s="109" t="s">
        <v>636</v>
      </c>
      <c r="P3" s="109" t="s">
        <v>637</v>
      </c>
      <c r="Q3" s="109" t="s">
        <v>637</v>
      </c>
      <c r="R3" s="109" t="s">
        <v>637</v>
      </c>
      <c r="S3" s="109" t="s">
        <v>637</v>
      </c>
      <c r="T3" s="109" t="s">
        <v>637</v>
      </c>
    </row>
    <row r="4" spans="1:20" ht="14.25" customHeight="1">
      <c r="A4" s="108" t="s">
        <v>638</v>
      </c>
      <c r="B4" s="108">
        <v>0</v>
      </c>
      <c r="C4" s="108" t="s">
        <v>639</v>
      </c>
      <c r="E4" s="110" t="s">
        <v>638</v>
      </c>
      <c r="F4" s="110">
        <v>0</v>
      </c>
      <c r="G4" s="110">
        <v>1</v>
      </c>
      <c r="H4" s="110">
        <v>-1</v>
      </c>
      <c r="I4" s="110">
        <v>1</v>
      </c>
      <c r="J4" s="114" t="s">
        <v>640</v>
      </c>
      <c r="K4" s="114" t="s">
        <v>641</v>
      </c>
      <c r="L4" s="110"/>
      <c r="M4" s="110"/>
      <c r="N4" s="110"/>
      <c r="O4" s="110">
        <v>1</v>
      </c>
      <c r="P4" s="118" t="s">
        <v>642</v>
      </c>
      <c r="Q4" s="110"/>
      <c r="R4" s="110"/>
      <c r="S4" s="110"/>
      <c r="T4" s="110"/>
    </row>
    <row r="5" spans="1:20" ht="14.25" customHeight="1">
      <c r="A5" s="108" t="s">
        <v>643</v>
      </c>
      <c r="B5" s="108">
        <v>0</v>
      </c>
      <c r="C5" s="108" t="s">
        <v>644</v>
      </c>
      <c r="E5" s="110" t="s">
        <v>638</v>
      </c>
      <c r="F5" s="110">
        <v>0</v>
      </c>
      <c r="G5" s="110">
        <v>2</v>
      </c>
      <c r="H5" s="110">
        <v>-1</v>
      </c>
      <c r="I5" s="110">
        <v>1</v>
      </c>
      <c r="J5" s="114" t="s">
        <v>645</v>
      </c>
      <c r="K5" s="114" t="s">
        <v>641</v>
      </c>
      <c r="L5" s="110"/>
      <c r="M5" s="110"/>
      <c r="N5" s="110"/>
      <c r="O5" s="110">
        <v>1</v>
      </c>
      <c r="P5" s="118" t="s">
        <v>646</v>
      </c>
      <c r="Q5" s="110"/>
      <c r="R5" s="110"/>
      <c r="S5" s="110"/>
      <c r="T5" s="110"/>
    </row>
    <row r="6" spans="1:20" ht="14.25" customHeight="1">
      <c r="A6" s="108" t="s">
        <v>647</v>
      </c>
      <c r="B6" s="108">
        <v>0</v>
      </c>
      <c r="C6" s="108" t="s">
        <v>648</v>
      </c>
      <c r="E6" s="110" t="s">
        <v>638</v>
      </c>
      <c r="F6" s="110">
        <v>0</v>
      </c>
      <c r="G6" s="110">
        <v>3</v>
      </c>
      <c r="H6" s="110">
        <v>-1</v>
      </c>
      <c r="I6" s="110">
        <v>1</v>
      </c>
      <c r="J6" s="114" t="s">
        <v>645</v>
      </c>
      <c r="K6" s="114" t="s">
        <v>641</v>
      </c>
      <c r="L6" s="110"/>
      <c r="M6" s="110"/>
      <c r="N6" s="110"/>
      <c r="O6" s="110">
        <v>1</v>
      </c>
      <c r="P6" s="118" t="s">
        <v>649</v>
      </c>
      <c r="Q6" s="110"/>
      <c r="R6" s="110"/>
      <c r="S6" s="110"/>
      <c r="T6" s="110"/>
    </row>
    <row r="7" spans="1:20" ht="14.25" customHeight="1">
      <c r="A7" s="108" t="s">
        <v>650</v>
      </c>
      <c r="B7" s="108">
        <v>0</v>
      </c>
      <c r="C7" s="108" t="s">
        <v>651</v>
      </c>
      <c r="E7" s="110" t="s">
        <v>638</v>
      </c>
      <c r="F7" s="110">
        <v>0</v>
      </c>
      <c r="G7" s="110">
        <v>4</v>
      </c>
      <c r="H7" s="110">
        <v>-1</v>
      </c>
      <c r="I7" s="110">
        <v>2</v>
      </c>
      <c r="J7" s="114" t="s">
        <v>640</v>
      </c>
      <c r="K7" s="114" t="s">
        <v>652</v>
      </c>
      <c r="L7" s="110"/>
      <c r="M7" s="110"/>
      <c r="N7" s="110"/>
      <c r="O7" s="110">
        <v>1</v>
      </c>
      <c r="P7" s="118" t="s">
        <v>653</v>
      </c>
      <c r="Q7" s="110"/>
      <c r="R7" s="110"/>
      <c r="S7" s="110"/>
      <c r="T7" s="110"/>
    </row>
    <row r="8" spans="1:20" ht="14.25" customHeight="1">
      <c r="E8" s="110" t="s">
        <v>638</v>
      </c>
      <c r="F8" s="110">
        <v>0</v>
      </c>
      <c r="G8" s="110">
        <v>5</v>
      </c>
      <c r="H8" s="110">
        <v>-1</v>
      </c>
      <c r="I8" s="110">
        <v>2</v>
      </c>
      <c r="J8" s="114" t="s">
        <v>645</v>
      </c>
      <c r="K8" s="114" t="s">
        <v>654</v>
      </c>
      <c r="L8" s="110"/>
      <c r="M8" s="110"/>
      <c r="N8" s="110"/>
      <c r="O8" s="110">
        <v>1</v>
      </c>
      <c r="P8" s="118" t="s">
        <v>655</v>
      </c>
      <c r="Q8" s="110"/>
      <c r="R8" s="110"/>
      <c r="S8" s="110"/>
      <c r="T8" s="110"/>
    </row>
    <row r="9" spans="1:20" ht="14.25" customHeight="1">
      <c r="E9" s="110" t="s">
        <v>638</v>
      </c>
      <c r="F9" s="110">
        <v>0</v>
      </c>
      <c r="G9" s="110">
        <v>6</v>
      </c>
      <c r="H9" s="110">
        <v>-1</v>
      </c>
      <c r="I9" s="110">
        <v>2</v>
      </c>
      <c r="J9" s="114" t="s">
        <v>656</v>
      </c>
      <c r="K9" s="114" t="s">
        <v>657</v>
      </c>
      <c r="L9" s="110"/>
      <c r="M9" s="110"/>
      <c r="N9" s="110"/>
      <c r="O9" s="110">
        <v>1</v>
      </c>
      <c r="P9" s="118" t="s">
        <v>658</v>
      </c>
      <c r="Q9" s="110"/>
      <c r="R9" s="110"/>
      <c r="S9" s="110"/>
      <c r="T9" s="110"/>
    </row>
    <row r="10" spans="1:20" ht="14.25" customHeight="1">
      <c r="E10" s="111" t="s">
        <v>643</v>
      </c>
      <c r="F10" s="111">
        <v>0</v>
      </c>
      <c r="G10" s="111">
        <v>1</v>
      </c>
      <c r="H10" s="111">
        <v>-1</v>
      </c>
      <c r="I10" s="111">
        <v>1</v>
      </c>
      <c r="J10" s="115" t="s">
        <v>659</v>
      </c>
      <c r="K10" s="115" t="s">
        <v>641</v>
      </c>
      <c r="L10" s="111"/>
      <c r="M10" s="111"/>
      <c r="N10" s="111"/>
      <c r="O10" s="111">
        <v>1</v>
      </c>
      <c r="P10" s="115" t="s">
        <v>660</v>
      </c>
      <c r="Q10" s="115"/>
      <c r="R10" s="115"/>
      <c r="S10" s="115"/>
      <c r="T10" s="115"/>
    </row>
    <row r="11" spans="1:20" ht="14.25" customHeight="1">
      <c r="E11" s="111" t="s">
        <v>643</v>
      </c>
      <c r="F11" s="111">
        <v>0</v>
      </c>
      <c r="G11" s="111">
        <v>2</v>
      </c>
      <c r="H11" s="111">
        <v>2</v>
      </c>
      <c r="I11" s="111">
        <v>1</v>
      </c>
      <c r="J11" s="115" t="s">
        <v>661</v>
      </c>
      <c r="K11" s="115" t="s">
        <v>641</v>
      </c>
      <c r="L11" s="111"/>
      <c r="M11" s="111"/>
      <c r="N11" s="111"/>
      <c r="O11" s="111">
        <v>1</v>
      </c>
      <c r="P11" s="115" t="s">
        <v>662</v>
      </c>
      <c r="Q11" s="115"/>
      <c r="R11" s="115"/>
      <c r="S11" s="115"/>
      <c r="T11" s="115"/>
    </row>
    <row r="12" spans="1:20" ht="14.25" customHeight="1">
      <c r="E12" s="111" t="s">
        <v>643</v>
      </c>
      <c r="F12" s="111">
        <v>0</v>
      </c>
      <c r="G12" s="111">
        <v>3</v>
      </c>
      <c r="H12" s="111">
        <v>3</v>
      </c>
      <c r="I12" s="111">
        <v>1</v>
      </c>
      <c r="J12" s="115" t="s">
        <v>663</v>
      </c>
      <c r="K12" s="115" t="s">
        <v>641</v>
      </c>
      <c r="L12" s="111"/>
      <c r="M12" s="111"/>
      <c r="N12" s="111"/>
      <c r="O12" s="111">
        <v>1</v>
      </c>
      <c r="P12" s="115" t="s">
        <v>649</v>
      </c>
      <c r="Q12" s="115"/>
      <c r="R12" s="115"/>
      <c r="S12" s="115"/>
      <c r="T12" s="115"/>
    </row>
    <row r="13" spans="1:20" ht="14.25" customHeight="1">
      <c r="E13" s="111" t="s">
        <v>643</v>
      </c>
      <c r="F13" s="111">
        <v>0</v>
      </c>
      <c r="G13" s="111">
        <v>4</v>
      </c>
      <c r="H13" s="111">
        <v>-1</v>
      </c>
      <c r="I13" s="111">
        <v>1</v>
      </c>
      <c r="J13" s="115" t="s">
        <v>664</v>
      </c>
      <c r="K13" s="115" t="s">
        <v>641</v>
      </c>
      <c r="L13" s="111"/>
      <c r="M13" s="111"/>
      <c r="N13" s="111"/>
      <c r="O13" s="111">
        <v>1</v>
      </c>
      <c r="P13" s="115" t="s">
        <v>665</v>
      </c>
      <c r="Q13" s="115"/>
      <c r="R13" s="115"/>
      <c r="S13" s="115"/>
      <c r="T13" s="115"/>
    </row>
    <row r="14" spans="1:20" ht="14.25" customHeight="1">
      <c r="E14" s="111" t="s">
        <v>643</v>
      </c>
      <c r="F14" s="111">
        <v>0</v>
      </c>
      <c r="G14" s="111">
        <v>5</v>
      </c>
      <c r="H14" s="111">
        <v>2</v>
      </c>
      <c r="I14" s="111">
        <v>2</v>
      </c>
      <c r="J14" s="115" t="s">
        <v>666</v>
      </c>
      <c r="K14" s="115" t="s">
        <v>667</v>
      </c>
      <c r="L14" s="111"/>
      <c r="M14" s="111"/>
      <c r="N14" s="111"/>
      <c r="O14" s="111">
        <v>1</v>
      </c>
      <c r="P14" s="115" t="s">
        <v>668</v>
      </c>
      <c r="Q14" s="115"/>
      <c r="R14" s="115"/>
      <c r="S14" s="115"/>
      <c r="T14" s="115"/>
    </row>
    <row r="15" spans="1:20" ht="14.25" customHeight="1">
      <c r="E15" s="111" t="s">
        <v>643</v>
      </c>
      <c r="F15" s="111">
        <v>0</v>
      </c>
      <c r="G15" s="111">
        <v>6</v>
      </c>
      <c r="H15" s="111">
        <v>2</v>
      </c>
      <c r="I15" s="111">
        <v>2</v>
      </c>
      <c r="J15" s="115" t="s">
        <v>663</v>
      </c>
      <c r="K15" s="115" t="s">
        <v>654</v>
      </c>
      <c r="L15" s="111"/>
      <c r="M15" s="111"/>
      <c r="N15" s="111"/>
      <c r="O15" s="111">
        <v>1</v>
      </c>
      <c r="P15" s="115" t="s">
        <v>655</v>
      </c>
      <c r="Q15" s="115"/>
      <c r="R15" s="115"/>
      <c r="S15" s="115"/>
      <c r="T15" s="115"/>
    </row>
    <row r="16" spans="1:20" ht="14.25" customHeight="1">
      <c r="E16" s="111" t="s">
        <v>643</v>
      </c>
      <c r="F16" s="111">
        <v>0</v>
      </c>
      <c r="G16" s="111">
        <v>7</v>
      </c>
      <c r="H16" s="111">
        <v>2</v>
      </c>
      <c r="I16" s="111">
        <v>2</v>
      </c>
      <c r="J16" s="115" t="s">
        <v>661</v>
      </c>
      <c r="K16" s="115" t="s">
        <v>657</v>
      </c>
      <c r="L16" s="111"/>
      <c r="M16" s="111"/>
      <c r="N16" s="111"/>
      <c r="O16" s="111">
        <v>1</v>
      </c>
      <c r="P16" s="115" t="s">
        <v>658</v>
      </c>
      <c r="Q16" s="115"/>
      <c r="R16" s="115"/>
      <c r="S16" s="115"/>
      <c r="T16" s="115"/>
    </row>
    <row r="17" spans="5:20" ht="14.25" customHeight="1">
      <c r="E17" s="111" t="s">
        <v>643</v>
      </c>
      <c r="F17" s="111">
        <v>0</v>
      </c>
      <c r="G17" s="111">
        <v>8</v>
      </c>
      <c r="H17" s="111">
        <v>2</v>
      </c>
      <c r="I17" s="111">
        <v>1</v>
      </c>
      <c r="J17" s="115" t="s">
        <v>669</v>
      </c>
      <c r="K17" s="115" t="s">
        <v>641</v>
      </c>
      <c r="L17" s="111"/>
      <c r="M17" s="111"/>
      <c r="N17" s="111"/>
      <c r="O17" s="111">
        <v>1</v>
      </c>
      <c r="P17" s="115" t="s">
        <v>670</v>
      </c>
      <c r="Q17" s="115"/>
      <c r="R17" s="115"/>
      <c r="S17" s="115"/>
      <c r="T17" s="115"/>
    </row>
    <row r="18" spans="5:20" ht="14.25" customHeight="1">
      <c r="E18" s="111" t="s">
        <v>643</v>
      </c>
      <c r="F18" s="111">
        <v>0</v>
      </c>
      <c r="G18" s="111">
        <v>9</v>
      </c>
      <c r="H18" s="111">
        <v>2</v>
      </c>
      <c r="I18" s="111">
        <v>1</v>
      </c>
      <c r="J18" s="115" t="s">
        <v>671</v>
      </c>
      <c r="K18" s="115" t="s">
        <v>641</v>
      </c>
      <c r="L18" s="111"/>
      <c r="M18" s="111"/>
      <c r="N18" s="111"/>
      <c r="O18" s="111">
        <v>1</v>
      </c>
      <c r="P18" s="115" t="s">
        <v>672</v>
      </c>
      <c r="Q18" s="115"/>
      <c r="R18" s="115"/>
      <c r="S18" s="115"/>
      <c r="T18" s="115"/>
    </row>
    <row r="19" spans="5:20" ht="14.25" customHeight="1">
      <c r="E19" s="112" t="s">
        <v>647</v>
      </c>
      <c r="F19" s="112">
        <v>0</v>
      </c>
      <c r="G19" s="112">
        <v>1</v>
      </c>
      <c r="H19" s="112">
        <v>-1</v>
      </c>
      <c r="I19" s="112">
        <v>1</v>
      </c>
      <c r="J19" s="116" t="s">
        <v>673</v>
      </c>
      <c r="K19" s="116" t="s">
        <v>641</v>
      </c>
      <c r="L19" s="112"/>
      <c r="M19" s="112"/>
      <c r="N19" s="112"/>
      <c r="O19" s="112">
        <v>1</v>
      </c>
      <c r="P19" s="116" t="s">
        <v>646</v>
      </c>
      <c r="Q19" s="116"/>
      <c r="R19" s="116"/>
      <c r="S19" s="116"/>
      <c r="T19" s="116"/>
    </row>
    <row r="20" spans="5:20" ht="14.25" customHeight="1">
      <c r="E20" s="112" t="s">
        <v>647</v>
      </c>
      <c r="F20" s="112">
        <v>0</v>
      </c>
      <c r="G20" s="112">
        <v>2</v>
      </c>
      <c r="H20" s="112">
        <v>-1</v>
      </c>
      <c r="I20" s="112">
        <v>1</v>
      </c>
      <c r="J20" s="116" t="s">
        <v>674</v>
      </c>
      <c r="K20" s="116" t="s">
        <v>641</v>
      </c>
      <c r="L20" s="112"/>
      <c r="M20" s="112"/>
      <c r="N20" s="112"/>
      <c r="O20" s="112">
        <v>1</v>
      </c>
      <c r="P20" s="116" t="s">
        <v>675</v>
      </c>
      <c r="Q20" s="116"/>
      <c r="R20" s="116"/>
      <c r="S20" s="116"/>
      <c r="T20" s="116"/>
    </row>
    <row r="21" spans="5:20" ht="14.25" customHeight="1">
      <c r="E21" s="112" t="s">
        <v>647</v>
      </c>
      <c r="F21" s="112">
        <v>0</v>
      </c>
      <c r="G21" s="112">
        <v>3</v>
      </c>
      <c r="H21" s="112">
        <v>-1</v>
      </c>
      <c r="I21" s="112">
        <v>1</v>
      </c>
      <c r="J21" s="116" t="s">
        <v>673</v>
      </c>
      <c r="K21" s="116" t="s">
        <v>641</v>
      </c>
      <c r="L21" s="112"/>
      <c r="M21" s="112"/>
      <c r="N21" s="112"/>
      <c r="O21" s="112">
        <v>1</v>
      </c>
      <c r="P21" s="116" t="s">
        <v>649</v>
      </c>
      <c r="Q21" s="116"/>
      <c r="R21" s="116"/>
      <c r="S21" s="116"/>
      <c r="T21" s="116"/>
    </row>
    <row r="22" spans="5:20" ht="14.25" customHeight="1">
      <c r="E22" s="112" t="s">
        <v>647</v>
      </c>
      <c r="F22" s="112">
        <v>0</v>
      </c>
      <c r="G22" s="112">
        <v>4</v>
      </c>
      <c r="H22" s="112">
        <v>-1</v>
      </c>
      <c r="I22" s="112">
        <v>1</v>
      </c>
      <c r="J22" s="116" t="s">
        <v>676</v>
      </c>
      <c r="K22" s="116" t="s">
        <v>641</v>
      </c>
      <c r="L22" s="112"/>
      <c r="M22" s="112"/>
      <c r="N22" s="112"/>
      <c r="O22" s="112">
        <v>1</v>
      </c>
      <c r="P22" s="116" t="s">
        <v>665</v>
      </c>
      <c r="Q22" s="116"/>
      <c r="R22" s="116"/>
      <c r="S22" s="116"/>
      <c r="T22" s="116"/>
    </row>
    <row r="23" spans="5:20" ht="14.25" customHeight="1">
      <c r="E23" s="112" t="s">
        <v>647</v>
      </c>
      <c r="F23" s="112">
        <v>0</v>
      </c>
      <c r="G23" s="112">
        <v>5</v>
      </c>
      <c r="H23" s="112">
        <v>-1</v>
      </c>
      <c r="I23" s="112">
        <v>1</v>
      </c>
      <c r="J23" s="116" t="s">
        <v>677</v>
      </c>
      <c r="K23" s="116" t="s">
        <v>641</v>
      </c>
      <c r="L23" s="112"/>
      <c r="M23" s="112"/>
      <c r="N23" s="112"/>
      <c r="O23" s="112">
        <v>1</v>
      </c>
      <c r="P23" s="116" t="s">
        <v>678</v>
      </c>
      <c r="Q23" s="116"/>
      <c r="R23" s="116"/>
      <c r="S23" s="116"/>
      <c r="T23" s="116"/>
    </row>
    <row r="24" spans="5:20" ht="14.25" customHeight="1">
      <c r="E24" s="112" t="s">
        <v>647</v>
      </c>
      <c r="F24" s="112">
        <v>0</v>
      </c>
      <c r="G24" s="112">
        <v>6</v>
      </c>
      <c r="H24" s="112">
        <v>-1</v>
      </c>
      <c r="I24" s="112">
        <v>2</v>
      </c>
      <c r="J24" s="116" t="s">
        <v>679</v>
      </c>
      <c r="K24" s="116" t="s">
        <v>667</v>
      </c>
      <c r="L24" s="112"/>
      <c r="M24" s="112"/>
      <c r="N24" s="112"/>
      <c r="O24" s="112">
        <v>1</v>
      </c>
      <c r="P24" s="116" t="s">
        <v>668</v>
      </c>
      <c r="Q24" s="116"/>
      <c r="R24" s="116"/>
      <c r="S24" s="116"/>
      <c r="T24" s="116"/>
    </row>
    <row r="25" spans="5:20" ht="14.25" customHeight="1">
      <c r="E25" s="112" t="s">
        <v>647</v>
      </c>
      <c r="F25" s="112">
        <v>0</v>
      </c>
      <c r="G25" s="112">
        <v>7</v>
      </c>
      <c r="H25" s="112">
        <v>-1</v>
      </c>
      <c r="I25" s="112">
        <v>2</v>
      </c>
      <c r="J25" s="116" t="s">
        <v>673</v>
      </c>
      <c r="K25" s="116" t="s">
        <v>654</v>
      </c>
      <c r="L25" s="112"/>
      <c r="M25" s="112"/>
      <c r="N25" s="112"/>
      <c r="O25" s="112">
        <v>1</v>
      </c>
      <c r="P25" s="116" t="s">
        <v>655</v>
      </c>
      <c r="Q25" s="116"/>
      <c r="R25" s="116"/>
      <c r="S25" s="116"/>
      <c r="T25" s="116"/>
    </row>
    <row r="26" spans="5:20" ht="14.25" customHeight="1">
      <c r="E26" s="112" t="s">
        <v>647</v>
      </c>
      <c r="F26" s="112">
        <v>0</v>
      </c>
      <c r="G26" s="112">
        <v>8</v>
      </c>
      <c r="H26" s="112">
        <v>-1</v>
      </c>
      <c r="I26" s="112">
        <v>2</v>
      </c>
      <c r="J26" s="116" t="s">
        <v>677</v>
      </c>
      <c r="K26" s="116" t="s">
        <v>657</v>
      </c>
      <c r="L26" s="112"/>
      <c r="M26" s="112"/>
      <c r="N26" s="112"/>
      <c r="O26" s="112">
        <v>1</v>
      </c>
      <c r="P26" s="116" t="s">
        <v>658</v>
      </c>
      <c r="Q26" s="116"/>
      <c r="R26" s="116"/>
      <c r="S26" s="116"/>
      <c r="T26" s="116"/>
    </row>
    <row r="27" spans="5:20" ht="14.25" customHeight="1">
      <c r="E27" s="113" t="s">
        <v>650</v>
      </c>
      <c r="F27" s="113">
        <v>0</v>
      </c>
      <c r="G27" s="113">
        <v>1</v>
      </c>
      <c r="H27" s="113">
        <v>-1</v>
      </c>
      <c r="I27" s="113">
        <v>1</v>
      </c>
      <c r="J27" s="117" t="s">
        <v>680</v>
      </c>
      <c r="K27" s="117" t="s">
        <v>641</v>
      </c>
      <c r="L27" s="113"/>
      <c r="M27" s="113"/>
      <c r="N27" s="113"/>
      <c r="O27" s="113">
        <v>1</v>
      </c>
      <c r="P27" s="117" t="s">
        <v>646</v>
      </c>
      <c r="Q27" s="117"/>
      <c r="R27" s="117"/>
      <c r="S27" s="117"/>
      <c r="T27" s="117"/>
    </row>
    <row r="28" spans="5:20" ht="14.25" customHeight="1">
      <c r="E28" s="113" t="s">
        <v>650</v>
      </c>
      <c r="F28" s="113">
        <v>0</v>
      </c>
      <c r="G28" s="113">
        <v>2</v>
      </c>
      <c r="H28" s="113">
        <v>-1</v>
      </c>
      <c r="I28" s="113">
        <v>1</v>
      </c>
      <c r="J28" s="117" t="s">
        <v>681</v>
      </c>
      <c r="K28" s="117" t="s">
        <v>641</v>
      </c>
      <c r="L28" s="113"/>
      <c r="M28" s="113"/>
      <c r="N28" s="113"/>
      <c r="O28" s="113">
        <v>1</v>
      </c>
      <c r="P28" s="117" t="s">
        <v>675</v>
      </c>
      <c r="Q28" s="117"/>
      <c r="R28" s="117"/>
      <c r="S28" s="117"/>
      <c r="T28" s="117"/>
    </row>
    <row r="29" spans="5:20" ht="14.25" customHeight="1">
      <c r="E29" s="113" t="s">
        <v>650</v>
      </c>
      <c r="F29" s="113">
        <v>0</v>
      </c>
      <c r="G29" s="113">
        <v>3</v>
      </c>
      <c r="H29" s="113">
        <v>-1</v>
      </c>
      <c r="I29" s="113">
        <v>1</v>
      </c>
      <c r="J29" s="117" t="s">
        <v>680</v>
      </c>
      <c r="K29" s="117" t="s">
        <v>641</v>
      </c>
      <c r="L29" s="113"/>
      <c r="M29" s="113"/>
      <c r="N29" s="113"/>
      <c r="O29" s="113">
        <v>1</v>
      </c>
      <c r="P29" s="117" t="s">
        <v>649</v>
      </c>
      <c r="Q29" s="117"/>
      <c r="R29" s="117"/>
      <c r="S29" s="117"/>
      <c r="T29" s="117"/>
    </row>
    <row r="30" spans="5:20" ht="14.25" customHeight="1">
      <c r="E30" s="113" t="s">
        <v>650</v>
      </c>
      <c r="F30" s="113">
        <v>0</v>
      </c>
      <c r="G30" s="113">
        <v>4</v>
      </c>
      <c r="H30" s="113">
        <v>-1</v>
      </c>
      <c r="I30" s="113">
        <v>1</v>
      </c>
      <c r="J30" s="117" t="s">
        <v>682</v>
      </c>
      <c r="K30" s="117" t="s">
        <v>641</v>
      </c>
      <c r="L30" s="113"/>
      <c r="M30" s="113"/>
      <c r="N30" s="113"/>
      <c r="O30" s="113">
        <v>1</v>
      </c>
      <c r="P30" s="117" t="s">
        <v>665</v>
      </c>
      <c r="Q30" s="117"/>
      <c r="R30" s="117"/>
      <c r="S30" s="117"/>
      <c r="T30" s="117"/>
    </row>
    <row r="31" spans="5:20" ht="14.25" customHeight="1">
      <c r="E31" s="113" t="s">
        <v>650</v>
      </c>
      <c r="F31" s="113">
        <v>0</v>
      </c>
      <c r="G31" s="113">
        <v>5</v>
      </c>
      <c r="H31" s="113">
        <v>-1</v>
      </c>
      <c r="I31" s="113">
        <v>1</v>
      </c>
      <c r="J31" s="117" t="s">
        <v>683</v>
      </c>
      <c r="K31" s="117" t="s">
        <v>641</v>
      </c>
      <c r="L31" s="113"/>
      <c r="M31" s="113"/>
      <c r="N31" s="113"/>
      <c r="O31" s="113">
        <v>1</v>
      </c>
      <c r="P31" s="117" t="s">
        <v>678</v>
      </c>
      <c r="Q31" s="117"/>
      <c r="R31" s="117"/>
      <c r="S31" s="117"/>
      <c r="T31" s="117"/>
    </row>
    <row r="32" spans="5:20" ht="14.25" customHeight="1">
      <c r="E32" s="113" t="s">
        <v>650</v>
      </c>
      <c r="F32" s="113">
        <v>0</v>
      </c>
      <c r="G32" s="113">
        <v>6</v>
      </c>
      <c r="H32" s="113">
        <v>-1</v>
      </c>
      <c r="I32" s="113">
        <v>2</v>
      </c>
      <c r="J32" s="117" t="s">
        <v>680</v>
      </c>
      <c r="K32" s="117" t="s">
        <v>654</v>
      </c>
      <c r="L32" s="113"/>
      <c r="M32" s="113"/>
      <c r="N32" s="113"/>
      <c r="O32" s="113">
        <v>1</v>
      </c>
      <c r="P32" s="117" t="s">
        <v>684</v>
      </c>
      <c r="Q32" s="117"/>
      <c r="R32" s="117"/>
      <c r="S32" s="117"/>
      <c r="T32" s="117"/>
    </row>
    <row r="33" spans="5:20" ht="14.25" customHeight="1">
      <c r="E33" s="113" t="s">
        <v>650</v>
      </c>
      <c r="F33" s="113">
        <v>0</v>
      </c>
      <c r="G33" s="113">
        <v>7</v>
      </c>
      <c r="H33" s="113">
        <v>-1</v>
      </c>
      <c r="I33" s="113">
        <v>2</v>
      </c>
      <c r="J33" s="117" t="s">
        <v>683</v>
      </c>
      <c r="K33" s="117" t="s">
        <v>657</v>
      </c>
      <c r="L33" s="113"/>
      <c r="M33" s="113"/>
      <c r="N33" s="113"/>
      <c r="O33" s="113">
        <v>1</v>
      </c>
      <c r="P33" s="117" t="s">
        <v>685</v>
      </c>
      <c r="Q33" s="117"/>
      <c r="R33" s="117"/>
      <c r="S33" s="117"/>
      <c r="T33" s="117"/>
    </row>
    <row r="34" spans="5:20" ht="14.25" customHeight="1">
      <c r="E34" s="113" t="s">
        <v>650</v>
      </c>
      <c r="F34" s="113">
        <v>0</v>
      </c>
      <c r="G34" s="113">
        <v>8</v>
      </c>
      <c r="H34" s="113">
        <v>-1</v>
      </c>
      <c r="I34" s="113">
        <v>2</v>
      </c>
      <c r="J34" s="117" t="s">
        <v>681</v>
      </c>
      <c r="K34" s="117" t="s">
        <v>686</v>
      </c>
      <c r="L34" s="113"/>
      <c r="M34" s="113"/>
      <c r="N34" s="113"/>
      <c r="O34" s="113">
        <v>1</v>
      </c>
      <c r="P34" s="117" t="s">
        <v>687</v>
      </c>
      <c r="Q34" s="117"/>
      <c r="R34" s="117"/>
      <c r="S34" s="117"/>
      <c r="T34" s="117"/>
    </row>
  </sheetData>
  <phoneticPr fontId="42" type="noConversion"/>
  <pageMargins left="0.75" right="0.75" top="1" bottom="1" header="0.51180555555555596" footer="0.5118055555555559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47"/>
  <sheetViews>
    <sheetView workbookViewId="0">
      <selection activeCell="I5" sqref="I5"/>
    </sheetView>
  </sheetViews>
  <sheetFormatPr defaultColWidth="8.69921875" defaultRowHeight="26.25" customHeight="1"/>
  <cols>
    <col min="2" max="3" width="10.69921875" customWidth="1"/>
    <col min="4" max="4" width="14.69921875" customWidth="1"/>
    <col min="9" max="9" width="31.796875" customWidth="1"/>
    <col min="10" max="10" width="29.59765625" customWidth="1"/>
    <col min="11" max="11" width="79.09765625" customWidth="1"/>
  </cols>
  <sheetData>
    <row r="1" spans="1:11" ht="26.25" customHeight="1">
      <c r="A1" s="97" t="s">
        <v>28</v>
      </c>
      <c r="B1" s="97" t="s">
        <v>617</v>
      </c>
      <c r="C1" s="97" t="s">
        <v>688</v>
      </c>
      <c r="D1" s="97" t="s">
        <v>618</v>
      </c>
      <c r="F1" s="97" t="s">
        <v>28</v>
      </c>
      <c r="G1" s="97" t="s">
        <v>617</v>
      </c>
      <c r="H1" s="97" t="s">
        <v>453</v>
      </c>
      <c r="I1" s="97" t="s">
        <v>451</v>
      </c>
      <c r="J1" s="97" t="s">
        <v>689</v>
      </c>
      <c r="K1" s="97" t="s">
        <v>690</v>
      </c>
    </row>
    <row r="2" spans="1:11" ht="26.25" customHeight="1">
      <c r="A2" s="97" t="s">
        <v>457</v>
      </c>
      <c r="B2" s="97" t="s">
        <v>39</v>
      </c>
      <c r="C2" s="97" t="s">
        <v>457</v>
      </c>
      <c r="D2" s="97" t="s">
        <v>457</v>
      </c>
      <c r="F2" s="97" t="s">
        <v>457</v>
      </c>
      <c r="G2" s="97" t="s">
        <v>39</v>
      </c>
      <c r="H2" s="97" t="s">
        <v>39</v>
      </c>
      <c r="I2" s="97" t="s">
        <v>457</v>
      </c>
      <c r="J2" s="97" t="s">
        <v>40</v>
      </c>
      <c r="K2" s="97" t="s">
        <v>40</v>
      </c>
    </row>
    <row r="3" spans="1:11" ht="26.25" customHeight="1">
      <c r="A3" s="98" t="s">
        <v>8</v>
      </c>
      <c r="B3" s="98" t="s">
        <v>630</v>
      </c>
      <c r="C3" s="98" t="s">
        <v>691</v>
      </c>
      <c r="D3" s="97" t="s">
        <v>631</v>
      </c>
      <c r="F3" s="98" t="s">
        <v>8</v>
      </c>
      <c r="G3" s="98" t="s">
        <v>630</v>
      </c>
      <c r="H3" s="98" t="s">
        <v>692</v>
      </c>
      <c r="I3" s="97" t="s">
        <v>53</v>
      </c>
      <c r="J3" s="97" t="s">
        <v>635</v>
      </c>
      <c r="K3" s="97" t="s">
        <v>637</v>
      </c>
    </row>
    <row r="4" spans="1:11" ht="26.25" customHeight="1">
      <c r="A4" s="97" t="s">
        <v>638</v>
      </c>
      <c r="B4" s="97">
        <v>0</v>
      </c>
      <c r="C4" s="97" t="s">
        <v>693</v>
      </c>
      <c r="D4" s="97" t="s">
        <v>694</v>
      </c>
      <c r="F4" s="100" t="s">
        <v>638</v>
      </c>
      <c r="G4" s="100">
        <v>0</v>
      </c>
      <c r="H4" s="100">
        <v>1</v>
      </c>
      <c r="I4" s="100" t="s">
        <v>695</v>
      </c>
      <c r="J4" s="101" t="s">
        <v>696</v>
      </c>
      <c r="K4" s="102" t="s">
        <v>697</v>
      </c>
    </row>
    <row r="5" spans="1:11" ht="26.25" customHeight="1">
      <c r="A5" s="97" t="s">
        <v>638</v>
      </c>
      <c r="B5" s="97">
        <v>1</v>
      </c>
      <c r="C5" s="97" t="s">
        <v>693</v>
      </c>
      <c r="D5" s="97" t="s">
        <v>698</v>
      </c>
      <c r="F5" s="100" t="s">
        <v>638</v>
      </c>
      <c r="G5" s="100">
        <v>0</v>
      </c>
      <c r="H5" s="100">
        <v>1</v>
      </c>
      <c r="I5" s="100" t="s">
        <v>699</v>
      </c>
      <c r="J5" s="101" t="s">
        <v>700</v>
      </c>
      <c r="K5" s="102" t="s">
        <v>701</v>
      </c>
    </row>
    <row r="6" spans="1:11" ht="26.25" customHeight="1">
      <c r="A6" s="97" t="s">
        <v>643</v>
      </c>
      <c r="B6" s="97">
        <v>0</v>
      </c>
      <c r="C6" s="97" t="s">
        <v>693</v>
      </c>
      <c r="D6" s="97" t="s">
        <v>702</v>
      </c>
      <c r="F6" s="100" t="s">
        <v>638</v>
      </c>
      <c r="G6" s="100">
        <v>0</v>
      </c>
      <c r="H6" s="100">
        <v>1</v>
      </c>
      <c r="I6" s="100" t="s">
        <v>703</v>
      </c>
      <c r="J6" s="101" t="s">
        <v>704</v>
      </c>
      <c r="K6" s="102" t="s">
        <v>705</v>
      </c>
    </row>
    <row r="7" spans="1:11" ht="26.25" customHeight="1">
      <c r="A7" s="97" t="s">
        <v>643</v>
      </c>
      <c r="B7" s="97">
        <v>1</v>
      </c>
      <c r="C7" s="97" t="s">
        <v>693</v>
      </c>
      <c r="D7" s="97" t="s">
        <v>702</v>
      </c>
      <c r="F7" s="100" t="s">
        <v>638</v>
      </c>
      <c r="G7" s="100">
        <v>0</v>
      </c>
      <c r="H7" s="100">
        <v>30000</v>
      </c>
      <c r="I7" s="100" t="s">
        <v>703</v>
      </c>
      <c r="J7" s="101" t="s">
        <v>706</v>
      </c>
      <c r="K7" s="102" t="s">
        <v>707</v>
      </c>
    </row>
    <row r="8" spans="1:11" ht="26.25" customHeight="1">
      <c r="A8" s="97" t="s">
        <v>647</v>
      </c>
      <c r="B8" s="97">
        <v>0</v>
      </c>
      <c r="C8" s="97" t="s">
        <v>693</v>
      </c>
      <c r="D8" s="97" t="s">
        <v>708</v>
      </c>
      <c r="F8" s="100" t="s">
        <v>638</v>
      </c>
      <c r="G8" s="100">
        <v>1</v>
      </c>
      <c r="H8" s="100">
        <v>1</v>
      </c>
      <c r="I8" s="100" t="s">
        <v>695</v>
      </c>
      <c r="J8" s="101" t="s">
        <v>709</v>
      </c>
      <c r="K8" s="102" t="s">
        <v>710</v>
      </c>
    </row>
    <row r="9" spans="1:11" ht="26.25" customHeight="1">
      <c r="A9" s="97" t="s">
        <v>647</v>
      </c>
      <c r="B9" s="97">
        <v>1</v>
      </c>
      <c r="C9" s="97" t="s">
        <v>693</v>
      </c>
      <c r="D9" s="97" t="s">
        <v>708</v>
      </c>
      <c r="F9" s="100" t="s">
        <v>638</v>
      </c>
      <c r="G9" s="100">
        <v>1</v>
      </c>
      <c r="H9" s="100">
        <v>1</v>
      </c>
      <c r="I9" s="100" t="s">
        <v>699</v>
      </c>
      <c r="J9" s="101" t="s">
        <v>711</v>
      </c>
      <c r="K9" s="102" t="s">
        <v>712</v>
      </c>
    </row>
    <row r="10" spans="1:11" ht="26.25" customHeight="1">
      <c r="A10" s="97" t="s">
        <v>650</v>
      </c>
      <c r="B10" s="97">
        <v>0</v>
      </c>
      <c r="C10" s="97" t="s">
        <v>693</v>
      </c>
      <c r="D10" s="97" t="s">
        <v>713</v>
      </c>
      <c r="F10" s="100" t="s">
        <v>638</v>
      </c>
      <c r="G10" s="100">
        <v>1</v>
      </c>
      <c r="H10" s="100">
        <v>100000</v>
      </c>
      <c r="I10" s="100" t="s">
        <v>703</v>
      </c>
      <c r="J10" s="101" t="s">
        <v>714</v>
      </c>
      <c r="K10" s="102" t="s">
        <v>715</v>
      </c>
    </row>
    <row r="11" spans="1:11" ht="26.25" customHeight="1">
      <c r="A11" s="97" t="s">
        <v>650</v>
      </c>
      <c r="B11" s="97">
        <v>1</v>
      </c>
      <c r="C11" s="97" t="s">
        <v>693</v>
      </c>
      <c r="D11" s="97" t="s">
        <v>716</v>
      </c>
      <c r="F11" s="97" t="s">
        <v>643</v>
      </c>
      <c r="G11" s="97">
        <v>0</v>
      </c>
      <c r="H11" s="97">
        <v>1</v>
      </c>
      <c r="I11" s="97"/>
      <c r="J11" s="103" t="s">
        <v>717</v>
      </c>
      <c r="K11" s="104" t="s">
        <v>718</v>
      </c>
    </row>
    <row r="12" spans="1:11" ht="26.25" customHeight="1">
      <c r="F12" s="97" t="s">
        <v>643</v>
      </c>
      <c r="G12" s="97">
        <v>0</v>
      </c>
      <c r="H12" s="97">
        <v>1</v>
      </c>
      <c r="I12" s="97"/>
      <c r="J12" s="103" t="s">
        <v>719</v>
      </c>
      <c r="K12" s="104" t="s">
        <v>720</v>
      </c>
    </row>
    <row r="13" spans="1:11" ht="26.25" customHeight="1">
      <c r="F13" s="97" t="s">
        <v>643</v>
      </c>
      <c r="G13" s="97">
        <v>0</v>
      </c>
      <c r="H13" s="97">
        <v>1</v>
      </c>
      <c r="I13" s="97"/>
      <c r="J13" s="103" t="s">
        <v>721</v>
      </c>
      <c r="K13" s="104" t="s">
        <v>722</v>
      </c>
    </row>
    <row r="14" spans="1:11" ht="26.25" customHeight="1">
      <c r="F14" s="97" t="s">
        <v>643</v>
      </c>
      <c r="G14" s="97">
        <v>0</v>
      </c>
      <c r="H14" s="97">
        <v>1</v>
      </c>
      <c r="I14" s="97"/>
      <c r="J14" s="103" t="s">
        <v>723</v>
      </c>
      <c r="K14" s="104" t="s">
        <v>724</v>
      </c>
    </row>
    <row r="15" spans="1:11" ht="26.25" customHeight="1">
      <c r="F15" s="97" t="s">
        <v>643</v>
      </c>
      <c r="G15" s="97">
        <v>0</v>
      </c>
      <c r="H15" s="97">
        <v>1</v>
      </c>
      <c r="I15" s="97"/>
      <c r="J15" s="103" t="s">
        <v>725</v>
      </c>
      <c r="K15" s="104" t="s">
        <v>726</v>
      </c>
    </row>
    <row r="16" spans="1:11" ht="26.25" customHeight="1">
      <c r="F16" s="97" t="s">
        <v>643</v>
      </c>
      <c r="G16" s="97">
        <v>0</v>
      </c>
      <c r="H16" s="97">
        <v>1</v>
      </c>
      <c r="I16" s="97"/>
      <c r="J16" s="103" t="s">
        <v>727</v>
      </c>
      <c r="K16" s="104" t="s">
        <v>728</v>
      </c>
    </row>
    <row r="17" spans="6:11" ht="26.25" customHeight="1">
      <c r="F17" s="97" t="s">
        <v>643</v>
      </c>
      <c r="G17" s="97">
        <v>0</v>
      </c>
      <c r="H17" s="97">
        <v>1</v>
      </c>
      <c r="I17" s="97"/>
      <c r="J17" s="103" t="s">
        <v>729</v>
      </c>
      <c r="K17" s="104" t="s">
        <v>730</v>
      </c>
    </row>
    <row r="18" spans="6:11" ht="26.25" customHeight="1">
      <c r="F18" s="97" t="s">
        <v>643</v>
      </c>
      <c r="G18" s="97">
        <v>0</v>
      </c>
      <c r="H18" s="97">
        <v>1</v>
      </c>
      <c r="I18" s="97"/>
      <c r="J18" s="103" t="s">
        <v>731</v>
      </c>
      <c r="K18" s="104" t="s">
        <v>732</v>
      </c>
    </row>
    <row r="19" spans="6:11" ht="26.25" customHeight="1">
      <c r="F19" s="97" t="s">
        <v>643</v>
      </c>
      <c r="G19" s="97">
        <v>0</v>
      </c>
      <c r="H19" s="97">
        <v>1</v>
      </c>
      <c r="I19" s="97"/>
      <c r="J19" s="103" t="s">
        <v>733</v>
      </c>
      <c r="K19" s="104" t="s">
        <v>734</v>
      </c>
    </row>
    <row r="20" spans="6:11" ht="26.25" customHeight="1">
      <c r="F20" s="97" t="s">
        <v>643</v>
      </c>
      <c r="G20" s="97">
        <v>0</v>
      </c>
      <c r="H20" s="97">
        <v>3000</v>
      </c>
      <c r="I20" s="97"/>
      <c r="J20" s="103" t="s">
        <v>735</v>
      </c>
      <c r="K20" s="104" t="s">
        <v>736</v>
      </c>
    </row>
    <row r="21" spans="6:11" ht="26.25" customHeight="1">
      <c r="F21" s="97" t="s">
        <v>643</v>
      </c>
      <c r="G21" s="97">
        <v>0</v>
      </c>
      <c r="H21" s="97">
        <v>3000</v>
      </c>
      <c r="I21" s="97"/>
      <c r="J21" s="103" t="s">
        <v>737</v>
      </c>
      <c r="K21" s="104" t="s">
        <v>738</v>
      </c>
    </row>
    <row r="22" spans="6:11" ht="26.25" customHeight="1">
      <c r="F22" s="97" t="s">
        <v>643</v>
      </c>
      <c r="G22" s="97">
        <v>0</v>
      </c>
      <c r="H22" s="97">
        <v>3000</v>
      </c>
      <c r="I22" s="97"/>
      <c r="J22" s="103" t="s">
        <v>739</v>
      </c>
      <c r="K22" s="104" t="s">
        <v>740</v>
      </c>
    </row>
    <row r="23" spans="6:11" ht="26.25" customHeight="1">
      <c r="F23" s="97" t="s">
        <v>643</v>
      </c>
      <c r="G23" s="97">
        <v>1</v>
      </c>
      <c r="H23" s="97">
        <v>1</v>
      </c>
      <c r="I23" s="97"/>
      <c r="J23" s="103" t="s">
        <v>741</v>
      </c>
      <c r="K23" s="104" t="s">
        <v>730</v>
      </c>
    </row>
    <row r="24" spans="6:11" ht="26.25" customHeight="1">
      <c r="F24" s="97" t="s">
        <v>643</v>
      </c>
      <c r="G24" s="97">
        <v>1</v>
      </c>
      <c r="H24" s="97">
        <v>1</v>
      </c>
      <c r="I24" s="97"/>
      <c r="J24" s="103" t="s">
        <v>742</v>
      </c>
      <c r="K24" s="104" t="s">
        <v>732</v>
      </c>
    </row>
    <row r="25" spans="6:11" ht="26.25" customHeight="1">
      <c r="F25" s="97" t="s">
        <v>643</v>
      </c>
      <c r="G25" s="97">
        <v>1</v>
      </c>
      <c r="H25" s="97">
        <v>1</v>
      </c>
      <c r="I25" s="97"/>
      <c r="J25" s="103" t="s">
        <v>743</v>
      </c>
      <c r="K25" s="104" t="s">
        <v>734</v>
      </c>
    </row>
    <row r="26" spans="6:11" ht="26.25" customHeight="1">
      <c r="F26" s="97" t="s">
        <v>643</v>
      </c>
      <c r="G26" s="97">
        <v>1</v>
      </c>
      <c r="H26" s="97">
        <v>1</v>
      </c>
      <c r="I26" s="97"/>
      <c r="J26" s="103" t="s">
        <v>744</v>
      </c>
      <c r="K26" s="104" t="s">
        <v>736</v>
      </c>
    </row>
    <row r="27" spans="6:11" ht="26.25" customHeight="1">
      <c r="F27" s="97" t="s">
        <v>643</v>
      </c>
      <c r="G27" s="97">
        <v>1</v>
      </c>
      <c r="H27" s="97">
        <v>1</v>
      </c>
      <c r="I27" s="97"/>
      <c r="J27" s="103" t="s">
        <v>745</v>
      </c>
      <c r="K27" s="104" t="s">
        <v>738</v>
      </c>
    </row>
    <row r="28" spans="6:11" ht="26.25" customHeight="1">
      <c r="F28" s="97" t="s">
        <v>643</v>
      </c>
      <c r="G28" s="97">
        <v>1</v>
      </c>
      <c r="H28" s="97">
        <v>1</v>
      </c>
      <c r="I28" s="97"/>
      <c r="J28" s="103" t="s">
        <v>746</v>
      </c>
      <c r="K28" s="104" t="s">
        <v>740</v>
      </c>
    </row>
    <row r="29" spans="6:11" ht="26.25" customHeight="1">
      <c r="F29" s="97" t="s">
        <v>643</v>
      </c>
      <c r="G29" s="97">
        <v>1</v>
      </c>
      <c r="H29" s="97">
        <v>10000</v>
      </c>
      <c r="I29" s="97"/>
      <c r="J29" s="103" t="s">
        <v>747</v>
      </c>
      <c r="K29" s="104" t="s">
        <v>748</v>
      </c>
    </row>
    <row r="30" spans="6:11" ht="26.25" customHeight="1">
      <c r="F30" s="97" t="s">
        <v>643</v>
      </c>
      <c r="G30" s="97">
        <v>1</v>
      </c>
      <c r="H30" s="97">
        <v>10000</v>
      </c>
      <c r="I30" s="97"/>
      <c r="J30" s="103" t="s">
        <v>749</v>
      </c>
      <c r="K30" s="104" t="s">
        <v>750</v>
      </c>
    </row>
    <row r="31" spans="6:11" ht="26.25" customHeight="1">
      <c r="F31" s="97" t="s">
        <v>643</v>
      </c>
      <c r="G31" s="97">
        <v>1</v>
      </c>
      <c r="H31" s="97">
        <v>10000</v>
      </c>
      <c r="I31" s="97"/>
      <c r="J31" s="103" t="s">
        <v>751</v>
      </c>
      <c r="K31" s="104" t="s">
        <v>752</v>
      </c>
    </row>
    <row r="32" spans="6:11" ht="26.25" customHeight="1">
      <c r="F32" s="100" t="s">
        <v>647</v>
      </c>
      <c r="G32" s="100">
        <v>0</v>
      </c>
      <c r="H32" s="100">
        <v>1</v>
      </c>
      <c r="I32" s="100"/>
      <c r="J32" s="101" t="s">
        <v>753</v>
      </c>
      <c r="K32" s="102" t="s">
        <v>754</v>
      </c>
    </row>
    <row r="33" spans="6:11" ht="26.25" customHeight="1">
      <c r="F33" s="100" t="s">
        <v>647</v>
      </c>
      <c r="G33" s="100">
        <v>0</v>
      </c>
      <c r="H33" s="100">
        <v>1</v>
      </c>
      <c r="I33" s="100"/>
      <c r="J33" s="101" t="s">
        <v>755</v>
      </c>
      <c r="K33" s="102" t="s">
        <v>756</v>
      </c>
    </row>
    <row r="34" spans="6:11" ht="26.25" customHeight="1">
      <c r="F34" s="100" t="s">
        <v>647</v>
      </c>
      <c r="G34" s="100">
        <v>0</v>
      </c>
      <c r="H34" s="100">
        <v>1</v>
      </c>
      <c r="I34" s="100"/>
      <c r="J34" s="101" t="s">
        <v>757</v>
      </c>
      <c r="K34" s="102" t="s">
        <v>758</v>
      </c>
    </row>
    <row r="35" spans="6:11" ht="26.25" customHeight="1">
      <c r="F35" s="100" t="s">
        <v>647</v>
      </c>
      <c r="G35" s="100">
        <v>0</v>
      </c>
      <c r="H35" s="100">
        <v>1</v>
      </c>
      <c r="I35" s="100"/>
      <c r="J35" s="101" t="s">
        <v>759</v>
      </c>
      <c r="K35" s="102" t="s">
        <v>760</v>
      </c>
    </row>
    <row r="36" spans="6:11" ht="26.25" customHeight="1">
      <c r="F36" s="100" t="s">
        <v>647</v>
      </c>
      <c r="G36" s="100">
        <v>0</v>
      </c>
      <c r="H36" s="100">
        <v>1</v>
      </c>
      <c r="I36" s="100"/>
      <c r="J36" s="101" t="s">
        <v>761</v>
      </c>
      <c r="K36" s="102" t="s">
        <v>762</v>
      </c>
    </row>
    <row r="37" spans="6:11" ht="26.25" customHeight="1">
      <c r="F37" s="100" t="s">
        <v>647</v>
      </c>
      <c r="G37" s="100">
        <v>1</v>
      </c>
      <c r="H37" s="100">
        <v>1</v>
      </c>
      <c r="I37" s="100"/>
      <c r="J37" s="101" t="s">
        <v>763</v>
      </c>
      <c r="K37" s="102" t="s">
        <v>764</v>
      </c>
    </row>
    <row r="38" spans="6:11" ht="26.25" customHeight="1">
      <c r="F38" s="100" t="s">
        <v>647</v>
      </c>
      <c r="G38" s="100">
        <v>1</v>
      </c>
      <c r="H38" s="100">
        <v>1</v>
      </c>
      <c r="I38" s="100"/>
      <c r="J38" s="101" t="s">
        <v>765</v>
      </c>
      <c r="K38" s="102" t="s">
        <v>766</v>
      </c>
    </row>
    <row r="39" spans="6:11" ht="26.25" customHeight="1">
      <c r="F39" s="100" t="s">
        <v>647</v>
      </c>
      <c r="G39" s="100">
        <v>1</v>
      </c>
      <c r="H39" s="100">
        <v>1</v>
      </c>
      <c r="I39" s="100"/>
      <c r="J39" s="101" t="s">
        <v>767</v>
      </c>
      <c r="K39" s="102" t="s">
        <v>768</v>
      </c>
    </row>
    <row r="40" spans="6:11" ht="26.25" customHeight="1">
      <c r="F40" s="100" t="s">
        <v>647</v>
      </c>
      <c r="G40" s="100">
        <v>1</v>
      </c>
      <c r="H40" s="100">
        <v>1</v>
      </c>
      <c r="I40" s="100"/>
      <c r="J40" s="101" t="s">
        <v>769</v>
      </c>
      <c r="K40" s="102" t="s">
        <v>770</v>
      </c>
    </row>
    <row r="41" spans="6:11" ht="26.25" customHeight="1">
      <c r="F41" s="100" t="s">
        <v>647</v>
      </c>
      <c r="G41" s="100">
        <v>1</v>
      </c>
      <c r="H41" s="100">
        <v>1</v>
      </c>
      <c r="I41" s="100"/>
      <c r="J41" s="101" t="s">
        <v>771</v>
      </c>
      <c r="K41" s="102" t="s">
        <v>772</v>
      </c>
    </row>
    <row r="42" spans="6:11" ht="26.25" customHeight="1">
      <c r="F42" s="97" t="s">
        <v>650</v>
      </c>
      <c r="G42" s="97">
        <v>0</v>
      </c>
      <c r="H42" s="97">
        <v>1</v>
      </c>
      <c r="I42" s="97" t="s">
        <v>773</v>
      </c>
      <c r="J42" s="103" t="s">
        <v>774</v>
      </c>
      <c r="K42" s="105" t="s">
        <v>775</v>
      </c>
    </row>
    <row r="43" spans="6:11" ht="26.25" customHeight="1">
      <c r="F43" s="97" t="s">
        <v>650</v>
      </c>
      <c r="G43" s="97">
        <v>0</v>
      </c>
      <c r="H43" s="97">
        <v>1</v>
      </c>
      <c r="I43" s="97" t="s">
        <v>776</v>
      </c>
      <c r="J43" s="103" t="s">
        <v>777</v>
      </c>
      <c r="K43" s="105" t="s">
        <v>778</v>
      </c>
    </row>
    <row r="44" spans="6:11" ht="26.25" customHeight="1">
      <c r="F44" s="97" t="s">
        <v>650</v>
      </c>
      <c r="G44" s="97">
        <v>0</v>
      </c>
      <c r="H44" s="97">
        <v>1</v>
      </c>
      <c r="I44" s="97" t="s">
        <v>779</v>
      </c>
      <c r="J44" s="103" t="s">
        <v>780</v>
      </c>
      <c r="K44" s="105" t="s">
        <v>781</v>
      </c>
    </row>
    <row r="45" spans="6:11" ht="26.25" customHeight="1">
      <c r="F45" s="97" t="s">
        <v>650</v>
      </c>
      <c r="G45" s="97">
        <v>1</v>
      </c>
      <c r="H45" s="97">
        <v>1</v>
      </c>
      <c r="I45" s="97" t="s">
        <v>782</v>
      </c>
      <c r="J45" s="103" t="s">
        <v>783</v>
      </c>
      <c r="K45" s="105" t="s">
        <v>784</v>
      </c>
    </row>
    <row r="46" spans="6:11" ht="26.25" customHeight="1">
      <c r="F46" s="97" t="s">
        <v>650</v>
      </c>
      <c r="G46" s="97">
        <v>1</v>
      </c>
      <c r="H46" s="97">
        <v>1</v>
      </c>
      <c r="I46" s="97" t="s">
        <v>785</v>
      </c>
      <c r="J46" s="103" t="s">
        <v>786</v>
      </c>
      <c r="K46" s="105" t="s">
        <v>787</v>
      </c>
    </row>
    <row r="47" spans="6:11" ht="26.25" customHeight="1">
      <c r="F47" s="97" t="s">
        <v>650</v>
      </c>
      <c r="G47" s="97">
        <v>1</v>
      </c>
      <c r="H47" s="97">
        <v>1</v>
      </c>
      <c r="I47" s="97" t="s">
        <v>788</v>
      </c>
      <c r="J47" s="103" t="s">
        <v>789</v>
      </c>
      <c r="K47" s="105" t="s">
        <v>790</v>
      </c>
    </row>
  </sheetData>
  <phoneticPr fontId="42" type="noConversion"/>
  <pageMargins left="0.75" right="0.75" top="1" bottom="1" header="0.51180555555555596" footer="0.51180555555555596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11"/>
  <sheetViews>
    <sheetView workbookViewId="0">
      <selection activeCell="G11" sqref="G11"/>
    </sheetView>
  </sheetViews>
  <sheetFormatPr defaultColWidth="8.69921875" defaultRowHeight="15"/>
  <cols>
    <col min="2" max="2" width="12.5" customWidth="1"/>
    <col min="3" max="3" width="75.19921875" customWidth="1"/>
    <col min="4" max="4" width="15.59765625" customWidth="1"/>
    <col min="5" max="5" width="20.09765625" customWidth="1"/>
    <col min="6" max="6" width="7.09765625" customWidth="1"/>
    <col min="7" max="7" width="35.3984375" customWidth="1"/>
  </cols>
  <sheetData>
    <row r="1" spans="1:7">
      <c r="A1" s="97" t="s">
        <v>791</v>
      </c>
      <c r="B1" s="97" t="s">
        <v>617</v>
      </c>
      <c r="C1" s="97" t="s">
        <v>792</v>
      </c>
      <c r="D1" s="97" t="s">
        <v>793</v>
      </c>
      <c r="E1" s="97" t="s">
        <v>794</v>
      </c>
      <c r="F1" s="97" t="s">
        <v>28</v>
      </c>
      <c r="G1" s="97" t="s">
        <v>795</v>
      </c>
    </row>
    <row r="2" spans="1:7">
      <c r="A2" s="97" t="s">
        <v>39</v>
      </c>
      <c r="B2" s="97" t="s">
        <v>39</v>
      </c>
      <c r="C2" s="97" t="s">
        <v>457</v>
      </c>
      <c r="D2" s="97" t="s">
        <v>41</v>
      </c>
      <c r="E2" s="97" t="s">
        <v>41</v>
      </c>
      <c r="F2" s="97" t="s">
        <v>457</v>
      </c>
      <c r="G2" s="97" t="s">
        <v>457</v>
      </c>
    </row>
    <row r="3" spans="1:7" ht="17.25">
      <c r="A3" s="97" t="s">
        <v>796</v>
      </c>
      <c r="B3" s="98" t="s">
        <v>630</v>
      </c>
      <c r="C3" s="99" t="s">
        <v>797</v>
      </c>
      <c r="D3" s="98" t="s">
        <v>798</v>
      </c>
      <c r="E3" s="98" t="s">
        <v>799</v>
      </c>
      <c r="F3" s="98" t="s">
        <v>8</v>
      </c>
      <c r="G3" s="98" t="s">
        <v>800</v>
      </c>
    </row>
    <row r="4" spans="1:7" ht="65.099999999999994" customHeight="1">
      <c r="A4" s="97">
        <v>44411</v>
      </c>
      <c r="B4" s="97">
        <v>0</v>
      </c>
      <c r="C4" s="99" t="s">
        <v>801</v>
      </c>
      <c r="D4" s="97">
        <v>0.25</v>
      </c>
      <c r="E4" s="97">
        <v>0.05</v>
      </c>
      <c r="F4" s="97" t="s">
        <v>638</v>
      </c>
      <c r="G4" s="97" t="s">
        <v>802</v>
      </c>
    </row>
    <row r="5" spans="1:7" ht="65.099999999999994" customHeight="1">
      <c r="A5" s="97">
        <v>44411</v>
      </c>
      <c r="B5" s="97">
        <v>1</v>
      </c>
      <c r="C5" s="99" t="s">
        <v>803</v>
      </c>
      <c r="D5" s="97">
        <v>0.25</v>
      </c>
      <c r="E5" s="97">
        <v>0.05</v>
      </c>
      <c r="F5" s="97" t="s">
        <v>638</v>
      </c>
      <c r="G5" s="97" t="s">
        <v>802</v>
      </c>
    </row>
    <row r="6" spans="1:7" ht="66.75">
      <c r="A6" s="97">
        <v>44412</v>
      </c>
      <c r="B6" s="97">
        <v>0</v>
      </c>
      <c r="C6" s="99" t="s">
        <v>804</v>
      </c>
      <c r="D6" s="97">
        <v>0.25</v>
      </c>
      <c r="E6" s="97">
        <v>0.05</v>
      </c>
      <c r="F6" s="97" t="s">
        <v>643</v>
      </c>
      <c r="G6" s="97" t="s">
        <v>805</v>
      </c>
    </row>
    <row r="7" spans="1:7" ht="66.75">
      <c r="A7" s="97">
        <v>44412</v>
      </c>
      <c r="B7" s="97">
        <v>1</v>
      </c>
      <c r="C7" s="99" t="s">
        <v>806</v>
      </c>
      <c r="D7" s="97">
        <v>0.25</v>
      </c>
      <c r="E7" s="97">
        <v>0.05</v>
      </c>
      <c r="F7" s="97" t="s">
        <v>643</v>
      </c>
      <c r="G7" s="97" t="s">
        <v>805</v>
      </c>
    </row>
    <row r="8" spans="1:7" ht="66.75">
      <c r="A8" s="97">
        <v>44414</v>
      </c>
      <c r="B8" s="97">
        <v>0</v>
      </c>
      <c r="C8" s="99" t="s">
        <v>807</v>
      </c>
      <c r="D8" s="97">
        <v>0.25</v>
      </c>
      <c r="E8" s="97">
        <v>0.05</v>
      </c>
      <c r="F8" s="97" t="s">
        <v>647</v>
      </c>
      <c r="G8" s="97" t="s">
        <v>808</v>
      </c>
    </row>
    <row r="9" spans="1:7" ht="66.75">
      <c r="A9" s="97">
        <v>44414</v>
      </c>
      <c r="B9" s="97">
        <v>1</v>
      </c>
      <c r="C9" s="99" t="s">
        <v>809</v>
      </c>
      <c r="D9" s="97">
        <v>0.25</v>
      </c>
      <c r="E9" s="97">
        <v>0.05</v>
      </c>
      <c r="F9" s="97" t="s">
        <v>647</v>
      </c>
      <c r="G9" s="97" t="s">
        <v>808</v>
      </c>
    </row>
    <row r="10" spans="1:7" ht="84" customHeight="1">
      <c r="A10" s="97">
        <v>44415</v>
      </c>
      <c r="B10" s="97">
        <v>0</v>
      </c>
      <c r="C10" s="99" t="s">
        <v>810</v>
      </c>
      <c r="D10" s="97">
        <v>0.25</v>
      </c>
      <c r="E10" s="97">
        <v>0.05</v>
      </c>
      <c r="F10" s="97" t="s">
        <v>650</v>
      </c>
      <c r="G10" s="97" t="s">
        <v>811</v>
      </c>
    </row>
    <row r="11" spans="1:7" ht="84" customHeight="1">
      <c r="A11" s="97">
        <v>44415</v>
      </c>
      <c r="B11" s="97">
        <v>1</v>
      </c>
      <c r="C11" s="99" t="s">
        <v>812</v>
      </c>
      <c r="D11" s="97">
        <v>0.25</v>
      </c>
      <c r="E11" s="97">
        <v>0.05</v>
      </c>
      <c r="F11" s="97" t="s">
        <v>650</v>
      </c>
      <c r="G11" s="97" t="s">
        <v>811</v>
      </c>
    </row>
  </sheetData>
  <phoneticPr fontId="42" type="noConversion"/>
  <pageMargins left="0.75" right="0.75" top="1" bottom="1" header="0.51180555555555596" footer="0.51180555555555596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25"/>
  <sheetViews>
    <sheetView workbookViewId="0">
      <selection activeCell="I19" sqref="I19"/>
    </sheetView>
  </sheetViews>
  <sheetFormatPr defaultColWidth="8.796875" defaultRowHeight="21.95" customHeight="1"/>
  <cols>
    <col min="1" max="1" width="16.8984375" customWidth="1"/>
    <col min="3" max="3" width="22.3984375" customWidth="1"/>
    <col min="7" max="7" width="17.59765625" customWidth="1"/>
    <col min="9" max="9" width="22.296875" customWidth="1"/>
  </cols>
  <sheetData>
    <row r="1" spans="1:11" ht="21.95" customHeight="1">
      <c r="A1" s="95" t="s">
        <v>26</v>
      </c>
      <c r="B1" s="7" t="s">
        <v>27</v>
      </c>
      <c r="C1" s="7" t="s">
        <v>813</v>
      </c>
      <c r="D1" s="7" t="s">
        <v>30</v>
      </c>
      <c r="E1" s="7" t="s">
        <v>34</v>
      </c>
      <c r="G1" s="95" t="s">
        <v>26</v>
      </c>
      <c r="H1" s="7" t="s">
        <v>27</v>
      </c>
      <c r="I1" s="7" t="s">
        <v>813</v>
      </c>
      <c r="J1" s="7" t="s">
        <v>30</v>
      </c>
      <c r="K1" s="7" t="s">
        <v>34</v>
      </c>
    </row>
    <row r="2" spans="1:11" ht="21.95" customHeight="1">
      <c r="A2" s="95" t="s">
        <v>40</v>
      </c>
      <c r="B2" s="7" t="s">
        <v>39</v>
      </c>
      <c r="C2" s="7" t="s">
        <v>39</v>
      </c>
      <c r="D2" s="7" t="s">
        <v>39</v>
      </c>
      <c r="E2" s="7" t="s">
        <v>39</v>
      </c>
      <c r="G2" s="95" t="s">
        <v>40</v>
      </c>
      <c r="H2" s="7" t="s">
        <v>39</v>
      </c>
      <c r="I2" s="7" t="s">
        <v>39</v>
      </c>
      <c r="J2" s="7" t="s">
        <v>39</v>
      </c>
      <c r="K2" s="7" t="s">
        <v>39</v>
      </c>
    </row>
    <row r="3" spans="1:11" ht="21.95" customHeight="1">
      <c r="A3" s="95" t="s">
        <v>44</v>
      </c>
      <c r="B3" s="7" t="s">
        <v>814</v>
      </c>
      <c r="C3" s="7" t="s">
        <v>815</v>
      </c>
      <c r="D3" s="7" t="s">
        <v>48</v>
      </c>
      <c r="E3" s="7" t="s">
        <v>816</v>
      </c>
      <c r="G3" s="95" t="s">
        <v>44</v>
      </c>
      <c r="H3" s="7" t="s">
        <v>814</v>
      </c>
      <c r="I3" s="96" t="s">
        <v>817</v>
      </c>
      <c r="J3" s="7" t="s">
        <v>48</v>
      </c>
      <c r="K3" s="7" t="s">
        <v>816</v>
      </c>
    </row>
    <row r="4" spans="1:11" ht="21.95" customHeight="1">
      <c r="A4" s="95" t="s">
        <v>292</v>
      </c>
      <c r="B4" s="95">
        <v>71201</v>
      </c>
      <c r="C4" s="95">
        <v>13757</v>
      </c>
      <c r="D4" s="95">
        <f>VLOOKUP(B4,Fish!$D:$I,6,FALSE)-VLOOKUP(B4,Fish!$D:$I,4,FALSE)</f>
        <v>31</v>
      </c>
      <c r="E4" s="95">
        <v>10000</v>
      </c>
      <c r="G4" s="95" t="s">
        <v>292</v>
      </c>
      <c r="H4" s="95">
        <v>71201</v>
      </c>
      <c r="I4" s="95">
        <v>13763</v>
      </c>
      <c r="J4" s="95">
        <f>VLOOKUP(H4,Fish!$D:$I,6,FALSE)-VLOOKUP(H4,Fish!$D:$I,4,FALSE)</f>
        <v>31</v>
      </c>
      <c r="K4" s="95">
        <v>10000</v>
      </c>
    </row>
    <row r="5" spans="1:11" ht="21.95" customHeight="1">
      <c r="A5" s="95" t="s">
        <v>294</v>
      </c>
      <c r="B5" s="95">
        <v>71202</v>
      </c>
      <c r="C5" s="95">
        <v>13757</v>
      </c>
      <c r="D5" s="95">
        <f>VLOOKUP(B5,Fish!$D:$I,6,FALSE)-VLOOKUP(B5,Fish!$D:$I,4,FALSE)</f>
        <v>53</v>
      </c>
      <c r="E5" s="95">
        <v>10000</v>
      </c>
      <c r="G5" s="95" t="s">
        <v>294</v>
      </c>
      <c r="H5" s="95">
        <v>71202</v>
      </c>
      <c r="I5" s="95">
        <v>13763</v>
      </c>
      <c r="J5" s="95">
        <f>VLOOKUP(H5,Fish!$D:$I,6,FALSE)-VLOOKUP(H5,Fish!$D:$I,4,FALSE)</f>
        <v>53</v>
      </c>
      <c r="K5" s="95">
        <v>10000</v>
      </c>
    </row>
    <row r="6" spans="1:11" ht="21.95" customHeight="1">
      <c r="A6" s="95" t="s">
        <v>296</v>
      </c>
      <c r="B6" s="95">
        <v>71203</v>
      </c>
      <c r="C6" s="95">
        <v>13757</v>
      </c>
      <c r="D6" s="95">
        <f>VLOOKUP(B6,Fish!$D:$I,6,FALSE)-VLOOKUP(B6,Fish!$D:$I,4,FALSE)</f>
        <v>507</v>
      </c>
      <c r="E6" s="95">
        <v>10000</v>
      </c>
      <c r="G6" s="95" t="s">
        <v>296</v>
      </c>
      <c r="H6" s="95">
        <v>71203</v>
      </c>
      <c r="I6" s="95">
        <v>13763</v>
      </c>
      <c r="J6" s="95">
        <f>VLOOKUP(H6,Fish!$D:$I,6,FALSE)-VLOOKUP(H6,Fish!$D:$I,4,FALSE)</f>
        <v>507</v>
      </c>
      <c r="K6" s="95">
        <v>10000</v>
      </c>
    </row>
    <row r="7" spans="1:11" ht="21.95" customHeight="1">
      <c r="A7" s="95" t="s">
        <v>298</v>
      </c>
      <c r="B7" s="95">
        <v>73204</v>
      </c>
      <c r="C7" s="95">
        <v>13758</v>
      </c>
      <c r="D7" s="95">
        <f>VLOOKUP(B7,Fish!$D:$I,6,FALSE)-VLOOKUP(B7,Fish!$D:$I,4,FALSE)</f>
        <v>44</v>
      </c>
      <c r="E7" s="95">
        <v>50000</v>
      </c>
      <c r="G7" s="95" t="s">
        <v>298</v>
      </c>
      <c r="H7" s="95">
        <v>73204</v>
      </c>
      <c r="I7" s="95">
        <v>13764</v>
      </c>
      <c r="J7" s="95">
        <f>VLOOKUP(H7,Fish!$D:$I,6,FALSE)-VLOOKUP(H7,Fish!$D:$I,4,FALSE)</f>
        <v>44</v>
      </c>
      <c r="K7" s="95">
        <v>50000</v>
      </c>
    </row>
    <row r="8" spans="1:11" ht="21.95" customHeight="1">
      <c r="A8" s="95" t="s">
        <v>300</v>
      </c>
      <c r="B8" s="95">
        <v>73205</v>
      </c>
      <c r="C8" s="95">
        <v>13759</v>
      </c>
      <c r="D8" s="95">
        <f>VLOOKUP(B8,Fish!$D:$I,6,FALSE)-VLOOKUP(B8,Fish!$D:$I,4,FALSE)</f>
        <v>75</v>
      </c>
      <c r="E8" s="95">
        <v>100000</v>
      </c>
      <c r="G8" s="95" t="s">
        <v>300</v>
      </c>
      <c r="H8" s="95">
        <v>73205</v>
      </c>
      <c r="I8" s="95">
        <v>13765</v>
      </c>
      <c r="J8" s="95">
        <f>VLOOKUP(H8,Fish!$D:$I,6,FALSE)-VLOOKUP(H8,Fish!$D:$I,4,FALSE)</f>
        <v>75</v>
      </c>
      <c r="K8" s="95">
        <v>100000</v>
      </c>
    </row>
    <row r="9" spans="1:11" ht="21.95" customHeight="1">
      <c r="A9" s="95" t="s">
        <v>302</v>
      </c>
      <c r="B9" s="95">
        <v>73206</v>
      </c>
      <c r="C9" s="95">
        <v>13760</v>
      </c>
      <c r="D9" s="95">
        <f>VLOOKUP(B9,Fish!$D:$I,6,FALSE)-VLOOKUP(B9,Fish!$D:$I,4,FALSE)</f>
        <v>95</v>
      </c>
      <c r="E9" s="95">
        <v>200000</v>
      </c>
      <c r="G9" s="95" t="s">
        <v>302</v>
      </c>
      <c r="H9" s="95">
        <v>73206</v>
      </c>
      <c r="I9" s="95">
        <v>14114</v>
      </c>
      <c r="J9" s="95">
        <f>VLOOKUP(H9,Fish!$D:$I,6,FALSE)-VLOOKUP(H9,Fish!$D:$I,4,FALSE)</f>
        <v>95</v>
      </c>
      <c r="K9" s="95">
        <v>200000</v>
      </c>
    </row>
    <row r="10" spans="1:11" ht="21.95" customHeight="1">
      <c r="A10" s="95" t="s">
        <v>304</v>
      </c>
      <c r="B10" s="95">
        <v>74207</v>
      </c>
      <c r="C10" s="95">
        <v>13761</v>
      </c>
      <c r="D10" s="95">
        <f>VLOOKUP(B10,Fish!$D:$I,6,FALSE)-VLOOKUP(B10,Fish!$D:$I,4,FALSE)</f>
        <v>608</v>
      </c>
      <c r="E10" s="95">
        <v>10000</v>
      </c>
      <c r="G10" s="95" t="s">
        <v>304</v>
      </c>
      <c r="H10" s="95">
        <v>74207</v>
      </c>
      <c r="I10" s="95">
        <v>14115</v>
      </c>
      <c r="J10" s="95">
        <f>VLOOKUP(H10,Fish!$D:$I,6,FALSE)-VLOOKUP(H10,Fish!$D:$I,4,FALSE)</f>
        <v>608</v>
      </c>
      <c r="K10" s="95">
        <v>10000</v>
      </c>
    </row>
    <row r="11" spans="1:11" ht="21.95" customHeight="1">
      <c r="A11" s="95" t="s">
        <v>307</v>
      </c>
      <c r="B11" s="95">
        <v>74215</v>
      </c>
      <c r="C11" s="95">
        <v>13761</v>
      </c>
      <c r="D11" s="95">
        <f>VLOOKUP(B11,Fish!$D:$I,6,FALSE)-VLOOKUP(B11,Fish!$D:$I,4,FALSE)</f>
        <v>80</v>
      </c>
      <c r="E11" s="95">
        <v>10000</v>
      </c>
      <c r="G11" s="95" t="s">
        <v>307</v>
      </c>
      <c r="H11" s="95">
        <v>74215</v>
      </c>
      <c r="I11" s="95">
        <v>14115</v>
      </c>
      <c r="J11" s="95">
        <f>VLOOKUP(H11,Fish!$D:$I,6,FALSE)-VLOOKUP(H11,Fish!$D:$I,4,FALSE)</f>
        <v>80</v>
      </c>
      <c r="K11" s="95">
        <v>10000</v>
      </c>
    </row>
    <row r="12" spans="1:11" ht="21.95" customHeight="1">
      <c r="A12" s="95" t="s">
        <v>310</v>
      </c>
      <c r="B12" s="95">
        <v>75208</v>
      </c>
      <c r="C12" s="95">
        <v>13762</v>
      </c>
      <c r="D12" s="95">
        <f>VLOOKUP(B12,Fish!$D:$I,6,FALSE)-VLOOKUP(B12,Fish!$D:$I,4,FALSE)</f>
        <v>100</v>
      </c>
      <c r="E12" s="95">
        <v>500000</v>
      </c>
      <c r="G12" s="95" t="s">
        <v>310</v>
      </c>
      <c r="H12" s="95">
        <v>75208</v>
      </c>
      <c r="I12" s="95">
        <v>14116</v>
      </c>
      <c r="J12" s="95">
        <f>VLOOKUP(H12,Fish!$D:$I,6,FALSE)-VLOOKUP(H12,Fish!$D:$I,4,FALSE)</f>
        <v>100</v>
      </c>
      <c r="K12" s="95">
        <v>500000</v>
      </c>
    </row>
    <row r="13" spans="1:11" ht="21.95" customHeight="1">
      <c r="A13" s="95" t="s">
        <v>818</v>
      </c>
      <c r="B13" s="95">
        <v>75216</v>
      </c>
      <c r="C13" s="95">
        <v>13762</v>
      </c>
      <c r="D13" s="95">
        <f>VLOOKUP(B13,Fish!$D:$I,6,FALSE)-VLOOKUP(B13,Fish!$D:$I,4,FALSE)</f>
        <v>720</v>
      </c>
      <c r="E13" s="95">
        <v>500000</v>
      </c>
      <c r="G13" s="95" t="s">
        <v>818</v>
      </c>
      <c r="H13" s="95">
        <v>75216</v>
      </c>
      <c r="I13" s="95">
        <v>14116</v>
      </c>
      <c r="J13" s="95">
        <f>VLOOKUP(H13,Fish!$D:$I,6,FALSE)-VLOOKUP(H13,Fish!$D:$I,4,FALSE)</f>
        <v>720</v>
      </c>
      <c r="K13" s="95">
        <v>500000</v>
      </c>
    </row>
    <row r="14" spans="1:11" ht="21.95" customHeight="1">
      <c r="A14" s="95" t="s">
        <v>314</v>
      </c>
      <c r="B14" s="95">
        <v>75209</v>
      </c>
      <c r="C14" s="95">
        <v>13762</v>
      </c>
      <c r="D14" s="95">
        <f>VLOOKUP(B14,Fish!$D:$I,6,FALSE)-VLOOKUP(B14,Fish!$D:$I,4,FALSE)</f>
        <v>60</v>
      </c>
      <c r="E14" s="95">
        <v>500000</v>
      </c>
      <c r="G14" s="95" t="s">
        <v>314</v>
      </c>
      <c r="H14" s="95">
        <v>75209</v>
      </c>
      <c r="I14" s="95">
        <v>13762</v>
      </c>
      <c r="J14" s="95">
        <f>VLOOKUP(H14,Fish!$D:$I,6,FALSE)-VLOOKUP(H14,Fish!$D:$I,4,FALSE)</f>
        <v>60</v>
      </c>
      <c r="K14" s="95">
        <v>500000</v>
      </c>
    </row>
    <row r="15" spans="1:11" ht="21.95" customHeight="1">
      <c r="A15" s="95" t="s">
        <v>316</v>
      </c>
      <c r="B15" s="95">
        <v>75210</v>
      </c>
      <c r="C15" s="95">
        <v>13762</v>
      </c>
      <c r="D15" s="95">
        <f>VLOOKUP(B15,Fish!$D:$I,6,FALSE)-VLOOKUP(B15,Fish!$D:$I,4,FALSE)</f>
        <v>150</v>
      </c>
      <c r="E15" s="95">
        <v>500000</v>
      </c>
      <c r="G15" s="95" t="s">
        <v>316</v>
      </c>
      <c r="H15" s="95">
        <v>75210</v>
      </c>
      <c r="I15" s="95">
        <v>13762</v>
      </c>
      <c r="J15" s="95">
        <f>VLOOKUP(H15,Fish!$D:$I,6,FALSE)-VLOOKUP(H15,Fish!$D:$I,4,FALSE)</f>
        <v>150</v>
      </c>
      <c r="K15" s="95">
        <v>500000</v>
      </c>
    </row>
    <row r="16" spans="1:11" ht="21.95" customHeight="1">
      <c r="A16" s="95" t="s">
        <v>60</v>
      </c>
      <c r="B16" s="95">
        <v>74002</v>
      </c>
      <c r="C16" s="95">
        <v>13761</v>
      </c>
      <c r="D16" s="95">
        <f>VLOOKUP(B16,Fish!$D:$I,6,FALSE)-VLOOKUP(B16,Fish!$D:$I,4,FALSE)</f>
        <v>2</v>
      </c>
      <c r="E16" s="95">
        <v>10000</v>
      </c>
      <c r="G16" s="95" t="s">
        <v>60</v>
      </c>
      <c r="H16" s="95">
        <v>74002</v>
      </c>
      <c r="I16" s="95">
        <v>13761</v>
      </c>
      <c r="J16" s="95">
        <f>VLOOKUP(H16,Fish!$D:$I,6,FALSE)-VLOOKUP(H16,Fish!$D:$I,4,FALSE)</f>
        <v>2</v>
      </c>
      <c r="K16" s="95">
        <v>10000</v>
      </c>
    </row>
    <row r="17" spans="1:11" ht="21.95" customHeight="1">
      <c r="A17" s="95" t="s">
        <v>62</v>
      </c>
      <c r="B17" s="95">
        <v>74003</v>
      </c>
      <c r="C17" s="95">
        <v>13761</v>
      </c>
      <c r="D17" s="95">
        <f>VLOOKUP(B17,Fish!$D:$I,6,FALSE)-VLOOKUP(B17,Fish!$D:$I,4,FALSE)</f>
        <v>3</v>
      </c>
      <c r="E17" s="95">
        <v>10000</v>
      </c>
      <c r="G17" s="95" t="s">
        <v>62</v>
      </c>
      <c r="H17" s="95">
        <v>74003</v>
      </c>
      <c r="I17" s="95">
        <v>13761</v>
      </c>
      <c r="J17" s="95">
        <f>VLOOKUP(H17,Fish!$D:$I,6,FALSE)-VLOOKUP(H17,Fish!$D:$I,4,FALSE)</f>
        <v>3</v>
      </c>
      <c r="K17" s="95">
        <v>10000</v>
      </c>
    </row>
    <row r="18" spans="1:11" ht="21.95" customHeight="1">
      <c r="A18" s="95" t="s">
        <v>64</v>
      </c>
      <c r="B18" s="95">
        <v>74004</v>
      </c>
      <c r="C18" s="95">
        <v>13761</v>
      </c>
      <c r="D18" s="95">
        <f>VLOOKUP(B18,Fish!$D:$I,6,FALSE)-VLOOKUP(B18,Fish!$D:$I,4,FALSE)</f>
        <v>4</v>
      </c>
      <c r="E18" s="95">
        <v>10000</v>
      </c>
      <c r="G18" s="95" t="s">
        <v>64</v>
      </c>
      <c r="H18" s="95">
        <v>74004</v>
      </c>
      <c r="I18" s="95">
        <v>13761</v>
      </c>
      <c r="J18" s="95">
        <f>VLOOKUP(H18,Fish!$D:$I,6,FALSE)-VLOOKUP(H18,Fish!$D:$I,4,FALSE)</f>
        <v>4</v>
      </c>
      <c r="K18" s="95">
        <v>10000</v>
      </c>
    </row>
    <row r="19" spans="1:11" ht="21.95" customHeight="1">
      <c r="A19" s="95" t="s">
        <v>68</v>
      </c>
      <c r="B19" s="95">
        <v>74006</v>
      </c>
      <c r="C19" s="95">
        <v>13761</v>
      </c>
      <c r="D19" s="95">
        <f>VLOOKUP(B19,Fish!$D:$I,6,FALSE)-VLOOKUP(B19,Fish!$D:$I,4,FALSE)</f>
        <v>3</v>
      </c>
      <c r="E19" s="95">
        <v>10000</v>
      </c>
      <c r="G19" s="95" t="s">
        <v>68</v>
      </c>
      <c r="H19" s="95">
        <v>74006</v>
      </c>
      <c r="I19" s="95">
        <v>13761</v>
      </c>
      <c r="J19" s="95">
        <f>VLOOKUP(H19,Fish!$D:$I,6,FALSE)-VLOOKUP(H19,Fish!$D:$I,4,FALSE)</f>
        <v>3</v>
      </c>
      <c r="K19" s="95">
        <v>10000</v>
      </c>
    </row>
    <row r="20" spans="1:11" ht="21.95" customHeight="1">
      <c r="A20" s="95" t="s">
        <v>70</v>
      </c>
      <c r="B20" s="95">
        <v>74007</v>
      </c>
      <c r="C20" s="95">
        <v>13761</v>
      </c>
      <c r="D20" s="95">
        <f>VLOOKUP(B20,Fish!$D:$I,6,FALSE)-VLOOKUP(B20,Fish!$D:$I,4,FALSE)</f>
        <v>4</v>
      </c>
      <c r="E20" s="95">
        <v>10000</v>
      </c>
      <c r="G20" s="95" t="s">
        <v>70</v>
      </c>
      <c r="H20" s="95">
        <v>74007</v>
      </c>
      <c r="I20" s="95">
        <v>13761</v>
      </c>
      <c r="J20" s="95">
        <f>VLOOKUP(H20,Fish!$D:$I,6,FALSE)-VLOOKUP(H20,Fish!$D:$I,4,FALSE)</f>
        <v>4</v>
      </c>
      <c r="K20" s="95">
        <v>10000</v>
      </c>
    </row>
    <row r="21" spans="1:11" ht="21.95" customHeight="1">
      <c r="A21" s="95" t="s">
        <v>72</v>
      </c>
      <c r="B21" s="95">
        <v>74008</v>
      </c>
      <c r="C21" s="95">
        <v>13761</v>
      </c>
      <c r="D21" s="95">
        <f>VLOOKUP(B21,Fish!$D:$I,6,FALSE)-VLOOKUP(B21,Fish!$D:$I,4,FALSE)</f>
        <v>5</v>
      </c>
      <c r="E21" s="95">
        <v>10000</v>
      </c>
      <c r="G21" s="95" t="s">
        <v>72</v>
      </c>
      <c r="H21" s="95">
        <v>74008</v>
      </c>
      <c r="I21" s="95">
        <v>13761</v>
      </c>
      <c r="J21" s="95">
        <f>VLOOKUP(H21,Fish!$D:$I,6,FALSE)-VLOOKUP(H21,Fish!$D:$I,4,FALSE)</f>
        <v>5</v>
      </c>
      <c r="K21" s="95">
        <v>10000</v>
      </c>
    </row>
    <row r="22" spans="1:11" ht="21.95" customHeight="1">
      <c r="A22" s="95" t="s">
        <v>74</v>
      </c>
      <c r="B22" s="95">
        <v>74009</v>
      </c>
      <c r="C22" s="95">
        <v>13761</v>
      </c>
      <c r="D22" s="95">
        <f>VLOOKUP(B22,Fish!$D:$I,6,FALSE)-VLOOKUP(B22,Fish!$D:$I,4,FALSE)</f>
        <v>6</v>
      </c>
      <c r="E22" s="95">
        <v>10000</v>
      </c>
      <c r="G22" s="95" t="s">
        <v>74</v>
      </c>
      <c r="H22" s="95">
        <v>74009</v>
      </c>
      <c r="I22" s="95">
        <v>13761</v>
      </c>
      <c r="J22" s="95">
        <f>VLOOKUP(H22,Fish!$D:$I,6,FALSE)-VLOOKUP(H22,Fish!$D:$I,4,FALSE)</f>
        <v>6</v>
      </c>
      <c r="K22" s="95">
        <v>10000</v>
      </c>
    </row>
    <row r="23" spans="1:11" ht="21.95" customHeight="1">
      <c r="A23" s="37" t="s">
        <v>92</v>
      </c>
      <c r="B23" s="37">
        <v>74017</v>
      </c>
      <c r="C23" s="95">
        <v>13761</v>
      </c>
      <c r="D23" s="95">
        <f>VLOOKUP(B23,Fish!$D:$I,6,FALSE)-VLOOKUP(B23,Fish!$D:$I,4,FALSE)</f>
        <v>9</v>
      </c>
      <c r="E23" s="95">
        <v>10000</v>
      </c>
      <c r="G23" s="37" t="s">
        <v>92</v>
      </c>
      <c r="H23" s="37">
        <v>74017</v>
      </c>
      <c r="I23" s="95">
        <v>13761</v>
      </c>
      <c r="J23" s="95">
        <f>VLOOKUP(H23,Fish!$D:$I,6,FALSE)-VLOOKUP(H23,Fish!$D:$I,4,FALSE)</f>
        <v>9</v>
      </c>
      <c r="K23" s="95">
        <v>10000</v>
      </c>
    </row>
    <row r="24" spans="1:11" ht="21.95" customHeight="1">
      <c r="A24" s="37" t="s">
        <v>94</v>
      </c>
      <c r="B24" s="37">
        <v>74020</v>
      </c>
      <c r="C24" s="95">
        <v>13761</v>
      </c>
      <c r="D24" s="95">
        <f>VLOOKUP(B24,Fish!$D:$I,6,FALSE)-VLOOKUP(B24,Fish!$D:$I,4,FALSE)</f>
        <v>16</v>
      </c>
      <c r="E24" s="95">
        <v>10000</v>
      </c>
      <c r="G24" s="37" t="s">
        <v>94</v>
      </c>
      <c r="H24" s="37">
        <v>74020</v>
      </c>
      <c r="I24" s="95">
        <v>13761</v>
      </c>
      <c r="J24" s="95">
        <f>VLOOKUP(H24,Fish!$D:$I,6,FALSE)-VLOOKUP(H24,Fish!$D:$I,4,FALSE)</f>
        <v>16</v>
      </c>
      <c r="K24" s="95">
        <v>10000</v>
      </c>
    </row>
    <row r="25" spans="1:11" ht="21.95" customHeight="1">
      <c r="A25" s="37" t="s">
        <v>100</v>
      </c>
      <c r="B25" s="37">
        <v>74025</v>
      </c>
      <c r="C25" s="95">
        <v>13761</v>
      </c>
      <c r="D25" s="95">
        <f>VLOOKUP(B25,Fish!$D:$I,6,FALSE)-VLOOKUP(B25,Fish!$D:$I,4,FALSE)</f>
        <v>40</v>
      </c>
      <c r="E25" s="95">
        <v>10000</v>
      </c>
      <c r="G25" s="37" t="s">
        <v>100</v>
      </c>
      <c r="H25" s="37">
        <v>74025</v>
      </c>
      <c r="I25" s="95">
        <v>13761</v>
      </c>
      <c r="J25" s="95">
        <f>VLOOKUP(H25,Fish!$D:$I,6,FALSE)-VLOOKUP(H25,Fish!$D:$I,4,FALSE)</f>
        <v>40</v>
      </c>
      <c r="K25" s="95">
        <v>10000</v>
      </c>
    </row>
  </sheetData>
  <phoneticPr fontId="42" type="noConversion"/>
  <pageMargins left="0.75" right="0.75" top="1" bottom="1" header="0.51180555555555596" footer="0.51180555555555596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A10"/>
  <sheetViews>
    <sheetView workbookViewId="0">
      <pane xSplit="3" topLeftCell="T1" activePane="topRight" state="frozen"/>
      <selection pane="topRight" activeCell="Q28" sqref="Q28"/>
    </sheetView>
  </sheetViews>
  <sheetFormatPr defaultColWidth="11.09765625" defaultRowHeight="15"/>
  <cols>
    <col min="1" max="1" width="24.09765625" customWidth="1"/>
    <col min="3" max="3" width="14.09765625" customWidth="1"/>
    <col min="4" max="5" width="13.3984375" customWidth="1"/>
    <col min="6" max="6" width="19.8984375" customWidth="1"/>
    <col min="7" max="7" width="13.3984375" customWidth="1"/>
    <col min="8" max="8" width="19.8984375" customWidth="1"/>
    <col min="11" max="11" width="13.59765625" customWidth="1"/>
    <col min="12" max="13" width="12.09765625" customWidth="1"/>
    <col min="14" max="15" width="33.09765625" customWidth="1"/>
    <col min="16" max="16" width="10.8984375" customWidth="1"/>
    <col min="17" max="21" width="31.69921875" customWidth="1"/>
  </cols>
  <sheetData>
    <row r="1" spans="1:27" ht="23.1" customHeight="1">
      <c r="A1" s="78" t="s">
        <v>819</v>
      </c>
      <c r="B1" s="79" t="s">
        <v>820</v>
      </c>
      <c r="C1" s="79" t="s">
        <v>821</v>
      </c>
      <c r="D1" s="79" t="s">
        <v>822</v>
      </c>
      <c r="E1" s="79" t="s">
        <v>823</v>
      </c>
      <c r="F1" s="79" t="s">
        <v>824</v>
      </c>
      <c r="G1" s="79" t="s">
        <v>825</v>
      </c>
      <c r="H1" s="79" t="s">
        <v>826</v>
      </c>
      <c r="I1" s="79" t="s">
        <v>827</v>
      </c>
      <c r="J1" s="79" t="s">
        <v>828</v>
      </c>
      <c r="K1" s="83" t="s">
        <v>829</v>
      </c>
      <c r="L1" s="79" t="s">
        <v>830</v>
      </c>
      <c r="M1" s="77" t="s">
        <v>831</v>
      </c>
      <c r="N1" s="77" t="s">
        <v>832</v>
      </c>
      <c r="O1" s="77" t="s">
        <v>833</v>
      </c>
      <c r="P1" s="79" t="s">
        <v>834</v>
      </c>
      <c r="Q1" s="79" t="s">
        <v>835</v>
      </c>
      <c r="R1" s="87" t="s">
        <v>836</v>
      </c>
      <c r="S1" s="87" t="s">
        <v>837</v>
      </c>
      <c r="T1" s="79"/>
      <c r="U1" s="79" t="s">
        <v>838</v>
      </c>
      <c r="V1" s="79" t="s">
        <v>839</v>
      </c>
      <c r="W1" s="79" t="s">
        <v>831</v>
      </c>
      <c r="X1" s="79" t="s">
        <v>839</v>
      </c>
      <c r="Y1" s="79" t="s">
        <v>831</v>
      </c>
      <c r="Z1" s="79" t="s">
        <v>839</v>
      </c>
      <c r="AA1" s="79" t="s">
        <v>831</v>
      </c>
    </row>
    <row r="2" spans="1:27" ht="23.1" customHeight="1">
      <c r="A2" s="80" t="s">
        <v>40</v>
      </c>
      <c r="B2" s="77" t="s">
        <v>39</v>
      </c>
      <c r="C2" s="77" t="s">
        <v>39</v>
      </c>
      <c r="D2" s="77" t="s">
        <v>39</v>
      </c>
      <c r="E2" s="77" t="s">
        <v>39</v>
      </c>
      <c r="F2" s="77" t="s">
        <v>39</v>
      </c>
      <c r="G2" s="77" t="s">
        <v>39</v>
      </c>
      <c r="H2" s="77" t="s">
        <v>39</v>
      </c>
      <c r="I2" s="77" t="s">
        <v>39</v>
      </c>
      <c r="J2" s="77" t="s">
        <v>39</v>
      </c>
      <c r="K2" s="84" t="s">
        <v>41</v>
      </c>
      <c r="L2" s="77" t="s">
        <v>39</v>
      </c>
      <c r="M2" s="77" t="s">
        <v>39</v>
      </c>
      <c r="N2" s="77" t="s">
        <v>40</v>
      </c>
      <c r="O2" s="77" t="s">
        <v>40</v>
      </c>
      <c r="P2" s="77" t="s">
        <v>39</v>
      </c>
      <c r="Q2" s="79" t="s">
        <v>840</v>
      </c>
      <c r="R2" s="88" t="s">
        <v>39</v>
      </c>
      <c r="S2" s="88" t="s">
        <v>39</v>
      </c>
      <c r="T2" s="79" t="s">
        <v>39</v>
      </c>
      <c r="U2" s="79" t="s">
        <v>39</v>
      </c>
      <c r="V2" s="79" t="s">
        <v>41</v>
      </c>
      <c r="W2" s="79" t="s">
        <v>41</v>
      </c>
      <c r="X2" s="79" t="s">
        <v>41</v>
      </c>
      <c r="Y2" s="79" t="s">
        <v>41</v>
      </c>
      <c r="Z2" s="79" t="s">
        <v>41</v>
      </c>
      <c r="AA2" s="79" t="s">
        <v>41</v>
      </c>
    </row>
    <row r="3" spans="1:27" ht="23.1" customHeight="1">
      <c r="A3" s="80" t="s">
        <v>841</v>
      </c>
      <c r="B3" s="77" t="s">
        <v>842</v>
      </c>
      <c r="C3" s="77" t="s">
        <v>843</v>
      </c>
      <c r="D3" s="77" t="s">
        <v>844</v>
      </c>
      <c r="E3" s="77" t="s">
        <v>845</v>
      </c>
      <c r="F3" s="82" t="s">
        <v>846</v>
      </c>
      <c r="G3" s="82" t="s">
        <v>847</v>
      </c>
      <c r="H3" s="82" t="s">
        <v>846</v>
      </c>
      <c r="I3" s="85" t="s">
        <v>848</v>
      </c>
      <c r="J3" s="85" t="s">
        <v>849</v>
      </c>
      <c r="K3" s="84" t="s">
        <v>850</v>
      </c>
      <c r="L3" s="77" t="s">
        <v>851</v>
      </c>
      <c r="M3" s="77" t="s">
        <v>852</v>
      </c>
      <c r="N3" s="77" t="s">
        <v>53</v>
      </c>
      <c r="O3" s="77" t="s">
        <v>53</v>
      </c>
      <c r="P3" s="77" t="s">
        <v>853</v>
      </c>
      <c r="Q3" s="79" t="s">
        <v>854</v>
      </c>
      <c r="R3" s="50" t="s">
        <v>855</v>
      </c>
      <c r="S3" s="50" t="s">
        <v>856</v>
      </c>
      <c r="T3" s="87" t="s">
        <v>857</v>
      </c>
      <c r="U3" s="87" t="s">
        <v>858</v>
      </c>
      <c r="V3" s="79" t="s">
        <v>859</v>
      </c>
      <c r="W3" s="79" t="s">
        <v>860</v>
      </c>
      <c r="X3" s="79" t="s">
        <v>859</v>
      </c>
      <c r="Y3" s="79" t="s">
        <v>860</v>
      </c>
      <c r="Z3" s="79" t="s">
        <v>859</v>
      </c>
      <c r="AA3" s="79" t="s">
        <v>860</v>
      </c>
    </row>
    <row r="4" spans="1:27" ht="23.1" customHeight="1">
      <c r="A4" s="80" t="s">
        <v>861</v>
      </c>
      <c r="B4" s="77">
        <v>0</v>
      </c>
      <c r="C4" s="77">
        <v>1</v>
      </c>
      <c r="D4" s="77">
        <v>1</v>
      </c>
      <c r="E4" s="77">
        <v>3</v>
      </c>
      <c r="F4" s="77">
        <v>1</v>
      </c>
      <c r="G4" s="77">
        <v>3</v>
      </c>
      <c r="H4" s="77">
        <v>1</v>
      </c>
      <c r="I4" s="77">
        <v>0</v>
      </c>
      <c r="J4" s="77">
        <v>0</v>
      </c>
      <c r="K4" s="77">
        <v>0</v>
      </c>
      <c r="L4" s="77">
        <v>0</v>
      </c>
      <c r="M4" s="77">
        <v>0</v>
      </c>
      <c r="N4" s="77"/>
      <c r="O4" s="77"/>
      <c r="P4" s="77">
        <v>0</v>
      </c>
      <c r="Q4" s="79" t="s">
        <v>862</v>
      </c>
      <c r="R4" s="50">
        <v>0</v>
      </c>
      <c r="S4" s="88">
        <v>0</v>
      </c>
      <c r="T4" s="88">
        <v>0</v>
      </c>
      <c r="U4" s="88">
        <v>0</v>
      </c>
      <c r="V4" s="89">
        <v>1</v>
      </c>
      <c r="W4" s="89">
        <v>0.7</v>
      </c>
      <c r="X4" s="89">
        <v>2.4</v>
      </c>
      <c r="Y4" s="89">
        <v>0.1</v>
      </c>
      <c r="Z4" s="89">
        <v>0</v>
      </c>
      <c r="AA4" s="89">
        <v>0.2</v>
      </c>
    </row>
    <row r="5" spans="1:27" ht="23.1" customHeight="1">
      <c r="A5" s="80" t="s">
        <v>863</v>
      </c>
      <c r="B5" s="77">
        <v>1288</v>
      </c>
      <c r="C5" s="77">
        <v>1</v>
      </c>
      <c r="D5" s="77">
        <v>1</v>
      </c>
      <c r="E5" s="77">
        <v>3</v>
      </c>
      <c r="F5" s="77">
        <v>5</v>
      </c>
      <c r="G5" s="77">
        <v>3</v>
      </c>
      <c r="H5" s="77">
        <v>10</v>
      </c>
      <c r="I5" s="77">
        <v>0</v>
      </c>
      <c r="J5" s="77">
        <v>0</v>
      </c>
      <c r="K5" s="77">
        <v>0.2</v>
      </c>
      <c r="L5" s="77">
        <v>1</v>
      </c>
      <c r="M5" s="77">
        <v>10000</v>
      </c>
      <c r="N5" s="77" t="s">
        <v>864</v>
      </c>
      <c r="O5" s="77" t="s">
        <v>865</v>
      </c>
      <c r="P5" s="77">
        <v>20000</v>
      </c>
      <c r="Q5" s="79" t="s">
        <v>866</v>
      </c>
      <c r="R5" s="50">
        <v>0</v>
      </c>
      <c r="S5" s="50">
        <v>0</v>
      </c>
      <c r="T5" s="88">
        <v>0</v>
      </c>
      <c r="U5" s="50">
        <v>0</v>
      </c>
      <c r="V5" s="89">
        <v>0.95</v>
      </c>
      <c r="W5" s="89">
        <v>0.7</v>
      </c>
      <c r="X5" s="89">
        <v>2.8</v>
      </c>
      <c r="Y5" s="89">
        <v>0.1</v>
      </c>
      <c r="Z5" s="89">
        <v>0</v>
      </c>
      <c r="AA5" s="89">
        <v>0.2</v>
      </c>
    </row>
    <row r="6" spans="1:27" ht="23.1" customHeight="1">
      <c r="A6" s="81" t="s">
        <v>867</v>
      </c>
      <c r="B6" s="77">
        <v>1165</v>
      </c>
      <c r="C6" s="77">
        <v>1</v>
      </c>
      <c r="D6" s="77">
        <v>1</v>
      </c>
      <c r="E6" s="77">
        <v>3</v>
      </c>
      <c r="F6" s="77">
        <v>10</v>
      </c>
      <c r="G6" s="77">
        <v>3</v>
      </c>
      <c r="H6" s="77">
        <v>50</v>
      </c>
      <c r="I6" s="77">
        <v>0</v>
      </c>
      <c r="J6" s="77">
        <v>0</v>
      </c>
      <c r="K6" s="77">
        <v>0.2</v>
      </c>
      <c r="L6" s="77">
        <v>1</v>
      </c>
      <c r="M6" s="77">
        <v>10000</v>
      </c>
      <c r="N6" s="77" t="s">
        <v>864</v>
      </c>
      <c r="O6" s="77" t="s">
        <v>865</v>
      </c>
      <c r="P6" s="77">
        <v>40000</v>
      </c>
      <c r="Q6" s="79" t="s">
        <v>868</v>
      </c>
      <c r="R6" s="50">
        <v>0</v>
      </c>
      <c r="S6" s="50">
        <v>0</v>
      </c>
      <c r="T6" s="50">
        <v>0</v>
      </c>
      <c r="U6" s="50">
        <v>0</v>
      </c>
      <c r="V6" s="90">
        <v>0.95</v>
      </c>
      <c r="W6" s="90">
        <v>0.7</v>
      </c>
      <c r="X6" s="90">
        <v>2.8</v>
      </c>
      <c r="Y6" s="90">
        <v>0.1</v>
      </c>
      <c r="Z6" s="90">
        <v>0</v>
      </c>
      <c r="AA6" s="90">
        <v>0.2</v>
      </c>
    </row>
    <row r="7" spans="1:27" ht="23.1" customHeight="1">
      <c r="A7" s="81" t="s">
        <v>869</v>
      </c>
      <c r="B7" s="77">
        <v>1166</v>
      </c>
      <c r="C7" s="77">
        <v>1</v>
      </c>
      <c r="D7" s="77">
        <v>1</v>
      </c>
      <c r="E7" s="77">
        <v>3</v>
      </c>
      <c r="F7" s="77">
        <v>20</v>
      </c>
      <c r="G7" s="77">
        <v>3</v>
      </c>
      <c r="H7" s="77">
        <v>50</v>
      </c>
      <c r="I7" s="77">
        <v>0</v>
      </c>
      <c r="J7" s="77">
        <v>0</v>
      </c>
      <c r="K7" s="77">
        <v>1.5</v>
      </c>
      <c r="L7" s="86">
        <v>2</v>
      </c>
      <c r="M7" s="86">
        <v>200</v>
      </c>
      <c r="N7" s="77" t="s">
        <v>864</v>
      </c>
      <c r="O7" s="77" t="s">
        <v>865</v>
      </c>
      <c r="P7" s="77">
        <v>250000</v>
      </c>
      <c r="Q7" s="79" t="s">
        <v>870</v>
      </c>
      <c r="R7" s="50">
        <v>1200</v>
      </c>
      <c r="S7" s="88">
        <v>200</v>
      </c>
      <c r="T7" s="50">
        <v>6</v>
      </c>
      <c r="U7" s="50">
        <v>2</v>
      </c>
      <c r="V7" s="91">
        <v>1</v>
      </c>
      <c r="W7" s="91">
        <v>0.7</v>
      </c>
      <c r="X7" s="91">
        <v>2</v>
      </c>
      <c r="Y7" s="91">
        <v>0.1</v>
      </c>
      <c r="Z7" s="91">
        <v>0.2</v>
      </c>
      <c r="AA7" s="91">
        <v>0.2</v>
      </c>
    </row>
    <row r="8" spans="1:27" ht="23.1" customHeight="1">
      <c r="A8" s="81" t="s">
        <v>871</v>
      </c>
      <c r="B8" s="77">
        <v>1167</v>
      </c>
      <c r="C8" s="77">
        <v>1</v>
      </c>
      <c r="D8" s="77">
        <v>1</v>
      </c>
      <c r="E8" s="77">
        <v>3</v>
      </c>
      <c r="F8" s="77">
        <v>30</v>
      </c>
      <c r="G8" s="77">
        <v>3</v>
      </c>
      <c r="H8" s="77">
        <v>50</v>
      </c>
      <c r="I8" s="77">
        <v>0</v>
      </c>
      <c r="J8" s="77">
        <v>0</v>
      </c>
      <c r="K8" s="77">
        <v>2</v>
      </c>
      <c r="L8" s="86">
        <v>2</v>
      </c>
      <c r="M8" s="86">
        <v>200</v>
      </c>
      <c r="N8" s="77" t="s">
        <v>864</v>
      </c>
      <c r="O8" s="77" t="s">
        <v>865</v>
      </c>
      <c r="P8" s="77">
        <v>500000</v>
      </c>
      <c r="Q8" s="79" t="s">
        <v>872</v>
      </c>
      <c r="R8" s="50">
        <v>1200</v>
      </c>
      <c r="S8" s="88">
        <v>180</v>
      </c>
      <c r="T8" s="88">
        <v>6</v>
      </c>
      <c r="U8" s="88">
        <v>2</v>
      </c>
      <c r="V8" s="92">
        <v>0.96</v>
      </c>
      <c r="W8" s="92">
        <v>0.7</v>
      </c>
      <c r="X8" s="92">
        <v>2.2000000000000002</v>
      </c>
      <c r="Y8" s="92">
        <v>0.1</v>
      </c>
      <c r="Z8" s="92">
        <v>0.2</v>
      </c>
      <c r="AA8" s="92">
        <v>0.2</v>
      </c>
    </row>
    <row r="9" spans="1:27" ht="23.1" customHeight="1">
      <c r="A9" s="80" t="s">
        <v>873</v>
      </c>
      <c r="B9" s="77">
        <v>1289</v>
      </c>
      <c r="C9" s="77">
        <v>1</v>
      </c>
      <c r="D9" s="77">
        <v>2</v>
      </c>
      <c r="E9" s="77">
        <v>3</v>
      </c>
      <c r="F9" s="77">
        <v>40</v>
      </c>
      <c r="G9" s="77">
        <v>3</v>
      </c>
      <c r="H9" s="77">
        <v>50</v>
      </c>
      <c r="I9" s="77">
        <v>0</v>
      </c>
      <c r="J9" s="77">
        <v>0</v>
      </c>
      <c r="K9" s="77">
        <v>2.2000000000000002</v>
      </c>
      <c r="L9" s="86">
        <v>2</v>
      </c>
      <c r="M9" s="86">
        <v>200</v>
      </c>
      <c r="N9" s="77" t="s">
        <v>864</v>
      </c>
      <c r="O9" s="77" t="s">
        <v>865</v>
      </c>
      <c r="P9" s="86">
        <v>666666</v>
      </c>
      <c r="Q9" s="79" t="s">
        <v>874</v>
      </c>
      <c r="R9" s="50">
        <v>1200</v>
      </c>
      <c r="S9" s="50">
        <v>200</v>
      </c>
      <c r="T9" s="50">
        <v>6</v>
      </c>
      <c r="U9" s="50">
        <v>2</v>
      </c>
      <c r="V9" s="93">
        <v>0.96</v>
      </c>
      <c r="W9" s="93">
        <v>0.7</v>
      </c>
      <c r="X9" s="93">
        <v>2</v>
      </c>
      <c r="Y9" s="93">
        <v>0.1</v>
      </c>
      <c r="Z9" s="93">
        <v>0.25</v>
      </c>
      <c r="AA9" s="93">
        <v>0.2</v>
      </c>
    </row>
    <row r="10" spans="1:27" ht="23.1" customHeight="1">
      <c r="A10" s="81" t="s">
        <v>875</v>
      </c>
      <c r="B10" s="77">
        <v>1290</v>
      </c>
      <c r="C10" s="77">
        <v>1</v>
      </c>
      <c r="D10" s="77">
        <v>2</v>
      </c>
      <c r="E10" s="77">
        <v>3</v>
      </c>
      <c r="F10" s="77">
        <v>50</v>
      </c>
      <c r="G10" s="77">
        <v>3</v>
      </c>
      <c r="H10" s="77">
        <v>50</v>
      </c>
      <c r="I10" s="77">
        <v>0</v>
      </c>
      <c r="J10" s="77">
        <v>0</v>
      </c>
      <c r="K10" s="77">
        <v>2.4</v>
      </c>
      <c r="L10" s="86">
        <v>2</v>
      </c>
      <c r="M10" s="86">
        <v>200</v>
      </c>
      <c r="N10" s="77" t="s">
        <v>864</v>
      </c>
      <c r="O10" s="77" t="s">
        <v>865</v>
      </c>
      <c r="P10" s="86">
        <v>666666</v>
      </c>
      <c r="Q10" s="79" t="s">
        <v>876</v>
      </c>
      <c r="R10" s="50">
        <v>1200</v>
      </c>
      <c r="S10" s="50">
        <v>180</v>
      </c>
      <c r="T10" s="50">
        <v>6</v>
      </c>
      <c r="U10" s="50">
        <v>2</v>
      </c>
      <c r="V10" s="94">
        <v>0.96</v>
      </c>
      <c r="W10" s="94">
        <v>0.72</v>
      </c>
      <c r="X10" s="94">
        <v>2.4</v>
      </c>
      <c r="Y10" s="94">
        <v>0.08</v>
      </c>
      <c r="Z10" s="94">
        <v>0.25</v>
      </c>
      <c r="AA10" s="94">
        <v>0.2</v>
      </c>
    </row>
  </sheetData>
  <phoneticPr fontId="42" type="noConversion"/>
  <pageMargins left="0.69930555555555596" right="0.69930555555555596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22"/>
  <sheetViews>
    <sheetView workbookViewId="0">
      <selection activeCell="C17" sqref="C17"/>
    </sheetView>
  </sheetViews>
  <sheetFormatPr defaultColWidth="11.09765625" defaultRowHeight="23.1" customHeight="1"/>
  <cols>
    <col min="4" max="4" width="13.3984375" customWidth="1"/>
  </cols>
  <sheetData>
    <row r="1" spans="1:4" ht="23.1" customHeight="1">
      <c r="A1" s="77" t="s">
        <v>877</v>
      </c>
      <c r="B1" s="77" t="s">
        <v>878</v>
      </c>
      <c r="C1" s="77" t="s">
        <v>813</v>
      </c>
      <c r="D1" s="77" t="s">
        <v>879</v>
      </c>
    </row>
    <row r="2" spans="1:4" ht="23.1" customHeight="1">
      <c r="A2" s="77" t="s">
        <v>39</v>
      </c>
      <c r="B2" s="77" t="s">
        <v>39</v>
      </c>
      <c r="C2" s="77" t="s">
        <v>39</v>
      </c>
      <c r="D2" s="77" t="s">
        <v>39</v>
      </c>
    </row>
    <row r="3" spans="1:4" ht="23.1" customHeight="1">
      <c r="A3" s="77" t="s">
        <v>880</v>
      </c>
      <c r="B3" s="77" t="s">
        <v>881</v>
      </c>
      <c r="C3" s="77" t="s">
        <v>882</v>
      </c>
      <c r="D3" s="77" t="s">
        <v>883</v>
      </c>
    </row>
    <row r="4" spans="1:4" ht="23.1" customHeight="1">
      <c r="A4" s="77">
        <v>1352</v>
      </c>
      <c r="B4" s="77">
        <v>1288</v>
      </c>
      <c r="C4" s="77">
        <v>1352</v>
      </c>
      <c r="D4" s="77">
        <v>20</v>
      </c>
    </row>
    <row r="5" spans="1:4" ht="23.1" customHeight="1">
      <c r="A5" s="77">
        <v>1353</v>
      </c>
      <c r="B5" s="77">
        <v>1165</v>
      </c>
      <c r="C5" s="77">
        <v>1353</v>
      </c>
      <c r="D5" s="77">
        <v>20</v>
      </c>
    </row>
    <row r="6" spans="1:4" ht="23.1" customHeight="1">
      <c r="A6" s="77">
        <v>1354</v>
      </c>
      <c r="B6" s="77">
        <v>1166</v>
      </c>
      <c r="C6" s="77">
        <v>1354</v>
      </c>
      <c r="D6" s="77">
        <v>20</v>
      </c>
    </row>
    <row r="7" spans="1:4" ht="23.1" customHeight="1">
      <c r="A7" s="77">
        <v>1355</v>
      </c>
      <c r="B7" s="77">
        <v>1167</v>
      </c>
      <c r="C7" s="77">
        <v>1355</v>
      </c>
      <c r="D7" s="77">
        <v>20</v>
      </c>
    </row>
    <row r="8" spans="1:4" ht="23.1" customHeight="1">
      <c r="A8" s="77">
        <v>1356</v>
      </c>
      <c r="B8" s="77">
        <v>1289</v>
      </c>
      <c r="C8" s="77">
        <v>1356</v>
      </c>
      <c r="D8" s="77">
        <v>20</v>
      </c>
    </row>
    <row r="9" spans="1:4" ht="23.1" customHeight="1">
      <c r="A9" s="77">
        <v>1357</v>
      </c>
      <c r="B9" s="77">
        <v>1290</v>
      </c>
      <c r="C9" s="77">
        <v>1357</v>
      </c>
      <c r="D9" s="77">
        <v>20</v>
      </c>
    </row>
    <row r="10" spans="1:4" ht="23.1" customHeight="1">
      <c r="A10" s="77">
        <v>1366</v>
      </c>
      <c r="B10" s="77">
        <v>0</v>
      </c>
      <c r="C10" s="77">
        <v>1366</v>
      </c>
      <c r="D10" s="77">
        <v>20</v>
      </c>
    </row>
    <row r="11" spans="1:4" ht="23.1" customHeight="1">
      <c r="A11" s="77">
        <v>1395</v>
      </c>
      <c r="B11" s="77">
        <v>1288</v>
      </c>
      <c r="C11" s="77">
        <v>1395</v>
      </c>
      <c r="D11" s="77">
        <v>20</v>
      </c>
    </row>
    <row r="12" spans="1:4" ht="23.1" customHeight="1">
      <c r="A12" s="77">
        <v>1471</v>
      </c>
      <c r="B12" s="77">
        <v>1165</v>
      </c>
      <c r="C12" s="77">
        <v>1471</v>
      </c>
      <c r="D12" s="77">
        <v>20</v>
      </c>
    </row>
    <row r="13" spans="1:4" ht="23.1" customHeight="1">
      <c r="A13" s="77">
        <v>1472</v>
      </c>
      <c r="B13" s="77">
        <v>1165</v>
      </c>
      <c r="C13" s="77">
        <v>1472</v>
      </c>
      <c r="D13" s="77">
        <v>20</v>
      </c>
    </row>
    <row r="14" spans="1:4" ht="23.1" customHeight="1">
      <c r="A14" s="77">
        <v>1473</v>
      </c>
      <c r="B14" s="77">
        <v>1166</v>
      </c>
      <c r="C14" s="77">
        <v>1473</v>
      </c>
      <c r="D14" s="77">
        <v>20</v>
      </c>
    </row>
    <row r="15" spans="1:4" ht="23.1" customHeight="1">
      <c r="A15" s="77">
        <v>1475</v>
      </c>
      <c r="B15" s="77">
        <v>1167</v>
      </c>
      <c r="C15" s="77">
        <v>1475</v>
      </c>
      <c r="D15" s="77">
        <v>20</v>
      </c>
    </row>
    <row r="16" spans="1:4" ht="23.1" customHeight="1">
      <c r="A16" s="77">
        <v>1476</v>
      </c>
      <c r="B16" s="77">
        <v>1167</v>
      </c>
      <c r="C16" s="77">
        <v>1476</v>
      </c>
      <c r="D16" s="77">
        <v>20</v>
      </c>
    </row>
    <row r="17" spans="1:4" ht="23.25" customHeight="1">
      <c r="A17" s="77">
        <v>1477</v>
      </c>
      <c r="B17" s="77">
        <v>1289</v>
      </c>
      <c r="C17" s="77">
        <v>1477</v>
      </c>
      <c r="D17" s="77">
        <v>20</v>
      </c>
    </row>
    <row r="18" spans="1:4" ht="23.25" customHeight="1">
      <c r="A18" s="77">
        <v>1478</v>
      </c>
      <c r="B18" s="77">
        <v>1289</v>
      </c>
      <c r="C18" s="77">
        <v>1478</v>
      </c>
      <c r="D18" s="77">
        <v>20</v>
      </c>
    </row>
    <row r="19" spans="1:4" ht="23.1" customHeight="1">
      <c r="A19" s="77">
        <v>1479</v>
      </c>
      <c r="B19" s="77">
        <v>1290</v>
      </c>
      <c r="C19" s="77">
        <v>1479</v>
      </c>
      <c r="D19" s="77">
        <v>20</v>
      </c>
    </row>
    <row r="20" spans="1:4" ht="23.1" customHeight="1">
      <c r="A20" s="77">
        <v>14182</v>
      </c>
      <c r="B20" s="77">
        <v>0</v>
      </c>
      <c r="C20" s="77">
        <v>1366</v>
      </c>
      <c r="D20" s="77">
        <v>20</v>
      </c>
    </row>
    <row r="21" spans="1:4" ht="23.1" customHeight="1">
      <c r="A21" s="77">
        <v>14183</v>
      </c>
      <c r="B21" s="77">
        <v>0</v>
      </c>
      <c r="C21" s="77">
        <v>1366</v>
      </c>
      <c r="D21" s="77">
        <v>20</v>
      </c>
    </row>
    <row r="22" spans="1:4" ht="23.1" customHeight="1">
      <c r="A22" s="77">
        <v>14184</v>
      </c>
      <c r="B22" s="77">
        <v>0</v>
      </c>
      <c r="C22" s="77">
        <v>1366</v>
      </c>
      <c r="D22" s="77">
        <v>20</v>
      </c>
    </row>
  </sheetData>
  <phoneticPr fontId="42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V54"/>
  <sheetViews>
    <sheetView showGridLines="0" workbookViewId="0">
      <pane xSplit="1" topLeftCell="B1" activePane="topRight" state="frozen"/>
      <selection pane="topRight" activeCell="M34" sqref="M34"/>
    </sheetView>
  </sheetViews>
  <sheetFormatPr defaultColWidth="9" defaultRowHeight="17.25" customHeight="1"/>
  <cols>
    <col min="1" max="1" width="9.19921875" customWidth="1"/>
    <col min="2" max="2" width="9.3984375" customWidth="1"/>
    <col min="3" max="3" width="7.59765625" customWidth="1"/>
    <col min="4" max="4" width="16.3984375" customWidth="1"/>
    <col min="5" max="5" width="7.59765625" customWidth="1"/>
    <col min="6" max="6" width="11.09765625" customWidth="1"/>
    <col min="7" max="7" width="12.3984375" customWidth="1"/>
    <col min="8" max="8" width="7.59765625" customWidth="1"/>
    <col min="9" max="9" width="5.69921875" customWidth="1"/>
    <col min="10" max="10" width="16.3984375" customWidth="1"/>
    <col min="11" max="11" width="7.59765625" customWidth="1"/>
    <col min="12" max="12" width="5.69921875" customWidth="1"/>
    <col min="13" max="13" width="16.3984375" customWidth="1"/>
    <col min="14" max="14" width="7.59765625" customWidth="1"/>
    <col min="15" max="15" width="5.69921875" customWidth="1"/>
  </cols>
  <sheetData>
    <row r="1" spans="1:22" ht="17.25" customHeight="1">
      <c r="A1" s="73" t="s">
        <v>884</v>
      </c>
      <c r="B1" s="73" t="s">
        <v>813</v>
      </c>
      <c r="C1" s="73" t="s">
        <v>885</v>
      </c>
      <c r="D1" s="73" t="s">
        <v>813</v>
      </c>
      <c r="E1" s="73" t="s">
        <v>885</v>
      </c>
      <c r="F1" s="73" t="s">
        <v>813</v>
      </c>
      <c r="G1" s="73" t="s">
        <v>885</v>
      </c>
      <c r="H1" s="73" t="s">
        <v>886</v>
      </c>
      <c r="I1" s="73" t="s">
        <v>813</v>
      </c>
      <c r="J1" s="73" t="s">
        <v>885</v>
      </c>
      <c r="K1" s="75" t="s">
        <v>813</v>
      </c>
      <c r="L1" s="73" t="s">
        <v>885</v>
      </c>
      <c r="M1" s="73" t="s">
        <v>887</v>
      </c>
      <c r="N1" s="75" t="s">
        <v>813</v>
      </c>
      <c r="O1" s="73" t="s">
        <v>885</v>
      </c>
      <c r="P1" s="73" t="s">
        <v>887</v>
      </c>
      <c r="Q1" s="75" t="s">
        <v>813</v>
      </c>
      <c r="R1" s="73" t="s">
        <v>885</v>
      </c>
      <c r="S1" s="73" t="s">
        <v>887</v>
      </c>
      <c r="T1" s="73" t="s">
        <v>888</v>
      </c>
      <c r="U1" s="73" t="s">
        <v>889</v>
      </c>
      <c r="V1" s="73" t="s">
        <v>890</v>
      </c>
    </row>
    <row r="2" spans="1:22" ht="17.25" customHeight="1">
      <c r="A2" s="73" t="s">
        <v>39</v>
      </c>
      <c r="B2" s="73" t="s">
        <v>39</v>
      </c>
      <c r="C2" s="73" t="s">
        <v>39</v>
      </c>
      <c r="D2" s="73" t="s">
        <v>39</v>
      </c>
      <c r="E2" s="73" t="s">
        <v>39</v>
      </c>
      <c r="F2" s="73" t="s">
        <v>39</v>
      </c>
      <c r="G2" s="73" t="s">
        <v>39</v>
      </c>
      <c r="H2" s="73" t="s">
        <v>39</v>
      </c>
      <c r="I2" s="73" t="s">
        <v>39</v>
      </c>
      <c r="J2" s="73" t="s">
        <v>39</v>
      </c>
      <c r="K2" s="75" t="s">
        <v>39</v>
      </c>
      <c r="L2" s="73" t="s">
        <v>39</v>
      </c>
      <c r="M2" s="73" t="s">
        <v>39</v>
      </c>
      <c r="N2" s="75" t="s">
        <v>39</v>
      </c>
      <c r="O2" s="73" t="s">
        <v>39</v>
      </c>
      <c r="P2" s="73" t="s">
        <v>39</v>
      </c>
      <c r="Q2" s="75" t="s">
        <v>39</v>
      </c>
      <c r="R2" s="73" t="s">
        <v>39</v>
      </c>
      <c r="S2" s="73" t="s">
        <v>39</v>
      </c>
      <c r="T2" s="73" t="s">
        <v>41</v>
      </c>
      <c r="U2" s="73" t="s">
        <v>41</v>
      </c>
      <c r="V2" s="73" t="s">
        <v>39</v>
      </c>
    </row>
    <row r="3" spans="1:22" ht="17.25" customHeight="1">
      <c r="A3" s="74" t="s">
        <v>891</v>
      </c>
      <c r="B3" s="74" t="s">
        <v>892</v>
      </c>
      <c r="C3" s="74" t="s">
        <v>893</v>
      </c>
      <c r="D3" s="74" t="s">
        <v>892</v>
      </c>
      <c r="E3" s="74" t="s">
        <v>893</v>
      </c>
      <c r="F3" s="74" t="s">
        <v>892</v>
      </c>
      <c r="G3" s="74" t="s">
        <v>893</v>
      </c>
      <c r="H3" s="74" t="s">
        <v>894</v>
      </c>
      <c r="I3" s="74" t="s">
        <v>895</v>
      </c>
      <c r="J3" s="74" t="s">
        <v>893</v>
      </c>
      <c r="K3" s="76" t="s">
        <v>896</v>
      </c>
      <c r="L3" s="74" t="s">
        <v>897</v>
      </c>
      <c r="M3" s="74" t="s">
        <v>898</v>
      </c>
      <c r="N3" s="76" t="s">
        <v>896</v>
      </c>
      <c r="O3" s="74" t="s">
        <v>897</v>
      </c>
      <c r="P3" s="74" t="s">
        <v>898</v>
      </c>
      <c r="Q3" s="76" t="s">
        <v>896</v>
      </c>
      <c r="R3" s="74" t="s">
        <v>897</v>
      </c>
      <c r="S3" s="74" t="s">
        <v>898</v>
      </c>
      <c r="T3" s="74" t="s">
        <v>899</v>
      </c>
      <c r="U3" s="74" t="s">
        <v>900</v>
      </c>
      <c r="V3" s="73" t="s">
        <v>901</v>
      </c>
    </row>
    <row r="4" spans="1:22" ht="17.25" customHeight="1">
      <c r="A4" s="73">
        <v>2101</v>
      </c>
      <c r="B4" s="73">
        <v>0</v>
      </c>
      <c r="C4" s="73">
        <v>0</v>
      </c>
      <c r="D4" s="73">
        <v>0</v>
      </c>
      <c r="E4" s="73">
        <v>0</v>
      </c>
      <c r="F4" s="73">
        <v>0</v>
      </c>
      <c r="G4" s="73">
        <v>0</v>
      </c>
      <c r="H4" s="73">
        <v>10000</v>
      </c>
      <c r="I4" s="73">
        <v>0</v>
      </c>
      <c r="J4" s="73">
        <v>0</v>
      </c>
      <c r="K4" s="73">
        <v>0</v>
      </c>
      <c r="L4" s="73">
        <v>0</v>
      </c>
      <c r="M4" s="73">
        <v>0</v>
      </c>
      <c r="N4" s="73">
        <v>0</v>
      </c>
      <c r="O4" s="73">
        <v>0</v>
      </c>
      <c r="P4" s="73">
        <v>0</v>
      </c>
      <c r="Q4" s="73">
        <v>0</v>
      </c>
      <c r="R4" s="73">
        <v>0</v>
      </c>
      <c r="S4" s="73">
        <v>0</v>
      </c>
      <c r="T4" s="73">
        <v>0.25</v>
      </c>
      <c r="U4" s="73">
        <v>0</v>
      </c>
      <c r="V4" s="73">
        <v>10</v>
      </c>
    </row>
    <row r="5" spans="1:22" ht="17.25" customHeight="1">
      <c r="A5" s="73">
        <v>2102</v>
      </c>
      <c r="B5" s="73">
        <v>1137</v>
      </c>
      <c r="C5" s="73">
        <v>1</v>
      </c>
      <c r="D5" s="73">
        <v>0</v>
      </c>
      <c r="E5" s="73">
        <v>0</v>
      </c>
      <c r="F5" s="73">
        <v>0</v>
      </c>
      <c r="G5" s="73">
        <v>0</v>
      </c>
      <c r="H5" s="73">
        <v>10000</v>
      </c>
      <c r="I5" s="73">
        <v>0</v>
      </c>
      <c r="J5" s="73">
        <v>0</v>
      </c>
      <c r="K5" s="73">
        <v>0</v>
      </c>
      <c r="L5" s="73">
        <v>0</v>
      </c>
      <c r="M5" s="73">
        <v>0</v>
      </c>
      <c r="N5" s="73">
        <v>0</v>
      </c>
      <c r="O5" s="73">
        <v>0</v>
      </c>
      <c r="P5" s="73">
        <v>0</v>
      </c>
      <c r="Q5" s="73">
        <v>0</v>
      </c>
      <c r="R5" s="73">
        <v>0</v>
      </c>
      <c r="S5" s="73">
        <v>0</v>
      </c>
      <c r="T5" s="73">
        <v>0.25</v>
      </c>
      <c r="U5" s="73">
        <v>0</v>
      </c>
      <c r="V5" s="73">
        <v>15</v>
      </c>
    </row>
    <row r="6" spans="1:22" ht="17.25" customHeight="1">
      <c r="A6" s="73">
        <v>2103</v>
      </c>
      <c r="B6" s="73">
        <v>1137</v>
      </c>
      <c r="C6" s="73">
        <v>2</v>
      </c>
      <c r="D6" s="73">
        <v>0</v>
      </c>
      <c r="E6" s="73">
        <v>0</v>
      </c>
      <c r="F6" s="73">
        <v>0</v>
      </c>
      <c r="G6" s="73">
        <v>0</v>
      </c>
      <c r="H6" s="73">
        <v>10000</v>
      </c>
      <c r="I6" s="73">
        <v>0</v>
      </c>
      <c r="J6" s="73">
        <v>0</v>
      </c>
      <c r="K6" s="73">
        <v>0</v>
      </c>
      <c r="L6" s="73">
        <v>0</v>
      </c>
      <c r="M6" s="73">
        <v>0</v>
      </c>
      <c r="N6" s="73">
        <v>0</v>
      </c>
      <c r="O6" s="73">
        <v>0</v>
      </c>
      <c r="P6" s="73">
        <v>0</v>
      </c>
      <c r="Q6" s="73">
        <v>0</v>
      </c>
      <c r="R6" s="73">
        <v>0</v>
      </c>
      <c r="S6" s="73">
        <v>0</v>
      </c>
      <c r="T6" s="73">
        <v>0.25</v>
      </c>
      <c r="U6" s="73">
        <v>0</v>
      </c>
      <c r="V6" s="73">
        <v>20</v>
      </c>
    </row>
    <row r="7" spans="1:22" ht="17.25" customHeight="1">
      <c r="A7" s="73">
        <v>2104</v>
      </c>
      <c r="B7" s="73">
        <v>1137</v>
      </c>
      <c r="C7" s="73">
        <v>3</v>
      </c>
      <c r="D7" s="73">
        <v>0</v>
      </c>
      <c r="E7" s="73">
        <v>0</v>
      </c>
      <c r="F7" s="73">
        <v>0</v>
      </c>
      <c r="G7" s="73">
        <v>0</v>
      </c>
      <c r="H7" s="73">
        <v>10000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0.25</v>
      </c>
      <c r="U7" s="73">
        <v>0</v>
      </c>
      <c r="V7" s="73">
        <v>25</v>
      </c>
    </row>
    <row r="8" spans="1:22" ht="17.25" customHeight="1">
      <c r="A8" s="73">
        <v>2105</v>
      </c>
      <c r="B8" s="73">
        <v>1137</v>
      </c>
      <c r="C8" s="73">
        <v>3</v>
      </c>
      <c r="D8" s="73">
        <v>0</v>
      </c>
      <c r="E8" s="73">
        <v>0</v>
      </c>
      <c r="F8" s="73">
        <v>0</v>
      </c>
      <c r="G8" s="73">
        <v>0</v>
      </c>
      <c r="H8" s="73">
        <v>10000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0.25</v>
      </c>
      <c r="U8" s="73">
        <v>0</v>
      </c>
      <c r="V8" s="73">
        <v>30</v>
      </c>
    </row>
    <row r="9" spans="1:22" ht="17.25" customHeight="1">
      <c r="A9" s="73">
        <v>2106</v>
      </c>
      <c r="B9" s="73">
        <v>1137</v>
      </c>
      <c r="C9" s="73">
        <v>4</v>
      </c>
      <c r="D9" s="73">
        <v>0</v>
      </c>
      <c r="E9" s="73">
        <v>0</v>
      </c>
      <c r="F9" s="73">
        <v>0</v>
      </c>
      <c r="G9" s="73">
        <v>0</v>
      </c>
      <c r="H9" s="73">
        <v>10000</v>
      </c>
      <c r="I9" s="73">
        <v>0</v>
      </c>
      <c r="J9" s="73">
        <v>0</v>
      </c>
      <c r="K9" s="73">
        <v>0</v>
      </c>
      <c r="L9" s="73">
        <v>0</v>
      </c>
      <c r="M9" s="73">
        <v>0</v>
      </c>
      <c r="N9" s="73">
        <v>0</v>
      </c>
      <c r="O9" s="73">
        <v>0</v>
      </c>
      <c r="P9" s="73">
        <v>0</v>
      </c>
      <c r="Q9" s="73">
        <v>0</v>
      </c>
      <c r="R9" s="73">
        <v>0</v>
      </c>
      <c r="S9" s="73">
        <v>0</v>
      </c>
      <c r="T9" s="73">
        <v>0.25</v>
      </c>
      <c r="U9" s="73">
        <v>0</v>
      </c>
      <c r="V9" s="73">
        <v>40</v>
      </c>
    </row>
    <row r="10" spans="1:22" ht="17.25" customHeight="1">
      <c r="A10" s="73">
        <v>2107</v>
      </c>
      <c r="B10" s="73">
        <v>1137</v>
      </c>
      <c r="C10" s="73">
        <v>4</v>
      </c>
      <c r="D10" s="73">
        <v>0</v>
      </c>
      <c r="E10" s="73">
        <v>0</v>
      </c>
      <c r="F10" s="73">
        <v>0</v>
      </c>
      <c r="G10" s="73">
        <v>0</v>
      </c>
      <c r="H10" s="73">
        <v>10000</v>
      </c>
      <c r="I10" s="73">
        <v>0</v>
      </c>
      <c r="J10" s="73">
        <v>0</v>
      </c>
      <c r="K10" s="73">
        <v>0</v>
      </c>
      <c r="L10" s="73">
        <v>0</v>
      </c>
      <c r="M10" s="73">
        <v>0</v>
      </c>
      <c r="N10" s="73">
        <v>0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0.25</v>
      </c>
      <c r="U10" s="73">
        <v>0</v>
      </c>
      <c r="V10" s="73">
        <v>50</v>
      </c>
    </row>
    <row r="11" spans="1:22" ht="17.25" customHeight="1">
      <c r="A11" s="73">
        <v>2108</v>
      </c>
      <c r="B11" s="73">
        <v>1137</v>
      </c>
      <c r="C11" s="73">
        <v>5</v>
      </c>
      <c r="D11" s="73">
        <v>0</v>
      </c>
      <c r="E11" s="73">
        <v>0</v>
      </c>
      <c r="F11" s="73">
        <v>0</v>
      </c>
      <c r="G11" s="73">
        <v>0</v>
      </c>
      <c r="H11" s="73">
        <v>10000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0.25</v>
      </c>
      <c r="U11" s="73">
        <v>0</v>
      </c>
      <c r="V11" s="73">
        <v>60</v>
      </c>
    </row>
    <row r="12" spans="1:22" ht="17.25" customHeight="1">
      <c r="A12" s="73">
        <v>2109</v>
      </c>
      <c r="B12" s="73">
        <v>1137</v>
      </c>
      <c r="C12" s="73">
        <v>5</v>
      </c>
      <c r="D12" s="73">
        <v>0</v>
      </c>
      <c r="E12" s="73">
        <v>0</v>
      </c>
      <c r="F12" s="73">
        <v>0</v>
      </c>
      <c r="G12" s="73">
        <v>0</v>
      </c>
      <c r="H12" s="73">
        <v>10000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0.25</v>
      </c>
      <c r="U12" s="73">
        <v>0</v>
      </c>
      <c r="V12" s="73">
        <v>70</v>
      </c>
    </row>
    <row r="13" spans="1:22" ht="17.25" customHeight="1">
      <c r="A13" s="73">
        <v>2110</v>
      </c>
      <c r="B13" s="73">
        <v>1137</v>
      </c>
      <c r="C13" s="73">
        <v>6</v>
      </c>
      <c r="D13" s="73">
        <v>0</v>
      </c>
      <c r="E13" s="73">
        <v>0</v>
      </c>
      <c r="F13" s="73">
        <v>0</v>
      </c>
      <c r="G13" s="73">
        <v>0</v>
      </c>
      <c r="H13" s="73">
        <v>10000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0.25</v>
      </c>
      <c r="U13" s="73">
        <v>0</v>
      </c>
      <c r="V13" s="73">
        <v>80</v>
      </c>
    </row>
    <row r="14" spans="1:22" ht="17.25" customHeight="1">
      <c r="A14" s="73">
        <v>2111</v>
      </c>
      <c r="B14" s="73">
        <v>1137</v>
      </c>
      <c r="C14" s="73">
        <v>6</v>
      </c>
      <c r="D14" s="73">
        <v>0</v>
      </c>
      <c r="E14" s="73">
        <v>0</v>
      </c>
      <c r="F14" s="73">
        <v>0</v>
      </c>
      <c r="G14" s="73">
        <v>0</v>
      </c>
      <c r="H14" s="73">
        <v>10000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0.25</v>
      </c>
      <c r="U14" s="73">
        <v>0</v>
      </c>
      <c r="V14" s="73">
        <v>90</v>
      </c>
    </row>
    <row r="15" spans="1:22" ht="17.25" customHeight="1">
      <c r="A15" s="73">
        <v>2112</v>
      </c>
      <c r="B15" s="73">
        <v>1137</v>
      </c>
      <c r="C15" s="73">
        <v>8</v>
      </c>
      <c r="D15" s="73">
        <v>0</v>
      </c>
      <c r="E15" s="73">
        <v>0</v>
      </c>
      <c r="F15" s="73">
        <v>0</v>
      </c>
      <c r="G15" s="73">
        <v>0</v>
      </c>
      <c r="H15" s="73">
        <v>10000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0.25</v>
      </c>
      <c r="U15" s="73">
        <v>0</v>
      </c>
      <c r="V15" s="73">
        <v>100</v>
      </c>
    </row>
    <row r="16" spans="1:22" ht="17.25" customHeight="1">
      <c r="A16" s="73">
        <v>2113</v>
      </c>
      <c r="B16" s="73">
        <v>1137</v>
      </c>
      <c r="C16" s="73">
        <v>8</v>
      </c>
      <c r="D16" s="73">
        <v>0</v>
      </c>
      <c r="E16" s="73">
        <v>0</v>
      </c>
      <c r="F16" s="73">
        <v>0</v>
      </c>
      <c r="G16" s="73">
        <v>0</v>
      </c>
      <c r="H16" s="73">
        <v>10000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0</v>
      </c>
      <c r="R16" s="73">
        <v>0</v>
      </c>
      <c r="S16" s="73">
        <v>0</v>
      </c>
      <c r="T16" s="73">
        <v>0.25</v>
      </c>
      <c r="U16" s="73">
        <v>0</v>
      </c>
      <c r="V16" s="73">
        <v>150</v>
      </c>
    </row>
    <row r="17" spans="1:22" ht="17.25" customHeight="1">
      <c r="A17" s="73">
        <v>2114</v>
      </c>
      <c r="B17" s="73">
        <v>1137</v>
      </c>
      <c r="C17" s="73">
        <v>10</v>
      </c>
      <c r="D17" s="73">
        <v>0</v>
      </c>
      <c r="E17" s="73">
        <v>0</v>
      </c>
      <c r="F17" s="73">
        <v>0</v>
      </c>
      <c r="G17" s="73">
        <v>0</v>
      </c>
      <c r="H17" s="73">
        <v>10000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</v>
      </c>
      <c r="T17" s="73">
        <v>0.25</v>
      </c>
      <c r="U17" s="73">
        <v>0</v>
      </c>
      <c r="V17" s="73">
        <v>200</v>
      </c>
    </row>
    <row r="18" spans="1:22" ht="17.25" customHeight="1">
      <c r="A18" s="73">
        <v>2115</v>
      </c>
      <c r="B18" s="73">
        <v>1137</v>
      </c>
      <c r="C18" s="73">
        <v>10</v>
      </c>
      <c r="D18" s="73">
        <v>0</v>
      </c>
      <c r="E18" s="73">
        <v>0</v>
      </c>
      <c r="F18" s="73">
        <v>0</v>
      </c>
      <c r="G18" s="73">
        <v>0</v>
      </c>
      <c r="H18" s="73">
        <v>10000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0.25</v>
      </c>
      <c r="U18" s="73">
        <v>0</v>
      </c>
      <c r="V18" s="73">
        <v>250</v>
      </c>
    </row>
    <row r="19" spans="1:22" ht="17.25" customHeight="1">
      <c r="A19" s="73">
        <v>2116</v>
      </c>
      <c r="B19" s="73">
        <v>1137</v>
      </c>
      <c r="C19" s="73">
        <v>12</v>
      </c>
      <c r="D19" s="73">
        <v>0</v>
      </c>
      <c r="E19" s="73">
        <v>0</v>
      </c>
      <c r="F19" s="73">
        <v>0</v>
      </c>
      <c r="G19" s="73">
        <v>0</v>
      </c>
      <c r="H19" s="73">
        <v>10000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0.25</v>
      </c>
      <c r="U19" s="73">
        <v>0</v>
      </c>
      <c r="V19" s="73">
        <v>300</v>
      </c>
    </row>
    <row r="20" spans="1:22" ht="17.25" customHeight="1">
      <c r="A20" s="73">
        <v>2117</v>
      </c>
      <c r="B20" s="73">
        <v>1137</v>
      </c>
      <c r="C20" s="73">
        <v>12</v>
      </c>
      <c r="D20" s="73">
        <v>0</v>
      </c>
      <c r="E20" s="73">
        <v>0</v>
      </c>
      <c r="F20" s="73">
        <v>0</v>
      </c>
      <c r="G20" s="73">
        <v>0</v>
      </c>
      <c r="H20" s="73">
        <v>10000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0.25</v>
      </c>
      <c r="U20" s="73">
        <v>0</v>
      </c>
      <c r="V20" s="73">
        <v>350</v>
      </c>
    </row>
    <row r="21" spans="1:22" ht="17.25" customHeight="1">
      <c r="A21" s="73">
        <v>2118</v>
      </c>
      <c r="B21" s="73">
        <v>1137</v>
      </c>
      <c r="C21" s="73">
        <v>15</v>
      </c>
      <c r="D21" s="73">
        <v>0</v>
      </c>
      <c r="E21" s="73">
        <v>0</v>
      </c>
      <c r="F21" s="73">
        <v>0</v>
      </c>
      <c r="G21" s="73">
        <v>0</v>
      </c>
      <c r="H21" s="73">
        <v>10000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0.25</v>
      </c>
      <c r="U21" s="73">
        <v>0</v>
      </c>
      <c r="V21" s="73">
        <v>400</v>
      </c>
    </row>
    <row r="22" spans="1:22" ht="17.25" customHeight="1">
      <c r="A22" s="73">
        <v>2119</v>
      </c>
      <c r="B22" s="73">
        <v>1137</v>
      </c>
      <c r="C22" s="73">
        <v>15</v>
      </c>
      <c r="D22" s="73">
        <v>0</v>
      </c>
      <c r="E22" s="73">
        <v>0</v>
      </c>
      <c r="F22" s="73">
        <v>0</v>
      </c>
      <c r="G22" s="73">
        <v>0</v>
      </c>
      <c r="H22" s="73">
        <v>10000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0.25</v>
      </c>
      <c r="U22" s="73">
        <v>0</v>
      </c>
      <c r="V22" s="73">
        <v>450</v>
      </c>
    </row>
    <row r="23" spans="1:22" ht="17.25" customHeight="1">
      <c r="A23" s="73">
        <v>2120</v>
      </c>
      <c r="B23" s="73">
        <v>1137</v>
      </c>
      <c r="C23" s="73">
        <v>20</v>
      </c>
      <c r="D23" s="73">
        <v>0</v>
      </c>
      <c r="E23" s="73">
        <v>0</v>
      </c>
      <c r="F23" s="73">
        <v>0</v>
      </c>
      <c r="G23" s="73">
        <v>0</v>
      </c>
      <c r="H23" s="73">
        <v>10000</v>
      </c>
      <c r="I23" s="73">
        <v>0</v>
      </c>
      <c r="J23" s="73">
        <v>0</v>
      </c>
      <c r="K23" s="73">
        <v>0</v>
      </c>
      <c r="L23" s="73">
        <v>0</v>
      </c>
      <c r="M23" s="73">
        <v>0</v>
      </c>
      <c r="N23" s="73">
        <v>0</v>
      </c>
      <c r="O23" s="73">
        <v>0</v>
      </c>
      <c r="P23" s="73">
        <v>0</v>
      </c>
      <c r="Q23" s="73">
        <v>0</v>
      </c>
      <c r="R23" s="73">
        <v>0</v>
      </c>
      <c r="S23" s="73">
        <v>0</v>
      </c>
      <c r="T23" s="73">
        <v>0.25</v>
      </c>
      <c r="U23" s="73">
        <v>0</v>
      </c>
      <c r="V23" s="73">
        <v>500</v>
      </c>
    </row>
    <row r="24" spans="1:22" ht="17.25" customHeight="1">
      <c r="A24" s="73">
        <v>2121</v>
      </c>
      <c r="B24" s="73">
        <v>1137</v>
      </c>
      <c r="C24" s="73">
        <v>20</v>
      </c>
      <c r="D24" s="73">
        <v>0</v>
      </c>
      <c r="E24" s="73">
        <v>0</v>
      </c>
      <c r="F24" s="73">
        <v>0</v>
      </c>
      <c r="G24" s="73">
        <v>0</v>
      </c>
      <c r="H24" s="73">
        <v>10000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0.25</v>
      </c>
      <c r="U24" s="73">
        <v>0</v>
      </c>
      <c r="V24" s="73">
        <v>600</v>
      </c>
    </row>
    <row r="25" spans="1:22" ht="17.25" customHeight="1">
      <c r="A25" s="73">
        <v>2122</v>
      </c>
      <c r="B25" s="73">
        <v>1137</v>
      </c>
      <c r="C25" s="73">
        <v>20</v>
      </c>
      <c r="D25" s="73">
        <v>0</v>
      </c>
      <c r="E25" s="73">
        <v>0</v>
      </c>
      <c r="F25" s="73">
        <v>0</v>
      </c>
      <c r="G25" s="73">
        <v>0</v>
      </c>
      <c r="H25" s="73">
        <v>10000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0.25</v>
      </c>
      <c r="U25" s="73">
        <v>0</v>
      </c>
      <c r="V25" s="73">
        <v>700</v>
      </c>
    </row>
    <row r="26" spans="1:22" ht="17.25" customHeight="1">
      <c r="A26" s="73">
        <v>2123</v>
      </c>
      <c r="B26" s="73">
        <v>1137</v>
      </c>
      <c r="C26" s="73">
        <v>20</v>
      </c>
      <c r="D26" s="73">
        <v>0</v>
      </c>
      <c r="E26" s="73">
        <v>0</v>
      </c>
      <c r="F26" s="73">
        <v>0</v>
      </c>
      <c r="G26" s="73">
        <v>0</v>
      </c>
      <c r="H26" s="73">
        <v>10000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  <c r="O26" s="73">
        <v>0</v>
      </c>
      <c r="P26" s="73">
        <v>0</v>
      </c>
      <c r="Q26" s="73">
        <v>0</v>
      </c>
      <c r="R26" s="73">
        <v>0</v>
      </c>
      <c r="S26" s="73">
        <v>0</v>
      </c>
      <c r="T26" s="73">
        <v>0.25</v>
      </c>
      <c r="U26" s="73">
        <v>0</v>
      </c>
      <c r="V26" s="73">
        <v>800</v>
      </c>
    </row>
    <row r="27" spans="1:22" ht="17.25" customHeight="1">
      <c r="A27" s="73">
        <v>2124</v>
      </c>
      <c r="B27" s="73">
        <v>1137</v>
      </c>
      <c r="C27" s="73">
        <v>20</v>
      </c>
      <c r="D27" s="73">
        <v>0</v>
      </c>
      <c r="E27" s="73">
        <v>0</v>
      </c>
      <c r="F27" s="73">
        <v>0</v>
      </c>
      <c r="G27" s="73">
        <v>0</v>
      </c>
      <c r="H27" s="73">
        <v>10000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  <c r="O27" s="73">
        <v>0</v>
      </c>
      <c r="P27" s="73">
        <v>0</v>
      </c>
      <c r="Q27" s="73">
        <v>0</v>
      </c>
      <c r="R27" s="73">
        <v>0</v>
      </c>
      <c r="S27" s="73">
        <v>0</v>
      </c>
      <c r="T27" s="73">
        <v>0.25</v>
      </c>
      <c r="U27" s="73">
        <v>0</v>
      </c>
      <c r="V27" s="73">
        <v>900</v>
      </c>
    </row>
    <row r="28" spans="1:22" ht="17.25" customHeight="1">
      <c r="A28" s="73">
        <v>2125</v>
      </c>
      <c r="B28" s="73">
        <v>1137</v>
      </c>
      <c r="C28" s="73">
        <v>25</v>
      </c>
      <c r="D28" s="73">
        <v>0</v>
      </c>
      <c r="E28" s="73">
        <v>0</v>
      </c>
      <c r="F28" s="73">
        <v>0</v>
      </c>
      <c r="G28" s="73">
        <v>0</v>
      </c>
      <c r="H28" s="73">
        <v>10000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</v>
      </c>
      <c r="P28" s="73">
        <v>0</v>
      </c>
      <c r="Q28" s="73">
        <v>0</v>
      </c>
      <c r="R28" s="73">
        <v>0</v>
      </c>
      <c r="S28" s="73">
        <v>0</v>
      </c>
      <c r="T28" s="73">
        <v>0.25</v>
      </c>
      <c r="U28" s="73">
        <v>0</v>
      </c>
      <c r="V28" s="73">
        <v>1000</v>
      </c>
    </row>
    <row r="29" spans="1:22" ht="17.25" customHeight="1">
      <c r="A29" s="73">
        <v>2126</v>
      </c>
      <c r="B29" s="73">
        <v>1137</v>
      </c>
      <c r="C29" s="73">
        <v>25</v>
      </c>
      <c r="D29" s="73">
        <v>0</v>
      </c>
      <c r="E29" s="73">
        <v>0</v>
      </c>
      <c r="F29" s="73">
        <v>0</v>
      </c>
      <c r="G29" s="73">
        <v>0</v>
      </c>
      <c r="H29" s="73">
        <v>10000</v>
      </c>
      <c r="I29" s="73">
        <v>0</v>
      </c>
      <c r="J29" s="73">
        <v>0</v>
      </c>
      <c r="K29" s="73">
        <v>0</v>
      </c>
      <c r="L29" s="73">
        <v>0</v>
      </c>
      <c r="M29" s="73">
        <v>0</v>
      </c>
      <c r="N29" s="73">
        <v>0</v>
      </c>
      <c r="O29" s="73">
        <v>0</v>
      </c>
      <c r="P29" s="73">
        <v>0</v>
      </c>
      <c r="Q29" s="73">
        <v>0</v>
      </c>
      <c r="R29" s="73">
        <v>0</v>
      </c>
      <c r="S29" s="73">
        <v>0</v>
      </c>
      <c r="T29" s="73">
        <v>0.25</v>
      </c>
      <c r="U29" s="73">
        <v>0</v>
      </c>
      <c r="V29" s="73">
        <v>1500</v>
      </c>
    </row>
    <row r="30" spans="1:22" ht="17.25" customHeight="1">
      <c r="A30" s="73">
        <v>2127</v>
      </c>
      <c r="B30" s="73">
        <v>1137</v>
      </c>
      <c r="C30" s="73">
        <v>25</v>
      </c>
      <c r="D30" s="73">
        <v>0</v>
      </c>
      <c r="E30" s="73">
        <v>0</v>
      </c>
      <c r="F30" s="73">
        <v>0</v>
      </c>
      <c r="G30" s="73">
        <v>0</v>
      </c>
      <c r="H30" s="73">
        <v>10000</v>
      </c>
      <c r="I30" s="73">
        <v>0</v>
      </c>
      <c r="J30" s="73">
        <v>0</v>
      </c>
      <c r="K30" s="73">
        <v>0</v>
      </c>
      <c r="L30" s="73">
        <v>0</v>
      </c>
      <c r="M30" s="73">
        <v>0</v>
      </c>
      <c r="N30" s="73">
        <v>0</v>
      </c>
      <c r="O30" s="73">
        <v>0</v>
      </c>
      <c r="P30" s="73">
        <v>0</v>
      </c>
      <c r="Q30" s="73">
        <v>0</v>
      </c>
      <c r="R30" s="73">
        <v>0</v>
      </c>
      <c r="S30" s="73">
        <v>0</v>
      </c>
      <c r="T30" s="73">
        <v>0.25</v>
      </c>
      <c r="U30" s="73">
        <v>0</v>
      </c>
      <c r="V30" s="73">
        <v>2000</v>
      </c>
    </row>
    <row r="31" spans="1:22" ht="17.25" customHeight="1">
      <c r="A31" s="73">
        <v>2128</v>
      </c>
      <c r="B31" s="73">
        <v>1137</v>
      </c>
      <c r="C31" s="73">
        <v>30</v>
      </c>
      <c r="D31" s="73">
        <v>0</v>
      </c>
      <c r="E31" s="73">
        <v>0</v>
      </c>
      <c r="F31" s="73">
        <v>0</v>
      </c>
      <c r="G31" s="73">
        <v>0</v>
      </c>
      <c r="H31" s="73">
        <v>10000</v>
      </c>
      <c r="I31" s="73">
        <v>0</v>
      </c>
      <c r="J31" s="73">
        <v>0</v>
      </c>
      <c r="K31" s="73">
        <v>0</v>
      </c>
      <c r="L31" s="73">
        <v>0</v>
      </c>
      <c r="M31" s="73">
        <v>0</v>
      </c>
      <c r="N31" s="73">
        <v>0</v>
      </c>
      <c r="O31" s="73">
        <v>0</v>
      </c>
      <c r="P31" s="73">
        <v>0</v>
      </c>
      <c r="Q31" s="73">
        <v>0</v>
      </c>
      <c r="R31" s="73">
        <v>0</v>
      </c>
      <c r="S31" s="73">
        <v>0</v>
      </c>
      <c r="T31" s="73">
        <v>0.25</v>
      </c>
      <c r="U31" s="73">
        <v>0</v>
      </c>
      <c r="V31" s="73">
        <v>2500</v>
      </c>
    </row>
    <row r="32" spans="1:22" ht="17.25" customHeight="1">
      <c r="A32" s="73">
        <v>2129</v>
      </c>
      <c r="B32" s="73">
        <v>1137</v>
      </c>
      <c r="C32" s="73">
        <v>30</v>
      </c>
      <c r="D32" s="73">
        <v>0</v>
      </c>
      <c r="E32" s="73">
        <v>0</v>
      </c>
      <c r="F32" s="73">
        <v>0</v>
      </c>
      <c r="G32" s="73">
        <v>0</v>
      </c>
      <c r="H32" s="73">
        <v>10000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0.25</v>
      </c>
      <c r="U32" s="73">
        <v>0</v>
      </c>
      <c r="V32" s="73">
        <v>3000</v>
      </c>
    </row>
    <row r="33" spans="1:22" ht="17.25" customHeight="1">
      <c r="A33" s="73">
        <v>2130</v>
      </c>
      <c r="B33" s="73">
        <v>1137</v>
      </c>
      <c r="C33" s="73">
        <v>30</v>
      </c>
      <c r="D33" s="73">
        <v>0</v>
      </c>
      <c r="E33" s="73">
        <v>0</v>
      </c>
      <c r="F33" s="73">
        <v>0</v>
      </c>
      <c r="G33" s="73">
        <v>0</v>
      </c>
      <c r="H33" s="73">
        <v>10000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0.25</v>
      </c>
      <c r="U33" s="73">
        <v>0</v>
      </c>
      <c r="V33" s="73">
        <v>3500</v>
      </c>
    </row>
    <row r="34" spans="1:22" ht="17.25" customHeight="1">
      <c r="A34" s="73">
        <v>2131</v>
      </c>
      <c r="B34" s="73">
        <v>1137</v>
      </c>
      <c r="C34" s="73">
        <v>35</v>
      </c>
      <c r="D34" s="73">
        <v>0</v>
      </c>
      <c r="E34" s="73">
        <v>0</v>
      </c>
      <c r="F34" s="73">
        <v>0</v>
      </c>
      <c r="G34" s="73">
        <v>0</v>
      </c>
      <c r="H34" s="73">
        <v>10000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0.25</v>
      </c>
      <c r="U34" s="73">
        <v>0</v>
      </c>
      <c r="V34" s="73">
        <v>4000</v>
      </c>
    </row>
    <row r="35" spans="1:22" ht="17.25" customHeight="1">
      <c r="A35" s="73">
        <v>2132</v>
      </c>
      <c r="B35" s="73">
        <v>1137</v>
      </c>
      <c r="C35" s="73">
        <v>35</v>
      </c>
      <c r="D35" s="73">
        <v>0</v>
      </c>
      <c r="E35" s="73">
        <v>0</v>
      </c>
      <c r="F35" s="73">
        <v>0</v>
      </c>
      <c r="G35" s="73">
        <v>0</v>
      </c>
      <c r="H35" s="73">
        <v>10000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0.25</v>
      </c>
      <c r="U35" s="73">
        <v>0</v>
      </c>
      <c r="V35" s="73">
        <v>4500</v>
      </c>
    </row>
    <row r="36" spans="1:22" ht="17.25" customHeight="1">
      <c r="A36" s="73">
        <v>2133</v>
      </c>
      <c r="B36" s="73">
        <v>1137</v>
      </c>
      <c r="C36" s="73">
        <v>40</v>
      </c>
      <c r="D36" s="73">
        <v>0</v>
      </c>
      <c r="E36" s="73">
        <v>0</v>
      </c>
      <c r="F36" s="73">
        <v>0</v>
      </c>
      <c r="G36" s="73">
        <v>0</v>
      </c>
      <c r="H36" s="73">
        <v>10000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0.25</v>
      </c>
      <c r="U36" s="73">
        <v>0</v>
      </c>
      <c r="V36" s="73">
        <v>5000</v>
      </c>
    </row>
    <row r="37" spans="1:22" ht="17.25" customHeight="1">
      <c r="A37" s="73">
        <v>2134</v>
      </c>
      <c r="B37" s="73">
        <v>1137</v>
      </c>
      <c r="C37" s="73">
        <v>50</v>
      </c>
      <c r="D37" s="73">
        <v>0</v>
      </c>
      <c r="E37" s="73">
        <v>0</v>
      </c>
      <c r="F37" s="73">
        <v>0</v>
      </c>
      <c r="G37" s="73">
        <v>0</v>
      </c>
      <c r="H37" s="73">
        <v>10000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0</v>
      </c>
      <c r="R37" s="73">
        <v>0</v>
      </c>
      <c r="S37" s="73">
        <v>0</v>
      </c>
      <c r="T37" s="73">
        <v>0.25</v>
      </c>
      <c r="U37" s="73">
        <v>0</v>
      </c>
      <c r="V37" s="73">
        <v>6000</v>
      </c>
    </row>
    <row r="38" spans="1:22" ht="17.25" customHeight="1">
      <c r="A38" s="73">
        <v>2135</v>
      </c>
      <c r="B38" s="73">
        <v>1137</v>
      </c>
      <c r="C38" s="73">
        <v>60</v>
      </c>
      <c r="D38" s="73">
        <v>0</v>
      </c>
      <c r="E38" s="73">
        <v>0</v>
      </c>
      <c r="F38" s="73">
        <v>0</v>
      </c>
      <c r="G38" s="73">
        <v>0</v>
      </c>
      <c r="H38" s="73">
        <v>10000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0</v>
      </c>
      <c r="S38" s="73">
        <v>0</v>
      </c>
      <c r="T38" s="73">
        <v>0.25</v>
      </c>
      <c r="U38" s="73">
        <v>0</v>
      </c>
      <c r="V38" s="73">
        <v>7000</v>
      </c>
    </row>
    <row r="39" spans="1:22" ht="17.25" customHeight="1">
      <c r="A39" s="73">
        <v>2136</v>
      </c>
      <c r="B39" s="73">
        <v>1137</v>
      </c>
      <c r="C39" s="73">
        <v>70</v>
      </c>
      <c r="D39" s="73">
        <v>0</v>
      </c>
      <c r="E39" s="73">
        <v>0</v>
      </c>
      <c r="F39" s="73">
        <v>0</v>
      </c>
      <c r="G39" s="73">
        <v>0</v>
      </c>
      <c r="H39" s="73">
        <v>10000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0</v>
      </c>
      <c r="R39" s="73">
        <v>0</v>
      </c>
      <c r="S39" s="73">
        <v>0</v>
      </c>
      <c r="T39" s="73">
        <v>0.25</v>
      </c>
      <c r="U39" s="73">
        <v>0</v>
      </c>
      <c r="V39" s="73">
        <v>8000</v>
      </c>
    </row>
    <row r="40" spans="1:22" ht="17.25" customHeight="1">
      <c r="A40" s="73">
        <v>2137</v>
      </c>
      <c r="B40" s="73">
        <v>1137</v>
      </c>
      <c r="C40" s="73">
        <v>80</v>
      </c>
      <c r="D40" s="73">
        <v>0</v>
      </c>
      <c r="E40" s="73">
        <v>0</v>
      </c>
      <c r="F40" s="73">
        <v>0</v>
      </c>
      <c r="G40" s="73">
        <v>0</v>
      </c>
      <c r="H40" s="73">
        <v>10000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0.25</v>
      </c>
      <c r="U40" s="73">
        <v>0</v>
      </c>
      <c r="V40" s="73">
        <v>9000</v>
      </c>
    </row>
    <row r="41" spans="1:22" ht="17.25" customHeight="1">
      <c r="A41" s="73">
        <v>2138</v>
      </c>
      <c r="B41" s="73">
        <v>1137</v>
      </c>
      <c r="C41" s="73">
        <v>100</v>
      </c>
      <c r="D41" s="73">
        <v>0</v>
      </c>
      <c r="E41" s="73">
        <v>0</v>
      </c>
      <c r="F41" s="73">
        <v>0</v>
      </c>
      <c r="G41" s="73">
        <v>0</v>
      </c>
      <c r="H41" s="73">
        <v>10000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0.25</v>
      </c>
      <c r="U41" s="73">
        <v>0</v>
      </c>
      <c r="V41" s="73">
        <v>10000</v>
      </c>
    </row>
    <row r="42" spans="1:22" ht="17.25" customHeight="1">
      <c r="A42" s="73">
        <v>2139</v>
      </c>
      <c r="B42" s="73">
        <v>1137</v>
      </c>
      <c r="C42" s="73">
        <v>120</v>
      </c>
      <c r="D42" s="29">
        <v>1429</v>
      </c>
      <c r="E42" s="73">
        <v>10</v>
      </c>
      <c r="F42" s="29">
        <v>1430</v>
      </c>
      <c r="G42" s="73">
        <v>10</v>
      </c>
      <c r="H42" s="73">
        <v>8000</v>
      </c>
      <c r="I42" s="73">
        <v>1431</v>
      </c>
      <c r="J42" s="73">
        <v>2</v>
      </c>
      <c r="K42" s="73">
        <v>1431</v>
      </c>
      <c r="L42" s="73">
        <v>1</v>
      </c>
      <c r="M42" s="73">
        <v>4000</v>
      </c>
      <c r="N42" s="73">
        <v>1431</v>
      </c>
      <c r="O42" s="73">
        <v>1</v>
      </c>
      <c r="P42" s="73">
        <v>3000</v>
      </c>
      <c r="Q42" s="73">
        <v>1431</v>
      </c>
      <c r="R42" s="73">
        <v>1</v>
      </c>
      <c r="S42" s="73">
        <v>3000</v>
      </c>
      <c r="T42" s="73">
        <v>0.25</v>
      </c>
      <c r="U42" s="73">
        <v>0</v>
      </c>
      <c r="V42" s="73">
        <v>15000</v>
      </c>
    </row>
    <row r="43" spans="1:22" ht="17.25" customHeight="1">
      <c r="A43" s="73">
        <v>2140</v>
      </c>
      <c r="B43" s="73">
        <v>1137</v>
      </c>
      <c r="C43" s="73">
        <v>130</v>
      </c>
      <c r="D43" s="29">
        <v>1429</v>
      </c>
      <c r="E43" s="73">
        <v>20</v>
      </c>
      <c r="F43" s="29">
        <v>1430</v>
      </c>
      <c r="G43" s="73">
        <v>20</v>
      </c>
      <c r="H43" s="73">
        <v>7000</v>
      </c>
      <c r="I43" s="73">
        <v>1431</v>
      </c>
      <c r="J43" s="73">
        <v>5</v>
      </c>
      <c r="K43" s="73">
        <v>1431</v>
      </c>
      <c r="L43" s="73">
        <v>1</v>
      </c>
      <c r="M43" s="73">
        <v>4000</v>
      </c>
      <c r="N43" s="73">
        <v>1431</v>
      </c>
      <c r="O43" s="73">
        <v>1</v>
      </c>
      <c r="P43" s="73">
        <v>3000</v>
      </c>
      <c r="Q43" s="73">
        <v>1431</v>
      </c>
      <c r="R43" s="73">
        <v>3</v>
      </c>
      <c r="S43" s="73">
        <v>3000</v>
      </c>
      <c r="T43" s="73">
        <v>0.25</v>
      </c>
      <c r="U43" s="73">
        <v>0</v>
      </c>
      <c r="V43" s="73">
        <v>20000</v>
      </c>
    </row>
    <row r="44" spans="1:22" ht="17.25" customHeight="1">
      <c r="A44" s="73">
        <v>2141</v>
      </c>
      <c r="B44" s="73">
        <v>1137</v>
      </c>
      <c r="C44" s="73">
        <v>140</v>
      </c>
      <c r="D44" s="29">
        <v>1429</v>
      </c>
      <c r="E44" s="73">
        <v>40</v>
      </c>
      <c r="F44" s="29">
        <v>1430</v>
      </c>
      <c r="G44" s="73">
        <v>40</v>
      </c>
      <c r="H44" s="73">
        <v>6500</v>
      </c>
      <c r="I44" s="73">
        <v>1431</v>
      </c>
      <c r="J44" s="73">
        <v>10</v>
      </c>
      <c r="K44" s="73">
        <v>1431</v>
      </c>
      <c r="L44" s="73">
        <v>3</v>
      </c>
      <c r="M44" s="73">
        <v>4000</v>
      </c>
      <c r="N44" s="73">
        <v>1431</v>
      </c>
      <c r="O44" s="73">
        <v>3</v>
      </c>
      <c r="P44" s="73">
        <v>3000</v>
      </c>
      <c r="Q44" s="73">
        <v>1431</v>
      </c>
      <c r="R44" s="73">
        <v>5</v>
      </c>
      <c r="S44" s="73">
        <v>3000</v>
      </c>
      <c r="T44" s="73">
        <v>0.25</v>
      </c>
      <c r="U44" s="73">
        <v>0</v>
      </c>
      <c r="V44" s="73">
        <v>25000</v>
      </c>
    </row>
    <row r="45" spans="1:22" ht="17.25" customHeight="1">
      <c r="A45" s="73">
        <v>2142</v>
      </c>
      <c r="B45" s="73">
        <v>1137</v>
      </c>
      <c r="C45" s="73">
        <v>150</v>
      </c>
      <c r="D45" s="29">
        <v>1429</v>
      </c>
      <c r="E45" s="73">
        <v>50</v>
      </c>
      <c r="F45" s="29">
        <v>1430</v>
      </c>
      <c r="G45" s="73">
        <v>50</v>
      </c>
      <c r="H45" s="73">
        <v>6000</v>
      </c>
      <c r="I45" s="73">
        <v>1431</v>
      </c>
      <c r="J45" s="73">
        <v>20</v>
      </c>
      <c r="K45" s="73">
        <v>1431</v>
      </c>
      <c r="L45" s="73">
        <v>4</v>
      </c>
      <c r="M45" s="73">
        <v>4000</v>
      </c>
      <c r="N45" s="73">
        <v>1431</v>
      </c>
      <c r="O45" s="73">
        <v>4</v>
      </c>
      <c r="P45" s="73">
        <v>3000</v>
      </c>
      <c r="Q45" s="73">
        <v>1431</v>
      </c>
      <c r="R45" s="73">
        <v>6</v>
      </c>
      <c r="S45" s="73">
        <v>3000</v>
      </c>
      <c r="T45" s="73">
        <v>0.25</v>
      </c>
      <c r="U45" s="73">
        <v>0</v>
      </c>
      <c r="V45" s="73">
        <v>30000</v>
      </c>
    </row>
    <row r="46" spans="1:22" ht="17.25" customHeight="1">
      <c r="A46" s="73">
        <v>2143</v>
      </c>
      <c r="B46" s="73">
        <v>1137</v>
      </c>
      <c r="C46" s="73">
        <v>160</v>
      </c>
      <c r="D46" s="29">
        <v>1429</v>
      </c>
      <c r="E46" s="73">
        <v>60</v>
      </c>
      <c r="F46" s="29">
        <v>1430</v>
      </c>
      <c r="G46" s="73">
        <v>60</v>
      </c>
      <c r="H46" s="73">
        <v>5500</v>
      </c>
      <c r="I46" s="73">
        <v>1431</v>
      </c>
      <c r="J46" s="73">
        <v>25</v>
      </c>
      <c r="K46" s="73">
        <v>1431</v>
      </c>
      <c r="L46" s="73">
        <v>5</v>
      </c>
      <c r="M46" s="73">
        <v>4000</v>
      </c>
      <c r="N46" s="73">
        <v>1431</v>
      </c>
      <c r="O46" s="73">
        <v>5</v>
      </c>
      <c r="P46" s="73">
        <v>3000</v>
      </c>
      <c r="Q46" s="73">
        <v>1431</v>
      </c>
      <c r="R46" s="73">
        <v>7</v>
      </c>
      <c r="S46" s="73">
        <v>3000</v>
      </c>
      <c r="T46" s="73">
        <v>0.25</v>
      </c>
      <c r="U46" s="73">
        <v>0</v>
      </c>
      <c r="V46" s="73">
        <v>35000</v>
      </c>
    </row>
    <row r="47" spans="1:22" ht="17.25" customHeight="1">
      <c r="A47" s="73">
        <v>2144</v>
      </c>
      <c r="B47" s="73">
        <v>1137</v>
      </c>
      <c r="C47" s="73">
        <v>170</v>
      </c>
      <c r="D47" s="29">
        <v>1429</v>
      </c>
      <c r="E47" s="73">
        <v>80</v>
      </c>
      <c r="F47" s="29">
        <v>1430</v>
      </c>
      <c r="G47" s="73">
        <v>80</v>
      </c>
      <c r="H47" s="73">
        <v>5000</v>
      </c>
      <c r="I47" s="73">
        <v>1431</v>
      </c>
      <c r="J47" s="73">
        <v>40</v>
      </c>
      <c r="K47" s="73">
        <v>1431</v>
      </c>
      <c r="L47" s="73">
        <v>6</v>
      </c>
      <c r="M47" s="73">
        <v>4000</v>
      </c>
      <c r="N47" s="73">
        <v>1431</v>
      </c>
      <c r="O47" s="73">
        <v>7</v>
      </c>
      <c r="P47" s="73">
        <v>3000</v>
      </c>
      <c r="Q47" s="73">
        <v>1431</v>
      </c>
      <c r="R47" s="73">
        <v>9</v>
      </c>
      <c r="S47" s="73">
        <v>3000</v>
      </c>
      <c r="T47" s="73">
        <v>0.25</v>
      </c>
      <c r="U47" s="73">
        <v>0</v>
      </c>
      <c r="V47" s="73">
        <v>40000</v>
      </c>
    </row>
    <row r="48" spans="1:22" ht="17.25" customHeight="1">
      <c r="A48" s="73">
        <v>2145</v>
      </c>
      <c r="B48" s="73">
        <v>1137</v>
      </c>
      <c r="C48" s="73">
        <v>180</v>
      </c>
      <c r="D48" s="29">
        <v>1429</v>
      </c>
      <c r="E48" s="73">
        <v>115</v>
      </c>
      <c r="F48" s="29">
        <v>1430</v>
      </c>
      <c r="G48" s="73">
        <v>115</v>
      </c>
      <c r="H48" s="73">
        <v>4500</v>
      </c>
      <c r="I48" s="73">
        <v>1431</v>
      </c>
      <c r="J48" s="73">
        <v>60</v>
      </c>
      <c r="K48" s="73">
        <v>1431</v>
      </c>
      <c r="L48" s="73">
        <v>9</v>
      </c>
      <c r="M48" s="73">
        <v>4000</v>
      </c>
      <c r="N48" s="73">
        <v>1431</v>
      </c>
      <c r="O48" s="73">
        <v>11</v>
      </c>
      <c r="P48" s="73">
        <v>3000</v>
      </c>
      <c r="Q48" s="73">
        <v>1431</v>
      </c>
      <c r="R48" s="73">
        <v>13</v>
      </c>
      <c r="S48" s="73">
        <v>3000</v>
      </c>
      <c r="T48" s="73">
        <v>0.25</v>
      </c>
      <c r="U48" s="73">
        <v>0</v>
      </c>
      <c r="V48" s="73">
        <v>45000</v>
      </c>
    </row>
    <row r="49" spans="1:22" ht="17.25" customHeight="1">
      <c r="A49" s="73">
        <v>2146</v>
      </c>
      <c r="B49" s="73">
        <v>1137</v>
      </c>
      <c r="C49" s="73">
        <v>200</v>
      </c>
      <c r="D49" s="29">
        <v>1429</v>
      </c>
      <c r="E49" s="73">
        <v>120</v>
      </c>
      <c r="F49" s="29">
        <v>1430</v>
      </c>
      <c r="G49" s="73">
        <v>120</v>
      </c>
      <c r="H49" s="73">
        <v>4000</v>
      </c>
      <c r="I49" s="73">
        <v>1431</v>
      </c>
      <c r="J49" s="73">
        <v>70</v>
      </c>
      <c r="K49" s="73">
        <v>1431</v>
      </c>
      <c r="L49" s="73">
        <v>10</v>
      </c>
      <c r="M49" s="73">
        <v>4000</v>
      </c>
      <c r="N49" s="73">
        <v>1431</v>
      </c>
      <c r="O49" s="73">
        <v>12</v>
      </c>
      <c r="P49" s="73">
        <v>3000</v>
      </c>
      <c r="Q49" s="73">
        <v>1431</v>
      </c>
      <c r="R49" s="73">
        <v>14</v>
      </c>
      <c r="S49" s="73">
        <v>3000</v>
      </c>
      <c r="T49" s="73">
        <v>0.25</v>
      </c>
      <c r="U49" s="73">
        <v>0</v>
      </c>
      <c r="V49" s="73">
        <v>50000</v>
      </c>
    </row>
    <row r="50" spans="1:22" ht="17.25" customHeight="1">
      <c r="A50" s="73">
        <v>2147</v>
      </c>
      <c r="B50" s="73">
        <v>1137</v>
      </c>
      <c r="C50" s="73">
        <v>220</v>
      </c>
      <c r="D50" s="29">
        <v>1429</v>
      </c>
      <c r="E50" s="73">
        <v>120</v>
      </c>
      <c r="F50" s="29">
        <v>1430</v>
      </c>
      <c r="G50" s="73">
        <v>120</v>
      </c>
      <c r="H50" s="73">
        <v>3500</v>
      </c>
      <c r="I50" s="73">
        <v>1431</v>
      </c>
      <c r="J50" s="73">
        <v>85</v>
      </c>
      <c r="K50" s="73">
        <v>1431</v>
      </c>
      <c r="L50" s="73">
        <v>10</v>
      </c>
      <c r="M50" s="73">
        <v>4000</v>
      </c>
      <c r="N50" s="73">
        <v>1431</v>
      </c>
      <c r="O50" s="73">
        <v>12</v>
      </c>
      <c r="P50" s="73">
        <v>3000</v>
      </c>
      <c r="Q50" s="73">
        <v>1431</v>
      </c>
      <c r="R50" s="73">
        <v>14</v>
      </c>
      <c r="S50" s="73">
        <v>3000</v>
      </c>
      <c r="T50" s="73">
        <v>0.25</v>
      </c>
      <c r="U50" s="73">
        <v>0</v>
      </c>
      <c r="V50" s="73">
        <v>60000</v>
      </c>
    </row>
    <row r="51" spans="1:22" ht="17.25" customHeight="1">
      <c r="A51" s="73">
        <v>2148</v>
      </c>
      <c r="B51" s="73">
        <v>1137</v>
      </c>
      <c r="C51" s="73">
        <v>240</v>
      </c>
      <c r="D51" s="29">
        <v>1429</v>
      </c>
      <c r="E51" s="73">
        <v>120</v>
      </c>
      <c r="F51" s="29">
        <v>1430</v>
      </c>
      <c r="G51" s="73">
        <v>120</v>
      </c>
      <c r="H51" s="73">
        <v>3000</v>
      </c>
      <c r="I51" s="73">
        <v>1431</v>
      </c>
      <c r="J51" s="73">
        <v>110</v>
      </c>
      <c r="K51" s="73">
        <v>1431</v>
      </c>
      <c r="L51" s="73">
        <v>10</v>
      </c>
      <c r="M51" s="73">
        <v>4000</v>
      </c>
      <c r="N51" s="73">
        <v>1431</v>
      </c>
      <c r="O51" s="73">
        <v>12</v>
      </c>
      <c r="P51" s="73">
        <v>3000</v>
      </c>
      <c r="Q51" s="73">
        <v>1431</v>
      </c>
      <c r="R51" s="73">
        <v>14</v>
      </c>
      <c r="S51" s="73">
        <v>3000</v>
      </c>
      <c r="T51" s="73">
        <v>0.25</v>
      </c>
      <c r="U51" s="73">
        <v>0</v>
      </c>
      <c r="V51" s="73">
        <v>70000</v>
      </c>
    </row>
    <row r="52" spans="1:22" ht="17.25" customHeight="1">
      <c r="A52" s="73">
        <v>2149</v>
      </c>
      <c r="B52" s="73">
        <v>1137</v>
      </c>
      <c r="C52" s="73">
        <v>260</v>
      </c>
      <c r="D52" s="29">
        <v>1429</v>
      </c>
      <c r="E52" s="73">
        <v>120</v>
      </c>
      <c r="F52" s="29">
        <v>1430</v>
      </c>
      <c r="G52" s="73">
        <v>120</v>
      </c>
      <c r="H52" s="73">
        <v>2500</v>
      </c>
      <c r="I52" s="73">
        <v>1431</v>
      </c>
      <c r="J52" s="73">
        <v>130</v>
      </c>
      <c r="K52" s="73">
        <v>1431</v>
      </c>
      <c r="L52" s="73">
        <v>10</v>
      </c>
      <c r="M52" s="73">
        <v>4000</v>
      </c>
      <c r="N52" s="73">
        <v>1431</v>
      </c>
      <c r="O52" s="73">
        <v>12</v>
      </c>
      <c r="P52" s="73">
        <v>3000</v>
      </c>
      <c r="Q52" s="73">
        <v>1431</v>
      </c>
      <c r="R52" s="73">
        <v>14</v>
      </c>
      <c r="S52" s="73">
        <v>3000</v>
      </c>
      <c r="T52" s="73">
        <v>0.25</v>
      </c>
      <c r="U52" s="73">
        <v>0</v>
      </c>
      <c r="V52" s="73">
        <v>80000</v>
      </c>
    </row>
    <row r="53" spans="1:22" ht="17.25" customHeight="1">
      <c r="A53" s="73">
        <v>2150</v>
      </c>
      <c r="B53" s="73">
        <v>1137</v>
      </c>
      <c r="C53" s="73">
        <v>300</v>
      </c>
      <c r="D53" s="29">
        <v>1429</v>
      </c>
      <c r="E53" s="73">
        <v>120</v>
      </c>
      <c r="F53" s="29">
        <v>1430</v>
      </c>
      <c r="G53" s="73">
        <v>120</v>
      </c>
      <c r="H53" s="73">
        <v>2000</v>
      </c>
      <c r="I53" s="73">
        <v>1431</v>
      </c>
      <c r="J53" s="73">
        <v>170</v>
      </c>
      <c r="K53" s="73">
        <v>1431</v>
      </c>
      <c r="L53" s="73">
        <v>10</v>
      </c>
      <c r="M53" s="73">
        <v>4000</v>
      </c>
      <c r="N53" s="73">
        <v>1431</v>
      </c>
      <c r="O53" s="73">
        <v>12</v>
      </c>
      <c r="P53" s="73">
        <v>3000</v>
      </c>
      <c r="Q53" s="73">
        <v>1431</v>
      </c>
      <c r="R53" s="73">
        <v>14</v>
      </c>
      <c r="S53" s="73">
        <v>3000</v>
      </c>
      <c r="T53" s="73">
        <v>0.25</v>
      </c>
      <c r="U53" s="73">
        <v>0</v>
      </c>
      <c r="V53" s="73">
        <v>90000</v>
      </c>
    </row>
    <row r="54" spans="1:22" ht="17.25" customHeight="1">
      <c r="A54" s="73">
        <v>2151</v>
      </c>
      <c r="B54" s="73">
        <v>1137</v>
      </c>
      <c r="C54" s="73">
        <v>300</v>
      </c>
      <c r="D54" s="29">
        <v>1429</v>
      </c>
      <c r="E54" s="73">
        <v>120</v>
      </c>
      <c r="F54" s="29">
        <v>1430</v>
      </c>
      <c r="G54" s="73">
        <v>120</v>
      </c>
      <c r="H54" s="73">
        <v>2000</v>
      </c>
      <c r="I54" s="73">
        <v>1431</v>
      </c>
      <c r="J54" s="73">
        <v>170</v>
      </c>
      <c r="K54" s="73">
        <v>1431</v>
      </c>
      <c r="L54" s="73">
        <v>10</v>
      </c>
      <c r="M54" s="73">
        <v>4000</v>
      </c>
      <c r="N54" s="73">
        <v>1431</v>
      </c>
      <c r="O54" s="73">
        <v>12</v>
      </c>
      <c r="P54" s="73">
        <v>3000</v>
      </c>
      <c r="Q54" s="73">
        <v>1431</v>
      </c>
      <c r="R54" s="73">
        <v>14</v>
      </c>
      <c r="S54" s="73">
        <v>3000</v>
      </c>
      <c r="T54" s="73">
        <v>0.25</v>
      </c>
      <c r="U54" s="73">
        <v>0</v>
      </c>
      <c r="V54" s="73">
        <v>100000</v>
      </c>
    </row>
  </sheetData>
  <phoneticPr fontId="42" type="noConversion"/>
  <conditionalFormatting sqref="K54">
    <cfRule type="cellIs" dxfId="109" priority="17" operator="equal">
      <formula>"-"</formula>
    </cfRule>
    <cfRule type="cellIs" dxfId="108" priority="18" operator="equal">
      <formula>0</formula>
    </cfRule>
  </conditionalFormatting>
  <conditionalFormatting sqref="N54">
    <cfRule type="cellIs" dxfId="107" priority="15" operator="equal">
      <formula>"-"</formula>
    </cfRule>
    <cfRule type="cellIs" dxfId="106" priority="16" operator="equal">
      <formula>0</formula>
    </cfRule>
  </conditionalFormatting>
  <conditionalFormatting sqref="Q54">
    <cfRule type="cellIs" dxfId="105" priority="13" operator="equal">
      <formula>"-"</formula>
    </cfRule>
    <cfRule type="cellIs" dxfId="104" priority="14" operator="equal">
      <formula>0</formula>
    </cfRule>
  </conditionalFormatting>
  <conditionalFormatting sqref="F1:F37">
    <cfRule type="cellIs" dxfId="103" priority="5" operator="equal">
      <formula>"-"</formula>
    </cfRule>
    <cfRule type="cellIs" dxfId="102" priority="6" operator="equal">
      <formula>0</formula>
    </cfRule>
  </conditionalFormatting>
  <conditionalFormatting sqref="K4:K53">
    <cfRule type="cellIs" dxfId="101" priority="31" operator="equal">
      <formula>"-"</formula>
    </cfRule>
    <cfRule type="cellIs" dxfId="100" priority="32" operator="equal">
      <formula>0</formula>
    </cfRule>
  </conditionalFormatting>
  <conditionalFormatting sqref="K4:K7">
    <cfRule type="cellIs" dxfId="99" priority="25" operator="equal">
      <formula>"-"</formula>
    </cfRule>
    <cfRule type="cellIs" dxfId="98" priority="26" operator="equal">
      <formula>0</formula>
    </cfRule>
  </conditionalFormatting>
  <conditionalFormatting sqref="N4:N53">
    <cfRule type="cellIs" dxfId="97" priority="29" operator="equal">
      <formula>"-"</formula>
    </cfRule>
    <cfRule type="cellIs" dxfId="96" priority="30" operator="equal">
      <formula>0</formula>
    </cfRule>
  </conditionalFormatting>
  <conditionalFormatting sqref="N4:N7">
    <cfRule type="cellIs" dxfId="95" priority="27" operator="equal">
      <formula>"-"</formula>
    </cfRule>
    <cfRule type="cellIs" dxfId="94" priority="28" operator="equal">
      <formula>0</formula>
    </cfRule>
  </conditionalFormatting>
  <conditionalFormatting sqref="Q4:Q53">
    <cfRule type="cellIs" dxfId="93" priority="23" operator="equal">
      <formula>"-"</formula>
    </cfRule>
    <cfRule type="cellIs" dxfId="92" priority="24" operator="equal">
      <formula>0</formula>
    </cfRule>
  </conditionalFormatting>
  <conditionalFormatting sqref="V1:V54">
    <cfRule type="cellIs" dxfId="91" priority="11" operator="equal">
      <formula>"-"</formula>
    </cfRule>
    <cfRule type="cellIs" dxfId="90" priority="12" operator="equal">
      <formula>0</formula>
    </cfRule>
  </conditionalFormatting>
  <conditionalFormatting sqref="A1:C37 A38:B53 H38:J53 G1:J37">
    <cfRule type="cellIs" dxfId="89" priority="35" operator="equal">
      <formula>"-"</formula>
    </cfRule>
    <cfRule type="cellIs" dxfId="88" priority="36" operator="equal">
      <formula>0</formula>
    </cfRule>
  </conditionalFormatting>
  <conditionalFormatting sqref="D1:E37">
    <cfRule type="cellIs" dxfId="87" priority="9" operator="equal">
      <formula>"-"</formula>
    </cfRule>
    <cfRule type="cellIs" dxfId="86" priority="10" operator="equal">
      <formula>0</formula>
    </cfRule>
  </conditionalFormatting>
  <conditionalFormatting sqref="K1:T3 R4:T53 O4:P53 L4:M53 U1:U53">
    <cfRule type="cellIs" dxfId="85" priority="33" operator="equal">
      <formula>"-"</formula>
    </cfRule>
    <cfRule type="cellIs" dxfId="84" priority="34" operator="equal">
      <formula>0</formula>
    </cfRule>
  </conditionalFormatting>
  <conditionalFormatting sqref="C38:G41 C42:C54 E42:E54 G42:G54">
    <cfRule type="cellIs" dxfId="83" priority="1" operator="equal">
      <formula>"-"</formula>
    </cfRule>
    <cfRule type="cellIs" dxfId="82" priority="2" operator="equal">
      <formula>0</formula>
    </cfRule>
  </conditionalFormatting>
  <conditionalFormatting sqref="A54:B54 H54:J54">
    <cfRule type="cellIs" dxfId="81" priority="21" operator="equal">
      <formula>"-"</formula>
    </cfRule>
    <cfRule type="cellIs" dxfId="80" priority="22" operator="equal">
      <formula>0</formula>
    </cfRule>
  </conditionalFormatting>
  <conditionalFormatting sqref="O54:P54 L54:M54 R54:U54">
    <cfRule type="cellIs" dxfId="79" priority="19" operator="equal">
      <formula>"-"</formula>
    </cfRule>
    <cfRule type="cellIs" dxfId="78" priority="20" operator="equal">
      <formula>0</formula>
    </cfRule>
  </conditionalFormatting>
  <pageMargins left="0.69930555555555596" right="0.69930555555555596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IU85"/>
  <sheetViews>
    <sheetView showGridLines="0" workbookViewId="0">
      <pane ySplit="3" topLeftCell="A63" activePane="bottomLeft" state="frozen"/>
      <selection pane="bottomLeft" activeCell="B85" sqref="B85"/>
    </sheetView>
  </sheetViews>
  <sheetFormatPr defaultColWidth="6.59765625" defaultRowHeight="16.5" customHeight="1"/>
  <cols>
    <col min="1" max="1" width="9.5" style="67" customWidth="1"/>
    <col min="2" max="2" width="20.796875" style="67" customWidth="1"/>
    <col min="3" max="3" width="11.09765625" style="67" customWidth="1"/>
    <col min="4" max="4" width="14" style="67" customWidth="1"/>
    <col min="5" max="5" width="15.09765625" style="67" customWidth="1"/>
    <col min="6" max="6" width="18.09765625" style="67" customWidth="1"/>
    <col min="7" max="7" width="11.5" style="67" customWidth="1"/>
    <col min="8" max="8" width="13.09765625" style="67" customWidth="1"/>
    <col min="9" max="9" width="10.8984375" style="67" customWidth="1"/>
    <col min="10" max="10" width="13.3984375" style="67" customWidth="1"/>
    <col min="11" max="11" width="16.3984375" style="67" customWidth="1"/>
    <col min="12" max="13" width="19" style="67" customWidth="1"/>
    <col min="14" max="255" width="6.59765625" style="67" customWidth="1"/>
  </cols>
  <sheetData>
    <row r="1" spans="1:13" ht="21" customHeight="1">
      <c r="A1" s="24" t="s">
        <v>25</v>
      </c>
      <c r="B1" s="24" t="s">
        <v>902</v>
      </c>
      <c r="C1" s="24" t="s">
        <v>370</v>
      </c>
      <c r="D1" s="24" t="s">
        <v>903</v>
      </c>
      <c r="E1" s="24" t="s">
        <v>904</v>
      </c>
      <c r="F1" s="24" t="s">
        <v>905</v>
      </c>
      <c r="G1" s="24" t="s">
        <v>906</v>
      </c>
      <c r="H1" s="24" t="s">
        <v>907</v>
      </c>
      <c r="I1" s="24" t="s">
        <v>908</v>
      </c>
      <c r="J1" s="24" t="s">
        <v>909</v>
      </c>
      <c r="K1" s="24" t="s">
        <v>910</v>
      </c>
      <c r="L1" s="24" t="s">
        <v>911</v>
      </c>
      <c r="M1" s="24" t="s">
        <v>912</v>
      </c>
    </row>
    <row r="2" spans="1:13" ht="21" customHeight="1">
      <c r="A2" s="24" t="s">
        <v>39</v>
      </c>
      <c r="B2" s="24" t="s">
        <v>40</v>
      </c>
      <c r="C2" s="24" t="s">
        <v>39</v>
      </c>
      <c r="D2" s="24" t="s">
        <v>39</v>
      </c>
      <c r="E2" s="24" t="s">
        <v>39</v>
      </c>
      <c r="F2" s="24" t="s">
        <v>41</v>
      </c>
      <c r="G2" s="24" t="s">
        <v>41</v>
      </c>
      <c r="H2" s="24" t="s">
        <v>39</v>
      </c>
      <c r="I2" s="24" t="s">
        <v>39</v>
      </c>
      <c r="J2" s="24" t="s">
        <v>40</v>
      </c>
      <c r="K2" s="24" t="s">
        <v>40</v>
      </c>
      <c r="L2" s="24" t="s">
        <v>40</v>
      </c>
      <c r="M2" s="24" t="s">
        <v>41</v>
      </c>
    </row>
    <row r="3" spans="1:13" ht="21" customHeight="1">
      <c r="A3" s="24" t="s">
        <v>913</v>
      </c>
      <c r="B3" s="24" t="s">
        <v>914</v>
      </c>
      <c r="C3" s="24" t="s">
        <v>915</v>
      </c>
      <c r="D3" s="24" t="s">
        <v>376</v>
      </c>
      <c r="E3" s="24" t="s">
        <v>916</v>
      </c>
      <c r="F3" s="25" t="s">
        <v>917</v>
      </c>
      <c r="G3" s="24" t="s">
        <v>918</v>
      </c>
      <c r="H3" s="24" t="s">
        <v>919</v>
      </c>
      <c r="I3" s="24" t="s">
        <v>920</v>
      </c>
      <c r="J3" s="24" t="s">
        <v>921</v>
      </c>
      <c r="K3" s="24" t="s">
        <v>922</v>
      </c>
      <c r="L3" s="24" t="s">
        <v>923</v>
      </c>
      <c r="M3" s="24" t="s">
        <v>924</v>
      </c>
    </row>
    <row r="4" spans="1:13" ht="21" customHeight="1">
      <c r="A4" s="24">
        <v>0</v>
      </c>
      <c r="B4" s="24" t="s">
        <v>925</v>
      </c>
      <c r="C4" s="24">
        <v>2101</v>
      </c>
      <c r="D4" s="68">
        <v>10</v>
      </c>
      <c r="E4" s="68">
        <v>1</v>
      </c>
      <c r="F4" s="69">
        <v>0</v>
      </c>
      <c r="G4" s="24">
        <v>0.5</v>
      </c>
      <c r="H4" s="24">
        <v>600</v>
      </c>
      <c r="I4" s="24">
        <v>100</v>
      </c>
      <c r="J4" s="26">
        <v>0</v>
      </c>
      <c r="K4" s="24" t="s">
        <v>926</v>
      </c>
      <c r="L4" s="24">
        <v>0</v>
      </c>
      <c r="M4" s="24">
        <v>1</v>
      </c>
    </row>
    <row r="5" spans="1:13" ht="21" customHeight="1">
      <c r="A5" s="24">
        <v>1</v>
      </c>
      <c r="B5" s="24" t="s">
        <v>927</v>
      </c>
      <c r="C5" s="24">
        <v>2102</v>
      </c>
      <c r="D5" s="68">
        <v>15</v>
      </c>
      <c r="E5" s="68">
        <v>1</v>
      </c>
      <c r="F5" s="69">
        <v>0</v>
      </c>
      <c r="G5" s="24">
        <v>0.5</v>
      </c>
      <c r="H5" s="24">
        <v>600</v>
      </c>
      <c r="I5" s="24">
        <v>100</v>
      </c>
      <c r="J5" s="24">
        <v>0</v>
      </c>
      <c r="K5" s="24" t="s">
        <v>926</v>
      </c>
      <c r="L5" s="24">
        <v>0</v>
      </c>
      <c r="M5" s="24">
        <v>1</v>
      </c>
    </row>
    <row r="6" spans="1:13" ht="21" customHeight="1">
      <c r="A6" s="24">
        <v>2</v>
      </c>
      <c r="B6" s="24" t="s">
        <v>928</v>
      </c>
      <c r="C6" s="24">
        <v>2103</v>
      </c>
      <c r="D6" s="68">
        <v>20</v>
      </c>
      <c r="E6" s="68">
        <v>1</v>
      </c>
      <c r="F6" s="69">
        <v>0</v>
      </c>
      <c r="G6" s="24">
        <v>0.5</v>
      </c>
      <c r="H6" s="24">
        <v>600</v>
      </c>
      <c r="I6" s="24">
        <v>100</v>
      </c>
      <c r="J6" s="24">
        <v>0</v>
      </c>
      <c r="K6" s="24" t="s">
        <v>926</v>
      </c>
      <c r="L6" s="24">
        <v>0</v>
      </c>
      <c r="M6" s="24">
        <v>1</v>
      </c>
    </row>
    <row r="7" spans="1:13" ht="21" customHeight="1">
      <c r="A7" s="24">
        <v>3</v>
      </c>
      <c r="B7" s="24" t="s">
        <v>929</v>
      </c>
      <c r="C7" s="24">
        <v>2104</v>
      </c>
      <c r="D7" s="68">
        <v>25</v>
      </c>
      <c r="E7" s="68">
        <v>1</v>
      </c>
      <c r="F7" s="69">
        <v>0</v>
      </c>
      <c r="G7" s="24">
        <v>0.5</v>
      </c>
      <c r="H7" s="24">
        <v>600</v>
      </c>
      <c r="I7" s="24">
        <v>100</v>
      </c>
      <c r="J7" s="24">
        <v>0</v>
      </c>
      <c r="K7" s="24" t="s">
        <v>926</v>
      </c>
      <c r="L7" s="24">
        <v>0</v>
      </c>
      <c r="M7" s="24">
        <v>1</v>
      </c>
    </row>
    <row r="8" spans="1:13" ht="21" customHeight="1">
      <c r="A8" s="24">
        <v>4</v>
      </c>
      <c r="B8" s="24" t="s">
        <v>930</v>
      </c>
      <c r="C8" s="24">
        <v>2105</v>
      </c>
      <c r="D8" s="68">
        <v>30</v>
      </c>
      <c r="E8" s="68">
        <v>1</v>
      </c>
      <c r="F8" s="69">
        <v>0</v>
      </c>
      <c r="G8" s="24">
        <v>0.5</v>
      </c>
      <c r="H8" s="24">
        <v>600</v>
      </c>
      <c r="I8" s="24">
        <v>100</v>
      </c>
      <c r="J8" s="24">
        <v>0</v>
      </c>
      <c r="K8" s="24" t="s">
        <v>926</v>
      </c>
      <c r="L8" s="24">
        <v>0</v>
      </c>
      <c r="M8" s="24">
        <v>1</v>
      </c>
    </row>
    <row r="9" spans="1:13" ht="21" customHeight="1">
      <c r="A9" s="24">
        <v>5</v>
      </c>
      <c r="B9" s="24" t="s">
        <v>931</v>
      </c>
      <c r="C9" s="24">
        <v>2106</v>
      </c>
      <c r="D9" s="68">
        <v>40</v>
      </c>
      <c r="E9" s="68">
        <v>1</v>
      </c>
      <c r="F9" s="69">
        <v>0</v>
      </c>
      <c r="G9" s="24">
        <v>0.5</v>
      </c>
      <c r="H9" s="24">
        <v>600</v>
      </c>
      <c r="I9" s="24">
        <v>100</v>
      </c>
      <c r="J9" s="26">
        <v>0</v>
      </c>
      <c r="K9" s="24" t="s">
        <v>926</v>
      </c>
      <c r="L9" s="24">
        <v>0</v>
      </c>
      <c r="M9" s="24">
        <v>1</v>
      </c>
    </row>
    <row r="10" spans="1:13" ht="21" customHeight="1">
      <c r="A10" s="24">
        <v>6</v>
      </c>
      <c r="B10" s="24" t="s">
        <v>932</v>
      </c>
      <c r="C10" s="24">
        <v>2107</v>
      </c>
      <c r="D10" s="68">
        <v>50</v>
      </c>
      <c r="E10" s="68">
        <v>1</v>
      </c>
      <c r="F10" s="69">
        <v>0</v>
      </c>
      <c r="G10" s="24">
        <v>0.5</v>
      </c>
      <c r="H10" s="24">
        <v>600</v>
      </c>
      <c r="I10" s="24">
        <v>100</v>
      </c>
      <c r="J10" s="26">
        <v>0</v>
      </c>
      <c r="K10" s="24" t="s">
        <v>926</v>
      </c>
      <c r="L10" s="24">
        <v>0</v>
      </c>
      <c r="M10" s="24">
        <v>1</v>
      </c>
    </row>
    <row r="11" spans="1:13" ht="21" customHeight="1">
      <c r="A11" s="24">
        <v>7</v>
      </c>
      <c r="B11" s="24" t="s">
        <v>933</v>
      </c>
      <c r="C11" s="24">
        <v>2108</v>
      </c>
      <c r="D11" s="68">
        <v>60</v>
      </c>
      <c r="E11" s="68">
        <v>1</v>
      </c>
      <c r="F11" s="69">
        <v>0</v>
      </c>
      <c r="G11" s="24">
        <v>0.5</v>
      </c>
      <c r="H11" s="24">
        <v>600</v>
      </c>
      <c r="I11" s="24">
        <v>100</v>
      </c>
      <c r="J11" s="24">
        <v>0</v>
      </c>
      <c r="K11" s="24" t="s">
        <v>926</v>
      </c>
      <c r="L11" s="24">
        <v>0</v>
      </c>
      <c r="M11" s="24">
        <v>1</v>
      </c>
    </row>
    <row r="12" spans="1:13" ht="21" customHeight="1">
      <c r="A12" s="24">
        <v>8</v>
      </c>
      <c r="B12" s="24" t="s">
        <v>934</v>
      </c>
      <c r="C12" s="24">
        <v>2109</v>
      </c>
      <c r="D12" s="68">
        <v>70</v>
      </c>
      <c r="E12" s="68">
        <v>1</v>
      </c>
      <c r="F12" s="69">
        <v>0</v>
      </c>
      <c r="G12" s="24">
        <v>0.5</v>
      </c>
      <c r="H12" s="24">
        <v>600</v>
      </c>
      <c r="I12" s="24">
        <v>100</v>
      </c>
      <c r="J12" s="24">
        <v>0</v>
      </c>
      <c r="K12" s="24" t="s">
        <v>926</v>
      </c>
      <c r="L12" s="24">
        <v>0</v>
      </c>
      <c r="M12" s="24">
        <v>1</v>
      </c>
    </row>
    <row r="13" spans="1:13" ht="21" customHeight="1">
      <c r="A13" s="24">
        <v>9</v>
      </c>
      <c r="B13" s="24" t="s">
        <v>935</v>
      </c>
      <c r="C13" s="24">
        <v>2110</v>
      </c>
      <c r="D13" s="68">
        <v>80</v>
      </c>
      <c r="E13" s="68">
        <v>1</v>
      </c>
      <c r="F13" s="69">
        <v>0</v>
      </c>
      <c r="G13" s="24">
        <v>0.5</v>
      </c>
      <c r="H13" s="24">
        <v>600</v>
      </c>
      <c r="I13" s="24">
        <v>100</v>
      </c>
      <c r="J13" s="24">
        <v>0</v>
      </c>
      <c r="K13" s="24" t="s">
        <v>926</v>
      </c>
      <c r="L13" s="24">
        <v>0</v>
      </c>
      <c r="M13" s="24">
        <v>1</v>
      </c>
    </row>
    <row r="14" spans="1:13" ht="21" customHeight="1">
      <c r="A14" s="24">
        <v>10</v>
      </c>
      <c r="B14" s="24" t="s">
        <v>936</v>
      </c>
      <c r="C14" s="24">
        <v>2111</v>
      </c>
      <c r="D14" s="68">
        <v>90</v>
      </c>
      <c r="E14" s="68">
        <v>1</v>
      </c>
      <c r="F14" s="69">
        <v>0</v>
      </c>
      <c r="G14" s="24">
        <v>0.5</v>
      </c>
      <c r="H14" s="24">
        <v>600</v>
      </c>
      <c r="I14" s="24">
        <v>100</v>
      </c>
      <c r="J14" s="26">
        <v>0</v>
      </c>
      <c r="K14" s="24" t="s">
        <v>926</v>
      </c>
      <c r="L14" s="24">
        <v>0</v>
      </c>
      <c r="M14" s="24">
        <v>1</v>
      </c>
    </row>
    <row r="15" spans="1:13" ht="21" customHeight="1">
      <c r="A15" s="24">
        <v>11</v>
      </c>
      <c r="B15" s="24" t="s">
        <v>937</v>
      </c>
      <c r="C15" s="24">
        <v>2112</v>
      </c>
      <c r="D15" s="68">
        <v>100</v>
      </c>
      <c r="E15" s="68">
        <v>1</v>
      </c>
      <c r="F15" s="69">
        <v>0</v>
      </c>
      <c r="G15" s="24">
        <v>0.5</v>
      </c>
      <c r="H15" s="24">
        <v>600</v>
      </c>
      <c r="I15" s="24">
        <v>100</v>
      </c>
      <c r="J15" s="24">
        <v>0</v>
      </c>
      <c r="K15" s="24" t="s">
        <v>926</v>
      </c>
      <c r="L15" s="24">
        <v>0</v>
      </c>
      <c r="M15" s="24">
        <v>1</v>
      </c>
    </row>
    <row r="16" spans="1:13" ht="21" customHeight="1">
      <c r="A16" s="24">
        <v>12</v>
      </c>
      <c r="B16" s="24" t="s">
        <v>938</v>
      </c>
      <c r="C16" s="24">
        <v>2113</v>
      </c>
      <c r="D16" s="68">
        <v>150</v>
      </c>
      <c r="E16" s="68">
        <v>1</v>
      </c>
      <c r="F16" s="69">
        <v>0</v>
      </c>
      <c r="G16" s="24">
        <v>0.5</v>
      </c>
      <c r="H16" s="24">
        <v>600</v>
      </c>
      <c r="I16" s="24">
        <v>100</v>
      </c>
      <c r="J16" s="26">
        <v>0</v>
      </c>
      <c r="K16" s="24" t="s">
        <v>926</v>
      </c>
      <c r="L16" s="24">
        <v>0</v>
      </c>
      <c r="M16" s="24">
        <v>1</v>
      </c>
    </row>
    <row r="17" spans="1:13" ht="21" customHeight="1">
      <c r="A17" s="24">
        <v>13</v>
      </c>
      <c r="B17" s="24" t="s">
        <v>939</v>
      </c>
      <c r="C17" s="24">
        <v>2114</v>
      </c>
      <c r="D17" s="68">
        <v>200</v>
      </c>
      <c r="E17" s="68">
        <v>1</v>
      </c>
      <c r="F17" s="69">
        <v>0</v>
      </c>
      <c r="G17" s="24">
        <v>0.5</v>
      </c>
      <c r="H17" s="24">
        <v>600</v>
      </c>
      <c r="I17" s="24">
        <v>100</v>
      </c>
      <c r="J17" s="24">
        <v>0</v>
      </c>
      <c r="K17" s="24" t="s">
        <v>926</v>
      </c>
      <c r="L17" s="24">
        <v>0</v>
      </c>
      <c r="M17" s="24">
        <v>1</v>
      </c>
    </row>
    <row r="18" spans="1:13" ht="21" customHeight="1">
      <c r="A18" s="24">
        <v>14</v>
      </c>
      <c r="B18" s="24" t="s">
        <v>940</v>
      </c>
      <c r="C18" s="24">
        <v>2115</v>
      </c>
      <c r="D18" s="68">
        <v>250</v>
      </c>
      <c r="E18" s="68">
        <v>1</v>
      </c>
      <c r="F18" s="69">
        <v>0</v>
      </c>
      <c r="G18" s="24">
        <v>0.5</v>
      </c>
      <c r="H18" s="24">
        <v>600</v>
      </c>
      <c r="I18" s="24">
        <v>105</v>
      </c>
      <c r="J18" s="24">
        <v>0</v>
      </c>
      <c r="K18" s="24" t="s">
        <v>926</v>
      </c>
      <c r="L18" s="24">
        <v>0</v>
      </c>
      <c r="M18" s="24">
        <v>1</v>
      </c>
    </row>
    <row r="19" spans="1:13" ht="21" customHeight="1">
      <c r="A19" s="24">
        <v>15</v>
      </c>
      <c r="B19" s="24" t="s">
        <v>941</v>
      </c>
      <c r="C19" s="24">
        <v>2116</v>
      </c>
      <c r="D19" s="68">
        <v>300</v>
      </c>
      <c r="E19" s="68">
        <v>1</v>
      </c>
      <c r="F19" s="69">
        <v>0</v>
      </c>
      <c r="G19" s="24">
        <v>0.5</v>
      </c>
      <c r="H19" s="24">
        <v>600</v>
      </c>
      <c r="I19" s="24">
        <v>105</v>
      </c>
      <c r="J19" s="24">
        <v>0</v>
      </c>
      <c r="K19" s="24" t="s">
        <v>926</v>
      </c>
      <c r="L19" s="24">
        <v>0</v>
      </c>
      <c r="M19" s="24">
        <v>1</v>
      </c>
    </row>
    <row r="20" spans="1:13" ht="21" customHeight="1">
      <c r="A20" s="24">
        <v>16</v>
      </c>
      <c r="B20" s="24" t="s">
        <v>942</v>
      </c>
      <c r="C20" s="24">
        <v>2117</v>
      </c>
      <c r="D20" s="68">
        <v>350</v>
      </c>
      <c r="E20" s="68">
        <v>1</v>
      </c>
      <c r="F20" s="69">
        <v>0</v>
      </c>
      <c r="G20" s="24">
        <v>0.5</v>
      </c>
      <c r="H20" s="24">
        <v>600</v>
      </c>
      <c r="I20" s="24">
        <v>105</v>
      </c>
      <c r="J20" s="26">
        <v>0</v>
      </c>
      <c r="K20" s="24" t="s">
        <v>926</v>
      </c>
      <c r="L20" s="24">
        <v>0</v>
      </c>
      <c r="M20" s="24">
        <v>1</v>
      </c>
    </row>
    <row r="21" spans="1:13" ht="21" customHeight="1">
      <c r="A21" s="24">
        <v>17</v>
      </c>
      <c r="B21" s="24" t="s">
        <v>943</v>
      </c>
      <c r="C21" s="24">
        <v>2118</v>
      </c>
      <c r="D21" s="68">
        <v>400</v>
      </c>
      <c r="E21" s="68">
        <v>1</v>
      </c>
      <c r="F21" s="69">
        <v>0</v>
      </c>
      <c r="G21" s="24">
        <v>0.5</v>
      </c>
      <c r="H21" s="24">
        <v>600</v>
      </c>
      <c r="I21" s="24">
        <v>105</v>
      </c>
      <c r="J21" s="24">
        <v>0</v>
      </c>
      <c r="K21" s="24" t="s">
        <v>926</v>
      </c>
      <c r="L21" s="24">
        <v>0</v>
      </c>
      <c r="M21" s="24">
        <v>1</v>
      </c>
    </row>
    <row r="22" spans="1:13" ht="21" customHeight="1">
      <c r="A22" s="24">
        <v>18</v>
      </c>
      <c r="B22" s="24" t="s">
        <v>944</v>
      </c>
      <c r="C22" s="24">
        <v>2119</v>
      </c>
      <c r="D22" s="68">
        <v>450</v>
      </c>
      <c r="E22" s="68">
        <v>1</v>
      </c>
      <c r="F22" s="69">
        <v>0</v>
      </c>
      <c r="G22" s="24">
        <v>0.5</v>
      </c>
      <c r="H22" s="24">
        <v>600</v>
      </c>
      <c r="I22" s="24">
        <v>105</v>
      </c>
      <c r="J22" s="26">
        <v>0</v>
      </c>
      <c r="K22" s="24" t="s">
        <v>926</v>
      </c>
      <c r="L22" s="24">
        <v>0</v>
      </c>
      <c r="M22" s="24">
        <v>1</v>
      </c>
    </row>
    <row r="23" spans="1:13" ht="21" customHeight="1">
      <c r="A23" s="24">
        <v>19</v>
      </c>
      <c r="B23" s="24" t="s">
        <v>945</v>
      </c>
      <c r="C23" s="24">
        <v>2120</v>
      </c>
      <c r="D23" s="68">
        <v>500</v>
      </c>
      <c r="E23" s="68">
        <v>1</v>
      </c>
      <c r="F23" s="69">
        <v>0</v>
      </c>
      <c r="G23" s="24">
        <v>0.5</v>
      </c>
      <c r="H23" s="24">
        <v>600</v>
      </c>
      <c r="I23" s="24">
        <v>105</v>
      </c>
      <c r="J23" s="24">
        <v>0</v>
      </c>
      <c r="K23" s="24" t="s">
        <v>926</v>
      </c>
      <c r="L23" s="24">
        <v>0</v>
      </c>
      <c r="M23" s="24">
        <v>1</v>
      </c>
    </row>
    <row r="24" spans="1:13" ht="21" customHeight="1">
      <c r="A24" s="24">
        <v>20</v>
      </c>
      <c r="B24" s="24" t="s">
        <v>946</v>
      </c>
      <c r="C24" s="24">
        <v>2121</v>
      </c>
      <c r="D24" s="68">
        <v>600</v>
      </c>
      <c r="E24" s="68">
        <v>1</v>
      </c>
      <c r="F24" s="69">
        <v>0</v>
      </c>
      <c r="G24" s="24">
        <v>0.5</v>
      </c>
      <c r="H24" s="24">
        <v>600</v>
      </c>
      <c r="I24" s="24">
        <v>105</v>
      </c>
      <c r="J24" s="24">
        <v>0</v>
      </c>
      <c r="K24" s="24" t="s">
        <v>926</v>
      </c>
      <c r="L24" s="24">
        <v>0</v>
      </c>
      <c r="M24" s="24">
        <v>1</v>
      </c>
    </row>
    <row r="25" spans="1:13" ht="21" customHeight="1">
      <c r="A25" s="24">
        <v>21</v>
      </c>
      <c r="B25" s="24" t="s">
        <v>947</v>
      </c>
      <c r="C25" s="24">
        <v>2122</v>
      </c>
      <c r="D25" s="68">
        <v>700</v>
      </c>
      <c r="E25" s="68">
        <v>1</v>
      </c>
      <c r="F25" s="69">
        <v>0</v>
      </c>
      <c r="G25" s="24">
        <v>0.5</v>
      </c>
      <c r="H25" s="24">
        <v>600</v>
      </c>
      <c r="I25" s="24">
        <v>105</v>
      </c>
      <c r="J25" s="24">
        <v>0</v>
      </c>
      <c r="K25" s="24" t="s">
        <v>926</v>
      </c>
      <c r="L25" s="24">
        <v>0</v>
      </c>
      <c r="M25" s="24">
        <v>1</v>
      </c>
    </row>
    <row r="26" spans="1:13" ht="21" customHeight="1">
      <c r="A26" s="24">
        <v>22</v>
      </c>
      <c r="B26" s="24" t="s">
        <v>948</v>
      </c>
      <c r="C26" s="24">
        <v>2123</v>
      </c>
      <c r="D26" s="68">
        <v>800</v>
      </c>
      <c r="E26" s="68">
        <v>1</v>
      </c>
      <c r="F26" s="69">
        <v>0</v>
      </c>
      <c r="G26" s="24">
        <v>0.5</v>
      </c>
      <c r="H26" s="24">
        <v>600</v>
      </c>
      <c r="I26" s="24">
        <v>105</v>
      </c>
      <c r="J26" s="26">
        <v>0</v>
      </c>
      <c r="K26" s="24" t="s">
        <v>926</v>
      </c>
      <c r="L26" s="24">
        <v>0</v>
      </c>
      <c r="M26" s="24">
        <v>1</v>
      </c>
    </row>
    <row r="27" spans="1:13" ht="21" customHeight="1">
      <c r="A27" s="24">
        <v>23</v>
      </c>
      <c r="B27" s="24" t="s">
        <v>949</v>
      </c>
      <c r="C27" s="24">
        <v>2124</v>
      </c>
      <c r="D27" s="68">
        <v>900</v>
      </c>
      <c r="E27" s="68">
        <v>1</v>
      </c>
      <c r="F27" s="69">
        <v>0</v>
      </c>
      <c r="G27" s="24">
        <v>0.5</v>
      </c>
      <c r="H27" s="24">
        <v>600</v>
      </c>
      <c r="I27" s="24">
        <v>105</v>
      </c>
      <c r="J27" s="24">
        <v>0</v>
      </c>
      <c r="K27" s="24" t="s">
        <v>926</v>
      </c>
      <c r="L27" s="24">
        <v>0</v>
      </c>
      <c r="M27" s="24">
        <v>1</v>
      </c>
    </row>
    <row r="28" spans="1:13" ht="21" customHeight="1">
      <c r="A28" s="24">
        <v>24</v>
      </c>
      <c r="B28" s="24" t="s">
        <v>950</v>
      </c>
      <c r="C28" s="24">
        <v>2125</v>
      </c>
      <c r="D28" s="68">
        <v>1000</v>
      </c>
      <c r="E28" s="68">
        <v>1</v>
      </c>
      <c r="F28" s="69">
        <v>0</v>
      </c>
      <c r="G28" s="24">
        <v>0.5</v>
      </c>
      <c r="H28" s="24">
        <v>600</v>
      </c>
      <c r="I28" s="24">
        <v>110</v>
      </c>
      <c r="J28" s="26">
        <v>0</v>
      </c>
      <c r="K28" s="24" t="s">
        <v>926</v>
      </c>
      <c r="L28" s="24">
        <v>0</v>
      </c>
      <c r="M28" s="24">
        <v>1</v>
      </c>
    </row>
    <row r="29" spans="1:13" ht="21" customHeight="1">
      <c r="A29" s="24">
        <v>25</v>
      </c>
      <c r="B29" s="24" t="s">
        <v>951</v>
      </c>
      <c r="C29" s="24">
        <v>2126</v>
      </c>
      <c r="D29" s="68">
        <v>1500</v>
      </c>
      <c r="E29" s="68">
        <v>1</v>
      </c>
      <c r="F29" s="69">
        <v>0</v>
      </c>
      <c r="G29" s="24">
        <v>0.5</v>
      </c>
      <c r="H29" s="24">
        <v>600</v>
      </c>
      <c r="I29" s="24">
        <v>110</v>
      </c>
      <c r="J29" s="24">
        <v>0</v>
      </c>
      <c r="K29" s="24" t="s">
        <v>926</v>
      </c>
      <c r="L29" s="24">
        <v>0</v>
      </c>
      <c r="M29" s="24">
        <v>1</v>
      </c>
    </row>
    <row r="30" spans="1:13" ht="21" customHeight="1">
      <c r="A30" s="24">
        <v>26</v>
      </c>
      <c r="B30" s="24" t="s">
        <v>952</v>
      </c>
      <c r="C30" s="24">
        <v>2127</v>
      </c>
      <c r="D30" s="68">
        <v>2000</v>
      </c>
      <c r="E30" s="68">
        <v>1</v>
      </c>
      <c r="F30" s="69">
        <v>0</v>
      </c>
      <c r="G30" s="24">
        <v>0.5</v>
      </c>
      <c r="H30" s="24">
        <v>600</v>
      </c>
      <c r="I30" s="24">
        <v>110</v>
      </c>
      <c r="J30" s="24">
        <v>0</v>
      </c>
      <c r="K30" s="24" t="s">
        <v>926</v>
      </c>
      <c r="L30" s="24">
        <v>0</v>
      </c>
      <c r="M30" s="24">
        <v>1</v>
      </c>
    </row>
    <row r="31" spans="1:13" ht="21" customHeight="1">
      <c r="A31" s="24">
        <v>27</v>
      </c>
      <c r="B31" s="24" t="s">
        <v>953</v>
      </c>
      <c r="C31" s="24">
        <v>2128</v>
      </c>
      <c r="D31" s="68">
        <v>2500</v>
      </c>
      <c r="E31" s="68">
        <v>1</v>
      </c>
      <c r="F31" s="69">
        <v>0</v>
      </c>
      <c r="G31" s="24">
        <v>0.5</v>
      </c>
      <c r="H31" s="24">
        <v>600</v>
      </c>
      <c r="I31" s="24">
        <v>110</v>
      </c>
      <c r="J31" s="24">
        <v>0</v>
      </c>
      <c r="K31" s="24" t="s">
        <v>926</v>
      </c>
      <c r="L31" s="24">
        <v>0</v>
      </c>
      <c r="M31" s="24">
        <v>1</v>
      </c>
    </row>
    <row r="32" spans="1:13" ht="21" customHeight="1">
      <c r="A32" s="24">
        <v>28</v>
      </c>
      <c r="B32" s="24" t="s">
        <v>954</v>
      </c>
      <c r="C32" s="24">
        <v>2129</v>
      </c>
      <c r="D32" s="68">
        <v>3000</v>
      </c>
      <c r="E32" s="68">
        <v>1</v>
      </c>
      <c r="F32" s="69">
        <v>0</v>
      </c>
      <c r="G32" s="24">
        <v>0.5</v>
      </c>
      <c r="H32" s="24">
        <v>600</v>
      </c>
      <c r="I32" s="24">
        <v>110</v>
      </c>
      <c r="J32" s="26">
        <v>0</v>
      </c>
      <c r="K32" s="24" t="s">
        <v>926</v>
      </c>
      <c r="L32" s="24">
        <v>0</v>
      </c>
      <c r="M32" s="24">
        <v>1</v>
      </c>
    </row>
    <row r="33" spans="1:13" ht="21" customHeight="1">
      <c r="A33" s="24">
        <v>29</v>
      </c>
      <c r="B33" s="24" t="s">
        <v>955</v>
      </c>
      <c r="C33" s="24">
        <v>2130</v>
      </c>
      <c r="D33" s="68">
        <v>3500</v>
      </c>
      <c r="E33" s="68">
        <v>1</v>
      </c>
      <c r="F33" s="69">
        <v>0</v>
      </c>
      <c r="G33" s="24">
        <v>0.5</v>
      </c>
      <c r="H33" s="24">
        <v>600</v>
      </c>
      <c r="I33" s="24">
        <v>110</v>
      </c>
      <c r="J33" s="24">
        <v>0</v>
      </c>
      <c r="K33" s="24" t="s">
        <v>926</v>
      </c>
      <c r="L33" s="24">
        <v>0</v>
      </c>
      <c r="M33" s="24">
        <v>1</v>
      </c>
    </row>
    <row r="34" spans="1:13" ht="21" customHeight="1">
      <c r="A34" s="24">
        <v>30</v>
      </c>
      <c r="B34" s="24" t="s">
        <v>956</v>
      </c>
      <c r="C34" s="24">
        <v>2131</v>
      </c>
      <c r="D34" s="68">
        <v>4000</v>
      </c>
      <c r="E34" s="68">
        <v>1</v>
      </c>
      <c r="F34" s="69">
        <v>0</v>
      </c>
      <c r="G34" s="24">
        <v>0.5</v>
      </c>
      <c r="H34" s="24">
        <v>600</v>
      </c>
      <c r="I34" s="24">
        <v>110</v>
      </c>
      <c r="J34" s="26">
        <v>0</v>
      </c>
      <c r="K34" s="24" t="s">
        <v>926</v>
      </c>
      <c r="L34" s="24">
        <v>0</v>
      </c>
      <c r="M34" s="24">
        <v>1</v>
      </c>
    </row>
    <row r="35" spans="1:13" ht="21" customHeight="1">
      <c r="A35" s="24">
        <v>31</v>
      </c>
      <c r="B35" s="24" t="s">
        <v>957</v>
      </c>
      <c r="C35" s="24">
        <v>2132</v>
      </c>
      <c r="D35" s="68">
        <v>4500</v>
      </c>
      <c r="E35" s="68">
        <v>1</v>
      </c>
      <c r="F35" s="69">
        <v>0</v>
      </c>
      <c r="G35" s="24">
        <v>0.5</v>
      </c>
      <c r="H35" s="24">
        <v>600</v>
      </c>
      <c r="I35" s="24">
        <v>110</v>
      </c>
      <c r="J35" s="24">
        <v>0</v>
      </c>
      <c r="K35" s="24" t="s">
        <v>926</v>
      </c>
      <c r="L35" s="24">
        <v>0</v>
      </c>
      <c r="M35" s="24">
        <v>1</v>
      </c>
    </row>
    <row r="36" spans="1:13" ht="21" customHeight="1">
      <c r="A36" s="24">
        <v>32</v>
      </c>
      <c r="B36" s="24" t="s">
        <v>958</v>
      </c>
      <c r="C36" s="24">
        <v>2133</v>
      </c>
      <c r="D36" s="68">
        <v>5000</v>
      </c>
      <c r="E36" s="68">
        <v>1</v>
      </c>
      <c r="F36" s="69">
        <v>0</v>
      </c>
      <c r="G36" s="24">
        <v>0.5</v>
      </c>
      <c r="H36" s="24">
        <v>600</v>
      </c>
      <c r="I36" s="24">
        <v>110</v>
      </c>
      <c r="J36" s="24">
        <v>0</v>
      </c>
      <c r="K36" s="24" t="s">
        <v>926</v>
      </c>
      <c r="L36" s="24">
        <v>0</v>
      </c>
      <c r="M36" s="24">
        <v>1</v>
      </c>
    </row>
    <row r="37" spans="1:13" ht="21" customHeight="1">
      <c r="A37" s="24">
        <v>33</v>
      </c>
      <c r="B37" s="24" t="s">
        <v>959</v>
      </c>
      <c r="C37" s="24">
        <v>2134</v>
      </c>
      <c r="D37" s="68">
        <v>6000</v>
      </c>
      <c r="E37" s="68">
        <v>1</v>
      </c>
      <c r="F37" s="69">
        <v>0</v>
      </c>
      <c r="G37" s="24">
        <v>0.5</v>
      </c>
      <c r="H37" s="24">
        <v>600</v>
      </c>
      <c r="I37" s="24">
        <v>110</v>
      </c>
      <c r="J37" s="24">
        <v>0</v>
      </c>
      <c r="K37" s="24" t="s">
        <v>926</v>
      </c>
      <c r="L37" s="24">
        <v>0</v>
      </c>
      <c r="M37" s="24">
        <v>1</v>
      </c>
    </row>
    <row r="38" spans="1:13" ht="21" customHeight="1">
      <c r="A38" s="24">
        <v>34</v>
      </c>
      <c r="B38" s="24" t="s">
        <v>960</v>
      </c>
      <c r="C38" s="24">
        <v>2135</v>
      </c>
      <c r="D38" s="68">
        <v>7000</v>
      </c>
      <c r="E38" s="68">
        <v>1</v>
      </c>
      <c r="F38" s="69">
        <v>0</v>
      </c>
      <c r="G38" s="24">
        <v>0.5</v>
      </c>
      <c r="H38" s="24">
        <v>600</v>
      </c>
      <c r="I38" s="24">
        <v>115</v>
      </c>
      <c r="J38" s="26">
        <v>0</v>
      </c>
      <c r="K38" s="24" t="s">
        <v>926</v>
      </c>
      <c r="L38" s="24">
        <v>0</v>
      </c>
      <c r="M38" s="24">
        <v>1</v>
      </c>
    </row>
    <row r="39" spans="1:13" ht="21" customHeight="1">
      <c r="A39" s="24">
        <v>35</v>
      </c>
      <c r="B39" s="24" t="s">
        <v>961</v>
      </c>
      <c r="C39" s="24">
        <v>2136</v>
      </c>
      <c r="D39" s="68">
        <v>8000</v>
      </c>
      <c r="E39" s="68">
        <v>1</v>
      </c>
      <c r="F39" s="69">
        <v>0</v>
      </c>
      <c r="G39" s="24">
        <v>0.5</v>
      </c>
      <c r="H39" s="24">
        <v>600</v>
      </c>
      <c r="I39" s="24">
        <v>115</v>
      </c>
      <c r="J39" s="24">
        <v>0</v>
      </c>
      <c r="K39" s="24" t="s">
        <v>926</v>
      </c>
      <c r="L39" s="24">
        <v>0</v>
      </c>
      <c r="M39" s="24">
        <v>1</v>
      </c>
    </row>
    <row r="40" spans="1:13" ht="21" customHeight="1">
      <c r="A40" s="24">
        <v>36</v>
      </c>
      <c r="B40" s="24" t="s">
        <v>962</v>
      </c>
      <c r="C40" s="24">
        <v>2137</v>
      </c>
      <c r="D40" s="68">
        <v>9000</v>
      </c>
      <c r="E40" s="68">
        <v>1</v>
      </c>
      <c r="F40" s="69">
        <v>0</v>
      </c>
      <c r="G40" s="24">
        <v>0.5</v>
      </c>
      <c r="H40" s="24">
        <v>600</v>
      </c>
      <c r="I40" s="24">
        <v>115</v>
      </c>
      <c r="J40" s="24">
        <v>0</v>
      </c>
      <c r="K40" s="24" t="s">
        <v>926</v>
      </c>
      <c r="L40" s="24">
        <v>0</v>
      </c>
      <c r="M40" s="24">
        <v>1</v>
      </c>
    </row>
    <row r="41" spans="1:13" ht="21" customHeight="1">
      <c r="A41" s="24">
        <v>37</v>
      </c>
      <c r="B41" s="24" t="s">
        <v>963</v>
      </c>
      <c r="C41" s="24">
        <v>2138</v>
      </c>
      <c r="D41" s="68">
        <v>10000</v>
      </c>
      <c r="E41" s="68">
        <v>1</v>
      </c>
      <c r="F41" s="69">
        <v>0</v>
      </c>
      <c r="G41" s="24">
        <v>0.5</v>
      </c>
      <c r="H41" s="24">
        <v>600</v>
      </c>
      <c r="I41" s="24">
        <v>115</v>
      </c>
      <c r="J41" s="24">
        <v>0</v>
      </c>
      <c r="K41" s="24" t="s">
        <v>926</v>
      </c>
      <c r="L41" s="24">
        <v>0</v>
      </c>
      <c r="M41" s="24">
        <v>1</v>
      </c>
    </row>
    <row r="42" spans="1:13" ht="21" customHeight="1">
      <c r="A42" s="24">
        <v>38</v>
      </c>
      <c r="B42" s="24" t="s">
        <v>964</v>
      </c>
      <c r="C42" s="24">
        <v>2139</v>
      </c>
      <c r="D42" s="68">
        <v>15000</v>
      </c>
      <c r="E42" s="68">
        <v>1</v>
      </c>
      <c r="F42" s="69">
        <v>0</v>
      </c>
      <c r="G42" s="24">
        <v>0.5</v>
      </c>
      <c r="H42" s="24">
        <v>600</v>
      </c>
      <c r="I42" s="24">
        <v>115</v>
      </c>
      <c r="J42" s="24">
        <v>0</v>
      </c>
      <c r="K42" s="24" t="s">
        <v>926</v>
      </c>
      <c r="L42" s="24">
        <v>0</v>
      </c>
      <c r="M42" s="24">
        <v>1</v>
      </c>
    </row>
    <row r="43" spans="1:13" ht="21" customHeight="1">
      <c r="A43" s="24">
        <v>39</v>
      </c>
      <c r="B43" s="24" t="s">
        <v>965</v>
      </c>
      <c r="C43" s="24">
        <v>2140</v>
      </c>
      <c r="D43" s="68">
        <v>20000</v>
      </c>
      <c r="E43" s="68">
        <v>1</v>
      </c>
      <c r="F43" s="69">
        <v>0</v>
      </c>
      <c r="G43" s="24">
        <v>0.5</v>
      </c>
      <c r="H43" s="24">
        <v>600</v>
      </c>
      <c r="I43" s="24">
        <v>115</v>
      </c>
      <c r="J43" s="26">
        <v>0</v>
      </c>
      <c r="K43" s="24" t="s">
        <v>926</v>
      </c>
      <c r="L43" s="24">
        <v>0</v>
      </c>
      <c r="M43" s="24">
        <v>1</v>
      </c>
    </row>
    <row r="44" spans="1:13" ht="21" customHeight="1">
      <c r="A44" s="24">
        <v>40</v>
      </c>
      <c r="B44" s="24" t="s">
        <v>966</v>
      </c>
      <c r="C44" s="24">
        <v>2141</v>
      </c>
      <c r="D44" s="68">
        <v>25000</v>
      </c>
      <c r="E44" s="68">
        <v>1</v>
      </c>
      <c r="F44" s="69">
        <v>0</v>
      </c>
      <c r="G44" s="24">
        <v>0.5</v>
      </c>
      <c r="H44" s="24">
        <v>600</v>
      </c>
      <c r="I44" s="24">
        <v>115</v>
      </c>
      <c r="J44" s="24">
        <v>0</v>
      </c>
      <c r="K44" s="24" t="s">
        <v>926</v>
      </c>
      <c r="L44" s="24">
        <v>0</v>
      </c>
      <c r="M44" s="24">
        <v>1</v>
      </c>
    </row>
    <row r="45" spans="1:13" ht="21" customHeight="1">
      <c r="A45" s="24">
        <v>41</v>
      </c>
      <c r="B45" s="24" t="s">
        <v>967</v>
      </c>
      <c r="C45" s="24">
        <v>2142</v>
      </c>
      <c r="D45" s="68">
        <v>30000</v>
      </c>
      <c r="E45" s="68">
        <v>1</v>
      </c>
      <c r="F45" s="69">
        <v>0</v>
      </c>
      <c r="G45" s="24">
        <v>0.5</v>
      </c>
      <c r="H45" s="24">
        <v>600</v>
      </c>
      <c r="I45" s="24">
        <v>115</v>
      </c>
      <c r="J45" s="24">
        <v>0</v>
      </c>
      <c r="K45" s="24" t="s">
        <v>926</v>
      </c>
      <c r="L45" s="24">
        <v>0</v>
      </c>
      <c r="M45" s="24">
        <v>1</v>
      </c>
    </row>
    <row r="46" spans="1:13" ht="21" customHeight="1">
      <c r="A46" s="24">
        <v>42</v>
      </c>
      <c r="B46" s="24" t="s">
        <v>968</v>
      </c>
      <c r="C46" s="24">
        <v>2143</v>
      </c>
      <c r="D46" s="68">
        <v>35000</v>
      </c>
      <c r="E46" s="68">
        <v>1</v>
      </c>
      <c r="F46" s="69">
        <v>0</v>
      </c>
      <c r="G46" s="24">
        <v>0.5</v>
      </c>
      <c r="H46" s="24">
        <v>600</v>
      </c>
      <c r="I46" s="24">
        <v>115</v>
      </c>
      <c r="J46" s="24">
        <v>0</v>
      </c>
      <c r="K46" s="24" t="s">
        <v>926</v>
      </c>
      <c r="L46" s="24">
        <v>0</v>
      </c>
      <c r="M46" s="24">
        <v>1</v>
      </c>
    </row>
    <row r="47" spans="1:13" ht="21" customHeight="1">
      <c r="A47" s="24">
        <v>43</v>
      </c>
      <c r="B47" s="24" t="s">
        <v>969</v>
      </c>
      <c r="C47" s="24">
        <v>2144</v>
      </c>
      <c r="D47" s="68">
        <v>40000</v>
      </c>
      <c r="E47" s="68">
        <v>1</v>
      </c>
      <c r="F47" s="69">
        <v>0</v>
      </c>
      <c r="G47" s="24">
        <v>0.5</v>
      </c>
      <c r="H47" s="24">
        <v>600</v>
      </c>
      <c r="I47" s="24">
        <v>115</v>
      </c>
      <c r="J47" s="24">
        <v>0</v>
      </c>
      <c r="K47" s="24" t="s">
        <v>926</v>
      </c>
      <c r="L47" s="24">
        <v>0</v>
      </c>
      <c r="M47" s="24">
        <v>1</v>
      </c>
    </row>
    <row r="48" spans="1:13" ht="21" customHeight="1">
      <c r="A48" s="24">
        <v>44</v>
      </c>
      <c r="B48" s="24" t="s">
        <v>970</v>
      </c>
      <c r="C48" s="24">
        <v>2145</v>
      </c>
      <c r="D48" s="68">
        <v>45000</v>
      </c>
      <c r="E48" s="68">
        <v>1</v>
      </c>
      <c r="F48" s="69">
        <v>0</v>
      </c>
      <c r="G48" s="24">
        <v>0.5</v>
      </c>
      <c r="H48" s="24">
        <v>600</v>
      </c>
      <c r="I48" s="24">
        <v>120</v>
      </c>
      <c r="J48" s="26">
        <v>0</v>
      </c>
      <c r="K48" s="24" t="s">
        <v>926</v>
      </c>
      <c r="L48" s="24">
        <v>0</v>
      </c>
      <c r="M48" s="24">
        <v>1</v>
      </c>
    </row>
    <row r="49" spans="1:13" ht="21" customHeight="1">
      <c r="A49" s="24">
        <v>45</v>
      </c>
      <c r="B49" s="24" t="s">
        <v>971</v>
      </c>
      <c r="C49" s="24">
        <v>2146</v>
      </c>
      <c r="D49" s="68">
        <v>50000</v>
      </c>
      <c r="E49" s="68">
        <v>1</v>
      </c>
      <c r="F49" s="69">
        <v>0</v>
      </c>
      <c r="G49" s="24">
        <v>0.5</v>
      </c>
      <c r="H49" s="24">
        <v>600</v>
      </c>
      <c r="I49" s="24">
        <v>120</v>
      </c>
      <c r="J49" s="26">
        <v>0</v>
      </c>
      <c r="K49" s="24" t="s">
        <v>926</v>
      </c>
      <c r="L49" s="24">
        <v>0</v>
      </c>
      <c r="M49" s="24">
        <v>1</v>
      </c>
    </row>
    <row r="50" spans="1:13" ht="21" customHeight="1">
      <c r="A50" s="24">
        <v>46</v>
      </c>
      <c r="B50" s="24" t="s">
        <v>972</v>
      </c>
      <c r="C50" s="24">
        <v>2147</v>
      </c>
      <c r="D50" s="68">
        <v>60000</v>
      </c>
      <c r="E50" s="68">
        <v>1</v>
      </c>
      <c r="F50" s="69">
        <v>0</v>
      </c>
      <c r="G50" s="24">
        <v>0.5</v>
      </c>
      <c r="H50" s="24">
        <v>600</v>
      </c>
      <c r="I50" s="24">
        <v>120</v>
      </c>
      <c r="J50" s="24">
        <v>0</v>
      </c>
      <c r="K50" s="24" t="s">
        <v>926</v>
      </c>
      <c r="L50" s="24">
        <v>0</v>
      </c>
      <c r="M50" s="24">
        <v>1</v>
      </c>
    </row>
    <row r="51" spans="1:13" ht="21" customHeight="1">
      <c r="A51" s="24">
        <v>47</v>
      </c>
      <c r="B51" s="24" t="s">
        <v>973</v>
      </c>
      <c r="C51" s="24">
        <v>2148</v>
      </c>
      <c r="D51" s="68">
        <v>70000</v>
      </c>
      <c r="E51" s="68">
        <v>1</v>
      </c>
      <c r="F51" s="69">
        <v>0</v>
      </c>
      <c r="G51" s="24">
        <v>0.5</v>
      </c>
      <c r="H51" s="24">
        <v>600</v>
      </c>
      <c r="I51" s="24">
        <v>120</v>
      </c>
      <c r="J51" s="24">
        <v>0</v>
      </c>
      <c r="K51" s="24" t="s">
        <v>926</v>
      </c>
      <c r="L51" s="24">
        <v>0</v>
      </c>
      <c r="M51" s="24">
        <v>1</v>
      </c>
    </row>
    <row r="52" spans="1:13" ht="21" customHeight="1">
      <c r="A52" s="24">
        <v>48</v>
      </c>
      <c r="B52" s="24" t="s">
        <v>974</v>
      </c>
      <c r="C52" s="24">
        <v>2149</v>
      </c>
      <c r="D52" s="68">
        <v>80000</v>
      </c>
      <c r="E52" s="68">
        <v>1</v>
      </c>
      <c r="F52" s="69">
        <v>0</v>
      </c>
      <c r="G52" s="24">
        <v>0.5</v>
      </c>
      <c r="H52" s="24">
        <v>600</v>
      </c>
      <c r="I52" s="24">
        <v>120</v>
      </c>
      <c r="J52" s="24">
        <v>0</v>
      </c>
      <c r="K52" s="24" t="s">
        <v>926</v>
      </c>
      <c r="L52" s="24">
        <v>0</v>
      </c>
      <c r="M52" s="24">
        <v>1</v>
      </c>
    </row>
    <row r="53" spans="1:13" ht="21" customHeight="1">
      <c r="A53" s="24">
        <v>49</v>
      </c>
      <c r="B53" s="24" t="s">
        <v>975</v>
      </c>
      <c r="C53" s="24">
        <v>2150</v>
      </c>
      <c r="D53" s="68">
        <v>90000</v>
      </c>
      <c r="E53" s="68">
        <v>1</v>
      </c>
      <c r="F53" s="69">
        <v>0</v>
      </c>
      <c r="G53" s="24">
        <v>0.5</v>
      </c>
      <c r="H53" s="24">
        <v>600</v>
      </c>
      <c r="I53" s="24">
        <v>120</v>
      </c>
      <c r="J53" s="26">
        <v>0</v>
      </c>
      <c r="K53" s="24" t="s">
        <v>926</v>
      </c>
      <c r="L53" s="24">
        <v>0</v>
      </c>
      <c r="M53" s="24">
        <v>1</v>
      </c>
    </row>
    <row r="54" spans="1:13" ht="21" customHeight="1">
      <c r="A54" s="24">
        <v>50</v>
      </c>
      <c r="B54" s="24" t="s">
        <v>976</v>
      </c>
      <c r="C54" s="24">
        <v>2151</v>
      </c>
      <c r="D54" s="63">
        <v>100000</v>
      </c>
      <c r="E54" s="68">
        <v>1</v>
      </c>
      <c r="F54" s="69">
        <v>0</v>
      </c>
      <c r="G54" s="24">
        <v>0.5</v>
      </c>
      <c r="H54" s="24">
        <v>600</v>
      </c>
      <c r="I54" s="24">
        <v>120</v>
      </c>
      <c r="J54" s="26">
        <v>0</v>
      </c>
      <c r="K54" s="24" t="s">
        <v>926</v>
      </c>
      <c r="L54" s="24">
        <v>0</v>
      </c>
      <c r="M54" s="24">
        <v>1</v>
      </c>
    </row>
    <row r="55" spans="1:13" ht="21" customHeight="1">
      <c r="A55" s="24">
        <v>51</v>
      </c>
      <c r="B55" s="24" t="s">
        <v>977</v>
      </c>
      <c r="C55" s="24">
        <v>2201</v>
      </c>
      <c r="D55" s="27">
        <v>0</v>
      </c>
      <c r="E55" s="27">
        <v>0</v>
      </c>
      <c r="F55" s="69">
        <v>0</v>
      </c>
      <c r="G55" s="27">
        <v>0</v>
      </c>
      <c r="H55" s="27">
        <v>0</v>
      </c>
      <c r="I55" s="27">
        <v>0</v>
      </c>
      <c r="J55" s="27">
        <v>0</v>
      </c>
      <c r="K55" s="27">
        <v>0</v>
      </c>
      <c r="L55" s="27">
        <v>0</v>
      </c>
      <c r="M55" s="24">
        <v>1</v>
      </c>
    </row>
    <row r="56" spans="1:13" ht="21" customHeight="1">
      <c r="A56" s="24">
        <v>52</v>
      </c>
      <c r="B56" s="24" t="s">
        <v>978</v>
      </c>
      <c r="C56" s="24">
        <v>2202</v>
      </c>
      <c r="D56" s="27">
        <v>0</v>
      </c>
      <c r="E56" s="27">
        <v>0</v>
      </c>
      <c r="F56" s="69">
        <v>0</v>
      </c>
      <c r="G56" s="27">
        <v>0</v>
      </c>
      <c r="H56" s="27">
        <v>0</v>
      </c>
      <c r="I56" s="27">
        <v>0</v>
      </c>
      <c r="J56" s="27">
        <v>0</v>
      </c>
      <c r="K56" s="27">
        <v>0</v>
      </c>
      <c r="L56" s="27">
        <v>0</v>
      </c>
      <c r="M56" s="24">
        <v>1</v>
      </c>
    </row>
    <row r="57" spans="1:13" ht="21" customHeight="1">
      <c r="A57" s="24">
        <v>53</v>
      </c>
      <c r="B57" s="24" t="s">
        <v>979</v>
      </c>
      <c r="C57" s="24">
        <v>2203</v>
      </c>
      <c r="D57" s="27">
        <v>0</v>
      </c>
      <c r="E57" s="27">
        <v>0</v>
      </c>
      <c r="F57" s="69">
        <v>0</v>
      </c>
      <c r="G57" s="27">
        <v>0</v>
      </c>
      <c r="H57" s="27">
        <v>0</v>
      </c>
      <c r="I57" s="27">
        <v>0</v>
      </c>
      <c r="J57" s="27">
        <v>0</v>
      </c>
      <c r="K57" s="27">
        <v>0</v>
      </c>
      <c r="L57" s="27">
        <v>0</v>
      </c>
      <c r="M57" s="24">
        <v>1</v>
      </c>
    </row>
    <row r="58" spans="1:13" ht="21" customHeight="1">
      <c r="A58" s="24">
        <v>54</v>
      </c>
      <c r="B58" s="24" t="s">
        <v>980</v>
      </c>
      <c r="C58" s="24">
        <v>2204</v>
      </c>
      <c r="D58" s="27">
        <v>0</v>
      </c>
      <c r="E58" s="27">
        <v>0</v>
      </c>
      <c r="F58" s="69">
        <v>0</v>
      </c>
      <c r="G58" s="27">
        <v>0</v>
      </c>
      <c r="H58" s="27">
        <v>0</v>
      </c>
      <c r="I58" s="27">
        <v>0</v>
      </c>
      <c r="J58" s="27">
        <v>0</v>
      </c>
      <c r="K58" s="27">
        <v>0</v>
      </c>
      <c r="L58" s="27">
        <v>0</v>
      </c>
      <c r="M58" s="24">
        <v>1</v>
      </c>
    </row>
    <row r="59" spans="1:13" ht="21" customHeight="1">
      <c r="A59" s="24">
        <v>55</v>
      </c>
      <c r="B59" s="24" t="s">
        <v>981</v>
      </c>
      <c r="C59" s="24">
        <v>2205</v>
      </c>
      <c r="D59" s="27">
        <v>0</v>
      </c>
      <c r="E59" s="27">
        <v>0</v>
      </c>
      <c r="F59" s="69">
        <v>0</v>
      </c>
      <c r="G59" s="27">
        <v>0</v>
      </c>
      <c r="H59" s="27">
        <v>0</v>
      </c>
      <c r="I59" s="27">
        <v>0</v>
      </c>
      <c r="J59" s="27">
        <v>0</v>
      </c>
      <c r="K59" s="27">
        <v>0</v>
      </c>
      <c r="L59" s="27">
        <v>0</v>
      </c>
      <c r="M59" s="24">
        <v>1</v>
      </c>
    </row>
    <row r="60" spans="1:13" ht="21" customHeight="1">
      <c r="A60" s="24">
        <v>56</v>
      </c>
      <c r="B60" s="24" t="s">
        <v>982</v>
      </c>
      <c r="C60" s="24">
        <v>2206</v>
      </c>
      <c r="D60" s="27">
        <v>0</v>
      </c>
      <c r="E60" s="27">
        <v>0</v>
      </c>
      <c r="F60" s="69">
        <v>0</v>
      </c>
      <c r="G60" s="27">
        <v>0</v>
      </c>
      <c r="H60" s="27">
        <v>0</v>
      </c>
      <c r="I60" s="27">
        <v>0</v>
      </c>
      <c r="J60" s="27">
        <v>0</v>
      </c>
      <c r="K60" s="27">
        <v>0</v>
      </c>
      <c r="L60" s="27">
        <v>0</v>
      </c>
      <c r="M60" s="24">
        <v>1</v>
      </c>
    </row>
    <row r="61" spans="1:13" ht="21" customHeight="1">
      <c r="A61" s="24">
        <v>57</v>
      </c>
      <c r="B61" s="24" t="s">
        <v>983</v>
      </c>
      <c r="C61" s="24">
        <v>2207</v>
      </c>
      <c r="D61" s="27">
        <v>0</v>
      </c>
      <c r="E61" s="27">
        <v>0</v>
      </c>
      <c r="F61" s="69">
        <v>0</v>
      </c>
      <c r="G61" s="27">
        <v>0</v>
      </c>
      <c r="H61" s="27">
        <v>0</v>
      </c>
      <c r="I61" s="27">
        <v>0</v>
      </c>
      <c r="J61" s="27">
        <v>0</v>
      </c>
      <c r="K61" s="27">
        <v>0</v>
      </c>
      <c r="L61" s="27">
        <v>0</v>
      </c>
      <c r="M61" s="24">
        <v>1</v>
      </c>
    </row>
    <row r="62" spans="1:13" ht="21" customHeight="1">
      <c r="A62" s="24">
        <v>58</v>
      </c>
      <c r="B62" s="24" t="s">
        <v>984</v>
      </c>
      <c r="C62" s="24">
        <v>2208</v>
      </c>
      <c r="D62" s="27">
        <v>0</v>
      </c>
      <c r="E62" s="27">
        <v>0</v>
      </c>
      <c r="F62" s="69">
        <v>0</v>
      </c>
      <c r="G62" s="27">
        <v>0</v>
      </c>
      <c r="H62" s="27">
        <v>0</v>
      </c>
      <c r="I62" s="27">
        <v>0</v>
      </c>
      <c r="J62" s="27">
        <v>0</v>
      </c>
      <c r="K62" s="27">
        <v>0</v>
      </c>
      <c r="L62" s="27">
        <v>0</v>
      </c>
      <c r="M62" s="24">
        <v>1</v>
      </c>
    </row>
    <row r="63" spans="1:13" ht="21" customHeight="1">
      <c r="A63" s="24">
        <v>59</v>
      </c>
      <c r="B63" s="24" t="s">
        <v>985</v>
      </c>
      <c r="C63" s="24">
        <v>2209</v>
      </c>
      <c r="D63" s="27">
        <v>0</v>
      </c>
      <c r="E63" s="27">
        <v>0</v>
      </c>
      <c r="F63" s="69">
        <v>0</v>
      </c>
      <c r="G63" s="27">
        <v>0</v>
      </c>
      <c r="H63" s="27">
        <v>0</v>
      </c>
      <c r="I63" s="27">
        <v>0</v>
      </c>
      <c r="J63" s="27">
        <v>0</v>
      </c>
      <c r="K63" s="27">
        <v>0</v>
      </c>
      <c r="L63" s="27">
        <v>0</v>
      </c>
      <c r="M63" s="24">
        <v>1</v>
      </c>
    </row>
    <row r="64" spans="1:13" ht="21" customHeight="1">
      <c r="A64" s="24">
        <v>60</v>
      </c>
      <c r="B64" s="24" t="s">
        <v>986</v>
      </c>
      <c r="C64" s="24">
        <v>2210</v>
      </c>
      <c r="D64" s="27">
        <v>0</v>
      </c>
      <c r="E64" s="27">
        <v>0</v>
      </c>
      <c r="F64" s="69">
        <v>0</v>
      </c>
      <c r="G64" s="27">
        <v>0</v>
      </c>
      <c r="H64" s="27">
        <v>0</v>
      </c>
      <c r="I64" s="27">
        <v>0</v>
      </c>
      <c r="J64" s="27">
        <v>0</v>
      </c>
      <c r="K64" s="27">
        <v>0</v>
      </c>
      <c r="L64" s="27">
        <v>0</v>
      </c>
      <c r="M64" s="24">
        <v>1</v>
      </c>
    </row>
    <row r="65" spans="1:255" ht="21" customHeight="1">
      <c r="A65" s="24">
        <v>61</v>
      </c>
      <c r="B65" s="24" t="s">
        <v>181</v>
      </c>
      <c r="C65" s="24">
        <v>2301</v>
      </c>
      <c r="D65" s="27">
        <v>0</v>
      </c>
      <c r="E65" s="27">
        <v>0</v>
      </c>
      <c r="F65" s="69">
        <v>0</v>
      </c>
      <c r="G65" s="27">
        <v>0</v>
      </c>
      <c r="H65" s="27">
        <v>0</v>
      </c>
      <c r="I65" s="27">
        <v>0</v>
      </c>
      <c r="J65" s="27">
        <v>0</v>
      </c>
      <c r="K65" s="27">
        <v>0</v>
      </c>
      <c r="L65" s="27">
        <v>0</v>
      </c>
      <c r="M65" s="24">
        <v>1</v>
      </c>
    </row>
    <row r="66" spans="1:255" ht="21" customHeight="1">
      <c r="A66" s="24">
        <v>62</v>
      </c>
      <c r="B66" s="24" t="s">
        <v>987</v>
      </c>
      <c r="C66" s="24">
        <v>2302</v>
      </c>
      <c r="D66" s="27">
        <v>0</v>
      </c>
      <c r="E66" s="27">
        <v>0</v>
      </c>
      <c r="F66" s="69">
        <v>0</v>
      </c>
      <c r="G66" s="27">
        <v>0</v>
      </c>
      <c r="H66" s="27">
        <v>0</v>
      </c>
      <c r="I66" s="27">
        <v>0</v>
      </c>
      <c r="J66" s="27">
        <v>0</v>
      </c>
      <c r="K66" s="27">
        <v>0</v>
      </c>
      <c r="L66" s="27">
        <v>0</v>
      </c>
      <c r="M66" s="24">
        <v>1</v>
      </c>
    </row>
    <row r="67" spans="1:255" ht="21" customHeight="1">
      <c r="A67" s="24">
        <v>63</v>
      </c>
      <c r="B67" s="36" t="s">
        <v>176</v>
      </c>
      <c r="C67" s="24">
        <v>2401</v>
      </c>
      <c r="D67" s="27">
        <v>0</v>
      </c>
      <c r="E67" s="71">
        <v>1000</v>
      </c>
      <c r="F67" s="69">
        <v>0</v>
      </c>
      <c r="G67" s="27">
        <v>0</v>
      </c>
      <c r="H67" s="27">
        <v>0</v>
      </c>
      <c r="I67" s="27">
        <v>400</v>
      </c>
      <c r="J67" s="27">
        <v>0</v>
      </c>
      <c r="K67" s="27">
        <v>0</v>
      </c>
      <c r="L67" s="27">
        <v>0</v>
      </c>
      <c r="M67" s="24">
        <v>1</v>
      </c>
    </row>
    <row r="68" spans="1:255" ht="21" customHeight="1">
      <c r="A68" s="24">
        <v>69</v>
      </c>
      <c r="B68" s="24" t="s">
        <v>988</v>
      </c>
      <c r="C68" s="24">
        <v>2501</v>
      </c>
      <c r="D68" s="27">
        <v>1</v>
      </c>
      <c r="E68" s="27">
        <v>1</v>
      </c>
      <c r="F68" s="69">
        <v>0</v>
      </c>
      <c r="G68" s="27">
        <v>0</v>
      </c>
      <c r="H68" s="27">
        <v>0</v>
      </c>
      <c r="I68" s="27">
        <v>0</v>
      </c>
      <c r="J68" s="27">
        <v>0</v>
      </c>
      <c r="K68" s="27">
        <v>0</v>
      </c>
      <c r="L68" s="27">
        <v>0</v>
      </c>
      <c r="M68" s="24">
        <v>1</v>
      </c>
    </row>
    <row r="69" spans="1:255" ht="21" customHeight="1">
      <c r="A69" s="24">
        <v>70</v>
      </c>
      <c r="B69" s="24" t="s">
        <v>989</v>
      </c>
      <c r="C69" s="24">
        <v>2502</v>
      </c>
      <c r="D69" s="27">
        <v>2</v>
      </c>
      <c r="E69" s="27">
        <v>1</v>
      </c>
      <c r="F69" s="69">
        <v>0</v>
      </c>
      <c r="G69" s="27">
        <v>0</v>
      </c>
      <c r="H69" s="27">
        <v>0</v>
      </c>
      <c r="I69" s="27">
        <v>0</v>
      </c>
      <c r="J69" s="27">
        <v>0</v>
      </c>
      <c r="K69" s="27">
        <v>0</v>
      </c>
      <c r="L69" s="27">
        <v>0</v>
      </c>
      <c r="M69" s="24">
        <v>1</v>
      </c>
    </row>
    <row r="70" spans="1:255" ht="21" customHeight="1">
      <c r="A70" s="24">
        <v>71</v>
      </c>
      <c r="B70" s="24" t="s">
        <v>990</v>
      </c>
      <c r="C70" s="24">
        <v>2503</v>
      </c>
      <c r="D70" s="27">
        <v>3</v>
      </c>
      <c r="E70" s="27">
        <v>1</v>
      </c>
      <c r="F70" s="69">
        <v>0</v>
      </c>
      <c r="G70" s="27">
        <v>0</v>
      </c>
      <c r="H70" s="27">
        <v>0</v>
      </c>
      <c r="I70" s="27">
        <v>0</v>
      </c>
      <c r="J70" s="27">
        <v>0</v>
      </c>
      <c r="K70" s="27">
        <v>0</v>
      </c>
      <c r="L70" s="27">
        <v>0</v>
      </c>
      <c r="M70" s="27">
        <v>1</v>
      </c>
    </row>
    <row r="71" spans="1:255" ht="21" customHeight="1">
      <c r="A71" s="24">
        <v>72</v>
      </c>
      <c r="B71" s="24" t="s">
        <v>991</v>
      </c>
      <c r="C71" s="24">
        <v>2504</v>
      </c>
      <c r="D71" s="27">
        <v>4</v>
      </c>
      <c r="E71" s="27">
        <v>1</v>
      </c>
      <c r="F71" s="69">
        <v>0</v>
      </c>
      <c r="G71" s="27">
        <v>0</v>
      </c>
      <c r="H71" s="27">
        <v>0</v>
      </c>
      <c r="I71" s="27">
        <v>0</v>
      </c>
      <c r="J71" s="27">
        <v>0</v>
      </c>
      <c r="K71" s="27">
        <v>0</v>
      </c>
      <c r="L71" s="27">
        <v>0</v>
      </c>
      <c r="M71" s="27">
        <v>1</v>
      </c>
    </row>
    <row r="72" spans="1:255" ht="21" customHeight="1">
      <c r="A72" s="24">
        <v>73</v>
      </c>
      <c r="B72" s="24" t="s">
        <v>992</v>
      </c>
      <c r="C72" s="24">
        <v>2505</v>
      </c>
      <c r="D72" s="27">
        <v>5</v>
      </c>
      <c r="E72" s="27">
        <v>1</v>
      </c>
      <c r="F72" s="69">
        <v>0</v>
      </c>
      <c r="G72" s="27">
        <v>0</v>
      </c>
      <c r="H72" s="27">
        <v>0</v>
      </c>
      <c r="I72" s="27">
        <v>0</v>
      </c>
      <c r="J72" s="27">
        <v>0</v>
      </c>
      <c r="K72" s="27">
        <v>0</v>
      </c>
      <c r="L72" s="27">
        <v>0</v>
      </c>
      <c r="M72" s="27">
        <v>1</v>
      </c>
    </row>
    <row r="73" spans="1:255" ht="21" customHeight="1">
      <c r="A73" s="24">
        <v>74</v>
      </c>
      <c r="B73" s="24" t="s">
        <v>993</v>
      </c>
      <c r="C73" s="24">
        <v>2506</v>
      </c>
      <c r="D73" s="27">
        <v>6</v>
      </c>
      <c r="E73" s="27">
        <v>1</v>
      </c>
      <c r="F73" s="69">
        <v>0</v>
      </c>
      <c r="G73" s="27">
        <v>0</v>
      </c>
      <c r="H73" s="27">
        <v>0</v>
      </c>
      <c r="I73" s="27">
        <v>0</v>
      </c>
      <c r="J73" s="27">
        <v>0</v>
      </c>
      <c r="K73" s="27">
        <v>0</v>
      </c>
      <c r="L73" s="27">
        <v>0</v>
      </c>
      <c r="M73" s="27">
        <v>1</v>
      </c>
    </row>
    <row r="74" spans="1:255" ht="21" customHeight="1">
      <c r="A74" s="24">
        <v>75</v>
      </c>
      <c r="B74" s="24" t="s">
        <v>994</v>
      </c>
      <c r="C74" s="24">
        <v>2507</v>
      </c>
      <c r="D74" s="27">
        <v>7</v>
      </c>
      <c r="E74" s="27">
        <v>1</v>
      </c>
      <c r="F74" s="69">
        <v>0</v>
      </c>
      <c r="G74" s="27">
        <v>0</v>
      </c>
      <c r="H74" s="27">
        <v>0</v>
      </c>
      <c r="I74" s="27">
        <v>0</v>
      </c>
      <c r="J74" s="27">
        <v>0</v>
      </c>
      <c r="K74" s="27">
        <v>0</v>
      </c>
      <c r="L74" s="27">
        <v>0</v>
      </c>
      <c r="M74" s="27">
        <v>1</v>
      </c>
    </row>
    <row r="75" spans="1:255" ht="21" customHeight="1">
      <c r="A75" s="24">
        <v>76</v>
      </c>
      <c r="B75" s="24" t="s">
        <v>995</v>
      </c>
      <c r="C75" s="24">
        <v>2508</v>
      </c>
      <c r="D75" s="27">
        <v>8</v>
      </c>
      <c r="E75" s="27">
        <v>1</v>
      </c>
      <c r="F75" s="69">
        <v>0</v>
      </c>
      <c r="G75" s="27">
        <v>0</v>
      </c>
      <c r="H75" s="27">
        <v>0</v>
      </c>
      <c r="I75" s="27">
        <v>0</v>
      </c>
      <c r="J75" s="27">
        <v>0</v>
      </c>
      <c r="K75" s="27">
        <v>0</v>
      </c>
      <c r="L75" s="27">
        <v>0</v>
      </c>
      <c r="M75" s="27">
        <v>1</v>
      </c>
    </row>
    <row r="76" spans="1:255" ht="21" customHeight="1">
      <c r="A76" s="24">
        <v>77</v>
      </c>
      <c r="B76" s="24" t="s">
        <v>996</v>
      </c>
      <c r="C76" s="24">
        <v>2509</v>
      </c>
      <c r="D76" s="27">
        <v>9</v>
      </c>
      <c r="E76" s="27">
        <v>1</v>
      </c>
      <c r="F76" s="69">
        <v>0</v>
      </c>
      <c r="G76" s="27">
        <v>0</v>
      </c>
      <c r="H76" s="27">
        <v>0</v>
      </c>
      <c r="I76" s="27">
        <v>0</v>
      </c>
      <c r="J76" s="27">
        <v>0</v>
      </c>
      <c r="K76" s="27">
        <v>0</v>
      </c>
      <c r="L76" s="27">
        <v>0</v>
      </c>
      <c r="M76" s="27">
        <v>1</v>
      </c>
    </row>
    <row r="77" spans="1:255" ht="21" customHeight="1">
      <c r="A77" s="24">
        <v>78</v>
      </c>
      <c r="B77" s="24" t="s">
        <v>997</v>
      </c>
      <c r="C77" s="24">
        <v>2510</v>
      </c>
      <c r="D77" s="27">
        <v>10</v>
      </c>
      <c r="E77" s="27">
        <v>1</v>
      </c>
      <c r="F77" s="69">
        <v>0</v>
      </c>
      <c r="G77" s="27">
        <v>0</v>
      </c>
      <c r="H77" s="27">
        <v>0</v>
      </c>
      <c r="I77" s="27">
        <v>0</v>
      </c>
      <c r="J77" s="27">
        <v>0</v>
      </c>
      <c r="K77" s="27">
        <v>0</v>
      </c>
      <c r="L77" s="27">
        <v>0</v>
      </c>
      <c r="M77" s="27">
        <v>1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</row>
    <row r="78" spans="1:255" ht="21" customHeight="1">
      <c r="A78" s="24">
        <v>79</v>
      </c>
      <c r="B78" s="36" t="s">
        <v>283</v>
      </c>
      <c r="C78" s="24">
        <v>2701</v>
      </c>
      <c r="D78" s="27">
        <v>0</v>
      </c>
      <c r="E78" s="72">
        <v>600</v>
      </c>
      <c r="F78" s="69">
        <v>0</v>
      </c>
      <c r="G78" s="27">
        <v>0</v>
      </c>
      <c r="H78" s="27">
        <v>0</v>
      </c>
      <c r="I78" s="27">
        <v>0</v>
      </c>
      <c r="J78" s="27">
        <v>0</v>
      </c>
      <c r="K78" s="27">
        <v>0</v>
      </c>
      <c r="L78" s="27">
        <v>0</v>
      </c>
      <c r="M78" s="27">
        <v>1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</row>
    <row r="79" spans="1:255" ht="21" customHeight="1">
      <c r="A79" s="24">
        <v>84</v>
      </c>
      <c r="B79" s="70" t="s">
        <v>998</v>
      </c>
      <c r="C79" s="24">
        <v>2801</v>
      </c>
      <c r="D79" s="27">
        <v>0</v>
      </c>
      <c r="E79" s="72">
        <v>2800</v>
      </c>
      <c r="F79" s="69">
        <v>0</v>
      </c>
      <c r="G79" s="27">
        <v>0</v>
      </c>
      <c r="H79" s="27">
        <v>0</v>
      </c>
      <c r="I79" s="27">
        <v>0</v>
      </c>
      <c r="J79" s="27">
        <v>0</v>
      </c>
      <c r="K79" s="27">
        <v>0</v>
      </c>
      <c r="L79" s="27">
        <v>0</v>
      </c>
      <c r="M79" s="27">
        <v>0.2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</row>
    <row r="80" spans="1:255" ht="21" customHeight="1">
      <c r="A80" s="24">
        <v>89</v>
      </c>
      <c r="B80" s="70" t="s">
        <v>296</v>
      </c>
      <c r="C80" s="24">
        <v>2901</v>
      </c>
      <c r="D80" s="27">
        <v>0</v>
      </c>
      <c r="E80" s="71">
        <v>90</v>
      </c>
      <c r="F80" s="69">
        <v>0</v>
      </c>
      <c r="G80" s="27">
        <v>0</v>
      </c>
      <c r="H80" s="27">
        <v>0</v>
      </c>
      <c r="I80" s="27">
        <v>0</v>
      </c>
      <c r="J80" s="27">
        <v>0</v>
      </c>
      <c r="K80" s="27">
        <v>0</v>
      </c>
      <c r="L80" s="27">
        <v>0</v>
      </c>
      <c r="M80" s="27">
        <v>1</v>
      </c>
    </row>
    <row r="81" spans="1:255" ht="21" customHeight="1">
      <c r="A81" s="24">
        <v>90</v>
      </c>
      <c r="B81" s="70" t="s">
        <v>305</v>
      </c>
      <c r="C81" s="24">
        <v>3001</v>
      </c>
      <c r="D81" s="27">
        <v>0</v>
      </c>
      <c r="E81" s="71">
        <v>120</v>
      </c>
      <c r="F81" s="69">
        <v>0</v>
      </c>
      <c r="G81" s="27">
        <v>0</v>
      </c>
      <c r="H81" s="27">
        <v>0</v>
      </c>
      <c r="I81" s="27">
        <v>0</v>
      </c>
      <c r="J81" s="27">
        <v>0</v>
      </c>
      <c r="K81" s="27">
        <v>0</v>
      </c>
      <c r="L81" s="27">
        <v>0</v>
      </c>
      <c r="M81" s="27">
        <v>1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</row>
    <row r="82" spans="1:255" ht="21" customHeight="1">
      <c r="A82" s="24">
        <v>91</v>
      </c>
      <c r="B82" s="70" t="s">
        <v>999</v>
      </c>
      <c r="C82" s="24">
        <v>3101</v>
      </c>
      <c r="D82" s="27">
        <v>0</v>
      </c>
      <c r="E82" s="71">
        <v>200</v>
      </c>
      <c r="F82" s="69">
        <v>0</v>
      </c>
      <c r="G82" s="27">
        <v>0</v>
      </c>
      <c r="H82" s="27">
        <v>0</v>
      </c>
      <c r="I82" s="27">
        <v>0</v>
      </c>
      <c r="J82" s="27">
        <v>0</v>
      </c>
      <c r="K82" s="27">
        <v>0</v>
      </c>
      <c r="L82" s="27">
        <v>0</v>
      </c>
      <c r="M82" s="27">
        <v>1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 ht="21" customHeight="1">
      <c r="A83" s="24">
        <v>92</v>
      </c>
      <c r="B83" s="70" t="s">
        <v>340</v>
      </c>
      <c r="C83" s="24">
        <v>3201</v>
      </c>
      <c r="D83" s="27">
        <v>0</v>
      </c>
      <c r="E83" s="71">
        <v>198</v>
      </c>
      <c r="F83" s="69">
        <v>0</v>
      </c>
      <c r="G83" s="27">
        <v>0</v>
      </c>
      <c r="H83" s="27">
        <v>0</v>
      </c>
      <c r="I83" s="27">
        <v>0</v>
      </c>
      <c r="J83" s="27">
        <v>0</v>
      </c>
      <c r="K83" s="27">
        <v>0</v>
      </c>
      <c r="L83" s="27">
        <v>0</v>
      </c>
      <c r="M83" s="27">
        <v>1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</row>
    <row r="84" spans="1:255" ht="21" customHeight="1">
      <c r="A84" s="24">
        <v>93</v>
      </c>
      <c r="B84" s="70" t="s">
        <v>342</v>
      </c>
      <c r="C84" s="24">
        <v>3301</v>
      </c>
      <c r="D84" s="27">
        <v>0</v>
      </c>
      <c r="E84" s="71">
        <v>504</v>
      </c>
      <c r="F84" s="69">
        <v>0</v>
      </c>
      <c r="G84" s="27">
        <v>0</v>
      </c>
      <c r="H84" s="27">
        <v>0</v>
      </c>
      <c r="I84" s="27">
        <v>0</v>
      </c>
      <c r="J84" s="27">
        <v>0</v>
      </c>
      <c r="K84" s="27">
        <v>0</v>
      </c>
      <c r="L84" s="27">
        <v>0</v>
      </c>
      <c r="M84" s="27">
        <v>1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</row>
    <row r="85" spans="1:255" ht="21" customHeight="1">
      <c r="A85" s="24">
        <v>94</v>
      </c>
      <c r="B85" s="70" t="s">
        <v>344</v>
      </c>
      <c r="C85" s="24">
        <v>3401</v>
      </c>
      <c r="D85" s="27">
        <v>0</v>
      </c>
      <c r="E85" s="71">
        <v>315</v>
      </c>
      <c r="F85" s="69">
        <v>0</v>
      </c>
      <c r="G85" s="27">
        <v>0</v>
      </c>
      <c r="H85" s="27">
        <v>0</v>
      </c>
      <c r="I85" s="27">
        <v>0</v>
      </c>
      <c r="J85" s="27">
        <v>0</v>
      </c>
      <c r="K85" s="27">
        <v>0</v>
      </c>
      <c r="L85" s="27">
        <v>0</v>
      </c>
      <c r="M85" s="27">
        <v>1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</row>
  </sheetData>
  <phoneticPr fontId="42" type="noConversion"/>
  <pageMargins left="0.75" right="0.75" top="1" bottom="1" header="0.5" footer="0.5"/>
  <pageSetup orientation="portrait"/>
  <headerFooter>
    <oddFooter>&amp;L&amp;"Helvetica,Regular"&amp;12&amp;K000000	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L12"/>
  <sheetViews>
    <sheetView workbookViewId="0">
      <selection activeCell="A4" sqref="A4:B6"/>
    </sheetView>
  </sheetViews>
  <sheetFormatPr defaultColWidth="11.09765625" defaultRowHeight="21.95" customHeight="1"/>
  <cols>
    <col min="1" max="1" width="11.09765625" style="22"/>
    <col min="2" max="2" width="18.5" style="22" customWidth="1"/>
    <col min="3" max="16384" width="11.09765625" style="22"/>
  </cols>
  <sheetData>
    <row r="1" spans="1:12" ht="21.95" customHeight="1">
      <c r="A1" s="61" t="s">
        <v>36</v>
      </c>
      <c r="B1" s="61" t="s">
        <v>1000</v>
      </c>
      <c r="C1" s="61" t="s">
        <v>1001</v>
      </c>
      <c r="D1" s="61" t="s">
        <v>1002</v>
      </c>
      <c r="E1" s="61" t="s">
        <v>1001</v>
      </c>
      <c r="F1" s="61" t="s">
        <v>1002</v>
      </c>
      <c r="G1" s="61" t="s">
        <v>1001</v>
      </c>
      <c r="H1" s="61" t="s">
        <v>1002</v>
      </c>
      <c r="I1" s="61" t="s">
        <v>1001</v>
      </c>
      <c r="J1" s="61" t="s">
        <v>1002</v>
      </c>
      <c r="K1" s="61" t="s">
        <v>1001</v>
      </c>
      <c r="L1" s="61" t="s">
        <v>1002</v>
      </c>
    </row>
    <row r="2" spans="1:12" ht="21.95" customHeight="1">
      <c r="A2" s="61" t="s">
        <v>915</v>
      </c>
      <c r="B2" s="66" t="s">
        <v>1003</v>
      </c>
      <c r="C2" s="61" t="s">
        <v>1004</v>
      </c>
      <c r="D2" s="61" t="s">
        <v>443</v>
      </c>
      <c r="E2" s="61" t="s">
        <v>1004</v>
      </c>
      <c r="F2" s="61" t="s">
        <v>443</v>
      </c>
      <c r="G2" s="61" t="s">
        <v>1004</v>
      </c>
      <c r="H2" s="61" t="s">
        <v>443</v>
      </c>
      <c r="I2" s="61" t="s">
        <v>1004</v>
      </c>
      <c r="J2" s="61" t="s">
        <v>443</v>
      </c>
      <c r="K2" s="61" t="s">
        <v>1004</v>
      </c>
      <c r="L2" s="61" t="s">
        <v>443</v>
      </c>
    </row>
    <row r="3" spans="1:12" ht="21.95" customHeight="1">
      <c r="A3" s="61" t="s">
        <v>39</v>
      </c>
      <c r="B3" s="61" t="s">
        <v>457</v>
      </c>
      <c r="C3" s="61" t="s">
        <v>1005</v>
      </c>
      <c r="D3" s="61" t="s">
        <v>39</v>
      </c>
      <c r="E3" s="61" t="s">
        <v>1005</v>
      </c>
      <c r="F3" s="61" t="s">
        <v>39</v>
      </c>
      <c r="G3" s="61" t="s">
        <v>1005</v>
      </c>
      <c r="H3" s="61" t="s">
        <v>39</v>
      </c>
      <c r="I3" s="61" t="s">
        <v>1005</v>
      </c>
      <c r="J3" s="61" t="s">
        <v>39</v>
      </c>
      <c r="K3" s="61" t="s">
        <v>1005</v>
      </c>
      <c r="L3" s="61" t="s">
        <v>39</v>
      </c>
    </row>
    <row r="4" spans="1:12" ht="21.95" customHeight="1">
      <c r="A4" s="61">
        <v>2401</v>
      </c>
      <c r="B4" s="61" t="s">
        <v>176</v>
      </c>
      <c r="C4" s="61" t="s">
        <v>1006</v>
      </c>
      <c r="D4" s="61">
        <v>1000</v>
      </c>
      <c r="E4" s="61" t="s">
        <v>1007</v>
      </c>
      <c r="F4" s="61">
        <v>6000</v>
      </c>
      <c r="G4" s="61" t="s">
        <v>1008</v>
      </c>
      <c r="H4" s="61">
        <v>2000</v>
      </c>
      <c r="I4" s="61" t="s">
        <v>1009</v>
      </c>
      <c r="J4" s="61">
        <v>500</v>
      </c>
      <c r="K4" s="61" t="s">
        <v>1010</v>
      </c>
      <c r="L4" s="61">
        <v>500</v>
      </c>
    </row>
    <row r="5" spans="1:12" ht="21.95" customHeight="1">
      <c r="A5" s="61">
        <v>2701</v>
      </c>
      <c r="B5" s="61" t="s">
        <v>283</v>
      </c>
      <c r="C5" s="61" t="s">
        <v>1006</v>
      </c>
      <c r="D5" s="61">
        <v>1000</v>
      </c>
      <c r="E5" s="61" t="s">
        <v>1007</v>
      </c>
      <c r="F5" s="61">
        <v>6000</v>
      </c>
      <c r="G5" s="61" t="s">
        <v>1008</v>
      </c>
      <c r="H5" s="61">
        <v>2000</v>
      </c>
      <c r="I5" s="61" t="s">
        <v>1009</v>
      </c>
      <c r="J5" s="61">
        <v>500</v>
      </c>
      <c r="K5" s="61" t="s">
        <v>1010</v>
      </c>
      <c r="L5" s="61">
        <v>500</v>
      </c>
    </row>
    <row r="6" spans="1:12" ht="21.95" customHeight="1">
      <c r="A6" s="61">
        <v>2801</v>
      </c>
      <c r="B6" s="61" t="s">
        <v>286</v>
      </c>
      <c r="C6" s="61" t="s">
        <v>1006</v>
      </c>
      <c r="D6" s="61">
        <v>1000</v>
      </c>
      <c r="E6" s="61" t="s">
        <v>1007</v>
      </c>
      <c r="F6" s="61">
        <v>6000</v>
      </c>
      <c r="G6" s="61" t="s">
        <v>1008</v>
      </c>
      <c r="H6" s="61">
        <v>2000</v>
      </c>
      <c r="I6" s="61" t="s">
        <v>1009</v>
      </c>
      <c r="J6" s="61">
        <v>500</v>
      </c>
      <c r="K6" s="61" t="s">
        <v>1010</v>
      </c>
      <c r="L6" s="61">
        <v>500</v>
      </c>
    </row>
    <row r="7" spans="1:12" ht="21.95" customHeight="1">
      <c r="A7" s="61">
        <v>2901</v>
      </c>
      <c r="B7" s="61" t="s">
        <v>296</v>
      </c>
      <c r="C7" s="61" t="s">
        <v>1006</v>
      </c>
      <c r="D7" s="61">
        <v>1000</v>
      </c>
      <c r="E7" s="61" t="s">
        <v>1007</v>
      </c>
      <c r="F7" s="61">
        <v>6000</v>
      </c>
      <c r="G7" s="61" t="s">
        <v>1008</v>
      </c>
      <c r="H7" s="61">
        <v>2000</v>
      </c>
      <c r="I7" s="61" t="s">
        <v>1009</v>
      </c>
      <c r="J7" s="61">
        <v>500</v>
      </c>
      <c r="K7" s="61" t="s">
        <v>1010</v>
      </c>
      <c r="L7" s="61">
        <v>500</v>
      </c>
    </row>
    <row r="8" spans="1:12" ht="21.95" customHeight="1">
      <c r="A8" s="61">
        <v>3001</v>
      </c>
      <c r="B8" s="61" t="s">
        <v>304</v>
      </c>
      <c r="C8" s="61" t="s">
        <v>1006</v>
      </c>
      <c r="D8" s="61">
        <v>1000</v>
      </c>
      <c r="E8" s="61" t="s">
        <v>1007</v>
      </c>
      <c r="F8" s="61">
        <v>6000</v>
      </c>
      <c r="G8" s="61" t="s">
        <v>1008</v>
      </c>
      <c r="H8" s="61">
        <v>2000</v>
      </c>
      <c r="I8" s="61" t="s">
        <v>1009</v>
      </c>
      <c r="J8" s="61">
        <v>500</v>
      </c>
      <c r="K8" s="61" t="s">
        <v>1010</v>
      </c>
      <c r="L8" s="61">
        <v>500</v>
      </c>
    </row>
    <row r="9" spans="1:12" ht="21.95" customHeight="1">
      <c r="A9" s="61">
        <v>3101</v>
      </c>
      <c r="B9" s="61" t="s">
        <v>312</v>
      </c>
      <c r="C9" s="61" t="s">
        <v>1006</v>
      </c>
      <c r="D9" s="61">
        <v>1000</v>
      </c>
      <c r="E9" s="61" t="s">
        <v>1007</v>
      </c>
      <c r="F9" s="61">
        <v>6000</v>
      </c>
      <c r="G9" s="61" t="s">
        <v>1008</v>
      </c>
      <c r="H9" s="61">
        <v>2000</v>
      </c>
      <c r="I9" s="61" t="s">
        <v>1009</v>
      </c>
      <c r="J9" s="61">
        <v>500</v>
      </c>
      <c r="K9" s="61" t="s">
        <v>1010</v>
      </c>
      <c r="L9" s="61">
        <v>500</v>
      </c>
    </row>
    <row r="10" spans="1:12" ht="21.95" customHeight="1">
      <c r="A10" s="61">
        <v>3201</v>
      </c>
      <c r="B10" s="61" t="s">
        <v>340</v>
      </c>
      <c r="C10" s="61" t="s">
        <v>1006</v>
      </c>
      <c r="D10" s="61">
        <v>1000</v>
      </c>
      <c r="E10" s="61" t="s">
        <v>1007</v>
      </c>
      <c r="F10" s="61">
        <v>6000</v>
      </c>
      <c r="G10" s="61" t="s">
        <v>1008</v>
      </c>
      <c r="H10" s="61">
        <v>2000</v>
      </c>
      <c r="I10" s="61" t="s">
        <v>1009</v>
      </c>
      <c r="J10" s="61">
        <v>500</v>
      </c>
      <c r="K10" s="61" t="s">
        <v>1010</v>
      </c>
      <c r="L10" s="61">
        <v>500</v>
      </c>
    </row>
    <row r="11" spans="1:12" ht="21.95" customHeight="1">
      <c r="A11" s="61">
        <v>3301</v>
      </c>
      <c r="B11" s="61" t="s">
        <v>342</v>
      </c>
      <c r="C11" s="61" t="s">
        <v>1006</v>
      </c>
      <c r="D11" s="61">
        <v>1000</v>
      </c>
      <c r="E11" s="61" t="s">
        <v>1007</v>
      </c>
      <c r="F11" s="61">
        <v>6000</v>
      </c>
      <c r="G11" s="61" t="s">
        <v>1008</v>
      </c>
      <c r="H11" s="61">
        <v>2000</v>
      </c>
      <c r="I11" s="61" t="s">
        <v>1009</v>
      </c>
      <c r="J11" s="61">
        <v>500</v>
      </c>
      <c r="K11" s="61" t="s">
        <v>1010</v>
      </c>
      <c r="L11" s="61">
        <v>500</v>
      </c>
    </row>
    <row r="12" spans="1:12" ht="21.95" customHeight="1">
      <c r="A12" s="61">
        <v>3401</v>
      </c>
      <c r="B12" s="61" t="s">
        <v>344</v>
      </c>
      <c r="C12" s="61" t="s">
        <v>1006</v>
      </c>
      <c r="D12" s="61">
        <v>1000</v>
      </c>
      <c r="E12" s="61" t="s">
        <v>1007</v>
      </c>
      <c r="F12" s="61">
        <v>6000</v>
      </c>
      <c r="G12" s="61" t="s">
        <v>1008</v>
      </c>
      <c r="H12" s="61">
        <v>2000</v>
      </c>
      <c r="I12" s="61" t="s">
        <v>1009</v>
      </c>
      <c r="J12" s="61">
        <v>500</v>
      </c>
      <c r="K12" s="61" t="s">
        <v>1010</v>
      </c>
      <c r="L12" s="61">
        <v>500</v>
      </c>
    </row>
  </sheetData>
  <phoneticPr fontId="42" type="noConversion"/>
  <pageMargins left="0.75" right="0.75" top="1" bottom="1" header="0.5" footer="0.5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T13"/>
  <sheetViews>
    <sheetView workbookViewId="0">
      <selection activeCell="G11" sqref="G11"/>
    </sheetView>
  </sheetViews>
  <sheetFormatPr defaultColWidth="8.69921875" defaultRowHeight="15"/>
  <cols>
    <col min="1" max="1" width="23.69921875" customWidth="1"/>
    <col min="2" max="2" width="18" customWidth="1"/>
    <col min="3" max="3" width="10.69921875" customWidth="1"/>
    <col min="4" max="4" width="12.8984375" customWidth="1"/>
  </cols>
  <sheetData>
    <row r="1" spans="1:20" ht="18.75">
      <c r="A1" s="61" t="s">
        <v>36</v>
      </c>
      <c r="B1" s="61" t="s">
        <v>1000</v>
      </c>
      <c r="C1" s="62" t="s">
        <v>1011</v>
      </c>
      <c r="D1" s="62" t="s">
        <v>1012</v>
      </c>
      <c r="E1" s="62" t="s">
        <v>1013</v>
      </c>
      <c r="F1" s="62" t="s">
        <v>1014</v>
      </c>
      <c r="G1" s="62" t="s">
        <v>1015</v>
      </c>
      <c r="H1" s="62" t="s">
        <v>1016</v>
      </c>
      <c r="I1" s="64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ht="18">
      <c r="A2" s="61" t="s">
        <v>915</v>
      </c>
      <c r="B2" s="61" t="s">
        <v>1003</v>
      </c>
      <c r="C2" s="61" t="s">
        <v>39</v>
      </c>
      <c r="D2" s="61" t="s">
        <v>39</v>
      </c>
      <c r="E2" s="61" t="s">
        <v>39</v>
      </c>
      <c r="F2" s="61" t="s">
        <v>39</v>
      </c>
      <c r="G2" s="61" t="s">
        <v>39</v>
      </c>
      <c r="H2" s="61" t="s">
        <v>39</v>
      </c>
      <c r="I2" s="64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</row>
    <row r="3" spans="1:20" ht="18">
      <c r="A3" s="61" t="s">
        <v>39</v>
      </c>
      <c r="B3" s="61" t="s">
        <v>457</v>
      </c>
      <c r="C3" s="61" t="s">
        <v>898</v>
      </c>
      <c r="D3" s="61" t="s">
        <v>898</v>
      </c>
      <c r="E3" s="61" t="s">
        <v>898</v>
      </c>
      <c r="F3" s="61" t="s">
        <v>898</v>
      </c>
      <c r="G3" s="61" t="s">
        <v>898</v>
      </c>
      <c r="H3" s="61" t="s">
        <v>898</v>
      </c>
      <c r="I3" s="64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ht="18">
      <c r="A4" s="61">
        <v>2401</v>
      </c>
      <c r="B4" s="61" t="s">
        <v>176</v>
      </c>
      <c r="C4" s="61">
        <v>10000</v>
      </c>
      <c r="D4" s="61">
        <v>0</v>
      </c>
      <c r="E4" s="61">
        <v>0</v>
      </c>
      <c r="F4" s="61">
        <v>0</v>
      </c>
      <c r="G4" s="61">
        <v>0</v>
      </c>
      <c r="H4" s="61">
        <v>0</v>
      </c>
      <c r="I4" s="65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</row>
    <row r="5" spans="1:20" ht="18">
      <c r="A5" s="61">
        <v>2701</v>
      </c>
      <c r="B5" s="61" t="s">
        <v>283</v>
      </c>
      <c r="C5" s="61">
        <v>10000</v>
      </c>
      <c r="D5" s="61">
        <v>0</v>
      </c>
      <c r="E5" s="61">
        <v>0</v>
      </c>
      <c r="F5" s="61">
        <v>0</v>
      </c>
      <c r="G5" s="61">
        <v>0</v>
      </c>
      <c r="H5" s="61">
        <v>0</v>
      </c>
      <c r="I5" s="65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1:20" ht="18">
      <c r="A6" s="61">
        <v>2801</v>
      </c>
      <c r="B6" s="61" t="s">
        <v>286</v>
      </c>
      <c r="C6" s="61">
        <v>10000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5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</row>
    <row r="7" spans="1:20" ht="18">
      <c r="A7" s="61">
        <v>2901</v>
      </c>
      <c r="B7" s="61" t="s">
        <v>296</v>
      </c>
      <c r="C7" s="61">
        <v>0</v>
      </c>
      <c r="D7" s="61">
        <v>0</v>
      </c>
      <c r="E7" s="61">
        <v>2500</v>
      </c>
      <c r="F7" s="61">
        <v>2500</v>
      </c>
      <c r="G7" s="61">
        <v>2500</v>
      </c>
      <c r="H7" s="61">
        <v>2500</v>
      </c>
      <c r="N7" s="39"/>
      <c r="O7" s="39"/>
      <c r="P7" s="39"/>
      <c r="Q7" s="39"/>
      <c r="R7" s="39"/>
      <c r="S7" s="39"/>
      <c r="T7" s="39"/>
    </row>
    <row r="8" spans="1:20" ht="18">
      <c r="A8" s="61">
        <v>3001</v>
      </c>
      <c r="B8" s="61" t="s">
        <v>304</v>
      </c>
      <c r="C8" s="61">
        <v>0</v>
      </c>
      <c r="D8" s="61">
        <v>0</v>
      </c>
      <c r="E8" s="61">
        <v>2500</v>
      </c>
      <c r="F8" s="61">
        <v>2500</v>
      </c>
      <c r="G8" s="61">
        <v>2500</v>
      </c>
      <c r="H8" s="61">
        <v>2500</v>
      </c>
      <c r="N8" s="39"/>
      <c r="O8" s="39"/>
      <c r="P8" s="39"/>
      <c r="Q8" s="39"/>
      <c r="R8" s="39"/>
      <c r="S8" s="39"/>
      <c r="T8" s="39"/>
    </row>
    <row r="9" spans="1:20" ht="18">
      <c r="A9" s="61">
        <v>3101</v>
      </c>
      <c r="B9" s="61" t="s">
        <v>312</v>
      </c>
      <c r="C9" s="61">
        <v>0</v>
      </c>
      <c r="D9" s="61">
        <v>0</v>
      </c>
      <c r="E9" s="61">
        <v>2500</v>
      </c>
      <c r="F9" s="61">
        <v>2500</v>
      </c>
      <c r="G9" s="61">
        <v>2500</v>
      </c>
      <c r="H9" s="61">
        <v>2500</v>
      </c>
      <c r="N9" s="39"/>
      <c r="O9" s="39"/>
      <c r="P9" s="39"/>
      <c r="Q9" s="39"/>
      <c r="R9" s="39"/>
      <c r="S9" s="39"/>
      <c r="T9" s="39"/>
    </row>
    <row r="10" spans="1:20" ht="18">
      <c r="A10" s="61">
        <v>3201</v>
      </c>
      <c r="B10" s="61" t="s">
        <v>340</v>
      </c>
      <c r="C10" s="61">
        <v>0</v>
      </c>
      <c r="D10" s="61">
        <v>3000</v>
      </c>
      <c r="E10" s="61">
        <v>3500</v>
      </c>
      <c r="F10" s="61">
        <v>1500</v>
      </c>
      <c r="G10" s="61">
        <v>1500</v>
      </c>
      <c r="H10" s="61">
        <v>500</v>
      </c>
      <c r="I10" s="64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ht="18">
      <c r="A11" s="61">
        <v>3301</v>
      </c>
      <c r="B11" s="61" t="s">
        <v>342</v>
      </c>
      <c r="C11" s="61">
        <v>0</v>
      </c>
      <c r="D11" s="61">
        <v>3500</v>
      </c>
      <c r="E11" s="61">
        <v>3500</v>
      </c>
      <c r="F11" s="61">
        <v>1500</v>
      </c>
      <c r="G11" s="61">
        <v>1000</v>
      </c>
      <c r="H11" s="61">
        <v>500</v>
      </c>
      <c r="I11" s="64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</row>
    <row r="12" spans="1:20" ht="18">
      <c r="A12" s="61">
        <v>3401</v>
      </c>
      <c r="B12" s="61" t="s">
        <v>344</v>
      </c>
      <c r="C12" s="61">
        <v>0</v>
      </c>
      <c r="D12" s="61">
        <v>3500</v>
      </c>
      <c r="E12" s="61">
        <v>3500</v>
      </c>
      <c r="F12" s="61">
        <v>1500</v>
      </c>
      <c r="G12" s="61">
        <v>1000</v>
      </c>
      <c r="H12" s="61">
        <v>500</v>
      </c>
      <c r="I12" s="64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</row>
    <row r="13" spans="1:20">
      <c r="A13" s="63"/>
      <c r="B13" s="63"/>
      <c r="C13" s="63"/>
      <c r="D13" s="63"/>
      <c r="E13" s="63"/>
      <c r="F13" s="63"/>
      <c r="G13" s="63"/>
      <c r="H13" s="63"/>
      <c r="I13" s="63"/>
    </row>
  </sheetData>
  <phoneticPr fontId="42" type="noConversion"/>
  <pageMargins left="0.75" right="0.75" top="1" bottom="1" header="0.51180555555555596" footer="0.51180555555555596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Q8"/>
  <sheetViews>
    <sheetView workbookViewId="0">
      <selection activeCell="J9" sqref="J9"/>
    </sheetView>
  </sheetViews>
  <sheetFormatPr defaultColWidth="8.8984375" defaultRowHeight="27.75" customHeight="1"/>
  <cols>
    <col min="1" max="41" width="8.8984375" style="54"/>
    <col min="42" max="42" width="16.796875" style="54" customWidth="1"/>
    <col min="43" max="43" width="33.09765625" style="54" customWidth="1"/>
    <col min="44" max="16384" width="8.8984375" style="54"/>
  </cols>
  <sheetData>
    <row r="1" spans="1:43" ht="27.75" customHeight="1">
      <c r="A1" s="55" t="s">
        <v>1017</v>
      </c>
      <c r="C1" s="56" t="s">
        <v>453</v>
      </c>
      <c r="D1" s="56" t="s">
        <v>1018</v>
      </c>
      <c r="F1" s="56" t="s">
        <v>453</v>
      </c>
      <c r="G1" s="56" t="s">
        <v>1019</v>
      </c>
      <c r="H1" s="56" t="s">
        <v>1020</v>
      </c>
      <c r="I1" s="56" t="s">
        <v>886</v>
      </c>
      <c r="J1" s="56" t="s">
        <v>1021</v>
      </c>
      <c r="K1" s="56" t="s">
        <v>1020</v>
      </c>
      <c r="L1" s="56" t="s">
        <v>886</v>
      </c>
      <c r="M1" s="56" t="s">
        <v>1021</v>
      </c>
      <c r="N1" s="56" t="s">
        <v>1020</v>
      </c>
      <c r="O1" s="56" t="s">
        <v>886</v>
      </c>
      <c r="P1" s="56" t="s">
        <v>1021</v>
      </c>
      <c r="Q1" s="56" t="s">
        <v>1020</v>
      </c>
      <c r="R1" s="56" t="s">
        <v>886</v>
      </c>
      <c r="S1" s="56" t="s">
        <v>1021</v>
      </c>
      <c r="T1" s="56" t="s">
        <v>1020</v>
      </c>
      <c r="U1" s="56" t="s">
        <v>886</v>
      </c>
      <c r="V1" s="56" t="s">
        <v>1021</v>
      </c>
      <c r="W1" s="56" t="s">
        <v>1020</v>
      </c>
      <c r="X1" s="56" t="s">
        <v>886</v>
      </c>
      <c r="Y1" s="56" t="s">
        <v>1021</v>
      </c>
      <c r="Z1" s="56" t="s">
        <v>1020</v>
      </c>
      <c r="AA1" s="56" t="s">
        <v>886</v>
      </c>
      <c r="AB1" s="56" t="s">
        <v>1021</v>
      </c>
      <c r="AC1" s="56" t="s">
        <v>1020</v>
      </c>
      <c r="AD1" s="56" t="s">
        <v>886</v>
      </c>
      <c r="AE1" s="56" t="s">
        <v>1021</v>
      </c>
      <c r="AF1" s="56" t="s">
        <v>1020</v>
      </c>
      <c r="AG1" s="56" t="s">
        <v>886</v>
      </c>
      <c r="AH1" s="56" t="s">
        <v>1021</v>
      </c>
      <c r="AI1" s="56" t="s">
        <v>1020</v>
      </c>
      <c r="AJ1" s="56" t="s">
        <v>886</v>
      </c>
      <c r="AK1" s="56" t="s">
        <v>1021</v>
      </c>
      <c r="AM1" s="56" t="s">
        <v>1022</v>
      </c>
      <c r="AN1" s="56" t="s">
        <v>1023</v>
      </c>
      <c r="AO1" s="56" t="s">
        <v>1024</v>
      </c>
      <c r="AQ1" s="59" t="s">
        <v>1025</v>
      </c>
    </row>
    <row r="2" spans="1:43" ht="27.75" customHeight="1">
      <c r="A2" s="55" t="s">
        <v>39</v>
      </c>
      <c r="C2" s="56" t="s">
        <v>39</v>
      </c>
      <c r="D2" s="56" t="s">
        <v>39</v>
      </c>
      <c r="F2" s="56" t="s">
        <v>39</v>
      </c>
      <c r="G2" s="56" t="s">
        <v>40</v>
      </c>
      <c r="H2" s="56" t="s">
        <v>40</v>
      </c>
      <c r="I2" s="56" t="s">
        <v>39</v>
      </c>
      <c r="J2" s="56" t="s">
        <v>39</v>
      </c>
      <c r="K2" s="56" t="s">
        <v>40</v>
      </c>
      <c r="L2" s="56" t="s">
        <v>39</v>
      </c>
      <c r="M2" s="56" t="s">
        <v>39</v>
      </c>
      <c r="N2" s="56" t="s">
        <v>40</v>
      </c>
      <c r="O2" s="56" t="s">
        <v>39</v>
      </c>
      <c r="P2" s="56" t="s">
        <v>39</v>
      </c>
      <c r="Q2" s="56" t="s">
        <v>40</v>
      </c>
      <c r="R2" s="56" t="s">
        <v>39</v>
      </c>
      <c r="S2" s="56" t="s">
        <v>39</v>
      </c>
      <c r="T2" s="56" t="s">
        <v>40</v>
      </c>
      <c r="U2" s="56" t="s">
        <v>39</v>
      </c>
      <c r="V2" s="56" t="s">
        <v>39</v>
      </c>
      <c r="W2" s="56" t="s">
        <v>40</v>
      </c>
      <c r="X2" s="56" t="s">
        <v>39</v>
      </c>
      <c r="Y2" s="56" t="s">
        <v>39</v>
      </c>
      <c r="Z2" s="56" t="s">
        <v>40</v>
      </c>
      <c r="AA2" s="56" t="s">
        <v>39</v>
      </c>
      <c r="AB2" s="56" t="s">
        <v>39</v>
      </c>
      <c r="AC2" s="56" t="s">
        <v>40</v>
      </c>
      <c r="AD2" s="56" t="s">
        <v>39</v>
      </c>
      <c r="AE2" s="56" t="s">
        <v>39</v>
      </c>
      <c r="AF2" s="56" t="s">
        <v>40</v>
      </c>
      <c r="AG2" s="56" t="s">
        <v>39</v>
      </c>
      <c r="AH2" s="56" t="s">
        <v>39</v>
      </c>
      <c r="AI2" s="56" t="s">
        <v>40</v>
      </c>
      <c r="AJ2" s="56" t="s">
        <v>39</v>
      </c>
      <c r="AK2" s="56" t="s">
        <v>39</v>
      </c>
      <c r="AM2" s="56" t="s">
        <v>39</v>
      </c>
      <c r="AN2" s="56" t="s">
        <v>39</v>
      </c>
      <c r="AO2" s="56" t="s">
        <v>40</v>
      </c>
      <c r="AQ2" s="59" t="s">
        <v>39</v>
      </c>
    </row>
    <row r="3" spans="1:43" ht="27.75" customHeight="1">
      <c r="A3" s="55" t="s">
        <v>1026</v>
      </c>
      <c r="C3" s="56" t="s">
        <v>1027</v>
      </c>
      <c r="D3" s="56" t="s">
        <v>1028</v>
      </c>
      <c r="F3" s="56" t="s">
        <v>1029</v>
      </c>
      <c r="G3" s="56" t="s">
        <v>1030</v>
      </c>
      <c r="H3" s="56" t="s">
        <v>1031</v>
      </c>
      <c r="I3" s="56" t="s">
        <v>1032</v>
      </c>
      <c r="J3" s="56" t="s">
        <v>1033</v>
      </c>
      <c r="K3" s="56" t="s">
        <v>1031</v>
      </c>
      <c r="L3" s="56" t="s">
        <v>1032</v>
      </c>
      <c r="M3" s="56" t="s">
        <v>1033</v>
      </c>
      <c r="N3" s="56" t="s">
        <v>1031</v>
      </c>
      <c r="O3" s="56" t="s">
        <v>1032</v>
      </c>
      <c r="P3" s="56" t="s">
        <v>1033</v>
      </c>
      <c r="Q3" s="56" t="s">
        <v>1031</v>
      </c>
      <c r="R3" s="56" t="s">
        <v>1032</v>
      </c>
      <c r="S3" s="56" t="s">
        <v>1033</v>
      </c>
      <c r="T3" s="56" t="s">
        <v>1031</v>
      </c>
      <c r="U3" s="56" t="s">
        <v>1032</v>
      </c>
      <c r="V3" s="56" t="s">
        <v>1033</v>
      </c>
      <c r="W3" s="56" t="s">
        <v>1031</v>
      </c>
      <c r="X3" s="56" t="s">
        <v>1032</v>
      </c>
      <c r="Y3" s="56" t="s">
        <v>1033</v>
      </c>
      <c r="Z3" s="56" t="s">
        <v>1031</v>
      </c>
      <c r="AA3" s="56" t="s">
        <v>1032</v>
      </c>
      <c r="AB3" s="56" t="s">
        <v>1033</v>
      </c>
      <c r="AC3" s="56" t="s">
        <v>1031</v>
      </c>
      <c r="AD3" s="56" t="s">
        <v>1032</v>
      </c>
      <c r="AE3" s="56" t="s">
        <v>1033</v>
      </c>
      <c r="AF3" s="56" t="s">
        <v>1031</v>
      </c>
      <c r="AG3" s="56" t="s">
        <v>1032</v>
      </c>
      <c r="AH3" s="56" t="s">
        <v>1033</v>
      </c>
      <c r="AI3" s="56" t="s">
        <v>1031</v>
      </c>
      <c r="AJ3" s="56" t="s">
        <v>1032</v>
      </c>
      <c r="AK3" s="56" t="s">
        <v>1033</v>
      </c>
      <c r="AM3" s="56" t="s">
        <v>1034</v>
      </c>
      <c r="AN3" s="56" t="s">
        <v>1035</v>
      </c>
      <c r="AO3" s="56" t="s">
        <v>1036</v>
      </c>
      <c r="AQ3" s="60" t="s">
        <v>1037</v>
      </c>
    </row>
    <row r="4" spans="1:43" ht="27.75" customHeight="1">
      <c r="A4" s="57">
        <v>1</v>
      </c>
      <c r="C4" s="58">
        <v>1</v>
      </c>
      <c r="D4" s="58">
        <v>1</v>
      </c>
      <c r="F4" s="58">
        <v>1</v>
      </c>
      <c r="G4" s="56" t="s">
        <v>1038</v>
      </c>
      <c r="H4" s="56" t="s">
        <v>1039</v>
      </c>
      <c r="I4" s="58">
        <v>100</v>
      </c>
      <c r="J4" s="58">
        <v>1</v>
      </c>
      <c r="K4" s="56" t="s">
        <v>1040</v>
      </c>
      <c r="L4" s="58">
        <v>3000</v>
      </c>
      <c r="M4" s="58">
        <v>1</v>
      </c>
      <c r="N4" s="56" t="s">
        <v>1041</v>
      </c>
      <c r="O4" s="58">
        <v>200</v>
      </c>
      <c r="P4" s="58">
        <v>1</v>
      </c>
      <c r="Q4" s="56" t="s">
        <v>1042</v>
      </c>
      <c r="R4" s="58">
        <v>1750</v>
      </c>
      <c r="S4" s="58">
        <v>1</v>
      </c>
      <c r="T4" s="56" t="s">
        <v>1043</v>
      </c>
      <c r="U4" s="58">
        <v>500</v>
      </c>
      <c r="V4" s="58">
        <v>1</v>
      </c>
      <c r="W4" s="56" t="s">
        <v>1044</v>
      </c>
      <c r="X4" s="58">
        <v>200</v>
      </c>
      <c r="Y4" s="58">
        <v>1</v>
      </c>
      <c r="Z4" s="56" t="s">
        <v>1045</v>
      </c>
      <c r="AA4" s="58">
        <v>2000</v>
      </c>
      <c r="AB4" s="58">
        <v>1</v>
      </c>
      <c r="AC4" s="56" t="s">
        <v>1046</v>
      </c>
      <c r="AD4" s="58">
        <v>500</v>
      </c>
      <c r="AE4" s="58">
        <v>1</v>
      </c>
      <c r="AF4" s="56" t="s">
        <v>1047</v>
      </c>
      <c r="AG4" s="58">
        <v>1250</v>
      </c>
      <c r="AH4" s="58">
        <v>1</v>
      </c>
      <c r="AI4" s="56" t="s">
        <v>1048</v>
      </c>
      <c r="AJ4" s="58">
        <v>500</v>
      </c>
      <c r="AK4" s="58">
        <v>1</v>
      </c>
      <c r="AM4" s="58">
        <v>2</v>
      </c>
      <c r="AN4" s="58">
        <v>0</v>
      </c>
      <c r="AO4" s="56" t="s">
        <v>1049</v>
      </c>
      <c r="AQ4" s="59">
        <v>5</v>
      </c>
    </row>
    <row r="5" spans="1:43" ht="27.75" customHeight="1">
      <c r="C5" s="58">
        <v>2</v>
      </c>
      <c r="D5" s="58">
        <v>40001</v>
      </c>
      <c r="F5" s="58">
        <v>2</v>
      </c>
      <c r="G5" s="56" t="s">
        <v>1050</v>
      </c>
      <c r="H5" s="56" t="s">
        <v>1051</v>
      </c>
      <c r="I5" s="58">
        <v>100</v>
      </c>
      <c r="J5" s="58">
        <v>1</v>
      </c>
      <c r="K5" s="56" t="s">
        <v>1052</v>
      </c>
      <c r="L5" s="58">
        <v>3000</v>
      </c>
      <c r="M5" s="58">
        <v>1</v>
      </c>
      <c r="N5" s="56" t="s">
        <v>1053</v>
      </c>
      <c r="O5" s="58">
        <v>200</v>
      </c>
      <c r="P5" s="58">
        <v>1</v>
      </c>
      <c r="Q5" s="56" t="s">
        <v>1054</v>
      </c>
      <c r="R5" s="58">
        <v>1750</v>
      </c>
      <c r="S5" s="58">
        <v>1</v>
      </c>
      <c r="T5" s="56" t="s">
        <v>1055</v>
      </c>
      <c r="U5" s="58">
        <v>500</v>
      </c>
      <c r="V5" s="58">
        <v>1</v>
      </c>
      <c r="W5" s="56" t="s">
        <v>1056</v>
      </c>
      <c r="X5" s="58">
        <v>200</v>
      </c>
      <c r="Y5" s="58">
        <v>1</v>
      </c>
      <c r="Z5" s="56" t="s">
        <v>1057</v>
      </c>
      <c r="AA5" s="58">
        <v>2000</v>
      </c>
      <c r="AB5" s="58">
        <v>1</v>
      </c>
      <c r="AC5" s="56" t="s">
        <v>1058</v>
      </c>
      <c r="AD5" s="58">
        <v>500</v>
      </c>
      <c r="AE5" s="58">
        <v>1</v>
      </c>
      <c r="AF5" s="56" t="s">
        <v>1059</v>
      </c>
      <c r="AG5" s="58">
        <v>1250</v>
      </c>
      <c r="AH5" s="58">
        <v>1</v>
      </c>
      <c r="AI5" s="56" t="s">
        <v>1060</v>
      </c>
      <c r="AJ5" s="58">
        <v>500</v>
      </c>
      <c r="AK5" s="58">
        <v>1</v>
      </c>
      <c r="AM5" s="58">
        <v>3</v>
      </c>
      <c r="AN5" s="58">
        <v>0</v>
      </c>
      <c r="AO5" s="56" t="s">
        <v>1061</v>
      </c>
    </row>
    <row r="6" spans="1:43" ht="27.75" customHeight="1">
      <c r="C6" s="58">
        <v>3</v>
      </c>
      <c r="D6" s="57">
        <v>500001</v>
      </c>
      <c r="F6" s="58">
        <v>3</v>
      </c>
      <c r="G6" s="56" t="s">
        <v>1050</v>
      </c>
      <c r="H6" s="56" t="s">
        <v>1062</v>
      </c>
      <c r="I6" s="58">
        <v>100</v>
      </c>
      <c r="J6" s="58">
        <v>1</v>
      </c>
      <c r="K6" s="56" t="s">
        <v>1056</v>
      </c>
      <c r="L6" s="58">
        <v>3000</v>
      </c>
      <c r="M6" s="58">
        <v>1</v>
      </c>
      <c r="N6" s="56" t="s">
        <v>1063</v>
      </c>
      <c r="O6" s="58">
        <v>200</v>
      </c>
      <c r="P6" s="58">
        <v>1</v>
      </c>
      <c r="Q6" s="56" t="s">
        <v>1051</v>
      </c>
      <c r="R6" s="58">
        <v>1750</v>
      </c>
      <c r="S6" s="58">
        <v>1</v>
      </c>
      <c r="T6" s="56" t="s">
        <v>1064</v>
      </c>
      <c r="U6" s="58">
        <v>500</v>
      </c>
      <c r="V6" s="58">
        <v>1</v>
      </c>
      <c r="W6" s="56" t="s">
        <v>1065</v>
      </c>
      <c r="X6" s="58">
        <v>200</v>
      </c>
      <c r="Y6" s="58">
        <v>1</v>
      </c>
      <c r="Z6" s="56" t="s">
        <v>1066</v>
      </c>
      <c r="AA6" s="58">
        <v>2000</v>
      </c>
      <c r="AB6" s="58">
        <v>1</v>
      </c>
      <c r="AC6" s="56" t="s">
        <v>1067</v>
      </c>
      <c r="AD6" s="58">
        <v>500</v>
      </c>
      <c r="AE6" s="58">
        <v>1</v>
      </c>
      <c r="AF6" s="56" t="s">
        <v>1068</v>
      </c>
      <c r="AG6" s="58">
        <v>1250</v>
      </c>
      <c r="AH6" s="58">
        <v>1</v>
      </c>
      <c r="AI6" s="56" t="s">
        <v>1069</v>
      </c>
      <c r="AJ6" s="58">
        <v>500</v>
      </c>
      <c r="AK6" s="58">
        <v>1</v>
      </c>
      <c r="AM6" s="58">
        <v>4</v>
      </c>
      <c r="AN6" s="58">
        <v>0</v>
      </c>
      <c r="AO6" s="56" t="s">
        <v>1070</v>
      </c>
    </row>
    <row r="7" spans="1:43" ht="27.75" customHeight="1">
      <c r="C7" s="58">
        <v>4</v>
      </c>
      <c r="D7" s="57">
        <v>2200001</v>
      </c>
      <c r="F7" s="58">
        <v>4</v>
      </c>
      <c r="G7" s="56" t="s">
        <v>1071</v>
      </c>
      <c r="H7" s="56" t="s">
        <v>1072</v>
      </c>
      <c r="I7" s="58">
        <v>100</v>
      </c>
      <c r="J7" s="58">
        <v>1</v>
      </c>
      <c r="K7" s="56" t="s">
        <v>1073</v>
      </c>
      <c r="L7" s="58">
        <v>3000</v>
      </c>
      <c r="M7" s="58">
        <v>1</v>
      </c>
      <c r="N7" s="56" t="s">
        <v>1074</v>
      </c>
      <c r="O7" s="58">
        <v>200</v>
      </c>
      <c r="P7" s="58">
        <v>1</v>
      </c>
      <c r="Q7" s="56" t="s">
        <v>1075</v>
      </c>
      <c r="R7" s="58">
        <v>1750</v>
      </c>
      <c r="S7" s="58">
        <v>1</v>
      </c>
      <c r="T7" s="56" t="s">
        <v>1076</v>
      </c>
      <c r="U7" s="58">
        <v>500</v>
      </c>
      <c r="V7" s="58">
        <v>1</v>
      </c>
      <c r="W7" s="56" t="s">
        <v>1077</v>
      </c>
      <c r="X7" s="58">
        <v>200</v>
      </c>
      <c r="Y7" s="58">
        <v>1</v>
      </c>
      <c r="Z7" s="56" t="s">
        <v>1078</v>
      </c>
      <c r="AA7" s="58">
        <v>2000</v>
      </c>
      <c r="AB7" s="58">
        <v>1</v>
      </c>
      <c r="AC7" s="56" t="s">
        <v>1079</v>
      </c>
      <c r="AD7" s="58">
        <v>500</v>
      </c>
      <c r="AE7" s="58">
        <v>1</v>
      </c>
      <c r="AF7" s="56" t="s">
        <v>1080</v>
      </c>
      <c r="AG7" s="58">
        <v>1250</v>
      </c>
      <c r="AH7" s="58">
        <v>1</v>
      </c>
      <c r="AI7" s="56" t="s">
        <v>1081</v>
      </c>
      <c r="AJ7" s="58">
        <v>500</v>
      </c>
      <c r="AK7" s="58">
        <v>1</v>
      </c>
    </row>
    <row r="8" spans="1:43" ht="27.75" customHeight="1">
      <c r="C8" s="58">
        <v>5</v>
      </c>
      <c r="D8" s="57">
        <v>7300001</v>
      </c>
      <c r="F8" s="58">
        <v>5</v>
      </c>
      <c r="G8" s="56" t="s">
        <v>1071</v>
      </c>
      <c r="H8" s="56" t="s">
        <v>1082</v>
      </c>
      <c r="I8" s="58">
        <v>100</v>
      </c>
      <c r="J8" s="58">
        <v>1</v>
      </c>
      <c r="K8" s="56" t="s">
        <v>1083</v>
      </c>
      <c r="L8" s="58">
        <v>3000</v>
      </c>
      <c r="M8" s="58">
        <v>1</v>
      </c>
      <c r="N8" s="56" t="s">
        <v>1084</v>
      </c>
      <c r="O8" s="58">
        <v>200</v>
      </c>
      <c r="P8" s="58">
        <v>1</v>
      </c>
      <c r="Q8" s="56" t="s">
        <v>1085</v>
      </c>
      <c r="R8" s="58">
        <v>1750</v>
      </c>
      <c r="S8" s="58">
        <v>1</v>
      </c>
      <c r="T8" s="56" t="s">
        <v>1086</v>
      </c>
      <c r="U8" s="58">
        <v>500</v>
      </c>
      <c r="V8" s="58">
        <v>1</v>
      </c>
      <c r="W8" s="56" t="s">
        <v>1087</v>
      </c>
      <c r="X8" s="58">
        <v>200</v>
      </c>
      <c r="Y8" s="58">
        <v>1</v>
      </c>
      <c r="Z8" s="56" t="s">
        <v>1088</v>
      </c>
      <c r="AA8" s="58">
        <v>2000</v>
      </c>
      <c r="AB8" s="58">
        <v>1</v>
      </c>
      <c r="AC8" s="56" t="s">
        <v>1089</v>
      </c>
      <c r="AD8" s="58">
        <v>500</v>
      </c>
      <c r="AE8" s="58">
        <v>1</v>
      </c>
      <c r="AF8" s="56" t="s">
        <v>1090</v>
      </c>
      <c r="AG8" s="58">
        <v>1250</v>
      </c>
      <c r="AH8" s="58">
        <v>1</v>
      </c>
      <c r="AI8" s="56" t="s">
        <v>1077</v>
      </c>
      <c r="AJ8" s="58">
        <v>500</v>
      </c>
      <c r="AK8" s="58">
        <v>1</v>
      </c>
    </row>
  </sheetData>
  <phoneticPr fontId="42" type="noConversion"/>
  <pageMargins left="0.75" right="0.75" top="1" bottom="1" header="0.51180555555555596" footer="0.51180555555555596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31"/>
  <sheetViews>
    <sheetView workbookViewId="0">
      <selection activeCell="H4" sqref="H4:L18"/>
    </sheetView>
  </sheetViews>
  <sheetFormatPr defaultColWidth="8.69921875" defaultRowHeight="15"/>
  <sheetData>
    <row r="1" spans="1:6">
      <c r="A1" s="47" t="s">
        <v>360</v>
      </c>
      <c r="B1" s="48" t="s">
        <v>1091</v>
      </c>
      <c r="C1" s="47" t="s">
        <v>1092</v>
      </c>
      <c r="D1" s="47" t="s">
        <v>1093</v>
      </c>
      <c r="E1" s="47" t="s">
        <v>1094</v>
      </c>
      <c r="F1" s="47" t="s">
        <v>1095</v>
      </c>
    </row>
    <row r="2" spans="1:6">
      <c r="A2" s="47" t="s">
        <v>26</v>
      </c>
      <c r="B2" s="49" t="s">
        <v>39</v>
      </c>
      <c r="C2" s="47" t="s">
        <v>39</v>
      </c>
      <c r="D2" s="47" t="s">
        <v>39</v>
      </c>
      <c r="E2" s="47" t="s">
        <v>39</v>
      </c>
      <c r="F2" s="47" t="s">
        <v>39</v>
      </c>
    </row>
    <row r="3" spans="1:6" ht="17.25">
      <c r="A3" s="50" t="s">
        <v>373</v>
      </c>
      <c r="B3" s="51" t="s">
        <v>1096</v>
      </c>
      <c r="C3" s="50" t="s">
        <v>1097</v>
      </c>
      <c r="D3" s="50" t="s">
        <v>898</v>
      </c>
      <c r="E3" s="50" t="s">
        <v>1098</v>
      </c>
      <c r="F3" s="50" t="s">
        <v>898</v>
      </c>
    </row>
    <row r="4" spans="1:6">
      <c r="A4" s="50" t="s">
        <v>386</v>
      </c>
      <c r="B4" s="52">
        <v>44101</v>
      </c>
      <c r="C4" s="50">
        <v>5101</v>
      </c>
      <c r="D4" s="50">
        <v>27500</v>
      </c>
      <c r="E4" s="50">
        <v>5101</v>
      </c>
      <c r="F4" s="50">
        <v>15000</v>
      </c>
    </row>
    <row r="5" spans="1:6">
      <c r="A5" s="50" t="s">
        <v>389</v>
      </c>
      <c r="B5" s="52">
        <v>44101</v>
      </c>
      <c r="C5" s="50">
        <v>5105</v>
      </c>
      <c r="D5" s="50">
        <v>27500</v>
      </c>
      <c r="E5" s="50">
        <v>5105</v>
      </c>
      <c r="F5" s="50">
        <v>15000</v>
      </c>
    </row>
    <row r="6" spans="1:6">
      <c r="A6" s="50" t="s">
        <v>1099</v>
      </c>
      <c r="B6" s="52">
        <v>44101</v>
      </c>
      <c r="C6" s="50">
        <v>5103</v>
      </c>
      <c r="D6" s="50">
        <v>15000</v>
      </c>
      <c r="E6" s="50">
        <v>5103</v>
      </c>
      <c r="F6" s="50">
        <v>15000</v>
      </c>
    </row>
    <row r="7" spans="1:6">
      <c r="A7" s="50" t="s">
        <v>391</v>
      </c>
      <c r="B7" s="52">
        <v>44101</v>
      </c>
      <c r="C7" s="50">
        <v>5108</v>
      </c>
      <c r="D7" s="50">
        <v>15000</v>
      </c>
      <c r="E7" s="50">
        <v>5108</v>
      </c>
      <c r="F7" s="50">
        <v>15000</v>
      </c>
    </row>
    <row r="8" spans="1:6">
      <c r="A8" s="50" t="s">
        <v>1100</v>
      </c>
      <c r="B8" s="52">
        <v>44101</v>
      </c>
      <c r="C8" s="50">
        <v>5106</v>
      </c>
      <c r="D8" s="50">
        <v>5000</v>
      </c>
      <c r="E8" s="50">
        <v>5106</v>
      </c>
      <c r="F8" s="50">
        <v>15000</v>
      </c>
    </row>
    <row r="9" spans="1:6">
      <c r="A9" s="50" t="s">
        <v>392</v>
      </c>
      <c r="B9" s="52">
        <v>44101</v>
      </c>
      <c r="C9" s="50">
        <v>5109</v>
      </c>
      <c r="D9" s="50">
        <v>5000</v>
      </c>
      <c r="E9" s="50">
        <v>5109</v>
      </c>
      <c r="F9" s="50">
        <v>15000</v>
      </c>
    </row>
    <row r="10" spans="1:6">
      <c r="A10" s="50" t="s">
        <v>393</v>
      </c>
      <c r="B10" s="52">
        <v>44101</v>
      </c>
      <c r="C10" s="50">
        <v>5110</v>
      </c>
      <c r="D10" s="50">
        <v>5000</v>
      </c>
      <c r="E10" s="50">
        <v>5110</v>
      </c>
      <c r="F10" s="50">
        <v>10000</v>
      </c>
    </row>
    <row r="11" spans="1:6">
      <c r="A11" s="50" t="s">
        <v>386</v>
      </c>
      <c r="B11" s="53">
        <v>44102</v>
      </c>
      <c r="C11" s="50">
        <v>5101</v>
      </c>
      <c r="D11" s="50">
        <v>20000</v>
      </c>
      <c r="E11" s="50">
        <v>5101</v>
      </c>
      <c r="F11" s="50">
        <v>15000</v>
      </c>
    </row>
    <row r="12" spans="1:6">
      <c r="A12" s="50" t="s">
        <v>389</v>
      </c>
      <c r="B12" s="53">
        <v>44102</v>
      </c>
      <c r="C12" s="50">
        <v>5105</v>
      </c>
      <c r="D12" s="50">
        <v>20000</v>
      </c>
      <c r="E12" s="50">
        <v>5105</v>
      </c>
      <c r="F12" s="50">
        <v>15000</v>
      </c>
    </row>
    <row r="13" spans="1:6">
      <c r="A13" s="50" t="s">
        <v>1099</v>
      </c>
      <c r="B13" s="53">
        <v>44102</v>
      </c>
      <c r="C13" s="50">
        <v>5103</v>
      </c>
      <c r="D13" s="50">
        <v>22500</v>
      </c>
      <c r="E13" s="50">
        <v>5103</v>
      </c>
      <c r="F13" s="50">
        <v>15000</v>
      </c>
    </row>
    <row r="14" spans="1:6">
      <c r="A14" s="50" t="s">
        <v>391</v>
      </c>
      <c r="B14" s="53">
        <v>44102</v>
      </c>
      <c r="C14" s="50">
        <v>5108</v>
      </c>
      <c r="D14" s="50">
        <v>22500</v>
      </c>
      <c r="E14" s="50">
        <v>5108</v>
      </c>
      <c r="F14" s="50">
        <v>15000</v>
      </c>
    </row>
    <row r="15" spans="1:6">
      <c r="A15" s="50" t="s">
        <v>1100</v>
      </c>
      <c r="B15" s="53">
        <v>44102</v>
      </c>
      <c r="C15" s="50">
        <v>5106</v>
      </c>
      <c r="D15" s="50">
        <v>5000</v>
      </c>
      <c r="E15" s="50">
        <v>5106</v>
      </c>
      <c r="F15" s="50">
        <v>15000</v>
      </c>
    </row>
    <row r="16" spans="1:6">
      <c r="A16" s="50" t="s">
        <v>392</v>
      </c>
      <c r="B16" s="53">
        <v>44102</v>
      </c>
      <c r="C16" s="50">
        <v>5109</v>
      </c>
      <c r="D16" s="50">
        <v>5000</v>
      </c>
      <c r="E16" s="50">
        <v>5109</v>
      </c>
      <c r="F16" s="50">
        <v>15000</v>
      </c>
    </row>
    <row r="17" spans="1:6">
      <c r="A17" s="50" t="s">
        <v>393</v>
      </c>
      <c r="B17" s="53">
        <v>44102</v>
      </c>
      <c r="C17" s="50">
        <v>5110</v>
      </c>
      <c r="D17" s="50">
        <v>5000</v>
      </c>
      <c r="E17" s="50">
        <v>5110</v>
      </c>
      <c r="F17" s="50">
        <v>10000</v>
      </c>
    </row>
    <row r="18" spans="1:6">
      <c r="A18" s="50" t="s">
        <v>386</v>
      </c>
      <c r="B18" s="53">
        <v>44103</v>
      </c>
      <c r="C18" s="50">
        <v>5101</v>
      </c>
      <c r="D18" s="50">
        <v>5000</v>
      </c>
      <c r="E18" s="50">
        <v>5101</v>
      </c>
      <c r="F18" s="50">
        <v>15000</v>
      </c>
    </row>
    <row r="19" spans="1:6">
      <c r="A19" s="50" t="s">
        <v>389</v>
      </c>
      <c r="B19" s="53">
        <v>44103</v>
      </c>
      <c r="C19" s="50">
        <v>5105</v>
      </c>
      <c r="D19" s="50">
        <v>5000</v>
      </c>
      <c r="E19" s="50">
        <v>5105</v>
      </c>
      <c r="F19" s="50">
        <v>15000</v>
      </c>
    </row>
    <row r="20" spans="1:6">
      <c r="A20" s="50" t="s">
        <v>1099</v>
      </c>
      <c r="B20" s="53">
        <v>44103</v>
      </c>
      <c r="C20" s="50">
        <v>5103</v>
      </c>
      <c r="D20" s="50">
        <v>18000</v>
      </c>
      <c r="E20" s="50">
        <v>5103</v>
      </c>
      <c r="F20" s="50">
        <v>15000</v>
      </c>
    </row>
    <row r="21" spans="1:6">
      <c r="A21" s="50" t="s">
        <v>391</v>
      </c>
      <c r="B21" s="53">
        <v>44103</v>
      </c>
      <c r="C21" s="50">
        <v>5108</v>
      </c>
      <c r="D21" s="50">
        <v>18000</v>
      </c>
      <c r="E21" s="50">
        <v>5108</v>
      </c>
      <c r="F21" s="50">
        <v>15000</v>
      </c>
    </row>
    <row r="22" spans="1:6">
      <c r="A22" s="50" t="s">
        <v>1100</v>
      </c>
      <c r="B22" s="53">
        <v>44103</v>
      </c>
      <c r="C22" s="50">
        <v>5106</v>
      </c>
      <c r="D22" s="50">
        <v>18000</v>
      </c>
      <c r="E22" s="50">
        <v>5106</v>
      </c>
      <c r="F22" s="50">
        <v>15000</v>
      </c>
    </row>
    <row r="23" spans="1:6">
      <c r="A23" s="50" t="s">
        <v>392</v>
      </c>
      <c r="B23" s="53">
        <v>44103</v>
      </c>
      <c r="C23" s="50">
        <v>5109</v>
      </c>
      <c r="D23" s="50">
        <v>18000</v>
      </c>
      <c r="E23" s="50">
        <v>5109</v>
      </c>
      <c r="F23" s="50">
        <v>15000</v>
      </c>
    </row>
    <row r="24" spans="1:6">
      <c r="A24" s="50" t="s">
        <v>393</v>
      </c>
      <c r="B24" s="53">
        <v>44103</v>
      </c>
      <c r="C24" s="50">
        <v>5110</v>
      </c>
      <c r="D24" s="50">
        <v>18000</v>
      </c>
      <c r="E24" s="50">
        <v>5110</v>
      </c>
      <c r="F24" s="50">
        <v>10000</v>
      </c>
    </row>
    <row r="25" spans="1:6">
      <c r="A25" s="50" t="s">
        <v>386</v>
      </c>
      <c r="B25" s="53">
        <v>44104</v>
      </c>
      <c r="C25" s="50">
        <v>5101</v>
      </c>
      <c r="D25" s="50">
        <v>5000</v>
      </c>
      <c r="E25" s="50">
        <v>5101</v>
      </c>
      <c r="F25" s="50">
        <v>15000</v>
      </c>
    </row>
    <row r="26" spans="1:6">
      <c r="A26" s="50" t="s">
        <v>389</v>
      </c>
      <c r="B26" s="53">
        <v>44104</v>
      </c>
      <c r="C26" s="50">
        <v>5105</v>
      </c>
      <c r="D26" s="50">
        <v>5000</v>
      </c>
      <c r="E26" s="50">
        <v>5105</v>
      </c>
      <c r="F26" s="50">
        <v>15000</v>
      </c>
    </row>
    <row r="27" spans="1:6">
      <c r="A27" s="50" t="s">
        <v>1099</v>
      </c>
      <c r="B27" s="53">
        <v>44104</v>
      </c>
      <c r="C27" s="50">
        <v>5103</v>
      </c>
      <c r="D27" s="50">
        <v>7500</v>
      </c>
      <c r="E27" s="50">
        <v>5103</v>
      </c>
      <c r="F27" s="50">
        <v>15000</v>
      </c>
    </row>
    <row r="28" spans="1:6">
      <c r="A28" s="50" t="s">
        <v>391</v>
      </c>
      <c r="B28" s="53">
        <v>44104</v>
      </c>
      <c r="C28" s="50">
        <v>5108</v>
      </c>
      <c r="D28" s="50">
        <v>7500</v>
      </c>
      <c r="E28" s="50">
        <v>5108</v>
      </c>
      <c r="F28" s="50">
        <v>15000</v>
      </c>
    </row>
    <row r="29" spans="1:6">
      <c r="A29" s="50" t="s">
        <v>1100</v>
      </c>
      <c r="B29" s="53">
        <v>44104</v>
      </c>
      <c r="C29" s="50">
        <v>5106</v>
      </c>
      <c r="D29" s="50">
        <v>25000</v>
      </c>
      <c r="E29" s="50">
        <v>5106</v>
      </c>
      <c r="F29" s="50">
        <v>15000</v>
      </c>
    </row>
    <row r="30" spans="1:6">
      <c r="A30" s="50" t="s">
        <v>392</v>
      </c>
      <c r="B30" s="53">
        <v>44104</v>
      </c>
      <c r="C30" s="50">
        <v>5109</v>
      </c>
      <c r="D30" s="50">
        <v>25000</v>
      </c>
      <c r="E30" s="50">
        <v>5109</v>
      </c>
      <c r="F30" s="50">
        <v>15000</v>
      </c>
    </row>
    <row r="31" spans="1:6">
      <c r="A31" s="50" t="s">
        <v>393</v>
      </c>
      <c r="B31" s="53">
        <v>44104</v>
      </c>
      <c r="C31" s="50">
        <v>5110</v>
      </c>
      <c r="D31" s="50">
        <v>25000</v>
      </c>
      <c r="E31" s="50">
        <v>5110</v>
      </c>
      <c r="F31" s="50">
        <v>10000</v>
      </c>
    </row>
  </sheetData>
  <phoneticPr fontId="42" type="noConversion"/>
  <pageMargins left="0.75" right="0.75" top="1" bottom="1" header="0.51180555555555596" footer="0.51180555555555596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I428"/>
  <sheetViews>
    <sheetView workbookViewId="0">
      <pane ySplit="3" topLeftCell="A214" activePane="bottomLeft" state="frozen"/>
      <selection pane="bottomLeft" activeCell="B240" sqref="B240"/>
    </sheetView>
  </sheetViews>
  <sheetFormatPr defaultColWidth="11.69921875" defaultRowHeight="18"/>
  <cols>
    <col min="1" max="1" width="11.69921875" style="41" customWidth="1"/>
    <col min="2" max="3" width="16.796875" style="41" customWidth="1"/>
    <col min="4" max="5" width="11.69921875" style="41" customWidth="1"/>
    <col min="6" max="35" width="11.69921875" style="41"/>
    <col min="36" max="16384" width="11.69921875" style="42"/>
  </cols>
  <sheetData>
    <row r="1" spans="1:35">
      <c r="A1" s="41" t="s">
        <v>1101</v>
      </c>
      <c r="B1" s="41" t="s">
        <v>1102</v>
      </c>
      <c r="C1" s="41" t="s">
        <v>1103</v>
      </c>
      <c r="D1" s="41" t="s">
        <v>1104</v>
      </c>
      <c r="E1" s="41" t="s">
        <v>1105</v>
      </c>
      <c r="F1" s="41" t="s">
        <v>1000</v>
      </c>
      <c r="G1" s="41" t="s">
        <v>1106</v>
      </c>
      <c r="H1" s="41" t="s">
        <v>887</v>
      </c>
      <c r="I1" s="41" t="s">
        <v>1107</v>
      </c>
      <c r="J1" s="41" t="s">
        <v>1108</v>
      </c>
      <c r="K1" s="41" t="s">
        <v>1109</v>
      </c>
      <c r="L1" s="41" t="s">
        <v>1000</v>
      </c>
      <c r="M1" s="41" t="s">
        <v>1106</v>
      </c>
      <c r="N1" s="41" t="s">
        <v>887</v>
      </c>
      <c r="O1" s="41" t="s">
        <v>1107</v>
      </c>
      <c r="P1" s="41" t="s">
        <v>1108</v>
      </c>
      <c r="Q1" s="41" t="s">
        <v>1109</v>
      </c>
      <c r="R1" s="41" t="s">
        <v>1000</v>
      </c>
      <c r="S1" s="41" t="s">
        <v>1106</v>
      </c>
      <c r="T1" s="41" t="s">
        <v>887</v>
      </c>
      <c r="U1" s="41" t="s">
        <v>1107</v>
      </c>
      <c r="V1" s="41" t="s">
        <v>1108</v>
      </c>
      <c r="W1" s="41" t="s">
        <v>1109</v>
      </c>
      <c r="X1" s="41" t="s">
        <v>1000</v>
      </c>
      <c r="Y1" s="41" t="s">
        <v>1106</v>
      </c>
      <c r="Z1" s="41" t="s">
        <v>887</v>
      </c>
      <c r="AA1" s="41" t="s">
        <v>1107</v>
      </c>
      <c r="AB1" s="41" t="s">
        <v>1108</v>
      </c>
      <c r="AC1" s="41" t="s">
        <v>1109</v>
      </c>
      <c r="AD1" s="41" t="s">
        <v>1000</v>
      </c>
      <c r="AE1" s="41" t="s">
        <v>1106</v>
      </c>
      <c r="AF1" s="41" t="s">
        <v>887</v>
      </c>
      <c r="AG1" s="41" t="s">
        <v>1107</v>
      </c>
      <c r="AH1" s="41" t="s">
        <v>1108</v>
      </c>
      <c r="AI1" s="41" t="s">
        <v>1109</v>
      </c>
    </row>
    <row r="2" spans="1:35">
      <c r="A2" s="41" t="s">
        <v>39</v>
      </c>
      <c r="B2" s="41" t="s">
        <v>39</v>
      </c>
      <c r="C2" s="41" t="s">
        <v>39</v>
      </c>
      <c r="D2" s="41" t="s">
        <v>39</v>
      </c>
      <c r="E2" s="41" t="s">
        <v>39</v>
      </c>
      <c r="F2" s="41" t="s">
        <v>40</v>
      </c>
      <c r="G2" s="41" t="s">
        <v>39</v>
      </c>
      <c r="H2" s="41" t="s">
        <v>39</v>
      </c>
      <c r="I2" s="41" t="s">
        <v>39</v>
      </c>
      <c r="J2" s="41" t="s">
        <v>39</v>
      </c>
      <c r="K2" s="41" t="s">
        <v>39</v>
      </c>
      <c r="L2" s="41" t="s">
        <v>40</v>
      </c>
      <c r="M2" s="41" t="s">
        <v>39</v>
      </c>
      <c r="N2" s="41" t="s">
        <v>39</v>
      </c>
      <c r="O2" s="41" t="s">
        <v>39</v>
      </c>
      <c r="P2" s="41" t="s">
        <v>39</v>
      </c>
      <c r="Q2" s="41" t="s">
        <v>39</v>
      </c>
      <c r="R2" s="41" t="s">
        <v>40</v>
      </c>
      <c r="S2" s="41" t="s">
        <v>39</v>
      </c>
      <c r="T2" s="41" t="s">
        <v>39</v>
      </c>
      <c r="U2" s="41" t="s">
        <v>39</v>
      </c>
      <c r="V2" s="41" t="s">
        <v>39</v>
      </c>
      <c r="W2" s="41" t="s">
        <v>39</v>
      </c>
      <c r="X2" s="41" t="s">
        <v>40</v>
      </c>
      <c r="Y2" s="41" t="s">
        <v>39</v>
      </c>
      <c r="Z2" s="41" t="s">
        <v>39</v>
      </c>
      <c r="AA2" s="41" t="s">
        <v>39</v>
      </c>
      <c r="AB2" s="41" t="s">
        <v>39</v>
      </c>
      <c r="AC2" s="41" t="s">
        <v>39</v>
      </c>
      <c r="AD2" s="41" t="s">
        <v>40</v>
      </c>
      <c r="AE2" s="41" t="s">
        <v>39</v>
      </c>
      <c r="AF2" s="41" t="s">
        <v>39</v>
      </c>
      <c r="AG2" s="41" t="s">
        <v>39</v>
      </c>
      <c r="AH2" s="41" t="s">
        <v>39</v>
      </c>
      <c r="AI2" s="41" t="s">
        <v>39</v>
      </c>
    </row>
    <row r="3" spans="1:35" ht="18.75">
      <c r="A3" s="41" t="s">
        <v>1110</v>
      </c>
      <c r="B3" s="43" t="s">
        <v>1111</v>
      </c>
      <c r="C3" s="43" t="s">
        <v>1112</v>
      </c>
      <c r="D3" s="41" t="s">
        <v>46</v>
      </c>
      <c r="E3" s="41" t="s">
        <v>1113</v>
      </c>
      <c r="F3" s="41" t="s">
        <v>1114</v>
      </c>
      <c r="G3" s="41" t="s">
        <v>814</v>
      </c>
      <c r="H3" s="41" t="s">
        <v>898</v>
      </c>
      <c r="I3" s="41" t="s">
        <v>1115</v>
      </c>
      <c r="J3" s="41" t="s">
        <v>1116</v>
      </c>
      <c r="K3" s="41" t="s">
        <v>1117</v>
      </c>
      <c r="L3" s="41" t="s">
        <v>1114</v>
      </c>
      <c r="M3" s="41" t="s">
        <v>814</v>
      </c>
      <c r="N3" s="41" t="s">
        <v>898</v>
      </c>
      <c r="O3" s="41" t="s">
        <v>1115</v>
      </c>
      <c r="P3" s="41" t="s">
        <v>1116</v>
      </c>
      <c r="Q3" s="41" t="s">
        <v>1117</v>
      </c>
      <c r="R3" s="41" t="s">
        <v>1114</v>
      </c>
      <c r="S3" s="41" t="s">
        <v>814</v>
      </c>
      <c r="T3" s="41" t="s">
        <v>898</v>
      </c>
      <c r="U3" s="41" t="s">
        <v>1115</v>
      </c>
      <c r="V3" s="41" t="s">
        <v>1116</v>
      </c>
      <c r="W3" s="41" t="s">
        <v>1117</v>
      </c>
      <c r="X3" s="41" t="s">
        <v>1114</v>
      </c>
      <c r="Y3" s="41" t="s">
        <v>814</v>
      </c>
      <c r="Z3" s="41" t="s">
        <v>898</v>
      </c>
      <c r="AA3" s="41" t="s">
        <v>1115</v>
      </c>
      <c r="AB3" s="41" t="s">
        <v>1116</v>
      </c>
      <c r="AC3" s="41" t="s">
        <v>1117</v>
      </c>
      <c r="AD3" s="41" t="s">
        <v>1114</v>
      </c>
      <c r="AE3" s="41" t="s">
        <v>814</v>
      </c>
      <c r="AF3" s="41" t="s">
        <v>898</v>
      </c>
      <c r="AG3" s="41" t="s">
        <v>1115</v>
      </c>
      <c r="AH3" s="41" t="s">
        <v>1116</v>
      </c>
      <c r="AI3" s="41" t="s">
        <v>1117</v>
      </c>
    </row>
    <row r="4" spans="1:35">
      <c r="A4" s="41">
        <v>44411</v>
      </c>
      <c r="B4" s="41">
        <v>2</v>
      </c>
      <c r="C4" s="41">
        <v>10</v>
      </c>
      <c r="D4" s="41">
        <v>1</v>
      </c>
      <c r="E4" s="41">
        <v>1</v>
      </c>
      <c r="F4" s="41" t="s">
        <v>58</v>
      </c>
      <c r="G4" s="41">
        <f>IF(F4&gt;0,INDEX(Fish!$D:$D,MATCH(F4,Fish!$L:$L,0)),"")</f>
        <v>11001</v>
      </c>
      <c r="H4" s="41">
        <v>0</v>
      </c>
      <c r="I4" s="41">
        <v>4</v>
      </c>
      <c r="J4" s="41">
        <v>13</v>
      </c>
      <c r="K4" s="41">
        <v>15</v>
      </c>
      <c r="L4" s="41" t="s">
        <v>62</v>
      </c>
      <c r="M4" s="41">
        <f>IF(L4&gt;0,INDEX(Fish!$D:$D,MATCH(L4,Fish!$L:$L,0)),"")</f>
        <v>11003</v>
      </c>
      <c r="N4" s="41">
        <v>0</v>
      </c>
      <c r="O4" s="41">
        <v>3</v>
      </c>
      <c r="P4" s="41">
        <v>13</v>
      </c>
      <c r="Q4" s="41">
        <v>15</v>
      </c>
      <c r="S4" s="41" t="str">
        <f>IF(R4&gt;0,INDEX(Fish!$D:$D,MATCH(R4,Fish!$L:$L,0)),"")</f>
        <v/>
      </c>
      <c r="Y4" s="41" t="str">
        <f>IF(X4&gt;0,INDEX(Fish!$D:$D,MATCH(X4,Fish!$L:$L,0)),"")</f>
        <v/>
      </c>
      <c r="AE4" s="41" t="str">
        <f>IF(AD4&gt;0,VLOOKUP(AD4,IF({1,0},#REF!,#REF!),2,FALSE),"")</f>
        <v/>
      </c>
    </row>
    <row r="5" spans="1:35" ht="20.25">
      <c r="A5" s="41">
        <v>44411</v>
      </c>
      <c r="B5" s="41">
        <v>2</v>
      </c>
      <c r="C5" s="41">
        <v>10</v>
      </c>
      <c r="D5" s="41">
        <v>1</v>
      </c>
      <c r="E5" s="41">
        <v>1</v>
      </c>
      <c r="F5" s="41" t="s">
        <v>58</v>
      </c>
      <c r="G5" s="41">
        <f>IF(F5&gt;0,INDEX(Fish!$D:$D,MATCH(F5,Fish!$L:$L,0)),"")</f>
        <v>11001</v>
      </c>
      <c r="H5" s="41">
        <v>0</v>
      </c>
      <c r="I5" s="41">
        <v>4</v>
      </c>
      <c r="J5" s="41">
        <v>13</v>
      </c>
      <c r="K5" s="41">
        <v>15</v>
      </c>
      <c r="L5" s="44" t="s">
        <v>64</v>
      </c>
      <c r="M5" s="41">
        <f>IF(L5&gt;0,INDEX(Fish!$D:$D,MATCH(L5,Fish!$L:$L,0)),"")</f>
        <v>11004</v>
      </c>
      <c r="N5" s="41">
        <v>0</v>
      </c>
      <c r="O5" s="41">
        <v>3</v>
      </c>
      <c r="P5" s="41">
        <v>13</v>
      </c>
      <c r="Q5" s="41">
        <v>15</v>
      </c>
      <c r="S5" s="41" t="str">
        <f>IF(R5&gt;0,INDEX(Fish!$D:$D,MATCH(R5,Fish!$L:$L,0)),"")</f>
        <v/>
      </c>
      <c r="Y5" s="41" t="str">
        <f>IF(X5&gt;0,INDEX(Fish!$D:$D,MATCH(X5,Fish!$L:$L,0)),"")</f>
        <v/>
      </c>
      <c r="AE5" s="41" t="str">
        <f>IF(AD5&gt;0,VLOOKUP(AD5,IF({1,0},#REF!,#REF!),2,FALSE),"")</f>
        <v/>
      </c>
    </row>
    <row r="6" spans="1:35">
      <c r="A6" s="41">
        <v>44411</v>
      </c>
      <c r="B6" s="41">
        <v>2</v>
      </c>
      <c r="C6" s="41">
        <v>10</v>
      </c>
      <c r="D6" s="41">
        <v>1</v>
      </c>
      <c r="E6" s="41">
        <v>1</v>
      </c>
      <c r="F6" s="41" t="s">
        <v>60</v>
      </c>
      <c r="G6" s="41">
        <f>IF(F6&gt;0,INDEX(Fish!$D:$D,MATCH(F6,Fish!$L:$L,0)),"")</f>
        <v>11002</v>
      </c>
      <c r="H6" s="41">
        <v>0</v>
      </c>
      <c r="I6" s="41">
        <v>4</v>
      </c>
      <c r="J6" s="41">
        <v>13</v>
      </c>
      <c r="K6" s="41">
        <v>15</v>
      </c>
      <c r="L6" s="41" t="s">
        <v>62</v>
      </c>
      <c r="M6" s="41">
        <f>IF(L6&gt;0,INDEX(Fish!$D:$D,MATCH(L6,Fish!$L:$L,0)),"")</f>
        <v>11003</v>
      </c>
      <c r="N6" s="41">
        <v>0</v>
      </c>
      <c r="O6" s="41">
        <v>3</v>
      </c>
      <c r="P6" s="41">
        <v>13</v>
      </c>
      <c r="Q6" s="41">
        <v>15</v>
      </c>
      <c r="S6" s="41" t="str">
        <f>IF(R6&gt;0,INDEX(Fish!$D:$D,MATCH(R6,Fish!$L:$L,0)),"")</f>
        <v/>
      </c>
      <c r="Y6" s="41" t="str">
        <f>IF(X6&gt;0,INDEX(Fish!$D:$D,MATCH(X6,Fish!$L:$L,0)),"")</f>
        <v/>
      </c>
      <c r="AE6" s="41" t="str">
        <f>IF(AD6&gt;0,VLOOKUP(AD6,IF({1,0},#REF!,#REF!),2,FALSE),"")</f>
        <v/>
      </c>
    </row>
    <row r="7" spans="1:35">
      <c r="A7" s="41">
        <v>44411</v>
      </c>
      <c r="B7" s="41">
        <v>2</v>
      </c>
      <c r="C7" s="41">
        <v>10</v>
      </c>
      <c r="D7" s="41">
        <v>1</v>
      </c>
      <c r="E7" s="41">
        <v>1</v>
      </c>
      <c r="F7" s="41" t="s">
        <v>60</v>
      </c>
      <c r="G7" s="41">
        <f>IF(F7&gt;0,INDEX(Fish!$D:$D,MATCH(F7,Fish!$L:$L,0)),"")</f>
        <v>11002</v>
      </c>
      <c r="H7" s="41">
        <v>0</v>
      </c>
      <c r="I7" s="41">
        <v>4</v>
      </c>
      <c r="J7" s="41">
        <v>13</v>
      </c>
      <c r="K7" s="41">
        <v>15</v>
      </c>
      <c r="L7" s="41" t="s">
        <v>64</v>
      </c>
      <c r="M7" s="41">
        <f>IF(L7&gt;0,INDEX(Fish!$D:$D,MATCH(L7,Fish!$L:$L,0)),"")</f>
        <v>11004</v>
      </c>
      <c r="N7" s="41">
        <v>0</v>
      </c>
      <c r="O7" s="41">
        <v>3</v>
      </c>
      <c r="P7" s="41">
        <v>13</v>
      </c>
      <c r="Q7" s="41">
        <v>15</v>
      </c>
      <c r="S7" s="41" t="str">
        <f>IF(R7&gt;0,INDEX(Fish!$D:$D,MATCH(R7,Fish!$L:$L,0)),"")</f>
        <v/>
      </c>
      <c r="Y7" s="41" t="str">
        <f>IF(X7&gt;0,INDEX(Fish!$D:$D,MATCH(X7,Fish!$L:$L,0)),"")</f>
        <v/>
      </c>
      <c r="AE7" s="41" t="str">
        <f>IF(AD7&gt;0,VLOOKUP(AD7,IF({1,0},#REF!,#REF!),2,FALSE),"")</f>
        <v/>
      </c>
    </row>
    <row r="8" spans="1:35">
      <c r="A8" s="41">
        <v>44411</v>
      </c>
      <c r="B8" s="41">
        <v>2</v>
      </c>
      <c r="C8" s="41">
        <v>0</v>
      </c>
      <c r="D8" s="41">
        <v>2</v>
      </c>
      <c r="E8" s="41">
        <v>1</v>
      </c>
      <c r="F8" s="41" t="s">
        <v>72</v>
      </c>
      <c r="G8" s="41">
        <f>IF(F8&gt;0,INDEX(Fish!$D:$D,MATCH(F8,Fish!$L:$L,0)),"")</f>
        <v>11008</v>
      </c>
      <c r="H8" s="41">
        <v>0</v>
      </c>
      <c r="I8" s="41">
        <v>1</v>
      </c>
      <c r="J8" s="41">
        <v>5</v>
      </c>
      <c r="K8" s="41">
        <v>6</v>
      </c>
      <c r="L8" s="41" t="s">
        <v>80</v>
      </c>
      <c r="M8" s="41">
        <f>IF(L8&gt;0,INDEX(Fish!$D:$D,MATCH(L8,Fish!$L:$L,0)),"")</f>
        <v>11011</v>
      </c>
      <c r="N8" s="41">
        <v>0</v>
      </c>
      <c r="O8" s="41">
        <v>1</v>
      </c>
      <c r="P8" s="41">
        <v>4</v>
      </c>
      <c r="Q8" s="41">
        <v>5</v>
      </c>
      <c r="R8" s="41" t="s">
        <v>92</v>
      </c>
      <c r="S8" s="41">
        <f>IF(R8&gt;0,INDEX(Fish!$D:$D,MATCH(R8,Fish!$L:$L,0)),"")</f>
        <v>11017</v>
      </c>
      <c r="T8" s="41">
        <v>0</v>
      </c>
      <c r="U8" s="41">
        <v>1</v>
      </c>
      <c r="V8" s="41">
        <v>3</v>
      </c>
      <c r="W8" s="41">
        <v>4</v>
      </c>
      <c r="X8" s="41" t="s">
        <v>88</v>
      </c>
      <c r="Y8" s="41">
        <f>IF(X8&gt;0,INDEX(Fish!$D:$D,MATCH(X8,Fish!$L:$L,0)),"")</f>
        <v>11015</v>
      </c>
      <c r="Z8" s="41">
        <v>0</v>
      </c>
      <c r="AA8" s="41">
        <v>1</v>
      </c>
      <c r="AB8" s="41">
        <v>2</v>
      </c>
      <c r="AC8" s="41">
        <v>3</v>
      </c>
      <c r="AE8" s="41" t="str">
        <f>IF(AD8&gt;0,VLOOKUP(AD8,IF({1,0},#REF!,#REF!),2,FALSE),"")</f>
        <v/>
      </c>
    </row>
    <row r="9" spans="1:35">
      <c r="A9" s="41">
        <v>44411</v>
      </c>
      <c r="B9" s="41">
        <v>2</v>
      </c>
      <c r="C9" s="41">
        <v>0</v>
      </c>
      <c r="D9" s="41">
        <v>2</v>
      </c>
      <c r="E9" s="41">
        <v>1</v>
      </c>
      <c r="F9" s="41" t="s">
        <v>72</v>
      </c>
      <c r="G9" s="41">
        <f>IF(F9&gt;0,INDEX(Fish!$D:$D,MATCH(F9,Fish!$L:$L,0)),"")</f>
        <v>11008</v>
      </c>
      <c r="H9" s="41">
        <v>0</v>
      </c>
      <c r="I9" s="41">
        <v>1</v>
      </c>
      <c r="J9" s="41">
        <v>5</v>
      </c>
      <c r="K9" s="41">
        <v>6</v>
      </c>
      <c r="L9" s="41" t="s">
        <v>80</v>
      </c>
      <c r="M9" s="41">
        <f>IF(L9&gt;0,INDEX(Fish!$D:$D,MATCH(L9,Fish!$L:$L,0)),"")</f>
        <v>11011</v>
      </c>
      <c r="N9" s="41">
        <v>0</v>
      </c>
      <c r="O9" s="41">
        <v>1</v>
      </c>
      <c r="P9" s="41">
        <v>4</v>
      </c>
      <c r="Q9" s="41">
        <v>5</v>
      </c>
      <c r="R9" s="41" t="s">
        <v>92</v>
      </c>
      <c r="S9" s="41">
        <f>IF(R9&gt;0,INDEX(Fish!$D:$D,MATCH(R9,Fish!$L:$L,0)),"")</f>
        <v>11017</v>
      </c>
      <c r="T9" s="41">
        <v>0</v>
      </c>
      <c r="U9" s="41">
        <v>1</v>
      </c>
      <c r="V9" s="41">
        <v>3</v>
      </c>
      <c r="W9" s="41">
        <v>4</v>
      </c>
      <c r="X9" s="41" t="s">
        <v>84</v>
      </c>
      <c r="Y9" s="41">
        <f>IF(X9&gt;0,INDEX(Fish!$D:$D,MATCH(X9,Fish!$L:$L,0)),"")</f>
        <v>11013</v>
      </c>
      <c r="Z9" s="41">
        <v>0</v>
      </c>
      <c r="AA9" s="41">
        <v>1</v>
      </c>
      <c r="AB9" s="41">
        <v>2</v>
      </c>
      <c r="AC9" s="41">
        <v>3</v>
      </c>
      <c r="AE9" s="41" t="str">
        <f>IF(AD9&gt;0,VLOOKUP(AD9,IF({1,0},#REF!,#REF!),2,FALSE),"")</f>
        <v/>
      </c>
    </row>
    <row r="10" spans="1:35">
      <c r="A10" s="41">
        <v>44411</v>
      </c>
      <c r="B10" s="41">
        <v>2</v>
      </c>
      <c r="C10" s="41">
        <v>0</v>
      </c>
      <c r="D10" s="41">
        <v>2</v>
      </c>
      <c r="E10" s="41">
        <v>1</v>
      </c>
      <c r="F10" s="41" t="s">
        <v>72</v>
      </c>
      <c r="G10" s="41">
        <f>IF(F10&gt;0,INDEX(Fish!$D:$D,MATCH(F10,Fish!$L:$L,0)),"")</f>
        <v>11008</v>
      </c>
      <c r="H10" s="41">
        <v>0</v>
      </c>
      <c r="I10" s="41">
        <v>1</v>
      </c>
      <c r="J10" s="41">
        <v>5</v>
      </c>
      <c r="K10" s="41">
        <v>6</v>
      </c>
      <c r="L10" s="41" t="s">
        <v>80</v>
      </c>
      <c r="M10" s="41">
        <f>IF(L10&gt;0,INDEX(Fish!$D:$D,MATCH(L10,Fish!$L:$L,0)),"")</f>
        <v>11011</v>
      </c>
      <c r="N10" s="41">
        <v>0</v>
      </c>
      <c r="O10" s="41">
        <v>1</v>
      </c>
      <c r="P10" s="41">
        <v>4</v>
      </c>
      <c r="Q10" s="41">
        <v>5</v>
      </c>
      <c r="R10" s="41" t="s">
        <v>82</v>
      </c>
      <c r="S10" s="41">
        <f>IF(R10&gt;0,INDEX(Fish!$D:$D,MATCH(R10,Fish!$L:$L,0)),"")</f>
        <v>11012</v>
      </c>
      <c r="T10" s="41">
        <v>0</v>
      </c>
      <c r="U10" s="41">
        <v>1</v>
      </c>
      <c r="V10" s="41">
        <v>3</v>
      </c>
      <c r="W10" s="41">
        <v>4</v>
      </c>
      <c r="X10" s="41" t="s">
        <v>88</v>
      </c>
      <c r="Y10" s="41">
        <f>IF(X10&gt;0,INDEX(Fish!$D:$D,MATCH(X10,Fish!$L:$L,0)),"")</f>
        <v>11015</v>
      </c>
      <c r="Z10" s="41">
        <v>0</v>
      </c>
      <c r="AA10" s="41">
        <v>1</v>
      </c>
      <c r="AB10" s="41">
        <v>2</v>
      </c>
      <c r="AC10" s="41">
        <v>3</v>
      </c>
      <c r="AE10" s="41" t="str">
        <f>IF(AD10&gt;0,VLOOKUP(AD10,IF({1,0},#REF!,#REF!),2,FALSE),"")</f>
        <v/>
      </c>
    </row>
    <row r="11" spans="1:35">
      <c r="A11" s="41">
        <v>44411</v>
      </c>
      <c r="B11" s="41">
        <v>2</v>
      </c>
      <c r="C11" s="41">
        <v>0</v>
      </c>
      <c r="D11" s="41">
        <v>2</v>
      </c>
      <c r="E11" s="41">
        <v>1</v>
      </c>
      <c r="F11" s="41" t="s">
        <v>72</v>
      </c>
      <c r="G11" s="41">
        <f>IF(F11&gt;0,INDEX(Fish!$D:$D,MATCH(F11,Fish!$L:$L,0)),"")</f>
        <v>11008</v>
      </c>
      <c r="H11" s="41">
        <v>0</v>
      </c>
      <c r="I11" s="41">
        <v>1</v>
      </c>
      <c r="J11" s="41">
        <v>5</v>
      </c>
      <c r="K11" s="41">
        <v>6</v>
      </c>
      <c r="L11" s="41" t="s">
        <v>80</v>
      </c>
      <c r="M11" s="41">
        <f>IF(L11&gt;0,INDEX(Fish!$D:$D,MATCH(L11,Fish!$L:$L,0)),"")</f>
        <v>11011</v>
      </c>
      <c r="N11" s="41">
        <v>0</v>
      </c>
      <c r="O11" s="41">
        <v>1</v>
      </c>
      <c r="P11" s="41">
        <v>4</v>
      </c>
      <c r="Q11" s="41">
        <v>5</v>
      </c>
      <c r="R11" s="41" t="s">
        <v>82</v>
      </c>
      <c r="S11" s="41">
        <f>IF(R11&gt;0,INDEX(Fish!$D:$D,MATCH(R11,Fish!$L:$L,0)),"")</f>
        <v>11012</v>
      </c>
      <c r="T11" s="41">
        <v>0</v>
      </c>
      <c r="U11" s="41">
        <v>1</v>
      </c>
      <c r="V11" s="41">
        <v>3</v>
      </c>
      <c r="W11" s="41">
        <v>4</v>
      </c>
      <c r="X11" s="41" t="s">
        <v>84</v>
      </c>
      <c r="Y11" s="41">
        <f>IF(X11&gt;0,INDEX(Fish!$D:$D,MATCH(X11,Fish!$L:$L,0)),"")</f>
        <v>11013</v>
      </c>
      <c r="Z11" s="41">
        <v>0</v>
      </c>
      <c r="AA11" s="41">
        <v>1</v>
      </c>
      <c r="AB11" s="41">
        <v>2</v>
      </c>
      <c r="AC11" s="41">
        <v>3</v>
      </c>
      <c r="AE11" s="41" t="str">
        <f>IF(AD11&gt;0,VLOOKUP(AD11,IF({1,0},#REF!,#REF!),2,FALSE),"")</f>
        <v/>
      </c>
    </row>
    <row r="12" spans="1:35">
      <c r="A12" s="41">
        <v>44411</v>
      </c>
      <c r="B12" s="41">
        <v>2</v>
      </c>
      <c r="C12" s="41">
        <v>0</v>
      </c>
      <c r="D12" s="41">
        <v>2</v>
      </c>
      <c r="E12" s="41">
        <v>1</v>
      </c>
      <c r="F12" s="41" t="s">
        <v>72</v>
      </c>
      <c r="G12" s="41">
        <f>IF(F12&gt;0,INDEX(Fish!$D:$D,MATCH(F12,Fish!$L:$L,0)),"")</f>
        <v>11008</v>
      </c>
      <c r="H12" s="41">
        <v>0</v>
      </c>
      <c r="I12" s="41">
        <v>1</v>
      </c>
      <c r="J12" s="41">
        <v>5</v>
      </c>
      <c r="K12" s="41">
        <v>6</v>
      </c>
      <c r="L12" s="41" t="s">
        <v>78</v>
      </c>
      <c r="M12" s="41">
        <f>IF(L12&gt;0,INDEX(Fish!$D:$D,MATCH(L12,Fish!$L:$L,0)),"")</f>
        <v>11010</v>
      </c>
      <c r="N12" s="41">
        <v>0</v>
      </c>
      <c r="O12" s="41">
        <v>1</v>
      </c>
      <c r="P12" s="41">
        <v>4</v>
      </c>
      <c r="Q12" s="41">
        <v>5</v>
      </c>
      <c r="R12" s="41" t="s">
        <v>92</v>
      </c>
      <c r="S12" s="41">
        <f>IF(R12&gt;0,INDEX(Fish!$D:$D,MATCH(R12,Fish!$L:$L,0)),"")</f>
        <v>11017</v>
      </c>
      <c r="T12" s="41">
        <v>0</v>
      </c>
      <c r="U12" s="41">
        <v>1</v>
      </c>
      <c r="V12" s="41">
        <v>3</v>
      </c>
      <c r="W12" s="41">
        <v>4</v>
      </c>
      <c r="X12" s="41" t="s">
        <v>88</v>
      </c>
      <c r="Y12" s="41">
        <f>IF(X12&gt;0,INDEX(Fish!$D:$D,MATCH(X12,Fish!$L:$L,0)),"")</f>
        <v>11015</v>
      </c>
      <c r="Z12" s="41">
        <v>0</v>
      </c>
      <c r="AA12" s="41">
        <v>1</v>
      </c>
      <c r="AB12" s="41">
        <v>2</v>
      </c>
      <c r="AC12" s="41">
        <v>3</v>
      </c>
      <c r="AE12" s="41" t="str">
        <f>IF(AD12&gt;0,VLOOKUP(AD12,IF({1,0},#REF!,#REF!),2,FALSE),"")</f>
        <v/>
      </c>
    </row>
    <row r="13" spans="1:35">
      <c r="A13" s="41">
        <v>44411</v>
      </c>
      <c r="B13" s="41">
        <v>2</v>
      </c>
      <c r="C13" s="41">
        <v>0</v>
      </c>
      <c r="D13" s="41">
        <v>2</v>
      </c>
      <c r="E13" s="41">
        <v>1</v>
      </c>
      <c r="F13" s="41" t="s">
        <v>72</v>
      </c>
      <c r="G13" s="41">
        <f>IF(F13&gt;0,INDEX(Fish!$D:$D,MATCH(F13,Fish!$L:$L,0)),"")</f>
        <v>11008</v>
      </c>
      <c r="H13" s="41">
        <v>0</v>
      </c>
      <c r="I13" s="41">
        <v>1</v>
      </c>
      <c r="J13" s="41">
        <v>5</v>
      </c>
      <c r="K13" s="41">
        <v>6</v>
      </c>
      <c r="L13" s="41" t="s">
        <v>78</v>
      </c>
      <c r="M13" s="41">
        <f>IF(L13&gt;0,INDEX(Fish!$D:$D,MATCH(L13,Fish!$L:$L,0)),"")</f>
        <v>11010</v>
      </c>
      <c r="N13" s="41">
        <v>0</v>
      </c>
      <c r="O13" s="41">
        <v>1</v>
      </c>
      <c r="P13" s="41">
        <v>4</v>
      </c>
      <c r="Q13" s="41">
        <v>5</v>
      </c>
      <c r="R13" s="41" t="s">
        <v>92</v>
      </c>
      <c r="S13" s="41">
        <f>IF(R13&gt;0,INDEX(Fish!$D:$D,MATCH(R13,Fish!$L:$L,0)),"")</f>
        <v>11017</v>
      </c>
      <c r="T13" s="41">
        <v>0</v>
      </c>
      <c r="U13" s="41">
        <v>1</v>
      </c>
      <c r="V13" s="41">
        <v>3</v>
      </c>
      <c r="W13" s="41">
        <v>4</v>
      </c>
      <c r="X13" s="41" t="s">
        <v>84</v>
      </c>
      <c r="Y13" s="41">
        <f>IF(X13&gt;0,INDEX(Fish!$D:$D,MATCH(X13,Fish!$L:$L,0)),"")</f>
        <v>11013</v>
      </c>
      <c r="Z13" s="41">
        <v>0</v>
      </c>
      <c r="AA13" s="41">
        <v>1</v>
      </c>
      <c r="AB13" s="41">
        <v>2</v>
      </c>
      <c r="AC13" s="41">
        <v>3</v>
      </c>
      <c r="AE13" s="41" t="str">
        <f>IF(AD13&gt;0,VLOOKUP(AD13,IF({1,0},#REF!,#REF!),2,FALSE),"")</f>
        <v/>
      </c>
    </row>
    <row r="14" spans="1:35">
      <c r="A14" s="41">
        <v>44411</v>
      </c>
      <c r="B14" s="41">
        <v>2</v>
      </c>
      <c r="C14" s="41">
        <v>0</v>
      </c>
      <c r="D14" s="41">
        <v>2</v>
      </c>
      <c r="E14" s="41">
        <v>1</v>
      </c>
      <c r="F14" s="41" t="s">
        <v>72</v>
      </c>
      <c r="G14" s="41">
        <f>IF(F14&gt;0,INDEX(Fish!$D:$D,MATCH(F14,Fish!$L:$L,0)),"")</f>
        <v>11008</v>
      </c>
      <c r="H14" s="41">
        <v>0</v>
      </c>
      <c r="I14" s="41">
        <v>1</v>
      </c>
      <c r="J14" s="41">
        <v>5</v>
      </c>
      <c r="K14" s="41">
        <v>6</v>
      </c>
      <c r="L14" s="41" t="s">
        <v>78</v>
      </c>
      <c r="M14" s="41">
        <f>IF(L14&gt;0,INDEX(Fish!$D:$D,MATCH(L14,Fish!$L:$L,0)),"")</f>
        <v>11010</v>
      </c>
      <c r="N14" s="41">
        <v>0</v>
      </c>
      <c r="O14" s="41">
        <v>1</v>
      </c>
      <c r="P14" s="41">
        <v>4</v>
      </c>
      <c r="Q14" s="41">
        <v>5</v>
      </c>
      <c r="R14" s="41" t="s">
        <v>82</v>
      </c>
      <c r="S14" s="41">
        <f>IF(R14&gt;0,INDEX(Fish!$D:$D,MATCH(R14,Fish!$L:$L,0)),"")</f>
        <v>11012</v>
      </c>
      <c r="T14" s="41">
        <v>0</v>
      </c>
      <c r="U14" s="41">
        <v>1</v>
      </c>
      <c r="V14" s="41">
        <v>3</v>
      </c>
      <c r="W14" s="41">
        <v>4</v>
      </c>
      <c r="X14" s="41" t="s">
        <v>88</v>
      </c>
      <c r="Y14" s="41">
        <f>IF(X14&gt;0,INDEX(Fish!$D:$D,MATCH(X14,Fish!$L:$L,0)),"")</f>
        <v>11015</v>
      </c>
      <c r="Z14" s="41">
        <v>0</v>
      </c>
      <c r="AA14" s="41">
        <v>1</v>
      </c>
      <c r="AB14" s="41">
        <v>2</v>
      </c>
      <c r="AC14" s="41">
        <v>3</v>
      </c>
      <c r="AE14" s="41" t="str">
        <f>IF(AD14&gt;0,VLOOKUP(AD14,IF({1,0},#REF!,#REF!),2,FALSE),"")</f>
        <v/>
      </c>
    </row>
    <row r="15" spans="1:35">
      <c r="A15" s="41">
        <v>44411</v>
      </c>
      <c r="B15" s="41">
        <v>2</v>
      </c>
      <c r="C15" s="41">
        <v>0</v>
      </c>
      <c r="D15" s="41">
        <v>2</v>
      </c>
      <c r="E15" s="41">
        <v>1</v>
      </c>
      <c r="F15" s="41" t="s">
        <v>72</v>
      </c>
      <c r="G15" s="41">
        <f>IF(F15&gt;0,INDEX(Fish!$D:$D,MATCH(F15,Fish!$L:$L,0)),"")</f>
        <v>11008</v>
      </c>
      <c r="H15" s="41">
        <v>0</v>
      </c>
      <c r="I15" s="41">
        <v>1</v>
      </c>
      <c r="J15" s="41">
        <v>5</v>
      </c>
      <c r="K15" s="41">
        <v>6</v>
      </c>
      <c r="L15" s="41" t="s">
        <v>78</v>
      </c>
      <c r="M15" s="41">
        <f>IF(L15&gt;0,INDEX(Fish!$D:$D,MATCH(L15,Fish!$L:$L,0)),"")</f>
        <v>11010</v>
      </c>
      <c r="N15" s="41">
        <v>0</v>
      </c>
      <c r="O15" s="41">
        <v>1</v>
      </c>
      <c r="P15" s="41">
        <v>4</v>
      </c>
      <c r="Q15" s="41">
        <v>5</v>
      </c>
      <c r="R15" s="41" t="s">
        <v>82</v>
      </c>
      <c r="S15" s="41">
        <f>IF(R15&gt;0,INDEX(Fish!$D:$D,MATCH(R15,Fish!$L:$L,0)),"")</f>
        <v>11012</v>
      </c>
      <c r="T15" s="41">
        <v>0</v>
      </c>
      <c r="U15" s="41">
        <v>1</v>
      </c>
      <c r="V15" s="41">
        <v>3</v>
      </c>
      <c r="W15" s="41">
        <v>4</v>
      </c>
      <c r="X15" s="41" t="s">
        <v>84</v>
      </c>
      <c r="Y15" s="41">
        <f>IF(X15&gt;0,INDEX(Fish!$D:$D,MATCH(X15,Fish!$L:$L,0)),"")</f>
        <v>11013</v>
      </c>
      <c r="Z15" s="41">
        <v>0</v>
      </c>
      <c r="AA15" s="41">
        <v>1</v>
      </c>
      <c r="AB15" s="41">
        <v>2</v>
      </c>
      <c r="AC15" s="41">
        <v>3</v>
      </c>
      <c r="AE15" s="41" t="str">
        <f>IF(AD15&gt;0,VLOOKUP(AD15,IF({1,0},#REF!,#REF!),2,FALSE),"")</f>
        <v/>
      </c>
    </row>
    <row r="16" spans="1:35">
      <c r="A16" s="41">
        <v>44411</v>
      </c>
      <c r="B16" s="41">
        <v>2</v>
      </c>
      <c r="C16" s="41">
        <v>0</v>
      </c>
      <c r="D16" s="41">
        <v>2</v>
      </c>
      <c r="E16" s="41">
        <v>1</v>
      </c>
      <c r="F16" s="41" t="s">
        <v>74</v>
      </c>
      <c r="G16" s="41">
        <f>IF(F16&gt;0,INDEX(Fish!$D:$D,MATCH(F16,Fish!$L:$L,0)),"")</f>
        <v>11009</v>
      </c>
      <c r="H16" s="41">
        <v>0</v>
      </c>
      <c r="I16" s="41">
        <v>1</v>
      </c>
      <c r="J16" s="41">
        <v>5</v>
      </c>
      <c r="K16" s="41">
        <v>6</v>
      </c>
      <c r="L16" s="41" t="s">
        <v>80</v>
      </c>
      <c r="M16" s="41">
        <f>IF(L16&gt;0,INDEX(Fish!$D:$D,MATCH(L16,Fish!$L:$L,0)),"")</f>
        <v>11011</v>
      </c>
      <c r="N16" s="41">
        <v>0</v>
      </c>
      <c r="O16" s="41">
        <v>1</v>
      </c>
      <c r="P16" s="41">
        <v>4</v>
      </c>
      <c r="Q16" s="41">
        <v>5</v>
      </c>
      <c r="R16" s="41" t="s">
        <v>92</v>
      </c>
      <c r="S16" s="41">
        <f>IF(R16&gt;0,INDEX(Fish!$D:$D,MATCH(R16,Fish!$L:$L,0)),"")</f>
        <v>11017</v>
      </c>
      <c r="T16" s="41">
        <v>0</v>
      </c>
      <c r="U16" s="41">
        <v>1</v>
      </c>
      <c r="V16" s="41">
        <v>3</v>
      </c>
      <c r="W16" s="41">
        <v>4</v>
      </c>
      <c r="X16" s="41" t="s">
        <v>88</v>
      </c>
      <c r="Y16" s="41">
        <f>IF(X16&gt;0,INDEX(Fish!$D:$D,MATCH(X16,Fish!$L:$L,0)),"")</f>
        <v>11015</v>
      </c>
      <c r="Z16" s="41">
        <v>0</v>
      </c>
      <c r="AA16" s="41">
        <v>1</v>
      </c>
      <c r="AB16" s="41">
        <v>2</v>
      </c>
      <c r="AC16" s="41">
        <v>3</v>
      </c>
      <c r="AE16" s="41" t="str">
        <f>IF(AD16&gt;0,VLOOKUP(AD16,IF({1,0},#REF!,#REF!),2,FALSE),"")</f>
        <v/>
      </c>
    </row>
    <row r="17" spans="1:35">
      <c r="A17" s="41">
        <v>44411</v>
      </c>
      <c r="B17" s="41">
        <v>2</v>
      </c>
      <c r="C17" s="41">
        <v>0</v>
      </c>
      <c r="D17" s="41">
        <v>2</v>
      </c>
      <c r="E17" s="41">
        <v>1</v>
      </c>
      <c r="F17" s="41" t="s">
        <v>74</v>
      </c>
      <c r="G17" s="41">
        <f>IF(F17&gt;0,INDEX(Fish!$D:$D,MATCH(F17,Fish!$L:$L,0)),"")</f>
        <v>11009</v>
      </c>
      <c r="H17" s="41">
        <v>0</v>
      </c>
      <c r="I17" s="41">
        <v>1</v>
      </c>
      <c r="J17" s="41">
        <v>5</v>
      </c>
      <c r="K17" s="41">
        <v>6</v>
      </c>
      <c r="L17" s="41" t="s">
        <v>80</v>
      </c>
      <c r="M17" s="41">
        <f>IF(L17&gt;0,INDEX(Fish!$D:$D,MATCH(L17,Fish!$L:$L,0)),"")</f>
        <v>11011</v>
      </c>
      <c r="N17" s="41">
        <v>0</v>
      </c>
      <c r="O17" s="41">
        <v>1</v>
      </c>
      <c r="P17" s="41">
        <v>4</v>
      </c>
      <c r="Q17" s="41">
        <v>5</v>
      </c>
      <c r="R17" s="41" t="s">
        <v>92</v>
      </c>
      <c r="S17" s="41">
        <f>IF(R17&gt;0,INDEX(Fish!$D:$D,MATCH(R17,Fish!$L:$L,0)),"")</f>
        <v>11017</v>
      </c>
      <c r="T17" s="41">
        <v>0</v>
      </c>
      <c r="U17" s="41">
        <v>1</v>
      </c>
      <c r="V17" s="41">
        <v>3</v>
      </c>
      <c r="W17" s="41">
        <v>4</v>
      </c>
      <c r="X17" s="41" t="s">
        <v>84</v>
      </c>
      <c r="Y17" s="41">
        <f>IF(X17&gt;0,INDEX(Fish!$D:$D,MATCH(X17,Fish!$L:$L,0)),"")</f>
        <v>11013</v>
      </c>
      <c r="Z17" s="41">
        <v>0</v>
      </c>
      <c r="AA17" s="41">
        <v>1</v>
      </c>
      <c r="AB17" s="41">
        <v>2</v>
      </c>
      <c r="AC17" s="41">
        <v>3</v>
      </c>
      <c r="AE17" s="41" t="str">
        <f>IF(AD17&gt;0,VLOOKUP(AD17,IF({1,0},#REF!,#REF!),2,FALSE),"")</f>
        <v/>
      </c>
    </row>
    <row r="18" spans="1:35">
      <c r="A18" s="41">
        <v>44411</v>
      </c>
      <c r="B18" s="41">
        <v>2</v>
      </c>
      <c r="C18" s="41">
        <v>0</v>
      </c>
      <c r="D18" s="41">
        <v>2</v>
      </c>
      <c r="E18" s="41">
        <v>1</v>
      </c>
      <c r="F18" s="41" t="s">
        <v>74</v>
      </c>
      <c r="G18" s="41">
        <f>IF(F18&gt;0,INDEX(Fish!$D:$D,MATCH(F18,Fish!$L:$L,0)),"")</f>
        <v>11009</v>
      </c>
      <c r="H18" s="41">
        <v>0</v>
      </c>
      <c r="I18" s="41">
        <v>1</v>
      </c>
      <c r="J18" s="41">
        <v>5</v>
      </c>
      <c r="K18" s="41">
        <v>6</v>
      </c>
      <c r="L18" s="41" t="s">
        <v>80</v>
      </c>
      <c r="M18" s="41">
        <f>IF(L18&gt;0,INDEX(Fish!$D:$D,MATCH(L18,Fish!$L:$L,0)),"")</f>
        <v>11011</v>
      </c>
      <c r="N18" s="41">
        <v>0</v>
      </c>
      <c r="O18" s="41">
        <v>1</v>
      </c>
      <c r="P18" s="41">
        <v>4</v>
      </c>
      <c r="Q18" s="41">
        <v>5</v>
      </c>
      <c r="R18" s="41" t="s">
        <v>82</v>
      </c>
      <c r="S18" s="41">
        <f>IF(R18&gt;0,INDEX(Fish!$D:$D,MATCH(R18,Fish!$L:$L,0)),"")</f>
        <v>11012</v>
      </c>
      <c r="T18" s="41">
        <v>0</v>
      </c>
      <c r="U18" s="41">
        <v>1</v>
      </c>
      <c r="V18" s="41">
        <v>3</v>
      </c>
      <c r="W18" s="41">
        <v>4</v>
      </c>
      <c r="X18" s="41" t="s">
        <v>88</v>
      </c>
      <c r="Y18" s="41">
        <f>IF(X18&gt;0,INDEX(Fish!$D:$D,MATCH(X18,Fish!$L:$L,0)),"")</f>
        <v>11015</v>
      </c>
      <c r="Z18" s="41">
        <v>0</v>
      </c>
      <c r="AA18" s="41">
        <v>1</v>
      </c>
      <c r="AB18" s="41">
        <v>2</v>
      </c>
      <c r="AC18" s="41">
        <v>3</v>
      </c>
      <c r="AE18" s="41" t="str">
        <f>IF(AD18&gt;0,VLOOKUP(AD18,IF({1,0},#REF!,#REF!),2,FALSE),"")</f>
        <v/>
      </c>
    </row>
    <row r="19" spans="1:35">
      <c r="A19" s="41">
        <v>44411</v>
      </c>
      <c r="B19" s="41">
        <v>2</v>
      </c>
      <c r="C19" s="41">
        <v>0</v>
      </c>
      <c r="D19" s="41">
        <v>2</v>
      </c>
      <c r="E19" s="41">
        <v>1</v>
      </c>
      <c r="F19" s="41" t="s">
        <v>74</v>
      </c>
      <c r="G19" s="41">
        <f>IF(F19&gt;0,INDEX(Fish!$D:$D,MATCH(F19,Fish!$L:$L,0)),"")</f>
        <v>11009</v>
      </c>
      <c r="H19" s="41">
        <v>0</v>
      </c>
      <c r="I19" s="41">
        <v>1</v>
      </c>
      <c r="J19" s="41">
        <v>5</v>
      </c>
      <c r="K19" s="41">
        <v>6</v>
      </c>
      <c r="L19" s="41" t="s">
        <v>80</v>
      </c>
      <c r="M19" s="41">
        <f>IF(L19&gt;0,INDEX(Fish!$D:$D,MATCH(L19,Fish!$L:$L,0)),"")</f>
        <v>11011</v>
      </c>
      <c r="N19" s="41">
        <v>0</v>
      </c>
      <c r="O19" s="41">
        <v>1</v>
      </c>
      <c r="P19" s="41">
        <v>4</v>
      </c>
      <c r="Q19" s="41">
        <v>5</v>
      </c>
      <c r="R19" s="41" t="s">
        <v>82</v>
      </c>
      <c r="S19" s="41">
        <f>IF(R19&gt;0,INDEX(Fish!$D:$D,MATCH(R19,Fish!$L:$L,0)),"")</f>
        <v>11012</v>
      </c>
      <c r="T19" s="41">
        <v>0</v>
      </c>
      <c r="U19" s="41">
        <v>1</v>
      </c>
      <c r="V19" s="41">
        <v>3</v>
      </c>
      <c r="W19" s="41">
        <v>4</v>
      </c>
      <c r="X19" s="41" t="s">
        <v>84</v>
      </c>
      <c r="Y19" s="41">
        <f>IF(X19&gt;0,INDEX(Fish!$D:$D,MATCH(X19,Fish!$L:$L,0)),"")</f>
        <v>11013</v>
      </c>
      <c r="Z19" s="41">
        <v>0</v>
      </c>
      <c r="AA19" s="41">
        <v>1</v>
      </c>
      <c r="AB19" s="41">
        <v>2</v>
      </c>
      <c r="AC19" s="41">
        <v>3</v>
      </c>
      <c r="AE19" s="41" t="str">
        <f>IF(AD19&gt;0,VLOOKUP(AD19,IF({1,0},#REF!,#REF!),2,FALSE),"")</f>
        <v/>
      </c>
    </row>
    <row r="20" spans="1:35">
      <c r="A20" s="41">
        <v>44411</v>
      </c>
      <c r="B20" s="41">
        <v>2</v>
      </c>
      <c r="C20" s="41">
        <v>0</v>
      </c>
      <c r="D20" s="41">
        <v>2</v>
      </c>
      <c r="E20" s="41">
        <v>1</v>
      </c>
      <c r="F20" s="41" t="s">
        <v>74</v>
      </c>
      <c r="G20" s="41">
        <f>IF(F20&gt;0,INDEX(Fish!$D:$D,MATCH(F20,Fish!$L:$L,0)),"")</f>
        <v>11009</v>
      </c>
      <c r="H20" s="41">
        <v>0</v>
      </c>
      <c r="I20" s="41">
        <v>1</v>
      </c>
      <c r="J20" s="41">
        <v>5</v>
      </c>
      <c r="K20" s="41">
        <v>6</v>
      </c>
      <c r="L20" s="41" t="s">
        <v>78</v>
      </c>
      <c r="M20" s="41">
        <f>IF(L20&gt;0,INDEX(Fish!$D:$D,MATCH(L20,Fish!$L:$L,0)),"")</f>
        <v>11010</v>
      </c>
      <c r="N20" s="41">
        <v>0</v>
      </c>
      <c r="O20" s="41">
        <v>1</v>
      </c>
      <c r="P20" s="41">
        <v>4</v>
      </c>
      <c r="Q20" s="41">
        <v>5</v>
      </c>
      <c r="R20" s="41" t="s">
        <v>92</v>
      </c>
      <c r="S20" s="41">
        <f>IF(R20&gt;0,INDEX(Fish!$D:$D,MATCH(R20,Fish!$L:$L,0)),"")</f>
        <v>11017</v>
      </c>
      <c r="T20" s="41">
        <v>0</v>
      </c>
      <c r="U20" s="41">
        <v>1</v>
      </c>
      <c r="V20" s="41">
        <v>3</v>
      </c>
      <c r="W20" s="41">
        <v>4</v>
      </c>
      <c r="X20" s="41" t="s">
        <v>88</v>
      </c>
      <c r="Y20" s="41">
        <f>IF(X20&gt;0,INDEX(Fish!$D:$D,MATCH(X20,Fish!$L:$L,0)),"")</f>
        <v>11015</v>
      </c>
      <c r="Z20" s="41">
        <v>0</v>
      </c>
      <c r="AA20" s="41">
        <v>1</v>
      </c>
      <c r="AB20" s="41">
        <v>2</v>
      </c>
      <c r="AC20" s="41">
        <v>3</v>
      </c>
      <c r="AE20" s="41" t="str">
        <f>IF(AD20&gt;0,VLOOKUP(AD20,IF({1,0},#REF!,#REF!),2,FALSE),"")</f>
        <v/>
      </c>
    </row>
    <row r="21" spans="1:35">
      <c r="A21" s="41">
        <v>44411</v>
      </c>
      <c r="B21" s="41">
        <v>2</v>
      </c>
      <c r="C21" s="41">
        <v>0</v>
      </c>
      <c r="D21" s="41">
        <v>2</v>
      </c>
      <c r="E21" s="41">
        <v>1</v>
      </c>
      <c r="F21" s="41" t="s">
        <v>74</v>
      </c>
      <c r="G21" s="41">
        <f>IF(F21&gt;0,INDEX(Fish!$D:$D,MATCH(F21,Fish!$L:$L,0)),"")</f>
        <v>11009</v>
      </c>
      <c r="H21" s="41">
        <v>0</v>
      </c>
      <c r="I21" s="41">
        <v>1</v>
      </c>
      <c r="J21" s="41">
        <v>5</v>
      </c>
      <c r="K21" s="41">
        <v>6</v>
      </c>
      <c r="L21" s="41" t="s">
        <v>78</v>
      </c>
      <c r="M21" s="41">
        <f>IF(L21&gt;0,INDEX(Fish!$D:$D,MATCH(L21,Fish!$L:$L,0)),"")</f>
        <v>11010</v>
      </c>
      <c r="N21" s="41">
        <v>0</v>
      </c>
      <c r="O21" s="41">
        <v>1</v>
      </c>
      <c r="P21" s="41">
        <v>4</v>
      </c>
      <c r="Q21" s="41">
        <v>5</v>
      </c>
      <c r="R21" s="41" t="s">
        <v>92</v>
      </c>
      <c r="S21" s="41">
        <f>IF(R21&gt;0,INDEX(Fish!$D:$D,MATCH(R21,Fish!$L:$L,0)),"")</f>
        <v>11017</v>
      </c>
      <c r="T21" s="41">
        <v>0</v>
      </c>
      <c r="U21" s="41">
        <v>1</v>
      </c>
      <c r="V21" s="41">
        <v>3</v>
      </c>
      <c r="W21" s="41">
        <v>4</v>
      </c>
      <c r="X21" s="41" t="s">
        <v>84</v>
      </c>
      <c r="Y21" s="41">
        <f>IF(X21&gt;0,INDEX(Fish!$D:$D,MATCH(X21,Fish!$L:$L,0)),"")</f>
        <v>11013</v>
      </c>
      <c r="Z21" s="41">
        <v>0</v>
      </c>
      <c r="AA21" s="41">
        <v>1</v>
      </c>
      <c r="AB21" s="41">
        <v>2</v>
      </c>
      <c r="AC21" s="41">
        <v>3</v>
      </c>
      <c r="AE21" s="41" t="str">
        <f>IF(AD21&gt;0,VLOOKUP(AD21,IF({1,0},#REF!,#REF!),2,FALSE),"")</f>
        <v/>
      </c>
    </row>
    <row r="22" spans="1:35">
      <c r="A22" s="41">
        <v>44411</v>
      </c>
      <c r="B22" s="41">
        <v>2</v>
      </c>
      <c r="C22" s="41">
        <v>0</v>
      </c>
      <c r="D22" s="41">
        <v>2</v>
      </c>
      <c r="E22" s="41">
        <v>1</v>
      </c>
      <c r="F22" s="41" t="s">
        <v>74</v>
      </c>
      <c r="G22" s="41">
        <f>IF(F22&gt;0,INDEX(Fish!$D:$D,MATCH(F22,Fish!$L:$L,0)),"")</f>
        <v>11009</v>
      </c>
      <c r="H22" s="41">
        <v>0</v>
      </c>
      <c r="I22" s="41">
        <v>1</v>
      </c>
      <c r="J22" s="41">
        <v>5</v>
      </c>
      <c r="K22" s="41">
        <v>6</v>
      </c>
      <c r="L22" s="41" t="s">
        <v>78</v>
      </c>
      <c r="M22" s="41">
        <f>IF(L22&gt;0,INDEX(Fish!$D:$D,MATCH(L22,Fish!$L:$L,0)),"")</f>
        <v>11010</v>
      </c>
      <c r="N22" s="41">
        <v>0</v>
      </c>
      <c r="O22" s="41">
        <v>1</v>
      </c>
      <c r="P22" s="41">
        <v>4</v>
      </c>
      <c r="Q22" s="41">
        <v>5</v>
      </c>
      <c r="R22" s="41" t="s">
        <v>82</v>
      </c>
      <c r="S22" s="41">
        <f>IF(R22&gt;0,INDEX(Fish!$D:$D,MATCH(R22,Fish!$L:$L,0)),"")</f>
        <v>11012</v>
      </c>
      <c r="T22" s="41">
        <v>0</v>
      </c>
      <c r="U22" s="41">
        <v>1</v>
      </c>
      <c r="V22" s="41">
        <v>3</v>
      </c>
      <c r="W22" s="41">
        <v>4</v>
      </c>
      <c r="X22" s="41" t="s">
        <v>88</v>
      </c>
      <c r="Y22" s="41">
        <f>IF(X22&gt;0,INDEX(Fish!$D:$D,MATCH(X22,Fish!$L:$L,0)),"")</f>
        <v>11015</v>
      </c>
      <c r="Z22" s="41">
        <v>0</v>
      </c>
      <c r="AA22" s="41">
        <v>1</v>
      </c>
      <c r="AB22" s="41">
        <v>2</v>
      </c>
      <c r="AC22" s="41">
        <v>3</v>
      </c>
      <c r="AE22" s="41" t="str">
        <f>IF(AD22&gt;0,VLOOKUP(AD22,IF({1,0},#REF!,#REF!),2,FALSE),"")</f>
        <v/>
      </c>
    </row>
    <row r="23" spans="1:35">
      <c r="A23" s="41">
        <v>44411</v>
      </c>
      <c r="B23" s="41">
        <v>2</v>
      </c>
      <c r="C23" s="41">
        <v>0</v>
      </c>
      <c r="D23" s="41">
        <v>2</v>
      </c>
      <c r="E23" s="41">
        <v>1</v>
      </c>
      <c r="F23" s="41" t="s">
        <v>74</v>
      </c>
      <c r="G23" s="41">
        <f>IF(F23&gt;0,INDEX(Fish!$D:$D,MATCH(F23,Fish!$L:$L,0)),"")</f>
        <v>11009</v>
      </c>
      <c r="H23" s="41">
        <v>0</v>
      </c>
      <c r="I23" s="41">
        <v>1</v>
      </c>
      <c r="J23" s="41">
        <v>5</v>
      </c>
      <c r="K23" s="41">
        <v>6</v>
      </c>
      <c r="L23" s="41" t="s">
        <v>78</v>
      </c>
      <c r="M23" s="41">
        <f>IF(L23&gt;0,INDEX(Fish!$D:$D,MATCH(L23,Fish!$L:$L,0)),"")</f>
        <v>11010</v>
      </c>
      <c r="N23" s="41">
        <v>0</v>
      </c>
      <c r="O23" s="41">
        <v>1</v>
      </c>
      <c r="P23" s="41">
        <v>4</v>
      </c>
      <c r="Q23" s="41">
        <v>5</v>
      </c>
      <c r="R23" s="41" t="s">
        <v>82</v>
      </c>
      <c r="S23" s="41">
        <f>IF(R23&gt;0,INDEX(Fish!$D:$D,MATCH(R23,Fish!$L:$L,0)),"")</f>
        <v>11012</v>
      </c>
      <c r="T23" s="41">
        <v>0</v>
      </c>
      <c r="U23" s="41">
        <v>1</v>
      </c>
      <c r="V23" s="41">
        <v>3</v>
      </c>
      <c r="W23" s="41">
        <v>4</v>
      </c>
      <c r="X23" s="41" t="s">
        <v>84</v>
      </c>
      <c r="Y23" s="41">
        <f>IF(X23&gt;0,INDEX(Fish!$D:$D,MATCH(X23,Fish!$L:$L,0)),"")</f>
        <v>11013</v>
      </c>
      <c r="Z23" s="41">
        <v>0</v>
      </c>
      <c r="AA23" s="41">
        <v>1</v>
      </c>
      <c r="AB23" s="41">
        <v>2</v>
      </c>
      <c r="AC23" s="41">
        <v>3</v>
      </c>
      <c r="AE23" s="41" t="str">
        <f>IF(AD23&gt;0,VLOOKUP(AD23,IF({1,0},#REF!,#REF!),2,FALSE),"")</f>
        <v/>
      </c>
    </row>
    <row r="24" spans="1:35" ht="18.75">
      <c r="A24" s="41">
        <v>44411</v>
      </c>
      <c r="B24" s="41">
        <v>2</v>
      </c>
      <c r="C24" s="41">
        <v>0</v>
      </c>
      <c r="D24" s="41">
        <v>3</v>
      </c>
      <c r="E24" s="41">
        <v>2</v>
      </c>
      <c r="F24" s="41" t="s">
        <v>98</v>
      </c>
      <c r="G24" s="41">
        <f>IF(F24&gt;0,INDEX(Fish!$D:$D,MATCH(F24,Fish!$L:$L,0)),"")</f>
        <v>11090</v>
      </c>
      <c r="H24" s="41">
        <v>55000</v>
      </c>
      <c r="I24" s="41">
        <v>1</v>
      </c>
      <c r="J24" s="41">
        <v>1</v>
      </c>
      <c r="K24" s="41">
        <v>1</v>
      </c>
      <c r="L24" s="45" t="s">
        <v>100</v>
      </c>
      <c r="M24" s="41">
        <f>IF(L24&gt;0,INDEX(Fish!$D:$D,MATCH(L24,Fish!$L:$L,0)),"")</f>
        <v>11025</v>
      </c>
      <c r="N24" s="41">
        <v>45000</v>
      </c>
      <c r="O24" s="41">
        <v>1</v>
      </c>
      <c r="P24" s="41">
        <v>1</v>
      </c>
      <c r="Q24" s="41">
        <v>1</v>
      </c>
      <c r="S24" s="41" t="str">
        <f>IF(R24&gt;0,INDEX(Fish!$D:$D,MATCH(R24,Fish!$L:$L,0)),"")</f>
        <v/>
      </c>
      <c r="Y24" s="41" t="str">
        <f>IF(X24&gt;0,INDEX(Fish!$D:$D,MATCH(X24,Fish!$L:$L,0)),"")</f>
        <v/>
      </c>
      <c r="AE24" s="41" t="str">
        <f>IF(AD24&gt;0,VLOOKUP(AD24,IF({1,0},#REF!,#REF!),2,FALSE),"")</f>
        <v/>
      </c>
    </row>
    <row r="25" spans="1:35" ht="20.25">
      <c r="A25" s="41">
        <v>44411</v>
      </c>
      <c r="B25" s="41">
        <v>2</v>
      </c>
      <c r="C25" s="41">
        <v>0</v>
      </c>
      <c r="D25" s="41">
        <v>4</v>
      </c>
      <c r="E25" s="41">
        <v>2</v>
      </c>
      <c r="F25" s="41" t="s">
        <v>346</v>
      </c>
      <c r="G25" s="41">
        <f>IF(F25&gt;0,INDEX(Fish!$D:$D,MATCH(F25,Fish!$L:$L,0)),"")</f>
        <v>11018</v>
      </c>
      <c r="H25" s="41">
        <v>30000</v>
      </c>
      <c r="I25" s="41">
        <v>1</v>
      </c>
      <c r="J25" s="41">
        <v>2</v>
      </c>
      <c r="K25" s="41">
        <v>3</v>
      </c>
      <c r="L25" s="41" t="s">
        <v>356</v>
      </c>
      <c r="M25" s="41">
        <f>IF(L25&gt;0,INDEX(Fish!$D:$D,MATCH(L25,Fish!$L:$L,0)),"")</f>
        <v>11214</v>
      </c>
      <c r="N25" s="41">
        <v>30000</v>
      </c>
      <c r="O25" s="41">
        <v>1</v>
      </c>
      <c r="P25" s="41">
        <v>2</v>
      </c>
      <c r="Q25" s="41">
        <v>3</v>
      </c>
      <c r="R25" s="41" t="s">
        <v>350</v>
      </c>
      <c r="S25" s="41">
        <f>IF(R25&gt;0,INDEX(Fish!$D:$D,MATCH(R25,Fish!$L:$L,0)),"")</f>
        <v>11021</v>
      </c>
      <c r="T25" s="41">
        <v>25000</v>
      </c>
      <c r="U25" s="41">
        <v>1</v>
      </c>
      <c r="V25" s="41">
        <v>2</v>
      </c>
      <c r="W25" s="41">
        <v>3</v>
      </c>
      <c r="X25" s="44" t="s">
        <v>348</v>
      </c>
      <c r="Y25" s="41">
        <f>IF(X25&gt;0,INDEX(Fish!$D:$D,MATCH(X25,Fish!$L:$L,0)),"")</f>
        <v>11092</v>
      </c>
      <c r="Z25" s="41">
        <v>15000</v>
      </c>
      <c r="AA25" s="41">
        <v>1</v>
      </c>
      <c r="AB25" s="41">
        <v>2</v>
      </c>
      <c r="AC25" s="41">
        <v>3</v>
      </c>
      <c r="AE25" s="41" t="str">
        <f>IF(AD25&gt;0,VLOOKUP(AD25,IF({1,0},#REF!,#REF!),2,FALSE),"")</f>
        <v/>
      </c>
    </row>
    <row r="26" spans="1:35">
      <c r="A26" s="41">
        <v>44411</v>
      </c>
      <c r="B26" s="41">
        <v>2</v>
      </c>
      <c r="C26" s="41">
        <v>0</v>
      </c>
      <c r="D26" s="41">
        <v>5</v>
      </c>
      <c r="E26" s="41">
        <v>2</v>
      </c>
      <c r="F26" s="41" t="s">
        <v>117</v>
      </c>
      <c r="G26" s="41">
        <f>IF(F26&gt;0,INDEX(Fish!$D:$D,MATCH(F26,Fish!$L:$L,0)),"")</f>
        <v>14009</v>
      </c>
      <c r="H26" s="41">
        <v>38000</v>
      </c>
      <c r="I26" s="41">
        <v>1</v>
      </c>
      <c r="J26" s="41">
        <v>1</v>
      </c>
      <c r="K26" s="41">
        <v>1</v>
      </c>
      <c r="L26" s="41" t="s">
        <v>118</v>
      </c>
      <c r="M26" s="41">
        <f>IF(L26&gt;0,INDEX(Fish!$D:$D,MATCH(L26,Fish!$L:$L,0)),"")</f>
        <v>14011</v>
      </c>
      <c r="N26" s="41">
        <v>29000</v>
      </c>
      <c r="O26" s="41">
        <v>1</v>
      </c>
      <c r="P26" s="41">
        <v>1</v>
      </c>
      <c r="Q26" s="41">
        <v>1</v>
      </c>
      <c r="R26" s="41" t="s">
        <v>120</v>
      </c>
      <c r="S26" s="41">
        <f>IF(R26&gt;0,INDEX(Fish!$D:$D,MATCH(R26,Fish!$L:$L,0)),"")</f>
        <v>14015</v>
      </c>
      <c r="T26" s="41">
        <v>18000</v>
      </c>
      <c r="U26" s="41">
        <v>1</v>
      </c>
      <c r="V26" s="41">
        <v>1</v>
      </c>
      <c r="W26" s="41">
        <v>1</v>
      </c>
      <c r="X26" s="41" t="s">
        <v>121</v>
      </c>
      <c r="Y26" s="41">
        <f>IF(X26&gt;0,INDEX(Fish!$D:$D,MATCH(X26,Fish!$L:$L,0)),"")</f>
        <v>14020</v>
      </c>
      <c r="Z26" s="41">
        <v>15000</v>
      </c>
      <c r="AA26" s="41">
        <v>1</v>
      </c>
      <c r="AB26" s="41">
        <v>1</v>
      </c>
      <c r="AC26" s="41">
        <v>1</v>
      </c>
      <c r="AE26" s="41" t="str">
        <f>IF(AD26&gt;0,VLOOKUP(AD26,IF({1,0},#REF!,#REF!),2,FALSE),"")</f>
        <v/>
      </c>
    </row>
    <row r="27" spans="1:35">
      <c r="A27" s="41">
        <v>44412</v>
      </c>
      <c r="B27" s="41">
        <v>2</v>
      </c>
      <c r="C27" s="41">
        <v>10</v>
      </c>
      <c r="D27" s="41">
        <v>1</v>
      </c>
      <c r="E27" s="41">
        <v>1</v>
      </c>
      <c r="F27" s="41" t="s">
        <v>58</v>
      </c>
      <c r="G27" s="41">
        <f>IF(F27&gt;0,INDEX(Fish!$D:$D,MATCH(F27,Fish!$L:$L,0)),"")</f>
        <v>11001</v>
      </c>
      <c r="H27" s="41">
        <v>0</v>
      </c>
      <c r="I27" s="41">
        <v>4</v>
      </c>
      <c r="J27" s="41">
        <v>13</v>
      </c>
      <c r="K27" s="41">
        <v>15</v>
      </c>
      <c r="L27" s="41" t="s">
        <v>62</v>
      </c>
      <c r="M27" s="41">
        <f>IF(L27&gt;0,INDEX(Fish!$D:$D,MATCH(L27,Fish!$L:$L,0)),"")</f>
        <v>11003</v>
      </c>
      <c r="N27" s="41">
        <v>0</v>
      </c>
      <c r="O27" s="41">
        <v>3</v>
      </c>
      <c r="P27" s="41">
        <v>13</v>
      </c>
      <c r="Q27" s="41">
        <v>15</v>
      </c>
      <c r="S27" s="41" t="str">
        <f>IF(R27&gt;0,INDEX(Fish!$D:$D,MATCH(R27,Fish!$L:$L,0)),"")</f>
        <v/>
      </c>
      <c r="Y27" s="41" t="str">
        <f>IF(X27&gt;0,INDEX(Fish!$D:$D,MATCH(X27,Fish!$L:$L,0)),"")</f>
        <v/>
      </c>
      <c r="AE27" s="41" t="str">
        <f>IF(AD27&gt;0,VLOOKUP(AD27,IF({1,0},#REF!,#REF!),2,FALSE),"")</f>
        <v/>
      </c>
    </row>
    <row r="28" spans="1:35">
      <c r="A28" s="41">
        <v>44412</v>
      </c>
      <c r="B28" s="41">
        <v>2</v>
      </c>
      <c r="C28" s="41">
        <v>10</v>
      </c>
      <c r="D28" s="41">
        <v>1</v>
      </c>
      <c r="E28" s="41">
        <v>1</v>
      </c>
      <c r="F28" s="41" t="s">
        <v>58</v>
      </c>
      <c r="G28" s="41">
        <f>IF(F28&gt;0,INDEX(Fish!$D:$D,MATCH(F28,Fish!$L:$L,0)),"")</f>
        <v>11001</v>
      </c>
      <c r="H28" s="41">
        <v>0</v>
      </c>
      <c r="I28" s="41">
        <v>4</v>
      </c>
      <c r="J28" s="41">
        <v>13</v>
      </c>
      <c r="K28" s="41">
        <v>15</v>
      </c>
      <c r="L28" s="41" t="s">
        <v>64</v>
      </c>
      <c r="M28" s="41">
        <f>IF(L28&gt;0,INDEX(Fish!$D:$D,MATCH(L28,Fish!$L:$L,0)),"")</f>
        <v>11004</v>
      </c>
      <c r="N28" s="41">
        <v>0</v>
      </c>
      <c r="O28" s="41">
        <v>3</v>
      </c>
      <c r="P28" s="41">
        <v>13</v>
      </c>
      <c r="Q28" s="41">
        <v>15</v>
      </c>
      <c r="S28" s="41" t="str">
        <f>IF(R28&gt;0,INDEX(Fish!$D:$D,MATCH(R28,Fish!$L:$L,0)),"")</f>
        <v/>
      </c>
      <c r="Y28" s="41" t="str">
        <f>IF(X28&gt;0,INDEX(Fish!$D:$D,MATCH(X28,Fish!$L:$L,0)),"")</f>
        <v/>
      </c>
      <c r="AE28" s="41" t="str">
        <f>IF(AD28&gt;0,VLOOKUP(AD28,IF({1,0},#REF!,#REF!),2,FALSE),"")</f>
        <v/>
      </c>
    </row>
    <row r="29" spans="1:35">
      <c r="A29" s="41">
        <v>44412</v>
      </c>
      <c r="B29" s="41">
        <v>2</v>
      </c>
      <c r="C29" s="41">
        <v>10</v>
      </c>
      <c r="D29" s="41">
        <v>1</v>
      </c>
      <c r="E29" s="41">
        <v>1</v>
      </c>
      <c r="F29" s="41" t="s">
        <v>60</v>
      </c>
      <c r="G29" s="41">
        <f>IF(F29&gt;0,INDEX(Fish!$D:$D,MATCH(F29,Fish!$L:$L,0)),"")</f>
        <v>11002</v>
      </c>
      <c r="H29" s="41">
        <v>0</v>
      </c>
      <c r="I29" s="41">
        <v>4</v>
      </c>
      <c r="J29" s="41">
        <v>13</v>
      </c>
      <c r="K29" s="41">
        <v>15</v>
      </c>
      <c r="L29" s="41" t="s">
        <v>62</v>
      </c>
      <c r="M29" s="41">
        <f>IF(L29&gt;0,INDEX(Fish!$D:$D,MATCH(L29,Fish!$L:$L,0)),"")</f>
        <v>11003</v>
      </c>
      <c r="N29" s="41">
        <v>0</v>
      </c>
      <c r="O29" s="41">
        <v>3</v>
      </c>
      <c r="P29" s="41">
        <v>13</v>
      </c>
      <c r="Q29" s="41">
        <v>15</v>
      </c>
      <c r="S29" s="41" t="str">
        <f>IF(R29&gt;0,INDEX(Fish!$D:$D,MATCH(R29,Fish!$L:$L,0)),"")</f>
        <v/>
      </c>
      <c r="Y29" s="41" t="str">
        <f>IF(X29&gt;0,INDEX(Fish!$D:$D,MATCH(X29,Fish!$L:$L,0)),"")</f>
        <v/>
      </c>
      <c r="AE29" s="41" t="str">
        <f>IF(AD29&gt;0,VLOOKUP(AD29,IF({1,0},#REF!,#REF!),2,FALSE),"")</f>
        <v/>
      </c>
    </row>
    <row r="30" spans="1:35">
      <c r="A30" s="41">
        <v>44412</v>
      </c>
      <c r="B30" s="41">
        <v>2</v>
      </c>
      <c r="C30" s="41">
        <v>10</v>
      </c>
      <c r="D30" s="41">
        <v>1</v>
      </c>
      <c r="E30" s="41">
        <v>1</v>
      </c>
      <c r="F30" s="41" t="s">
        <v>60</v>
      </c>
      <c r="G30" s="41">
        <f>IF(F30&gt;0,INDEX(Fish!$D:$D,MATCH(F30,Fish!$L:$L,0)),"")</f>
        <v>11002</v>
      </c>
      <c r="H30" s="41">
        <v>0</v>
      </c>
      <c r="I30" s="41">
        <v>4</v>
      </c>
      <c r="J30" s="41">
        <v>13</v>
      </c>
      <c r="K30" s="41">
        <v>15</v>
      </c>
      <c r="L30" s="41" t="s">
        <v>64</v>
      </c>
      <c r="M30" s="41">
        <f>IF(L30&gt;0,INDEX(Fish!$D:$D,MATCH(L30,Fish!$L:$L,0)),"")</f>
        <v>11004</v>
      </c>
      <c r="N30" s="41">
        <v>0</v>
      </c>
      <c r="O30" s="41">
        <v>3</v>
      </c>
      <c r="P30" s="41">
        <v>13</v>
      </c>
      <c r="Q30" s="41">
        <v>15</v>
      </c>
      <c r="S30" s="41" t="str">
        <f>IF(R30&gt;0,INDEX(Fish!$D:$D,MATCH(R30,Fish!$L:$L,0)),"")</f>
        <v/>
      </c>
      <c r="Y30" s="41" t="str">
        <f>IF(X30&gt;0,INDEX(Fish!$D:$D,MATCH(X30,Fish!$L:$L,0)),"")</f>
        <v/>
      </c>
      <c r="AE30" s="41" t="str">
        <f>IF(AD30&gt;0,VLOOKUP(AD30,IF({1,0},#REF!,#REF!),2,FALSE),"")</f>
        <v/>
      </c>
    </row>
    <row r="31" spans="1:35">
      <c r="A31" s="41">
        <v>44412</v>
      </c>
      <c r="B31" s="41">
        <v>4</v>
      </c>
      <c r="C31" s="41">
        <v>0</v>
      </c>
      <c r="D31" s="41">
        <v>2</v>
      </c>
      <c r="E31" s="41">
        <v>1</v>
      </c>
      <c r="F31" s="41" t="s">
        <v>72</v>
      </c>
      <c r="G31" s="41">
        <f>IF(F31&gt;0,INDEX(Fish!$D:$D,MATCH(F31,Fish!$L:$L,0)),"")</f>
        <v>11008</v>
      </c>
      <c r="H31" s="41">
        <v>0</v>
      </c>
      <c r="I31" s="41">
        <v>1</v>
      </c>
      <c r="J31" s="41">
        <v>5</v>
      </c>
      <c r="K31" s="41">
        <v>6</v>
      </c>
      <c r="L31" s="41" t="s">
        <v>80</v>
      </c>
      <c r="M31" s="41">
        <f>IF(L31&gt;0,INDEX(Fish!$D:$D,MATCH(L31,Fish!$L:$L,0)),"")</f>
        <v>11011</v>
      </c>
      <c r="N31" s="41">
        <v>0</v>
      </c>
      <c r="O31" s="41">
        <v>1</v>
      </c>
      <c r="P31" s="41">
        <v>3</v>
      </c>
      <c r="Q31" s="41">
        <v>4</v>
      </c>
      <c r="R31" s="41" t="s">
        <v>92</v>
      </c>
      <c r="S31" s="41">
        <f>IF(R31&gt;0,INDEX(Fish!$D:$D,MATCH(R31,Fish!$L:$L,0)),"")</f>
        <v>11017</v>
      </c>
      <c r="T31" s="41">
        <v>0</v>
      </c>
      <c r="U31" s="41">
        <v>1</v>
      </c>
      <c r="V31" s="41">
        <v>3</v>
      </c>
      <c r="W31" s="41">
        <v>3</v>
      </c>
      <c r="X31" s="41" t="s">
        <v>88</v>
      </c>
      <c r="Y31" s="41">
        <f>IF(X31&gt;0,INDEX(Fish!$D:$D,MATCH(X31,Fish!$L:$L,0)),"")</f>
        <v>11015</v>
      </c>
      <c r="Z31" s="41">
        <v>0</v>
      </c>
      <c r="AA31" s="41">
        <v>1</v>
      </c>
      <c r="AB31" s="41">
        <v>2</v>
      </c>
      <c r="AC31" s="41">
        <v>3</v>
      </c>
      <c r="AD31" s="41" t="s">
        <v>84</v>
      </c>
      <c r="AE31" s="41">
        <f>IF(AD31&gt;0,INDEX(Fish!$D:$D,MATCH(AD31,Fish!$L:$L,0)),"")</f>
        <v>11013</v>
      </c>
      <c r="AF31" s="41">
        <v>0</v>
      </c>
      <c r="AG31" s="41">
        <v>1</v>
      </c>
      <c r="AH31" s="41">
        <v>1</v>
      </c>
      <c r="AI31" s="41">
        <v>2</v>
      </c>
    </row>
    <row r="32" spans="1:35">
      <c r="A32" s="41">
        <v>44412</v>
      </c>
      <c r="B32" s="41">
        <v>4</v>
      </c>
      <c r="C32" s="41">
        <v>0</v>
      </c>
      <c r="D32" s="41">
        <v>2</v>
      </c>
      <c r="E32" s="41">
        <v>1</v>
      </c>
      <c r="F32" s="41" t="s">
        <v>72</v>
      </c>
      <c r="G32" s="41">
        <f>IF(F32&gt;0,INDEX(Fish!$D:$D,MATCH(F32,Fish!$L:$L,0)),"")</f>
        <v>11008</v>
      </c>
      <c r="H32" s="41">
        <v>0</v>
      </c>
      <c r="I32" s="41">
        <v>1</v>
      </c>
      <c r="J32" s="41">
        <v>5</v>
      </c>
      <c r="K32" s="41">
        <v>6</v>
      </c>
      <c r="L32" s="41" t="s">
        <v>80</v>
      </c>
      <c r="M32" s="41">
        <f>IF(L32&gt;0,INDEX(Fish!$D:$D,MATCH(L32,Fish!$L:$L,0)),"")</f>
        <v>11011</v>
      </c>
      <c r="N32" s="41">
        <v>0</v>
      </c>
      <c r="O32" s="41">
        <v>1</v>
      </c>
      <c r="P32" s="41">
        <v>3</v>
      </c>
      <c r="Q32" s="41">
        <v>4</v>
      </c>
      <c r="R32" s="41" t="s">
        <v>92</v>
      </c>
      <c r="S32" s="41">
        <f>IF(R32&gt;0,INDEX(Fish!$D:$D,MATCH(R32,Fish!$L:$L,0)),"")</f>
        <v>11017</v>
      </c>
      <c r="T32" s="41">
        <v>0</v>
      </c>
      <c r="U32" s="41">
        <v>1</v>
      </c>
      <c r="V32" s="41">
        <v>3</v>
      </c>
      <c r="W32" s="41">
        <v>3</v>
      </c>
      <c r="X32" s="41" t="s">
        <v>88</v>
      </c>
      <c r="Y32" s="41">
        <f>IF(X32&gt;0,INDEX(Fish!$D:$D,MATCH(X32,Fish!$L:$L,0)),"")</f>
        <v>11015</v>
      </c>
      <c r="Z32" s="41">
        <v>0</v>
      </c>
      <c r="AA32" s="41">
        <v>1</v>
      </c>
      <c r="AB32" s="41">
        <v>2</v>
      </c>
      <c r="AC32" s="41">
        <v>3</v>
      </c>
      <c r="AD32" s="41" t="s">
        <v>90</v>
      </c>
      <c r="AE32" s="41">
        <f>IF(AD32&gt;0,INDEX(Fish!$D:$D,MATCH(AD32,Fish!$L:$L,0)),"")</f>
        <v>11016</v>
      </c>
      <c r="AF32" s="41">
        <v>0</v>
      </c>
      <c r="AG32" s="41">
        <v>1</v>
      </c>
      <c r="AH32" s="41">
        <v>1</v>
      </c>
      <c r="AI32" s="41">
        <v>2</v>
      </c>
    </row>
    <row r="33" spans="1:35">
      <c r="A33" s="41">
        <v>44412</v>
      </c>
      <c r="B33" s="41">
        <v>4</v>
      </c>
      <c r="C33" s="41">
        <v>0</v>
      </c>
      <c r="D33" s="41">
        <v>2</v>
      </c>
      <c r="E33" s="41">
        <v>1</v>
      </c>
      <c r="F33" s="41" t="s">
        <v>72</v>
      </c>
      <c r="G33" s="41">
        <f>IF(F33&gt;0,INDEX(Fish!$D:$D,MATCH(F33,Fish!$L:$L,0)),"")</f>
        <v>11008</v>
      </c>
      <c r="H33" s="41">
        <v>0</v>
      </c>
      <c r="I33" s="41">
        <v>1</v>
      </c>
      <c r="J33" s="41">
        <v>5</v>
      </c>
      <c r="K33" s="41">
        <v>6</v>
      </c>
      <c r="L33" s="41" t="s">
        <v>80</v>
      </c>
      <c r="M33" s="41">
        <f>IF(L33&gt;0,INDEX(Fish!$D:$D,MATCH(L33,Fish!$L:$L,0)),"")</f>
        <v>11011</v>
      </c>
      <c r="N33" s="41">
        <v>0</v>
      </c>
      <c r="O33" s="41">
        <v>1</v>
      </c>
      <c r="P33" s="41">
        <v>3</v>
      </c>
      <c r="Q33" s="41">
        <v>4</v>
      </c>
      <c r="R33" s="41" t="s">
        <v>92</v>
      </c>
      <c r="S33" s="41">
        <f>IF(R33&gt;0,INDEX(Fish!$D:$D,MATCH(R33,Fish!$L:$L,0)),"")</f>
        <v>11017</v>
      </c>
      <c r="T33" s="41">
        <v>0</v>
      </c>
      <c r="U33" s="41">
        <v>1</v>
      </c>
      <c r="V33" s="41">
        <v>3</v>
      </c>
      <c r="W33" s="41">
        <v>3</v>
      </c>
      <c r="X33" s="41" t="s">
        <v>94</v>
      </c>
      <c r="Y33" s="41">
        <f>IF(X33&gt;0,INDEX(Fish!$D:$D,MATCH(X33,Fish!$L:$L,0)),"")</f>
        <v>11020</v>
      </c>
      <c r="Z33" s="41">
        <v>0</v>
      </c>
      <c r="AA33" s="41">
        <v>1</v>
      </c>
      <c r="AB33" s="41">
        <v>2</v>
      </c>
      <c r="AC33" s="41">
        <v>3</v>
      </c>
      <c r="AD33" s="41" t="s">
        <v>84</v>
      </c>
      <c r="AE33" s="41">
        <f>IF(AD33&gt;0,INDEX(Fish!$D:$D,MATCH(AD33,Fish!$L:$L,0)),"")</f>
        <v>11013</v>
      </c>
      <c r="AF33" s="41">
        <v>0</v>
      </c>
      <c r="AG33" s="41">
        <v>1</v>
      </c>
      <c r="AH33" s="41">
        <v>1</v>
      </c>
      <c r="AI33" s="41">
        <v>2</v>
      </c>
    </row>
    <row r="34" spans="1:35">
      <c r="A34" s="41">
        <v>44412</v>
      </c>
      <c r="B34" s="41">
        <v>4</v>
      </c>
      <c r="C34" s="41">
        <v>0</v>
      </c>
      <c r="D34" s="41">
        <v>2</v>
      </c>
      <c r="E34" s="41">
        <v>1</v>
      </c>
      <c r="F34" s="41" t="s">
        <v>72</v>
      </c>
      <c r="G34" s="41">
        <f>IF(F34&gt;0,INDEX(Fish!$D:$D,MATCH(F34,Fish!$L:$L,0)),"")</f>
        <v>11008</v>
      </c>
      <c r="H34" s="41">
        <v>0</v>
      </c>
      <c r="I34" s="41">
        <v>1</v>
      </c>
      <c r="J34" s="41">
        <v>5</v>
      </c>
      <c r="K34" s="41">
        <v>6</v>
      </c>
      <c r="L34" s="41" t="s">
        <v>80</v>
      </c>
      <c r="M34" s="41">
        <f>IF(L34&gt;0,INDEX(Fish!$D:$D,MATCH(L34,Fish!$L:$L,0)),"")</f>
        <v>11011</v>
      </c>
      <c r="N34" s="41">
        <v>0</v>
      </c>
      <c r="O34" s="41">
        <v>1</v>
      </c>
      <c r="P34" s="41">
        <v>3</v>
      </c>
      <c r="Q34" s="41">
        <v>4</v>
      </c>
      <c r="R34" s="41" t="s">
        <v>92</v>
      </c>
      <c r="S34" s="41">
        <f>IF(R34&gt;0,INDEX(Fish!$D:$D,MATCH(R34,Fish!$L:$L,0)),"")</f>
        <v>11017</v>
      </c>
      <c r="T34" s="41">
        <v>0</v>
      </c>
      <c r="U34" s="41">
        <v>1</v>
      </c>
      <c r="V34" s="41">
        <v>3</v>
      </c>
      <c r="W34" s="41">
        <v>3</v>
      </c>
      <c r="X34" s="41" t="s">
        <v>94</v>
      </c>
      <c r="Y34" s="41">
        <f>IF(X34&gt;0,INDEX(Fish!$D:$D,MATCH(X34,Fish!$L:$L,0)),"")</f>
        <v>11020</v>
      </c>
      <c r="Z34" s="41">
        <v>0</v>
      </c>
      <c r="AA34" s="41">
        <v>1</v>
      </c>
      <c r="AB34" s="41">
        <v>2</v>
      </c>
      <c r="AC34" s="41">
        <v>3</v>
      </c>
      <c r="AD34" s="41" t="s">
        <v>90</v>
      </c>
      <c r="AE34" s="41">
        <f>IF(AD34&gt;0,INDEX(Fish!$D:$D,MATCH(AD34,Fish!$L:$L,0)),"")</f>
        <v>11016</v>
      </c>
      <c r="AF34" s="41">
        <v>0</v>
      </c>
      <c r="AG34" s="41">
        <v>1</v>
      </c>
      <c r="AH34" s="41">
        <v>1</v>
      </c>
      <c r="AI34" s="41">
        <v>2</v>
      </c>
    </row>
    <row r="35" spans="1:35">
      <c r="A35" s="41">
        <v>44412</v>
      </c>
      <c r="B35" s="41">
        <v>4</v>
      </c>
      <c r="C35" s="41">
        <v>0</v>
      </c>
      <c r="D35" s="41">
        <v>2</v>
      </c>
      <c r="E35" s="41">
        <v>1</v>
      </c>
      <c r="F35" s="41" t="s">
        <v>72</v>
      </c>
      <c r="G35" s="41">
        <f>IF(F35&gt;0,INDEX(Fish!$D:$D,MATCH(F35,Fish!$L:$L,0)),"")</f>
        <v>11008</v>
      </c>
      <c r="H35" s="41">
        <v>0</v>
      </c>
      <c r="I35" s="41">
        <v>1</v>
      </c>
      <c r="J35" s="41">
        <v>5</v>
      </c>
      <c r="K35" s="41">
        <v>6</v>
      </c>
      <c r="L35" s="41" t="s">
        <v>80</v>
      </c>
      <c r="M35" s="41">
        <f>IF(L35&gt;0,INDEX(Fish!$D:$D,MATCH(L35,Fish!$L:$L,0)),"")</f>
        <v>11011</v>
      </c>
      <c r="N35" s="41">
        <v>0</v>
      </c>
      <c r="O35" s="41">
        <v>1</v>
      </c>
      <c r="P35" s="41">
        <v>3</v>
      </c>
      <c r="Q35" s="41">
        <v>4</v>
      </c>
      <c r="R35" s="41" t="s">
        <v>82</v>
      </c>
      <c r="S35" s="41">
        <f>IF(R35&gt;0,INDEX(Fish!$D:$D,MATCH(R35,Fish!$L:$L,0)),"")</f>
        <v>11012</v>
      </c>
      <c r="T35" s="41">
        <v>0</v>
      </c>
      <c r="U35" s="41">
        <v>1</v>
      </c>
      <c r="V35" s="41">
        <v>3</v>
      </c>
      <c r="W35" s="41">
        <v>3</v>
      </c>
      <c r="X35" s="41" t="s">
        <v>88</v>
      </c>
      <c r="Y35" s="41">
        <f>IF(X35&gt;0,INDEX(Fish!$D:$D,MATCH(X35,Fish!$L:$L,0)),"")</f>
        <v>11015</v>
      </c>
      <c r="Z35" s="41">
        <v>0</v>
      </c>
      <c r="AA35" s="41">
        <v>1</v>
      </c>
      <c r="AB35" s="41">
        <v>2</v>
      </c>
      <c r="AC35" s="41">
        <v>3</v>
      </c>
      <c r="AD35" s="41" t="s">
        <v>84</v>
      </c>
      <c r="AE35" s="41">
        <f>IF(AD35&gt;0,INDEX(Fish!$D:$D,MATCH(AD35,Fish!$L:$L,0)),"")</f>
        <v>11013</v>
      </c>
      <c r="AF35" s="41">
        <v>0</v>
      </c>
      <c r="AG35" s="41">
        <v>1</v>
      </c>
      <c r="AH35" s="41">
        <v>1</v>
      </c>
      <c r="AI35" s="41">
        <v>2</v>
      </c>
    </row>
    <row r="36" spans="1:35">
      <c r="A36" s="41">
        <v>44412</v>
      </c>
      <c r="B36" s="41">
        <v>4</v>
      </c>
      <c r="C36" s="41">
        <v>0</v>
      </c>
      <c r="D36" s="41">
        <v>2</v>
      </c>
      <c r="E36" s="41">
        <v>1</v>
      </c>
      <c r="F36" s="41" t="s">
        <v>72</v>
      </c>
      <c r="G36" s="41">
        <f>IF(F36&gt;0,INDEX(Fish!$D:$D,MATCH(F36,Fish!$L:$L,0)),"")</f>
        <v>11008</v>
      </c>
      <c r="H36" s="41">
        <v>0</v>
      </c>
      <c r="I36" s="41">
        <v>1</v>
      </c>
      <c r="J36" s="41">
        <v>5</v>
      </c>
      <c r="K36" s="41">
        <v>6</v>
      </c>
      <c r="L36" s="41" t="s">
        <v>80</v>
      </c>
      <c r="M36" s="41">
        <f>IF(L36&gt;0,INDEX(Fish!$D:$D,MATCH(L36,Fish!$L:$L,0)),"")</f>
        <v>11011</v>
      </c>
      <c r="N36" s="41">
        <v>0</v>
      </c>
      <c r="O36" s="41">
        <v>1</v>
      </c>
      <c r="P36" s="41">
        <v>3</v>
      </c>
      <c r="Q36" s="41">
        <v>4</v>
      </c>
      <c r="R36" s="41" t="s">
        <v>82</v>
      </c>
      <c r="S36" s="41">
        <f>IF(R36&gt;0,INDEX(Fish!$D:$D,MATCH(R36,Fish!$L:$L,0)),"")</f>
        <v>11012</v>
      </c>
      <c r="T36" s="41">
        <v>0</v>
      </c>
      <c r="U36" s="41">
        <v>1</v>
      </c>
      <c r="V36" s="41">
        <v>3</v>
      </c>
      <c r="W36" s="41">
        <v>3</v>
      </c>
      <c r="X36" s="41" t="s">
        <v>88</v>
      </c>
      <c r="Y36" s="41">
        <f>IF(X36&gt;0,INDEX(Fish!$D:$D,MATCH(X36,Fish!$L:$L,0)),"")</f>
        <v>11015</v>
      </c>
      <c r="Z36" s="41">
        <v>0</v>
      </c>
      <c r="AA36" s="41">
        <v>1</v>
      </c>
      <c r="AB36" s="41">
        <v>2</v>
      </c>
      <c r="AC36" s="41">
        <v>3</v>
      </c>
      <c r="AD36" s="41" t="s">
        <v>90</v>
      </c>
      <c r="AE36" s="41">
        <f>IF(AD36&gt;0,INDEX(Fish!$D:$D,MATCH(AD36,Fish!$L:$L,0)),"")</f>
        <v>11016</v>
      </c>
      <c r="AF36" s="41">
        <v>0</v>
      </c>
      <c r="AG36" s="41">
        <v>1</v>
      </c>
      <c r="AH36" s="41">
        <v>1</v>
      </c>
      <c r="AI36" s="41">
        <v>2</v>
      </c>
    </row>
    <row r="37" spans="1:35">
      <c r="A37" s="41">
        <v>44412</v>
      </c>
      <c r="B37" s="41">
        <v>4</v>
      </c>
      <c r="C37" s="41">
        <v>0</v>
      </c>
      <c r="D37" s="41">
        <v>2</v>
      </c>
      <c r="E37" s="41">
        <v>1</v>
      </c>
      <c r="F37" s="41" t="s">
        <v>72</v>
      </c>
      <c r="G37" s="41">
        <f>IF(F37&gt;0,INDEX(Fish!$D:$D,MATCH(F37,Fish!$L:$L,0)),"")</f>
        <v>11008</v>
      </c>
      <c r="H37" s="41">
        <v>0</v>
      </c>
      <c r="I37" s="41">
        <v>1</v>
      </c>
      <c r="J37" s="41">
        <v>5</v>
      </c>
      <c r="K37" s="41">
        <v>6</v>
      </c>
      <c r="L37" s="41" t="s">
        <v>80</v>
      </c>
      <c r="M37" s="41">
        <f>IF(L37&gt;0,INDEX(Fish!$D:$D,MATCH(L37,Fish!$L:$L,0)),"")</f>
        <v>11011</v>
      </c>
      <c r="N37" s="41">
        <v>0</v>
      </c>
      <c r="O37" s="41">
        <v>1</v>
      </c>
      <c r="P37" s="41">
        <v>3</v>
      </c>
      <c r="Q37" s="41">
        <v>4</v>
      </c>
      <c r="R37" s="41" t="s">
        <v>82</v>
      </c>
      <c r="S37" s="41">
        <f>IF(R37&gt;0,INDEX(Fish!$D:$D,MATCH(R37,Fish!$L:$L,0)),"")</f>
        <v>11012</v>
      </c>
      <c r="T37" s="41">
        <v>0</v>
      </c>
      <c r="U37" s="41">
        <v>1</v>
      </c>
      <c r="V37" s="41">
        <v>3</v>
      </c>
      <c r="W37" s="41">
        <v>3</v>
      </c>
      <c r="X37" s="41" t="s">
        <v>94</v>
      </c>
      <c r="Y37" s="41">
        <f>IF(X37&gt;0,INDEX(Fish!$D:$D,MATCH(X37,Fish!$L:$L,0)),"")</f>
        <v>11020</v>
      </c>
      <c r="Z37" s="41">
        <v>0</v>
      </c>
      <c r="AA37" s="41">
        <v>1</v>
      </c>
      <c r="AB37" s="41">
        <v>2</v>
      </c>
      <c r="AC37" s="41">
        <v>3</v>
      </c>
      <c r="AD37" s="41" t="s">
        <v>84</v>
      </c>
      <c r="AE37" s="41">
        <f>IF(AD37&gt;0,INDEX(Fish!$D:$D,MATCH(AD37,Fish!$L:$L,0)),"")</f>
        <v>11013</v>
      </c>
      <c r="AF37" s="41">
        <v>0</v>
      </c>
      <c r="AG37" s="41">
        <v>1</v>
      </c>
      <c r="AH37" s="41">
        <v>1</v>
      </c>
      <c r="AI37" s="41">
        <v>2</v>
      </c>
    </row>
    <row r="38" spans="1:35">
      <c r="A38" s="41">
        <v>44412</v>
      </c>
      <c r="B38" s="41">
        <v>4</v>
      </c>
      <c r="C38" s="41">
        <v>0</v>
      </c>
      <c r="D38" s="41">
        <v>2</v>
      </c>
      <c r="E38" s="41">
        <v>1</v>
      </c>
      <c r="F38" s="41" t="s">
        <v>72</v>
      </c>
      <c r="G38" s="41">
        <f>IF(F38&gt;0,INDEX(Fish!$D:$D,MATCH(F38,Fish!$L:$L,0)),"")</f>
        <v>11008</v>
      </c>
      <c r="H38" s="41">
        <v>0</v>
      </c>
      <c r="I38" s="41">
        <v>1</v>
      </c>
      <c r="J38" s="41">
        <v>5</v>
      </c>
      <c r="K38" s="41">
        <v>6</v>
      </c>
      <c r="L38" s="41" t="s">
        <v>80</v>
      </c>
      <c r="M38" s="41">
        <f>IF(L38&gt;0,INDEX(Fish!$D:$D,MATCH(L38,Fish!$L:$L,0)),"")</f>
        <v>11011</v>
      </c>
      <c r="N38" s="41">
        <v>0</v>
      </c>
      <c r="O38" s="41">
        <v>1</v>
      </c>
      <c r="P38" s="41">
        <v>3</v>
      </c>
      <c r="Q38" s="41">
        <v>4</v>
      </c>
      <c r="R38" s="41" t="s">
        <v>82</v>
      </c>
      <c r="S38" s="41">
        <f>IF(R38&gt;0,INDEX(Fish!$D:$D,MATCH(R38,Fish!$L:$L,0)),"")</f>
        <v>11012</v>
      </c>
      <c r="T38" s="41">
        <v>0</v>
      </c>
      <c r="U38" s="41">
        <v>1</v>
      </c>
      <c r="V38" s="41">
        <v>3</v>
      </c>
      <c r="W38" s="41">
        <v>3</v>
      </c>
      <c r="X38" s="41" t="s">
        <v>94</v>
      </c>
      <c r="Y38" s="41">
        <f>IF(X38&gt;0,INDEX(Fish!$D:$D,MATCH(X38,Fish!$L:$L,0)),"")</f>
        <v>11020</v>
      </c>
      <c r="Z38" s="41">
        <v>0</v>
      </c>
      <c r="AA38" s="41">
        <v>1</v>
      </c>
      <c r="AB38" s="41">
        <v>2</v>
      </c>
      <c r="AC38" s="41">
        <v>3</v>
      </c>
      <c r="AD38" s="41" t="s">
        <v>90</v>
      </c>
      <c r="AE38" s="41">
        <f>IF(AD38&gt;0,INDEX(Fish!$D:$D,MATCH(AD38,Fish!$L:$L,0)),"")</f>
        <v>11016</v>
      </c>
      <c r="AF38" s="41">
        <v>0</v>
      </c>
      <c r="AG38" s="41">
        <v>1</v>
      </c>
      <c r="AH38" s="41">
        <v>1</v>
      </c>
      <c r="AI38" s="41">
        <v>2</v>
      </c>
    </row>
    <row r="39" spans="1:35">
      <c r="A39" s="41">
        <v>44412</v>
      </c>
      <c r="B39" s="41">
        <v>4</v>
      </c>
      <c r="C39" s="41">
        <v>0</v>
      </c>
      <c r="D39" s="41">
        <v>2</v>
      </c>
      <c r="E39" s="41">
        <v>1</v>
      </c>
      <c r="F39" s="41" t="s">
        <v>72</v>
      </c>
      <c r="G39" s="41">
        <f>IF(F39&gt;0,INDEX(Fish!$D:$D,MATCH(F39,Fish!$L:$L,0)),"")</f>
        <v>11008</v>
      </c>
      <c r="H39" s="41">
        <v>0</v>
      </c>
      <c r="I39" s="41">
        <v>1</v>
      </c>
      <c r="J39" s="41">
        <v>5</v>
      </c>
      <c r="K39" s="41">
        <v>6</v>
      </c>
      <c r="L39" s="41" t="s">
        <v>78</v>
      </c>
      <c r="M39" s="41">
        <f>IF(L39&gt;0,INDEX(Fish!$D:$D,MATCH(L39,Fish!$L:$L,0)),"")</f>
        <v>11010</v>
      </c>
      <c r="N39" s="41">
        <v>0</v>
      </c>
      <c r="O39" s="41">
        <v>1</v>
      </c>
      <c r="P39" s="41">
        <v>3</v>
      </c>
      <c r="Q39" s="41">
        <v>4</v>
      </c>
      <c r="R39" s="41" t="s">
        <v>92</v>
      </c>
      <c r="S39" s="41">
        <f>IF(R39&gt;0,INDEX(Fish!$D:$D,MATCH(R39,Fish!$L:$L,0)),"")</f>
        <v>11017</v>
      </c>
      <c r="T39" s="41">
        <v>0</v>
      </c>
      <c r="U39" s="41">
        <v>1</v>
      </c>
      <c r="V39" s="41">
        <v>3</v>
      </c>
      <c r="W39" s="41">
        <v>3</v>
      </c>
      <c r="X39" s="41" t="s">
        <v>88</v>
      </c>
      <c r="Y39" s="41">
        <f>IF(X39&gt;0,INDEX(Fish!$D:$D,MATCH(X39,Fish!$L:$L,0)),"")</f>
        <v>11015</v>
      </c>
      <c r="Z39" s="41">
        <v>0</v>
      </c>
      <c r="AA39" s="41">
        <v>1</v>
      </c>
      <c r="AB39" s="41">
        <v>2</v>
      </c>
      <c r="AC39" s="41">
        <v>3</v>
      </c>
      <c r="AD39" s="41" t="s">
        <v>84</v>
      </c>
      <c r="AE39" s="41">
        <f>IF(AD39&gt;0,INDEX(Fish!$D:$D,MATCH(AD39,Fish!$L:$L,0)),"")</f>
        <v>11013</v>
      </c>
      <c r="AF39" s="41">
        <v>0</v>
      </c>
      <c r="AG39" s="41">
        <v>1</v>
      </c>
      <c r="AH39" s="41">
        <v>1</v>
      </c>
      <c r="AI39" s="41">
        <v>2</v>
      </c>
    </row>
    <row r="40" spans="1:35">
      <c r="A40" s="41">
        <v>44412</v>
      </c>
      <c r="B40" s="41">
        <v>4</v>
      </c>
      <c r="C40" s="41">
        <v>0</v>
      </c>
      <c r="D40" s="41">
        <v>2</v>
      </c>
      <c r="E40" s="41">
        <v>1</v>
      </c>
      <c r="F40" s="41" t="s">
        <v>72</v>
      </c>
      <c r="G40" s="41">
        <f>IF(F40&gt;0,INDEX(Fish!$D:$D,MATCH(F40,Fish!$L:$L,0)),"")</f>
        <v>11008</v>
      </c>
      <c r="H40" s="41">
        <v>0</v>
      </c>
      <c r="I40" s="41">
        <v>1</v>
      </c>
      <c r="J40" s="41">
        <v>5</v>
      </c>
      <c r="K40" s="41">
        <v>6</v>
      </c>
      <c r="L40" s="41" t="s">
        <v>78</v>
      </c>
      <c r="M40" s="41">
        <f>IF(L40&gt;0,INDEX(Fish!$D:$D,MATCH(L40,Fish!$L:$L,0)),"")</f>
        <v>11010</v>
      </c>
      <c r="N40" s="41">
        <v>0</v>
      </c>
      <c r="O40" s="41">
        <v>1</v>
      </c>
      <c r="P40" s="41">
        <v>3</v>
      </c>
      <c r="Q40" s="41">
        <v>4</v>
      </c>
      <c r="R40" s="41" t="s">
        <v>92</v>
      </c>
      <c r="S40" s="41">
        <f>IF(R40&gt;0,INDEX(Fish!$D:$D,MATCH(R40,Fish!$L:$L,0)),"")</f>
        <v>11017</v>
      </c>
      <c r="T40" s="41">
        <v>0</v>
      </c>
      <c r="U40" s="41">
        <v>1</v>
      </c>
      <c r="V40" s="41">
        <v>3</v>
      </c>
      <c r="W40" s="41">
        <v>3</v>
      </c>
      <c r="X40" s="41" t="s">
        <v>88</v>
      </c>
      <c r="Y40" s="41">
        <f>IF(X40&gt;0,INDEX(Fish!$D:$D,MATCH(X40,Fish!$L:$L,0)),"")</f>
        <v>11015</v>
      </c>
      <c r="Z40" s="41">
        <v>0</v>
      </c>
      <c r="AA40" s="41">
        <v>1</v>
      </c>
      <c r="AB40" s="41">
        <v>2</v>
      </c>
      <c r="AC40" s="41">
        <v>3</v>
      </c>
      <c r="AD40" s="41" t="s">
        <v>90</v>
      </c>
      <c r="AE40" s="41">
        <f>IF(AD40&gt;0,INDEX(Fish!$D:$D,MATCH(AD40,Fish!$L:$L,0)),"")</f>
        <v>11016</v>
      </c>
      <c r="AF40" s="41">
        <v>0</v>
      </c>
      <c r="AG40" s="41">
        <v>1</v>
      </c>
      <c r="AH40" s="41">
        <v>1</v>
      </c>
      <c r="AI40" s="41">
        <v>2</v>
      </c>
    </row>
    <row r="41" spans="1:35">
      <c r="A41" s="41">
        <v>44412</v>
      </c>
      <c r="B41" s="41">
        <v>4</v>
      </c>
      <c r="C41" s="41">
        <v>0</v>
      </c>
      <c r="D41" s="41">
        <v>2</v>
      </c>
      <c r="E41" s="41">
        <v>1</v>
      </c>
      <c r="F41" s="41" t="s">
        <v>72</v>
      </c>
      <c r="G41" s="41">
        <f>IF(F41&gt;0,INDEX(Fish!$D:$D,MATCH(F41,Fish!$L:$L,0)),"")</f>
        <v>11008</v>
      </c>
      <c r="H41" s="41">
        <v>0</v>
      </c>
      <c r="I41" s="41">
        <v>1</v>
      </c>
      <c r="J41" s="41">
        <v>5</v>
      </c>
      <c r="K41" s="41">
        <v>6</v>
      </c>
      <c r="L41" s="41" t="s">
        <v>78</v>
      </c>
      <c r="M41" s="41">
        <f>IF(L41&gt;0,INDEX(Fish!$D:$D,MATCH(L41,Fish!$L:$L,0)),"")</f>
        <v>11010</v>
      </c>
      <c r="N41" s="41">
        <v>0</v>
      </c>
      <c r="O41" s="41">
        <v>1</v>
      </c>
      <c r="P41" s="41">
        <v>3</v>
      </c>
      <c r="Q41" s="41">
        <v>4</v>
      </c>
      <c r="R41" s="41" t="s">
        <v>92</v>
      </c>
      <c r="S41" s="41">
        <f>IF(R41&gt;0,INDEX(Fish!$D:$D,MATCH(R41,Fish!$L:$L,0)),"")</f>
        <v>11017</v>
      </c>
      <c r="T41" s="41">
        <v>0</v>
      </c>
      <c r="U41" s="41">
        <v>1</v>
      </c>
      <c r="V41" s="41">
        <v>3</v>
      </c>
      <c r="W41" s="41">
        <v>3</v>
      </c>
      <c r="X41" s="41" t="s">
        <v>94</v>
      </c>
      <c r="Y41" s="41">
        <f>IF(X41&gt;0,INDEX(Fish!$D:$D,MATCH(X41,Fish!$L:$L,0)),"")</f>
        <v>11020</v>
      </c>
      <c r="Z41" s="41">
        <v>0</v>
      </c>
      <c r="AA41" s="41">
        <v>1</v>
      </c>
      <c r="AB41" s="41">
        <v>2</v>
      </c>
      <c r="AC41" s="41">
        <v>3</v>
      </c>
      <c r="AD41" s="41" t="s">
        <v>84</v>
      </c>
      <c r="AE41" s="41">
        <f>IF(AD41&gt;0,INDEX(Fish!$D:$D,MATCH(AD41,Fish!$L:$L,0)),"")</f>
        <v>11013</v>
      </c>
      <c r="AF41" s="41">
        <v>0</v>
      </c>
      <c r="AG41" s="41">
        <v>1</v>
      </c>
      <c r="AH41" s="41">
        <v>1</v>
      </c>
      <c r="AI41" s="41">
        <v>2</v>
      </c>
    </row>
    <row r="42" spans="1:35">
      <c r="A42" s="41">
        <v>44412</v>
      </c>
      <c r="B42" s="41">
        <v>4</v>
      </c>
      <c r="C42" s="41">
        <v>0</v>
      </c>
      <c r="D42" s="41">
        <v>2</v>
      </c>
      <c r="E42" s="41">
        <v>1</v>
      </c>
      <c r="F42" s="41" t="s">
        <v>72</v>
      </c>
      <c r="G42" s="41">
        <f>IF(F42&gt;0,INDEX(Fish!$D:$D,MATCH(F42,Fish!$L:$L,0)),"")</f>
        <v>11008</v>
      </c>
      <c r="H42" s="41">
        <v>0</v>
      </c>
      <c r="I42" s="41">
        <v>1</v>
      </c>
      <c r="J42" s="41">
        <v>5</v>
      </c>
      <c r="K42" s="41">
        <v>6</v>
      </c>
      <c r="L42" s="41" t="s">
        <v>78</v>
      </c>
      <c r="M42" s="41">
        <f>IF(L42&gt;0,INDEX(Fish!$D:$D,MATCH(L42,Fish!$L:$L,0)),"")</f>
        <v>11010</v>
      </c>
      <c r="N42" s="41">
        <v>0</v>
      </c>
      <c r="O42" s="41">
        <v>1</v>
      </c>
      <c r="P42" s="41">
        <v>3</v>
      </c>
      <c r="Q42" s="41">
        <v>4</v>
      </c>
      <c r="R42" s="41" t="s">
        <v>92</v>
      </c>
      <c r="S42" s="41">
        <f>IF(R42&gt;0,INDEX(Fish!$D:$D,MATCH(R42,Fish!$L:$L,0)),"")</f>
        <v>11017</v>
      </c>
      <c r="T42" s="41">
        <v>0</v>
      </c>
      <c r="U42" s="41">
        <v>1</v>
      </c>
      <c r="V42" s="41">
        <v>3</v>
      </c>
      <c r="W42" s="41">
        <v>3</v>
      </c>
      <c r="X42" s="41" t="s">
        <v>94</v>
      </c>
      <c r="Y42" s="41">
        <f>IF(X42&gt;0,INDEX(Fish!$D:$D,MATCH(X42,Fish!$L:$L,0)),"")</f>
        <v>11020</v>
      </c>
      <c r="Z42" s="41">
        <v>0</v>
      </c>
      <c r="AA42" s="41">
        <v>1</v>
      </c>
      <c r="AB42" s="41">
        <v>2</v>
      </c>
      <c r="AC42" s="41">
        <v>3</v>
      </c>
      <c r="AD42" s="41" t="s">
        <v>90</v>
      </c>
      <c r="AE42" s="41">
        <f>IF(AD42&gt;0,INDEX(Fish!$D:$D,MATCH(AD42,Fish!$L:$L,0)),"")</f>
        <v>11016</v>
      </c>
      <c r="AF42" s="41">
        <v>0</v>
      </c>
      <c r="AG42" s="41">
        <v>1</v>
      </c>
      <c r="AH42" s="41">
        <v>1</v>
      </c>
      <c r="AI42" s="41">
        <v>2</v>
      </c>
    </row>
    <row r="43" spans="1:35">
      <c r="A43" s="41">
        <v>44412</v>
      </c>
      <c r="B43" s="41">
        <v>4</v>
      </c>
      <c r="C43" s="41">
        <v>0</v>
      </c>
      <c r="D43" s="41">
        <v>2</v>
      </c>
      <c r="E43" s="41">
        <v>1</v>
      </c>
      <c r="F43" s="41" t="s">
        <v>72</v>
      </c>
      <c r="G43" s="41">
        <f>IF(F43&gt;0,INDEX(Fish!$D:$D,MATCH(F43,Fish!$L:$L,0)),"")</f>
        <v>11008</v>
      </c>
      <c r="H43" s="41">
        <v>0</v>
      </c>
      <c r="I43" s="41">
        <v>1</v>
      </c>
      <c r="J43" s="41">
        <v>5</v>
      </c>
      <c r="K43" s="41">
        <v>6</v>
      </c>
      <c r="L43" s="41" t="s">
        <v>78</v>
      </c>
      <c r="M43" s="41">
        <f>IF(L43&gt;0,INDEX(Fish!$D:$D,MATCH(L43,Fish!$L:$L,0)),"")</f>
        <v>11010</v>
      </c>
      <c r="N43" s="41">
        <v>0</v>
      </c>
      <c r="O43" s="41">
        <v>1</v>
      </c>
      <c r="P43" s="41">
        <v>3</v>
      </c>
      <c r="Q43" s="41">
        <v>4</v>
      </c>
      <c r="R43" s="41" t="s">
        <v>82</v>
      </c>
      <c r="S43" s="41">
        <f>IF(R43&gt;0,INDEX(Fish!$D:$D,MATCH(R43,Fish!$L:$L,0)),"")</f>
        <v>11012</v>
      </c>
      <c r="T43" s="41">
        <v>0</v>
      </c>
      <c r="U43" s="41">
        <v>1</v>
      </c>
      <c r="V43" s="41">
        <v>3</v>
      </c>
      <c r="W43" s="41">
        <v>3</v>
      </c>
      <c r="X43" s="41" t="s">
        <v>88</v>
      </c>
      <c r="Y43" s="41">
        <f>IF(X43&gt;0,INDEX(Fish!$D:$D,MATCH(X43,Fish!$L:$L,0)),"")</f>
        <v>11015</v>
      </c>
      <c r="Z43" s="41">
        <v>0</v>
      </c>
      <c r="AA43" s="41">
        <v>1</v>
      </c>
      <c r="AB43" s="41">
        <v>2</v>
      </c>
      <c r="AC43" s="41">
        <v>3</v>
      </c>
      <c r="AD43" s="41" t="s">
        <v>84</v>
      </c>
      <c r="AE43" s="41">
        <f>IF(AD43&gt;0,INDEX(Fish!$D:$D,MATCH(AD43,Fish!$L:$L,0)),"")</f>
        <v>11013</v>
      </c>
      <c r="AF43" s="41">
        <v>0</v>
      </c>
      <c r="AG43" s="41">
        <v>1</v>
      </c>
      <c r="AH43" s="41">
        <v>1</v>
      </c>
      <c r="AI43" s="41">
        <v>2</v>
      </c>
    </row>
    <row r="44" spans="1:35">
      <c r="A44" s="41">
        <v>44412</v>
      </c>
      <c r="B44" s="41">
        <v>4</v>
      </c>
      <c r="C44" s="41">
        <v>0</v>
      </c>
      <c r="D44" s="41">
        <v>2</v>
      </c>
      <c r="E44" s="41">
        <v>1</v>
      </c>
      <c r="F44" s="41" t="s">
        <v>72</v>
      </c>
      <c r="G44" s="41">
        <f>IF(F44&gt;0,INDEX(Fish!$D:$D,MATCH(F44,Fish!$L:$L,0)),"")</f>
        <v>11008</v>
      </c>
      <c r="H44" s="41">
        <v>0</v>
      </c>
      <c r="I44" s="41">
        <v>1</v>
      </c>
      <c r="J44" s="41">
        <v>5</v>
      </c>
      <c r="K44" s="41">
        <v>6</v>
      </c>
      <c r="L44" s="41" t="s">
        <v>78</v>
      </c>
      <c r="M44" s="41">
        <f>IF(L44&gt;0,INDEX(Fish!$D:$D,MATCH(L44,Fish!$L:$L,0)),"")</f>
        <v>11010</v>
      </c>
      <c r="N44" s="41">
        <v>0</v>
      </c>
      <c r="O44" s="41">
        <v>1</v>
      </c>
      <c r="P44" s="41">
        <v>3</v>
      </c>
      <c r="Q44" s="41">
        <v>4</v>
      </c>
      <c r="R44" s="41" t="s">
        <v>82</v>
      </c>
      <c r="S44" s="41">
        <f>IF(R44&gt;0,INDEX(Fish!$D:$D,MATCH(R44,Fish!$L:$L,0)),"")</f>
        <v>11012</v>
      </c>
      <c r="T44" s="41">
        <v>0</v>
      </c>
      <c r="U44" s="41">
        <v>1</v>
      </c>
      <c r="V44" s="41">
        <v>3</v>
      </c>
      <c r="W44" s="41">
        <v>3</v>
      </c>
      <c r="X44" s="41" t="s">
        <v>88</v>
      </c>
      <c r="Y44" s="41">
        <f>IF(X44&gt;0,INDEX(Fish!$D:$D,MATCH(X44,Fish!$L:$L,0)),"")</f>
        <v>11015</v>
      </c>
      <c r="Z44" s="41">
        <v>0</v>
      </c>
      <c r="AA44" s="41">
        <v>1</v>
      </c>
      <c r="AB44" s="41">
        <v>2</v>
      </c>
      <c r="AC44" s="41">
        <v>3</v>
      </c>
      <c r="AD44" s="41" t="s">
        <v>90</v>
      </c>
      <c r="AE44" s="41">
        <f>IF(AD44&gt;0,INDEX(Fish!$D:$D,MATCH(AD44,Fish!$L:$L,0)),"")</f>
        <v>11016</v>
      </c>
      <c r="AF44" s="41">
        <v>0</v>
      </c>
      <c r="AG44" s="41">
        <v>1</v>
      </c>
      <c r="AH44" s="41">
        <v>1</v>
      </c>
      <c r="AI44" s="41">
        <v>2</v>
      </c>
    </row>
    <row r="45" spans="1:35">
      <c r="A45" s="41">
        <v>44412</v>
      </c>
      <c r="B45" s="41">
        <v>4</v>
      </c>
      <c r="C45" s="41">
        <v>0</v>
      </c>
      <c r="D45" s="41">
        <v>2</v>
      </c>
      <c r="E45" s="41">
        <v>1</v>
      </c>
      <c r="F45" s="41" t="s">
        <v>72</v>
      </c>
      <c r="G45" s="41">
        <f>IF(F45&gt;0,INDEX(Fish!$D:$D,MATCH(F45,Fish!$L:$L,0)),"")</f>
        <v>11008</v>
      </c>
      <c r="H45" s="41">
        <v>0</v>
      </c>
      <c r="I45" s="41">
        <v>1</v>
      </c>
      <c r="J45" s="41">
        <v>5</v>
      </c>
      <c r="K45" s="41">
        <v>6</v>
      </c>
      <c r="L45" s="41" t="s">
        <v>78</v>
      </c>
      <c r="M45" s="41">
        <f>IF(L45&gt;0,INDEX(Fish!$D:$D,MATCH(L45,Fish!$L:$L,0)),"")</f>
        <v>11010</v>
      </c>
      <c r="N45" s="41">
        <v>0</v>
      </c>
      <c r="O45" s="41">
        <v>1</v>
      </c>
      <c r="P45" s="41">
        <v>3</v>
      </c>
      <c r="Q45" s="41">
        <v>4</v>
      </c>
      <c r="R45" s="41" t="s">
        <v>82</v>
      </c>
      <c r="S45" s="41">
        <f>IF(R45&gt;0,INDEX(Fish!$D:$D,MATCH(R45,Fish!$L:$L,0)),"")</f>
        <v>11012</v>
      </c>
      <c r="T45" s="41">
        <v>0</v>
      </c>
      <c r="U45" s="41">
        <v>1</v>
      </c>
      <c r="V45" s="41">
        <v>3</v>
      </c>
      <c r="W45" s="41">
        <v>3</v>
      </c>
      <c r="X45" s="41" t="s">
        <v>94</v>
      </c>
      <c r="Y45" s="41">
        <f>IF(X45&gt;0,INDEX(Fish!$D:$D,MATCH(X45,Fish!$L:$L,0)),"")</f>
        <v>11020</v>
      </c>
      <c r="Z45" s="41">
        <v>0</v>
      </c>
      <c r="AA45" s="41">
        <v>1</v>
      </c>
      <c r="AB45" s="41">
        <v>2</v>
      </c>
      <c r="AC45" s="41">
        <v>3</v>
      </c>
      <c r="AD45" s="41" t="s">
        <v>84</v>
      </c>
      <c r="AE45" s="41">
        <f>IF(AD45&gt;0,INDEX(Fish!$D:$D,MATCH(AD45,Fish!$L:$L,0)),"")</f>
        <v>11013</v>
      </c>
      <c r="AF45" s="41">
        <v>0</v>
      </c>
      <c r="AG45" s="41">
        <v>1</v>
      </c>
      <c r="AH45" s="41">
        <v>1</v>
      </c>
      <c r="AI45" s="41">
        <v>2</v>
      </c>
    </row>
    <row r="46" spans="1:35">
      <c r="A46" s="41">
        <v>44412</v>
      </c>
      <c r="B46" s="41">
        <v>4</v>
      </c>
      <c r="C46" s="41">
        <v>0</v>
      </c>
      <c r="D46" s="41">
        <v>2</v>
      </c>
      <c r="E46" s="41">
        <v>1</v>
      </c>
      <c r="F46" s="41" t="s">
        <v>72</v>
      </c>
      <c r="G46" s="41">
        <f>IF(F46&gt;0,INDEX(Fish!$D:$D,MATCH(F46,Fish!$L:$L,0)),"")</f>
        <v>11008</v>
      </c>
      <c r="H46" s="41">
        <v>0</v>
      </c>
      <c r="I46" s="41">
        <v>1</v>
      </c>
      <c r="J46" s="41">
        <v>5</v>
      </c>
      <c r="K46" s="41">
        <v>6</v>
      </c>
      <c r="L46" s="41" t="s">
        <v>78</v>
      </c>
      <c r="M46" s="41">
        <f>IF(L46&gt;0,INDEX(Fish!$D:$D,MATCH(L46,Fish!$L:$L,0)),"")</f>
        <v>11010</v>
      </c>
      <c r="N46" s="41">
        <v>0</v>
      </c>
      <c r="O46" s="41">
        <v>1</v>
      </c>
      <c r="P46" s="41">
        <v>3</v>
      </c>
      <c r="Q46" s="41">
        <v>4</v>
      </c>
      <c r="R46" s="41" t="s">
        <v>82</v>
      </c>
      <c r="S46" s="41">
        <f>IF(R46&gt;0,INDEX(Fish!$D:$D,MATCH(R46,Fish!$L:$L,0)),"")</f>
        <v>11012</v>
      </c>
      <c r="T46" s="41">
        <v>0</v>
      </c>
      <c r="U46" s="41">
        <v>1</v>
      </c>
      <c r="V46" s="41">
        <v>3</v>
      </c>
      <c r="W46" s="41">
        <v>3</v>
      </c>
      <c r="X46" s="41" t="s">
        <v>94</v>
      </c>
      <c r="Y46" s="41">
        <f>IF(X46&gt;0,INDEX(Fish!$D:$D,MATCH(X46,Fish!$L:$L,0)),"")</f>
        <v>11020</v>
      </c>
      <c r="Z46" s="41">
        <v>0</v>
      </c>
      <c r="AA46" s="41">
        <v>1</v>
      </c>
      <c r="AB46" s="41">
        <v>2</v>
      </c>
      <c r="AC46" s="41">
        <v>3</v>
      </c>
      <c r="AD46" s="41" t="s">
        <v>90</v>
      </c>
      <c r="AE46" s="41">
        <f>IF(AD46&gt;0,INDEX(Fish!$D:$D,MATCH(AD46,Fish!$L:$L,0)),"")</f>
        <v>11016</v>
      </c>
      <c r="AF46" s="41">
        <v>0</v>
      </c>
      <c r="AG46" s="41">
        <v>1</v>
      </c>
      <c r="AH46" s="41">
        <v>1</v>
      </c>
      <c r="AI46" s="41">
        <v>2</v>
      </c>
    </row>
    <row r="47" spans="1:35">
      <c r="A47" s="41">
        <v>44412</v>
      </c>
      <c r="B47" s="41">
        <v>4</v>
      </c>
      <c r="C47" s="41">
        <v>0</v>
      </c>
      <c r="D47" s="41">
        <v>2</v>
      </c>
      <c r="E47" s="41">
        <v>1</v>
      </c>
      <c r="F47" s="41" t="s">
        <v>74</v>
      </c>
      <c r="G47" s="41">
        <f>IF(F47&gt;0,INDEX(Fish!$D:$D,MATCH(F47,Fish!$L:$L,0)),"")</f>
        <v>11009</v>
      </c>
      <c r="H47" s="41">
        <v>0</v>
      </c>
      <c r="I47" s="41">
        <v>1</v>
      </c>
      <c r="J47" s="41">
        <v>5</v>
      </c>
      <c r="K47" s="41">
        <v>6</v>
      </c>
      <c r="L47" s="41" t="s">
        <v>80</v>
      </c>
      <c r="M47" s="41">
        <f>IF(L47&gt;0,INDEX(Fish!$D:$D,MATCH(L47,Fish!$L:$L,0)),"")</f>
        <v>11011</v>
      </c>
      <c r="N47" s="41">
        <v>0</v>
      </c>
      <c r="O47" s="41">
        <v>1</v>
      </c>
      <c r="P47" s="41">
        <v>3</v>
      </c>
      <c r="Q47" s="41">
        <v>4</v>
      </c>
      <c r="R47" s="41" t="s">
        <v>92</v>
      </c>
      <c r="S47" s="41">
        <f>IF(R47&gt;0,INDEX(Fish!$D:$D,MATCH(R47,Fish!$L:$L,0)),"")</f>
        <v>11017</v>
      </c>
      <c r="T47" s="41">
        <v>0</v>
      </c>
      <c r="U47" s="41">
        <v>1</v>
      </c>
      <c r="V47" s="41">
        <v>3</v>
      </c>
      <c r="W47" s="41">
        <v>3</v>
      </c>
      <c r="X47" s="41" t="s">
        <v>88</v>
      </c>
      <c r="Y47" s="41">
        <f>IF(X47&gt;0,INDEX(Fish!$D:$D,MATCH(X47,Fish!$L:$L,0)),"")</f>
        <v>11015</v>
      </c>
      <c r="Z47" s="41">
        <v>0</v>
      </c>
      <c r="AA47" s="41">
        <v>1</v>
      </c>
      <c r="AB47" s="41">
        <v>2</v>
      </c>
      <c r="AC47" s="41">
        <v>3</v>
      </c>
      <c r="AD47" s="41" t="s">
        <v>84</v>
      </c>
      <c r="AE47" s="41">
        <f>IF(AD47&gt;0,INDEX(Fish!$D:$D,MATCH(AD47,Fish!$L:$L,0)),"")</f>
        <v>11013</v>
      </c>
      <c r="AF47" s="41">
        <v>0</v>
      </c>
      <c r="AG47" s="41">
        <v>1</v>
      </c>
      <c r="AH47" s="41">
        <v>1</v>
      </c>
      <c r="AI47" s="41">
        <v>2</v>
      </c>
    </row>
    <row r="48" spans="1:35">
      <c r="A48" s="41">
        <v>44412</v>
      </c>
      <c r="B48" s="41">
        <v>4</v>
      </c>
      <c r="C48" s="41">
        <v>0</v>
      </c>
      <c r="D48" s="41">
        <v>2</v>
      </c>
      <c r="E48" s="41">
        <v>1</v>
      </c>
      <c r="F48" s="41" t="s">
        <v>74</v>
      </c>
      <c r="G48" s="41">
        <f>IF(F48&gt;0,INDEX(Fish!$D:$D,MATCH(F48,Fish!$L:$L,0)),"")</f>
        <v>11009</v>
      </c>
      <c r="H48" s="41">
        <v>0</v>
      </c>
      <c r="I48" s="41">
        <v>1</v>
      </c>
      <c r="J48" s="41">
        <v>5</v>
      </c>
      <c r="K48" s="41">
        <v>6</v>
      </c>
      <c r="L48" s="41" t="s">
        <v>80</v>
      </c>
      <c r="M48" s="41">
        <f>IF(L48&gt;0,INDEX(Fish!$D:$D,MATCH(L48,Fish!$L:$L,0)),"")</f>
        <v>11011</v>
      </c>
      <c r="N48" s="41">
        <v>0</v>
      </c>
      <c r="O48" s="41">
        <v>1</v>
      </c>
      <c r="P48" s="41">
        <v>3</v>
      </c>
      <c r="Q48" s="41">
        <v>4</v>
      </c>
      <c r="R48" s="41" t="s">
        <v>92</v>
      </c>
      <c r="S48" s="41">
        <f>IF(R48&gt;0,INDEX(Fish!$D:$D,MATCH(R48,Fish!$L:$L,0)),"")</f>
        <v>11017</v>
      </c>
      <c r="T48" s="41">
        <v>0</v>
      </c>
      <c r="U48" s="41">
        <v>1</v>
      </c>
      <c r="V48" s="41">
        <v>3</v>
      </c>
      <c r="W48" s="41">
        <v>3</v>
      </c>
      <c r="X48" s="41" t="s">
        <v>88</v>
      </c>
      <c r="Y48" s="41">
        <f>IF(X48&gt;0,INDEX(Fish!$D:$D,MATCH(X48,Fish!$L:$L,0)),"")</f>
        <v>11015</v>
      </c>
      <c r="Z48" s="41">
        <v>0</v>
      </c>
      <c r="AA48" s="41">
        <v>1</v>
      </c>
      <c r="AB48" s="41">
        <v>2</v>
      </c>
      <c r="AC48" s="41">
        <v>3</v>
      </c>
      <c r="AD48" s="41" t="s">
        <v>90</v>
      </c>
      <c r="AE48" s="41">
        <f>IF(AD48&gt;0,INDEX(Fish!$D:$D,MATCH(AD48,Fish!$L:$L,0)),"")</f>
        <v>11016</v>
      </c>
      <c r="AF48" s="41">
        <v>0</v>
      </c>
      <c r="AG48" s="41">
        <v>1</v>
      </c>
      <c r="AH48" s="41">
        <v>1</v>
      </c>
      <c r="AI48" s="41">
        <v>2</v>
      </c>
    </row>
    <row r="49" spans="1:35">
      <c r="A49" s="41">
        <v>44412</v>
      </c>
      <c r="B49" s="41">
        <v>4</v>
      </c>
      <c r="C49" s="41">
        <v>0</v>
      </c>
      <c r="D49" s="41">
        <v>2</v>
      </c>
      <c r="E49" s="41">
        <v>1</v>
      </c>
      <c r="F49" s="41" t="s">
        <v>74</v>
      </c>
      <c r="G49" s="41">
        <f>IF(F49&gt;0,INDEX(Fish!$D:$D,MATCH(F49,Fish!$L:$L,0)),"")</f>
        <v>11009</v>
      </c>
      <c r="H49" s="41">
        <v>0</v>
      </c>
      <c r="I49" s="41">
        <v>1</v>
      </c>
      <c r="J49" s="41">
        <v>5</v>
      </c>
      <c r="K49" s="41">
        <v>6</v>
      </c>
      <c r="L49" s="41" t="s">
        <v>80</v>
      </c>
      <c r="M49" s="41">
        <f>IF(L49&gt;0,INDEX(Fish!$D:$D,MATCH(L49,Fish!$L:$L,0)),"")</f>
        <v>11011</v>
      </c>
      <c r="N49" s="41">
        <v>0</v>
      </c>
      <c r="O49" s="41">
        <v>1</v>
      </c>
      <c r="P49" s="41">
        <v>3</v>
      </c>
      <c r="Q49" s="41">
        <v>4</v>
      </c>
      <c r="R49" s="41" t="s">
        <v>92</v>
      </c>
      <c r="S49" s="41">
        <f>IF(R49&gt;0,INDEX(Fish!$D:$D,MATCH(R49,Fish!$L:$L,0)),"")</f>
        <v>11017</v>
      </c>
      <c r="T49" s="41">
        <v>0</v>
      </c>
      <c r="U49" s="41">
        <v>1</v>
      </c>
      <c r="V49" s="41">
        <v>3</v>
      </c>
      <c r="W49" s="41">
        <v>3</v>
      </c>
      <c r="X49" s="41" t="s">
        <v>94</v>
      </c>
      <c r="Y49" s="41">
        <f>IF(X49&gt;0,INDEX(Fish!$D:$D,MATCH(X49,Fish!$L:$L,0)),"")</f>
        <v>11020</v>
      </c>
      <c r="Z49" s="41">
        <v>0</v>
      </c>
      <c r="AA49" s="41">
        <v>1</v>
      </c>
      <c r="AB49" s="41">
        <v>2</v>
      </c>
      <c r="AC49" s="41">
        <v>3</v>
      </c>
      <c r="AD49" s="41" t="s">
        <v>84</v>
      </c>
      <c r="AE49" s="41">
        <f>IF(AD49&gt;0,INDEX(Fish!$D:$D,MATCH(AD49,Fish!$L:$L,0)),"")</f>
        <v>11013</v>
      </c>
      <c r="AF49" s="41">
        <v>0</v>
      </c>
      <c r="AG49" s="41">
        <v>1</v>
      </c>
      <c r="AH49" s="41">
        <v>1</v>
      </c>
      <c r="AI49" s="41">
        <v>2</v>
      </c>
    </row>
    <row r="50" spans="1:35">
      <c r="A50" s="41">
        <v>44412</v>
      </c>
      <c r="B50" s="41">
        <v>4</v>
      </c>
      <c r="C50" s="41">
        <v>0</v>
      </c>
      <c r="D50" s="41">
        <v>2</v>
      </c>
      <c r="E50" s="41">
        <v>1</v>
      </c>
      <c r="F50" s="41" t="s">
        <v>74</v>
      </c>
      <c r="G50" s="41">
        <f>IF(F50&gt;0,INDEX(Fish!$D:$D,MATCH(F50,Fish!$L:$L,0)),"")</f>
        <v>11009</v>
      </c>
      <c r="H50" s="41">
        <v>0</v>
      </c>
      <c r="I50" s="41">
        <v>1</v>
      </c>
      <c r="J50" s="41">
        <v>5</v>
      </c>
      <c r="K50" s="41">
        <v>6</v>
      </c>
      <c r="L50" s="41" t="s">
        <v>80</v>
      </c>
      <c r="M50" s="41">
        <f>IF(L50&gt;0,INDEX(Fish!$D:$D,MATCH(L50,Fish!$L:$L,0)),"")</f>
        <v>11011</v>
      </c>
      <c r="N50" s="41">
        <v>0</v>
      </c>
      <c r="O50" s="41">
        <v>1</v>
      </c>
      <c r="P50" s="41">
        <v>3</v>
      </c>
      <c r="Q50" s="41">
        <v>4</v>
      </c>
      <c r="R50" s="41" t="s">
        <v>92</v>
      </c>
      <c r="S50" s="41">
        <f>IF(R50&gt;0,INDEX(Fish!$D:$D,MATCH(R50,Fish!$L:$L,0)),"")</f>
        <v>11017</v>
      </c>
      <c r="T50" s="41">
        <v>0</v>
      </c>
      <c r="U50" s="41">
        <v>1</v>
      </c>
      <c r="V50" s="41">
        <v>3</v>
      </c>
      <c r="W50" s="41">
        <v>3</v>
      </c>
      <c r="X50" s="41" t="s">
        <v>94</v>
      </c>
      <c r="Y50" s="41">
        <f>IF(X50&gt;0,INDEX(Fish!$D:$D,MATCH(X50,Fish!$L:$L,0)),"")</f>
        <v>11020</v>
      </c>
      <c r="Z50" s="41">
        <v>0</v>
      </c>
      <c r="AA50" s="41">
        <v>1</v>
      </c>
      <c r="AB50" s="41">
        <v>2</v>
      </c>
      <c r="AC50" s="41">
        <v>3</v>
      </c>
      <c r="AD50" s="41" t="s">
        <v>90</v>
      </c>
      <c r="AE50" s="41">
        <f>IF(AD50&gt;0,INDEX(Fish!$D:$D,MATCH(AD50,Fish!$L:$L,0)),"")</f>
        <v>11016</v>
      </c>
      <c r="AF50" s="41">
        <v>0</v>
      </c>
      <c r="AG50" s="41">
        <v>1</v>
      </c>
      <c r="AH50" s="41">
        <v>1</v>
      </c>
      <c r="AI50" s="41">
        <v>2</v>
      </c>
    </row>
    <row r="51" spans="1:35">
      <c r="A51" s="41">
        <v>44412</v>
      </c>
      <c r="B51" s="41">
        <v>4</v>
      </c>
      <c r="C51" s="41">
        <v>0</v>
      </c>
      <c r="D51" s="41">
        <v>2</v>
      </c>
      <c r="E51" s="41">
        <v>1</v>
      </c>
      <c r="F51" s="41" t="s">
        <v>74</v>
      </c>
      <c r="G51" s="41">
        <f>IF(F51&gt;0,INDEX(Fish!$D:$D,MATCH(F51,Fish!$L:$L,0)),"")</f>
        <v>11009</v>
      </c>
      <c r="H51" s="41">
        <v>0</v>
      </c>
      <c r="I51" s="41">
        <v>1</v>
      </c>
      <c r="J51" s="41">
        <v>5</v>
      </c>
      <c r="K51" s="41">
        <v>6</v>
      </c>
      <c r="L51" s="41" t="s">
        <v>80</v>
      </c>
      <c r="M51" s="41">
        <f>IF(L51&gt;0,INDEX(Fish!$D:$D,MATCH(L51,Fish!$L:$L,0)),"")</f>
        <v>11011</v>
      </c>
      <c r="N51" s="41">
        <v>0</v>
      </c>
      <c r="O51" s="41">
        <v>1</v>
      </c>
      <c r="P51" s="41">
        <v>3</v>
      </c>
      <c r="Q51" s="41">
        <v>4</v>
      </c>
      <c r="R51" s="41" t="s">
        <v>82</v>
      </c>
      <c r="S51" s="41">
        <f>IF(R51&gt;0,INDEX(Fish!$D:$D,MATCH(R51,Fish!$L:$L,0)),"")</f>
        <v>11012</v>
      </c>
      <c r="T51" s="41">
        <v>0</v>
      </c>
      <c r="U51" s="41">
        <v>1</v>
      </c>
      <c r="V51" s="41">
        <v>3</v>
      </c>
      <c r="W51" s="41">
        <v>3</v>
      </c>
      <c r="X51" s="41" t="s">
        <v>88</v>
      </c>
      <c r="Y51" s="41">
        <f>IF(X51&gt;0,INDEX(Fish!$D:$D,MATCH(X51,Fish!$L:$L,0)),"")</f>
        <v>11015</v>
      </c>
      <c r="Z51" s="41">
        <v>0</v>
      </c>
      <c r="AA51" s="41">
        <v>1</v>
      </c>
      <c r="AB51" s="41">
        <v>2</v>
      </c>
      <c r="AC51" s="41">
        <v>3</v>
      </c>
      <c r="AD51" s="41" t="s">
        <v>84</v>
      </c>
      <c r="AE51" s="41">
        <f>IF(AD51&gt;0,INDEX(Fish!$D:$D,MATCH(AD51,Fish!$L:$L,0)),"")</f>
        <v>11013</v>
      </c>
      <c r="AF51" s="41">
        <v>0</v>
      </c>
      <c r="AG51" s="41">
        <v>1</v>
      </c>
      <c r="AH51" s="41">
        <v>1</v>
      </c>
      <c r="AI51" s="41">
        <v>2</v>
      </c>
    </row>
    <row r="52" spans="1:35">
      <c r="A52" s="41">
        <v>44412</v>
      </c>
      <c r="B52" s="41">
        <v>4</v>
      </c>
      <c r="C52" s="41">
        <v>0</v>
      </c>
      <c r="D52" s="41">
        <v>2</v>
      </c>
      <c r="E52" s="41">
        <v>1</v>
      </c>
      <c r="F52" s="41" t="s">
        <v>74</v>
      </c>
      <c r="G52" s="41">
        <f>IF(F52&gt;0,INDEX(Fish!$D:$D,MATCH(F52,Fish!$L:$L,0)),"")</f>
        <v>11009</v>
      </c>
      <c r="H52" s="41">
        <v>0</v>
      </c>
      <c r="I52" s="41">
        <v>1</v>
      </c>
      <c r="J52" s="41">
        <v>5</v>
      </c>
      <c r="K52" s="41">
        <v>6</v>
      </c>
      <c r="L52" s="41" t="s">
        <v>80</v>
      </c>
      <c r="M52" s="41">
        <f>IF(L52&gt;0,INDEX(Fish!$D:$D,MATCH(L52,Fish!$L:$L,0)),"")</f>
        <v>11011</v>
      </c>
      <c r="N52" s="41">
        <v>0</v>
      </c>
      <c r="O52" s="41">
        <v>1</v>
      </c>
      <c r="P52" s="41">
        <v>3</v>
      </c>
      <c r="Q52" s="41">
        <v>4</v>
      </c>
      <c r="R52" s="41" t="s">
        <v>82</v>
      </c>
      <c r="S52" s="41">
        <f>IF(R52&gt;0,INDEX(Fish!$D:$D,MATCH(R52,Fish!$L:$L,0)),"")</f>
        <v>11012</v>
      </c>
      <c r="T52" s="41">
        <v>0</v>
      </c>
      <c r="U52" s="41">
        <v>1</v>
      </c>
      <c r="V52" s="41">
        <v>3</v>
      </c>
      <c r="W52" s="41">
        <v>3</v>
      </c>
      <c r="X52" s="41" t="s">
        <v>88</v>
      </c>
      <c r="Y52" s="41">
        <f>IF(X52&gt;0,INDEX(Fish!$D:$D,MATCH(X52,Fish!$L:$L,0)),"")</f>
        <v>11015</v>
      </c>
      <c r="Z52" s="41">
        <v>0</v>
      </c>
      <c r="AA52" s="41">
        <v>1</v>
      </c>
      <c r="AB52" s="41">
        <v>2</v>
      </c>
      <c r="AC52" s="41">
        <v>3</v>
      </c>
      <c r="AD52" s="41" t="s">
        <v>90</v>
      </c>
      <c r="AE52" s="41">
        <f>IF(AD52&gt;0,INDEX(Fish!$D:$D,MATCH(AD52,Fish!$L:$L,0)),"")</f>
        <v>11016</v>
      </c>
      <c r="AF52" s="41">
        <v>0</v>
      </c>
      <c r="AG52" s="41">
        <v>1</v>
      </c>
      <c r="AH52" s="41">
        <v>1</v>
      </c>
      <c r="AI52" s="41">
        <v>2</v>
      </c>
    </row>
    <row r="53" spans="1:35">
      <c r="A53" s="41">
        <v>44412</v>
      </c>
      <c r="B53" s="41">
        <v>4</v>
      </c>
      <c r="C53" s="41">
        <v>0</v>
      </c>
      <c r="D53" s="41">
        <v>2</v>
      </c>
      <c r="E53" s="41">
        <v>1</v>
      </c>
      <c r="F53" s="41" t="s">
        <v>74</v>
      </c>
      <c r="G53" s="41">
        <f>IF(F53&gt;0,INDEX(Fish!$D:$D,MATCH(F53,Fish!$L:$L,0)),"")</f>
        <v>11009</v>
      </c>
      <c r="H53" s="41">
        <v>0</v>
      </c>
      <c r="I53" s="41">
        <v>1</v>
      </c>
      <c r="J53" s="41">
        <v>5</v>
      </c>
      <c r="K53" s="41">
        <v>6</v>
      </c>
      <c r="L53" s="41" t="s">
        <v>80</v>
      </c>
      <c r="M53" s="41">
        <f>IF(L53&gt;0,INDEX(Fish!$D:$D,MATCH(L53,Fish!$L:$L,0)),"")</f>
        <v>11011</v>
      </c>
      <c r="N53" s="41">
        <v>0</v>
      </c>
      <c r="O53" s="41">
        <v>1</v>
      </c>
      <c r="P53" s="41">
        <v>3</v>
      </c>
      <c r="Q53" s="41">
        <v>4</v>
      </c>
      <c r="R53" s="41" t="s">
        <v>82</v>
      </c>
      <c r="S53" s="41">
        <f>IF(R53&gt;0,INDEX(Fish!$D:$D,MATCH(R53,Fish!$L:$L,0)),"")</f>
        <v>11012</v>
      </c>
      <c r="T53" s="41">
        <v>0</v>
      </c>
      <c r="U53" s="41">
        <v>1</v>
      </c>
      <c r="V53" s="41">
        <v>3</v>
      </c>
      <c r="W53" s="41">
        <v>3</v>
      </c>
      <c r="X53" s="41" t="s">
        <v>94</v>
      </c>
      <c r="Y53" s="41">
        <f>IF(X53&gt;0,INDEX(Fish!$D:$D,MATCH(X53,Fish!$L:$L,0)),"")</f>
        <v>11020</v>
      </c>
      <c r="Z53" s="41">
        <v>0</v>
      </c>
      <c r="AA53" s="41">
        <v>1</v>
      </c>
      <c r="AB53" s="41">
        <v>2</v>
      </c>
      <c r="AC53" s="41">
        <v>3</v>
      </c>
      <c r="AD53" s="41" t="s">
        <v>84</v>
      </c>
      <c r="AE53" s="41">
        <f>IF(AD53&gt;0,INDEX(Fish!$D:$D,MATCH(AD53,Fish!$L:$L,0)),"")</f>
        <v>11013</v>
      </c>
      <c r="AF53" s="41">
        <v>0</v>
      </c>
      <c r="AG53" s="41">
        <v>1</v>
      </c>
      <c r="AH53" s="41">
        <v>1</v>
      </c>
      <c r="AI53" s="41">
        <v>2</v>
      </c>
    </row>
    <row r="54" spans="1:35">
      <c r="A54" s="41">
        <v>44412</v>
      </c>
      <c r="B54" s="41">
        <v>4</v>
      </c>
      <c r="C54" s="41">
        <v>0</v>
      </c>
      <c r="D54" s="41">
        <v>2</v>
      </c>
      <c r="E54" s="41">
        <v>1</v>
      </c>
      <c r="F54" s="41" t="s">
        <v>74</v>
      </c>
      <c r="G54" s="41">
        <f>IF(F54&gt;0,INDEX(Fish!$D:$D,MATCH(F54,Fish!$L:$L,0)),"")</f>
        <v>11009</v>
      </c>
      <c r="H54" s="41">
        <v>0</v>
      </c>
      <c r="I54" s="41">
        <v>1</v>
      </c>
      <c r="J54" s="41">
        <v>5</v>
      </c>
      <c r="K54" s="41">
        <v>6</v>
      </c>
      <c r="L54" s="41" t="s">
        <v>80</v>
      </c>
      <c r="M54" s="41">
        <f>IF(L54&gt;0,INDEX(Fish!$D:$D,MATCH(L54,Fish!$L:$L,0)),"")</f>
        <v>11011</v>
      </c>
      <c r="N54" s="41">
        <v>0</v>
      </c>
      <c r="O54" s="41">
        <v>1</v>
      </c>
      <c r="P54" s="41">
        <v>3</v>
      </c>
      <c r="Q54" s="41">
        <v>4</v>
      </c>
      <c r="R54" s="41" t="s">
        <v>82</v>
      </c>
      <c r="S54" s="41">
        <f>IF(R54&gt;0,INDEX(Fish!$D:$D,MATCH(R54,Fish!$L:$L,0)),"")</f>
        <v>11012</v>
      </c>
      <c r="T54" s="41">
        <v>0</v>
      </c>
      <c r="U54" s="41">
        <v>1</v>
      </c>
      <c r="V54" s="41">
        <v>3</v>
      </c>
      <c r="W54" s="41">
        <v>3</v>
      </c>
      <c r="X54" s="41" t="s">
        <v>94</v>
      </c>
      <c r="Y54" s="41">
        <f>IF(X54&gt;0,INDEX(Fish!$D:$D,MATCH(X54,Fish!$L:$L,0)),"")</f>
        <v>11020</v>
      </c>
      <c r="Z54" s="41">
        <v>0</v>
      </c>
      <c r="AA54" s="41">
        <v>1</v>
      </c>
      <c r="AB54" s="41">
        <v>2</v>
      </c>
      <c r="AC54" s="41">
        <v>3</v>
      </c>
      <c r="AD54" s="41" t="s">
        <v>90</v>
      </c>
      <c r="AE54" s="41">
        <f>IF(AD54&gt;0,INDEX(Fish!$D:$D,MATCH(AD54,Fish!$L:$L,0)),"")</f>
        <v>11016</v>
      </c>
      <c r="AF54" s="41">
        <v>0</v>
      </c>
      <c r="AG54" s="41">
        <v>1</v>
      </c>
      <c r="AH54" s="41">
        <v>1</v>
      </c>
      <c r="AI54" s="41">
        <v>2</v>
      </c>
    </row>
    <row r="55" spans="1:35">
      <c r="A55" s="41">
        <v>44412</v>
      </c>
      <c r="B55" s="41">
        <v>4</v>
      </c>
      <c r="C55" s="41">
        <v>0</v>
      </c>
      <c r="D55" s="41">
        <v>2</v>
      </c>
      <c r="E55" s="41">
        <v>1</v>
      </c>
      <c r="F55" s="41" t="s">
        <v>74</v>
      </c>
      <c r="G55" s="41">
        <f>IF(F55&gt;0,INDEX(Fish!$D:$D,MATCH(F55,Fish!$L:$L,0)),"")</f>
        <v>11009</v>
      </c>
      <c r="H55" s="41">
        <v>0</v>
      </c>
      <c r="I55" s="41">
        <v>1</v>
      </c>
      <c r="J55" s="41">
        <v>5</v>
      </c>
      <c r="K55" s="41">
        <v>6</v>
      </c>
      <c r="L55" s="41" t="s">
        <v>78</v>
      </c>
      <c r="M55" s="41">
        <f>IF(L55&gt;0,INDEX(Fish!$D:$D,MATCH(L55,Fish!$L:$L,0)),"")</f>
        <v>11010</v>
      </c>
      <c r="N55" s="41">
        <v>0</v>
      </c>
      <c r="O55" s="41">
        <v>1</v>
      </c>
      <c r="P55" s="41">
        <v>3</v>
      </c>
      <c r="Q55" s="41">
        <v>4</v>
      </c>
      <c r="R55" s="41" t="s">
        <v>92</v>
      </c>
      <c r="S55" s="41">
        <f>IF(R55&gt;0,INDEX(Fish!$D:$D,MATCH(R55,Fish!$L:$L,0)),"")</f>
        <v>11017</v>
      </c>
      <c r="T55" s="41">
        <v>0</v>
      </c>
      <c r="U55" s="41">
        <v>1</v>
      </c>
      <c r="V55" s="41">
        <v>3</v>
      </c>
      <c r="W55" s="41">
        <v>3</v>
      </c>
      <c r="X55" s="41" t="s">
        <v>88</v>
      </c>
      <c r="Y55" s="41">
        <f>IF(X55&gt;0,INDEX(Fish!$D:$D,MATCH(X55,Fish!$L:$L,0)),"")</f>
        <v>11015</v>
      </c>
      <c r="Z55" s="41">
        <v>0</v>
      </c>
      <c r="AA55" s="41">
        <v>1</v>
      </c>
      <c r="AB55" s="41">
        <v>2</v>
      </c>
      <c r="AC55" s="41">
        <v>3</v>
      </c>
      <c r="AD55" s="41" t="s">
        <v>84</v>
      </c>
      <c r="AE55" s="41">
        <f>IF(AD55&gt;0,INDEX(Fish!$D:$D,MATCH(AD55,Fish!$L:$L,0)),"")</f>
        <v>11013</v>
      </c>
      <c r="AF55" s="41">
        <v>0</v>
      </c>
      <c r="AG55" s="41">
        <v>1</v>
      </c>
      <c r="AH55" s="41">
        <v>1</v>
      </c>
      <c r="AI55" s="41">
        <v>2</v>
      </c>
    </row>
    <row r="56" spans="1:35">
      <c r="A56" s="41">
        <v>44412</v>
      </c>
      <c r="B56" s="41">
        <v>4</v>
      </c>
      <c r="C56" s="41">
        <v>0</v>
      </c>
      <c r="D56" s="41">
        <v>2</v>
      </c>
      <c r="E56" s="41">
        <v>1</v>
      </c>
      <c r="F56" s="41" t="s">
        <v>74</v>
      </c>
      <c r="G56" s="41">
        <f>IF(F56&gt;0,INDEX(Fish!$D:$D,MATCH(F56,Fish!$L:$L,0)),"")</f>
        <v>11009</v>
      </c>
      <c r="H56" s="41">
        <v>0</v>
      </c>
      <c r="I56" s="41">
        <v>1</v>
      </c>
      <c r="J56" s="41">
        <v>5</v>
      </c>
      <c r="K56" s="41">
        <v>6</v>
      </c>
      <c r="L56" s="41" t="s">
        <v>78</v>
      </c>
      <c r="M56" s="41">
        <f>IF(L56&gt;0,INDEX(Fish!$D:$D,MATCH(L56,Fish!$L:$L,0)),"")</f>
        <v>11010</v>
      </c>
      <c r="N56" s="41">
        <v>0</v>
      </c>
      <c r="O56" s="41">
        <v>1</v>
      </c>
      <c r="P56" s="41">
        <v>3</v>
      </c>
      <c r="Q56" s="41">
        <v>4</v>
      </c>
      <c r="R56" s="41" t="s">
        <v>92</v>
      </c>
      <c r="S56" s="41">
        <f>IF(R56&gt;0,INDEX(Fish!$D:$D,MATCH(R56,Fish!$L:$L,0)),"")</f>
        <v>11017</v>
      </c>
      <c r="T56" s="41">
        <v>0</v>
      </c>
      <c r="U56" s="41">
        <v>1</v>
      </c>
      <c r="V56" s="41">
        <v>3</v>
      </c>
      <c r="W56" s="41">
        <v>3</v>
      </c>
      <c r="X56" s="41" t="s">
        <v>88</v>
      </c>
      <c r="Y56" s="41">
        <f>IF(X56&gt;0,INDEX(Fish!$D:$D,MATCH(X56,Fish!$L:$L,0)),"")</f>
        <v>11015</v>
      </c>
      <c r="Z56" s="41">
        <v>0</v>
      </c>
      <c r="AA56" s="41">
        <v>1</v>
      </c>
      <c r="AB56" s="41">
        <v>2</v>
      </c>
      <c r="AC56" s="41">
        <v>3</v>
      </c>
      <c r="AD56" s="41" t="s">
        <v>90</v>
      </c>
      <c r="AE56" s="41">
        <f>IF(AD56&gt;0,INDEX(Fish!$D:$D,MATCH(AD56,Fish!$L:$L,0)),"")</f>
        <v>11016</v>
      </c>
      <c r="AF56" s="41">
        <v>0</v>
      </c>
      <c r="AG56" s="41">
        <v>1</v>
      </c>
      <c r="AH56" s="41">
        <v>1</v>
      </c>
      <c r="AI56" s="41">
        <v>2</v>
      </c>
    </row>
    <row r="57" spans="1:35">
      <c r="A57" s="41">
        <v>44412</v>
      </c>
      <c r="B57" s="41">
        <v>4</v>
      </c>
      <c r="C57" s="41">
        <v>0</v>
      </c>
      <c r="D57" s="41">
        <v>2</v>
      </c>
      <c r="E57" s="41">
        <v>1</v>
      </c>
      <c r="F57" s="41" t="s">
        <v>74</v>
      </c>
      <c r="G57" s="41">
        <f>IF(F57&gt;0,INDEX(Fish!$D:$D,MATCH(F57,Fish!$L:$L,0)),"")</f>
        <v>11009</v>
      </c>
      <c r="H57" s="41">
        <v>0</v>
      </c>
      <c r="I57" s="41">
        <v>1</v>
      </c>
      <c r="J57" s="41">
        <v>5</v>
      </c>
      <c r="K57" s="41">
        <v>6</v>
      </c>
      <c r="L57" s="41" t="s">
        <v>78</v>
      </c>
      <c r="M57" s="41">
        <f>IF(L57&gt;0,INDEX(Fish!$D:$D,MATCH(L57,Fish!$L:$L,0)),"")</f>
        <v>11010</v>
      </c>
      <c r="N57" s="41">
        <v>0</v>
      </c>
      <c r="O57" s="41">
        <v>1</v>
      </c>
      <c r="P57" s="41">
        <v>3</v>
      </c>
      <c r="Q57" s="41">
        <v>4</v>
      </c>
      <c r="R57" s="41" t="s">
        <v>92</v>
      </c>
      <c r="S57" s="41">
        <f>IF(R57&gt;0,INDEX(Fish!$D:$D,MATCH(R57,Fish!$L:$L,0)),"")</f>
        <v>11017</v>
      </c>
      <c r="T57" s="41">
        <v>0</v>
      </c>
      <c r="U57" s="41">
        <v>1</v>
      </c>
      <c r="V57" s="41">
        <v>3</v>
      </c>
      <c r="W57" s="41">
        <v>3</v>
      </c>
      <c r="X57" s="41" t="s">
        <v>94</v>
      </c>
      <c r="Y57" s="41">
        <f>IF(X57&gt;0,INDEX(Fish!$D:$D,MATCH(X57,Fish!$L:$L,0)),"")</f>
        <v>11020</v>
      </c>
      <c r="Z57" s="41">
        <v>0</v>
      </c>
      <c r="AA57" s="41">
        <v>1</v>
      </c>
      <c r="AB57" s="41">
        <v>2</v>
      </c>
      <c r="AC57" s="41">
        <v>3</v>
      </c>
      <c r="AD57" s="41" t="s">
        <v>84</v>
      </c>
      <c r="AE57" s="41">
        <f>IF(AD57&gt;0,INDEX(Fish!$D:$D,MATCH(AD57,Fish!$L:$L,0)),"")</f>
        <v>11013</v>
      </c>
      <c r="AF57" s="41">
        <v>0</v>
      </c>
      <c r="AG57" s="41">
        <v>1</v>
      </c>
      <c r="AH57" s="41">
        <v>1</v>
      </c>
      <c r="AI57" s="41">
        <v>2</v>
      </c>
    </row>
    <row r="58" spans="1:35">
      <c r="A58" s="41">
        <v>44412</v>
      </c>
      <c r="B58" s="41">
        <v>4</v>
      </c>
      <c r="C58" s="41">
        <v>0</v>
      </c>
      <c r="D58" s="41">
        <v>2</v>
      </c>
      <c r="E58" s="41">
        <v>1</v>
      </c>
      <c r="F58" s="41" t="s">
        <v>74</v>
      </c>
      <c r="G58" s="41">
        <f>IF(F58&gt;0,INDEX(Fish!$D:$D,MATCH(F58,Fish!$L:$L,0)),"")</f>
        <v>11009</v>
      </c>
      <c r="H58" s="41">
        <v>0</v>
      </c>
      <c r="I58" s="41">
        <v>1</v>
      </c>
      <c r="J58" s="41">
        <v>5</v>
      </c>
      <c r="K58" s="41">
        <v>6</v>
      </c>
      <c r="L58" s="41" t="s">
        <v>78</v>
      </c>
      <c r="M58" s="41">
        <f>IF(L58&gt;0,INDEX(Fish!$D:$D,MATCH(L58,Fish!$L:$L,0)),"")</f>
        <v>11010</v>
      </c>
      <c r="N58" s="41">
        <v>0</v>
      </c>
      <c r="O58" s="41">
        <v>1</v>
      </c>
      <c r="P58" s="41">
        <v>3</v>
      </c>
      <c r="Q58" s="41">
        <v>4</v>
      </c>
      <c r="R58" s="41" t="s">
        <v>92</v>
      </c>
      <c r="S58" s="41">
        <f>IF(R58&gt;0,INDEX(Fish!$D:$D,MATCH(R58,Fish!$L:$L,0)),"")</f>
        <v>11017</v>
      </c>
      <c r="T58" s="41">
        <v>0</v>
      </c>
      <c r="U58" s="41">
        <v>1</v>
      </c>
      <c r="V58" s="41">
        <v>3</v>
      </c>
      <c r="W58" s="41">
        <v>3</v>
      </c>
      <c r="X58" s="41" t="s">
        <v>94</v>
      </c>
      <c r="Y58" s="41">
        <f>IF(X58&gt;0,INDEX(Fish!$D:$D,MATCH(X58,Fish!$L:$L,0)),"")</f>
        <v>11020</v>
      </c>
      <c r="Z58" s="41">
        <v>0</v>
      </c>
      <c r="AA58" s="41">
        <v>1</v>
      </c>
      <c r="AB58" s="41">
        <v>2</v>
      </c>
      <c r="AC58" s="41">
        <v>3</v>
      </c>
      <c r="AD58" s="41" t="s">
        <v>90</v>
      </c>
      <c r="AE58" s="41">
        <f>IF(AD58&gt;0,INDEX(Fish!$D:$D,MATCH(AD58,Fish!$L:$L,0)),"")</f>
        <v>11016</v>
      </c>
      <c r="AF58" s="41">
        <v>0</v>
      </c>
      <c r="AG58" s="41">
        <v>1</v>
      </c>
      <c r="AH58" s="41">
        <v>1</v>
      </c>
      <c r="AI58" s="41">
        <v>2</v>
      </c>
    </row>
    <row r="59" spans="1:35">
      <c r="A59" s="41">
        <v>44412</v>
      </c>
      <c r="B59" s="41">
        <v>4</v>
      </c>
      <c r="C59" s="41">
        <v>0</v>
      </c>
      <c r="D59" s="41">
        <v>2</v>
      </c>
      <c r="E59" s="41">
        <v>1</v>
      </c>
      <c r="F59" s="41" t="s">
        <v>74</v>
      </c>
      <c r="G59" s="41">
        <f>IF(F59&gt;0,INDEX(Fish!$D:$D,MATCH(F59,Fish!$L:$L,0)),"")</f>
        <v>11009</v>
      </c>
      <c r="H59" s="41">
        <v>0</v>
      </c>
      <c r="I59" s="41">
        <v>1</v>
      </c>
      <c r="J59" s="41">
        <v>5</v>
      </c>
      <c r="K59" s="41">
        <v>6</v>
      </c>
      <c r="L59" s="41" t="s">
        <v>78</v>
      </c>
      <c r="M59" s="41">
        <f>IF(L59&gt;0,INDEX(Fish!$D:$D,MATCH(L59,Fish!$L:$L,0)),"")</f>
        <v>11010</v>
      </c>
      <c r="N59" s="41">
        <v>0</v>
      </c>
      <c r="O59" s="41">
        <v>1</v>
      </c>
      <c r="P59" s="41">
        <v>3</v>
      </c>
      <c r="Q59" s="41">
        <v>4</v>
      </c>
      <c r="R59" s="41" t="s">
        <v>82</v>
      </c>
      <c r="S59" s="41">
        <f>IF(R59&gt;0,INDEX(Fish!$D:$D,MATCH(R59,Fish!$L:$L,0)),"")</f>
        <v>11012</v>
      </c>
      <c r="T59" s="41">
        <v>0</v>
      </c>
      <c r="U59" s="41">
        <v>1</v>
      </c>
      <c r="V59" s="41">
        <v>3</v>
      </c>
      <c r="W59" s="41">
        <v>3</v>
      </c>
      <c r="X59" s="41" t="s">
        <v>88</v>
      </c>
      <c r="Y59" s="41">
        <f>IF(X59&gt;0,INDEX(Fish!$D:$D,MATCH(X59,Fish!$L:$L,0)),"")</f>
        <v>11015</v>
      </c>
      <c r="Z59" s="41">
        <v>0</v>
      </c>
      <c r="AA59" s="41">
        <v>1</v>
      </c>
      <c r="AB59" s="41">
        <v>2</v>
      </c>
      <c r="AC59" s="41">
        <v>3</v>
      </c>
      <c r="AD59" s="41" t="s">
        <v>84</v>
      </c>
      <c r="AE59" s="41">
        <f>IF(AD59&gt;0,INDEX(Fish!$D:$D,MATCH(AD59,Fish!$L:$L,0)),"")</f>
        <v>11013</v>
      </c>
      <c r="AF59" s="41">
        <v>0</v>
      </c>
      <c r="AG59" s="41">
        <v>1</v>
      </c>
      <c r="AH59" s="41">
        <v>1</v>
      </c>
      <c r="AI59" s="41">
        <v>2</v>
      </c>
    </row>
    <row r="60" spans="1:35">
      <c r="A60" s="41">
        <v>44412</v>
      </c>
      <c r="B60" s="41">
        <v>4</v>
      </c>
      <c r="C60" s="41">
        <v>0</v>
      </c>
      <c r="D60" s="41">
        <v>2</v>
      </c>
      <c r="E60" s="41">
        <v>1</v>
      </c>
      <c r="F60" s="41" t="s">
        <v>74</v>
      </c>
      <c r="G60" s="41">
        <f>IF(F60&gt;0,INDEX(Fish!$D:$D,MATCH(F60,Fish!$L:$L,0)),"")</f>
        <v>11009</v>
      </c>
      <c r="H60" s="41">
        <v>0</v>
      </c>
      <c r="I60" s="41">
        <v>1</v>
      </c>
      <c r="J60" s="41">
        <v>5</v>
      </c>
      <c r="K60" s="41">
        <v>6</v>
      </c>
      <c r="L60" s="41" t="s">
        <v>78</v>
      </c>
      <c r="M60" s="41">
        <f>IF(L60&gt;0,INDEX(Fish!$D:$D,MATCH(L60,Fish!$L:$L,0)),"")</f>
        <v>11010</v>
      </c>
      <c r="N60" s="41">
        <v>0</v>
      </c>
      <c r="O60" s="41">
        <v>1</v>
      </c>
      <c r="P60" s="41">
        <v>3</v>
      </c>
      <c r="Q60" s="41">
        <v>4</v>
      </c>
      <c r="R60" s="41" t="s">
        <v>82</v>
      </c>
      <c r="S60" s="41">
        <f>IF(R60&gt;0,INDEX(Fish!$D:$D,MATCH(R60,Fish!$L:$L,0)),"")</f>
        <v>11012</v>
      </c>
      <c r="T60" s="41">
        <v>0</v>
      </c>
      <c r="U60" s="41">
        <v>1</v>
      </c>
      <c r="V60" s="41">
        <v>3</v>
      </c>
      <c r="W60" s="41">
        <v>3</v>
      </c>
      <c r="X60" s="41" t="s">
        <v>88</v>
      </c>
      <c r="Y60" s="41">
        <f>IF(X60&gt;0,INDEX(Fish!$D:$D,MATCH(X60,Fish!$L:$L,0)),"")</f>
        <v>11015</v>
      </c>
      <c r="Z60" s="41">
        <v>0</v>
      </c>
      <c r="AA60" s="41">
        <v>1</v>
      </c>
      <c r="AB60" s="41">
        <v>2</v>
      </c>
      <c r="AC60" s="41">
        <v>3</v>
      </c>
      <c r="AD60" s="41" t="s">
        <v>90</v>
      </c>
      <c r="AE60" s="41">
        <f>IF(AD60&gt;0,INDEX(Fish!$D:$D,MATCH(AD60,Fish!$L:$L,0)),"")</f>
        <v>11016</v>
      </c>
      <c r="AF60" s="41">
        <v>0</v>
      </c>
      <c r="AG60" s="41">
        <v>1</v>
      </c>
      <c r="AH60" s="41">
        <v>1</v>
      </c>
      <c r="AI60" s="41">
        <v>2</v>
      </c>
    </row>
    <row r="61" spans="1:35">
      <c r="A61" s="41">
        <v>44412</v>
      </c>
      <c r="B61" s="41">
        <v>4</v>
      </c>
      <c r="C61" s="41">
        <v>0</v>
      </c>
      <c r="D61" s="41">
        <v>2</v>
      </c>
      <c r="E61" s="41">
        <v>1</v>
      </c>
      <c r="F61" s="41" t="s">
        <v>74</v>
      </c>
      <c r="G61" s="41">
        <f>IF(F61&gt;0,INDEX(Fish!$D:$D,MATCH(F61,Fish!$L:$L,0)),"")</f>
        <v>11009</v>
      </c>
      <c r="H61" s="41">
        <v>0</v>
      </c>
      <c r="I61" s="41">
        <v>1</v>
      </c>
      <c r="J61" s="41">
        <v>5</v>
      </c>
      <c r="K61" s="41">
        <v>6</v>
      </c>
      <c r="L61" s="41" t="s">
        <v>78</v>
      </c>
      <c r="M61" s="41">
        <f>IF(L61&gt;0,INDEX(Fish!$D:$D,MATCH(L61,Fish!$L:$L,0)),"")</f>
        <v>11010</v>
      </c>
      <c r="N61" s="41">
        <v>0</v>
      </c>
      <c r="O61" s="41">
        <v>1</v>
      </c>
      <c r="P61" s="41">
        <v>3</v>
      </c>
      <c r="Q61" s="41">
        <v>4</v>
      </c>
      <c r="R61" s="41" t="s">
        <v>82</v>
      </c>
      <c r="S61" s="41">
        <f>IF(R61&gt;0,INDEX(Fish!$D:$D,MATCH(R61,Fish!$L:$L,0)),"")</f>
        <v>11012</v>
      </c>
      <c r="T61" s="41">
        <v>0</v>
      </c>
      <c r="U61" s="41">
        <v>1</v>
      </c>
      <c r="V61" s="41">
        <v>3</v>
      </c>
      <c r="W61" s="41">
        <v>3</v>
      </c>
      <c r="X61" s="41" t="s">
        <v>94</v>
      </c>
      <c r="Y61" s="41">
        <f>IF(X61&gt;0,INDEX(Fish!$D:$D,MATCH(X61,Fish!$L:$L,0)),"")</f>
        <v>11020</v>
      </c>
      <c r="Z61" s="41">
        <v>0</v>
      </c>
      <c r="AA61" s="41">
        <v>1</v>
      </c>
      <c r="AB61" s="41">
        <v>2</v>
      </c>
      <c r="AC61" s="41">
        <v>3</v>
      </c>
      <c r="AD61" s="41" t="s">
        <v>84</v>
      </c>
      <c r="AE61" s="41">
        <f>IF(AD61&gt;0,INDEX(Fish!$D:$D,MATCH(AD61,Fish!$L:$L,0)),"")</f>
        <v>11013</v>
      </c>
      <c r="AF61" s="41">
        <v>0</v>
      </c>
      <c r="AG61" s="41">
        <v>1</v>
      </c>
      <c r="AH61" s="41">
        <v>1</v>
      </c>
      <c r="AI61" s="41">
        <v>2</v>
      </c>
    </row>
    <row r="62" spans="1:35">
      <c r="A62" s="41">
        <v>44412</v>
      </c>
      <c r="B62" s="41">
        <v>4</v>
      </c>
      <c r="C62" s="41">
        <v>0</v>
      </c>
      <c r="D62" s="41">
        <v>2</v>
      </c>
      <c r="E62" s="41">
        <v>1</v>
      </c>
      <c r="F62" s="41" t="s">
        <v>74</v>
      </c>
      <c r="G62" s="41">
        <f>IF(F62&gt;0,INDEX(Fish!$D:$D,MATCH(F62,Fish!$L:$L,0)),"")</f>
        <v>11009</v>
      </c>
      <c r="H62" s="41">
        <v>0</v>
      </c>
      <c r="I62" s="41">
        <v>1</v>
      </c>
      <c r="J62" s="41">
        <v>5</v>
      </c>
      <c r="K62" s="41">
        <v>6</v>
      </c>
      <c r="L62" s="41" t="s">
        <v>78</v>
      </c>
      <c r="M62" s="41">
        <f>IF(L62&gt;0,INDEX(Fish!$D:$D,MATCH(L62,Fish!$L:$L,0)),"")</f>
        <v>11010</v>
      </c>
      <c r="N62" s="41">
        <v>0</v>
      </c>
      <c r="O62" s="41">
        <v>1</v>
      </c>
      <c r="P62" s="41">
        <v>3</v>
      </c>
      <c r="Q62" s="41">
        <v>4</v>
      </c>
      <c r="R62" s="41" t="s">
        <v>82</v>
      </c>
      <c r="S62" s="41">
        <f>IF(R62&gt;0,INDEX(Fish!$D:$D,MATCH(R62,Fish!$L:$L,0)),"")</f>
        <v>11012</v>
      </c>
      <c r="T62" s="41">
        <v>0</v>
      </c>
      <c r="U62" s="41">
        <v>1</v>
      </c>
      <c r="V62" s="41">
        <v>3</v>
      </c>
      <c r="W62" s="41">
        <v>3</v>
      </c>
      <c r="X62" s="41" t="s">
        <v>94</v>
      </c>
      <c r="Y62" s="41">
        <f>IF(X62&gt;0,INDEX(Fish!$D:$D,MATCH(X62,Fish!$L:$L,0)),"")</f>
        <v>11020</v>
      </c>
      <c r="Z62" s="41">
        <v>0</v>
      </c>
      <c r="AA62" s="41">
        <v>1</v>
      </c>
      <c r="AB62" s="41">
        <v>2</v>
      </c>
      <c r="AC62" s="41">
        <v>3</v>
      </c>
      <c r="AD62" s="41" t="s">
        <v>90</v>
      </c>
      <c r="AE62" s="41">
        <f>IF(AD62&gt;0,INDEX(Fish!$D:$D,MATCH(AD62,Fish!$L:$L,0)),"")</f>
        <v>11016</v>
      </c>
      <c r="AF62" s="41">
        <v>0</v>
      </c>
      <c r="AG62" s="41">
        <v>1</v>
      </c>
      <c r="AH62" s="41">
        <v>1</v>
      </c>
      <c r="AI62" s="41">
        <v>2</v>
      </c>
    </row>
    <row r="63" spans="1:35" ht="18.75">
      <c r="A63" s="41">
        <v>44412</v>
      </c>
      <c r="B63" s="41">
        <v>5</v>
      </c>
      <c r="C63" s="41">
        <v>0</v>
      </c>
      <c r="D63" s="41">
        <v>3</v>
      </c>
      <c r="E63" s="41">
        <v>2</v>
      </c>
      <c r="F63" s="41" t="s">
        <v>98</v>
      </c>
      <c r="G63" s="41">
        <f>IF(F63&gt;0,INDEX(Fish!$D:$D,MATCH(F63,Fish!$L:$L,0)),"")</f>
        <v>11090</v>
      </c>
      <c r="H63" s="41">
        <v>55000</v>
      </c>
      <c r="I63" s="41">
        <v>1</v>
      </c>
      <c r="J63" s="41">
        <v>1</v>
      </c>
      <c r="K63" s="41">
        <v>1</v>
      </c>
      <c r="L63" s="45" t="s">
        <v>100</v>
      </c>
      <c r="M63" s="41">
        <f>IF(L63&gt;0,INDEX(Fish!$D:$D,MATCH(L63,Fish!$L:$L,0)),"")</f>
        <v>11025</v>
      </c>
      <c r="N63" s="41">
        <v>45000</v>
      </c>
      <c r="O63" s="41">
        <v>1</v>
      </c>
      <c r="P63" s="41">
        <v>1</v>
      </c>
      <c r="Q63" s="41">
        <v>1</v>
      </c>
      <c r="S63" s="41" t="str">
        <f>IF(R63&gt;0,INDEX(Fish!$D:$D,MATCH(R63,Fish!$L:$L,0)),"")</f>
        <v/>
      </c>
      <c r="Y63" s="41" t="str">
        <f>IF(X63&gt;0,INDEX(Fish!$D:$D,MATCH(X63,Fish!$L:$L,0)),"")</f>
        <v/>
      </c>
      <c r="AE63" s="41" t="str">
        <f>IF(AD63&gt;0,INDEX(Fish!$D:$D,MATCH(AD63,Fish!$L:$L,0)),"")</f>
        <v/>
      </c>
    </row>
    <row r="64" spans="1:35" ht="20.25">
      <c r="A64" s="41">
        <v>44412</v>
      </c>
      <c r="B64" s="41">
        <v>5</v>
      </c>
      <c r="C64" s="41">
        <v>0</v>
      </c>
      <c r="D64" s="41">
        <v>4</v>
      </c>
      <c r="E64" s="41">
        <v>2</v>
      </c>
      <c r="F64" s="41" t="s">
        <v>346</v>
      </c>
      <c r="G64" s="41">
        <f>IF(F64&gt;0,INDEX(Fish!$D:$D,MATCH(F64,Fish!$L:$L,0)),"")</f>
        <v>11018</v>
      </c>
      <c r="H64" s="41">
        <v>30000</v>
      </c>
      <c r="I64" s="41">
        <v>1</v>
      </c>
      <c r="J64" s="41">
        <v>2</v>
      </c>
      <c r="K64" s="41">
        <v>3</v>
      </c>
      <c r="L64" s="41" t="s">
        <v>356</v>
      </c>
      <c r="M64" s="41">
        <f>IF(L64&gt;0,INDEX(Fish!$D:$D,MATCH(L64,Fish!$L:$L,0)),"")</f>
        <v>11214</v>
      </c>
      <c r="N64" s="41">
        <v>30000</v>
      </c>
      <c r="O64" s="41">
        <v>1</v>
      </c>
      <c r="P64" s="41">
        <v>2</v>
      </c>
      <c r="Q64" s="41">
        <v>3</v>
      </c>
      <c r="R64" s="41" t="s">
        <v>350</v>
      </c>
      <c r="S64" s="41">
        <f>IF(R64&gt;0,INDEX(Fish!$D:$D,MATCH(R64,Fish!$L:$L,0)),"")</f>
        <v>11021</v>
      </c>
      <c r="T64" s="41">
        <v>25000</v>
      </c>
      <c r="U64" s="41">
        <v>1</v>
      </c>
      <c r="V64" s="41">
        <v>2</v>
      </c>
      <c r="W64" s="41">
        <v>3</v>
      </c>
      <c r="X64" s="44" t="s">
        <v>348</v>
      </c>
      <c r="Y64" s="41">
        <f>IF(X64&gt;0,INDEX(Fish!$D:$D,MATCH(X64,Fish!$L:$L,0)),"")</f>
        <v>11092</v>
      </c>
      <c r="Z64" s="41">
        <v>15000</v>
      </c>
      <c r="AA64" s="41">
        <v>1</v>
      </c>
      <c r="AB64" s="41">
        <v>2</v>
      </c>
      <c r="AC64" s="41">
        <v>3</v>
      </c>
      <c r="AE64" s="41" t="str">
        <f>IF(AD64&gt;0,INDEX(Fish!$D:$D,MATCH(AD64,Fish!$L:$L,0)),"")</f>
        <v/>
      </c>
    </row>
    <row r="65" spans="1:35">
      <c r="A65" s="41">
        <v>44412</v>
      </c>
      <c r="B65" s="41">
        <v>5</v>
      </c>
      <c r="C65" s="41">
        <v>0</v>
      </c>
      <c r="D65" s="41">
        <v>5</v>
      </c>
      <c r="E65" s="41">
        <v>2</v>
      </c>
      <c r="F65" s="41" t="s">
        <v>117</v>
      </c>
      <c r="G65" s="41">
        <f>IF(F65&gt;0,INDEX(Fish!$D:$D,MATCH(F65,Fish!$L:$L,0)),"")</f>
        <v>14009</v>
      </c>
      <c r="H65" s="41">
        <v>30000</v>
      </c>
      <c r="I65" s="41">
        <v>1</v>
      </c>
      <c r="J65" s="41">
        <v>1</v>
      </c>
      <c r="K65" s="41">
        <v>1</v>
      </c>
      <c r="L65" s="41" t="s">
        <v>118</v>
      </c>
      <c r="M65" s="41">
        <f>IF(L65&gt;0,INDEX(Fish!$D:$D,MATCH(L65,Fish!$L:$L,0)),"")</f>
        <v>14011</v>
      </c>
      <c r="N65" s="41">
        <v>27000</v>
      </c>
      <c r="O65" s="41">
        <v>1</v>
      </c>
      <c r="P65" s="41">
        <v>1</v>
      </c>
      <c r="Q65" s="41">
        <v>1</v>
      </c>
      <c r="R65" s="41" t="s">
        <v>120</v>
      </c>
      <c r="S65" s="41">
        <f>IF(R65&gt;0,INDEX(Fish!$D:$D,MATCH(R65,Fish!$L:$L,0)),"")</f>
        <v>14015</v>
      </c>
      <c r="T65" s="41">
        <v>20000</v>
      </c>
      <c r="U65" s="41">
        <v>1</v>
      </c>
      <c r="V65" s="41">
        <v>1</v>
      </c>
      <c r="W65" s="41">
        <v>1</v>
      </c>
      <c r="X65" s="41" t="s">
        <v>121</v>
      </c>
      <c r="Y65" s="41">
        <f>IF(X65&gt;0,INDEX(Fish!$D:$D,MATCH(X65,Fish!$L:$L,0)),"")</f>
        <v>14020</v>
      </c>
      <c r="Z65" s="41">
        <v>12000</v>
      </c>
      <c r="AA65" s="41">
        <v>1</v>
      </c>
      <c r="AB65" s="41">
        <v>1</v>
      </c>
      <c r="AC65" s="41">
        <v>1</v>
      </c>
      <c r="AD65" s="41" t="s">
        <v>119</v>
      </c>
      <c r="AE65" s="41">
        <f>IF(AD65&gt;0,INDEX(Fish!$D:$D,MATCH(AD65,Fish!$L:$L,0)),"")</f>
        <v>14013</v>
      </c>
      <c r="AF65" s="41">
        <v>11000</v>
      </c>
      <c r="AG65" s="41">
        <v>1</v>
      </c>
      <c r="AH65" s="41">
        <v>1</v>
      </c>
      <c r="AI65" s="41">
        <v>1</v>
      </c>
    </row>
    <row r="66" spans="1:35">
      <c r="A66" s="41">
        <v>44413</v>
      </c>
      <c r="B66" s="41">
        <v>1</v>
      </c>
      <c r="C66" s="41">
        <v>10</v>
      </c>
      <c r="D66" s="41">
        <v>1</v>
      </c>
      <c r="E66" s="41">
        <v>1</v>
      </c>
      <c r="F66" s="41" t="s">
        <v>58</v>
      </c>
      <c r="G66" s="41">
        <f>IF(F66&gt;0,INDEX(Fish!$D:$D,MATCH(F66,Fish!$L:$L,0)),"")</f>
        <v>11001</v>
      </c>
      <c r="H66" s="41">
        <v>0</v>
      </c>
      <c r="I66" s="41">
        <v>4</v>
      </c>
      <c r="J66" s="41">
        <v>13</v>
      </c>
      <c r="K66" s="41">
        <v>15</v>
      </c>
      <c r="L66" s="41" t="s">
        <v>62</v>
      </c>
      <c r="M66" s="41">
        <f>IF(L66&gt;0,INDEX(Fish!$D:$D,MATCH(L66,Fish!$L:$L,0)),"")</f>
        <v>11003</v>
      </c>
      <c r="N66" s="41">
        <v>0</v>
      </c>
      <c r="O66" s="41">
        <v>3</v>
      </c>
      <c r="P66" s="41">
        <v>13</v>
      </c>
      <c r="Q66" s="41">
        <v>15</v>
      </c>
    </row>
    <row r="67" spans="1:35">
      <c r="A67" s="41">
        <v>44413</v>
      </c>
      <c r="B67" s="41">
        <v>1</v>
      </c>
      <c r="C67" s="41">
        <v>10</v>
      </c>
      <c r="D67" s="41">
        <v>1</v>
      </c>
      <c r="E67" s="41">
        <v>1</v>
      </c>
      <c r="F67" s="41" t="s">
        <v>58</v>
      </c>
      <c r="G67" s="41">
        <f>IF(F67&gt;0,INDEX(Fish!$D:$D,MATCH(F67,Fish!$L:$L,0)),"")</f>
        <v>11001</v>
      </c>
      <c r="H67" s="41">
        <v>0</v>
      </c>
      <c r="I67" s="41">
        <v>4</v>
      </c>
      <c r="J67" s="41">
        <v>13</v>
      </c>
      <c r="K67" s="41">
        <v>15</v>
      </c>
      <c r="L67" s="41" t="s">
        <v>64</v>
      </c>
      <c r="M67" s="41">
        <f>IF(L67&gt;0,INDEX(Fish!$D:$D,MATCH(L67,Fish!$L:$L,0)),"")</f>
        <v>11004</v>
      </c>
      <c r="N67" s="41">
        <v>0</v>
      </c>
      <c r="O67" s="41">
        <v>3</v>
      </c>
      <c r="P67" s="41">
        <v>13</v>
      </c>
      <c r="Q67" s="41">
        <v>15</v>
      </c>
    </row>
    <row r="68" spans="1:35">
      <c r="A68" s="41">
        <v>44413</v>
      </c>
      <c r="B68" s="41">
        <v>1</v>
      </c>
      <c r="C68" s="41">
        <v>10</v>
      </c>
      <c r="D68" s="41">
        <v>1</v>
      </c>
      <c r="E68" s="41">
        <v>1</v>
      </c>
      <c r="F68" s="41" t="s">
        <v>58</v>
      </c>
      <c r="G68" s="41">
        <f>IF(F68&gt;0,INDEX(Fish!$D:$D,MATCH(F68,Fish!$L:$L,0)),"")</f>
        <v>11001</v>
      </c>
      <c r="H68" s="41">
        <v>0</v>
      </c>
      <c r="I68" s="41">
        <v>4</v>
      </c>
      <c r="J68" s="41">
        <v>13</v>
      </c>
      <c r="K68" s="41">
        <v>15</v>
      </c>
      <c r="L68" s="41" t="s">
        <v>70</v>
      </c>
      <c r="M68" s="41">
        <f>IF(L68&gt;0,INDEX(Fish!$D:$D,MATCH(L68,Fish!$L:$L,0)),"")</f>
        <v>11007</v>
      </c>
      <c r="N68" s="41">
        <v>0</v>
      </c>
      <c r="O68" s="41">
        <v>3</v>
      </c>
      <c r="P68" s="41">
        <v>13</v>
      </c>
      <c r="Q68" s="41">
        <v>15</v>
      </c>
    </row>
    <row r="69" spans="1:35">
      <c r="A69" s="41">
        <v>44413</v>
      </c>
      <c r="B69" s="41">
        <v>1</v>
      </c>
      <c r="C69" s="41">
        <v>10</v>
      </c>
      <c r="D69" s="41">
        <v>1</v>
      </c>
      <c r="E69" s="41">
        <v>1</v>
      </c>
      <c r="F69" s="41" t="s">
        <v>60</v>
      </c>
      <c r="G69" s="41">
        <f>IF(F69&gt;0,INDEX(Fish!$D:$D,MATCH(F69,Fish!$L:$L,0)),"")</f>
        <v>11002</v>
      </c>
      <c r="H69" s="41">
        <v>0</v>
      </c>
      <c r="I69" s="41">
        <v>4</v>
      </c>
      <c r="J69" s="41">
        <v>13</v>
      </c>
      <c r="K69" s="41">
        <v>15</v>
      </c>
      <c r="L69" s="41" t="s">
        <v>62</v>
      </c>
      <c r="M69" s="41">
        <f>IF(L69&gt;0,INDEX(Fish!$D:$D,MATCH(L69,Fish!$L:$L,0)),"")</f>
        <v>11003</v>
      </c>
      <c r="N69" s="41">
        <v>0</v>
      </c>
      <c r="O69" s="41">
        <v>3</v>
      </c>
      <c r="P69" s="41">
        <v>13</v>
      </c>
      <c r="Q69" s="41">
        <v>15</v>
      </c>
    </row>
    <row r="70" spans="1:35">
      <c r="A70" s="41">
        <v>44413</v>
      </c>
      <c r="B70" s="41">
        <v>1</v>
      </c>
      <c r="C70" s="41">
        <v>10</v>
      </c>
      <c r="D70" s="41">
        <v>1</v>
      </c>
      <c r="E70" s="41">
        <v>1</v>
      </c>
      <c r="F70" s="41" t="s">
        <v>60</v>
      </c>
      <c r="G70" s="41">
        <f>IF(F70&gt;0,INDEX(Fish!$D:$D,MATCH(F70,Fish!$L:$L,0)),"")</f>
        <v>11002</v>
      </c>
      <c r="H70" s="41">
        <v>0</v>
      </c>
      <c r="I70" s="41">
        <v>4</v>
      </c>
      <c r="J70" s="41">
        <v>13</v>
      </c>
      <c r="K70" s="41">
        <v>15</v>
      </c>
      <c r="L70" s="41" t="s">
        <v>64</v>
      </c>
      <c r="M70" s="41">
        <f>IF(L70&gt;0,INDEX(Fish!$D:$D,MATCH(L70,Fish!$L:$L,0)),"")</f>
        <v>11004</v>
      </c>
      <c r="N70" s="41">
        <v>0</v>
      </c>
      <c r="O70" s="41">
        <v>3</v>
      </c>
      <c r="P70" s="41">
        <v>13</v>
      </c>
      <c r="Q70" s="41">
        <v>15</v>
      </c>
    </row>
    <row r="71" spans="1:35">
      <c r="A71" s="41">
        <v>44413</v>
      </c>
      <c r="B71" s="41">
        <v>1</v>
      </c>
      <c r="C71" s="41">
        <v>10</v>
      </c>
      <c r="D71" s="41">
        <v>1</v>
      </c>
      <c r="E71" s="41">
        <v>1</v>
      </c>
      <c r="F71" s="41" t="s">
        <v>60</v>
      </c>
      <c r="G71" s="41">
        <f>IF(F71&gt;0,INDEX(Fish!$D:$D,MATCH(F71,Fish!$L:$L,0)),"")</f>
        <v>11002</v>
      </c>
      <c r="H71" s="41">
        <v>0</v>
      </c>
      <c r="I71" s="41">
        <v>4</v>
      </c>
      <c r="J71" s="41">
        <v>13</v>
      </c>
      <c r="K71" s="41">
        <v>15</v>
      </c>
      <c r="L71" s="41" t="s">
        <v>70</v>
      </c>
      <c r="M71" s="41">
        <f>IF(L71&gt;0,INDEX(Fish!$D:$D,MATCH(L71,Fish!$L:$L,0)),"")</f>
        <v>11007</v>
      </c>
      <c r="N71" s="41">
        <v>0</v>
      </c>
      <c r="O71" s="41">
        <v>3</v>
      </c>
      <c r="P71" s="41">
        <v>13</v>
      </c>
      <c r="Q71" s="41">
        <v>15</v>
      </c>
    </row>
    <row r="72" spans="1:35">
      <c r="A72" s="41">
        <v>44413</v>
      </c>
      <c r="B72" s="41">
        <v>2</v>
      </c>
      <c r="C72" s="41">
        <v>0</v>
      </c>
      <c r="D72" s="41">
        <v>2</v>
      </c>
      <c r="E72" s="41">
        <v>1</v>
      </c>
      <c r="F72" s="41" t="s">
        <v>72</v>
      </c>
      <c r="G72" s="41">
        <f>IF(F72&gt;0,INDEX(Fish!$D:$D,MATCH(F72,Fish!$L:$L,0)),"")</f>
        <v>11008</v>
      </c>
      <c r="H72" s="41">
        <v>0</v>
      </c>
      <c r="I72" s="41">
        <v>1</v>
      </c>
      <c r="J72" s="41">
        <v>5</v>
      </c>
      <c r="K72" s="41">
        <v>6</v>
      </c>
      <c r="L72" s="41" t="s">
        <v>80</v>
      </c>
      <c r="M72" s="41">
        <f>IF(L72&gt;0,INDEX(Fish!$D:$D,MATCH(L72,Fish!$L:$L,0)),"")</f>
        <v>11011</v>
      </c>
      <c r="N72" s="41">
        <v>0</v>
      </c>
      <c r="O72" s="41">
        <v>1</v>
      </c>
      <c r="P72" s="41">
        <v>3</v>
      </c>
      <c r="Q72" s="41">
        <v>4</v>
      </c>
      <c r="R72" s="41" t="s">
        <v>92</v>
      </c>
      <c r="S72" s="41">
        <f>IF(R72&gt;0,INDEX(Fish!$D:$D,MATCH(R72,Fish!$L:$L,0)),"")</f>
        <v>11017</v>
      </c>
      <c r="T72" s="41">
        <v>0</v>
      </c>
      <c r="U72" s="41">
        <v>1</v>
      </c>
      <c r="V72" s="41">
        <v>3</v>
      </c>
      <c r="W72" s="41">
        <v>3</v>
      </c>
      <c r="X72" s="41" t="s">
        <v>88</v>
      </c>
      <c r="Y72" s="41">
        <f>IF(X72&gt;0,INDEX(Fish!$D:$D,MATCH(X72,Fish!$L:$L,0)),"")</f>
        <v>11015</v>
      </c>
      <c r="Z72" s="41">
        <v>0</v>
      </c>
      <c r="AA72" s="41">
        <v>1</v>
      </c>
      <c r="AB72" s="41">
        <v>2</v>
      </c>
      <c r="AC72" s="41">
        <v>3</v>
      </c>
      <c r="AD72" s="41" t="s">
        <v>84</v>
      </c>
      <c r="AE72" s="41">
        <f>IF(AD72&gt;0,INDEX(Fish!$D:$D,MATCH(AD72,Fish!$L:$L,0)),"")</f>
        <v>11013</v>
      </c>
      <c r="AF72" s="41">
        <v>0</v>
      </c>
      <c r="AG72" s="41">
        <v>1</v>
      </c>
      <c r="AH72" s="41">
        <v>1</v>
      </c>
      <c r="AI72" s="41">
        <v>2</v>
      </c>
    </row>
    <row r="73" spans="1:35">
      <c r="A73" s="41">
        <v>44413</v>
      </c>
      <c r="B73" s="41">
        <v>2</v>
      </c>
      <c r="C73" s="41">
        <v>0</v>
      </c>
      <c r="D73" s="41">
        <v>2</v>
      </c>
      <c r="E73" s="41">
        <v>1</v>
      </c>
      <c r="F73" s="41" t="s">
        <v>72</v>
      </c>
      <c r="G73" s="41">
        <f>IF(F73&gt;0,INDEX(Fish!$D:$D,MATCH(F73,Fish!$L:$L,0)),"")</f>
        <v>11008</v>
      </c>
      <c r="H73" s="41">
        <v>0</v>
      </c>
      <c r="I73" s="41">
        <v>1</v>
      </c>
      <c r="J73" s="41">
        <v>5</v>
      </c>
      <c r="K73" s="41">
        <v>6</v>
      </c>
      <c r="L73" s="41" t="s">
        <v>80</v>
      </c>
      <c r="M73" s="41">
        <f>IF(L73&gt;0,INDEX(Fish!$D:$D,MATCH(L73,Fish!$L:$L,0)),"")</f>
        <v>11011</v>
      </c>
      <c r="N73" s="41">
        <v>0</v>
      </c>
      <c r="O73" s="41">
        <v>1</v>
      </c>
      <c r="P73" s="41">
        <v>3</v>
      </c>
      <c r="Q73" s="41">
        <v>4</v>
      </c>
      <c r="R73" s="41" t="s">
        <v>92</v>
      </c>
      <c r="S73" s="41">
        <f>IF(R73&gt;0,INDEX(Fish!$D:$D,MATCH(R73,Fish!$L:$L,0)),"")</f>
        <v>11017</v>
      </c>
      <c r="T73" s="41">
        <v>0</v>
      </c>
      <c r="U73" s="41">
        <v>1</v>
      </c>
      <c r="V73" s="41">
        <v>3</v>
      </c>
      <c r="W73" s="41">
        <v>3</v>
      </c>
      <c r="X73" s="41" t="s">
        <v>88</v>
      </c>
      <c r="Y73" s="41">
        <f>IF(X73&gt;0,INDEX(Fish!$D:$D,MATCH(X73,Fish!$L:$L,0)),"")</f>
        <v>11015</v>
      </c>
      <c r="Z73" s="41">
        <v>0</v>
      </c>
      <c r="AA73" s="41">
        <v>1</v>
      </c>
      <c r="AB73" s="41">
        <v>2</v>
      </c>
      <c r="AC73" s="41">
        <v>3</v>
      </c>
      <c r="AD73" s="41" t="s">
        <v>90</v>
      </c>
      <c r="AE73" s="41">
        <f>IF(AD73&gt;0,INDEX(Fish!$D:$D,MATCH(AD73,Fish!$L:$L,0)),"")</f>
        <v>11016</v>
      </c>
      <c r="AF73" s="41">
        <v>0</v>
      </c>
      <c r="AG73" s="41">
        <v>1</v>
      </c>
      <c r="AH73" s="41">
        <v>1</v>
      </c>
      <c r="AI73" s="41">
        <v>2</v>
      </c>
    </row>
    <row r="74" spans="1:35">
      <c r="A74" s="41">
        <v>44413</v>
      </c>
      <c r="B74" s="41">
        <v>2</v>
      </c>
      <c r="C74" s="41">
        <v>0</v>
      </c>
      <c r="D74" s="41">
        <v>2</v>
      </c>
      <c r="E74" s="41">
        <v>1</v>
      </c>
      <c r="F74" s="41" t="s">
        <v>72</v>
      </c>
      <c r="G74" s="41">
        <f>IF(F74&gt;0,INDEX(Fish!$D:$D,MATCH(F74,Fish!$L:$L,0)),"")</f>
        <v>11008</v>
      </c>
      <c r="H74" s="41">
        <v>0</v>
      </c>
      <c r="I74" s="41">
        <v>1</v>
      </c>
      <c r="J74" s="41">
        <v>5</v>
      </c>
      <c r="K74" s="41">
        <v>6</v>
      </c>
      <c r="L74" s="41" t="s">
        <v>80</v>
      </c>
      <c r="M74" s="41">
        <f>IF(L74&gt;0,INDEX(Fish!$D:$D,MATCH(L74,Fish!$L:$L,0)),"")</f>
        <v>11011</v>
      </c>
      <c r="N74" s="41">
        <v>0</v>
      </c>
      <c r="O74" s="41">
        <v>1</v>
      </c>
      <c r="P74" s="41">
        <v>3</v>
      </c>
      <c r="Q74" s="41">
        <v>4</v>
      </c>
      <c r="R74" s="41" t="s">
        <v>92</v>
      </c>
      <c r="S74" s="41">
        <f>IF(R74&gt;0,INDEX(Fish!$D:$D,MATCH(R74,Fish!$L:$L,0)),"")</f>
        <v>11017</v>
      </c>
      <c r="T74" s="41">
        <v>0</v>
      </c>
      <c r="U74" s="41">
        <v>1</v>
      </c>
      <c r="V74" s="41">
        <v>3</v>
      </c>
      <c r="W74" s="41">
        <v>3</v>
      </c>
      <c r="X74" s="41" t="s">
        <v>94</v>
      </c>
      <c r="Y74" s="41">
        <f>IF(X74&gt;0,INDEX(Fish!$D:$D,MATCH(X74,Fish!$L:$L,0)),"")</f>
        <v>11020</v>
      </c>
      <c r="Z74" s="41">
        <v>0</v>
      </c>
      <c r="AA74" s="41">
        <v>1</v>
      </c>
      <c r="AB74" s="41">
        <v>2</v>
      </c>
      <c r="AC74" s="41">
        <v>3</v>
      </c>
      <c r="AD74" s="41" t="s">
        <v>84</v>
      </c>
      <c r="AE74" s="41">
        <f>IF(AD74&gt;0,INDEX(Fish!$D:$D,MATCH(AD74,Fish!$L:$L,0)),"")</f>
        <v>11013</v>
      </c>
      <c r="AF74" s="41">
        <v>0</v>
      </c>
      <c r="AG74" s="41">
        <v>1</v>
      </c>
      <c r="AH74" s="41">
        <v>1</v>
      </c>
      <c r="AI74" s="41">
        <v>2</v>
      </c>
    </row>
    <row r="75" spans="1:35">
      <c r="A75" s="41">
        <v>44413</v>
      </c>
      <c r="B75" s="41">
        <v>2</v>
      </c>
      <c r="C75" s="41">
        <v>0</v>
      </c>
      <c r="D75" s="41">
        <v>2</v>
      </c>
      <c r="E75" s="41">
        <v>1</v>
      </c>
      <c r="F75" s="41" t="s">
        <v>72</v>
      </c>
      <c r="G75" s="41">
        <f>IF(F75&gt;0,INDEX(Fish!$D:$D,MATCH(F75,Fish!$L:$L,0)),"")</f>
        <v>11008</v>
      </c>
      <c r="H75" s="41">
        <v>0</v>
      </c>
      <c r="I75" s="41">
        <v>1</v>
      </c>
      <c r="J75" s="41">
        <v>5</v>
      </c>
      <c r="K75" s="41">
        <v>6</v>
      </c>
      <c r="L75" s="41" t="s">
        <v>80</v>
      </c>
      <c r="M75" s="41">
        <f>IF(L75&gt;0,INDEX(Fish!$D:$D,MATCH(L75,Fish!$L:$L,0)),"")</f>
        <v>11011</v>
      </c>
      <c r="N75" s="41">
        <v>0</v>
      </c>
      <c r="O75" s="41">
        <v>1</v>
      </c>
      <c r="P75" s="41">
        <v>3</v>
      </c>
      <c r="Q75" s="41">
        <v>4</v>
      </c>
      <c r="R75" s="41" t="s">
        <v>92</v>
      </c>
      <c r="S75" s="41">
        <f>IF(R75&gt;0,INDEX(Fish!$D:$D,MATCH(R75,Fish!$L:$L,0)),"")</f>
        <v>11017</v>
      </c>
      <c r="T75" s="41">
        <v>0</v>
      </c>
      <c r="U75" s="41">
        <v>1</v>
      </c>
      <c r="V75" s="41">
        <v>3</v>
      </c>
      <c r="W75" s="41">
        <v>3</v>
      </c>
      <c r="X75" s="41" t="s">
        <v>94</v>
      </c>
      <c r="Y75" s="41">
        <f>IF(X75&gt;0,INDEX(Fish!$D:$D,MATCH(X75,Fish!$L:$L,0)),"")</f>
        <v>11020</v>
      </c>
      <c r="Z75" s="41">
        <v>0</v>
      </c>
      <c r="AA75" s="41">
        <v>1</v>
      </c>
      <c r="AB75" s="41">
        <v>2</v>
      </c>
      <c r="AC75" s="41">
        <v>3</v>
      </c>
      <c r="AD75" s="41" t="s">
        <v>90</v>
      </c>
      <c r="AE75" s="41">
        <f>IF(AD75&gt;0,INDEX(Fish!$D:$D,MATCH(AD75,Fish!$L:$L,0)),"")</f>
        <v>11016</v>
      </c>
      <c r="AF75" s="41">
        <v>0</v>
      </c>
      <c r="AG75" s="41">
        <v>1</v>
      </c>
      <c r="AH75" s="41">
        <v>1</v>
      </c>
      <c r="AI75" s="41">
        <v>2</v>
      </c>
    </row>
    <row r="76" spans="1:35">
      <c r="A76" s="41">
        <v>44413</v>
      </c>
      <c r="B76" s="41">
        <v>2</v>
      </c>
      <c r="C76" s="41">
        <v>0</v>
      </c>
      <c r="D76" s="41">
        <v>2</v>
      </c>
      <c r="E76" s="41">
        <v>1</v>
      </c>
      <c r="F76" s="41" t="s">
        <v>72</v>
      </c>
      <c r="G76" s="41">
        <f>IF(F76&gt;0,INDEX(Fish!$D:$D,MATCH(F76,Fish!$L:$L,0)),"")</f>
        <v>11008</v>
      </c>
      <c r="H76" s="41">
        <v>0</v>
      </c>
      <c r="I76" s="41">
        <v>1</v>
      </c>
      <c r="J76" s="41">
        <v>5</v>
      </c>
      <c r="K76" s="41">
        <v>6</v>
      </c>
      <c r="L76" s="41" t="s">
        <v>80</v>
      </c>
      <c r="M76" s="41">
        <f>IF(L76&gt;0,INDEX(Fish!$D:$D,MATCH(L76,Fish!$L:$L,0)),"")</f>
        <v>11011</v>
      </c>
      <c r="N76" s="41">
        <v>0</v>
      </c>
      <c r="O76" s="41">
        <v>1</v>
      </c>
      <c r="P76" s="41">
        <v>3</v>
      </c>
      <c r="Q76" s="41">
        <v>4</v>
      </c>
      <c r="R76" s="41" t="s">
        <v>82</v>
      </c>
      <c r="S76" s="41">
        <f>IF(R76&gt;0,INDEX(Fish!$D:$D,MATCH(R76,Fish!$L:$L,0)),"")</f>
        <v>11012</v>
      </c>
      <c r="T76" s="41">
        <v>0</v>
      </c>
      <c r="U76" s="41">
        <v>1</v>
      </c>
      <c r="V76" s="41">
        <v>3</v>
      </c>
      <c r="W76" s="41">
        <v>3</v>
      </c>
      <c r="X76" s="41" t="s">
        <v>88</v>
      </c>
      <c r="Y76" s="41">
        <f>IF(X76&gt;0,INDEX(Fish!$D:$D,MATCH(X76,Fish!$L:$L,0)),"")</f>
        <v>11015</v>
      </c>
      <c r="Z76" s="41">
        <v>0</v>
      </c>
      <c r="AA76" s="41">
        <v>1</v>
      </c>
      <c r="AB76" s="41">
        <v>2</v>
      </c>
      <c r="AC76" s="41">
        <v>3</v>
      </c>
      <c r="AD76" s="41" t="s">
        <v>84</v>
      </c>
      <c r="AE76" s="41">
        <f>IF(AD76&gt;0,INDEX(Fish!$D:$D,MATCH(AD76,Fish!$L:$L,0)),"")</f>
        <v>11013</v>
      </c>
      <c r="AF76" s="41">
        <v>0</v>
      </c>
      <c r="AG76" s="41">
        <v>1</v>
      </c>
      <c r="AH76" s="41">
        <v>1</v>
      </c>
      <c r="AI76" s="41">
        <v>2</v>
      </c>
    </row>
    <row r="77" spans="1:35">
      <c r="A77" s="41">
        <v>44413</v>
      </c>
      <c r="B77" s="41">
        <v>2</v>
      </c>
      <c r="C77" s="41">
        <v>0</v>
      </c>
      <c r="D77" s="41">
        <v>2</v>
      </c>
      <c r="E77" s="41">
        <v>1</v>
      </c>
      <c r="F77" s="41" t="s">
        <v>72</v>
      </c>
      <c r="G77" s="41">
        <f>IF(F77&gt;0,INDEX(Fish!$D:$D,MATCH(F77,Fish!$L:$L,0)),"")</f>
        <v>11008</v>
      </c>
      <c r="H77" s="41">
        <v>0</v>
      </c>
      <c r="I77" s="41">
        <v>1</v>
      </c>
      <c r="J77" s="41">
        <v>5</v>
      </c>
      <c r="K77" s="41">
        <v>6</v>
      </c>
      <c r="L77" s="41" t="s">
        <v>80</v>
      </c>
      <c r="M77" s="41">
        <f>IF(L77&gt;0,INDEX(Fish!$D:$D,MATCH(L77,Fish!$L:$L,0)),"")</f>
        <v>11011</v>
      </c>
      <c r="N77" s="41">
        <v>0</v>
      </c>
      <c r="O77" s="41">
        <v>1</v>
      </c>
      <c r="P77" s="41">
        <v>3</v>
      </c>
      <c r="Q77" s="41">
        <v>4</v>
      </c>
      <c r="R77" s="41" t="s">
        <v>82</v>
      </c>
      <c r="S77" s="41">
        <f>IF(R77&gt;0,INDEX(Fish!$D:$D,MATCH(R77,Fish!$L:$L,0)),"")</f>
        <v>11012</v>
      </c>
      <c r="T77" s="41">
        <v>0</v>
      </c>
      <c r="U77" s="41">
        <v>1</v>
      </c>
      <c r="V77" s="41">
        <v>3</v>
      </c>
      <c r="W77" s="41">
        <v>3</v>
      </c>
      <c r="X77" s="41" t="s">
        <v>88</v>
      </c>
      <c r="Y77" s="41">
        <f>IF(X77&gt;0,INDEX(Fish!$D:$D,MATCH(X77,Fish!$L:$L,0)),"")</f>
        <v>11015</v>
      </c>
      <c r="Z77" s="41">
        <v>0</v>
      </c>
      <c r="AA77" s="41">
        <v>1</v>
      </c>
      <c r="AB77" s="41">
        <v>2</v>
      </c>
      <c r="AC77" s="41">
        <v>3</v>
      </c>
      <c r="AD77" s="41" t="s">
        <v>90</v>
      </c>
      <c r="AE77" s="41">
        <f>IF(AD77&gt;0,INDEX(Fish!$D:$D,MATCH(AD77,Fish!$L:$L,0)),"")</f>
        <v>11016</v>
      </c>
      <c r="AF77" s="41">
        <v>0</v>
      </c>
      <c r="AG77" s="41">
        <v>1</v>
      </c>
      <c r="AH77" s="41">
        <v>1</v>
      </c>
      <c r="AI77" s="41">
        <v>2</v>
      </c>
    </row>
    <row r="78" spans="1:35">
      <c r="A78" s="41">
        <v>44413</v>
      </c>
      <c r="B78" s="41">
        <v>2</v>
      </c>
      <c r="C78" s="41">
        <v>0</v>
      </c>
      <c r="D78" s="41">
        <v>2</v>
      </c>
      <c r="E78" s="41">
        <v>1</v>
      </c>
      <c r="F78" s="41" t="s">
        <v>72</v>
      </c>
      <c r="G78" s="41">
        <f>IF(F78&gt;0,INDEX(Fish!$D:$D,MATCH(F78,Fish!$L:$L,0)),"")</f>
        <v>11008</v>
      </c>
      <c r="H78" s="41">
        <v>0</v>
      </c>
      <c r="I78" s="41">
        <v>1</v>
      </c>
      <c r="J78" s="41">
        <v>5</v>
      </c>
      <c r="K78" s="41">
        <v>6</v>
      </c>
      <c r="L78" s="41" t="s">
        <v>80</v>
      </c>
      <c r="M78" s="41">
        <f>IF(L78&gt;0,INDEX(Fish!$D:$D,MATCH(L78,Fish!$L:$L,0)),"")</f>
        <v>11011</v>
      </c>
      <c r="N78" s="41">
        <v>0</v>
      </c>
      <c r="O78" s="41">
        <v>1</v>
      </c>
      <c r="P78" s="41">
        <v>3</v>
      </c>
      <c r="Q78" s="41">
        <v>4</v>
      </c>
      <c r="R78" s="41" t="s">
        <v>82</v>
      </c>
      <c r="S78" s="41">
        <f>IF(R78&gt;0,INDEX(Fish!$D:$D,MATCH(R78,Fish!$L:$L,0)),"")</f>
        <v>11012</v>
      </c>
      <c r="T78" s="41">
        <v>0</v>
      </c>
      <c r="U78" s="41">
        <v>1</v>
      </c>
      <c r="V78" s="41">
        <v>3</v>
      </c>
      <c r="W78" s="41">
        <v>3</v>
      </c>
      <c r="X78" s="41" t="s">
        <v>94</v>
      </c>
      <c r="Y78" s="41">
        <f>IF(X78&gt;0,INDEX(Fish!$D:$D,MATCH(X78,Fish!$L:$L,0)),"")</f>
        <v>11020</v>
      </c>
      <c r="Z78" s="41">
        <v>0</v>
      </c>
      <c r="AA78" s="41">
        <v>1</v>
      </c>
      <c r="AB78" s="41">
        <v>2</v>
      </c>
      <c r="AC78" s="41">
        <v>3</v>
      </c>
      <c r="AD78" s="41" t="s">
        <v>84</v>
      </c>
      <c r="AE78" s="41">
        <f>IF(AD78&gt;0,INDEX(Fish!$D:$D,MATCH(AD78,Fish!$L:$L,0)),"")</f>
        <v>11013</v>
      </c>
      <c r="AF78" s="41">
        <v>0</v>
      </c>
      <c r="AG78" s="41">
        <v>1</v>
      </c>
      <c r="AH78" s="41">
        <v>1</v>
      </c>
      <c r="AI78" s="41">
        <v>2</v>
      </c>
    </row>
    <row r="79" spans="1:35">
      <c r="A79" s="41">
        <v>44413</v>
      </c>
      <c r="B79" s="41">
        <v>2</v>
      </c>
      <c r="C79" s="41">
        <v>0</v>
      </c>
      <c r="D79" s="41">
        <v>2</v>
      </c>
      <c r="E79" s="41">
        <v>1</v>
      </c>
      <c r="F79" s="41" t="s">
        <v>72</v>
      </c>
      <c r="G79" s="41">
        <f>IF(F79&gt;0,INDEX(Fish!$D:$D,MATCH(F79,Fish!$L:$L,0)),"")</f>
        <v>11008</v>
      </c>
      <c r="H79" s="41">
        <v>0</v>
      </c>
      <c r="I79" s="41">
        <v>1</v>
      </c>
      <c r="J79" s="41">
        <v>5</v>
      </c>
      <c r="K79" s="41">
        <v>6</v>
      </c>
      <c r="L79" s="41" t="s">
        <v>80</v>
      </c>
      <c r="M79" s="41">
        <f>IF(L79&gt;0,INDEX(Fish!$D:$D,MATCH(L79,Fish!$L:$L,0)),"")</f>
        <v>11011</v>
      </c>
      <c r="N79" s="41">
        <v>0</v>
      </c>
      <c r="O79" s="41">
        <v>1</v>
      </c>
      <c r="P79" s="41">
        <v>3</v>
      </c>
      <c r="Q79" s="41">
        <v>4</v>
      </c>
      <c r="R79" s="41" t="s">
        <v>82</v>
      </c>
      <c r="S79" s="41">
        <f>IF(R79&gt;0,INDEX(Fish!$D:$D,MATCH(R79,Fish!$L:$L,0)),"")</f>
        <v>11012</v>
      </c>
      <c r="T79" s="41">
        <v>0</v>
      </c>
      <c r="U79" s="41">
        <v>1</v>
      </c>
      <c r="V79" s="41">
        <v>3</v>
      </c>
      <c r="W79" s="41">
        <v>3</v>
      </c>
      <c r="X79" s="41" t="s">
        <v>94</v>
      </c>
      <c r="Y79" s="41">
        <f>IF(X79&gt;0,INDEX(Fish!$D:$D,MATCH(X79,Fish!$L:$L,0)),"")</f>
        <v>11020</v>
      </c>
      <c r="Z79" s="41">
        <v>0</v>
      </c>
      <c r="AA79" s="41">
        <v>1</v>
      </c>
      <c r="AB79" s="41">
        <v>2</v>
      </c>
      <c r="AC79" s="41">
        <v>3</v>
      </c>
      <c r="AD79" s="41" t="s">
        <v>90</v>
      </c>
      <c r="AE79" s="41">
        <f>IF(AD79&gt;0,INDEX(Fish!$D:$D,MATCH(AD79,Fish!$L:$L,0)),"")</f>
        <v>11016</v>
      </c>
      <c r="AF79" s="41">
        <v>0</v>
      </c>
      <c r="AG79" s="41">
        <v>1</v>
      </c>
      <c r="AH79" s="41">
        <v>1</v>
      </c>
      <c r="AI79" s="41">
        <v>2</v>
      </c>
    </row>
    <row r="80" spans="1:35">
      <c r="A80" s="41">
        <v>44413</v>
      </c>
      <c r="B80" s="41">
        <v>2</v>
      </c>
      <c r="C80" s="41">
        <v>0</v>
      </c>
      <c r="D80" s="41">
        <v>2</v>
      </c>
      <c r="E80" s="41">
        <v>1</v>
      </c>
      <c r="F80" s="41" t="s">
        <v>72</v>
      </c>
      <c r="G80" s="41">
        <f>IF(F80&gt;0,INDEX(Fish!$D:$D,MATCH(F80,Fish!$L:$L,0)),"")</f>
        <v>11008</v>
      </c>
      <c r="H80" s="41">
        <v>0</v>
      </c>
      <c r="I80" s="41">
        <v>1</v>
      </c>
      <c r="J80" s="41">
        <v>5</v>
      </c>
      <c r="K80" s="41">
        <v>6</v>
      </c>
      <c r="L80" s="41" t="s">
        <v>78</v>
      </c>
      <c r="M80" s="41">
        <f>IF(L80&gt;0,INDEX(Fish!$D:$D,MATCH(L80,Fish!$L:$L,0)),"")</f>
        <v>11010</v>
      </c>
      <c r="N80" s="41">
        <v>0</v>
      </c>
      <c r="O80" s="41">
        <v>1</v>
      </c>
      <c r="P80" s="41">
        <v>3</v>
      </c>
      <c r="Q80" s="41">
        <v>4</v>
      </c>
      <c r="R80" s="41" t="s">
        <v>92</v>
      </c>
      <c r="S80" s="41">
        <f>IF(R80&gt;0,INDEX(Fish!$D:$D,MATCH(R80,Fish!$L:$L,0)),"")</f>
        <v>11017</v>
      </c>
      <c r="T80" s="41">
        <v>0</v>
      </c>
      <c r="U80" s="41">
        <v>1</v>
      </c>
      <c r="V80" s="41">
        <v>3</v>
      </c>
      <c r="W80" s="41">
        <v>3</v>
      </c>
      <c r="X80" s="41" t="s">
        <v>88</v>
      </c>
      <c r="Y80" s="41">
        <f>IF(X80&gt;0,INDEX(Fish!$D:$D,MATCH(X80,Fish!$L:$L,0)),"")</f>
        <v>11015</v>
      </c>
      <c r="Z80" s="41">
        <v>0</v>
      </c>
      <c r="AA80" s="41">
        <v>1</v>
      </c>
      <c r="AB80" s="41">
        <v>2</v>
      </c>
      <c r="AC80" s="41">
        <v>3</v>
      </c>
      <c r="AD80" s="41" t="s">
        <v>84</v>
      </c>
      <c r="AE80" s="41">
        <f>IF(AD80&gt;0,INDEX(Fish!$D:$D,MATCH(AD80,Fish!$L:$L,0)),"")</f>
        <v>11013</v>
      </c>
      <c r="AF80" s="41">
        <v>0</v>
      </c>
      <c r="AG80" s="41">
        <v>1</v>
      </c>
      <c r="AH80" s="41">
        <v>1</v>
      </c>
      <c r="AI80" s="41">
        <v>2</v>
      </c>
    </row>
    <row r="81" spans="1:35">
      <c r="A81" s="41">
        <v>44413</v>
      </c>
      <c r="B81" s="41">
        <v>2</v>
      </c>
      <c r="C81" s="41">
        <v>0</v>
      </c>
      <c r="D81" s="41">
        <v>2</v>
      </c>
      <c r="E81" s="41">
        <v>1</v>
      </c>
      <c r="F81" s="41" t="s">
        <v>72</v>
      </c>
      <c r="G81" s="41">
        <f>IF(F81&gt;0,INDEX(Fish!$D:$D,MATCH(F81,Fish!$L:$L,0)),"")</f>
        <v>11008</v>
      </c>
      <c r="H81" s="41">
        <v>0</v>
      </c>
      <c r="I81" s="41">
        <v>1</v>
      </c>
      <c r="J81" s="41">
        <v>5</v>
      </c>
      <c r="K81" s="41">
        <v>6</v>
      </c>
      <c r="L81" s="41" t="s">
        <v>78</v>
      </c>
      <c r="M81" s="41">
        <f>IF(L81&gt;0,INDEX(Fish!$D:$D,MATCH(L81,Fish!$L:$L,0)),"")</f>
        <v>11010</v>
      </c>
      <c r="N81" s="41">
        <v>0</v>
      </c>
      <c r="O81" s="41">
        <v>1</v>
      </c>
      <c r="P81" s="41">
        <v>3</v>
      </c>
      <c r="Q81" s="41">
        <v>4</v>
      </c>
      <c r="R81" s="41" t="s">
        <v>92</v>
      </c>
      <c r="S81" s="41">
        <f>IF(R81&gt;0,INDEX(Fish!$D:$D,MATCH(R81,Fish!$L:$L,0)),"")</f>
        <v>11017</v>
      </c>
      <c r="T81" s="41">
        <v>0</v>
      </c>
      <c r="U81" s="41">
        <v>1</v>
      </c>
      <c r="V81" s="41">
        <v>3</v>
      </c>
      <c r="W81" s="41">
        <v>3</v>
      </c>
      <c r="X81" s="41" t="s">
        <v>88</v>
      </c>
      <c r="Y81" s="41">
        <f>IF(X81&gt;0,INDEX(Fish!$D:$D,MATCH(X81,Fish!$L:$L,0)),"")</f>
        <v>11015</v>
      </c>
      <c r="Z81" s="41">
        <v>0</v>
      </c>
      <c r="AA81" s="41">
        <v>1</v>
      </c>
      <c r="AB81" s="41">
        <v>2</v>
      </c>
      <c r="AC81" s="41">
        <v>3</v>
      </c>
      <c r="AD81" s="41" t="s">
        <v>90</v>
      </c>
      <c r="AE81" s="41">
        <f>IF(AD81&gt;0,INDEX(Fish!$D:$D,MATCH(AD81,Fish!$L:$L,0)),"")</f>
        <v>11016</v>
      </c>
      <c r="AF81" s="41">
        <v>0</v>
      </c>
      <c r="AG81" s="41">
        <v>1</v>
      </c>
      <c r="AH81" s="41">
        <v>1</v>
      </c>
      <c r="AI81" s="41">
        <v>2</v>
      </c>
    </row>
    <row r="82" spans="1:35">
      <c r="A82" s="41">
        <v>44413</v>
      </c>
      <c r="B82" s="41">
        <v>2</v>
      </c>
      <c r="C82" s="41">
        <v>0</v>
      </c>
      <c r="D82" s="41">
        <v>2</v>
      </c>
      <c r="E82" s="41">
        <v>1</v>
      </c>
      <c r="F82" s="41" t="s">
        <v>72</v>
      </c>
      <c r="G82" s="41">
        <f>IF(F82&gt;0,INDEX(Fish!$D:$D,MATCH(F82,Fish!$L:$L,0)),"")</f>
        <v>11008</v>
      </c>
      <c r="H82" s="41">
        <v>0</v>
      </c>
      <c r="I82" s="41">
        <v>1</v>
      </c>
      <c r="J82" s="41">
        <v>5</v>
      </c>
      <c r="K82" s="41">
        <v>6</v>
      </c>
      <c r="L82" s="41" t="s">
        <v>78</v>
      </c>
      <c r="M82" s="41">
        <f>IF(L82&gt;0,INDEX(Fish!$D:$D,MATCH(L82,Fish!$L:$L,0)),"")</f>
        <v>11010</v>
      </c>
      <c r="N82" s="41">
        <v>0</v>
      </c>
      <c r="O82" s="41">
        <v>1</v>
      </c>
      <c r="P82" s="41">
        <v>3</v>
      </c>
      <c r="Q82" s="41">
        <v>4</v>
      </c>
      <c r="R82" s="41" t="s">
        <v>92</v>
      </c>
      <c r="S82" s="41">
        <f>IF(R82&gt;0,INDEX(Fish!$D:$D,MATCH(R82,Fish!$L:$L,0)),"")</f>
        <v>11017</v>
      </c>
      <c r="T82" s="41">
        <v>0</v>
      </c>
      <c r="U82" s="41">
        <v>1</v>
      </c>
      <c r="V82" s="41">
        <v>3</v>
      </c>
      <c r="W82" s="41">
        <v>3</v>
      </c>
      <c r="X82" s="41" t="s">
        <v>94</v>
      </c>
      <c r="Y82" s="41">
        <f>IF(X82&gt;0,INDEX(Fish!$D:$D,MATCH(X82,Fish!$L:$L,0)),"")</f>
        <v>11020</v>
      </c>
      <c r="Z82" s="41">
        <v>0</v>
      </c>
      <c r="AA82" s="41">
        <v>1</v>
      </c>
      <c r="AB82" s="41">
        <v>2</v>
      </c>
      <c r="AC82" s="41">
        <v>3</v>
      </c>
      <c r="AD82" s="41" t="s">
        <v>84</v>
      </c>
      <c r="AE82" s="41">
        <f>IF(AD82&gt;0,INDEX(Fish!$D:$D,MATCH(AD82,Fish!$L:$L,0)),"")</f>
        <v>11013</v>
      </c>
      <c r="AF82" s="41">
        <v>0</v>
      </c>
      <c r="AG82" s="41">
        <v>1</v>
      </c>
      <c r="AH82" s="41">
        <v>1</v>
      </c>
      <c r="AI82" s="41">
        <v>2</v>
      </c>
    </row>
    <row r="83" spans="1:35">
      <c r="A83" s="41">
        <v>44413</v>
      </c>
      <c r="B83" s="41">
        <v>2</v>
      </c>
      <c r="C83" s="41">
        <v>0</v>
      </c>
      <c r="D83" s="41">
        <v>2</v>
      </c>
      <c r="E83" s="41">
        <v>1</v>
      </c>
      <c r="F83" s="41" t="s">
        <v>72</v>
      </c>
      <c r="G83" s="41">
        <f>IF(F83&gt;0,INDEX(Fish!$D:$D,MATCH(F83,Fish!$L:$L,0)),"")</f>
        <v>11008</v>
      </c>
      <c r="H83" s="41">
        <v>0</v>
      </c>
      <c r="I83" s="41">
        <v>1</v>
      </c>
      <c r="J83" s="41">
        <v>5</v>
      </c>
      <c r="K83" s="41">
        <v>6</v>
      </c>
      <c r="L83" s="41" t="s">
        <v>78</v>
      </c>
      <c r="M83" s="41">
        <f>IF(L83&gt;0,INDEX(Fish!$D:$D,MATCH(L83,Fish!$L:$L,0)),"")</f>
        <v>11010</v>
      </c>
      <c r="N83" s="41">
        <v>0</v>
      </c>
      <c r="O83" s="41">
        <v>1</v>
      </c>
      <c r="P83" s="41">
        <v>3</v>
      </c>
      <c r="Q83" s="41">
        <v>4</v>
      </c>
      <c r="R83" s="41" t="s">
        <v>92</v>
      </c>
      <c r="S83" s="41">
        <f>IF(R83&gt;0,INDEX(Fish!$D:$D,MATCH(R83,Fish!$L:$L,0)),"")</f>
        <v>11017</v>
      </c>
      <c r="T83" s="41">
        <v>0</v>
      </c>
      <c r="U83" s="41">
        <v>1</v>
      </c>
      <c r="V83" s="41">
        <v>3</v>
      </c>
      <c r="W83" s="41">
        <v>3</v>
      </c>
      <c r="X83" s="41" t="s">
        <v>94</v>
      </c>
      <c r="Y83" s="41">
        <f>IF(X83&gt;0,INDEX(Fish!$D:$D,MATCH(X83,Fish!$L:$L,0)),"")</f>
        <v>11020</v>
      </c>
      <c r="Z83" s="41">
        <v>0</v>
      </c>
      <c r="AA83" s="41">
        <v>1</v>
      </c>
      <c r="AB83" s="41">
        <v>2</v>
      </c>
      <c r="AC83" s="41">
        <v>3</v>
      </c>
      <c r="AD83" s="41" t="s">
        <v>90</v>
      </c>
      <c r="AE83" s="41">
        <f>IF(AD83&gt;0,INDEX(Fish!$D:$D,MATCH(AD83,Fish!$L:$L,0)),"")</f>
        <v>11016</v>
      </c>
      <c r="AF83" s="41">
        <v>0</v>
      </c>
      <c r="AG83" s="41">
        <v>1</v>
      </c>
      <c r="AH83" s="41">
        <v>1</v>
      </c>
      <c r="AI83" s="41">
        <v>2</v>
      </c>
    </row>
    <row r="84" spans="1:35">
      <c r="A84" s="41">
        <v>44413</v>
      </c>
      <c r="B84" s="41">
        <v>2</v>
      </c>
      <c r="C84" s="41">
        <v>0</v>
      </c>
      <c r="D84" s="41">
        <v>2</v>
      </c>
      <c r="E84" s="41">
        <v>1</v>
      </c>
      <c r="F84" s="41" t="s">
        <v>72</v>
      </c>
      <c r="G84" s="41">
        <f>IF(F84&gt;0,INDEX(Fish!$D:$D,MATCH(F84,Fish!$L:$L,0)),"")</f>
        <v>11008</v>
      </c>
      <c r="H84" s="41">
        <v>0</v>
      </c>
      <c r="I84" s="41">
        <v>1</v>
      </c>
      <c r="J84" s="41">
        <v>5</v>
      </c>
      <c r="K84" s="41">
        <v>6</v>
      </c>
      <c r="L84" s="41" t="s">
        <v>78</v>
      </c>
      <c r="M84" s="41">
        <f>IF(L84&gt;0,INDEX(Fish!$D:$D,MATCH(L84,Fish!$L:$L,0)),"")</f>
        <v>11010</v>
      </c>
      <c r="N84" s="41">
        <v>0</v>
      </c>
      <c r="O84" s="41">
        <v>1</v>
      </c>
      <c r="P84" s="41">
        <v>3</v>
      </c>
      <c r="Q84" s="41">
        <v>4</v>
      </c>
      <c r="R84" s="41" t="s">
        <v>82</v>
      </c>
      <c r="S84" s="41">
        <f>IF(R84&gt;0,INDEX(Fish!$D:$D,MATCH(R84,Fish!$L:$L,0)),"")</f>
        <v>11012</v>
      </c>
      <c r="T84" s="41">
        <v>0</v>
      </c>
      <c r="U84" s="41">
        <v>1</v>
      </c>
      <c r="V84" s="41">
        <v>3</v>
      </c>
      <c r="W84" s="41">
        <v>3</v>
      </c>
      <c r="X84" s="41" t="s">
        <v>88</v>
      </c>
      <c r="Y84" s="41">
        <f>IF(X84&gt;0,INDEX(Fish!$D:$D,MATCH(X84,Fish!$L:$L,0)),"")</f>
        <v>11015</v>
      </c>
      <c r="Z84" s="41">
        <v>0</v>
      </c>
      <c r="AA84" s="41">
        <v>1</v>
      </c>
      <c r="AB84" s="41">
        <v>2</v>
      </c>
      <c r="AC84" s="41">
        <v>3</v>
      </c>
      <c r="AD84" s="41" t="s">
        <v>84</v>
      </c>
      <c r="AE84" s="41">
        <f>IF(AD84&gt;0,INDEX(Fish!$D:$D,MATCH(AD84,Fish!$L:$L,0)),"")</f>
        <v>11013</v>
      </c>
      <c r="AF84" s="41">
        <v>0</v>
      </c>
      <c r="AG84" s="41">
        <v>1</v>
      </c>
      <c r="AH84" s="41">
        <v>1</v>
      </c>
      <c r="AI84" s="41">
        <v>2</v>
      </c>
    </row>
    <row r="85" spans="1:35">
      <c r="A85" s="41">
        <v>44413</v>
      </c>
      <c r="B85" s="41">
        <v>2</v>
      </c>
      <c r="C85" s="41">
        <v>0</v>
      </c>
      <c r="D85" s="41">
        <v>2</v>
      </c>
      <c r="E85" s="41">
        <v>1</v>
      </c>
      <c r="F85" s="41" t="s">
        <v>72</v>
      </c>
      <c r="G85" s="41">
        <f>IF(F85&gt;0,INDEX(Fish!$D:$D,MATCH(F85,Fish!$L:$L,0)),"")</f>
        <v>11008</v>
      </c>
      <c r="H85" s="41">
        <v>0</v>
      </c>
      <c r="I85" s="41">
        <v>1</v>
      </c>
      <c r="J85" s="41">
        <v>5</v>
      </c>
      <c r="K85" s="41">
        <v>6</v>
      </c>
      <c r="L85" s="41" t="s">
        <v>78</v>
      </c>
      <c r="M85" s="41">
        <f>IF(L85&gt;0,INDEX(Fish!$D:$D,MATCH(L85,Fish!$L:$L,0)),"")</f>
        <v>11010</v>
      </c>
      <c r="N85" s="41">
        <v>0</v>
      </c>
      <c r="O85" s="41">
        <v>1</v>
      </c>
      <c r="P85" s="41">
        <v>3</v>
      </c>
      <c r="Q85" s="41">
        <v>4</v>
      </c>
      <c r="R85" s="41" t="s">
        <v>82</v>
      </c>
      <c r="S85" s="41">
        <f>IF(R85&gt;0,INDEX(Fish!$D:$D,MATCH(R85,Fish!$L:$L,0)),"")</f>
        <v>11012</v>
      </c>
      <c r="T85" s="41">
        <v>0</v>
      </c>
      <c r="U85" s="41">
        <v>1</v>
      </c>
      <c r="V85" s="41">
        <v>3</v>
      </c>
      <c r="W85" s="41">
        <v>3</v>
      </c>
      <c r="X85" s="41" t="s">
        <v>88</v>
      </c>
      <c r="Y85" s="41">
        <f>IF(X85&gt;0,INDEX(Fish!$D:$D,MATCH(X85,Fish!$L:$L,0)),"")</f>
        <v>11015</v>
      </c>
      <c r="Z85" s="41">
        <v>0</v>
      </c>
      <c r="AA85" s="41">
        <v>1</v>
      </c>
      <c r="AB85" s="41">
        <v>2</v>
      </c>
      <c r="AC85" s="41">
        <v>3</v>
      </c>
      <c r="AD85" s="41" t="s">
        <v>90</v>
      </c>
      <c r="AE85" s="41">
        <f>IF(AD85&gt;0,INDEX(Fish!$D:$D,MATCH(AD85,Fish!$L:$L,0)),"")</f>
        <v>11016</v>
      </c>
      <c r="AF85" s="41">
        <v>0</v>
      </c>
      <c r="AG85" s="41">
        <v>1</v>
      </c>
      <c r="AH85" s="41">
        <v>1</v>
      </c>
      <c r="AI85" s="41">
        <v>2</v>
      </c>
    </row>
    <row r="86" spans="1:35">
      <c r="A86" s="41">
        <v>44413</v>
      </c>
      <c r="B86" s="41">
        <v>2</v>
      </c>
      <c r="C86" s="41">
        <v>0</v>
      </c>
      <c r="D86" s="41">
        <v>2</v>
      </c>
      <c r="E86" s="41">
        <v>1</v>
      </c>
      <c r="F86" s="41" t="s">
        <v>72</v>
      </c>
      <c r="G86" s="41">
        <f>IF(F86&gt;0,INDEX(Fish!$D:$D,MATCH(F86,Fish!$L:$L,0)),"")</f>
        <v>11008</v>
      </c>
      <c r="H86" s="41">
        <v>0</v>
      </c>
      <c r="I86" s="41">
        <v>1</v>
      </c>
      <c r="J86" s="41">
        <v>5</v>
      </c>
      <c r="K86" s="41">
        <v>6</v>
      </c>
      <c r="L86" s="41" t="s">
        <v>78</v>
      </c>
      <c r="M86" s="41">
        <f>IF(L86&gt;0,INDEX(Fish!$D:$D,MATCH(L86,Fish!$L:$L,0)),"")</f>
        <v>11010</v>
      </c>
      <c r="N86" s="41">
        <v>0</v>
      </c>
      <c r="O86" s="41">
        <v>1</v>
      </c>
      <c r="P86" s="41">
        <v>3</v>
      </c>
      <c r="Q86" s="41">
        <v>4</v>
      </c>
      <c r="R86" s="41" t="s">
        <v>82</v>
      </c>
      <c r="S86" s="41">
        <f>IF(R86&gt;0,INDEX(Fish!$D:$D,MATCH(R86,Fish!$L:$L,0)),"")</f>
        <v>11012</v>
      </c>
      <c r="T86" s="41">
        <v>0</v>
      </c>
      <c r="U86" s="41">
        <v>1</v>
      </c>
      <c r="V86" s="41">
        <v>3</v>
      </c>
      <c r="W86" s="41">
        <v>3</v>
      </c>
      <c r="X86" s="41" t="s">
        <v>94</v>
      </c>
      <c r="Y86" s="41">
        <f>IF(X86&gt;0,INDEX(Fish!$D:$D,MATCH(X86,Fish!$L:$L,0)),"")</f>
        <v>11020</v>
      </c>
      <c r="Z86" s="41">
        <v>0</v>
      </c>
      <c r="AA86" s="41">
        <v>1</v>
      </c>
      <c r="AB86" s="41">
        <v>2</v>
      </c>
      <c r="AC86" s="41">
        <v>3</v>
      </c>
      <c r="AD86" s="41" t="s">
        <v>84</v>
      </c>
      <c r="AE86" s="41">
        <f>IF(AD86&gt;0,INDEX(Fish!$D:$D,MATCH(AD86,Fish!$L:$L,0)),"")</f>
        <v>11013</v>
      </c>
      <c r="AF86" s="41">
        <v>0</v>
      </c>
      <c r="AG86" s="41">
        <v>1</v>
      </c>
      <c r="AH86" s="41">
        <v>1</v>
      </c>
      <c r="AI86" s="41">
        <v>2</v>
      </c>
    </row>
    <row r="87" spans="1:35">
      <c r="A87" s="41">
        <v>44413</v>
      </c>
      <c r="B87" s="41">
        <v>2</v>
      </c>
      <c r="C87" s="41">
        <v>0</v>
      </c>
      <c r="D87" s="41">
        <v>2</v>
      </c>
      <c r="E87" s="41">
        <v>1</v>
      </c>
      <c r="F87" s="41" t="s">
        <v>72</v>
      </c>
      <c r="G87" s="41">
        <f>IF(F87&gt;0,INDEX(Fish!$D:$D,MATCH(F87,Fish!$L:$L,0)),"")</f>
        <v>11008</v>
      </c>
      <c r="H87" s="41">
        <v>0</v>
      </c>
      <c r="I87" s="41">
        <v>1</v>
      </c>
      <c r="J87" s="41">
        <v>5</v>
      </c>
      <c r="K87" s="41">
        <v>6</v>
      </c>
      <c r="L87" s="41" t="s">
        <v>78</v>
      </c>
      <c r="M87" s="41">
        <f>IF(L87&gt;0,INDEX(Fish!$D:$D,MATCH(L87,Fish!$L:$L,0)),"")</f>
        <v>11010</v>
      </c>
      <c r="N87" s="41">
        <v>0</v>
      </c>
      <c r="O87" s="41">
        <v>1</v>
      </c>
      <c r="P87" s="41">
        <v>3</v>
      </c>
      <c r="Q87" s="41">
        <v>4</v>
      </c>
      <c r="R87" s="41" t="s">
        <v>82</v>
      </c>
      <c r="S87" s="41">
        <f>IF(R87&gt;0,INDEX(Fish!$D:$D,MATCH(R87,Fish!$L:$L,0)),"")</f>
        <v>11012</v>
      </c>
      <c r="T87" s="41">
        <v>0</v>
      </c>
      <c r="U87" s="41">
        <v>1</v>
      </c>
      <c r="V87" s="41">
        <v>3</v>
      </c>
      <c r="W87" s="41">
        <v>3</v>
      </c>
      <c r="X87" s="41" t="s">
        <v>94</v>
      </c>
      <c r="Y87" s="41">
        <f>IF(X87&gt;0,INDEX(Fish!$D:$D,MATCH(X87,Fish!$L:$L,0)),"")</f>
        <v>11020</v>
      </c>
      <c r="Z87" s="41">
        <v>0</v>
      </c>
      <c r="AA87" s="41">
        <v>1</v>
      </c>
      <c r="AB87" s="41">
        <v>2</v>
      </c>
      <c r="AC87" s="41">
        <v>3</v>
      </c>
      <c r="AD87" s="41" t="s">
        <v>90</v>
      </c>
      <c r="AE87" s="41">
        <f>IF(AD87&gt;0,INDEX(Fish!$D:$D,MATCH(AD87,Fish!$L:$L,0)),"")</f>
        <v>11016</v>
      </c>
      <c r="AF87" s="41">
        <v>0</v>
      </c>
      <c r="AG87" s="41">
        <v>1</v>
      </c>
      <c r="AH87" s="41">
        <v>1</v>
      </c>
      <c r="AI87" s="41">
        <v>2</v>
      </c>
    </row>
    <row r="88" spans="1:35">
      <c r="A88" s="41">
        <v>44413</v>
      </c>
      <c r="B88" s="41">
        <v>2</v>
      </c>
      <c r="C88" s="41">
        <v>0</v>
      </c>
      <c r="D88" s="41">
        <v>2</v>
      </c>
      <c r="E88" s="41">
        <v>1</v>
      </c>
      <c r="F88" s="41" t="s">
        <v>74</v>
      </c>
      <c r="G88" s="41">
        <f>IF(F88&gt;0,INDEX(Fish!$D:$D,MATCH(F88,Fish!$L:$L,0)),"")</f>
        <v>11009</v>
      </c>
      <c r="H88" s="41">
        <v>0</v>
      </c>
      <c r="I88" s="41">
        <v>1</v>
      </c>
      <c r="J88" s="41">
        <v>5</v>
      </c>
      <c r="K88" s="41">
        <v>6</v>
      </c>
      <c r="L88" s="41" t="s">
        <v>80</v>
      </c>
      <c r="M88" s="41">
        <f>IF(L88&gt;0,INDEX(Fish!$D:$D,MATCH(L88,Fish!$L:$L,0)),"")</f>
        <v>11011</v>
      </c>
      <c r="N88" s="41">
        <v>0</v>
      </c>
      <c r="O88" s="41">
        <v>1</v>
      </c>
      <c r="P88" s="41">
        <v>3</v>
      </c>
      <c r="Q88" s="41">
        <v>4</v>
      </c>
      <c r="R88" s="41" t="s">
        <v>92</v>
      </c>
      <c r="S88" s="41">
        <f>IF(R88&gt;0,INDEX(Fish!$D:$D,MATCH(R88,Fish!$L:$L,0)),"")</f>
        <v>11017</v>
      </c>
      <c r="T88" s="41">
        <v>0</v>
      </c>
      <c r="U88" s="41">
        <v>1</v>
      </c>
      <c r="V88" s="41">
        <v>3</v>
      </c>
      <c r="W88" s="41">
        <v>3</v>
      </c>
      <c r="X88" s="41" t="s">
        <v>88</v>
      </c>
      <c r="Y88" s="41">
        <f>IF(X88&gt;0,INDEX(Fish!$D:$D,MATCH(X88,Fish!$L:$L,0)),"")</f>
        <v>11015</v>
      </c>
      <c r="Z88" s="41">
        <v>0</v>
      </c>
      <c r="AA88" s="41">
        <v>1</v>
      </c>
      <c r="AB88" s="41">
        <v>2</v>
      </c>
      <c r="AC88" s="41">
        <v>3</v>
      </c>
      <c r="AD88" s="41" t="s">
        <v>84</v>
      </c>
      <c r="AE88" s="41">
        <f>IF(AD88&gt;0,INDEX(Fish!$D:$D,MATCH(AD88,Fish!$L:$L,0)),"")</f>
        <v>11013</v>
      </c>
      <c r="AF88" s="41">
        <v>0</v>
      </c>
      <c r="AG88" s="41">
        <v>1</v>
      </c>
      <c r="AH88" s="41">
        <v>1</v>
      </c>
      <c r="AI88" s="41">
        <v>2</v>
      </c>
    </row>
    <row r="89" spans="1:35">
      <c r="A89" s="41">
        <v>44413</v>
      </c>
      <c r="B89" s="41">
        <v>2</v>
      </c>
      <c r="C89" s="41">
        <v>0</v>
      </c>
      <c r="D89" s="41">
        <v>2</v>
      </c>
      <c r="E89" s="41">
        <v>1</v>
      </c>
      <c r="F89" s="41" t="s">
        <v>74</v>
      </c>
      <c r="G89" s="41">
        <f>IF(F89&gt;0,INDEX(Fish!$D:$D,MATCH(F89,Fish!$L:$L,0)),"")</f>
        <v>11009</v>
      </c>
      <c r="H89" s="41">
        <v>0</v>
      </c>
      <c r="I89" s="41">
        <v>1</v>
      </c>
      <c r="J89" s="41">
        <v>5</v>
      </c>
      <c r="K89" s="41">
        <v>6</v>
      </c>
      <c r="L89" s="41" t="s">
        <v>80</v>
      </c>
      <c r="M89" s="41">
        <f>IF(L89&gt;0,INDEX(Fish!$D:$D,MATCH(L89,Fish!$L:$L,0)),"")</f>
        <v>11011</v>
      </c>
      <c r="N89" s="41">
        <v>0</v>
      </c>
      <c r="O89" s="41">
        <v>1</v>
      </c>
      <c r="P89" s="41">
        <v>3</v>
      </c>
      <c r="Q89" s="41">
        <v>4</v>
      </c>
      <c r="R89" s="41" t="s">
        <v>92</v>
      </c>
      <c r="S89" s="41">
        <f>IF(R89&gt;0,INDEX(Fish!$D:$D,MATCH(R89,Fish!$L:$L,0)),"")</f>
        <v>11017</v>
      </c>
      <c r="T89" s="41">
        <v>0</v>
      </c>
      <c r="U89" s="41">
        <v>1</v>
      </c>
      <c r="V89" s="41">
        <v>3</v>
      </c>
      <c r="W89" s="41">
        <v>3</v>
      </c>
      <c r="X89" s="41" t="s">
        <v>88</v>
      </c>
      <c r="Y89" s="41">
        <f>IF(X89&gt;0,INDEX(Fish!$D:$D,MATCH(X89,Fish!$L:$L,0)),"")</f>
        <v>11015</v>
      </c>
      <c r="Z89" s="41">
        <v>0</v>
      </c>
      <c r="AA89" s="41">
        <v>1</v>
      </c>
      <c r="AB89" s="41">
        <v>2</v>
      </c>
      <c r="AC89" s="41">
        <v>3</v>
      </c>
      <c r="AD89" s="41" t="s">
        <v>90</v>
      </c>
      <c r="AE89" s="41">
        <f>IF(AD89&gt;0,INDEX(Fish!$D:$D,MATCH(AD89,Fish!$L:$L,0)),"")</f>
        <v>11016</v>
      </c>
      <c r="AF89" s="41">
        <v>0</v>
      </c>
      <c r="AG89" s="41">
        <v>1</v>
      </c>
      <c r="AH89" s="41">
        <v>1</v>
      </c>
      <c r="AI89" s="41">
        <v>2</v>
      </c>
    </row>
    <row r="90" spans="1:35">
      <c r="A90" s="41">
        <v>44413</v>
      </c>
      <c r="B90" s="41">
        <v>2</v>
      </c>
      <c r="C90" s="41">
        <v>0</v>
      </c>
      <c r="D90" s="41">
        <v>2</v>
      </c>
      <c r="E90" s="41">
        <v>1</v>
      </c>
      <c r="F90" s="41" t="s">
        <v>74</v>
      </c>
      <c r="G90" s="41">
        <f>IF(F90&gt;0,INDEX(Fish!$D:$D,MATCH(F90,Fish!$L:$L,0)),"")</f>
        <v>11009</v>
      </c>
      <c r="H90" s="41">
        <v>0</v>
      </c>
      <c r="I90" s="41">
        <v>1</v>
      </c>
      <c r="J90" s="41">
        <v>5</v>
      </c>
      <c r="K90" s="41">
        <v>6</v>
      </c>
      <c r="L90" s="41" t="s">
        <v>80</v>
      </c>
      <c r="M90" s="41">
        <f>IF(L90&gt;0,INDEX(Fish!$D:$D,MATCH(L90,Fish!$L:$L,0)),"")</f>
        <v>11011</v>
      </c>
      <c r="N90" s="41">
        <v>0</v>
      </c>
      <c r="O90" s="41">
        <v>1</v>
      </c>
      <c r="P90" s="41">
        <v>3</v>
      </c>
      <c r="Q90" s="41">
        <v>4</v>
      </c>
      <c r="R90" s="41" t="s">
        <v>92</v>
      </c>
      <c r="S90" s="41">
        <f>IF(R90&gt;0,INDEX(Fish!$D:$D,MATCH(R90,Fish!$L:$L,0)),"")</f>
        <v>11017</v>
      </c>
      <c r="T90" s="41">
        <v>0</v>
      </c>
      <c r="U90" s="41">
        <v>1</v>
      </c>
      <c r="V90" s="41">
        <v>3</v>
      </c>
      <c r="W90" s="41">
        <v>3</v>
      </c>
      <c r="X90" s="41" t="s">
        <v>94</v>
      </c>
      <c r="Y90" s="41">
        <f>IF(X90&gt;0,INDEX(Fish!$D:$D,MATCH(X90,Fish!$L:$L,0)),"")</f>
        <v>11020</v>
      </c>
      <c r="Z90" s="41">
        <v>0</v>
      </c>
      <c r="AA90" s="41">
        <v>1</v>
      </c>
      <c r="AB90" s="41">
        <v>2</v>
      </c>
      <c r="AC90" s="41">
        <v>3</v>
      </c>
      <c r="AD90" s="41" t="s">
        <v>84</v>
      </c>
      <c r="AE90" s="41">
        <f>IF(AD90&gt;0,INDEX(Fish!$D:$D,MATCH(AD90,Fish!$L:$L,0)),"")</f>
        <v>11013</v>
      </c>
      <c r="AF90" s="41">
        <v>0</v>
      </c>
      <c r="AG90" s="41">
        <v>1</v>
      </c>
      <c r="AH90" s="41">
        <v>1</v>
      </c>
      <c r="AI90" s="41">
        <v>2</v>
      </c>
    </row>
    <row r="91" spans="1:35">
      <c r="A91" s="41">
        <v>44413</v>
      </c>
      <c r="B91" s="41">
        <v>2</v>
      </c>
      <c r="C91" s="41">
        <v>0</v>
      </c>
      <c r="D91" s="41">
        <v>2</v>
      </c>
      <c r="E91" s="41">
        <v>1</v>
      </c>
      <c r="F91" s="41" t="s">
        <v>74</v>
      </c>
      <c r="G91" s="41">
        <f>IF(F91&gt;0,INDEX(Fish!$D:$D,MATCH(F91,Fish!$L:$L,0)),"")</f>
        <v>11009</v>
      </c>
      <c r="H91" s="41">
        <v>0</v>
      </c>
      <c r="I91" s="41">
        <v>1</v>
      </c>
      <c r="J91" s="41">
        <v>5</v>
      </c>
      <c r="K91" s="41">
        <v>6</v>
      </c>
      <c r="L91" s="41" t="s">
        <v>80</v>
      </c>
      <c r="M91" s="41">
        <f>IF(L91&gt;0,INDEX(Fish!$D:$D,MATCH(L91,Fish!$L:$L,0)),"")</f>
        <v>11011</v>
      </c>
      <c r="N91" s="41">
        <v>0</v>
      </c>
      <c r="O91" s="41">
        <v>1</v>
      </c>
      <c r="P91" s="41">
        <v>3</v>
      </c>
      <c r="Q91" s="41">
        <v>4</v>
      </c>
      <c r="R91" s="41" t="s">
        <v>92</v>
      </c>
      <c r="S91" s="41">
        <f>IF(R91&gt;0,INDEX(Fish!$D:$D,MATCH(R91,Fish!$L:$L,0)),"")</f>
        <v>11017</v>
      </c>
      <c r="T91" s="41">
        <v>0</v>
      </c>
      <c r="U91" s="41">
        <v>1</v>
      </c>
      <c r="V91" s="41">
        <v>3</v>
      </c>
      <c r="W91" s="41">
        <v>3</v>
      </c>
      <c r="X91" s="41" t="s">
        <v>94</v>
      </c>
      <c r="Y91" s="41">
        <f>IF(X91&gt;0,INDEX(Fish!$D:$D,MATCH(X91,Fish!$L:$L,0)),"")</f>
        <v>11020</v>
      </c>
      <c r="Z91" s="41">
        <v>0</v>
      </c>
      <c r="AA91" s="41">
        <v>1</v>
      </c>
      <c r="AB91" s="41">
        <v>2</v>
      </c>
      <c r="AC91" s="41">
        <v>3</v>
      </c>
      <c r="AD91" s="41" t="s">
        <v>90</v>
      </c>
      <c r="AE91" s="41">
        <f>IF(AD91&gt;0,INDEX(Fish!$D:$D,MATCH(AD91,Fish!$L:$L,0)),"")</f>
        <v>11016</v>
      </c>
      <c r="AF91" s="41">
        <v>0</v>
      </c>
      <c r="AG91" s="41">
        <v>1</v>
      </c>
      <c r="AH91" s="41">
        <v>1</v>
      </c>
      <c r="AI91" s="41">
        <v>2</v>
      </c>
    </row>
    <row r="92" spans="1:35">
      <c r="A92" s="41">
        <v>44413</v>
      </c>
      <c r="B92" s="41">
        <v>2</v>
      </c>
      <c r="C92" s="41">
        <v>0</v>
      </c>
      <c r="D92" s="41">
        <v>2</v>
      </c>
      <c r="E92" s="41">
        <v>1</v>
      </c>
      <c r="F92" s="41" t="s">
        <v>74</v>
      </c>
      <c r="G92" s="41">
        <f>IF(F92&gt;0,INDEX(Fish!$D:$D,MATCH(F92,Fish!$L:$L,0)),"")</f>
        <v>11009</v>
      </c>
      <c r="H92" s="41">
        <v>0</v>
      </c>
      <c r="I92" s="41">
        <v>1</v>
      </c>
      <c r="J92" s="41">
        <v>5</v>
      </c>
      <c r="K92" s="41">
        <v>6</v>
      </c>
      <c r="L92" s="41" t="s">
        <v>80</v>
      </c>
      <c r="M92" s="41">
        <f>IF(L92&gt;0,INDEX(Fish!$D:$D,MATCH(L92,Fish!$L:$L,0)),"")</f>
        <v>11011</v>
      </c>
      <c r="N92" s="41">
        <v>0</v>
      </c>
      <c r="O92" s="41">
        <v>1</v>
      </c>
      <c r="P92" s="41">
        <v>3</v>
      </c>
      <c r="Q92" s="41">
        <v>4</v>
      </c>
      <c r="R92" s="41" t="s">
        <v>82</v>
      </c>
      <c r="S92" s="41">
        <f>IF(R92&gt;0,INDEX(Fish!$D:$D,MATCH(R92,Fish!$L:$L,0)),"")</f>
        <v>11012</v>
      </c>
      <c r="T92" s="41">
        <v>0</v>
      </c>
      <c r="U92" s="41">
        <v>1</v>
      </c>
      <c r="V92" s="41">
        <v>3</v>
      </c>
      <c r="W92" s="41">
        <v>3</v>
      </c>
      <c r="X92" s="41" t="s">
        <v>88</v>
      </c>
      <c r="Y92" s="41">
        <f>IF(X92&gt;0,INDEX(Fish!$D:$D,MATCH(X92,Fish!$L:$L,0)),"")</f>
        <v>11015</v>
      </c>
      <c r="Z92" s="41">
        <v>0</v>
      </c>
      <c r="AA92" s="41">
        <v>1</v>
      </c>
      <c r="AB92" s="41">
        <v>2</v>
      </c>
      <c r="AC92" s="41">
        <v>3</v>
      </c>
      <c r="AD92" s="41" t="s">
        <v>84</v>
      </c>
      <c r="AE92" s="41">
        <f>IF(AD92&gt;0,INDEX(Fish!$D:$D,MATCH(AD92,Fish!$L:$L,0)),"")</f>
        <v>11013</v>
      </c>
      <c r="AF92" s="41">
        <v>0</v>
      </c>
      <c r="AG92" s="41">
        <v>1</v>
      </c>
      <c r="AH92" s="41">
        <v>1</v>
      </c>
      <c r="AI92" s="41">
        <v>2</v>
      </c>
    </row>
    <row r="93" spans="1:35">
      <c r="A93" s="41">
        <v>44413</v>
      </c>
      <c r="B93" s="41">
        <v>2</v>
      </c>
      <c r="C93" s="41">
        <v>0</v>
      </c>
      <c r="D93" s="41">
        <v>2</v>
      </c>
      <c r="E93" s="41">
        <v>1</v>
      </c>
      <c r="F93" s="41" t="s">
        <v>74</v>
      </c>
      <c r="G93" s="41">
        <f>IF(F93&gt;0,INDEX(Fish!$D:$D,MATCH(F93,Fish!$L:$L,0)),"")</f>
        <v>11009</v>
      </c>
      <c r="H93" s="41">
        <v>0</v>
      </c>
      <c r="I93" s="41">
        <v>1</v>
      </c>
      <c r="J93" s="41">
        <v>5</v>
      </c>
      <c r="K93" s="41">
        <v>6</v>
      </c>
      <c r="L93" s="41" t="s">
        <v>80</v>
      </c>
      <c r="M93" s="41">
        <f>IF(L93&gt;0,INDEX(Fish!$D:$D,MATCH(L93,Fish!$L:$L,0)),"")</f>
        <v>11011</v>
      </c>
      <c r="N93" s="41">
        <v>0</v>
      </c>
      <c r="O93" s="41">
        <v>1</v>
      </c>
      <c r="P93" s="41">
        <v>3</v>
      </c>
      <c r="Q93" s="41">
        <v>4</v>
      </c>
      <c r="R93" s="41" t="s">
        <v>82</v>
      </c>
      <c r="S93" s="41">
        <f>IF(R93&gt;0,INDEX(Fish!$D:$D,MATCH(R93,Fish!$L:$L,0)),"")</f>
        <v>11012</v>
      </c>
      <c r="T93" s="41">
        <v>0</v>
      </c>
      <c r="U93" s="41">
        <v>1</v>
      </c>
      <c r="V93" s="41">
        <v>3</v>
      </c>
      <c r="W93" s="41">
        <v>3</v>
      </c>
      <c r="X93" s="41" t="s">
        <v>88</v>
      </c>
      <c r="Y93" s="41">
        <f>IF(X93&gt;0,INDEX(Fish!$D:$D,MATCH(X93,Fish!$L:$L,0)),"")</f>
        <v>11015</v>
      </c>
      <c r="Z93" s="41">
        <v>0</v>
      </c>
      <c r="AA93" s="41">
        <v>1</v>
      </c>
      <c r="AB93" s="41">
        <v>2</v>
      </c>
      <c r="AC93" s="41">
        <v>3</v>
      </c>
      <c r="AD93" s="41" t="s">
        <v>90</v>
      </c>
      <c r="AE93" s="41">
        <f>IF(AD93&gt;0,INDEX(Fish!$D:$D,MATCH(AD93,Fish!$L:$L,0)),"")</f>
        <v>11016</v>
      </c>
      <c r="AF93" s="41">
        <v>0</v>
      </c>
      <c r="AG93" s="41">
        <v>1</v>
      </c>
      <c r="AH93" s="41">
        <v>1</v>
      </c>
      <c r="AI93" s="41">
        <v>2</v>
      </c>
    </row>
    <row r="94" spans="1:35">
      <c r="A94" s="41">
        <v>44413</v>
      </c>
      <c r="B94" s="41">
        <v>2</v>
      </c>
      <c r="C94" s="41">
        <v>0</v>
      </c>
      <c r="D94" s="41">
        <v>2</v>
      </c>
      <c r="E94" s="41">
        <v>1</v>
      </c>
      <c r="F94" s="41" t="s">
        <v>74</v>
      </c>
      <c r="G94" s="41">
        <f>IF(F94&gt;0,INDEX(Fish!$D:$D,MATCH(F94,Fish!$L:$L,0)),"")</f>
        <v>11009</v>
      </c>
      <c r="H94" s="41">
        <v>0</v>
      </c>
      <c r="I94" s="41">
        <v>1</v>
      </c>
      <c r="J94" s="41">
        <v>5</v>
      </c>
      <c r="K94" s="41">
        <v>6</v>
      </c>
      <c r="L94" s="41" t="s">
        <v>80</v>
      </c>
      <c r="M94" s="41">
        <f>IF(L94&gt;0,INDEX(Fish!$D:$D,MATCH(L94,Fish!$L:$L,0)),"")</f>
        <v>11011</v>
      </c>
      <c r="N94" s="41">
        <v>0</v>
      </c>
      <c r="O94" s="41">
        <v>1</v>
      </c>
      <c r="P94" s="41">
        <v>3</v>
      </c>
      <c r="Q94" s="41">
        <v>4</v>
      </c>
      <c r="R94" s="41" t="s">
        <v>82</v>
      </c>
      <c r="S94" s="41">
        <f>IF(R94&gt;0,INDEX(Fish!$D:$D,MATCH(R94,Fish!$L:$L,0)),"")</f>
        <v>11012</v>
      </c>
      <c r="T94" s="41">
        <v>0</v>
      </c>
      <c r="U94" s="41">
        <v>1</v>
      </c>
      <c r="V94" s="41">
        <v>3</v>
      </c>
      <c r="W94" s="41">
        <v>3</v>
      </c>
      <c r="X94" s="41" t="s">
        <v>94</v>
      </c>
      <c r="Y94" s="41">
        <f>IF(X94&gt;0,INDEX(Fish!$D:$D,MATCH(X94,Fish!$L:$L,0)),"")</f>
        <v>11020</v>
      </c>
      <c r="Z94" s="41">
        <v>0</v>
      </c>
      <c r="AA94" s="41">
        <v>1</v>
      </c>
      <c r="AB94" s="41">
        <v>2</v>
      </c>
      <c r="AC94" s="41">
        <v>3</v>
      </c>
      <c r="AD94" s="41" t="s">
        <v>84</v>
      </c>
      <c r="AE94" s="41">
        <f>IF(AD94&gt;0,INDEX(Fish!$D:$D,MATCH(AD94,Fish!$L:$L,0)),"")</f>
        <v>11013</v>
      </c>
      <c r="AF94" s="41">
        <v>0</v>
      </c>
      <c r="AG94" s="41">
        <v>1</v>
      </c>
      <c r="AH94" s="41">
        <v>1</v>
      </c>
      <c r="AI94" s="41">
        <v>2</v>
      </c>
    </row>
    <row r="95" spans="1:35">
      <c r="A95" s="41">
        <v>44413</v>
      </c>
      <c r="B95" s="41">
        <v>2</v>
      </c>
      <c r="C95" s="41">
        <v>0</v>
      </c>
      <c r="D95" s="41">
        <v>2</v>
      </c>
      <c r="E95" s="41">
        <v>1</v>
      </c>
      <c r="F95" s="41" t="s">
        <v>74</v>
      </c>
      <c r="G95" s="41">
        <f>IF(F95&gt;0,INDEX(Fish!$D:$D,MATCH(F95,Fish!$L:$L,0)),"")</f>
        <v>11009</v>
      </c>
      <c r="H95" s="41">
        <v>0</v>
      </c>
      <c r="I95" s="41">
        <v>1</v>
      </c>
      <c r="J95" s="41">
        <v>5</v>
      </c>
      <c r="K95" s="41">
        <v>6</v>
      </c>
      <c r="L95" s="41" t="s">
        <v>80</v>
      </c>
      <c r="M95" s="41">
        <f>IF(L95&gt;0,INDEX(Fish!$D:$D,MATCH(L95,Fish!$L:$L,0)),"")</f>
        <v>11011</v>
      </c>
      <c r="N95" s="41">
        <v>0</v>
      </c>
      <c r="O95" s="41">
        <v>1</v>
      </c>
      <c r="P95" s="41">
        <v>3</v>
      </c>
      <c r="Q95" s="41">
        <v>4</v>
      </c>
      <c r="R95" s="41" t="s">
        <v>82</v>
      </c>
      <c r="S95" s="41">
        <f>IF(R95&gt;0,INDEX(Fish!$D:$D,MATCH(R95,Fish!$L:$L,0)),"")</f>
        <v>11012</v>
      </c>
      <c r="T95" s="41">
        <v>0</v>
      </c>
      <c r="U95" s="41">
        <v>1</v>
      </c>
      <c r="V95" s="41">
        <v>3</v>
      </c>
      <c r="W95" s="41">
        <v>3</v>
      </c>
      <c r="X95" s="41" t="s">
        <v>94</v>
      </c>
      <c r="Y95" s="41">
        <f>IF(X95&gt;0,INDEX(Fish!$D:$D,MATCH(X95,Fish!$L:$L,0)),"")</f>
        <v>11020</v>
      </c>
      <c r="Z95" s="41">
        <v>0</v>
      </c>
      <c r="AA95" s="41">
        <v>1</v>
      </c>
      <c r="AB95" s="41">
        <v>2</v>
      </c>
      <c r="AC95" s="41">
        <v>3</v>
      </c>
      <c r="AD95" s="41" t="s">
        <v>90</v>
      </c>
      <c r="AE95" s="41">
        <f>IF(AD95&gt;0,INDEX(Fish!$D:$D,MATCH(AD95,Fish!$L:$L,0)),"")</f>
        <v>11016</v>
      </c>
      <c r="AF95" s="41">
        <v>0</v>
      </c>
      <c r="AG95" s="41">
        <v>1</v>
      </c>
      <c r="AH95" s="41">
        <v>1</v>
      </c>
      <c r="AI95" s="41">
        <v>2</v>
      </c>
    </row>
    <row r="96" spans="1:35">
      <c r="A96" s="41">
        <v>44413</v>
      </c>
      <c r="B96" s="41">
        <v>2</v>
      </c>
      <c r="C96" s="41">
        <v>0</v>
      </c>
      <c r="D96" s="41">
        <v>2</v>
      </c>
      <c r="E96" s="41">
        <v>1</v>
      </c>
      <c r="F96" s="41" t="s">
        <v>74</v>
      </c>
      <c r="G96" s="41">
        <f>IF(F96&gt;0,INDEX(Fish!$D:$D,MATCH(F96,Fish!$L:$L,0)),"")</f>
        <v>11009</v>
      </c>
      <c r="H96" s="41">
        <v>0</v>
      </c>
      <c r="I96" s="41">
        <v>1</v>
      </c>
      <c r="J96" s="41">
        <v>5</v>
      </c>
      <c r="K96" s="41">
        <v>6</v>
      </c>
      <c r="L96" s="41" t="s">
        <v>78</v>
      </c>
      <c r="M96" s="41">
        <f>IF(L96&gt;0,INDEX(Fish!$D:$D,MATCH(L96,Fish!$L:$L,0)),"")</f>
        <v>11010</v>
      </c>
      <c r="N96" s="41">
        <v>0</v>
      </c>
      <c r="O96" s="41">
        <v>1</v>
      </c>
      <c r="P96" s="41">
        <v>3</v>
      </c>
      <c r="Q96" s="41">
        <v>4</v>
      </c>
      <c r="R96" s="41" t="s">
        <v>92</v>
      </c>
      <c r="S96" s="41">
        <f>IF(R96&gt;0,INDEX(Fish!$D:$D,MATCH(R96,Fish!$L:$L,0)),"")</f>
        <v>11017</v>
      </c>
      <c r="T96" s="41">
        <v>0</v>
      </c>
      <c r="U96" s="41">
        <v>1</v>
      </c>
      <c r="V96" s="41">
        <v>3</v>
      </c>
      <c r="W96" s="41">
        <v>3</v>
      </c>
      <c r="X96" s="41" t="s">
        <v>88</v>
      </c>
      <c r="Y96" s="41">
        <f>IF(X96&gt;0,INDEX(Fish!$D:$D,MATCH(X96,Fish!$L:$L,0)),"")</f>
        <v>11015</v>
      </c>
      <c r="Z96" s="41">
        <v>0</v>
      </c>
      <c r="AA96" s="41">
        <v>1</v>
      </c>
      <c r="AB96" s="41">
        <v>2</v>
      </c>
      <c r="AC96" s="41">
        <v>3</v>
      </c>
      <c r="AD96" s="41" t="s">
        <v>84</v>
      </c>
      <c r="AE96" s="41">
        <f>IF(AD96&gt;0,INDEX(Fish!$D:$D,MATCH(AD96,Fish!$L:$L,0)),"")</f>
        <v>11013</v>
      </c>
      <c r="AF96" s="41">
        <v>0</v>
      </c>
      <c r="AG96" s="41">
        <v>1</v>
      </c>
      <c r="AH96" s="41">
        <v>1</v>
      </c>
      <c r="AI96" s="41">
        <v>2</v>
      </c>
    </row>
    <row r="97" spans="1:35">
      <c r="A97" s="41">
        <v>44413</v>
      </c>
      <c r="B97" s="41">
        <v>2</v>
      </c>
      <c r="C97" s="41">
        <v>0</v>
      </c>
      <c r="D97" s="41">
        <v>2</v>
      </c>
      <c r="E97" s="41">
        <v>1</v>
      </c>
      <c r="F97" s="41" t="s">
        <v>74</v>
      </c>
      <c r="G97" s="41">
        <f>IF(F97&gt;0,INDEX(Fish!$D:$D,MATCH(F97,Fish!$L:$L,0)),"")</f>
        <v>11009</v>
      </c>
      <c r="H97" s="41">
        <v>0</v>
      </c>
      <c r="I97" s="41">
        <v>1</v>
      </c>
      <c r="J97" s="41">
        <v>5</v>
      </c>
      <c r="K97" s="41">
        <v>6</v>
      </c>
      <c r="L97" s="41" t="s">
        <v>78</v>
      </c>
      <c r="M97" s="41">
        <f>IF(L97&gt;0,INDEX(Fish!$D:$D,MATCH(L97,Fish!$L:$L,0)),"")</f>
        <v>11010</v>
      </c>
      <c r="N97" s="41">
        <v>0</v>
      </c>
      <c r="O97" s="41">
        <v>1</v>
      </c>
      <c r="P97" s="41">
        <v>3</v>
      </c>
      <c r="Q97" s="41">
        <v>4</v>
      </c>
      <c r="R97" s="41" t="s">
        <v>92</v>
      </c>
      <c r="S97" s="41">
        <f>IF(R97&gt;0,INDEX(Fish!$D:$D,MATCH(R97,Fish!$L:$L,0)),"")</f>
        <v>11017</v>
      </c>
      <c r="T97" s="41">
        <v>0</v>
      </c>
      <c r="U97" s="41">
        <v>1</v>
      </c>
      <c r="V97" s="41">
        <v>3</v>
      </c>
      <c r="W97" s="41">
        <v>3</v>
      </c>
      <c r="X97" s="41" t="s">
        <v>88</v>
      </c>
      <c r="Y97" s="41">
        <f>IF(X97&gt;0,INDEX(Fish!$D:$D,MATCH(X97,Fish!$L:$L,0)),"")</f>
        <v>11015</v>
      </c>
      <c r="Z97" s="41">
        <v>0</v>
      </c>
      <c r="AA97" s="41">
        <v>1</v>
      </c>
      <c r="AB97" s="41">
        <v>2</v>
      </c>
      <c r="AC97" s="41">
        <v>3</v>
      </c>
      <c r="AD97" s="41" t="s">
        <v>90</v>
      </c>
      <c r="AE97" s="41">
        <f>IF(AD97&gt;0,INDEX(Fish!$D:$D,MATCH(AD97,Fish!$L:$L,0)),"")</f>
        <v>11016</v>
      </c>
      <c r="AF97" s="41">
        <v>0</v>
      </c>
      <c r="AG97" s="41">
        <v>1</v>
      </c>
      <c r="AH97" s="41">
        <v>1</v>
      </c>
      <c r="AI97" s="41">
        <v>2</v>
      </c>
    </row>
    <row r="98" spans="1:35">
      <c r="A98" s="41">
        <v>44413</v>
      </c>
      <c r="B98" s="41">
        <v>2</v>
      </c>
      <c r="C98" s="41">
        <v>0</v>
      </c>
      <c r="D98" s="41">
        <v>2</v>
      </c>
      <c r="E98" s="41">
        <v>1</v>
      </c>
      <c r="F98" s="41" t="s">
        <v>74</v>
      </c>
      <c r="G98" s="41">
        <f>IF(F98&gt;0,INDEX(Fish!$D:$D,MATCH(F98,Fish!$L:$L,0)),"")</f>
        <v>11009</v>
      </c>
      <c r="H98" s="41">
        <v>0</v>
      </c>
      <c r="I98" s="41">
        <v>1</v>
      </c>
      <c r="J98" s="41">
        <v>5</v>
      </c>
      <c r="K98" s="41">
        <v>6</v>
      </c>
      <c r="L98" s="41" t="s">
        <v>78</v>
      </c>
      <c r="M98" s="41">
        <f>IF(L98&gt;0,INDEX(Fish!$D:$D,MATCH(L98,Fish!$L:$L,0)),"")</f>
        <v>11010</v>
      </c>
      <c r="N98" s="41">
        <v>0</v>
      </c>
      <c r="O98" s="41">
        <v>1</v>
      </c>
      <c r="P98" s="41">
        <v>3</v>
      </c>
      <c r="Q98" s="41">
        <v>4</v>
      </c>
      <c r="R98" s="41" t="s">
        <v>92</v>
      </c>
      <c r="S98" s="41">
        <f>IF(R98&gt;0,INDEX(Fish!$D:$D,MATCH(R98,Fish!$L:$L,0)),"")</f>
        <v>11017</v>
      </c>
      <c r="T98" s="41">
        <v>0</v>
      </c>
      <c r="U98" s="41">
        <v>1</v>
      </c>
      <c r="V98" s="41">
        <v>3</v>
      </c>
      <c r="W98" s="41">
        <v>3</v>
      </c>
      <c r="X98" s="41" t="s">
        <v>94</v>
      </c>
      <c r="Y98" s="41">
        <f>IF(X98&gt;0,INDEX(Fish!$D:$D,MATCH(X98,Fish!$L:$L,0)),"")</f>
        <v>11020</v>
      </c>
      <c r="Z98" s="41">
        <v>0</v>
      </c>
      <c r="AA98" s="41">
        <v>1</v>
      </c>
      <c r="AB98" s="41">
        <v>2</v>
      </c>
      <c r="AC98" s="41">
        <v>3</v>
      </c>
      <c r="AD98" s="41" t="s">
        <v>84</v>
      </c>
      <c r="AE98" s="41">
        <f>IF(AD98&gt;0,INDEX(Fish!$D:$D,MATCH(AD98,Fish!$L:$L,0)),"")</f>
        <v>11013</v>
      </c>
      <c r="AF98" s="41">
        <v>0</v>
      </c>
      <c r="AG98" s="41">
        <v>1</v>
      </c>
      <c r="AH98" s="41">
        <v>1</v>
      </c>
      <c r="AI98" s="41">
        <v>2</v>
      </c>
    </row>
    <row r="99" spans="1:35">
      <c r="A99" s="41">
        <v>44413</v>
      </c>
      <c r="B99" s="41">
        <v>2</v>
      </c>
      <c r="C99" s="41">
        <v>0</v>
      </c>
      <c r="D99" s="41">
        <v>2</v>
      </c>
      <c r="E99" s="41">
        <v>1</v>
      </c>
      <c r="F99" s="41" t="s">
        <v>74</v>
      </c>
      <c r="G99" s="41">
        <f>IF(F99&gt;0,INDEX(Fish!$D:$D,MATCH(F99,Fish!$L:$L,0)),"")</f>
        <v>11009</v>
      </c>
      <c r="H99" s="41">
        <v>0</v>
      </c>
      <c r="I99" s="41">
        <v>1</v>
      </c>
      <c r="J99" s="41">
        <v>5</v>
      </c>
      <c r="K99" s="41">
        <v>6</v>
      </c>
      <c r="L99" s="41" t="s">
        <v>78</v>
      </c>
      <c r="M99" s="41">
        <f>IF(L99&gt;0,INDEX(Fish!$D:$D,MATCH(L99,Fish!$L:$L,0)),"")</f>
        <v>11010</v>
      </c>
      <c r="N99" s="41">
        <v>0</v>
      </c>
      <c r="O99" s="41">
        <v>1</v>
      </c>
      <c r="P99" s="41">
        <v>3</v>
      </c>
      <c r="Q99" s="41">
        <v>4</v>
      </c>
      <c r="R99" s="41" t="s">
        <v>92</v>
      </c>
      <c r="S99" s="41">
        <f>IF(R99&gt;0,INDEX(Fish!$D:$D,MATCH(R99,Fish!$L:$L,0)),"")</f>
        <v>11017</v>
      </c>
      <c r="T99" s="41">
        <v>0</v>
      </c>
      <c r="U99" s="41">
        <v>1</v>
      </c>
      <c r="V99" s="41">
        <v>3</v>
      </c>
      <c r="W99" s="41">
        <v>3</v>
      </c>
      <c r="X99" s="41" t="s">
        <v>94</v>
      </c>
      <c r="Y99" s="41">
        <f>IF(X99&gt;0,INDEX(Fish!$D:$D,MATCH(X99,Fish!$L:$L,0)),"")</f>
        <v>11020</v>
      </c>
      <c r="Z99" s="41">
        <v>0</v>
      </c>
      <c r="AA99" s="41">
        <v>1</v>
      </c>
      <c r="AB99" s="41">
        <v>2</v>
      </c>
      <c r="AC99" s="41">
        <v>3</v>
      </c>
      <c r="AD99" s="41" t="s">
        <v>90</v>
      </c>
      <c r="AE99" s="41">
        <f>IF(AD99&gt;0,INDEX(Fish!$D:$D,MATCH(AD99,Fish!$L:$L,0)),"")</f>
        <v>11016</v>
      </c>
      <c r="AF99" s="41">
        <v>0</v>
      </c>
      <c r="AG99" s="41">
        <v>1</v>
      </c>
      <c r="AH99" s="41">
        <v>1</v>
      </c>
      <c r="AI99" s="41">
        <v>2</v>
      </c>
    </row>
    <row r="100" spans="1:35">
      <c r="A100" s="41">
        <v>44413</v>
      </c>
      <c r="B100" s="41">
        <v>2</v>
      </c>
      <c r="C100" s="41">
        <v>0</v>
      </c>
      <c r="D100" s="41">
        <v>2</v>
      </c>
      <c r="E100" s="41">
        <v>1</v>
      </c>
      <c r="F100" s="41" t="s">
        <v>74</v>
      </c>
      <c r="G100" s="41">
        <f>IF(F100&gt;0,INDEX(Fish!$D:$D,MATCH(F100,Fish!$L:$L,0)),"")</f>
        <v>11009</v>
      </c>
      <c r="H100" s="41">
        <v>0</v>
      </c>
      <c r="I100" s="41">
        <v>1</v>
      </c>
      <c r="J100" s="41">
        <v>5</v>
      </c>
      <c r="K100" s="41">
        <v>6</v>
      </c>
      <c r="L100" s="41" t="s">
        <v>78</v>
      </c>
      <c r="M100" s="41">
        <f>IF(L100&gt;0,INDEX(Fish!$D:$D,MATCH(L100,Fish!$L:$L,0)),"")</f>
        <v>11010</v>
      </c>
      <c r="N100" s="41">
        <v>0</v>
      </c>
      <c r="O100" s="41">
        <v>1</v>
      </c>
      <c r="P100" s="41">
        <v>3</v>
      </c>
      <c r="Q100" s="41">
        <v>4</v>
      </c>
      <c r="R100" s="41" t="s">
        <v>82</v>
      </c>
      <c r="S100" s="41">
        <f>IF(R100&gt;0,INDEX(Fish!$D:$D,MATCH(R100,Fish!$L:$L,0)),"")</f>
        <v>11012</v>
      </c>
      <c r="T100" s="41">
        <v>0</v>
      </c>
      <c r="U100" s="41">
        <v>1</v>
      </c>
      <c r="V100" s="41">
        <v>3</v>
      </c>
      <c r="W100" s="41">
        <v>3</v>
      </c>
      <c r="X100" s="41" t="s">
        <v>88</v>
      </c>
      <c r="Y100" s="41">
        <f>IF(X100&gt;0,INDEX(Fish!$D:$D,MATCH(X100,Fish!$L:$L,0)),"")</f>
        <v>11015</v>
      </c>
      <c r="Z100" s="41">
        <v>0</v>
      </c>
      <c r="AA100" s="41">
        <v>1</v>
      </c>
      <c r="AB100" s="41">
        <v>2</v>
      </c>
      <c r="AC100" s="41">
        <v>3</v>
      </c>
      <c r="AD100" s="41" t="s">
        <v>84</v>
      </c>
      <c r="AE100" s="41">
        <f>IF(AD100&gt;0,INDEX(Fish!$D:$D,MATCH(AD100,Fish!$L:$L,0)),"")</f>
        <v>11013</v>
      </c>
      <c r="AF100" s="41">
        <v>0</v>
      </c>
      <c r="AG100" s="41">
        <v>1</v>
      </c>
      <c r="AH100" s="41">
        <v>1</v>
      </c>
      <c r="AI100" s="41">
        <v>2</v>
      </c>
    </row>
    <row r="101" spans="1:35">
      <c r="A101" s="41">
        <v>44413</v>
      </c>
      <c r="B101" s="41">
        <v>2</v>
      </c>
      <c r="C101" s="41">
        <v>0</v>
      </c>
      <c r="D101" s="41">
        <v>2</v>
      </c>
      <c r="E101" s="41">
        <v>1</v>
      </c>
      <c r="F101" s="41" t="s">
        <v>74</v>
      </c>
      <c r="G101" s="41">
        <f>IF(F101&gt;0,INDEX(Fish!$D:$D,MATCH(F101,Fish!$L:$L,0)),"")</f>
        <v>11009</v>
      </c>
      <c r="H101" s="41">
        <v>0</v>
      </c>
      <c r="I101" s="41">
        <v>1</v>
      </c>
      <c r="J101" s="41">
        <v>5</v>
      </c>
      <c r="K101" s="41">
        <v>6</v>
      </c>
      <c r="L101" s="41" t="s">
        <v>78</v>
      </c>
      <c r="M101" s="41">
        <f>IF(L101&gt;0,INDEX(Fish!$D:$D,MATCH(L101,Fish!$L:$L,0)),"")</f>
        <v>11010</v>
      </c>
      <c r="N101" s="41">
        <v>0</v>
      </c>
      <c r="O101" s="41">
        <v>1</v>
      </c>
      <c r="P101" s="41">
        <v>3</v>
      </c>
      <c r="Q101" s="41">
        <v>4</v>
      </c>
      <c r="R101" s="41" t="s">
        <v>82</v>
      </c>
      <c r="S101" s="41">
        <f>IF(R101&gt;0,INDEX(Fish!$D:$D,MATCH(R101,Fish!$L:$L,0)),"")</f>
        <v>11012</v>
      </c>
      <c r="T101" s="41">
        <v>0</v>
      </c>
      <c r="U101" s="41">
        <v>1</v>
      </c>
      <c r="V101" s="41">
        <v>3</v>
      </c>
      <c r="W101" s="41">
        <v>3</v>
      </c>
      <c r="X101" s="41" t="s">
        <v>88</v>
      </c>
      <c r="Y101" s="41">
        <f>IF(X101&gt;0,INDEX(Fish!$D:$D,MATCH(X101,Fish!$L:$L,0)),"")</f>
        <v>11015</v>
      </c>
      <c r="Z101" s="41">
        <v>0</v>
      </c>
      <c r="AA101" s="41">
        <v>1</v>
      </c>
      <c r="AB101" s="41">
        <v>2</v>
      </c>
      <c r="AC101" s="41">
        <v>3</v>
      </c>
      <c r="AD101" s="41" t="s">
        <v>90</v>
      </c>
      <c r="AE101" s="41">
        <f>IF(AD101&gt;0,INDEX(Fish!$D:$D,MATCH(AD101,Fish!$L:$L,0)),"")</f>
        <v>11016</v>
      </c>
      <c r="AF101" s="41">
        <v>0</v>
      </c>
      <c r="AG101" s="41">
        <v>1</v>
      </c>
      <c r="AH101" s="41">
        <v>1</v>
      </c>
      <c r="AI101" s="41">
        <v>2</v>
      </c>
    </row>
    <row r="102" spans="1:35">
      <c r="A102" s="41">
        <v>44413</v>
      </c>
      <c r="B102" s="41">
        <v>2</v>
      </c>
      <c r="C102" s="41">
        <v>0</v>
      </c>
      <c r="D102" s="41">
        <v>2</v>
      </c>
      <c r="E102" s="41">
        <v>1</v>
      </c>
      <c r="F102" s="41" t="s">
        <v>74</v>
      </c>
      <c r="G102" s="41">
        <f>IF(F102&gt;0,INDEX(Fish!$D:$D,MATCH(F102,Fish!$L:$L,0)),"")</f>
        <v>11009</v>
      </c>
      <c r="H102" s="41">
        <v>0</v>
      </c>
      <c r="I102" s="41">
        <v>1</v>
      </c>
      <c r="J102" s="41">
        <v>5</v>
      </c>
      <c r="K102" s="41">
        <v>6</v>
      </c>
      <c r="L102" s="41" t="s">
        <v>78</v>
      </c>
      <c r="M102" s="41">
        <f>IF(L102&gt;0,INDEX(Fish!$D:$D,MATCH(L102,Fish!$L:$L,0)),"")</f>
        <v>11010</v>
      </c>
      <c r="N102" s="41">
        <v>0</v>
      </c>
      <c r="O102" s="41">
        <v>1</v>
      </c>
      <c r="P102" s="41">
        <v>3</v>
      </c>
      <c r="Q102" s="41">
        <v>4</v>
      </c>
      <c r="R102" s="41" t="s">
        <v>82</v>
      </c>
      <c r="S102" s="41">
        <f>IF(R102&gt;0,INDEX(Fish!$D:$D,MATCH(R102,Fish!$L:$L,0)),"")</f>
        <v>11012</v>
      </c>
      <c r="T102" s="41">
        <v>0</v>
      </c>
      <c r="U102" s="41">
        <v>1</v>
      </c>
      <c r="V102" s="41">
        <v>3</v>
      </c>
      <c r="W102" s="41">
        <v>3</v>
      </c>
      <c r="X102" s="41" t="s">
        <v>94</v>
      </c>
      <c r="Y102" s="41">
        <f>IF(X102&gt;0,INDEX(Fish!$D:$D,MATCH(X102,Fish!$L:$L,0)),"")</f>
        <v>11020</v>
      </c>
      <c r="Z102" s="41">
        <v>0</v>
      </c>
      <c r="AA102" s="41">
        <v>1</v>
      </c>
      <c r="AB102" s="41">
        <v>2</v>
      </c>
      <c r="AC102" s="41">
        <v>3</v>
      </c>
      <c r="AD102" s="41" t="s">
        <v>84</v>
      </c>
      <c r="AE102" s="41">
        <f>IF(AD102&gt;0,INDEX(Fish!$D:$D,MATCH(AD102,Fish!$L:$L,0)),"")</f>
        <v>11013</v>
      </c>
      <c r="AF102" s="41">
        <v>0</v>
      </c>
      <c r="AG102" s="41">
        <v>1</v>
      </c>
      <c r="AH102" s="41">
        <v>1</v>
      </c>
      <c r="AI102" s="41">
        <v>2</v>
      </c>
    </row>
    <row r="103" spans="1:35">
      <c r="A103" s="41">
        <v>44413</v>
      </c>
      <c r="B103" s="41">
        <v>2</v>
      </c>
      <c r="C103" s="41">
        <v>0</v>
      </c>
      <c r="D103" s="41">
        <v>2</v>
      </c>
      <c r="E103" s="41">
        <v>1</v>
      </c>
      <c r="F103" s="41" t="s">
        <v>74</v>
      </c>
      <c r="G103" s="41">
        <f>IF(F103&gt;0,INDEX(Fish!$D:$D,MATCH(F103,Fish!$L:$L,0)),"")</f>
        <v>11009</v>
      </c>
      <c r="H103" s="41">
        <v>0</v>
      </c>
      <c r="I103" s="41">
        <v>1</v>
      </c>
      <c r="J103" s="41">
        <v>5</v>
      </c>
      <c r="K103" s="41">
        <v>6</v>
      </c>
      <c r="L103" s="41" t="s">
        <v>78</v>
      </c>
      <c r="M103" s="41">
        <f>IF(L103&gt;0,INDEX(Fish!$D:$D,MATCH(L103,Fish!$L:$L,0)),"")</f>
        <v>11010</v>
      </c>
      <c r="N103" s="41">
        <v>0</v>
      </c>
      <c r="O103" s="41">
        <v>1</v>
      </c>
      <c r="P103" s="41">
        <v>3</v>
      </c>
      <c r="Q103" s="41">
        <v>4</v>
      </c>
      <c r="R103" s="41" t="s">
        <v>82</v>
      </c>
      <c r="S103" s="41">
        <f>IF(R103&gt;0,INDEX(Fish!$D:$D,MATCH(R103,Fish!$L:$L,0)),"")</f>
        <v>11012</v>
      </c>
      <c r="T103" s="41">
        <v>0</v>
      </c>
      <c r="U103" s="41">
        <v>1</v>
      </c>
      <c r="V103" s="41">
        <v>3</v>
      </c>
      <c r="W103" s="41">
        <v>3</v>
      </c>
      <c r="X103" s="41" t="s">
        <v>94</v>
      </c>
      <c r="Y103" s="41">
        <f>IF(X103&gt;0,INDEX(Fish!$D:$D,MATCH(X103,Fish!$L:$L,0)),"")</f>
        <v>11020</v>
      </c>
      <c r="Z103" s="41">
        <v>0</v>
      </c>
      <c r="AA103" s="41">
        <v>1</v>
      </c>
      <c r="AB103" s="41">
        <v>2</v>
      </c>
      <c r="AC103" s="41">
        <v>3</v>
      </c>
      <c r="AD103" s="41" t="s">
        <v>90</v>
      </c>
      <c r="AE103" s="41">
        <f>IF(AD103&gt;0,INDEX(Fish!$D:$D,MATCH(AD103,Fish!$L:$L,0)),"")</f>
        <v>11016</v>
      </c>
      <c r="AF103" s="41">
        <v>0</v>
      </c>
      <c r="AG103" s="41">
        <v>1</v>
      </c>
      <c r="AH103" s="41">
        <v>1</v>
      </c>
      <c r="AI103" s="41">
        <v>2</v>
      </c>
    </row>
    <row r="104" spans="1:35" ht="18.75">
      <c r="A104" s="41">
        <v>44413</v>
      </c>
      <c r="B104" s="41">
        <v>5</v>
      </c>
      <c r="C104" s="41">
        <v>0</v>
      </c>
      <c r="D104" s="41">
        <v>3</v>
      </c>
      <c r="E104" s="41">
        <v>2</v>
      </c>
      <c r="F104" s="41" t="s">
        <v>98</v>
      </c>
      <c r="G104" s="41">
        <f>IF(F104&gt;0,INDEX(Fish!$D:$D,MATCH(F104,Fish!$L:$L,0)),"")</f>
        <v>11090</v>
      </c>
      <c r="H104" s="41">
        <v>40000</v>
      </c>
      <c r="I104" s="41">
        <v>1</v>
      </c>
      <c r="J104" s="41">
        <v>1</v>
      </c>
      <c r="K104" s="41">
        <v>1</v>
      </c>
      <c r="L104" s="45" t="s">
        <v>96</v>
      </c>
      <c r="M104" s="41">
        <f>IF(L104&gt;0,INDEX(Fish!$D:$D,MATCH(L104,Fish!$L:$L,0)),"")</f>
        <v>11024</v>
      </c>
      <c r="N104" s="41">
        <v>30000</v>
      </c>
      <c r="O104" s="41">
        <v>1</v>
      </c>
      <c r="P104" s="41">
        <v>1</v>
      </c>
      <c r="Q104" s="41">
        <v>1</v>
      </c>
      <c r="R104" s="45" t="s">
        <v>100</v>
      </c>
      <c r="S104" s="41">
        <f>IF(R104&gt;0,INDEX(Fish!$D:$D,MATCH(R104,Fish!$L:$L,0)),"")</f>
        <v>11025</v>
      </c>
      <c r="T104" s="41">
        <v>30000</v>
      </c>
      <c r="U104" s="41">
        <v>1</v>
      </c>
      <c r="V104" s="41">
        <v>1</v>
      </c>
      <c r="W104" s="41">
        <v>1</v>
      </c>
    </row>
    <row r="105" spans="1:35">
      <c r="A105" s="41">
        <v>44413</v>
      </c>
      <c r="B105" s="41">
        <v>5</v>
      </c>
      <c r="C105" s="41">
        <v>0</v>
      </c>
      <c r="D105" s="41">
        <v>4</v>
      </c>
      <c r="E105" s="41">
        <v>2</v>
      </c>
      <c r="F105" s="41" t="s">
        <v>346</v>
      </c>
      <c r="G105" s="41">
        <f>IF(F105&gt;0,INDEX(Fish!$D:$D,MATCH(F105,Fish!$L:$L,0)),"")</f>
        <v>11018</v>
      </c>
      <c r="H105" s="41">
        <v>30000</v>
      </c>
      <c r="I105" s="41">
        <v>1</v>
      </c>
      <c r="J105" s="41">
        <v>2</v>
      </c>
      <c r="K105" s="41">
        <v>3</v>
      </c>
      <c r="L105" s="41" t="s">
        <v>356</v>
      </c>
      <c r="M105" s="41">
        <f>IF(L105&gt;0,INDEX(Fish!$D:$D,MATCH(L105,Fish!$L:$L,0)),"")</f>
        <v>11214</v>
      </c>
      <c r="N105" s="41">
        <v>25000</v>
      </c>
      <c r="O105" s="41">
        <v>1</v>
      </c>
      <c r="P105" s="41">
        <v>2</v>
      </c>
      <c r="Q105" s="41">
        <v>3</v>
      </c>
      <c r="R105" s="41" t="s">
        <v>350</v>
      </c>
      <c r="S105" s="41">
        <f>IF(R105&gt;0,INDEX(Fish!$D:$D,MATCH(R105,Fish!$L:$L,0)),"")</f>
        <v>11021</v>
      </c>
      <c r="T105" s="41">
        <v>20000</v>
      </c>
      <c r="U105" s="41">
        <v>1</v>
      </c>
      <c r="V105" s="41">
        <v>2</v>
      </c>
      <c r="W105" s="41">
        <v>3</v>
      </c>
      <c r="X105" s="41" t="s">
        <v>348</v>
      </c>
      <c r="Y105" s="41">
        <f>IF(X105&gt;0,INDEX(Fish!$D:$D,MATCH(X105,Fish!$L:$L,0)),"")</f>
        <v>11092</v>
      </c>
      <c r="Z105" s="41">
        <v>15000</v>
      </c>
      <c r="AA105" s="41">
        <v>1</v>
      </c>
      <c r="AB105" s="41">
        <v>2</v>
      </c>
      <c r="AC105" s="41">
        <v>3</v>
      </c>
      <c r="AD105" s="41" t="s">
        <v>352</v>
      </c>
      <c r="AE105" s="41">
        <f>IF(AD105&gt;0,INDEX(Fish!$D:$D,MATCH(AD105,Fish!$L:$L,0)),"")</f>
        <v>11026</v>
      </c>
      <c r="AF105" s="41">
        <v>10000</v>
      </c>
      <c r="AG105" s="41">
        <v>1</v>
      </c>
      <c r="AH105" s="41">
        <v>2</v>
      </c>
      <c r="AI105" s="41">
        <v>3</v>
      </c>
    </row>
    <row r="106" spans="1:35">
      <c r="A106" s="41">
        <v>44413</v>
      </c>
      <c r="B106" s="41">
        <v>5</v>
      </c>
      <c r="C106" s="41">
        <v>0</v>
      </c>
      <c r="D106" s="41">
        <v>5</v>
      </c>
      <c r="E106" s="41">
        <v>2</v>
      </c>
      <c r="F106" s="41" t="s">
        <v>118</v>
      </c>
      <c r="G106" s="41">
        <f>IF(F106&gt;0,INDEX(Fish!$D:$D,MATCH(F106,Fish!$L:$L,0)),"")</f>
        <v>14011</v>
      </c>
      <c r="H106" s="41">
        <v>32000</v>
      </c>
      <c r="I106" s="41">
        <v>1</v>
      </c>
      <c r="J106" s="41">
        <v>1</v>
      </c>
      <c r="K106" s="41">
        <v>1</v>
      </c>
      <c r="L106" s="41" t="s">
        <v>120</v>
      </c>
      <c r="M106" s="41">
        <f>IF(L106&gt;0,INDEX(Fish!$D:$D,MATCH(L106,Fish!$L:$L,0)),"")</f>
        <v>14015</v>
      </c>
      <c r="N106" s="41">
        <v>24000</v>
      </c>
      <c r="O106" s="41">
        <v>1</v>
      </c>
      <c r="P106" s="41">
        <v>1</v>
      </c>
      <c r="Q106" s="41">
        <v>1</v>
      </c>
      <c r="R106" s="41" t="s">
        <v>121</v>
      </c>
      <c r="S106" s="41">
        <f>IF(R106&gt;0,INDEX(Fish!$D:$D,MATCH(R106,Fish!$L:$L,0)),"")</f>
        <v>14020</v>
      </c>
      <c r="T106" s="41">
        <v>20000</v>
      </c>
      <c r="U106" s="41">
        <v>1</v>
      </c>
      <c r="V106" s="41">
        <v>1</v>
      </c>
      <c r="W106" s="41">
        <v>1</v>
      </c>
      <c r="X106" s="41" t="s">
        <v>119</v>
      </c>
      <c r="Y106" s="41">
        <f>IF(X106&gt;0,INDEX(Fish!$D:$D,MATCH(X106,Fish!$L:$L,0)),"")</f>
        <v>14013</v>
      </c>
      <c r="Z106" s="41">
        <v>15000</v>
      </c>
      <c r="AA106" s="41">
        <v>1</v>
      </c>
      <c r="AB106" s="41">
        <v>1</v>
      </c>
      <c r="AC106" s="41">
        <v>1</v>
      </c>
      <c r="AD106" s="41" t="s">
        <v>125</v>
      </c>
      <c r="AE106" s="41">
        <f>IF(AD106&gt;0,INDEX(Fish!$D:$D,MATCH(AD106,Fish!$L:$L,0)),"")</f>
        <v>14090</v>
      </c>
      <c r="AF106" s="41">
        <v>9000</v>
      </c>
      <c r="AG106" s="41">
        <v>1</v>
      </c>
      <c r="AH106" s="41">
        <v>1</v>
      </c>
      <c r="AI106" s="41">
        <v>1</v>
      </c>
    </row>
    <row r="107" spans="1:35">
      <c r="A107" s="41">
        <v>44414</v>
      </c>
      <c r="B107" s="41">
        <v>1</v>
      </c>
      <c r="C107" s="41">
        <v>10</v>
      </c>
      <c r="D107" s="41">
        <v>1</v>
      </c>
      <c r="E107" s="41">
        <v>1</v>
      </c>
      <c r="F107" s="41" t="s">
        <v>58</v>
      </c>
      <c r="G107" s="41">
        <f>IF(F107&gt;0,INDEX(Fish!$D:$D,MATCH(F107,Fish!$L:$L,0)),"")</f>
        <v>11001</v>
      </c>
      <c r="H107" s="41">
        <v>0</v>
      </c>
      <c r="I107" s="41">
        <v>4</v>
      </c>
      <c r="J107" s="41">
        <v>13</v>
      </c>
      <c r="K107" s="41">
        <v>15</v>
      </c>
      <c r="L107" s="41" t="s">
        <v>68</v>
      </c>
      <c r="M107" s="41">
        <f>IF(L107&gt;0,INDEX(Fish!$D:$D,MATCH(L107,Fish!$L:$L,0)),"")</f>
        <v>11006</v>
      </c>
      <c r="N107" s="41">
        <v>0</v>
      </c>
      <c r="O107" s="41">
        <v>3</v>
      </c>
      <c r="P107" s="41">
        <v>13</v>
      </c>
      <c r="Q107" s="41">
        <v>15</v>
      </c>
    </row>
    <row r="108" spans="1:35">
      <c r="A108" s="41">
        <v>44414</v>
      </c>
      <c r="B108" s="41">
        <v>1</v>
      </c>
      <c r="C108" s="41">
        <v>10</v>
      </c>
      <c r="D108" s="41">
        <v>1</v>
      </c>
      <c r="E108" s="41">
        <v>1</v>
      </c>
      <c r="F108" s="41" t="s">
        <v>58</v>
      </c>
      <c r="G108" s="41">
        <f>IF(F108&gt;0,INDEX(Fish!$D:$D,MATCH(F108,Fish!$L:$L,0)),"")</f>
        <v>11001</v>
      </c>
      <c r="H108" s="41">
        <v>0</v>
      </c>
      <c r="I108" s="41">
        <v>4</v>
      </c>
      <c r="J108" s="41">
        <v>13</v>
      </c>
      <c r="K108" s="41">
        <v>15</v>
      </c>
      <c r="L108" s="41" t="s">
        <v>62</v>
      </c>
      <c r="M108" s="41">
        <f>IF(L108&gt;0,INDEX(Fish!$D:$D,MATCH(L108,Fish!$L:$L,0)),"")</f>
        <v>11003</v>
      </c>
      <c r="N108" s="41">
        <v>0</v>
      </c>
      <c r="O108" s="41">
        <v>3</v>
      </c>
      <c r="P108" s="41">
        <v>13</v>
      </c>
      <c r="Q108" s="41">
        <v>15</v>
      </c>
    </row>
    <row r="109" spans="1:35">
      <c r="A109" s="41">
        <v>44414</v>
      </c>
      <c r="B109" s="41">
        <v>1</v>
      </c>
      <c r="C109" s="41">
        <v>10</v>
      </c>
      <c r="D109" s="41">
        <v>1</v>
      </c>
      <c r="E109" s="41">
        <v>1</v>
      </c>
      <c r="F109" s="41" t="s">
        <v>58</v>
      </c>
      <c r="G109" s="41">
        <f>IF(F109&gt;0,INDEX(Fish!$D:$D,MATCH(F109,Fish!$L:$L,0)),"")</f>
        <v>11001</v>
      </c>
      <c r="H109" s="41">
        <v>0</v>
      </c>
      <c r="I109" s="41">
        <v>4</v>
      </c>
      <c r="J109" s="41">
        <v>13</v>
      </c>
      <c r="K109" s="41">
        <v>15</v>
      </c>
      <c r="L109" s="41" t="s">
        <v>70</v>
      </c>
      <c r="M109" s="41">
        <f>IF(L109&gt;0,INDEX(Fish!$D:$D,MATCH(L109,Fish!$L:$L,0)),"")</f>
        <v>11007</v>
      </c>
      <c r="N109" s="41">
        <v>0</v>
      </c>
      <c r="O109" s="41">
        <v>3</v>
      </c>
      <c r="P109" s="41">
        <v>13</v>
      </c>
      <c r="Q109" s="41">
        <v>15</v>
      </c>
    </row>
    <row r="110" spans="1:35">
      <c r="A110" s="41">
        <v>44414</v>
      </c>
      <c r="B110" s="41">
        <v>1</v>
      </c>
      <c r="C110" s="41">
        <v>10</v>
      </c>
      <c r="D110" s="41">
        <v>1</v>
      </c>
      <c r="E110" s="41">
        <v>1</v>
      </c>
      <c r="F110" s="41" t="s">
        <v>58</v>
      </c>
      <c r="G110" s="41">
        <f>IF(F110&gt;0,INDEX(Fish!$D:$D,MATCH(F110,Fish!$L:$L,0)),"")</f>
        <v>11001</v>
      </c>
      <c r="H110" s="41">
        <v>0</v>
      </c>
      <c r="I110" s="41">
        <v>4</v>
      </c>
      <c r="J110" s="41">
        <v>13</v>
      </c>
      <c r="K110" s="41">
        <v>15</v>
      </c>
      <c r="L110" s="41" t="s">
        <v>76</v>
      </c>
      <c r="M110" s="41">
        <f>IF(L110&gt;0,INDEX(Fish!$D:$D,MATCH(L110,Fish!$L:$L,0)),"")</f>
        <v>11085</v>
      </c>
      <c r="N110" s="41">
        <v>0</v>
      </c>
      <c r="O110" s="41">
        <v>3</v>
      </c>
      <c r="P110" s="41">
        <v>13</v>
      </c>
      <c r="Q110" s="41">
        <v>15</v>
      </c>
    </row>
    <row r="111" spans="1:35">
      <c r="A111" s="41">
        <v>44414</v>
      </c>
      <c r="B111" s="41">
        <v>1</v>
      </c>
      <c r="C111" s="41">
        <v>10</v>
      </c>
      <c r="D111" s="41">
        <v>1</v>
      </c>
      <c r="E111" s="41">
        <v>1</v>
      </c>
      <c r="F111" s="41" t="s">
        <v>58</v>
      </c>
      <c r="G111" s="41">
        <f>IF(F111&gt;0,INDEX(Fish!$D:$D,MATCH(F111,Fish!$L:$L,0)),"")</f>
        <v>11001</v>
      </c>
      <c r="H111" s="41">
        <v>0</v>
      </c>
      <c r="I111" s="41">
        <v>4</v>
      </c>
      <c r="J111" s="41">
        <v>13</v>
      </c>
      <c r="K111" s="41">
        <v>15</v>
      </c>
      <c r="L111" s="41" t="s">
        <v>64</v>
      </c>
      <c r="M111" s="41">
        <f>IF(L111&gt;0,INDEX(Fish!$D:$D,MATCH(L111,Fish!$L:$L,0)),"")</f>
        <v>11004</v>
      </c>
      <c r="N111" s="41">
        <v>0</v>
      </c>
      <c r="O111" s="41">
        <v>3</v>
      </c>
      <c r="P111" s="41">
        <v>13</v>
      </c>
      <c r="Q111" s="41">
        <v>15</v>
      </c>
    </row>
    <row r="112" spans="1:35">
      <c r="A112" s="41">
        <v>44414</v>
      </c>
      <c r="B112" s="41">
        <v>1</v>
      </c>
      <c r="C112" s="41">
        <v>10</v>
      </c>
      <c r="D112" s="41">
        <v>1</v>
      </c>
      <c r="E112" s="41">
        <v>1</v>
      </c>
      <c r="F112" s="41" t="s">
        <v>60</v>
      </c>
      <c r="G112" s="41">
        <f>IF(F112&gt;0,INDEX(Fish!$D:$D,MATCH(F112,Fish!$L:$L,0)),"")</f>
        <v>11002</v>
      </c>
      <c r="H112" s="41">
        <v>0</v>
      </c>
      <c r="I112" s="41">
        <v>4</v>
      </c>
      <c r="J112" s="41">
        <v>13</v>
      </c>
      <c r="K112" s="41">
        <v>15</v>
      </c>
      <c r="L112" s="41" t="s">
        <v>68</v>
      </c>
      <c r="M112" s="41">
        <f>IF(L112&gt;0,INDEX(Fish!$D:$D,MATCH(L112,Fish!$L:$L,0)),"")</f>
        <v>11006</v>
      </c>
      <c r="N112" s="41">
        <v>0</v>
      </c>
      <c r="O112" s="41">
        <v>3</v>
      </c>
      <c r="P112" s="41">
        <v>13</v>
      </c>
      <c r="Q112" s="41">
        <v>15</v>
      </c>
    </row>
    <row r="113" spans="1:29">
      <c r="A113" s="41">
        <v>44414</v>
      </c>
      <c r="B113" s="41">
        <v>1</v>
      </c>
      <c r="C113" s="41">
        <v>10</v>
      </c>
      <c r="D113" s="41">
        <v>1</v>
      </c>
      <c r="E113" s="41">
        <v>1</v>
      </c>
      <c r="F113" s="41" t="s">
        <v>60</v>
      </c>
      <c r="G113" s="41">
        <f>IF(F113&gt;0,INDEX(Fish!$D:$D,MATCH(F113,Fish!$L:$L,0)),"")</f>
        <v>11002</v>
      </c>
      <c r="H113" s="41">
        <v>0</v>
      </c>
      <c r="I113" s="41">
        <v>4</v>
      </c>
      <c r="J113" s="41">
        <v>13</v>
      </c>
      <c r="K113" s="41">
        <v>15</v>
      </c>
      <c r="L113" s="41" t="s">
        <v>62</v>
      </c>
      <c r="M113" s="41">
        <f>IF(L113&gt;0,INDEX(Fish!$D:$D,MATCH(L113,Fish!$L:$L,0)),"")</f>
        <v>11003</v>
      </c>
      <c r="N113" s="41">
        <v>0</v>
      </c>
      <c r="O113" s="41">
        <v>3</v>
      </c>
      <c r="P113" s="41">
        <v>13</v>
      </c>
      <c r="Q113" s="41">
        <v>15</v>
      </c>
    </row>
    <row r="114" spans="1:29">
      <c r="A114" s="41">
        <v>44414</v>
      </c>
      <c r="B114" s="41">
        <v>1</v>
      </c>
      <c r="C114" s="41">
        <v>10</v>
      </c>
      <c r="D114" s="41">
        <v>1</v>
      </c>
      <c r="E114" s="41">
        <v>1</v>
      </c>
      <c r="F114" s="41" t="s">
        <v>60</v>
      </c>
      <c r="G114" s="41">
        <f>IF(F114&gt;0,INDEX(Fish!$D:$D,MATCH(F114,Fish!$L:$L,0)),"")</f>
        <v>11002</v>
      </c>
      <c r="H114" s="41">
        <v>0</v>
      </c>
      <c r="I114" s="41">
        <v>4</v>
      </c>
      <c r="J114" s="41">
        <v>13</v>
      </c>
      <c r="K114" s="41">
        <v>15</v>
      </c>
      <c r="L114" s="41" t="s">
        <v>70</v>
      </c>
      <c r="M114" s="41">
        <f>IF(L114&gt;0,INDEX(Fish!$D:$D,MATCH(L114,Fish!$L:$L,0)),"")</f>
        <v>11007</v>
      </c>
      <c r="N114" s="41">
        <v>0</v>
      </c>
      <c r="O114" s="41">
        <v>3</v>
      </c>
      <c r="P114" s="41">
        <v>13</v>
      </c>
      <c r="Q114" s="41">
        <v>15</v>
      </c>
    </row>
    <row r="115" spans="1:29">
      <c r="A115" s="41">
        <v>44414</v>
      </c>
      <c r="B115" s="41">
        <v>1</v>
      </c>
      <c r="C115" s="41">
        <v>10</v>
      </c>
      <c r="D115" s="41">
        <v>1</v>
      </c>
      <c r="E115" s="41">
        <v>1</v>
      </c>
      <c r="F115" s="41" t="s">
        <v>60</v>
      </c>
      <c r="G115" s="41">
        <f>IF(F115&gt;0,INDEX(Fish!$D:$D,MATCH(F115,Fish!$L:$L,0)),"")</f>
        <v>11002</v>
      </c>
      <c r="H115" s="41">
        <v>0</v>
      </c>
      <c r="I115" s="41">
        <v>4</v>
      </c>
      <c r="J115" s="41">
        <v>13</v>
      </c>
      <c r="K115" s="41">
        <v>15</v>
      </c>
      <c r="L115" s="41" t="s">
        <v>76</v>
      </c>
      <c r="M115" s="41">
        <f>IF(L115&gt;0,INDEX(Fish!$D:$D,MATCH(L115,Fish!$L:$L,0)),"")</f>
        <v>11085</v>
      </c>
      <c r="N115" s="41">
        <v>0</v>
      </c>
      <c r="O115" s="41">
        <v>3</v>
      </c>
      <c r="P115" s="41">
        <v>13</v>
      </c>
      <c r="Q115" s="41">
        <v>15</v>
      </c>
    </row>
    <row r="116" spans="1:29">
      <c r="A116" s="41">
        <v>44414</v>
      </c>
      <c r="B116" s="41">
        <v>1</v>
      </c>
      <c r="C116" s="41">
        <v>10</v>
      </c>
      <c r="D116" s="41">
        <v>1</v>
      </c>
      <c r="E116" s="41">
        <v>1</v>
      </c>
      <c r="F116" s="41" t="s">
        <v>60</v>
      </c>
      <c r="G116" s="41">
        <f>IF(F116&gt;0,INDEX(Fish!$D:$D,MATCH(F116,Fish!$L:$L,0)),"")</f>
        <v>11002</v>
      </c>
      <c r="H116" s="41">
        <v>0</v>
      </c>
      <c r="I116" s="41">
        <v>4</v>
      </c>
      <c r="J116" s="41">
        <v>13</v>
      </c>
      <c r="K116" s="41">
        <v>15</v>
      </c>
      <c r="L116" s="41" t="s">
        <v>64</v>
      </c>
      <c r="M116" s="41">
        <f>IF(L116&gt;0,INDEX(Fish!$D:$D,MATCH(L116,Fish!$L:$L,0)),"")</f>
        <v>11004</v>
      </c>
      <c r="N116" s="41">
        <v>0</v>
      </c>
      <c r="O116" s="41">
        <v>3</v>
      </c>
      <c r="P116" s="41">
        <v>13</v>
      </c>
      <c r="Q116" s="41">
        <v>15</v>
      </c>
    </row>
    <row r="117" spans="1:29">
      <c r="A117" s="41">
        <v>44414</v>
      </c>
      <c r="B117" s="41">
        <v>2</v>
      </c>
      <c r="C117" s="41">
        <v>0</v>
      </c>
      <c r="D117" s="41">
        <v>2</v>
      </c>
      <c r="E117" s="41">
        <v>1</v>
      </c>
      <c r="F117" s="41" t="s">
        <v>72</v>
      </c>
      <c r="G117" s="41">
        <f>IF(F117&gt;0,INDEX(Fish!$D:$D,MATCH(F117,Fish!$L:$L,0)),"")</f>
        <v>11008</v>
      </c>
      <c r="H117" s="41">
        <v>0</v>
      </c>
      <c r="I117" s="41">
        <v>1</v>
      </c>
      <c r="J117" s="41">
        <v>5</v>
      </c>
      <c r="K117" s="41">
        <v>6</v>
      </c>
      <c r="L117" s="41" t="s">
        <v>78</v>
      </c>
      <c r="M117" s="41">
        <f>IF(L117&gt;0,INDEX(Fish!$D:$D,MATCH(L117,Fish!$L:$L,0)),"")</f>
        <v>11010</v>
      </c>
      <c r="N117" s="41">
        <v>0</v>
      </c>
      <c r="O117" s="41">
        <v>1</v>
      </c>
      <c r="P117" s="41">
        <v>4</v>
      </c>
      <c r="Q117" s="41">
        <v>5</v>
      </c>
      <c r="R117" s="41" t="s">
        <v>82</v>
      </c>
      <c r="S117" s="41">
        <f>IF(R117&gt;0,INDEX(Fish!$D:$D,MATCH(R117,Fish!$L:$L,0)),"")</f>
        <v>11012</v>
      </c>
      <c r="T117" s="41">
        <v>0</v>
      </c>
      <c r="U117" s="41">
        <v>1</v>
      </c>
      <c r="V117" s="41">
        <v>3</v>
      </c>
      <c r="W117" s="41">
        <v>4</v>
      </c>
      <c r="X117" s="41" t="s">
        <v>84</v>
      </c>
      <c r="Y117" s="41">
        <f>IF(X117&gt;0,INDEX(Fish!$D:$D,MATCH(X117,Fish!$L:$L,0)),"")</f>
        <v>11013</v>
      </c>
      <c r="Z117" s="41">
        <v>0</v>
      </c>
      <c r="AA117" s="41">
        <v>1</v>
      </c>
      <c r="AB117" s="41">
        <v>2</v>
      </c>
      <c r="AC117" s="41">
        <v>3</v>
      </c>
    </row>
    <row r="118" spans="1:29">
      <c r="A118" s="41">
        <v>44414</v>
      </c>
      <c r="B118" s="41">
        <v>2</v>
      </c>
      <c r="C118" s="41">
        <v>0</v>
      </c>
      <c r="D118" s="41">
        <v>2</v>
      </c>
      <c r="E118" s="41">
        <v>1</v>
      </c>
      <c r="F118" s="41" t="s">
        <v>72</v>
      </c>
      <c r="G118" s="41">
        <f>IF(F118&gt;0,INDEX(Fish!$D:$D,MATCH(F118,Fish!$L:$L,0)),"")</f>
        <v>11008</v>
      </c>
      <c r="H118" s="41">
        <v>0</v>
      </c>
      <c r="I118" s="41">
        <v>1</v>
      </c>
      <c r="J118" s="41">
        <v>5</v>
      </c>
      <c r="K118" s="41">
        <v>6</v>
      </c>
      <c r="L118" s="41" t="s">
        <v>78</v>
      </c>
      <c r="M118" s="41">
        <f>IF(L118&gt;0,INDEX(Fish!$D:$D,MATCH(L118,Fish!$L:$L,0)),"")</f>
        <v>11010</v>
      </c>
      <c r="N118" s="41">
        <v>0</v>
      </c>
      <c r="O118" s="41">
        <v>1</v>
      </c>
      <c r="P118" s="41">
        <v>4</v>
      </c>
      <c r="Q118" s="41">
        <v>5</v>
      </c>
      <c r="R118" s="41" t="s">
        <v>82</v>
      </c>
      <c r="S118" s="41">
        <f>IF(R118&gt;0,INDEX(Fish!$D:$D,MATCH(R118,Fish!$L:$L,0)),"")</f>
        <v>11012</v>
      </c>
      <c r="T118" s="41">
        <v>0</v>
      </c>
      <c r="U118" s="41">
        <v>1</v>
      </c>
      <c r="V118" s="41">
        <v>3</v>
      </c>
      <c r="W118" s="41">
        <v>4</v>
      </c>
      <c r="X118" s="41" t="s">
        <v>90</v>
      </c>
      <c r="Y118" s="41">
        <f>IF(X118&gt;0,INDEX(Fish!$D:$D,MATCH(X118,Fish!$L:$L,0)),"")</f>
        <v>11016</v>
      </c>
      <c r="Z118" s="41">
        <v>0</v>
      </c>
      <c r="AA118" s="41">
        <v>1</v>
      </c>
      <c r="AB118" s="41">
        <v>2</v>
      </c>
      <c r="AC118" s="41">
        <v>3</v>
      </c>
    </row>
    <row r="119" spans="1:29">
      <c r="A119" s="41">
        <v>44414</v>
      </c>
      <c r="B119" s="41">
        <v>2</v>
      </c>
      <c r="C119" s="41">
        <v>0</v>
      </c>
      <c r="D119" s="41">
        <v>2</v>
      </c>
      <c r="E119" s="41">
        <v>1</v>
      </c>
      <c r="F119" s="41" t="s">
        <v>72</v>
      </c>
      <c r="G119" s="41">
        <f>IF(F119&gt;0,INDEX(Fish!$D:$D,MATCH(F119,Fish!$L:$L,0)),"")</f>
        <v>11008</v>
      </c>
      <c r="H119" s="41">
        <v>0</v>
      </c>
      <c r="I119" s="41">
        <v>1</v>
      </c>
      <c r="J119" s="41">
        <v>5</v>
      </c>
      <c r="K119" s="41">
        <v>6</v>
      </c>
      <c r="L119" s="41" t="s">
        <v>78</v>
      </c>
      <c r="M119" s="41">
        <f>IF(L119&gt;0,INDEX(Fish!$D:$D,MATCH(L119,Fish!$L:$L,0)),"")</f>
        <v>11010</v>
      </c>
      <c r="N119" s="41">
        <v>0</v>
      </c>
      <c r="O119" s="41">
        <v>1</v>
      </c>
      <c r="P119" s="41">
        <v>4</v>
      </c>
      <c r="Q119" s="41">
        <v>5</v>
      </c>
      <c r="R119" s="41" t="s">
        <v>82</v>
      </c>
      <c r="S119" s="41">
        <f>IF(R119&gt;0,INDEX(Fish!$D:$D,MATCH(R119,Fish!$L:$L,0)),"")</f>
        <v>11012</v>
      </c>
      <c r="T119" s="41">
        <v>0</v>
      </c>
      <c r="U119" s="41">
        <v>1</v>
      </c>
      <c r="V119" s="41">
        <v>3</v>
      </c>
      <c r="W119" s="41">
        <v>4</v>
      </c>
      <c r="X119" s="41" t="s">
        <v>86</v>
      </c>
      <c r="Y119" s="41">
        <f>IF(X119&gt;0,INDEX(Fish!$D:$D,MATCH(X119,Fish!$L:$L,0)),"")</f>
        <v>11235</v>
      </c>
      <c r="Z119" s="41">
        <v>0</v>
      </c>
      <c r="AA119" s="41">
        <v>1</v>
      </c>
      <c r="AB119" s="41">
        <v>2</v>
      </c>
      <c r="AC119" s="41">
        <v>3</v>
      </c>
    </row>
    <row r="120" spans="1:29">
      <c r="A120" s="41">
        <v>44414</v>
      </c>
      <c r="B120" s="41">
        <v>2</v>
      </c>
      <c r="C120" s="41">
        <v>0</v>
      </c>
      <c r="D120" s="41">
        <v>2</v>
      </c>
      <c r="E120" s="41">
        <v>1</v>
      </c>
      <c r="F120" s="41" t="s">
        <v>72</v>
      </c>
      <c r="G120" s="41">
        <f>IF(F120&gt;0,INDEX(Fish!$D:$D,MATCH(F120,Fish!$L:$L,0)),"")</f>
        <v>11008</v>
      </c>
      <c r="H120" s="41">
        <v>0</v>
      </c>
      <c r="I120" s="41">
        <v>1</v>
      </c>
      <c r="J120" s="41">
        <v>5</v>
      </c>
      <c r="K120" s="41">
        <v>6</v>
      </c>
      <c r="L120" s="41" t="s">
        <v>78</v>
      </c>
      <c r="M120" s="41">
        <f>IF(L120&gt;0,INDEX(Fish!$D:$D,MATCH(L120,Fish!$L:$L,0)),"")</f>
        <v>11010</v>
      </c>
      <c r="N120" s="41">
        <v>0</v>
      </c>
      <c r="O120" s="41">
        <v>1</v>
      </c>
      <c r="P120" s="41">
        <v>4</v>
      </c>
      <c r="Q120" s="41">
        <v>5</v>
      </c>
      <c r="R120" s="41" t="s">
        <v>88</v>
      </c>
      <c r="S120" s="41">
        <f>IF(R120&gt;0,INDEX(Fish!$D:$D,MATCH(R120,Fish!$L:$L,0)),"")</f>
        <v>11015</v>
      </c>
      <c r="T120" s="41">
        <v>0</v>
      </c>
      <c r="U120" s="41">
        <v>1</v>
      </c>
      <c r="V120" s="41">
        <v>3</v>
      </c>
      <c r="W120" s="41">
        <v>4</v>
      </c>
      <c r="X120" s="41" t="s">
        <v>84</v>
      </c>
      <c r="Y120" s="41">
        <f>IF(X120&gt;0,INDEX(Fish!$D:$D,MATCH(X120,Fish!$L:$L,0)),"")</f>
        <v>11013</v>
      </c>
      <c r="Z120" s="41">
        <v>0</v>
      </c>
      <c r="AA120" s="41">
        <v>1</v>
      </c>
      <c r="AB120" s="41">
        <v>2</v>
      </c>
      <c r="AC120" s="41">
        <v>3</v>
      </c>
    </row>
    <row r="121" spans="1:29">
      <c r="A121" s="41">
        <v>44414</v>
      </c>
      <c r="B121" s="41">
        <v>2</v>
      </c>
      <c r="C121" s="41">
        <v>0</v>
      </c>
      <c r="D121" s="41">
        <v>2</v>
      </c>
      <c r="E121" s="41">
        <v>1</v>
      </c>
      <c r="F121" s="41" t="s">
        <v>72</v>
      </c>
      <c r="G121" s="41">
        <f>IF(F121&gt;0,INDEX(Fish!$D:$D,MATCH(F121,Fish!$L:$L,0)),"")</f>
        <v>11008</v>
      </c>
      <c r="H121" s="41">
        <v>0</v>
      </c>
      <c r="I121" s="41">
        <v>1</v>
      </c>
      <c r="J121" s="41">
        <v>5</v>
      </c>
      <c r="K121" s="41">
        <v>6</v>
      </c>
      <c r="L121" s="41" t="s">
        <v>78</v>
      </c>
      <c r="M121" s="41">
        <f>IF(L121&gt;0,INDEX(Fish!$D:$D,MATCH(L121,Fish!$L:$L,0)),"")</f>
        <v>11010</v>
      </c>
      <c r="N121" s="41">
        <v>0</v>
      </c>
      <c r="O121" s="41">
        <v>1</v>
      </c>
      <c r="P121" s="41">
        <v>4</v>
      </c>
      <c r="Q121" s="41">
        <v>5</v>
      </c>
      <c r="R121" s="41" t="s">
        <v>88</v>
      </c>
      <c r="S121" s="41">
        <f>IF(R121&gt;0,INDEX(Fish!$D:$D,MATCH(R121,Fish!$L:$L,0)),"")</f>
        <v>11015</v>
      </c>
      <c r="T121" s="41">
        <v>0</v>
      </c>
      <c r="U121" s="41">
        <v>1</v>
      </c>
      <c r="V121" s="41">
        <v>3</v>
      </c>
      <c r="W121" s="41">
        <v>4</v>
      </c>
      <c r="X121" s="41" t="s">
        <v>90</v>
      </c>
      <c r="Y121" s="41">
        <f>IF(X121&gt;0,INDEX(Fish!$D:$D,MATCH(X121,Fish!$L:$L,0)),"")</f>
        <v>11016</v>
      </c>
      <c r="Z121" s="41">
        <v>0</v>
      </c>
      <c r="AA121" s="41">
        <v>1</v>
      </c>
      <c r="AB121" s="41">
        <v>2</v>
      </c>
      <c r="AC121" s="41">
        <v>3</v>
      </c>
    </row>
    <row r="122" spans="1:29">
      <c r="A122" s="41">
        <v>44414</v>
      </c>
      <c r="B122" s="41">
        <v>2</v>
      </c>
      <c r="C122" s="41">
        <v>0</v>
      </c>
      <c r="D122" s="41">
        <v>2</v>
      </c>
      <c r="E122" s="41">
        <v>1</v>
      </c>
      <c r="F122" s="41" t="s">
        <v>72</v>
      </c>
      <c r="G122" s="41">
        <f>IF(F122&gt;0,INDEX(Fish!$D:$D,MATCH(F122,Fish!$L:$L,0)),"")</f>
        <v>11008</v>
      </c>
      <c r="H122" s="41">
        <v>0</v>
      </c>
      <c r="I122" s="41">
        <v>1</v>
      </c>
      <c r="J122" s="41">
        <v>5</v>
      </c>
      <c r="K122" s="41">
        <v>6</v>
      </c>
      <c r="L122" s="41" t="s">
        <v>78</v>
      </c>
      <c r="M122" s="41">
        <f>IF(L122&gt;0,INDEX(Fish!$D:$D,MATCH(L122,Fish!$L:$L,0)),"")</f>
        <v>11010</v>
      </c>
      <c r="N122" s="41">
        <v>0</v>
      </c>
      <c r="O122" s="41">
        <v>1</v>
      </c>
      <c r="P122" s="41">
        <v>4</v>
      </c>
      <c r="Q122" s="41">
        <v>5</v>
      </c>
      <c r="R122" s="41" t="s">
        <v>88</v>
      </c>
      <c r="S122" s="41">
        <f>IF(R122&gt;0,INDEX(Fish!$D:$D,MATCH(R122,Fish!$L:$L,0)),"")</f>
        <v>11015</v>
      </c>
      <c r="T122" s="41">
        <v>0</v>
      </c>
      <c r="U122" s="41">
        <v>1</v>
      </c>
      <c r="V122" s="41">
        <v>3</v>
      </c>
      <c r="W122" s="41">
        <v>4</v>
      </c>
      <c r="X122" s="41" t="s">
        <v>86</v>
      </c>
      <c r="Y122" s="41">
        <f>IF(X122&gt;0,INDEX(Fish!$D:$D,MATCH(X122,Fish!$L:$L,0)),"")</f>
        <v>11235</v>
      </c>
      <c r="Z122" s="41">
        <v>0</v>
      </c>
      <c r="AA122" s="41">
        <v>1</v>
      </c>
      <c r="AB122" s="41">
        <v>2</v>
      </c>
      <c r="AC122" s="41">
        <v>3</v>
      </c>
    </row>
    <row r="123" spans="1:29">
      <c r="A123" s="41">
        <v>44414</v>
      </c>
      <c r="B123" s="41">
        <v>2</v>
      </c>
      <c r="C123" s="41">
        <v>0</v>
      </c>
      <c r="D123" s="41">
        <v>2</v>
      </c>
      <c r="E123" s="41">
        <v>1</v>
      </c>
      <c r="F123" s="41" t="s">
        <v>72</v>
      </c>
      <c r="G123" s="41">
        <f>IF(F123&gt;0,INDEX(Fish!$D:$D,MATCH(F123,Fish!$L:$L,0)),"")</f>
        <v>11008</v>
      </c>
      <c r="H123" s="41">
        <v>0</v>
      </c>
      <c r="I123" s="41">
        <v>1</v>
      </c>
      <c r="J123" s="41">
        <v>5</v>
      </c>
      <c r="K123" s="41">
        <v>6</v>
      </c>
      <c r="L123" s="41" t="s">
        <v>92</v>
      </c>
      <c r="M123" s="41">
        <f>IF(L123&gt;0,INDEX(Fish!$D:$D,MATCH(L123,Fish!$L:$L,0)),"")</f>
        <v>11017</v>
      </c>
      <c r="N123" s="41">
        <v>0</v>
      </c>
      <c r="O123" s="41">
        <v>1</v>
      </c>
      <c r="P123" s="41">
        <v>4</v>
      </c>
      <c r="Q123" s="41">
        <v>5</v>
      </c>
      <c r="R123" s="41" t="s">
        <v>82</v>
      </c>
      <c r="S123" s="41">
        <f>IF(R123&gt;0,INDEX(Fish!$D:$D,MATCH(R123,Fish!$L:$L,0)),"")</f>
        <v>11012</v>
      </c>
      <c r="T123" s="41">
        <v>0</v>
      </c>
      <c r="U123" s="41">
        <v>1</v>
      </c>
      <c r="V123" s="41">
        <v>3</v>
      </c>
      <c r="W123" s="41">
        <v>4</v>
      </c>
      <c r="X123" s="41" t="s">
        <v>84</v>
      </c>
      <c r="Y123" s="41">
        <f>IF(X123&gt;0,INDEX(Fish!$D:$D,MATCH(X123,Fish!$L:$L,0)),"")</f>
        <v>11013</v>
      </c>
      <c r="Z123" s="41">
        <v>0</v>
      </c>
      <c r="AA123" s="41">
        <v>1</v>
      </c>
      <c r="AB123" s="41">
        <v>2</v>
      </c>
      <c r="AC123" s="41">
        <v>3</v>
      </c>
    </row>
    <row r="124" spans="1:29">
      <c r="A124" s="41">
        <v>44414</v>
      </c>
      <c r="B124" s="41">
        <v>2</v>
      </c>
      <c r="C124" s="41">
        <v>0</v>
      </c>
      <c r="D124" s="41">
        <v>2</v>
      </c>
      <c r="E124" s="41">
        <v>1</v>
      </c>
      <c r="F124" s="41" t="s">
        <v>72</v>
      </c>
      <c r="G124" s="41">
        <f>IF(F124&gt;0,INDEX(Fish!$D:$D,MATCH(F124,Fish!$L:$L,0)),"")</f>
        <v>11008</v>
      </c>
      <c r="H124" s="41">
        <v>0</v>
      </c>
      <c r="I124" s="41">
        <v>1</v>
      </c>
      <c r="J124" s="41">
        <v>5</v>
      </c>
      <c r="K124" s="41">
        <v>6</v>
      </c>
      <c r="L124" s="41" t="s">
        <v>92</v>
      </c>
      <c r="M124" s="41">
        <f>IF(L124&gt;0,INDEX(Fish!$D:$D,MATCH(L124,Fish!$L:$L,0)),"")</f>
        <v>11017</v>
      </c>
      <c r="N124" s="41">
        <v>0</v>
      </c>
      <c r="O124" s="41">
        <v>1</v>
      </c>
      <c r="P124" s="41">
        <v>4</v>
      </c>
      <c r="Q124" s="41">
        <v>5</v>
      </c>
      <c r="R124" s="41" t="s">
        <v>82</v>
      </c>
      <c r="S124" s="41">
        <f>IF(R124&gt;0,INDEX(Fish!$D:$D,MATCH(R124,Fish!$L:$L,0)),"")</f>
        <v>11012</v>
      </c>
      <c r="T124" s="41">
        <v>0</v>
      </c>
      <c r="U124" s="41">
        <v>1</v>
      </c>
      <c r="V124" s="41">
        <v>3</v>
      </c>
      <c r="W124" s="41">
        <v>4</v>
      </c>
      <c r="X124" s="41" t="s">
        <v>90</v>
      </c>
      <c r="Y124" s="41">
        <f>IF(X124&gt;0,INDEX(Fish!$D:$D,MATCH(X124,Fish!$L:$L,0)),"")</f>
        <v>11016</v>
      </c>
      <c r="Z124" s="41">
        <v>0</v>
      </c>
      <c r="AA124" s="41">
        <v>1</v>
      </c>
      <c r="AB124" s="41">
        <v>2</v>
      </c>
      <c r="AC124" s="41">
        <v>3</v>
      </c>
    </row>
    <row r="125" spans="1:29">
      <c r="A125" s="41">
        <v>44414</v>
      </c>
      <c r="B125" s="41">
        <v>2</v>
      </c>
      <c r="C125" s="41">
        <v>0</v>
      </c>
      <c r="D125" s="41">
        <v>2</v>
      </c>
      <c r="E125" s="41">
        <v>1</v>
      </c>
      <c r="F125" s="41" t="s">
        <v>72</v>
      </c>
      <c r="G125" s="41">
        <f>IF(F125&gt;0,INDEX(Fish!$D:$D,MATCH(F125,Fish!$L:$L,0)),"")</f>
        <v>11008</v>
      </c>
      <c r="H125" s="41">
        <v>0</v>
      </c>
      <c r="I125" s="41">
        <v>1</v>
      </c>
      <c r="J125" s="41">
        <v>5</v>
      </c>
      <c r="K125" s="41">
        <v>6</v>
      </c>
      <c r="L125" s="41" t="s">
        <v>92</v>
      </c>
      <c r="M125" s="41">
        <f>IF(L125&gt;0,INDEX(Fish!$D:$D,MATCH(L125,Fish!$L:$L,0)),"")</f>
        <v>11017</v>
      </c>
      <c r="N125" s="41">
        <v>0</v>
      </c>
      <c r="O125" s="41">
        <v>1</v>
      </c>
      <c r="P125" s="41">
        <v>4</v>
      </c>
      <c r="Q125" s="41">
        <v>5</v>
      </c>
      <c r="R125" s="41" t="s">
        <v>82</v>
      </c>
      <c r="S125" s="41">
        <f>IF(R125&gt;0,INDEX(Fish!$D:$D,MATCH(R125,Fish!$L:$L,0)),"")</f>
        <v>11012</v>
      </c>
      <c r="T125" s="41">
        <v>0</v>
      </c>
      <c r="U125" s="41">
        <v>1</v>
      </c>
      <c r="V125" s="41">
        <v>3</v>
      </c>
      <c r="W125" s="41">
        <v>4</v>
      </c>
      <c r="X125" s="41" t="s">
        <v>86</v>
      </c>
      <c r="Y125" s="41">
        <f>IF(X125&gt;0,INDEX(Fish!$D:$D,MATCH(X125,Fish!$L:$L,0)),"")</f>
        <v>11235</v>
      </c>
      <c r="Z125" s="41">
        <v>0</v>
      </c>
      <c r="AA125" s="41">
        <v>1</v>
      </c>
      <c r="AB125" s="41">
        <v>2</v>
      </c>
      <c r="AC125" s="41">
        <v>3</v>
      </c>
    </row>
    <row r="126" spans="1:29">
      <c r="A126" s="41">
        <v>44414</v>
      </c>
      <c r="B126" s="41">
        <v>2</v>
      </c>
      <c r="C126" s="41">
        <v>0</v>
      </c>
      <c r="D126" s="41">
        <v>2</v>
      </c>
      <c r="E126" s="41">
        <v>1</v>
      </c>
      <c r="F126" s="41" t="s">
        <v>72</v>
      </c>
      <c r="G126" s="41">
        <f>IF(F126&gt;0,INDEX(Fish!$D:$D,MATCH(F126,Fish!$L:$L,0)),"")</f>
        <v>11008</v>
      </c>
      <c r="H126" s="41">
        <v>0</v>
      </c>
      <c r="I126" s="41">
        <v>1</v>
      </c>
      <c r="J126" s="41">
        <v>5</v>
      </c>
      <c r="K126" s="41">
        <v>6</v>
      </c>
      <c r="L126" s="41" t="s">
        <v>92</v>
      </c>
      <c r="M126" s="41">
        <f>IF(L126&gt;0,INDEX(Fish!$D:$D,MATCH(L126,Fish!$L:$L,0)),"")</f>
        <v>11017</v>
      </c>
      <c r="N126" s="41">
        <v>0</v>
      </c>
      <c r="O126" s="41">
        <v>1</v>
      </c>
      <c r="P126" s="41">
        <v>4</v>
      </c>
      <c r="Q126" s="41">
        <v>5</v>
      </c>
      <c r="R126" s="41" t="s">
        <v>88</v>
      </c>
      <c r="S126" s="41">
        <f>IF(R126&gt;0,INDEX(Fish!$D:$D,MATCH(R126,Fish!$L:$L,0)),"")</f>
        <v>11015</v>
      </c>
      <c r="T126" s="41">
        <v>0</v>
      </c>
      <c r="U126" s="41">
        <v>1</v>
      </c>
      <c r="V126" s="41">
        <v>3</v>
      </c>
      <c r="W126" s="41">
        <v>4</v>
      </c>
      <c r="X126" s="41" t="s">
        <v>84</v>
      </c>
      <c r="Y126" s="41">
        <f>IF(X126&gt;0,INDEX(Fish!$D:$D,MATCH(X126,Fish!$L:$L,0)),"")</f>
        <v>11013</v>
      </c>
      <c r="Z126" s="41">
        <v>0</v>
      </c>
      <c r="AA126" s="41">
        <v>1</v>
      </c>
      <c r="AB126" s="41">
        <v>2</v>
      </c>
      <c r="AC126" s="41">
        <v>3</v>
      </c>
    </row>
    <row r="127" spans="1:29">
      <c r="A127" s="41">
        <v>44414</v>
      </c>
      <c r="B127" s="41">
        <v>2</v>
      </c>
      <c r="C127" s="41">
        <v>0</v>
      </c>
      <c r="D127" s="41">
        <v>2</v>
      </c>
      <c r="E127" s="41">
        <v>1</v>
      </c>
      <c r="F127" s="41" t="s">
        <v>72</v>
      </c>
      <c r="G127" s="41">
        <f>IF(F127&gt;0,INDEX(Fish!$D:$D,MATCH(F127,Fish!$L:$L,0)),"")</f>
        <v>11008</v>
      </c>
      <c r="H127" s="41">
        <v>0</v>
      </c>
      <c r="I127" s="41">
        <v>1</v>
      </c>
      <c r="J127" s="41">
        <v>5</v>
      </c>
      <c r="K127" s="41">
        <v>6</v>
      </c>
      <c r="L127" s="41" t="s">
        <v>92</v>
      </c>
      <c r="M127" s="41">
        <f>IF(L127&gt;0,INDEX(Fish!$D:$D,MATCH(L127,Fish!$L:$L,0)),"")</f>
        <v>11017</v>
      </c>
      <c r="N127" s="41">
        <v>0</v>
      </c>
      <c r="O127" s="41">
        <v>1</v>
      </c>
      <c r="P127" s="41">
        <v>4</v>
      </c>
      <c r="Q127" s="41">
        <v>5</v>
      </c>
      <c r="R127" s="41" t="s">
        <v>88</v>
      </c>
      <c r="S127" s="41">
        <f>IF(R127&gt;0,INDEX(Fish!$D:$D,MATCH(R127,Fish!$L:$L,0)),"")</f>
        <v>11015</v>
      </c>
      <c r="T127" s="41">
        <v>0</v>
      </c>
      <c r="U127" s="41">
        <v>1</v>
      </c>
      <c r="V127" s="41">
        <v>3</v>
      </c>
      <c r="W127" s="41">
        <v>4</v>
      </c>
      <c r="X127" s="41" t="s">
        <v>90</v>
      </c>
      <c r="Y127" s="41">
        <f>IF(X127&gt;0,INDEX(Fish!$D:$D,MATCH(X127,Fish!$L:$L,0)),"")</f>
        <v>11016</v>
      </c>
      <c r="Z127" s="41">
        <v>0</v>
      </c>
      <c r="AA127" s="41">
        <v>1</v>
      </c>
      <c r="AB127" s="41">
        <v>2</v>
      </c>
      <c r="AC127" s="41">
        <v>3</v>
      </c>
    </row>
    <row r="128" spans="1:29">
      <c r="A128" s="41">
        <v>44414</v>
      </c>
      <c r="B128" s="41">
        <v>2</v>
      </c>
      <c r="C128" s="41">
        <v>0</v>
      </c>
      <c r="D128" s="41">
        <v>2</v>
      </c>
      <c r="E128" s="41">
        <v>1</v>
      </c>
      <c r="F128" s="41" t="s">
        <v>72</v>
      </c>
      <c r="G128" s="41">
        <f>IF(F128&gt;0,INDEX(Fish!$D:$D,MATCH(F128,Fish!$L:$L,0)),"")</f>
        <v>11008</v>
      </c>
      <c r="H128" s="41">
        <v>0</v>
      </c>
      <c r="I128" s="41">
        <v>1</v>
      </c>
      <c r="J128" s="41">
        <v>5</v>
      </c>
      <c r="K128" s="41">
        <v>6</v>
      </c>
      <c r="L128" s="41" t="s">
        <v>92</v>
      </c>
      <c r="M128" s="41">
        <f>IF(L128&gt;0,INDEX(Fish!$D:$D,MATCH(L128,Fish!$L:$L,0)),"")</f>
        <v>11017</v>
      </c>
      <c r="N128" s="41">
        <v>0</v>
      </c>
      <c r="O128" s="41">
        <v>1</v>
      </c>
      <c r="P128" s="41">
        <v>4</v>
      </c>
      <c r="Q128" s="41">
        <v>5</v>
      </c>
      <c r="R128" s="41" t="s">
        <v>88</v>
      </c>
      <c r="S128" s="41">
        <f>IF(R128&gt;0,INDEX(Fish!$D:$D,MATCH(R128,Fish!$L:$L,0)),"")</f>
        <v>11015</v>
      </c>
      <c r="T128" s="41">
        <v>0</v>
      </c>
      <c r="U128" s="41">
        <v>1</v>
      </c>
      <c r="V128" s="41">
        <v>3</v>
      </c>
      <c r="W128" s="41">
        <v>4</v>
      </c>
      <c r="X128" s="41" t="s">
        <v>86</v>
      </c>
      <c r="Y128" s="41">
        <f>IF(X128&gt;0,INDEX(Fish!$D:$D,MATCH(X128,Fish!$L:$L,0)),"")</f>
        <v>11235</v>
      </c>
      <c r="Z128" s="41">
        <v>0</v>
      </c>
      <c r="AA128" s="41">
        <v>1</v>
      </c>
      <c r="AB128" s="41">
        <v>2</v>
      </c>
      <c r="AC128" s="41">
        <v>3</v>
      </c>
    </row>
    <row r="129" spans="1:35">
      <c r="A129" s="41">
        <v>44414</v>
      </c>
      <c r="B129" s="41">
        <v>2</v>
      </c>
      <c r="C129" s="41">
        <v>0</v>
      </c>
      <c r="D129" s="41">
        <v>2</v>
      </c>
      <c r="E129" s="41">
        <v>1</v>
      </c>
      <c r="F129" s="41" t="s">
        <v>66</v>
      </c>
      <c r="G129" s="41">
        <f>IF(F129&gt;0,INDEX(Fish!$D:$D,MATCH(F129,Fish!$L:$L,0)),"")</f>
        <v>11005</v>
      </c>
      <c r="H129" s="41">
        <v>0</v>
      </c>
      <c r="I129" s="41">
        <v>1</v>
      </c>
      <c r="J129" s="41">
        <v>5</v>
      </c>
      <c r="K129" s="41">
        <v>6</v>
      </c>
      <c r="L129" s="41" t="s">
        <v>78</v>
      </c>
      <c r="M129" s="41">
        <f>IF(L129&gt;0,INDEX(Fish!$D:$D,MATCH(L129,Fish!$L:$L,0)),"")</f>
        <v>11010</v>
      </c>
      <c r="N129" s="41">
        <v>0</v>
      </c>
      <c r="O129" s="41">
        <v>1</v>
      </c>
      <c r="P129" s="41">
        <v>4</v>
      </c>
      <c r="Q129" s="41">
        <v>5</v>
      </c>
      <c r="R129" s="41" t="s">
        <v>82</v>
      </c>
      <c r="S129" s="41">
        <f>IF(R129&gt;0,INDEX(Fish!$D:$D,MATCH(R129,Fish!$L:$L,0)),"")</f>
        <v>11012</v>
      </c>
      <c r="T129" s="41">
        <v>0</v>
      </c>
      <c r="U129" s="41">
        <v>1</v>
      </c>
      <c r="V129" s="41">
        <v>3</v>
      </c>
      <c r="W129" s="41">
        <v>4</v>
      </c>
      <c r="X129" s="41" t="s">
        <v>84</v>
      </c>
      <c r="Y129" s="41">
        <f>IF(X129&gt;0,INDEX(Fish!$D:$D,MATCH(X129,Fish!$L:$L,0)),"")</f>
        <v>11013</v>
      </c>
      <c r="Z129" s="41">
        <v>0</v>
      </c>
      <c r="AA129" s="41">
        <v>1</v>
      </c>
      <c r="AB129" s="41">
        <v>2</v>
      </c>
      <c r="AC129" s="41">
        <v>3</v>
      </c>
    </row>
    <row r="130" spans="1:35">
      <c r="A130" s="41">
        <v>44414</v>
      </c>
      <c r="B130" s="41">
        <v>2</v>
      </c>
      <c r="C130" s="41">
        <v>0</v>
      </c>
      <c r="D130" s="41">
        <v>2</v>
      </c>
      <c r="E130" s="41">
        <v>1</v>
      </c>
      <c r="F130" s="41" t="s">
        <v>66</v>
      </c>
      <c r="G130" s="41">
        <f>IF(F130&gt;0,INDEX(Fish!$D:$D,MATCH(F130,Fish!$L:$L,0)),"")</f>
        <v>11005</v>
      </c>
      <c r="H130" s="41">
        <v>0</v>
      </c>
      <c r="I130" s="41">
        <v>1</v>
      </c>
      <c r="J130" s="41">
        <v>5</v>
      </c>
      <c r="K130" s="41">
        <v>6</v>
      </c>
      <c r="L130" s="41" t="s">
        <v>78</v>
      </c>
      <c r="M130" s="41">
        <f>IF(L130&gt;0,INDEX(Fish!$D:$D,MATCH(L130,Fish!$L:$L,0)),"")</f>
        <v>11010</v>
      </c>
      <c r="N130" s="41">
        <v>0</v>
      </c>
      <c r="O130" s="41">
        <v>1</v>
      </c>
      <c r="P130" s="41">
        <v>4</v>
      </c>
      <c r="Q130" s="41">
        <v>5</v>
      </c>
      <c r="R130" s="41" t="s">
        <v>82</v>
      </c>
      <c r="S130" s="41">
        <f>IF(R130&gt;0,INDEX(Fish!$D:$D,MATCH(R130,Fish!$L:$L,0)),"")</f>
        <v>11012</v>
      </c>
      <c r="T130" s="41">
        <v>0</v>
      </c>
      <c r="U130" s="41">
        <v>1</v>
      </c>
      <c r="V130" s="41">
        <v>3</v>
      </c>
      <c r="W130" s="41">
        <v>4</v>
      </c>
      <c r="X130" s="41" t="s">
        <v>90</v>
      </c>
      <c r="Y130" s="41">
        <f>IF(X130&gt;0,INDEX(Fish!$D:$D,MATCH(X130,Fish!$L:$L,0)),"")</f>
        <v>11016</v>
      </c>
      <c r="Z130" s="41">
        <v>0</v>
      </c>
      <c r="AA130" s="41">
        <v>1</v>
      </c>
      <c r="AB130" s="41">
        <v>2</v>
      </c>
      <c r="AC130" s="41">
        <v>3</v>
      </c>
    </row>
    <row r="131" spans="1:35">
      <c r="A131" s="41">
        <v>44414</v>
      </c>
      <c r="B131" s="41">
        <v>2</v>
      </c>
      <c r="C131" s="41">
        <v>0</v>
      </c>
      <c r="D131" s="41">
        <v>2</v>
      </c>
      <c r="E131" s="41">
        <v>1</v>
      </c>
      <c r="F131" s="41" t="s">
        <v>66</v>
      </c>
      <c r="G131" s="41">
        <f>IF(F131&gt;0,INDEX(Fish!$D:$D,MATCH(F131,Fish!$L:$L,0)),"")</f>
        <v>11005</v>
      </c>
      <c r="H131" s="41">
        <v>0</v>
      </c>
      <c r="I131" s="41">
        <v>1</v>
      </c>
      <c r="J131" s="41">
        <v>5</v>
      </c>
      <c r="K131" s="41">
        <v>6</v>
      </c>
      <c r="L131" s="41" t="s">
        <v>78</v>
      </c>
      <c r="M131" s="41">
        <f>IF(L131&gt;0,INDEX(Fish!$D:$D,MATCH(L131,Fish!$L:$L,0)),"")</f>
        <v>11010</v>
      </c>
      <c r="N131" s="41">
        <v>0</v>
      </c>
      <c r="O131" s="41">
        <v>1</v>
      </c>
      <c r="P131" s="41">
        <v>4</v>
      </c>
      <c r="Q131" s="41">
        <v>5</v>
      </c>
      <c r="R131" s="41" t="s">
        <v>82</v>
      </c>
      <c r="S131" s="41">
        <f>IF(R131&gt;0,INDEX(Fish!$D:$D,MATCH(R131,Fish!$L:$L,0)),"")</f>
        <v>11012</v>
      </c>
      <c r="T131" s="41">
        <v>0</v>
      </c>
      <c r="U131" s="41">
        <v>1</v>
      </c>
      <c r="V131" s="41">
        <v>3</v>
      </c>
      <c r="W131" s="41">
        <v>4</v>
      </c>
      <c r="X131" s="41" t="s">
        <v>86</v>
      </c>
      <c r="Y131" s="41">
        <f>IF(X131&gt;0,INDEX(Fish!$D:$D,MATCH(X131,Fish!$L:$L,0)),"")</f>
        <v>11235</v>
      </c>
      <c r="Z131" s="41">
        <v>0</v>
      </c>
      <c r="AA131" s="41">
        <v>1</v>
      </c>
      <c r="AB131" s="41">
        <v>2</v>
      </c>
      <c r="AC131" s="41">
        <v>3</v>
      </c>
    </row>
    <row r="132" spans="1:35">
      <c r="A132" s="41">
        <v>44414</v>
      </c>
      <c r="B132" s="41">
        <v>2</v>
      </c>
      <c r="C132" s="41">
        <v>0</v>
      </c>
      <c r="D132" s="41">
        <v>2</v>
      </c>
      <c r="E132" s="41">
        <v>1</v>
      </c>
      <c r="F132" s="41" t="s">
        <v>66</v>
      </c>
      <c r="G132" s="41">
        <f>IF(F132&gt;0,INDEX(Fish!$D:$D,MATCH(F132,Fish!$L:$L,0)),"")</f>
        <v>11005</v>
      </c>
      <c r="H132" s="41">
        <v>0</v>
      </c>
      <c r="I132" s="41">
        <v>1</v>
      </c>
      <c r="J132" s="41">
        <v>5</v>
      </c>
      <c r="K132" s="41">
        <v>6</v>
      </c>
      <c r="L132" s="41" t="s">
        <v>78</v>
      </c>
      <c r="M132" s="41">
        <f>IF(L132&gt;0,INDEX(Fish!$D:$D,MATCH(L132,Fish!$L:$L,0)),"")</f>
        <v>11010</v>
      </c>
      <c r="N132" s="41">
        <v>0</v>
      </c>
      <c r="O132" s="41">
        <v>1</v>
      </c>
      <c r="P132" s="41">
        <v>4</v>
      </c>
      <c r="Q132" s="41">
        <v>5</v>
      </c>
      <c r="R132" s="41" t="s">
        <v>88</v>
      </c>
      <c r="S132" s="41">
        <f>IF(R132&gt;0,INDEX(Fish!$D:$D,MATCH(R132,Fish!$L:$L,0)),"")</f>
        <v>11015</v>
      </c>
      <c r="T132" s="41">
        <v>0</v>
      </c>
      <c r="U132" s="41">
        <v>1</v>
      </c>
      <c r="V132" s="41">
        <v>3</v>
      </c>
      <c r="W132" s="41">
        <v>4</v>
      </c>
      <c r="X132" s="41" t="s">
        <v>84</v>
      </c>
      <c r="Y132" s="41">
        <f>IF(X132&gt;0,INDEX(Fish!$D:$D,MATCH(X132,Fish!$L:$L,0)),"")</f>
        <v>11013</v>
      </c>
      <c r="Z132" s="41">
        <v>0</v>
      </c>
      <c r="AA132" s="41">
        <v>1</v>
      </c>
      <c r="AB132" s="41">
        <v>2</v>
      </c>
      <c r="AC132" s="41">
        <v>3</v>
      </c>
    </row>
    <row r="133" spans="1:35">
      <c r="A133" s="41">
        <v>44414</v>
      </c>
      <c r="B133" s="41">
        <v>2</v>
      </c>
      <c r="C133" s="41">
        <v>0</v>
      </c>
      <c r="D133" s="41">
        <v>2</v>
      </c>
      <c r="E133" s="41">
        <v>1</v>
      </c>
      <c r="F133" s="41" t="s">
        <v>66</v>
      </c>
      <c r="G133" s="41">
        <f>IF(F133&gt;0,INDEX(Fish!$D:$D,MATCH(F133,Fish!$L:$L,0)),"")</f>
        <v>11005</v>
      </c>
      <c r="H133" s="41">
        <v>0</v>
      </c>
      <c r="I133" s="41">
        <v>1</v>
      </c>
      <c r="J133" s="41">
        <v>5</v>
      </c>
      <c r="K133" s="41">
        <v>6</v>
      </c>
      <c r="L133" s="41" t="s">
        <v>78</v>
      </c>
      <c r="M133" s="41">
        <f>IF(L133&gt;0,INDEX(Fish!$D:$D,MATCH(L133,Fish!$L:$L,0)),"")</f>
        <v>11010</v>
      </c>
      <c r="N133" s="41">
        <v>0</v>
      </c>
      <c r="O133" s="41">
        <v>1</v>
      </c>
      <c r="P133" s="41">
        <v>4</v>
      </c>
      <c r="Q133" s="41">
        <v>5</v>
      </c>
      <c r="R133" s="41" t="s">
        <v>88</v>
      </c>
      <c r="S133" s="41">
        <f>IF(R133&gt;0,INDEX(Fish!$D:$D,MATCH(R133,Fish!$L:$L,0)),"")</f>
        <v>11015</v>
      </c>
      <c r="T133" s="41">
        <v>0</v>
      </c>
      <c r="U133" s="41">
        <v>1</v>
      </c>
      <c r="V133" s="41">
        <v>3</v>
      </c>
      <c r="W133" s="41">
        <v>4</v>
      </c>
      <c r="X133" s="41" t="s">
        <v>90</v>
      </c>
      <c r="Y133" s="41">
        <f>IF(X133&gt;0,INDEX(Fish!$D:$D,MATCH(X133,Fish!$L:$L,0)),"")</f>
        <v>11016</v>
      </c>
      <c r="Z133" s="41">
        <v>0</v>
      </c>
      <c r="AA133" s="41">
        <v>1</v>
      </c>
      <c r="AB133" s="41">
        <v>2</v>
      </c>
      <c r="AC133" s="41">
        <v>3</v>
      </c>
    </row>
    <row r="134" spans="1:35">
      <c r="A134" s="41">
        <v>44414</v>
      </c>
      <c r="B134" s="41">
        <v>2</v>
      </c>
      <c r="C134" s="41">
        <v>0</v>
      </c>
      <c r="D134" s="41">
        <v>2</v>
      </c>
      <c r="E134" s="41">
        <v>1</v>
      </c>
      <c r="F134" s="41" t="s">
        <v>66</v>
      </c>
      <c r="G134" s="41">
        <f>IF(F134&gt;0,INDEX(Fish!$D:$D,MATCH(F134,Fish!$L:$L,0)),"")</f>
        <v>11005</v>
      </c>
      <c r="H134" s="41">
        <v>0</v>
      </c>
      <c r="I134" s="41">
        <v>1</v>
      </c>
      <c r="J134" s="41">
        <v>5</v>
      </c>
      <c r="K134" s="41">
        <v>6</v>
      </c>
      <c r="L134" s="41" t="s">
        <v>78</v>
      </c>
      <c r="M134" s="41">
        <f>IF(L134&gt;0,INDEX(Fish!$D:$D,MATCH(L134,Fish!$L:$L,0)),"")</f>
        <v>11010</v>
      </c>
      <c r="N134" s="41">
        <v>0</v>
      </c>
      <c r="O134" s="41">
        <v>1</v>
      </c>
      <c r="P134" s="41">
        <v>4</v>
      </c>
      <c r="Q134" s="41">
        <v>5</v>
      </c>
      <c r="R134" s="41" t="s">
        <v>88</v>
      </c>
      <c r="S134" s="41">
        <f>IF(R134&gt;0,INDEX(Fish!$D:$D,MATCH(R134,Fish!$L:$L,0)),"")</f>
        <v>11015</v>
      </c>
      <c r="T134" s="41">
        <v>0</v>
      </c>
      <c r="U134" s="41">
        <v>1</v>
      </c>
      <c r="V134" s="41">
        <v>3</v>
      </c>
      <c r="W134" s="41">
        <v>4</v>
      </c>
      <c r="X134" s="41" t="s">
        <v>86</v>
      </c>
      <c r="Y134" s="41">
        <f>IF(X134&gt;0,INDEX(Fish!$D:$D,MATCH(X134,Fish!$L:$L,0)),"")</f>
        <v>11235</v>
      </c>
      <c r="Z134" s="41">
        <v>0</v>
      </c>
      <c r="AA134" s="41">
        <v>1</v>
      </c>
      <c r="AB134" s="41">
        <v>2</v>
      </c>
      <c r="AC134" s="41">
        <v>3</v>
      </c>
    </row>
    <row r="135" spans="1:35">
      <c r="A135" s="41">
        <v>44414</v>
      </c>
      <c r="B135" s="41">
        <v>2</v>
      </c>
      <c r="C135" s="41">
        <v>0</v>
      </c>
      <c r="D135" s="41">
        <v>2</v>
      </c>
      <c r="E135" s="41">
        <v>1</v>
      </c>
      <c r="F135" s="41" t="s">
        <v>66</v>
      </c>
      <c r="G135" s="41">
        <f>IF(F135&gt;0,INDEX(Fish!$D:$D,MATCH(F135,Fish!$L:$L,0)),"")</f>
        <v>11005</v>
      </c>
      <c r="H135" s="41">
        <v>0</v>
      </c>
      <c r="I135" s="41">
        <v>1</v>
      </c>
      <c r="J135" s="41">
        <v>5</v>
      </c>
      <c r="K135" s="41">
        <v>6</v>
      </c>
      <c r="L135" s="41" t="s">
        <v>92</v>
      </c>
      <c r="M135" s="41">
        <f>IF(L135&gt;0,INDEX(Fish!$D:$D,MATCH(L135,Fish!$L:$L,0)),"")</f>
        <v>11017</v>
      </c>
      <c r="N135" s="41">
        <v>0</v>
      </c>
      <c r="O135" s="41">
        <v>1</v>
      </c>
      <c r="P135" s="41">
        <v>4</v>
      </c>
      <c r="Q135" s="41">
        <v>5</v>
      </c>
      <c r="R135" s="41" t="s">
        <v>82</v>
      </c>
      <c r="S135" s="41">
        <f>IF(R135&gt;0,INDEX(Fish!$D:$D,MATCH(R135,Fish!$L:$L,0)),"")</f>
        <v>11012</v>
      </c>
      <c r="T135" s="41">
        <v>0</v>
      </c>
      <c r="U135" s="41">
        <v>1</v>
      </c>
      <c r="V135" s="41">
        <v>3</v>
      </c>
      <c r="W135" s="41">
        <v>4</v>
      </c>
      <c r="X135" s="41" t="s">
        <v>84</v>
      </c>
      <c r="Y135" s="41">
        <f>IF(X135&gt;0,INDEX(Fish!$D:$D,MATCH(X135,Fish!$L:$L,0)),"")</f>
        <v>11013</v>
      </c>
      <c r="Z135" s="41">
        <v>0</v>
      </c>
      <c r="AA135" s="41">
        <v>1</v>
      </c>
      <c r="AB135" s="41">
        <v>2</v>
      </c>
      <c r="AC135" s="41">
        <v>3</v>
      </c>
    </row>
    <row r="136" spans="1:35">
      <c r="A136" s="41">
        <v>44414</v>
      </c>
      <c r="B136" s="41">
        <v>2</v>
      </c>
      <c r="C136" s="41">
        <v>0</v>
      </c>
      <c r="D136" s="41">
        <v>2</v>
      </c>
      <c r="E136" s="41">
        <v>1</v>
      </c>
      <c r="F136" s="41" t="s">
        <v>66</v>
      </c>
      <c r="G136" s="41">
        <f>IF(F136&gt;0,INDEX(Fish!$D:$D,MATCH(F136,Fish!$L:$L,0)),"")</f>
        <v>11005</v>
      </c>
      <c r="H136" s="41">
        <v>0</v>
      </c>
      <c r="I136" s="41">
        <v>1</v>
      </c>
      <c r="J136" s="41">
        <v>5</v>
      </c>
      <c r="K136" s="41">
        <v>6</v>
      </c>
      <c r="L136" s="41" t="s">
        <v>92</v>
      </c>
      <c r="M136" s="41">
        <f>IF(L136&gt;0,INDEX(Fish!$D:$D,MATCH(L136,Fish!$L:$L,0)),"")</f>
        <v>11017</v>
      </c>
      <c r="N136" s="41">
        <v>0</v>
      </c>
      <c r="O136" s="41">
        <v>1</v>
      </c>
      <c r="P136" s="41">
        <v>4</v>
      </c>
      <c r="Q136" s="41">
        <v>5</v>
      </c>
      <c r="R136" s="41" t="s">
        <v>82</v>
      </c>
      <c r="S136" s="41">
        <f>IF(R136&gt;0,INDEX(Fish!$D:$D,MATCH(R136,Fish!$L:$L,0)),"")</f>
        <v>11012</v>
      </c>
      <c r="T136" s="41">
        <v>0</v>
      </c>
      <c r="U136" s="41">
        <v>1</v>
      </c>
      <c r="V136" s="41">
        <v>3</v>
      </c>
      <c r="W136" s="41">
        <v>4</v>
      </c>
      <c r="X136" s="41" t="s">
        <v>90</v>
      </c>
      <c r="Y136" s="41">
        <f>IF(X136&gt;0,INDEX(Fish!$D:$D,MATCH(X136,Fish!$L:$L,0)),"")</f>
        <v>11016</v>
      </c>
      <c r="Z136" s="41">
        <v>0</v>
      </c>
      <c r="AA136" s="41">
        <v>1</v>
      </c>
      <c r="AB136" s="41">
        <v>2</v>
      </c>
      <c r="AC136" s="41">
        <v>3</v>
      </c>
    </row>
    <row r="137" spans="1:35">
      <c r="A137" s="41">
        <v>44414</v>
      </c>
      <c r="B137" s="41">
        <v>2</v>
      </c>
      <c r="C137" s="41">
        <v>0</v>
      </c>
      <c r="D137" s="41">
        <v>2</v>
      </c>
      <c r="E137" s="41">
        <v>1</v>
      </c>
      <c r="F137" s="41" t="s">
        <v>66</v>
      </c>
      <c r="G137" s="41">
        <f>IF(F137&gt;0,INDEX(Fish!$D:$D,MATCH(F137,Fish!$L:$L,0)),"")</f>
        <v>11005</v>
      </c>
      <c r="H137" s="41">
        <v>0</v>
      </c>
      <c r="I137" s="41">
        <v>1</v>
      </c>
      <c r="J137" s="41">
        <v>5</v>
      </c>
      <c r="K137" s="41">
        <v>6</v>
      </c>
      <c r="L137" s="41" t="s">
        <v>92</v>
      </c>
      <c r="M137" s="41">
        <f>IF(L137&gt;0,INDEX(Fish!$D:$D,MATCH(L137,Fish!$L:$L,0)),"")</f>
        <v>11017</v>
      </c>
      <c r="N137" s="41">
        <v>0</v>
      </c>
      <c r="O137" s="41">
        <v>1</v>
      </c>
      <c r="P137" s="41">
        <v>4</v>
      </c>
      <c r="Q137" s="41">
        <v>5</v>
      </c>
      <c r="R137" s="41" t="s">
        <v>82</v>
      </c>
      <c r="S137" s="41">
        <f>IF(R137&gt;0,INDEX(Fish!$D:$D,MATCH(R137,Fish!$L:$L,0)),"")</f>
        <v>11012</v>
      </c>
      <c r="T137" s="41">
        <v>0</v>
      </c>
      <c r="U137" s="41">
        <v>1</v>
      </c>
      <c r="V137" s="41">
        <v>3</v>
      </c>
      <c r="W137" s="41">
        <v>4</v>
      </c>
      <c r="X137" s="41" t="s">
        <v>86</v>
      </c>
      <c r="Y137" s="41">
        <f>IF(X137&gt;0,INDEX(Fish!$D:$D,MATCH(X137,Fish!$L:$L,0)),"")</f>
        <v>11235</v>
      </c>
      <c r="Z137" s="41">
        <v>0</v>
      </c>
      <c r="AA137" s="41">
        <v>1</v>
      </c>
      <c r="AB137" s="41">
        <v>2</v>
      </c>
      <c r="AC137" s="41">
        <v>3</v>
      </c>
    </row>
    <row r="138" spans="1:35">
      <c r="A138" s="41">
        <v>44414</v>
      </c>
      <c r="B138" s="41">
        <v>2</v>
      </c>
      <c r="C138" s="41">
        <v>0</v>
      </c>
      <c r="D138" s="41">
        <v>2</v>
      </c>
      <c r="E138" s="41">
        <v>1</v>
      </c>
      <c r="F138" s="41" t="s">
        <v>66</v>
      </c>
      <c r="G138" s="41">
        <f>IF(F138&gt;0,INDEX(Fish!$D:$D,MATCH(F138,Fish!$L:$L,0)),"")</f>
        <v>11005</v>
      </c>
      <c r="H138" s="41">
        <v>0</v>
      </c>
      <c r="I138" s="41">
        <v>1</v>
      </c>
      <c r="J138" s="41">
        <v>5</v>
      </c>
      <c r="K138" s="41">
        <v>6</v>
      </c>
      <c r="L138" s="41" t="s">
        <v>92</v>
      </c>
      <c r="M138" s="41">
        <f>IF(L138&gt;0,INDEX(Fish!$D:$D,MATCH(L138,Fish!$L:$L,0)),"")</f>
        <v>11017</v>
      </c>
      <c r="N138" s="41">
        <v>0</v>
      </c>
      <c r="O138" s="41">
        <v>1</v>
      </c>
      <c r="P138" s="41">
        <v>4</v>
      </c>
      <c r="Q138" s="41">
        <v>5</v>
      </c>
      <c r="R138" s="41" t="s">
        <v>88</v>
      </c>
      <c r="S138" s="41">
        <f>IF(R138&gt;0,INDEX(Fish!$D:$D,MATCH(R138,Fish!$L:$L,0)),"")</f>
        <v>11015</v>
      </c>
      <c r="T138" s="41">
        <v>0</v>
      </c>
      <c r="U138" s="41">
        <v>1</v>
      </c>
      <c r="V138" s="41">
        <v>3</v>
      </c>
      <c r="W138" s="41">
        <v>4</v>
      </c>
      <c r="X138" s="41" t="s">
        <v>84</v>
      </c>
      <c r="Y138" s="41">
        <f>IF(X138&gt;0,INDEX(Fish!$D:$D,MATCH(X138,Fish!$L:$L,0)),"")</f>
        <v>11013</v>
      </c>
      <c r="Z138" s="41">
        <v>0</v>
      </c>
      <c r="AA138" s="41">
        <v>1</v>
      </c>
      <c r="AB138" s="41">
        <v>2</v>
      </c>
      <c r="AC138" s="41">
        <v>3</v>
      </c>
    </row>
    <row r="139" spans="1:35">
      <c r="A139" s="41">
        <v>44414</v>
      </c>
      <c r="B139" s="41">
        <v>2</v>
      </c>
      <c r="C139" s="41">
        <v>0</v>
      </c>
      <c r="D139" s="41">
        <v>2</v>
      </c>
      <c r="E139" s="41">
        <v>1</v>
      </c>
      <c r="F139" s="41" t="s">
        <v>66</v>
      </c>
      <c r="G139" s="41">
        <f>IF(F139&gt;0,INDEX(Fish!$D:$D,MATCH(F139,Fish!$L:$L,0)),"")</f>
        <v>11005</v>
      </c>
      <c r="H139" s="41">
        <v>0</v>
      </c>
      <c r="I139" s="41">
        <v>1</v>
      </c>
      <c r="J139" s="41">
        <v>5</v>
      </c>
      <c r="K139" s="41">
        <v>6</v>
      </c>
      <c r="L139" s="41" t="s">
        <v>92</v>
      </c>
      <c r="M139" s="41">
        <f>IF(L139&gt;0,INDEX(Fish!$D:$D,MATCH(L139,Fish!$L:$L,0)),"")</f>
        <v>11017</v>
      </c>
      <c r="N139" s="41">
        <v>0</v>
      </c>
      <c r="O139" s="41">
        <v>1</v>
      </c>
      <c r="P139" s="41">
        <v>4</v>
      </c>
      <c r="Q139" s="41">
        <v>5</v>
      </c>
      <c r="R139" s="41" t="s">
        <v>88</v>
      </c>
      <c r="S139" s="41">
        <f>IF(R139&gt;0,INDEX(Fish!$D:$D,MATCH(R139,Fish!$L:$L,0)),"")</f>
        <v>11015</v>
      </c>
      <c r="T139" s="41">
        <v>0</v>
      </c>
      <c r="U139" s="41">
        <v>1</v>
      </c>
      <c r="V139" s="41">
        <v>3</v>
      </c>
      <c r="W139" s="41">
        <v>4</v>
      </c>
      <c r="X139" s="41" t="s">
        <v>90</v>
      </c>
      <c r="Y139" s="41">
        <f>IF(X139&gt;0,INDEX(Fish!$D:$D,MATCH(X139,Fish!$L:$L,0)),"")</f>
        <v>11016</v>
      </c>
      <c r="Z139" s="41">
        <v>0</v>
      </c>
      <c r="AA139" s="41">
        <v>1</v>
      </c>
      <c r="AB139" s="41">
        <v>2</v>
      </c>
      <c r="AC139" s="41">
        <v>3</v>
      </c>
    </row>
    <row r="140" spans="1:35">
      <c r="A140" s="41">
        <v>44414</v>
      </c>
      <c r="B140" s="41">
        <v>2</v>
      </c>
      <c r="C140" s="41">
        <v>0</v>
      </c>
      <c r="D140" s="41">
        <v>2</v>
      </c>
      <c r="E140" s="41">
        <v>1</v>
      </c>
      <c r="F140" s="41" t="s">
        <v>66</v>
      </c>
      <c r="G140" s="41">
        <f>IF(F140&gt;0,INDEX(Fish!$D:$D,MATCH(F140,Fish!$L:$L,0)),"")</f>
        <v>11005</v>
      </c>
      <c r="H140" s="41">
        <v>0</v>
      </c>
      <c r="I140" s="41">
        <v>1</v>
      </c>
      <c r="J140" s="41">
        <v>5</v>
      </c>
      <c r="K140" s="41">
        <v>6</v>
      </c>
      <c r="L140" s="41" t="s">
        <v>92</v>
      </c>
      <c r="M140" s="41">
        <f>IF(L140&gt;0,INDEX(Fish!$D:$D,MATCH(L140,Fish!$L:$L,0)),"")</f>
        <v>11017</v>
      </c>
      <c r="N140" s="41">
        <v>0</v>
      </c>
      <c r="O140" s="41">
        <v>1</v>
      </c>
      <c r="P140" s="41">
        <v>4</v>
      </c>
      <c r="Q140" s="41">
        <v>5</v>
      </c>
      <c r="R140" s="41" t="s">
        <v>88</v>
      </c>
      <c r="S140" s="41">
        <f>IF(R140&gt;0,INDEX(Fish!$D:$D,MATCH(R140,Fish!$L:$L,0)),"")</f>
        <v>11015</v>
      </c>
      <c r="T140" s="41">
        <v>0</v>
      </c>
      <c r="U140" s="41">
        <v>1</v>
      </c>
      <c r="V140" s="41">
        <v>3</v>
      </c>
      <c r="W140" s="41">
        <v>4</v>
      </c>
      <c r="X140" s="41" t="s">
        <v>86</v>
      </c>
      <c r="Y140" s="41">
        <f>IF(X140&gt;0,INDEX(Fish!$D:$D,MATCH(X140,Fish!$L:$L,0)),"")</f>
        <v>11235</v>
      </c>
      <c r="Z140" s="41">
        <v>0</v>
      </c>
      <c r="AA140" s="41">
        <v>1</v>
      </c>
      <c r="AB140" s="41">
        <v>2</v>
      </c>
      <c r="AC140" s="41">
        <v>3</v>
      </c>
    </row>
    <row r="141" spans="1:35" ht="18.75">
      <c r="A141" s="41">
        <v>44414</v>
      </c>
      <c r="B141" s="41">
        <v>5</v>
      </c>
      <c r="C141" s="41">
        <v>0</v>
      </c>
      <c r="D141" s="41">
        <v>3</v>
      </c>
      <c r="E141" s="41">
        <v>2</v>
      </c>
      <c r="F141" s="41" t="s">
        <v>98</v>
      </c>
      <c r="G141" s="41">
        <f>IF(F141&gt;0,INDEX(Fish!$D:$D,MATCH(F141,Fish!$L:$L,0)),"")</f>
        <v>11090</v>
      </c>
      <c r="H141" s="41">
        <v>40000</v>
      </c>
      <c r="I141" s="41">
        <v>1</v>
      </c>
      <c r="J141" s="41">
        <v>1</v>
      </c>
      <c r="K141" s="41">
        <v>1</v>
      </c>
      <c r="L141" s="45" t="s">
        <v>96</v>
      </c>
      <c r="M141" s="41">
        <f>IF(L141&gt;0,INDEX(Fish!$D:$D,MATCH(L141,Fish!$L:$L,0)),"")</f>
        <v>11024</v>
      </c>
      <c r="N141" s="41">
        <v>30000</v>
      </c>
      <c r="O141" s="41">
        <v>1</v>
      </c>
      <c r="P141" s="41">
        <v>1</v>
      </c>
      <c r="Q141" s="41">
        <v>1</v>
      </c>
      <c r="R141" s="45" t="s">
        <v>100</v>
      </c>
      <c r="S141" s="41">
        <f>IF(R141&gt;0,INDEX(Fish!$D:$D,MATCH(R141,Fish!$L:$L,0)),"")</f>
        <v>11025</v>
      </c>
      <c r="T141" s="41">
        <v>30000</v>
      </c>
      <c r="U141" s="41">
        <v>1</v>
      </c>
      <c r="V141" s="41">
        <v>1</v>
      </c>
      <c r="W141" s="41">
        <v>1</v>
      </c>
    </row>
    <row r="142" spans="1:35">
      <c r="A142" s="41">
        <v>44414</v>
      </c>
      <c r="B142" s="41">
        <v>5</v>
      </c>
      <c r="C142" s="41">
        <v>0</v>
      </c>
      <c r="D142" s="41">
        <v>4</v>
      </c>
      <c r="E142" s="41">
        <v>2</v>
      </c>
      <c r="F142" s="41" t="s">
        <v>356</v>
      </c>
      <c r="G142" s="41">
        <f>IF(F142&gt;0,INDEX(Fish!$D:$D,MATCH(F142,Fish!$L:$L,0)),"")</f>
        <v>11214</v>
      </c>
      <c r="H142" s="41">
        <v>30000</v>
      </c>
      <c r="I142" s="41">
        <v>1</v>
      </c>
      <c r="J142" s="41">
        <v>2</v>
      </c>
      <c r="K142" s="41">
        <v>3</v>
      </c>
      <c r="L142" s="41" t="s">
        <v>350</v>
      </c>
      <c r="M142" s="41">
        <f>IF(L142&gt;0,INDEX(Fish!$D:$D,MATCH(L142,Fish!$L:$L,0)),"")</f>
        <v>11021</v>
      </c>
      <c r="N142" s="41">
        <v>25000</v>
      </c>
      <c r="O142" s="41">
        <v>1</v>
      </c>
      <c r="P142" s="41">
        <v>2</v>
      </c>
      <c r="Q142" s="41">
        <v>3</v>
      </c>
      <c r="R142" s="41" t="s">
        <v>348</v>
      </c>
      <c r="S142" s="41">
        <f>IF(R142&gt;0,INDEX(Fish!$D:$D,MATCH(R142,Fish!$L:$L,0)),"")</f>
        <v>11092</v>
      </c>
      <c r="T142" s="41">
        <v>18000</v>
      </c>
      <c r="U142" s="41">
        <v>1</v>
      </c>
      <c r="V142" s="41">
        <v>2</v>
      </c>
      <c r="W142" s="41">
        <v>3</v>
      </c>
      <c r="X142" s="41" t="s">
        <v>352</v>
      </c>
      <c r="Y142" s="41">
        <f>IF(X142&gt;0,INDEX(Fish!$D:$D,MATCH(X142,Fish!$L:$L,0)),"")</f>
        <v>11026</v>
      </c>
      <c r="Z142" s="41">
        <v>15000</v>
      </c>
      <c r="AA142" s="41">
        <v>1</v>
      </c>
      <c r="AB142" s="41">
        <v>2</v>
      </c>
      <c r="AC142" s="41">
        <v>3</v>
      </c>
      <c r="AD142" s="41" t="s">
        <v>354</v>
      </c>
      <c r="AE142" s="41">
        <f>IF(AD142&gt;0,INDEX(Fish!$D:$D,MATCH(AD142,Fish!$L:$L,0)),"")</f>
        <v>11027</v>
      </c>
      <c r="AF142" s="41">
        <v>12000</v>
      </c>
      <c r="AG142" s="41">
        <v>1</v>
      </c>
      <c r="AH142" s="41">
        <v>2</v>
      </c>
      <c r="AI142" s="41">
        <v>3</v>
      </c>
    </row>
    <row r="143" spans="1:35">
      <c r="A143" s="41">
        <v>44414</v>
      </c>
      <c r="B143" s="41">
        <v>5</v>
      </c>
      <c r="C143" s="41">
        <v>0</v>
      </c>
      <c r="D143" s="41">
        <v>5</v>
      </c>
      <c r="E143" s="41">
        <v>2</v>
      </c>
      <c r="F143" s="41" t="s">
        <v>120</v>
      </c>
      <c r="G143" s="41">
        <f>IF(F143&gt;0,INDEX(Fish!$D:$D,MATCH(F143,Fish!$L:$L,0)),"")</f>
        <v>14015</v>
      </c>
      <c r="H143" s="41">
        <v>30000</v>
      </c>
      <c r="I143" s="41">
        <v>1</v>
      </c>
      <c r="J143" s="41">
        <v>1</v>
      </c>
      <c r="K143" s="41">
        <v>1</v>
      </c>
      <c r="L143" s="41" t="s">
        <v>124</v>
      </c>
      <c r="M143" s="41">
        <f>IF(L143&gt;0,INDEX(Fish!$D:$D,MATCH(L143,Fish!$L:$L,0)),"")</f>
        <v>14235</v>
      </c>
      <c r="N143" s="41">
        <v>25000</v>
      </c>
      <c r="O143" s="41">
        <v>1</v>
      </c>
      <c r="P143" s="41">
        <v>1</v>
      </c>
      <c r="Q143" s="41">
        <v>1</v>
      </c>
      <c r="R143" s="41" t="s">
        <v>119</v>
      </c>
      <c r="S143" s="41">
        <f>IF(R143&gt;0,INDEX(Fish!$D:$D,MATCH(R143,Fish!$L:$L,0)),"")</f>
        <v>14013</v>
      </c>
      <c r="T143" s="41">
        <v>18000</v>
      </c>
      <c r="U143" s="41">
        <v>1</v>
      </c>
      <c r="V143" s="41">
        <v>1</v>
      </c>
      <c r="W143" s="41">
        <v>1</v>
      </c>
      <c r="X143" s="41" t="s">
        <v>125</v>
      </c>
      <c r="Y143" s="41">
        <f>IF(X143&gt;0,INDEX(Fish!$D:$D,MATCH(X143,Fish!$L:$L,0)),"")</f>
        <v>14090</v>
      </c>
      <c r="Z143" s="41">
        <v>15000</v>
      </c>
      <c r="AA143" s="41">
        <v>1</v>
      </c>
      <c r="AB143" s="41">
        <v>1</v>
      </c>
      <c r="AC143" s="41">
        <v>1</v>
      </c>
      <c r="AD143" s="41" t="s">
        <v>122</v>
      </c>
      <c r="AE143" s="41">
        <f>IF(AD143&gt;0,INDEX(Fish!$D:$D,MATCH(AD143,Fish!$L:$L,0)),"")</f>
        <v>14024</v>
      </c>
      <c r="AF143" s="41">
        <v>12000</v>
      </c>
      <c r="AG143" s="41">
        <v>1</v>
      </c>
      <c r="AH143" s="41">
        <v>1</v>
      </c>
      <c r="AI143" s="41">
        <v>1</v>
      </c>
    </row>
    <row r="144" spans="1:35">
      <c r="A144" s="41">
        <v>44415</v>
      </c>
      <c r="B144" s="41">
        <v>1</v>
      </c>
      <c r="C144" s="41">
        <v>10</v>
      </c>
      <c r="D144" s="41">
        <v>1</v>
      </c>
      <c r="E144" s="41">
        <v>1</v>
      </c>
      <c r="F144" s="41" t="s">
        <v>58</v>
      </c>
      <c r="G144" s="41">
        <f>IF(F144&gt;0,INDEX(Fish!$D:$D,MATCH(F144,Fish!$L:$L,0)),"")</f>
        <v>11001</v>
      </c>
      <c r="H144" s="41">
        <v>0</v>
      </c>
      <c r="I144" s="41">
        <v>4</v>
      </c>
      <c r="J144" s="41">
        <v>13</v>
      </c>
      <c r="K144" s="41">
        <v>15</v>
      </c>
      <c r="L144" s="41" t="s">
        <v>68</v>
      </c>
      <c r="M144" s="41">
        <f>IF(L144&gt;0,INDEX(Fish!$D:$D,MATCH(L144,Fish!$L:$L,0)),"")</f>
        <v>11006</v>
      </c>
      <c r="N144" s="41">
        <v>0</v>
      </c>
      <c r="O144" s="41">
        <v>3</v>
      </c>
      <c r="P144" s="41">
        <v>13</v>
      </c>
      <c r="Q144" s="41">
        <v>15</v>
      </c>
    </row>
    <row r="145" spans="1:29">
      <c r="A145" s="41">
        <v>44415</v>
      </c>
      <c r="B145" s="41">
        <v>1</v>
      </c>
      <c r="C145" s="41">
        <v>10</v>
      </c>
      <c r="D145" s="41">
        <v>1</v>
      </c>
      <c r="E145" s="41">
        <v>1</v>
      </c>
      <c r="F145" s="41" t="s">
        <v>58</v>
      </c>
      <c r="G145" s="41">
        <f>IF(F145&gt;0,INDEX(Fish!$D:$D,MATCH(F145,Fish!$L:$L,0)),"")</f>
        <v>11001</v>
      </c>
      <c r="H145" s="41">
        <v>0</v>
      </c>
      <c r="I145" s="41">
        <v>4</v>
      </c>
      <c r="J145" s="41">
        <v>13</v>
      </c>
      <c r="K145" s="41">
        <v>15</v>
      </c>
      <c r="L145" s="41" t="s">
        <v>62</v>
      </c>
      <c r="M145" s="41">
        <f>IF(L145&gt;0,INDEX(Fish!$D:$D,MATCH(L145,Fish!$L:$L,0)),"")</f>
        <v>11003</v>
      </c>
      <c r="N145" s="41">
        <v>0</v>
      </c>
      <c r="O145" s="41">
        <v>3</v>
      </c>
      <c r="P145" s="41">
        <v>13</v>
      </c>
      <c r="Q145" s="41">
        <v>15</v>
      </c>
    </row>
    <row r="146" spans="1:29">
      <c r="A146" s="41">
        <v>44415</v>
      </c>
      <c r="B146" s="41">
        <v>1</v>
      </c>
      <c r="C146" s="41">
        <v>10</v>
      </c>
      <c r="D146" s="41">
        <v>1</v>
      </c>
      <c r="E146" s="41">
        <v>1</v>
      </c>
      <c r="F146" s="41" t="s">
        <v>58</v>
      </c>
      <c r="G146" s="41">
        <f>IF(F146&gt;0,INDEX(Fish!$D:$D,MATCH(F146,Fish!$L:$L,0)),"")</f>
        <v>11001</v>
      </c>
      <c r="H146" s="41">
        <v>0</v>
      </c>
      <c r="I146" s="41">
        <v>4</v>
      </c>
      <c r="J146" s="41">
        <v>13</v>
      </c>
      <c r="K146" s="41">
        <v>15</v>
      </c>
      <c r="L146" s="41" t="s">
        <v>70</v>
      </c>
      <c r="M146" s="41">
        <f>IF(L146&gt;0,INDEX(Fish!$D:$D,MATCH(L146,Fish!$L:$L,0)),"")</f>
        <v>11007</v>
      </c>
      <c r="N146" s="41">
        <v>0</v>
      </c>
      <c r="O146" s="41">
        <v>3</v>
      </c>
      <c r="P146" s="41">
        <v>13</v>
      </c>
      <c r="Q146" s="41">
        <v>15</v>
      </c>
    </row>
    <row r="147" spans="1:29">
      <c r="A147" s="41">
        <v>44415</v>
      </c>
      <c r="B147" s="41">
        <v>1</v>
      </c>
      <c r="C147" s="41">
        <v>10</v>
      </c>
      <c r="D147" s="41">
        <v>1</v>
      </c>
      <c r="E147" s="41">
        <v>1</v>
      </c>
      <c r="F147" s="41" t="s">
        <v>58</v>
      </c>
      <c r="G147" s="41">
        <f>IF(F147&gt;0,INDEX(Fish!$D:$D,MATCH(F147,Fish!$L:$L,0)),"")</f>
        <v>11001</v>
      </c>
      <c r="H147" s="41">
        <v>0</v>
      </c>
      <c r="I147" s="41">
        <v>4</v>
      </c>
      <c r="J147" s="41">
        <v>13</v>
      </c>
      <c r="K147" s="41">
        <v>15</v>
      </c>
      <c r="L147" s="41" t="s">
        <v>76</v>
      </c>
      <c r="M147" s="41">
        <f>IF(L147&gt;0,INDEX(Fish!$D:$D,MATCH(L147,Fish!$L:$L,0)),"")</f>
        <v>11085</v>
      </c>
      <c r="N147" s="41">
        <v>0</v>
      </c>
      <c r="O147" s="41">
        <v>3</v>
      </c>
      <c r="P147" s="41">
        <v>13</v>
      </c>
      <c r="Q147" s="41">
        <v>15</v>
      </c>
    </row>
    <row r="148" spans="1:29">
      <c r="A148" s="41">
        <v>44415</v>
      </c>
      <c r="B148" s="41">
        <v>1</v>
      </c>
      <c r="C148" s="41">
        <v>10</v>
      </c>
      <c r="D148" s="41">
        <v>1</v>
      </c>
      <c r="E148" s="41">
        <v>1</v>
      </c>
      <c r="F148" s="41" t="s">
        <v>58</v>
      </c>
      <c r="G148" s="41">
        <f>IF(F148&gt;0,INDEX(Fish!$D:$D,MATCH(F148,Fish!$L:$L,0)),"")</f>
        <v>11001</v>
      </c>
      <c r="H148" s="41">
        <v>0</v>
      </c>
      <c r="I148" s="41">
        <v>4</v>
      </c>
      <c r="J148" s="41">
        <v>13</v>
      </c>
      <c r="K148" s="41">
        <v>15</v>
      </c>
      <c r="L148" s="41" t="s">
        <v>64</v>
      </c>
      <c r="M148" s="41">
        <f>IF(L148&gt;0,INDEX(Fish!$D:$D,MATCH(L148,Fish!$L:$L,0)),"")</f>
        <v>11004</v>
      </c>
      <c r="N148" s="41">
        <v>0</v>
      </c>
      <c r="O148" s="41">
        <v>3</v>
      </c>
      <c r="P148" s="41">
        <v>13</v>
      </c>
      <c r="Q148" s="41">
        <v>15</v>
      </c>
    </row>
    <row r="149" spans="1:29">
      <c r="A149" s="41">
        <v>44415</v>
      </c>
      <c r="B149" s="41">
        <v>1</v>
      </c>
      <c r="C149" s="41">
        <v>10</v>
      </c>
      <c r="D149" s="41">
        <v>1</v>
      </c>
      <c r="E149" s="41">
        <v>1</v>
      </c>
      <c r="F149" s="41" t="s">
        <v>60</v>
      </c>
      <c r="G149" s="41">
        <f>IF(F149&gt;0,INDEX(Fish!$D:$D,MATCH(F149,Fish!$L:$L,0)),"")</f>
        <v>11002</v>
      </c>
      <c r="H149" s="41">
        <v>0</v>
      </c>
      <c r="I149" s="41">
        <v>4</v>
      </c>
      <c r="J149" s="41">
        <v>13</v>
      </c>
      <c r="K149" s="41">
        <v>15</v>
      </c>
      <c r="L149" s="41" t="s">
        <v>68</v>
      </c>
      <c r="M149" s="41">
        <f>IF(L149&gt;0,INDEX(Fish!$D:$D,MATCH(L149,Fish!$L:$L,0)),"")</f>
        <v>11006</v>
      </c>
      <c r="N149" s="41">
        <v>0</v>
      </c>
      <c r="O149" s="41">
        <v>3</v>
      </c>
      <c r="P149" s="41">
        <v>13</v>
      </c>
      <c r="Q149" s="41">
        <v>15</v>
      </c>
    </row>
    <row r="150" spans="1:29">
      <c r="A150" s="41">
        <v>44415</v>
      </c>
      <c r="B150" s="41">
        <v>1</v>
      </c>
      <c r="C150" s="41">
        <v>10</v>
      </c>
      <c r="D150" s="41">
        <v>1</v>
      </c>
      <c r="E150" s="41">
        <v>1</v>
      </c>
      <c r="F150" s="41" t="s">
        <v>60</v>
      </c>
      <c r="G150" s="41">
        <f>IF(F150&gt;0,INDEX(Fish!$D:$D,MATCH(F150,Fish!$L:$L,0)),"")</f>
        <v>11002</v>
      </c>
      <c r="H150" s="41">
        <v>0</v>
      </c>
      <c r="I150" s="41">
        <v>4</v>
      </c>
      <c r="J150" s="41">
        <v>13</v>
      </c>
      <c r="K150" s="41">
        <v>15</v>
      </c>
      <c r="L150" s="41" t="s">
        <v>62</v>
      </c>
      <c r="M150" s="41">
        <f>IF(L150&gt;0,INDEX(Fish!$D:$D,MATCH(L150,Fish!$L:$L,0)),"")</f>
        <v>11003</v>
      </c>
      <c r="N150" s="41">
        <v>0</v>
      </c>
      <c r="O150" s="41">
        <v>3</v>
      </c>
      <c r="P150" s="41">
        <v>13</v>
      </c>
      <c r="Q150" s="41">
        <v>15</v>
      </c>
    </row>
    <row r="151" spans="1:29">
      <c r="A151" s="41">
        <v>44415</v>
      </c>
      <c r="B151" s="41">
        <v>1</v>
      </c>
      <c r="C151" s="41">
        <v>10</v>
      </c>
      <c r="D151" s="41">
        <v>1</v>
      </c>
      <c r="E151" s="41">
        <v>1</v>
      </c>
      <c r="F151" s="41" t="s">
        <v>60</v>
      </c>
      <c r="G151" s="41">
        <f>IF(F151&gt;0,INDEX(Fish!$D:$D,MATCH(F151,Fish!$L:$L,0)),"")</f>
        <v>11002</v>
      </c>
      <c r="H151" s="41">
        <v>0</v>
      </c>
      <c r="I151" s="41">
        <v>4</v>
      </c>
      <c r="J151" s="41">
        <v>13</v>
      </c>
      <c r="K151" s="41">
        <v>15</v>
      </c>
      <c r="L151" s="41" t="s">
        <v>70</v>
      </c>
      <c r="M151" s="41">
        <f>IF(L151&gt;0,INDEX(Fish!$D:$D,MATCH(L151,Fish!$L:$L,0)),"")</f>
        <v>11007</v>
      </c>
      <c r="N151" s="41">
        <v>0</v>
      </c>
      <c r="O151" s="41">
        <v>3</v>
      </c>
      <c r="P151" s="41">
        <v>13</v>
      </c>
      <c r="Q151" s="41">
        <v>15</v>
      </c>
    </row>
    <row r="152" spans="1:29">
      <c r="A152" s="41">
        <v>44415</v>
      </c>
      <c r="B152" s="41">
        <v>1</v>
      </c>
      <c r="C152" s="41">
        <v>10</v>
      </c>
      <c r="D152" s="41">
        <v>1</v>
      </c>
      <c r="E152" s="41">
        <v>1</v>
      </c>
      <c r="F152" s="41" t="s">
        <v>60</v>
      </c>
      <c r="G152" s="41">
        <f>IF(F152&gt;0,INDEX(Fish!$D:$D,MATCH(F152,Fish!$L:$L,0)),"")</f>
        <v>11002</v>
      </c>
      <c r="H152" s="41">
        <v>0</v>
      </c>
      <c r="I152" s="41">
        <v>4</v>
      </c>
      <c r="J152" s="41">
        <v>13</v>
      </c>
      <c r="K152" s="41">
        <v>15</v>
      </c>
      <c r="L152" s="41" t="s">
        <v>76</v>
      </c>
      <c r="M152" s="41">
        <f>IF(L152&gt;0,INDEX(Fish!$D:$D,MATCH(L152,Fish!$L:$L,0)),"")</f>
        <v>11085</v>
      </c>
      <c r="N152" s="41">
        <v>0</v>
      </c>
      <c r="O152" s="41">
        <v>3</v>
      </c>
      <c r="P152" s="41">
        <v>13</v>
      </c>
      <c r="Q152" s="41">
        <v>15</v>
      </c>
    </row>
    <row r="153" spans="1:29">
      <c r="A153" s="41">
        <v>44415</v>
      </c>
      <c r="B153" s="41">
        <v>1</v>
      </c>
      <c r="C153" s="41">
        <v>10</v>
      </c>
      <c r="D153" s="41">
        <v>1</v>
      </c>
      <c r="E153" s="41">
        <v>1</v>
      </c>
      <c r="F153" s="41" t="s">
        <v>60</v>
      </c>
      <c r="G153" s="41">
        <f>IF(F153&gt;0,INDEX(Fish!$D:$D,MATCH(F153,Fish!$L:$L,0)),"")</f>
        <v>11002</v>
      </c>
      <c r="H153" s="41">
        <v>0</v>
      </c>
      <c r="I153" s="41">
        <v>4</v>
      </c>
      <c r="J153" s="41">
        <v>13</v>
      </c>
      <c r="K153" s="41">
        <v>15</v>
      </c>
      <c r="L153" s="41" t="s">
        <v>64</v>
      </c>
      <c r="M153" s="41">
        <f>IF(L153&gt;0,INDEX(Fish!$D:$D,MATCH(L153,Fish!$L:$L,0)),"")</f>
        <v>11004</v>
      </c>
      <c r="N153" s="41">
        <v>0</v>
      </c>
      <c r="O153" s="41">
        <v>3</v>
      </c>
      <c r="P153" s="41">
        <v>13</v>
      </c>
      <c r="Q153" s="41">
        <v>15</v>
      </c>
    </row>
    <row r="154" spans="1:29">
      <c r="A154" s="41">
        <v>44415</v>
      </c>
      <c r="B154" s="41">
        <v>2</v>
      </c>
      <c r="C154" s="41">
        <v>0</v>
      </c>
      <c r="D154" s="41">
        <v>2</v>
      </c>
      <c r="E154" s="41">
        <v>1</v>
      </c>
      <c r="F154" s="41" t="s">
        <v>72</v>
      </c>
      <c r="G154" s="41">
        <f>IF(F154&gt;0,INDEX(Fish!$D:$D,MATCH(F154,Fish!$L:$L,0)),"")</f>
        <v>11008</v>
      </c>
      <c r="H154" s="41">
        <v>0</v>
      </c>
      <c r="I154" s="41">
        <v>1</v>
      </c>
      <c r="J154" s="41">
        <v>5</v>
      </c>
      <c r="K154" s="41">
        <v>6</v>
      </c>
      <c r="L154" s="41" t="s">
        <v>78</v>
      </c>
      <c r="M154" s="41">
        <f>IF(L154&gt;0,INDEX(Fish!$D:$D,MATCH(L154,Fish!$L:$L,0)),"")</f>
        <v>11010</v>
      </c>
      <c r="N154" s="41">
        <v>0</v>
      </c>
      <c r="O154" s="41">
        <v>1</v>
      </c>
      <c r="P154" s="41">
        <v>4</v>
      </c>
      <c r="Q154" s="41">
        <v>5</v>
      </c>
      <c r="R154" s="41" t="s">
        <v>82</v>
      </c>
      <c r="S154" s="41">
        <f>IF(R154&gt;0,INDEX(Fish!$D:$D,MATCH(R154,Fish!$L:$L,0)),"")</f>
        <v>11012</v>
      </c>
      <c r="T154" s="41">
        <v>0</v>
      </c>
      <c r="U154" s="41">
        <v>1</v>
      </c>
      <c r="V154" s="41">
        <v>3</v>
      </c>
      <c r="W154" s="41">
        <v>4</v>
      </c>
      <c r="X154" s="41" t="s">
        <v>84</v>
      </c>
      <c r="Y154" s="41">
        <f>IF(X154&gt;0,INDEX(Fish!$D:$D,MATCH(X154,Fish!$L:$L,0)),"")</f>
        <v>11013</v>
      </c>
      <c r="Z154" s="41">
        <v>0</v>
      </c>
      <c r="AA154" s="41">
        <v>1</v>
      </c>
      <c r="AB154" s="41">
        <v>2</v>
      </c>
      <c r="AC154" s="41">
        <v>3</v>
      </c>
    </row>
    <row r="155" spans="1:29">
      <c r="A155" s="41">
        <v>44415</v>
      </c>
      <c r="B155" s="41">
        <v>2</v>
      </c>
      <c r="C155" s="41">
        <v>0</v>
      </c>
      <c r="D155" s="41">
        <v>2</v>
      </c>
      <c r="E155" s="41">
        <v>1</v>
      </c>
      <c r="F155" s="41" t="s">
        <v>72</v>
      </c>
      <c r="G155" s="41">
        <f>IF(F155&gt;0,INDEX(Fish!$D:$D,MATCH(F155,Fish!$L:$L,0)),"")</f>
        <v>11008</v>
      </c>
      <c r="H155" s="41">
        <v>0</v>
      </c>
      <c r="I155" s="41">
        <v>1</v>
      </c>
      <c r="J155" s="41">
        <v>5</v>
      </c>
      <c r="K155" s="41">
        <v>6</v>
      </c>
      <c r="L155" s="41" t="s">
        <v>78</v>
      </c>
      <c r="M155" s="41">
        <f>IF(L155&gt;0,INDEX(Fish!$D:$D,MATCH(L155,Fish!$L:$L,0)),"")</f>
        <v>11010</v>
      </c>
      <c r="N155" s="41">
        <v>0</v>
      </c>
      <c r="O155" s="41">
        <v>1</v>
      </c>
      <c r="P155" s="41">
        <v>4</v>
      </c>
      <c r="Q155" s="41">
        <v>5</v>
      </c>
      <c r="R155" s="41" t="s">
        <v>82</v>
      </c>
      <c r="S155" s="41">
        <f>IF(R155&gt;0,INDEX(Fish!$D:$D,MATCH(R155,Fish!$L:$L,0)),"")</f>
        <v>11012</v>
      </c>
      <c r="T155" s="41">
        <v>0</v>
      </c>
      <c r="U155" s="41">
        <v>1</v>
      </c>
      <c r="V155" s="41">
        <v>3</v>
      </c>
      <c r="W155" s="41">
        <v>4</v>
      </c>
      <c r="X155" s="41" t="s">
        <v>90</v>
      </c>
      <c r="Y155" s="41">
        <f>IF(X155&gt;0,INDEX(Fish!$D:$D,MATCH(X155,Fish!$L:$L,0)),"")</f>
        <v>11016</v>
      </c>
      <c r="Z155" s="41">
        <v>0</v>
      </c>
      <c r="AA155" s="41">
        <v>1</v>
      </c>
      <c r="AB155" s="41">
        <v>2</v>
      </c>
      <c r="AC155" s="41">
        <v>3</v>
      </c>
    </row>
    <row r="156" spans="1:29">
      <c r="A156" s="41">
        <v>44415</v>
      </c>
      <c r="B156" s="41">
        <v>2</v>
      </c>
      <c r="C156" s="41">
        <v>0</v>
      </c>
      <c r="D156" s="41">
        <v>2</v>
      </c>
      <c r="E156" s="41">
        <v>1</v>
      </c>
      <c r="F156" s="41" t="s">
        <v>72</v>
      </c>
      <c r="G156" s="41">
        <f>IF(F156&gt;0,INDEX(Fish!$D:$D,MATCH(F156,Fish!$L:$L,0)),"")</f>
        <v>11008</v>
      </c>
      <c r="H156" s="41">
        <v>0</v>
      </c>
      <c r="I156" s="41">
        <v>1</v>
      </c>
      <c r="J156" s="41">
        <v>5</v>
      </c>
      <c r="K156" s="41">
        <v>6</v>
      </c>
      <c r="L156" s="41" t="s">
        <v>78</v>
      </c>
      <c r="M156" s="41">
        <f>IF(L156&gt;0,INDEX(Fish!$D:$D,MATCH(L156,Fish!$L:$L,0)),"")</f>
        <v>11010</v>
      </c>
      <c r="N156" s="41">
        <v>0</v>
      </c>
      <c r="O156" s="41">
        <v>1</v>
      </c>
      <c r="P156" s="41">
        <v>4</v>
      </c>
      <c r="Q156" s="41">
        <v>5</v>
      </c>
      <c r="R156" s="41" t="s">
        <v>82</v>
      </c>
      <c r="S156" s="41">
        <f>IF(R156&gt;0,INDEX(Fish!$D:$D,MATCH(R156,Fish!$L:$L,0)),"")</f>
        <v>11012</v>
      </c>
      <c r="T156" s="41">
        <v>0</v>
      </c>
      <c r="U156" s="41">
        <v>1</v>
      </c>
      <c r="V156" s="41">
        <v>3</v>
      </c>
      <c r="W156" s="41">
        <v>4</v>
      </c>
      <c r="X156" s="41" t="s">
        <v>86</v>
      </c>
      <c r="Y156" s="41">
        <f>IF(X156&gt;0,INDEX(Fish!$D:$D,MATCH(X156,Fish!$L:$L,0)),"")</f>
        <v>11235</v>
      </c>
      <c r="Z156" s="41">
        <v>0</v>
      </c>
      <c r="AA156" s="41">
        <v>1</v>
      </c>
      <c r="AB156" s="41">
        <v>2</v>
      </c>
      <c r="AC156" s="41">
        <v>3</v>
      </c>
    </row>
    <row r="157" spans="1:29">
      <c r="A157" s="41">
        <v>44415</v>
      </c>
      <c r="B157" s="41">
        <v>2</v>
      </c>
      <c r="C157" s="41">
        <v>0</v>
      </c>
      <c r="D157" s="41">
        <v>2</v>
      </c>
      <c r="E157" s="41">
        <v>1</v>
      </c>
      <c r="F157" s="41" t="s">
        <v>72</v>
      </c>
      <c r="G157" s="41">
        <f>IF(F157&gt;0,INDEX(Fish!$D:$D,MATCH(F157,Fish!$L:$L,0)),"")</f>
        <v>11008</v>
      </c>
      <c r="H157" s="41">
        <v>0</v>
      </c>
      <c r="I157" s="41">
        <v>1</v>
      </c>
      <c r="J157" s="41">
        <v>5</v>
      </c>
      <c r="K157" s="41">
        <v>6</v>
      </c>
      <c r="L157" s="41" t="s">
        <v>78</v>
      </c>
      <c r="M157" s="41">
        <f>IF(L157&gt;0,INDEX(Fish!$D:$D,MATCH(L157,Fish!$L:$L,0)),"")</f>
        <v>11010</v>
      </c>
      <c r="N157" s="41">
        <v>0</v>
      </c>
      <c r="O157" s="41">
        <v>1</v>
      </c>
      <c r="P157" s="41">
        <v>4</v>
      </c>
      <c r="Q157" s="41">
        <v>5</v>
      </c>
      <c r="R157" s="41" t="s">
        <v>88</v>
      </c>
      <c r="S157" s="41">
        <f>IF(R157&gt;0,INDEX(Fish!$D:$D,MATCH(R157,Fish!$L:$L,0)),"")</f>
        <v>11015</v>
      </c>
      <c r="T157" s="41">
        <v>0</v>
      </c>
      <c r="U157" s="41">
        <v>1</v>
      </c>
      <c r="V157" s="41">
        <v>3</v>
      </c>
      <c r="W157" s="41">
        <v>4</v>
      </c>
      <c r="X157" s="41" t="s">
        <v>84</v>
      </c>
      <c r="Y157" s="41">
        <f>IF(X157&gt;0,INDEX(Fish!$D:$D,MATCH(X157,Fish!$L:$L,0)),"")</f>
        <v>11013</v>
      </c>
      <c r="Z157" s="41">
        <v>0</v>
      </c>
      <c r="AA157" s="41">
        <v>1</v>
      </c>
      <c r="AB157" s="41">
        <v>2</v>
      </c>
      <c r="AC157" s="41">
        <v>3</v>
      </c>
    </row>
    <row r="158" spans="1:29">
      <c r="A158" s="41">
        <v>44415</v>
      </c>
      <c r="B158" s="41">
        <v>2</v>
      </c>
      <c r="C158" s="41">
        <v>0</v>
      </c>
      <c r="D158" s="41">
        <v>2</v>
      </c>
      <c r="E158" s="41">
        <v>1</v>
      </c>
      <c r="F158" s="41" t="s">
        <v>72</v>
      </c>
      <c r="G158" s="41">
        <f>IF(F158&gt;0,INDEX(Fish!$D:$D,MATCH(F158,Fish!$L:$L,0)),"")</f>
        <v>11008</v>
      </c>
      <c r="H158" s="41">
        <v>0</v>
      </c>
      <c r="I158" s="41">
        <v>1</v>
      </c>
      <c r="J158" s="41">
        <v>5</v>
      </c>
      <c r="K158" s="41">
        <v>6</v>
      </c>
      <c r="L158" s="41" t="s">
        <v>78</v>
      </c>
      <c r="M158" s="41">
        <f>IF(L158&gt;0,INDEX(Fish!$D:$D,MATCH(L158,Fish!$L:$L,0)),"")</f>
        <v>11010</v>
      </c>
      <c r="N158" s="41">
        <v>0</v>
      </c>
      <c r="O158" s="41">
        <v>1</v>
      </c>
      <c r="P158" s="41">
        <v>4</v>
      </c>
      <c r="Q158" s="41">
        <v>5</v>
      </c>
      <c r="R158" s="41" t="s">
        <v>88</v>
      </c>
      <c r="S158" s="41">
        <f>IF(R158&gt;0,INDEX(Fish!$D:$D,MATCH(R158,Fish!$L:$L,0)),"")</f>
        <v>11015</v>
      </c>
      <c r="T158" s="41">
        <v>0</v>
      </c>
      <c r="U158" s="41">
        <v>1</v>
      </c>
      <c r="V158" s="41">
        <v>3</v>
      </c>
      <c r="W158" s="41">
        <v>4</v>
      </c>
      <c r="X158" s="41" t="s">
        <v>90</v>
      </c>
      <c r="Y158" s="41">
        <f>IF(X158&gt;0,INDEX(Fish!$D:$D,MATCH(X158,Fish!$L:$L,0)),"")</f>
        <v>11016</v>
      </c>
      <c r="Z158" s="41">
        <v>0</v>
      </c>
      <c r="AA158" s="41">
        <v>1</v>
      </c>
      <c r="AB158" s="41">
        <v>2</v>
      </c>
      <c r="AC158" s="41">
        <v>3</v>
      </c>
    </row>
    <row r="159" spans="1:29">
      <c r="A159" s="41">
        <v>44415</v>
      </c>
      <c r="B159" s="41">
        <v>2</v>
      </c>
      <c r="C159" s="41">
        <v>0</v>
      </c>
      <c r="D159" s="41">
        <v>2</v>
      </c>
      <c r="E159" s="41">
        <v>1</v>
      </c>
      <c r="F159" s="41" t="s">
        <v>72</v>
      </c>
      <c r="G159" s="41">
        <f>IF(F159&gt;0,INDEX(Fish!$D:$D,MATCH(F159,Fish!$L:$L,0)),"")</f>
        <v>11008</v>
      </c>
      <c r="H159" s="41">
        <v>0</v>
      </c>
      <c r="I159" s="41">
        <v>1</v>
      </c>
      <c r="J159" s="41">
        <v>5</v>
      </c>
      <c r="K159" s="41">
        <v>6</v>
      </c>
      <c r="L159" s="41" t="s">
        <v>78</v>
      </c>
      <c r="M159" s="41">
        <f>IF(L159&gt;0,INDEX(Fish!$D:$D,MATCH(L159,Fish!$L:$L,0)),"")</f>
        <v>11010</v>
      </c>
      <c r="N159" s="41">
        <v>0</v>
      </c>
      <c r="O159" s="41">
        <v>1</v>
      </c>
      <c r="P159" s="41">
        <v>4</v>
      </c>
      <c r="Q159" s="41">
        <v>5</v>
      </c>
      <c r="R159" s="41" t="s">
        <v>88</v>
      </c>
      <c r="S159" s="41">
        <f>IF(R159&gt;0,INDEX(Fish!$D:$D,MATCH(R159,Fish!$L:$L,0)),"")</f>
        <v>11015</v>
      </c>
      <c r="T159" s="41">
        <v>0</v>
      </c>
      <c r="U159" s="41">
        <v>1</v>
      </c>
      <c r="V159" s="41">
        <v>3</v>
      </c>
      <c r="W159" s="41">
        <v>4</v>
      </c>
      <c r="X159" s="41" t="s">
        <v>86</v>
      </c>
      <c r="Y159" s="41">
        <f>IF(X159&gt;0,INDEX(Fish!$D:$D,MATCH(X159,Fish!$L:$L,0)),"")</f>
        <v>11235</v>
      </c>
      <c r="Z159" s="41">
        <v>0</v>
      </c>
      <c r="AA159" s="41">
        <v>1</v>
      </c>
      <c r="AB159" s="41">
        <v>2</v>
      </c>
      <c r="AC159" s="41">
        <v>3</v>
      </c>
    </row>
    <row r="160" spans="1:29">
      <c r="A160" s="41">
        <v>44415</v>
      </c>
      <c r="B160" s="41">
        <v>2</v>
      </c>
      <c r="C160" s="41">
        <v>0</v>
      </c>
      <c r="D160" s="41">
        <v>2</v>
      </c>
      <c r="E160" s="41">
        <v>1</v>
      </c>
      <c r="F160" s="41" t="s">
        <v>72</v>
      </c>
      <c r="G160" s="41">
        <f>IF(F160&gt;0,INDEX(Fish!$D:$D,MATCH(F160,Fish!$L:$L,0)),"")</f>
        <v>11008</v>
      </c>
      <c r="H160" s="41">
        <v>0</v>
      </c>
      <c r="I160" s="41">
        <v>1</v>
      </c>
      <c r="J160" s="41">
        <v>5</v>
      </c>
      <c r="K160" s="41">
        <v>6</v>
      </c>
      <c r="L160" s="41" t="s">
        <v>92</v>
      </c>
      <c r="M160" s="41">
        <f>IF(L160&gt;0,INDEX(Fish!$D:$D,MATCH(L160,Fish!$L:$L,0)),"")</f>
        <v>11017</v>
      </c>
      <c r="N160" s="41">
        <v>0</v>
      </c>
      <c r="O160" s="41">
        <v>1</v>
      </c>
      <c r="P160" s="41">
        <v>4</v>
      </c>
      <c r="Q160" s="41">
        <v>5</v>
      </c>
      <c r="R160" s="41" t="s">
        <v>82</v>
      </c>
      <c r="S160" s="41">
        <f>IF(R160&gt;0,INDEX(Fish!$D:$D,MATCH(R160,Fish!$L:$L,0)),"")</f>
        <v>11012</v>
      </c>
      <c r="T160" s="41">
        <v>0</v>
      </c>
      <c r="U160" s="41">
        <v>1</v>
      </c>
      <c r="V160" s="41">
        <v>3</v>
      </c>
      <c r="W160" s="41">
        <v>4</v>
      </c>
      <c r="X160" s="41" t="s">
        <v>84</v>
      </c>
      <c r="Y160" s="41">
        <f>IF(X160&gt;0,INDEX(Fish!$D:$D,MATCH(X160,Fish!$L:$L,0)),"")</f>
        <v>11013</v>
      </c>
      <c r="Z160" s="41">
        <v>0</v>
      </c>
      <c r="AA160" s="41">
        <v>1</v>
      </c>
      <c r="AB160" s="41">
        <v>2</v>
      </c>
      <c r="AC160" s="41">
        <v>3</v>
      </c>
    </row>
    <row r="161" spans="1:29">
      <c r="A161" s="41">
        <v>44415</v>
      </c>
      <c r="B161" s="41">
        <v>2</v>
      </c>
      <c r="C161" s="41">
        <v>0</v>
      </c>
      <c r="D161" s="41">
        <v>2</v>
      </c>
      <c r="E161" s="41">
        <v>1</v>
      </c>
      <c r="F161" s="41" t="s">
        <v>72</v>
      </c>
      <c r="G161" s="41">
        <f>IF(F161&gt;0,INDEX(Fish!$D:$D,MATCH(F161,Fish!$L:$L,0)),"")</f>
        <v>11008</v>
      </c>
      <c r="H161" s="41">
        <v>0</v>
      </c>
      <c r="I161" s="41">
        <v>1</v>
      </c>
      <c r="J161" s="41">
        <v>5</v>
      </c>
      <c r="K161" s="41">
        <v>6</v>
      </c>
      <c r="L161" s="41" t="s">
        <v>92</v>
      </c>
      <c r="M161" s="41">
        <f>IF(L161&gt;0,INDEX(Fish!$D:$D,MATCH(L161,Fish!$L:$L,0)),"")</f>
        <v>11017</v>
      </c>
      <c r="N161" s="41">
        <v>0</v>
      </c>
      <c r="O161" s="41">
        <v>1</v>
      </c>
      <c r="P161" s="41">
        <v>4</v>
      </c>
      <c r="Q161" s="41">
        <v>5</v>
      </c>
      <c r="R161" s="41" t="s">
        <v>82</v>
      </c>
      <c r="S161" s="41">
        <f>IF(R161&gt;0,INDEX(Fish!$D:$D,MATCH(R161,Fish!$L:$L,0)),"")</f>
        <v>11012</v>
      </c>
      <c r="T161" s="41">
        <v>0</v>
      </c>
      <c r="U161" s="41">
        <v>1</v>
      </c>
      <c r="V161" s="41">
        <v>3</v>
      </c>
      <c r="W161" s="41">
        <v>4</v>
      </c>
      <c r="X161" s="41" t="s">
        <v>90</v>
      </c>
      <c r="Y161" s="41">
        <f>IF(X161&gt;0,INDEX(Fish!$D:$D,MATCH(X161,Fish!$L:$L,0)),"")</f>
        <v>11016</v>
      </c>
      <c r="Z161" s="41">
        <v>0</v>
      </c>
      <c r="AA161" s="41">
        <v>1</v>
      </c>
      <c r="AB161" s="41">
        <v>2</v>
      </c>
      <c r="AC161" s="41">
        <v>3</v>
      </c>
    </row>
    <row r="162" spans="1:29">
      <c r="A162" s="41">
        <v>44415</v>
      </c>
      <c r="B162" s="41">
        <v>2</v>
      </c>
      <c r="C162" s="41">
        <v>0</v>
      </c>
      <c r="D162" s="41">
        <v>2</v>
      </c>
      <c r="E162" s="41">
        <v>1</v>
      </c>
      <c r="F162" s="41" t="s">
        <v>72</v>
      </c>
      <c r="G162" s="41">
        <f>IF(F162&gt;0,INDEX(Fish!$D:$D,MATCH(F162,Fish!$L:$L,0)),"")</f>
        <v>11008</v>
      </c>
      <c r="H162" s="41">
        <v>0</v>
      </c>
      <c r="I162" s="41">
        <v>1</v>
      </c>
      <c r="J162" s="41">
        <v>5</v>
      </c>
      <c r="K162" s="41">
        <v>6</v>
      </c>
      <c r="L162" s="41" t="s">
        <v>92</v>
      </c>
      <c r="M162" s="41">
        <f>IF(L162&gt;0,INDEX(Fish!$D:$D,MATCH(L162,Fish!$L:$L,0)),"")</f>
        <v>11017</v>
      </c>
      <c r="N162" s="41">
        <v>0</v>
      </c>
      <c r="O162" s="41">
        <v>1</v>
      </c>
      <c r="P162" s="41">
        <v>4</v>
      </c>
      <c r="Q162" s="41">
        <v>5</v>
      </c>
      <c r="R162" s="41" t="s">
        <v>82</v>
      </c>
      <c r="S162" s="41">
        <f>IF(R162&gt;0,INDEX(Fish!$D:$D,MATCH(R162,Fish!$L:$L,0)),"")</f>
        <v>11012</v>
      </c>
      <c r="T162" s="41">
        <v>0</v>
      </c>
      <c r="U162" s="41">
        <v>1</v>
      </c>
      <c r="V162" s="41">
        <v>3</v>
      </c>
      <c r="W162" s="41">
        <v>4</v>
      </c>
      <c r="X162" s="41" t="s">
        <v>86</v>
      </c>
      <c r="Y162" s="41">
        <f>IF(X162&gt;0,INDEX(Fish!$D:$D,MATCH(X162,Fish!$L:$L,0)),"")</f>
        <v>11235</v>
      </c>
      <c r="Z162" s="41">
        <v>0</v>
      </c>
      <c r="AA162" s="41">
        <v>1</v>
      </c>
      <c r="AB162" s="41">
        <v>2</v>
      </c>
      <c r="AC162" s="41">
        <v>3</v>
      </c>
    </row>
    <row r="163" spans="1:29">
      <c r="A163" s="41">
        <v>44415</v>
      </c>
      <c r="B163" s="41">
        <v>2</v>
      </c>
      <c r="C163" s="41">
        <v>0</v>
      </c>
      <c r="D163" s="41">
        <v>2</v>
      </c>
      <c r="E163" s="41">
        <v>1</v>
      </c>
      <c r="F163" s="41" t="s">
        <v>72</v>
      </c>
      <c r="G163" s="41">
        <f>IF(F163&gt;0,INDEX(Fish!$D:$D,MATCH(F163,Fish!$L:$L,0)),"")</f>
        <v>11008</v>
      </c>
      <c r="H163" s="41">
        <v>0</v>
      </c>
      <c r="I163" s="41">
        <v>1</v>
      </c>
      <c r="J163" s="41">
        <v>5</v>
      </c>
      <c r="K163" s="41">
        <v>6</v>
      </c>
      <c r="L163" s="41" t="s">
        <v>92</v>
      </c>
      <c r="M163" s="41">
        <f>IF(L163&gt;0,INDEX(Fish!$D:$D,MATCH(L163,Fish!$L:$L,0)),"")</f>
        <v>11017</v>
      </c>
      <c r="N163" s="41">
        <v>0</v>
      </c>
      <c r="O163" s="41">
        <v>1</v>
      </c>
      <c r="P163" s="41">
        <v>4</v>
      </c>
      <c r="Q163" s="41">
        <v>5</v>
      </c>
      <c r="R163" s="41" t="s">
        <v>88</v>
      </c>
      <c r="S163" s="41">
        <f>IF(R163&gt;0,INDEX(Fish!$D:$D,MATCH(R163,Fish!$L:$L,0)),"")</f>
        <v>11015</v>
      </c>
      <c r="T163" s="41">
        <v>0</v>
      </c>
      <c r="U163" s="41">
        <v>1</v>
      </c>
      <c r="V163" s="41">
        <v>3</v>
      </c>
      <c r="W163" s="41">
        <v>4</v>
      </c>
      <c r="X163" s="41" t="s">
        <v>84</v>
      </c>
      <c r="Y163" s="41">
        <f>IF(X163&gt;0,INDEX(Fish!$D:$D,MATCH(X163,Fish!$L:$L,0)),"")</f>
        <v>11013</v>
      </c>
      <c r="Z163" s="41">
        <v>0</v>
      </c>
      <c r="AA163" s="41">
        <v>1</v>
      </c>
      <c r="AB163" s="41">
        <v>2</v>
      </c>
      <c r="AC163" s="41">
        <v>3</v>
      </c>
    </row>
    <row r="164" spans="1:29">
      <c r="A164" s="41">
        <v>44415</v>
      </c>
      <c r="B164" s="41">
        <v>2</v>
      </c>
      <c r="C164" s="41">
        <v>0</v>
      </c>
      <c r="D164" s="41">
        <v>2</v>
      </c>
      <c r="E164" s="41">
        <v>1</v>
      </c>
      <c r="F164" s="41" t="s">
        <v>72</v>
      </c>
      <c r="G164" s="41">
        <f>IF(F164&gt;0,INDEX(Fish!$D:$D,MATCH(F164,Fish!$L:$L,0)),"")</f>
        <v>11008</v>
      </c>
      <c r="H164" s="41">
        <v>0</v>
      </c>
      <c r="I164" s="41">
        <v>1</v>
      </c>
      <c r="J164" s="41">
        <v>5</v>
      </c>
      <c r="K164" s="41">
        <v>6</v>
      </c>
      <c r="L164" s="41" t="s">
        <v>92</v>
      </c>
      <c r="M164" s="41">
        <f>IF(L164&gt;0,INDEX(Fish!$D:$D,MATCH(L164,Fish!$L:$L,0)),"")</f>
        <v>11017</v>
      </c>
      <c r="N164" s="41">
        <v>0</v>
      </c>
      <c r="O164" s="41">
        <v>1</v>
      </c>
      <c r="P164" s="41">
        <v>4</v>
      </c>
      <c r="Q164" s="41">
        <v>5</v>
      </c>
      <c r="R164" s="41" t="s">
        <v>88</v>
      </c>
      <c r="S164" s="41">
        <f>IF(R164&gt;0,INDEX(Fish!$D:$D,MATCH(R164,Fish!$L:$L,0)),"")</f>
        <v>11015</v>
      </c>
      <c r="T164" s="41">
        <v>0</v>
      </c>
      <c r="U164" s="41">
        <v>1</v>
      </c>
      <c r="V164" s="41">
        <v>3</v>
      </c>
      <c r="W164" s="41">
        <v>4</v>
      </c>
      <c r="X164" s="41" t="s">
        <v>90</v>
      </c>
      <c r="Y164" s="41">
        <f>IF(X164&gt;0,INDEX(Fish!$D:$D,MATCH(X164,Fish!$L:$L,0)),"")</f>
        <v>11016</v>
      </c>
      <c r="Z164" s="41">
        <v>0</v>
      </c>
      <c r="AA164" s="41">
        <v>1</v>
      </c>
      <c r="AB164" s="41">
        <v>2</v>
      </c>
      <c r="AC164" s="41">
        <v>3</v>
      </c>
    </row>
    <row r="165" spans="1:29">
      <c r="A165" s="41">
        <v>44415</v>
      </c>
      <c r="B165" s="41">
        <v>2</v>
      </c>
      <c r="C165" s="41">
        <v>0</v>
      </c>
      <c r="D165" s="41">
        <v>2</v>
      </c>
      <c r="E165" s="41">
        <v>1</v>
      </c>
      <c r="F165" s="41" t="s">
        <v>72</v>
      </c>
      <c r="G165" s="41">
        <f>IF(F165&gt;0,INDEX(Fish!$D:$D,MATCH(F165,Fish!$L:$L,0)),"")</f>
        <v>11008</v>
      </c>
      <c r="H165" s="41">
        <v>0</v>
      </c>
      <c r="I165" s="41">
        <v>1</v>
      </c>
      <c r="J165" s="41">
        <v>5</v>
      </c>
      <c r="K165" s="41">
        <v>6</v>
      </c>
      <c r="L165" s="41" t="s">
        <v>92</v>
      </c>
      <c r="M165" s="41">
        <f>IF(L165&gt;0,INDEX(Fish!$D:$D,MATCH(L165,Fish!$L:$L,0)),"")</f>
        <v>11017</v>
      </c>
      <c r="N165" s="41">
        <v>0</v>
      </c>
      <c r="O165" s="41">
        <v>1</v>
      </c>
      <c r="P165" s="41">
        <v>4</v>
      </c>
      <c r="Q165" s="41">
        <v>5</v>
      </c>
      <c r="R165" s="41" t="s">
        <v>88</v>
      </c>
      <c r="S165" s="41">
        <f>IF(R165&gt;0,INDEX(Fish!$D:$D,MATCH(R165,Fish!$L:$L,0)),"")</f>
        <v>11015</v>
      </c>
      <c r="T165" s="41">
        <v>0</v>
      </c>
      <c r="U165" s="41">
        <v>1</v>
      </c>
      <c r="V165" s="41">
        <v>3</v>
      </c>
      <c r="W165" s="41">
        <v>4</v>
      </c>
      <c r="X165" s="41" t="s">
        <v>86</v>
      </c>
      <c r="Y165" s="41">
        <f>IF(X165&gt;0,INDEX(Fish!$D:$D,MATCH(X165,Fish!$L:$L,0)),"")</f>
        <v>11235</v>
      </c>
      <c r="Z165" s="41">
        <v>0</v>
      </c>
      <c r="AA165" s="41">
        <v>1</v>
      </c>
      <c r="AB165" s="41">
        <v>2</v>
      </c>
      <c r="AC165" s="41">
        <v>3</v>
      </c>
    </row>
    <row r="166" spans="1:29">
      <c r="A166" s="41">
        <v>44415</v>
      </c>
      <c r="B166" s="41">
        <v>2</v>
      </c>
      <c r="C166" s="41">
        <v>0</v>
      </c>
      <c r="D166" s="41">
        <v>2</v>
      </c>
      <c r="E166" s="41">
        <v>1</v>
      </c>
      <c r="F166" s="41" t="s">
        <v>66</v>
      </c>
      <c r="G166" s="41">
        <f>IF(F166&gt;0,INDEX(Fish!$D:$D,MATCH(F166,Fish!$L:$L,0)),"")</f>
        <v>11005</v>
      </c>
      <c r="H166" s="41">
        <v>0</v>
      </c>
      <c r="I166" s="41">
        <v>1</v>
      </c>
      <c r="J166" s="41">
        <v>5</v>
      </c>
      <c r="K166" s="41">
        <v>6</v>
      </c>
      <c r="L166" s="41" t="s">
        <v>78</v>
      </c>
      <c r="M166" s="41">
        <f>IF(L166&gt;0,INDEX(Fish!$D:$D,MATCH(L166,Fish!$L:$L,0)),"")</f>
        <v>11010</v>
      </c>
      <c r="N166" s="41">
        <v>0</v>
      </c>
      <c r="O166" s="41">
        <v>1</v>
      </c>
      <c r="P166" s="41">
        <v>4</v>
      </c>
      <c r="Q166" s="41">
        <v>5</v>
      </c>
      <c r="R166" s="41" t="s">
        <v>82</v>
      </c>
      <c r="S166" s="41">
        <f>IF(R166&gt;0,INDEX(Fish!$D:$D,MATCH(R166,Fish!$L:$L,0)),"")</f>
        <v>11012</v>
      </c>
      <c r="T166" s="41">
        <v>0</v>
      </c>
      <c r="U166" s="41">
        <v>1</v>
      </c>
      <c r="V166" s="41">
        <v>3</v>
      </c>
      <c r="W166" s="41">
        <v>4</v>
      </c>
      <c r="X166" s="41" t="s">
        <v>84</v>
      </c>
      <c r="Y166" s="41">
        <f>IF(X166&gt;0,INDEX(Fish!$D:$D,MATCH(X166,Fish!$L:$L,0)),"")</f>
        <v>11013</v>
      </c>
      <c r="Z166" s="41">
        <v>0</v>
      </c>
      <c r="AA166" s="41">
        <v>1</v>
      </c>
      <c r="AB166" s="41">
        <v>2</v>
      </c>
      <c r="AC166" s="41">
        <v>3</v>
      </c>
    </row>
    <row r="167" spans="1:29">
      <c r="A167" s="41">
        <v>44415</v>
      </c>
      <c r="B167" s="41">
        <v>2</v>
      </c>
      <c r="C167" s="41">
        <v>0</v>
      </c>
      <c r="D167" s="41">
        <v>2</v>
      </c>
      <c r="E167" s="41">
        <v>1</v>
      </c>
      <c r="F167" s="41" t="s">
        <v>66</v>
      </c>
      <c r="G167" s="41">
        <f>IF(F167&gt;0,INDEX(Fish!$D:$D,MATCH(F167,Fish!$L:$L,0)),"")</f>
        <v>11005</v>
      </c>
      <c r="H167" s="41">
        <v>0</v>
      </c>
      <c r="I167" s="41">
        <v>1</v>
      </c>
      <c r="J167" s="41">
        <v>5</v>
      </c>
      <c r="K167" s="41">
        <v>6</v>
      </c>
      <c r="L167" s="41" t="s">
        <v>78</v>
      </c>
      <c r="M167" s="41">
        <f>IF(L167&gt;0,INDEX(Fish!$D:$D,MATCH(L167,Fish!$L:$L,0)),"")</f>
        <v>11010</v>
      </c>
      <c r="N167" s="41">
        <v>0</v>
      </c>
      <c r="O167" s="41">
        <v>1</v>
      </c>
      <c r="P167" s="41">
        <v>4</v>
      </c>
      <c r="Q167" s="41">
        <v>5</v>
      </c>
      <c r="R167" s="41" t="s">
        <v>82</v>
      </c>
      <c r="S167" s="41">
        <f>IF(R167&gt;0,INDEX(Fish!$D:$D,MATCH(R167,Fish!$L:$L,0)),"")</f>
        <v>11012</v>
      </c>
      <c r="T167" s="41">
        <v>0</v>
      </c>
      <c r="U167" s="41">
        <v>1</v>
      </c>
      <c r="V167" s="41">
        <v>3</v>
      </c>
      <c r="W167" s="41">
        <v>4</v>
      </c>
      <c r="X167" s="41" t="s">
        <v>90</v>
      </c>
      <c r="Y167" s="41">
        <f>IF(X167&gt;0,INDEX(Fish!$D:$D,MATCH(X167,Fish!$L:$L,0)),"")</f>
        <v>11016</v>
      </c>
      <c r="Z167" s="41">
        <v>0</v>
      </c>
      <c r="AA167" s="41">
        <v>1</v>
      </c>
      <c r="AB167" s="41">
        <v>2</v>
      </c>
      <c r="AC167" s="41">
        <v>3</v>
      </c>
    </row>
    <row r="168" spans="1:29">
      <c r="A168" s="41">
        <v>44415</v>
      </c>
      <c r="B168" s="41">
        <v>2</v>
      </c>
      <c r="C168" s="41">
        <v>0</v>
      </c>
      <c r="D168" s="41">
        <v>2</v>
      </c>
      <c r="E168" s="41">
        <v>1</v>
      </c>
      <c r="F168" s="41" t="s">
        <v>66</v>
      </c>
      <c r="G168" s="41">
        <f>IF(F168&gt;0,INDEX(Fish!$D:$D,MATCH(F168,Fish!$L:$L,0)),"")</f>
        <v>11005</v>
      </c>
      <c r="H168" s="41">
        <v>0</v>
      </c>
      <c r="I168" s="41">
        <v>1</v>
      </c>
      <c r="J168" s="41">
        <v>5</v>
      </c>
      <c r="K168" s="41">
        <v>6</v>
      </c>
      <c r="L168" s="41" t="s">
        <v>78</v>
      </c>
      <c r="M168" s="41">
        <f>IF(L168&gt;0,INDEX(Fish!$D:$D,MATCH(L168,Fish!$L:$L,0)),"")</f>
        <v>11010</v>
      </c>
      <c r="N168" s="41">
        <v>0</v>
      </c>
      <c r="O168" s="41">
        <v>1</v>
      </c>
      <c r="P168" s="41">
        <v>4</v>
      </c>
      <c r="Q168" s="41">
        <v>5</v>
      </c>
      <c r="R168" s="41" t="s">
        <v>82</v>
      </c>
      <c r="S168" s="41">
        <f>IF(R168&gt;0,INDEX(Fish!$D:$D,MATCH(R168,Fish!$L:$L,0)),"")</f>
        <v>11012</v>
      </c>
      <c r="T168" s="41">
        <v>0</v>
      </c>
      <c r="U168" s="41">
        <v>1</v>
      </c>
      <c r="V168" s="41">
        <v>3</v>
      </c>
      <c r="W168" s="41">
        <v>4</v>
      </c>
      <c r="X168" s="41" t="s">
        <v>86</v>
      </c>
      <c r="Y168" s="41">
        <f>IF(X168&gt;0,INDEX(Fish!$D:$D,MATCH(X168,Fish!$L:$L,0)),"")</f>
        <v>11235</v>
      </c>
      <c r="Z168" s="41">
        <v>0</v>
      </c>
      <c r="AA168" s="41">
        <v>1</v>
      </c>
      <c r="AB168" s="41">
        <v>2</v>
      </c>
      <c r="AC168" s="41">
        <v>3</v>
      </c>
    </row>
    <row r="169" spans="1:29">
      <c r="A169" s="41">
        <v>44415</v>
      </c>
      <c r="B169" s="41">
        <v>2</v>
      </c>
      <c r="C169" s="41">
        <v>0</v>
      </c>
      <c r="D169" s="41">
        <v>2</v>
      </c>
      <c r="E169" s="41">
        <v>1</v>
      </c>
      <c r="F169" s="41" t="s">
        <v>66</v>
      </c>
      <c r="G169" s="41">
        <f>IF(F169&gt;0,INDEX(Fish!$D:$D,MATCH(F169,Fish!$L:$L,0)),"")</f>
        <v>11005</v>
      </c>
      <c r="H169" s="41">
        <v>0</v>
      </c>
      <c r="I169" s="41">
        <v>1</v>
      </c>
      <c r="J169" s="41">
        <v>5</v>
      </c>
      <c r="K169" s="41">
        <v>6</v>
      </c>
      <c r="L169" s="41" t="s">
        <v>78</v>
      </c>
      <c r="M169" s="41">
        <f>IF(L169&gt;0,INDEX(Fish!$D:$D,MATCH(L169,Fish!$L:$L,0)),"")</f>
        <v>11010</v>
      </c>
      <c r="N169" s="41">
        <v>0</v>
      </c>
      <c r="O169" s="41">
        <v>1</v>
      </c>
      <c r="P169" s="41">
        <v>4</v>
      </c>
      <c r="Q169" s="41">
        <v>5</v>
      </c>
      <c r="R169" s="41" t="s">
        <v>88</v>
      </c>
      <c r="S169" s="41">
        <f>IF(R169&gt;0,INDEX(Fish!$D:$D,MATCH(R169,Fish!$L:$L,0)),"")</f>
        <v>11015</v>
      </c>
      <c r="T169" s="41">
        <v>0</v>
      </c>
      <c r="U169" s="41">
        <v>1</v>
      </c>
      <c r="V169" s="41">
        <v>3</v>
      </c>
      <c r="W169" s="41">
        <v>4</v>
      </c>
      <c r="X169" s="41" t="s">
        <v>84</v>
      </c>
      <c r="Y169" s="41">
        <f>IF(X169&gt;0,INDEX(Fish!$D:$D,MATCH(X169,Fish!$L:$L,0)),"")</f>
        <v>11013</v>
      </c>
      <c r="Z169" s="41">
        <v>0</v>
      </c>
      <c r="AA169" s="41">
        <v>1</v>
      </c>
      <c r="AB169" s="41">
        <v>2</v>
      </c>
      <c r="AC169" s="41">
        <v>3</v>
      </c>
    </row>
    <row r="170" spans="1:29">
      <c r="A170" s="41">
        <v>44415</v>
      </c>
      <c r="B170" s="41">
        <v>2</v>
      </c>
      <c r="C170" s="41">
        <v>0</v>
      </c>
      <c r="D170" s="41">
        <v>2</v>
      </c>
      <c r="E170" s="41">
        <v>1</v>
      </c>
      <c r="F170" s="41" t="s">
        <v>66</v>
      </c>
      <c r="G170" s="41">
        <f>IF(F170&gt;0,INDEX(Fish!$D:$D,MATCH(F170,Fish!$L:$L,0)),"")</f>
        <v>11005</v>
      </c>
      <c r="H170" s="41">
        <v>0</v>
      </c>
      <c r="I170" s="41">
        <v>1</v>
      </c>
      <c r="J170" s="41">
        <v>5</v>
      </c>
      <c r="K170" s="41">
        <v>6</v>
      </c>
      <c r="L170" s="41" t="s">
        <v>78</v>
      </c>
      <c r="M170" s="41">
        <f>IF(L170&gt;0,INDEX(Fish!$D:$D,MATCH(L170,Fish!$L:$L,0)),"")</f>
        <v>11010</v>
      </c>
      <c r="N170" s="41">
        <v>0</v>
      </c>
      <c r="O170" s="41">
        <v>1</v>
      </c>
      <c r="P170" s="41">
        <v>4</v>
      </c>
      <c r="Q170" s="41">
        <v>5</v>
      </c>
      <c r="R170" s="41" t="s">
        <v>88</v>
      </c>
      <c r="S170" s="41">
        <f>IF(R170&gt;0,INDEX(Fish!$D:$D,MATCH(R170,Fish!$L:$L,0)),"")</f>
        <v>11015</v>
      </c>
      <c r="T170" s="41">
        <v>0</v>
      </c>
      <c r="U170" s="41">
        <v>1</v>
      </c>
      <c r="V170" s="41">
        <v>3</v>
      </c>
      <c r="W170" s="41">
        <v>4</v>
      </c>
      <c r="X170" s="41" t="s">
        <v>90</v>
      </c>
      <c r="Y170" s="41">
        <f>IF(X170&gt;0,INDEX(Fish!$D:$D,MATCH(X170,Fish!$L:$L,0)),"")</f>
        <v>11016</v>
      </c>
      <c r="Z170" s="41">
        <v>0</v>
      </c>
      <c r="AA170" s="41">
        <v>1</v>
      </c>
      <c r="AB170" s="41">
        <v>2</v>
      </c>
      <c r="AC170" s="41">
        <v>3</v>
      </c>
    </row>
    <row r="171" spans="1:29">
      <c r="A171" s="41">
        <v>44415</v>
      </c>
      <c r="B171" s="41">
        <v>2</v>
      </c>
      <c r="C171" s="41">
        <v>0</v>
      </c>
      <c r="D171" s="41">
        <v>2</v>
      </c>
      <c r="E171" s="41">
        <v>1</v>
      </c>
      <c r="F171" s="41" t="s">
        <v>66</v>
      </c>
      <c r="G171" s="41">
        <f>IF(F171&gt;0,INDEX(Fish!$D:$D,MATCH(F171,Fish!$L:$L,0)),"")</f>
        <v>11005</v>
      </c>
      <c r="H171" s="41">
        <v>0</v>
      </c>
      <c r="I171" s="41">
        <v>1</v>
      </c>
      <c r="J171" s="41">
        <v>5</v>
      </c>
      <c r="K171" s="41">
        <v>6</v>
      </c>
      <c r="L171" s="41" t="s">
        <v>78</v>
      </c>
      <c r="M171" s="41">
        <f>IF(L171&gt;0,INDEX(Fish!$D:$D,MATCH(L171,Fish!$L:$L,0)),"")</f>
        <v>11010</v>
      </c>
      <c r="N171" s="41">
        <v>0</v>
      </c>
      <c r="O171" s="41">
        <v>1</v>
      </c>
      <c r="P171" s="41">
        <v>4</v>
      </c>
      <c r="Q171" s="41">
        <v>5</v>
      </c>
      <c r="R171" s="41" t="s">
        <v>88</v>
      </c>
      <c r="S171" s="41">
        <f>IF(R171&gt;0,INDEX(Fish!$D:$D,MATCH(R171,Fish!$L:$L,0)),"")</f>
        <v>11015</v>
      </c>
      <c r="T171" s="41">
        <v>0</v>
      </c>
      <c r="U171" s="41">
        <v>1</v>
      </c>
      <c r="V171" s="41">
        <v>3</v>
      </c>
      <c r="W171" s="41">
        <v>4</v>
      </c>
      <c r="X171" s="41" t="s">
        <v>86</v>
      </c>
      <c r="Y171" s="41">
        <f>IF(X171&gt;0,INDEX(Fish!$D:$D,MATCH(X171,Fish!$L:$L,0)),"")</f>
        <v>11235</v>
      </c>
      <c r="Z171" s="41">
        <v>0</v>
      </c>
      <c r="AA171" s="41">
        <v>1</v>
      </c>
      <c r="AB171" s="41">
        <v>2</v>
      </c>
      <c r="AC171" s="41">
        <v>3</v>
      </c>
    </row>
    <row r="172" spans="1:29">
      <c r="A172" s="41">
        <v>44415</v>
      </c>
      <c r="B172" s="41">
        <v>2</v>
      </c>
      <c r="C172" s="41">
        <v>0</v>
      </c>
      <c r="D172" s="41">
        <v>2</v>
      </c>
      <c r="E172" s="41">
        <v>1</v>
      </c>
      <c r="F172" s="41" t="s">
        <v>66</v>
      </c>
      <c r="G172" s="41">
        <f>IF(F172&gt;0,INDEX(Fish!$D:$D,MATCH(F172,Fish!$L:$L,0)),"")</f>
        <v>11005</v>
      </c>
      <c r="H172" s="41">
        <v>0</v>
      </c>
      <c r="I172" s="41">
        <v>1</v>
      </c>
      <c r="J172" s="41">
        <v>5</v>
      </c>
      <c r="K172" s="41">
        <v>6</v>
      </c>
      <c r="L172" s="41" t="s">
        <v>92</v>
      </c>
      <c r="M172" s="41">
        <f>IF(L172&gt;0,INDEX(Fish!$D:$D,MATCH(L172,Fish!$L:$L,0)),"")</f>
        <v>11017</v>
      </c>
      <c r="N172" s="41">
        <v>0</v>
      </c>
      <c r="O172" s="41">
        <v>1</v>
      </c>
      <c r="P172" s="41">
        <v>4</v>
      </c>
      <c r="Q172" s="41">
        <v>5</v>
      </c>
      <c r="R172" s="41" t="s">
        <v>82</v>
      </c>
      <c r="S172" s="41">
        <f>IF(R172&gt;0,INDEX(Fish!$D:$D,MATCH(R172,Fish!$L:$L,0)),"")</f>
        <v>11012</v>
      </c>
      <c r="T172" s="41">
        <v>0</v>
      </c>
      <c r="U172" s="41">
        <v>1</v>
      </c>
      <c r="V172" s="41">
        <v>3</v>
      </c>
      <c r="W172" s="41">
        <v>4</v>
      </c>
      <c r="X172" s="41" t="s">
        <v>84</v>
      </c>
      <c r="Y172" s="41">
        <f>IF(X172&gt;0,INDEX(Fish!$D:$D,MATCH(X172,Fish!$L:$L,0)),"")</f>
        <v>11013</v>
      </c>
      <c r="Z172" s="41">
        <v>0</v>
      </c>
      <c r="AA172" s="41">
        <v>1</v>
      </c>
      <c r="AB172" s="41">
        <v>2</v>
      </c>
      <c r="AC172" s="41">
        <v>3</v>
      </c>
    </row>
    <row r="173" spans="1:29">
      <c r="A173" s="41">
        <v>44415</v>
      </c>
      <c r="B173" s="41">
        <v>2</v>
      </c>
      <c r="C173" s="41">
        <v>0</v>
      </c>
      <c r="D173" s="41">
        <v>2</v>
      </c>
      <c r="E173" s="41">
        <v>1</v>
      </c>
      <c r="F173" s="41" t="s">
        <v>66</v>
      </c>
      <c r="G173" s="41">
        <f>IF(F173&gt;0,INDEX(Fish!$D:$D,MATCH(F173,Fish!$L:$L,0)),"")</f>
        <v>11005</v>
      </c>
      <c r="H173" s="41">
        <v>0</v>
      </c>
      <c r="I173" s="41">
        <v>1</v>
      </c>
      <c r="J173" s="41">
        <v>5</v>
      </c>
      <c r="K173" s="41">
        <v>6</v>
      </c>
      <c r="L173" s="41" t="s">
        <v>92</v>
      </c>
      <c r="M173" s="41">
        <f>IF(L173&gt;0,INDEX(Fish!$D:$D,MATCH(L173,Fish!$L:$L,0)),"")</f>
        <v>11017</v>
      </c>
      <c r="N173" s="41">
        <v>0</v>
      </c>
      <c r="O173" s="41">
        <v>1</v>
      </c>
      <c r="P173" s="41">
        <v>4</v>
      </c>
      <c r="Q173" s="41">
        <v>5</v>
      </c>
      <c r="R173" s="41" t="s">
        <v>82</v>
      </c>
      <c r="S173" s="41">
        <f>IF(R173&gt;0,INDEX(Fish!$D:$D,MATCH(R173,Fish!$L:$L,0)),"")</f>
        <v>11012</v>
      </c>
      <c r="T173" s="41">
        <v>0</v>
      </c>
      <c r="U173" s="41">
        <v>1</v>
      </c>
      <c r="V173" s="41">
        <v>3</v>
      </c>
      <c r="W173" s="41">
        <v>4</v>
      </c>
      <c r="X173" s="41" t="s">
        <v>90</v>
      </c>
      <c r="Y173" s="41">
        <f>IF(X173&gt;0,INDEX(Fish!$D:$D,MATCH(X173,Fish!$L:$L,0)),"")</f>
        <v>11016</v>
      </c>
      <c r="Z173" s="41">
        <v>0</v>
      </c>
      <c r="AA173" s="41">
        <v>1</v>
      </c>
      <c r="AB173" s="41">
        <v>2</v>
      </c>
      <c r="AC173" s="41">
        <v>3</v>
      </c>
    </row>
    <row r="174" spans="1:29">
      <c r="A174" s="41">
        <v>44415</v>
      </c>
      <c r="B174" s="41">
        <v>2</v>
      </c>
      <c r="C174" s="41">
        <v>0</v>
      </c>
      <c r="D174" s="41">
        <v>2</v>
      </c>
      <c r="E174" s="41">
        <v>1</v>
      </c>
      <c r="F174" s="41" t="s">
        <v>66</v>
      </c>
      <c r="G174" s="41">
        <f>IF(F174&gt;0,INDEX(Fish!$D:$D,MATCH(F174,Fish!$L:$L,0)),"")</f>
        <v>11005</v>
      </c>
      <c r="H174" s="41">
        <v>0</v>
      </c>
      <c r="I174" s="41">
        <v>1</v>
      </c>
      <c r="J174" s="41">
        <v>5</v>
      </c>
      <c r="K174" s="41">
        <v>6</v>
      </c>
      <c r="L174" s="41" t="s">
        <v>92</v>
      </c>
      <c r="M174" s="41">
        <f>IF(L174&gt;0,INDEX(Fish!$D:$D,MATCH(L174,Fish!$L:$L,0)),"")</f>
        <v>11017</v>
      </c>
      <c r="N174" s="41">
        <v>0</v>
      </c>
      <c r="O174" s="41">
        <v>1</v>
      </c>
      <c r="P174" s="41">
        <v>4</v>
      </c>
      <c r="Q174" s="41">
        <v>5</v>
      </c>
      <c r="R174" s="41" t="s">
        <v>82</v>
      </c>
      <c r="S174" s="41">
        <f>IF(R174&gt;0,INDEX(Fish!$D:$D,MATCH(R174,Fish!$L:$L,0)),"")</f>
        <v>11012</v>
      </c>
      <c r="T174" s="41">
        <v>0</v>
      </c>
      <c r="U174" s="41">
        <v>1</v>
      </c>
      <c r="V174" s="41">
        <v>3</v>
      </c>
      <c r="W174" s="41">
        <v>4</v>
      </c>
      <c r="X174" s="41" t="s">
        <v>86</v>
      </c>
      <c r="Y174" s="41">
        <f>IF(X174&gt;0,INDEX(Fish!$D:$D,MATCH(X174,Fish!$L:$L,0)),"")</f>
        <v>11235</v>
      </c>
      <c r="Z174" s="41">
        <v>0</v>
      </c>
      <c r="AA174" s="41">
        <v>1</v>
      </c>
      <c r="AB174" s="41">
        <v>2</v>
      </c>
      <c r="AC174" s="41">
        <v>3</v>
      </c>
    </row>
    <row r="175" spans="1:29">
      <c r="A175" s="41">
        <v>44415</v>
      </c>
      <c r="B175" s="41">
        <v>2</v>
      </c>
      <c r="C175" s="41">
        <v>0</v>
      </c>
      <c r="D175" s="41">
        <v>2</v>
      </c>
      <c r="E175" s="41">
        <v>1</v>
      </c>
      <c r="F175" s="41" t="s">
        <v>66</v>
      </c>
      <c r="G175" s="41">
        <f>IF(F175&gt;0,INDEX(Fish!$D:$D,MATCH(F175,Fish!$L:$L,0)),"")</f>
        <v>11005</v>
      </c>
      <c r="H175" s="41">
        <v>0</v>
      </c>
      <c r="I175" s="41">
        <v>1</v>
      </c>
      <c r="J175" s="41">
        <v>5</v>
      </c>
      <c r="K175" s="41">
        <v>6</v>
      </c>
      <c r="L175" s="41" t="s">
        <v>92</v>
      </c>
      <c r="M175" s="41">
        <f>IF(L175&gt;0,INDEX(Fish!$D:$D,MATCH(L175,Fish!$L:$L,0)),"")</f>
        <v>11017</v>
      </c>
      <c r="N175" s="41">
        <v>0</v>
      </c>
      <c r="O175" s="41">
        <v>1</v>
      </c>
      <c r="P175" s="41">
        <v>4</v>
      </c>
      <c r="Q175" s="41">
        <v>5</v>
      </c>
      <c r="R175" s="41" t="s">
        <v>88</v>
      </c>
      <c r="S175" s="41">
        <f>IF(R175&gt;0,INDEX(Fish!$D:$D,MATCH(R175,Fish!$L:$L,0)),"")</f>
        <v>11015</v>
      </c>
      <c r="T175" s="41">
        <v>0</v>
      </c>
      <c r="U175" s="41">
        <v>1</v>
      </c>
      <c r="V175" s="41">
        <v>3</v>
      </c>
      <c r="W175" s="41">
        <v>4</v>
      </c>
      <c r="X175" s="41" t="s">
        <v>84</v>
      </c>
      <c r="Y175" s="41">
        <f>IF(X175&gt;0,INDEX(Fish!$D:$D,MATCH(X175,Fish!$L:$L,0)),"")</f>
        <v>11013</v>
      </c>
      <c r="Z175" s="41">
        <v>0</v>
      </c>
      <c r="AA175" s="41">
        <v>1</v>
      </c>
      <c r="AB175" s="41">
        <v>2</v>
      </c>
      <c r="AC175" s="41">
        <v>3</v>
      </c>
    </row>
    <row r="176" spans="1:29">
      <c r="A176" s="41">
        <v>44415</v>
      </c>
      <c r="B176" s="41">
        <v>2</v>
      </c>
      <c r="C176" s="41">
        <v>0</v>
      </c>
      <c r="D176" s="41">
        <v>2</v>
      </c>
      <c r="E176" s="41">
        <v>1</v>
      </c>
      <c r="F176" s="41" t="s">
        <v>66</v>
      </c>
      <c r="G176" s="41">
        <f>IF(F176&gt;0,INDEX(Fish!$D:$D,MATCH(F176,Fish!$L:$L,0)),"")</f>
        <v>11005</v>
      </c>
      <c r="H176" s="41">
        <v>0</v>
      </c>
      <c r="I176" s="41">
        <v>1</v>
      </c>
      <c r="J176" s="41">
        <v>5</v>
      </c>
      <c r="K176" s="41">
        <v>6</v>
      </c>
      <c r="L176" s="41" t="s">
        <v>92</v>
      </c>
      <c r="M176" s="41">
        <f>IF(L176&gt;0,INDEX(Fish!$D:$D,MATCH(L176,Fish!$L:$L,0)),"")</f>
        <v>11017</v>
      </c>
      <c r="N176" s="41">
        <v>0</v>
      </c>
      <c r="O176" s="41">
        <v>1</v>
      </c>
      <c r="P176" s="41">
        <v>4</v>
      </c>
      <c r="Q176" s="41">
        <v>5</v>
      </c>
      <c r="R176" s="41" t="s">
        <v>88</v>
      </c>
      <c r="S176" s="41">
        <f>IF(R176&gt;0,INDEX(Fish!$D:$D,MATCH(R176,Fish!$L:$L,0)),"")</f>
        <v>11015</v>
      </c>
      <c r="T176" s="41">
        <v>0</v>
      </c>
      <c r="U176" s="41">
        <v>1</v>
      </c>
      <c r="V176" s="41">
        <v>3</v>
      </c>
      <c r="W176" s="41">
        <v>4</v>
      </c>
      <c r="X176" s="41" t="s">
        <v>90</v>
      </c>
      <c r="Y176" s="41">
        <f>IF(X176&gt;0,INDEX(Fish!$D:$D,MATCH(X176,Fish!$L:$L,0)),"")</f>
        <v>11016</v>
      </c>
      <c r="Z176" s="41">
        <v>0</v>
      </c>
      <c r="AA176" s="41">
        <v>1</v>
      </c>
      <c r="AB176" s="41">
        <v>2</v>
      </c>
      <c r="AC176" s="41">
        <v>3</v>
      </c>
    </row>
    <row r="177" spans="1:35">
      <c r="A177" s="41">
        <v>44415</v>
      </c>
      <c r="B177" s="41">
        <v>2</v>
      </c>
      <c r="C177" s="41">
        <v>0</v>
      </c>
      <c r="D177" s="41">
        <v>2</v>
      </c>
      <c r="E177" s="41">
        <v>1</v>
      </c>
      <c r="F177" s="41" t="s">
        <v>66</v>
      </c>
      <c r="G177" s="41">
        <f>IF(F177&gt;0,INDEX(Fish!$D:$D,MATCH(F177,Fish!$L:$L,0)),"")</f>
        <v>11005</v>
      </c>
      <c r="H177" s="41">
        <v>0</v>
      </c>
      <c r="I177" s="41">
        <v>1</v>
      </c>
      <c r="J177" s="41">
        <v>5</v>
      </c>
      <c r="K177" s="41">
        <v>6</v>
      </c>
      <c r="L177" s="41" t="s">
        <v>92</v>
      </c>
      <c r="M177" s="41">
        <f>IF(L177&gt;0,INDEX(Fish!$D:$D,MATCH(L177,Fish!$L:$L,0)),"")</f>
        <v>11017</v>
      </c>
      <c r="N177" s="41">
        <v>0</v>
      </c>
      <c r="O177" s="41">
        <v>1</v>
      </c>
      <c r="P177" s="41">
        <v>4</v>
      </c>
      <c r="Q177" s="41">
        <v>5</v>
      </c>
      <c r="R177" s="41" t="s">
        <v>88</v>
      </c>
      <c r="S177" s="41">
        <f>IF(R177&gt;0,INDEX(Fish!$D:$D,MATCH(R177,Fish!$L:$L,0)),"")</f>
        <v>11015</v>
      </c>
      <c r="T177" s="41">
        <v>0</v>
      </c>
      <c r="U177" s="41">
        <v>1</v>
      </c>
      <c r="V177" s="41">
        <v>3</v>
      </c>
      <c r="W177" s="41">
        <v>4</v>
      </c>
      <c r="X177" s="41" t="s">
        <v>86</v>
      </c>
      <c r="Y177" s="41">
        <f>IF(X177&gt;0,INDEX(Fish!$D:$D,MATCH(X177,Fish!$L:$L,0)),"")</f>
        <v>11235</v>
      </c>
      <c r="Z177" s="41">
        <v>0</v>
      </c>
      <c r="AA177" s="41">
        <v>1</v>
      </c>
      <c r="AB177" s="41">
        <v>2</v>
      </c>
      <c r="AC177" s="41">
        <v>3</v>
      </c>
    </row>
    <row r="178" spans="1:35" ht="18.75">
      <c r="A178" s="41">
        <v>44415</v>
      </c>
      <c r="B178" s="41">
        <v>5</v>
      </c>
      <c r="C178" s="41">
        <v>0</v>
      </c>
      <c r="D178" s="41">
        <v>3</v>
      </c>
      <c r="E178" s="41">
        <v>2</v>
      </c>
      <c r="F178" s="45" t="s">
        <v>100</v>
      </c>
      <c r="G178" s="41">
        <f>IF(F178&gt;0,INDEX(Fish!$D:$D,MATCH(F178,Fish!$L:$L,0)),"")</f>
        <v>11025</v>
      </c>
      <c r="H178" s="41">
        <v>40000</v>
      </c>
      <c r="I178" s="41">
        <v>1</v>
      </c>
      <c r="J178" s="41">
        <v>1</v>
      </c>
      <c r="K178" s="41">
        <v>1</v>
      </c>
      <c r="L178" s="45" t="s">
        <v>96</v>
      </c>
      <c r="M178" s="41">
        <f>IF(L178&gt;0,INDEX(Fish!$D:$D,MATCH(L178,Fish!$L:$L,0)),"")</f>
        <v>11024</v>
      </c>
      <c r="N178" s="41">
        <v>30000</v>
      </c>
      <c r="O178" s="41">
        <v>1</v>
      </c>
      <c r="P178" s="41">
        <v>1</v>
      </c>
      <c r="Q178" s="41">
        <v>1</v>
      </c>
      <c r="R178" s="41" t="s">
        <v>102</v>
      </c>
      <c r="S178" s="41">
        <f>IF(R178&gt;0,INDEX(Fish!$D:$D,MATCH(R178,Fish!$L:$L,0)),"")</f>
        <v>11211</v>
      </c>
      <c r="T178" s="41">
        <v>30000</v>
      </c>
      <c r="U178" s="41">
        <v>1</v>
      </c>
      <c r="V178" s="41">
        <v>1</v>
      </c>
      <c r="W178" s="41">
        <v>1</v>
      </c>
    </row>
    <row r="179" spans="1:35">
      <c r="A179" s="41">
        <v>44415</v>
      </c>
      <c r="B179" s="41">
        <v>5</v>
      </c>
      <c r="C179" s="41">
        <v>0</v>
      </c>
      <c r="D179" s="41">
        <v>4</v>
      </c>
      <c r="E179" s="41">
        <v>2</v>
      </c>
      <c r="F179" s="41" t="s">
        <v>350</v>
      </c>
      <c r="G179" s="41">
        <f>IF(F179&gt;0,INDEX(Fish!$D:$D,MATCH(F179,Fish!$L:$L,0)),"")</f>
        <v>11021</v>
      </c>
      <c r="H179" s="41">
        <v>30000</v>
      </c>
      <c r="I179" s="41">
        <v>1</v>
      </c>
      <c r="J179" s="41">
        <v>2</v>
      </c>
      <c r="K179" s="41">
        <v>3</v>
      </c>
      <c r="L179" s="41" t="s">
        <v>348</v>
      </c>
      <c r="M179" s="41">
        <f>IF(L179&gt;0,INDEX(Fish!$D:$D,MATCH(L179,Fish!$L:$L,0)),"")</f>
        <v>11092</v>
      </c>
      <c r="N179" s="41">
        <v>24000</v>
      </c>
      <c r="O179" s="41">
        <v>1</v>
      </c>
      <c r="P179" s="41">
        <v>2</v>
      </c>
      <c r="Q179" s="41">
        <v>3</v>
      </c>
      <c r="R179" s="46" t="s">
        <v>352</v>
      </c>
      <c r="S179" s="41">
        <f>IF(R179&gt;0,INDEX(Fish!$D:$D,MATCH(R179,Fish!$L:$L,0)),"")</f>
        <v>11026</v>
      </c>
      <c r="T179" s="41">
        <v>20000</v>
      </c>
      <c r="U179" s="41">
        <v>1</v>
      </c>
      <c r="V179" s="41">
        <v>2</v>
      </c>
      <c r="W179" s="41">
        <v>3</v>
      </c>
      <c r="X179" s="41" t="s">
        <v>354</v>
      </c>
      <c r="Y179" s="41">
        <f>IF(X179&gt;0,INDEX(Fish!$D:$D,MATCH(X179,Fish!$L:$L,0)),"")</f>
        <v>11027</v>
      </c>
      <c r="Z179" s="41">
        <v>14000</v>
      </c>
      <c r="AA179" s="41">
        <v>1</v>
      </c>
      <c r="AB179" s="41">
        <v>2</v>
      </c>
      <c r="AC179" s="41">
        <v>3</v>
      </c>
      <c r="AD179" s="41" t="s">
        <v>357</v>
      </c>
      <c r="AE179" s="41">
        <f>IF(AD179&gt;0,INDEX(Fish!$D:$D,MATCH(AD179,Fish!$L:$L,0)),"")</f>
        <v>11231</v>
      </c>
      <c r="AF179" s="41">
        <v>12000</v>
      </c>
      <c r="AG179" s="41">
        <v>1</v>
      </c>
      <c r="AH179" s="41">
        <v>2</v>
      </c>
      <c r="AI179" s="41">
        <v>3</v>
      </c>
    </row>
    <row r="180" spans="1:35" ht="18.75">
      <c r="A180" s="41">
        <v>44415</v>
      </c>
      <c r="B180" s="41">
        <v>5</v>
      </c>
      <c r="C180" s="41">
        <v>0</v>
      </c>
      <c r="D180" s="41">
        <v>5</v>
      </c>
      <c r="E180" s="41">
        <v>2</v>
      </c>
      <c r="F180" s="41" t="s">
        <v>120</v>
      </c>
      <c r="G180" s="41">
        <f>IF(F180&gt;0,INDEX(Fish!$D:$D,MATCH(F180,Fish!$L:$L,0)),"")</f>
        <v>14015</v>
      </c>
      <c r="H180" s="41">
        <v>35000</v>
      </c>
      <c r="I180" s="41">
        <v>1</v>
      </c>
      <c r="J180" s="41">
        <v>1</v>
      </c>
      <c r="K180" s="41">
        <v>1</v>
      </c>
      <c r="L180" s="41" t="s">
        <v>124</v>
      </c>
      <c r="M180" s="41">
        <f>IF(L180&gt;0,INDEX(Fish!$D:$D,MATCH(L180,Fish!$L:$L,0)),"")</f>
        <v>14235</v>
      </c>
      <c r="N180" s="41">
        <v>26000</v>
      </c>
      <c r="O180" s="41">
        <v>1</v>
      </c>
      <c r="P180" s="41">
        <v>1</v>
      </c>
      <c r="Q180" s="41">
        <v>1</v>
      </c>
      <c r="R180" s="41" t="s">
        <v>119</v>
      </c>
      <c r="S180" s="41">
        <f>IF(R180&gt;0,INDEX(Fish!$D:$D,MATCH(R180,Fish!$L:$L,0)),"")</f>
        <v>14013</v>
      </c>
      <c r="T180" s="41">
        <v>16000</v>
      </c>
      <c r="U180" s="41">
        <v>1</v>
      </c>
      <c r="V180" s="41">
        <v>1</v>
      </c>
      <c r="W180" s="41">
        <v>1</v>
      </c>
      <c r="X180" s="41" t="s">
        <v>122</v>
      </c>
      <c r="Y180" s="41">
        <f>IF(X180&gt;0,INDEX(Fish!$D:$D,MATCH(X180,Fish!$L:$L,0)),"")</f>
        <v>14024</v>
      </c>
      <c r="Z180" s="41">
        <v>13000</v>
      </c>
      <c r="AA180" s="41">
        <v>1</v>
      </c>
      <c r="AB180" s="41">
        <v>1</v>
      </c>
      <c r="AC180" s="41">
        <v>1</v>
      </c>
      <c r="AD180" s="45" t="s">
        <v>123</v>
      </c>
      <c r="AE180" s="41">
        <f>IF(AD180&gt;0,INDEX(Fish!$D:$D,MATCH(AD180,Fish!$L:$L,0)),"")</f>
        <v>14025</v>
      </c>
      <c r="AF180" s="41">
        <v>10000</v>
      </c>
      <c r="AG180" s="41">
        <v>1</v>
      </c>
      <c r="AH180" s="41">
        <v>1</v>
      </c>
      <c r="AI180" s="41">
        <v>1</v>
      </c>
    </row>
    <row r="181" spans="1:35">
      <c r="A181" s="41">
        <v>44501</v>
      </c>
      <c r="B181" s="41">
        <v>1</v>
      </c>
      <c r="C181" s="41">
        <v>8</v>
      </c>
      <c r="D181" s="41">
        <v>1</v>
      </c>
      <c r="E181" s="41">
        <v>1</v>
      </c>
      <c r="F181" s="41" t="s">
        <v>58</v>
      </c>
      <c r="G181" s="41">
        <f>IF(F181&gt;0,INDEX(Fish!$D:$D,MATCH(F181,Fish!$L:$L,0)),"")</f>
        <v>11001</v>
      </c>
      <c r="H181" s="41">
        <v>0</v>
      </c>
      <c r="I181" s="41">
        <v>4</v>
      </c>
      <c r="J181" s="41">
        <v>13</v>
      </c>
      <c r="K181" s="41">
        <v>15</v>
      </c>
      <c r="L181" s="41" t="s">
        <v>62</v>
      </c>
      <c r="M181" s="41">
        <f>IF(L181&gt;0,INDEX(Fish!$D:$D,MATCH(L181,Fish!$L:$L,0)),"")</f>
        <v>11003</v>
      </c>
      <c r="N181" s="41">
        <v>0</v>
      </c>
      <c r="O181" s="41">
        <v>3</v>
      </c>
      <c r="P181" s="41">
        <v>13</v>
      </c>
      <c r="Q181" s="41">
        <v>15</v>
      </c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>
      <c r="A182" s="41">
        <v>44501</v>
      </c>
      <c r="B182" s="41">
        <v>1</v>
      </c>
      <c r="C182" s="41">
        <v>8</v>
      </c>
      <c r="D182" s="41">
        <v>1</v>
      </c>
      <c r="E182" s="41">
        <v>1</v>
      </c>
      <c r="F182" s="41" t="s">
        <v>58</v>
      </c>
      <c r="G182" s="41">
        <f>IF(F182&gt;0,INDEX(Fish!$D:$D,MATCH(F182,Fish!$L:$L,0)),"")</f>
        <v>11001</v>
      </c>
      <c r="H182" s="41">
        <v>0</v>
      </c>
      <c r="I182" s="41">
        <v>4</v>
      </c>
      <c r="J182" s="41">
        <v>13</v>
      </c>
      <c r="K182" s="41">
        <v>15</v>
      </c>
      <c r="L182" s="41" t="s">
        <v>70</v>
      </c>
      <c r="M182" s="41">
        <f>IF(L182&gt;0,INDEX(Fish!$D:$D,MATCH(L182,Fish!$L:$L,0)),"")</f>
        <v>11007</v>
      </c>
      <c r="N182" s="41">
        <v>0</v>
      </c>
      <c r="O182" s="41">
        <v>3</v>
      </c>
      <c r="P182" s="41">
        <v>13</v>
      </c>
      <c r="Q182" s="41">
        <v>15</v>
      </c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>
      <c r="A183" s="41">
        <v>44501</v>
      </c>
      <c r="B183" s="41">
        <v>1</v>
      </c>
      <c r="C183" s="41">
        <v>8</v>
      </c>
      <c r="D183" s="41">
        <v>1</v>
      </c>
      <c r="E183" s="41">
        <v>1</v>
      </c>
      <c r="F183" s="41" t="s">
        <v>60</v>
      </c>
      <c r="G183" s="41">
        <f>IF(F183&gt;0,INDEX(Fish!$D:$D,MATCH(F183,Fish!$L:$L,0)),"")</f>
        <v>11002</v>
      </c>
      <c r="H183" s="41">
        <v>0</v>
      </c>
      <c r="I183" s="41">
        <v>4</v>
      </c>
      <c r="J183" s="41">
        <v>13</v>
      </c>
      <c r="K183" s="41">
        <v>15</v>
      </c>
      <c r="L183" s="41" t="s">
        <v>62</v>
      </c>
      <c r="M183" s="41">
        <f>IF(L183&gt;0,INDEX(Fish!$D:$D,MATCH(L183,Fish!$L:$L,0)),"")</f>
        <v>11003</v>
      </c>
      <c r="N183" s="41">
        <v>0</v>
      </c>
      <c r="O183" s="41">
        <v>3</v>
      </c>
      <c r="P183" s="41">
        <v>13</v>
      </c>
      <c r="Q183" s="41">
        <v>15</v>
      </c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>
      <c r="A184" s="41">
        <v>44501</v>
      </c>
      <c r="B184" s="41">
        <v>1</v>
      </c>
      <c r="C184" s="41">
        <v>8</v>
      </c>
      <c r="D184" s="41">
        <v>1</v>
      </c>
      <c r="E184" s="41">
        <v>1</v>
      </c>
      <c r="F184" s="41" t="s">
        <v>60</v>
      </c>
      <c r="G184" s="41">
        <f>IF(F184&gt;0,INDEX(Fish!$D:$D,MATCH(F184,Fish!$L:$L,0)),"")</f>
        <v>11002</v>
      </c>
      <c r="H184" s="41">
        <v>0</v>
      </c>
      <c r="I184" s="41">
        <v>4</v>
      </c>
      <c r="J184" s="41">
        <v>13</v>
      </c>
      <c r="K184" s="41">
        <v>15</v>
      </c>
      <c r="L184" s="41" t="s">
        <v>70</v>
      </c>
      <c r="M184" s="41">
        <f>IF(L184&gt;0,INDEX(Fish!$D:$D,MATCH(L184,Fish!$L:$L,0)),"")</f>
        <v>11007</v>
      </c>
      <c r="N184" s="41">
        <v>0</v>
      </c>
      <c r="O184" s="41">
        <v>3</v>
      </c>
      <c r="P184" s="41">
        <v>13</v>
      </c>
      <c r="Q184" s="41">
        <v>15</v>
      </c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>
      <c r="A185" s="41">
        <v>44501</v>
      </c>
      <c r="B185" s="41">
        <v>2</v>
      </c>
      <c r="C185" s="41">
        <v>0</v>
      </c>
      <c r="D185" s="41">
        <v>2</v>
      </c>
      <c r="E185" s="41">
        <v>1</v>
      </c>
      <c r="F185" s="41" t="s">
        <v>72</v>
      </c>
      <c r="G185" s="41">
        <f>IF(F185&gt;0,INDEX(Fish!$D:$D,MATCH(F185,Fish!$L:$L,0)),"")</f>
        <v>11008</v>
      </c>
      <c r="H185" s="41">
        <v>0</v>
      </c>
      <c r="I185" s="41">
        <v>1</v>
      </c>
      <c r="J185" s="41">
        <v>4</v>
      </c>
      <c r="K185" s="41">
        <v>6</v>
      </c>
      <c r="L185" s="41" t="s">
        <v>80</v>
      </c>
      <c r="M185" s="41">
        <f>IF(L185&gt;0,INDEX(Fish!$D:$D,MATCH(L185,Fish!$L:$L,0)),"")</f>
        <v>11011</v>
      </c>
      <c r="N185" s="41">
        <v>0</v>
      </c>
      <c r="O185" s="41">
        <v>1</v>
      </c>
      <c r="P185" s="41">
        <v>3</v>
      </c>
      <c r="Q185" s="41">
        <v>4</v>
      </c>
      <c r="R185" s="41" t="s">
        <v>92</v>
      </c>
      <c r="S185" s="41">
        <v>11017</v>
      </c>
      <c r="T185" s="41">
        <v>0</v>
      </c>
      <c r="U185" s="41">
        <v>1</v>
      </c>
      <c r="V185" s="41">
        <v>2</v>
      </c>
      <c r="W185" s="41">
        <v>3</v>
      </c>
      <c r="X185" s="41" t="s">
        <v>88</v>
      </c>
      <c r="Y185" s="41">
        <v>11015</v>
      </c>
      <c r="Z185" s="41">
        <v>0</v>
      </c>
      <c r="AA185" s="41">
        <v>1</v>
      </c>
      <c r="AB185" s="41">
        <v>2</v>
      </c>
      <c r="AC185" s="41">
        <v>3</v>
      </c>
      <c r="AD185" s="41" t="s">
        <v>84</v>
      </c>
      <c r="AE185" s="41">
        <v>11013</v>
      </c>
      <c r="AF185" s="41">
        <v>0</v>
      </c>
      <c r="AG185" s="41">
        <v>1</v>
      </c>
      <c r="AH185" s="41">
        <v>1</v>
      </c>
      <c r="AI185" s="41">
        <v>2</v>
      </c>
    </row>
    <row r="186" spans="1:35">
      <c r="A186" s="41">
        <v>44501</v>
      </c>
      <c r="B186" s="41">
        <v>2</v>
      </c>
      <c r="C186" s="41">
        <v>0</v>
      </c>
      <c r="D186" s="41">
        <v>2</v>
      </c>
      <c r="E186" s="41">
        <v>1</v>
      </c>
      <c r="F186" s="41" t="s">
        <v>72</v>
      </c>
      <c r="G186" s="41">
        <f>IF(F186&gt;0,INDEX(Fish!$D:$D,MATCH(F186,Fish!$L:$L,0)),"")</f>
        <v>11008</v>
      </c>
      <c r="H186" s="41">
        <v>0</v>
      </c>
      <c r="I186" s="41">
        <v>1</v>
      </c>
      <c r="J186" s="41">
        <v>4</v>
      </c>
      <c r="K186" s="41">
        <v>6</v>
      </c>
      <c r="L186" s="41" t="s">
        <v>80</v>
      </c>
      <c r="M186" s="41">
        <f>IF(L186&gt;0,INDEX(Fish!$D:$D,MATCH(L186,Fish!$L:$L,0)),"")</f>
        <v>11011</v>
      </c>
      <c r="N186" s="41">
        <v>0</v>
      </c>
      <c r="O186" s="41">
        <v>1</v>
      </c>
      <c r="P186" s="41">
        <v>3</v>
      </c>
      <c r="Q186" s="41">
        <v>4</v>
      </c>
      <c r="R186" s="41" t="s">
        <v>92</v>
      </c>
      <c r="S186" s="41">
        <v>11017</v>
      </c>
      <c r="T186" s="41">
        <v>0</v>
      </c>
      <c r="U186" s="41">
        <v>1</v>
      </c>
      <c r="V186" s="41">
        <v>2</v>
      </c>
      <c r="W186" s="41">
        <v>3</v>
      </c>
      <c r="X186" s="41" t="s">
        <v>88</v>
      </c>
      <c r="Y186" s="41">
        <v>11015</v>
      </c>
      <c r="Z186" s="41">
        <v>0</v>
      </c>
      <c r="AA186" s="41">
        <v>1</v>
      </c>
      <c r="AB186" s="41">
        <v>2</v>
      </c>
      <c r="AC186" s="41">
        <v>3</v>
      </c>
      <c r="AD186" s="41" t="s">
        <v>90</v>
      </c>
      <c r="AE186" s="41">
        <v>11016</v>
      </c>
      <c r="AF186" s="41">
        <v>0</v>
      </c>
      <c r="AG186" s="41">
        <v>1</v>
      </c>
      <c r="AH186" s="41">
        <v>1</v>
      </c>
      <c r="AI186" s="41">
        <v>2</v>
      </c>
    </row>
    <row r="187" spans="1:35">
      <c r="A187" s="41">
        <v>44501</v>
      </c>
      <c r="B187" s="41">
        <v>2</v>
      </c>
      <c r="C187" s="41">
        <v>0</v>
      </c>
      <c r="D187" s="41">
        <v>2</v>
      </c>
      <c r="E187" s="41">
        <v>1</v>
      </c>
      <c r="F187" s="41" t="s">
        <v>72</v>
      </c>
      <c r="G187" s="41">
        <f>IF(F187&gt;0,INDEX(Fish!$D:$D,MATCH(F187,Fish!$L:$L,0)),"")</f>
        <v>11008</v>
      </c>
      <c r="H187" s="41">
        <v>0</v>
      </c>
      <c r="I187" s="41">
        <v>1</v>
      </c>
      <c r="J187" s="41">
        <v>4</v>
      </c>
      <c r="K187" s="41">
        <v>6</v>
      </c>
      <c r="L187" s="41" t="s">
        <v>80</v>
      </c>
      <c r="M187" s="41">
        <f>IF(L187&gt;0,INDEX(Fish!$D:$D,MATCH(L187,Fish!$L:$L,0)),"")</f>
        <v>11011</v>
      </c>
      <c r="N187" s="41">
        <v>0</v>
      </c>
      <c r="O187" s="41">
        <v>1</v>
      </c>
      <c r="P187" s="41">
        <v>3</v>
      </c>
      <c r="Q187" s="41">
        <v>4</v>
      </c>
      <c r="R187" s="41" t="s">
        <v>92</v>
      </c>
      <c r="S187" s="41">
        <v>11017</v>
      </c>
      <c r="T187" s="41">
        <v>0</v>
      </c>
      <c r="U187" s="41">
        <v>1</v>
      </c>
      <c r="V187" s="41">
        <v>2</v>
      </c>
      <c r="W187" s="41">
        <v>3</v>
      </c>
      <c r="X187" s="41" t="s">
        <v>84</v>
      </c>
      <c r="Y187" s="41">
        <v>11013</v>
      </c>
      <c r="Z187" s="41">
        <v>0</v>
      </c>
      <c r="AA187" s="41">
        <v>1</v>
      </c>
      <c r="AB187" s="41">
        <v>3</v>
      </c>
      <c r="AC187" s="41">
        <v>5</v>
      </c>
    </row>
    <row r="188" spans="1:35">
      <c r="A188" s="41">
        <v>44501</v>
      </c>
      <c r="B188" s="41">
        <v>2</v>
      </c>
      <c r="C188" s="41">
        <v>0</v>
      </c>
      <c r="D188" s="41">
        <v>2</v>
      </c>
      <c r="E188" s="41">
        <v>1</v>
      </c>
      <c r="F188" s="41" t="s">
        <v>72</v>
      </c>
      <c r="G188" s="41">
        <f>IF(F188&gt;0,INDEX(Fish!$D:$D,MATCH(F188,Fish!$L:$L,0)),"")</f>
        <v>11008</v>
      </c>
      <c r="H188" s="41">
        <v>0</v>
      </c>
      <c r="I188" s="41">
        <v>1</v>
      </c>
      <c r="J188" s="41">
        <v>4</v>
      </c>
      <c r="K188" s="41">
        <v>6</v>
      </c>
      <c r="L188" s="41" t="s">
        <v>80</v>
      </c>
      <c r="M188" s="41">
        <f>IF(L188&gt;0,INDEX(Fish!$D:$D,MATCH(L188,Fish!$L:$L,0)),"")</f>
        <v>11011</v>
      </c>
      <c r="N188" s="41">
        <v>0</v>
      </c>
      <c r="O188" s="41">
        <v>1</v>
      </c>
      <c r="P188" s="41">
        <v>3</v>
      </c>
      <c r="Q188" s="41">
        <v>4</v>
      </c>
      <c r="R188" s="41" t="s">
        <v>92</v>
      </c>
      <c r="S188" s="41">
        <v>11017</v>
      </c>
      <c r="T188" s="41">
        <v>0</v>
      </c>
      <c r="U188" s="41">
        <v>1</v>
      </c>
      <c r="V188" s="41">
        <v>2</v>
      </c>
      <c r="W188" s="41">
        <v>3</v>
      </c>
      <c r="X188" s="41" t="s">
        <v>90</v>
      </c>
      <c r="Y188" s="41">
        <v>11016</v>
      </c>
      <c r="Z188" s="41">
        <v>0</v>
      </c>
      <c r="AA188" s="41">
        <v>1</v>
      </c>
      <c r="AB188" s="41">
        <v>3</v>
      </c>
      <c r="AC188" s="41">
        <v>5</v>
      </c>
    </row>
    <row r="189" spans="1:35">
      <c r="A189" s="41">
        <v>44501</v>
      </c>
      <c r="B189" s="41">
        <v>2</v>
      </c>
      <c r="C189" s="41">
        <v>0</v>
      </c>
      <c r="D189" s="41">
        <v>2</v>
      </c>
      <c r="E189" s="41">
        <v>1</v>
      </c>
      <c r="F189" s="41" t="s">
        <v>72</v>
      </c>
      <c r="G189" s="41">
        <f>IF(F189&gt;0,INDEX(Fish!$D:$D,MATCH(F189,Fish!$L:$L,0)),"")</f>
        <v>11008</v>
      </c>
      <c r="H189" s="41">
        <v>0</v>
      </c>
      <c r="I189" s="41">
        <v>1</v>
      </c>
      <c r="J189" s="41">
        <v>4</v>
      </c>
      <c r="K189" s="41">
        <v>6</v>
      </c>
      <c r="L189" s="41" t="s">
        <v>80</v>
      </c>
      <c r="M189" s="41">
        <f>IF(L189&gt;0,INDEX(Fish!$D:$D,MATCH(L189,Fish!$L:$L,0)),"")</f>
        <v>11011</v>
      </c>
      <c r="N189" s="41">
        <v>0</v>
      </c>
      <c r="O189" s="41">
        <v>1</v>
      </c>
      <c r="P189" s="41">
        <v>3</v>
      </c>
      <c r="Q189" s="41">
        <v>4</v>
      </c>
      <c r="R189" s="41" t="s">
        <v>82</v>
      </c>
      <c r="S189" s="41">
        <v>11012</v>
      </c>
      <c r="T189" s="41">
        <v>0</v>
      </c>
      <c r="U189" s="41">
        <v>1</v>
      </c>
      <c r="V189" s="41">
        <v>2</v>
      </c>
      <c r="W189" s="41">
        <v>3</v>
      </c>
      <c r="X189" s="41" t="s">
        <v>88</v>
      </c>
      <c r="Y189" s="41">
        <v>11015</v>
      </c>
      <c r="Z189" s="41">
        <v>0</v>
      </c>
      <c r="AA189" s="41">
        <v>1</v>
      </c>
      <c r="AB189" s="41">
        <v>2</v>
      </c>
      <c r="AC189" s="41">
        <v>3</v>
      </c>
      <c r="AD189" s="41" t="s">
        <v>84</v>
      </c>
      <c r="AE189" s="41">
        <v>11013</v>
      </c>
      <c r="AF189" s="41">
        <v>0</v>
      </c>
      <c r="AG189" s="41">
        <v>1</v>
      </c>
      <c r="AH189" s="41">
        <v>1</v>
      </c>
      <c r="AI189" s="41">
        <v>2</v>
      </c>
    </row>
    <row r="190" spans="1:35">
      <c r="A190" s="41">
        <v>44501</v>
      </c>
      <c r="B190" s="41">
        <v>2</v>
      </c>
      <c r="C190" s="41">
        <v>0</v>
      </c>
      <c r="D190" s="41">
        <v>2</v>
      </c>
      <c r="E190" s="41">
        <v>1</v>
      </c>
      <c r="F190" s="41" t="s">
        <v>72</v>
      </c>
      <c r="G190" s="41">
        <f>IF(F190&gt;0,INDEX(Fish!$D:$D,MATCH(F190,Fish!$L:$L,0)),"")</f>
        <v>11008</v>
      </c>
      <c r="H190" s="41">
        <v>0</v>
      </c>
      <c r="I190" s="41">
        <v>1</v>
      </c>
      <c r="J190" s="41">
        <v>4</v>
      </c>
      <c r="K190" s="41">
        <v>6</v>
      </c>
      <c r="L190" s="41" t="s">
        <v>80</v>
      </c>
      <c r="M190" s="41">
        <f>IF(L190&gt;0,INDEX(Fish!$D:$D,MATCH(L190,Fish!$L:$L,0)),"")</f>
        <v>11011</v>
      </c>
      <c r="N190" s="41">
        <v>0</v>
      </c>
      <c r="O190" s="41">
        <v>1</v>
      </c>
      <c r="P190" s="41">
        <v>3</v>
      </c>
      <c r="Q190" s="41">
        <v>4</v>
      </c>
      <c r="R190" s="41" t="s">
        <v>82</v>
      </c>
      <c r="S190" s="41">
        <v>11012</v>
      </c>
      <c r="T190" s="41">
        <v>0</v>
      </c>
      <c r="U190" s="41">
        <v>1</v>
      </c>
      <c r="V190" s="41">
        <v>2</v>
      </c>
      <c r="W190" s="41">
        <v>3</v>
      </c>
      <c r="X190" s="41" t="s">
        <v>88</v>
      </c>
      <c r="Y190" s="41">
        <v>11015</v>
      </c>
      <c r="Z190" s="41">
        <v>0</v>
      </c>
      <c r="AA190" s="41">
        <v>1</v>
      </c>
      <c r="AB190" s="41">
        <v>2</v>
      </c>
      <c r="AC190" s="41">
        <v>3</v>
      </c>
      <c r="AD190" s="41" t="s">
        <v>90</v>
      </c>
      <c r="AE190" s="41">
        <v>11016</v>
      </c>
      <c r="AF190" s="41">
        <v>0</v>
      </c>
      <c r="AG190" s="41">
        <v>1</v>
      </c>
      <c r="AH190" s="41">
        <v>1</v>
      </c>
      <c r="AI190" s="41">
        <v>2</v>
      </c>
    </row>
    <row r="191" spans="1:35">
      <c r="A191" s="41">
        <v>44501</v>
      </c>
      <c r="B191" s="41">
        <v>2</v>
      </c>
      <c r="C191" s="41">
        <v>0</v>
      </c>
      <c r="D191" s="41">
        <v>2</v>
      </c>
      <c r="E191" s="41">
        <v>1</v>
      </c>
      <c r="F191" s="41" t="s">
        <v>72</v>
      </c>
      <c r="G191" s="41">
        <f>IF(F191&gt;0,INDEX(Fish!$D:$D,MATCH(F191,Fish!$L:$L,0)),"")</f>
        <v>11008</v>
      </c>
      <c r="H191" s="41">
        <v>0</v>
      </c>
      <c r="I191" s="41">
        <v>1</v>
      </c>
      <c r="J191" s="41">
        <v>4</v>
      </c>
      <c r="K191" s="41">
        <v>6</v>
      </c>
      <c r="L191" s="41" t="s">
        <v>80</v>
      </c>
      <c r="M191" s="41">
        <f>IF(L191&gt;0,INDEX(Fish!$D:$D,MATCH(L191,Fish!$L:$L,0)),"")</f>
        <v>11011</v>
      </c>
      <c r="N191" s="41">
        <v>0</v>
      </c>
      <c r="O191" s="41">
        <v>1</v>
      </c>
      <c r="P191" s="41">
        <v>3</v>
      </c>
      <c r="Q191" s="41">
        <v>4</v>
      </c>
      <c r="R191" s="41" t="s">
        <v>82</v>
      </c>
      <c r="S191" s="41">
        <v>11012</v>
      </c>
      <c r="T191" s="41">
        <v>0</v>
      </c>
      <c r="U191" s="41">
        <v>1</v>
      </c>
      <c r="V191" s="41">
        <v>2</v>
      </c>
      <c r="W191" s="41">
        <v>3</v>
      </c>
      <c r="X191" s="41" t="s">
        <v>84</v>
      </c>
      <c r="Y191" s="41">
        <v>11013</v>
      </c>
      <c r="Z191" s="41">
        <v>0</v>
      </c>
      <c r="AA191" s="41">
        <v>1</v>
      </c>
      <c r="AB191" s="41">
        <v>3</v>
      </c>
      <c r="AC191" s="41">
        <v>5</v>
      </c>
    </row>
    <row r="192" spans="1:35">
      <c r="A192" s="41">
        <v>44501</v>
      </c>
      <c r="B192" s="41">
        <v>2</v>
      </c>
      <c r="C192" s="41">
        <v>0</v>
      </c>
      <c r="D192" s="41">
        <v>2</v>
      </c>
      <c r="E192" s="41">
        <v>1</v>
      </c>
      <c r="F192" s="41" t="s">
        <v>72</v>
      </c>
      <c r="G192" s="41">
        <f>IF(F192&gt;0,INDEX(Fish!$D:$D,MATCH(F192,Fish!$L:$L,0)),"")</f>
        <v>11008</v>
      </c>
      <c r="H192" s="41">
        <v>0</v>
      </c>
      <c r="I192" s="41">
        <v>1</v>
      </c>
      <c r="J192" s="41">
        <v>4</v>
      </c>
      <c r="K192" s="41">
        <v>6</v>
      </c>
      <c r="L192" s="41" t="s">
        <v>80</v>
      </c>
      <c r="M192" s="41">
        <f>IF(L192&gt;0,INDEX(Fish!$D:$D,MATCH(L192,Fish!$L:$L,0)),"")</f>
        <v>11011</v>
      </c>
      <c r="N192" s="41">
        <v>0</v>
      </c>
      <c r="O192" s="41">
        <v>1</v>
      </c>
      <c r="P192" s="41">
        <v>3</v>
      </c>
      <c r="Q192" s="41">
        <v>4</v>
      </c>
      <c r="R192" s="41" t="s">
        <v>82</v>
      </c>
      <c r="S192" s="41">
        <v>11012</v>
      </c>
      <c r="T192" s="41">
        <v>0</v>
      </c>
      <c r="U192" s="41">
        <v>1</v>
      </c>
      <c r="V192" s="41">
        <v>2</v>
      </c>
      <c r="W192" s="41">
        <v>3</v>
      </c>
      <c r="X192" s="41" t="s">
        <v>90</v>
      </c>
      <c r="Y192" s="41">
        <v>11016</v>
      </c>
      <c r="Z192" s="41">
        <v>0</v>
      </c>
      <c r="AA192" s="41">
        <v>1</v>
      </c>
      <c r="AB192" s="41">
        <v>3</v>
      </c>
      <c r="AC192" s="41">
        <v>5</v>
      </c>
    </row>
    <row r="193" spans="1:35">
      <c r="A193" s="41">
        <v>44501</v>
      </c>
      <c r="B193" s="41">
        <v>2</v>
      </c>
      <c r="C193" s="41">
        <v>0</v>
      </c>
      <c r="D193" s="41">
        <v>2</v>
      </c>
      <c r="E193" s="41">
        <v>1</v>
      </c>
      <c r="F193" s="41" t="s">
        <v>72</v>
      </c>
      <c r="G193" s="41">
        <f>IF(F193&gt;0,INDEX(Fish!$D:$D,MATCH(F193,Fish!$L:$L,0)),"")</f>
        <v>11008</v>
      </c>
      <c r="H193" s="41">
        <v>0</v>
      </c>
      <c r="I193" s="41">
        <v>1</v>
      </c>
      <c r="J193" s="41">
        <v>4</v>
      </c>
      <c r="K193" s="41">
        <v>6</v>
      </c>
      <c r="L193" s="41" t="s">
        <v>92</v>
      </c>
      <c r="M193" s="41">
        <f>IF(L193&gt;0,INDEX(Fish!$D:$D,MATCH(L193,Fish!$L:$L,0)),"")</f>
        <v>11017</v>
      </c>
      <c r="N193" s="41">
        <v>0</v>
      </c>
      <c r="O193" s="41">
        <v>1</v>
      </c>
      <c r="P193" s="41">
        <v>3</v>
      </c>
      <c r="Q193" s="41">
        <v>4</v>
      </c>
      <c r="R193" s="41" t="s">
        <v>88</v>
      </c>
      <c r="S193" s="41">
        <v>11015</v>
      </c>
      <c r="T193" s="41">
        <v>0</v>
      </c>
      <c r="U193" s="41">
        <v>1</v>
      </c>
      <c r="V193" s="41">
        <v>2</v>
      </c>
      <c r="W193" s="41">
        <v>3</v>
      </c>
      <c r="X193" s="41" t="s">
        <v>84</v>
      </c>
      <c r="Y193" s="41">
        <v>11013</v>
      </c>
      <c r="Z193" s="41">
        <v>0</v>
      </c>
      <c r="AA193" s="41">
        <v>1</v>
      </c>
      <c r="AB193" s="41">
        <v>3</v>
      </c>
      <c r="AC193" s="41">
        <v>5</v>
      </c>
    </row>
    <row r="194" spans="1:35">
      <c r="A194" s="41">
        <v>44501</v>
      </c>
      <c r="B194" s="41">
        <v>2</v>
      </c>
      <c r="C194" s="41">
        <v>0</v>
      </c>
      <c r="D194" s="41">
        <v>2</v>
      </c>
      <c r="E194" s="41">
        <v>1</v>
      </c>
      <c r="F194" s="41" t="s">
        <v>72</v>
      </c>
      <c r="G194" s="41">
        <f>IF(F194&gt;0,INDEX(Fish!$D:$D,MATCH(F194,Fish!$L:$L,0)),"")</f>
        <v>11008</v>
      </c>
      <c r="H194" s="41">
        <v>0</v>
      </c>
      <c r="I194" s="41">
        <v>1</v>
      </c>
      <c r="J194" s="41">
        <v>4</v>
      </c>
      <c r="K194" s="41">
        <v>6</v>
      </c>
      <c r="L194" s="41" t="s">
        <v>92</v>
      </c>
      <c r="M194" s="41">
        <f>IF(L194&gt;0,INDEX(Fish!$D:$D,MATCH(L194,Fish!$L:$L,0)),"")</f>
        <v>11017</v>
      </c>
      <c r="N194" s="41">
        <v>0</v>
      </c>
      <c r="O194" s="41">
        <v>1</v>
      </c>
      <c r="P194" s="41">
        <v>3</v>
      </c>
      <c r="Q194" s="41">
        <v>4</v>
      </c>
      <c r="R194" s="41" t="s">
        <v>88</v>
      </c>
      <c r="S194" s="41">
        <v>11015</v>
      </c>
      <c r="T194" s="41">
        <v>0</v>
      </c>
      <c r="U194" s="41">
        <v>1</v>
      </c>
      <c r="V194" s="41">
        <v>2</v>
      </c>
      <c r="W194" s="41">
        <v>3</v>
      </c>
      <c r="X194" s="41" t="s">
        <v>90</v>
      </c>
      <c r="Y194" s="41">
        <v>11016</v>
      </c>
      <c r="Z194" s="41">
        <v>0</v>
      </c>
      <c r="AA194" s="41">
        <v>1</v>
      </c>
      <c r="AB194" s="41">
        <v>3</v>
      </c>
      <c r="AC194" s="41">
        <v>5</v>
      </c>
    </row>
    <row r="195" spans="1:35">
      <c r="A195" s="41">
        <v>44501</v>
      </c>
      <c r="B195" s="41">
        <v>2</v>
      </c>
      <c r="C195" s="41">
        <v>0</v>
      </c>
      <c r="D195" s="41">
        <v>2</v>
      </c>
      <c r="E195" s="41">
        <v>1</v>
      </c>
      <c r="F195" s="41" t="s">
        <v>72</v>
      </c>
      <c r="G195" s="41">
        <f>IF(F195&gt;0,INDEX(Fish!$D:$D,MATCH(F195,Fish!$L:$L,0)),"")</f>
        <v>11008</v>
      </c>
      <c r="H195" s="41">
        <v>0</v>
      </c>
      <c r="I195" s="41">
        <v>1</v>
      </c>
      <c r="J195" s="41">
        <v>4</v>
      </c>
      <c r="K195" s="41">
        <v>6</v>
      </c>
      <c r="L195" s="41" t="s">
        <v>92</v>
      </c>
      <c r="M195" s="41">
        <f>IF(L195&gt;0,INDEX(Fish!$D:$D,MATCH(L195,Fish!$L:$L,0)),"")</f>
        <v>11017</v>
      </c>
      <c r="N195" s="41">
        <v>0</v>
      </c>
      <c r="O195" s="41">
        <v>1</v>
      </c>
      <c r="P195" s="41">
        <v>3</v>
      </c>
      <c r="Q195" s="41">
        <v>4</v>
      </c>
      <c r="R195" s="41" t="s">
        <v>94</v>
      </c>
      <c r="S195" s="41">
        <v>11020</v>
      </c>
      <c r="T195" s="41">
        <v>0</v>
      </c>
      <c r="U195" s="41">
        <v>1</v>
      </c>
      <c r="V195" s="41">
        <v>2</v>
      </c>
      <c r="W195" s="41">
        <v>3</v>
      </c>
      <c r="X195" s="41" t="s">
        <v>84</v>
      </c>
      <c r="Y195" s="41">
        <v>11013</v>
      </c>
      <c r="Z195" s="41">
        <v>0</v>
      </c>
      <c r="AA195" s="41">
        <v>1</v>
      </c>
      <c r="AB195" s="41">
        <v>3</v>
      </c>
      <c r="AC195" s="41">
        <v>5</v>
      </c>
    </row>
    <row r="196" spans="1:35">
      <c r="A196" s="41">
        <v>44501</v>
      </c>
      <c r="B196" s="41">
        <v>2</v>
      </c>
      <c r="C196" s="41">
        <v>0</v>
      </c>
      <c r="D196" s="41">
        <v>2</v>
      </c>
      <c r="E196" s="41">
        <v>1</v>
      </c>
      <c r="F196" s="41" t="s">
        <v>72</v>
      </c>
      <c r="G196" s="41">
        <f>IF(F196&gt;0,INDEX(Fish!$D:$D,MATCH(F196,Fish!$L:$L,0)),"")</f>
        <v>11008</v>
      </c>
      <c r="H196" s="41">
        <v>0</v>
      </c>
      <c r="I196" s="41">
        <v>1</v>
      </c>
      <c r="J196" s="41">
        <v>4</v>
      </c>
      <c r="K196" s="41">
        <v>6</v>
      </c>
      <c r="L196" s="41" t="s">
        <v>92</v>
      </c>
      <c r="M196" s="41">
        <f>IF(L196&gt;0,INDEX(Fish!$D:$D,MATCH(L196,Fish!$L:$L,0)),"")</f>
        <v>11017</v>
      </c>
      <c r="N196" s="41">
        <v>0</v>
      </c>
      <c r="O196" s="41">
        <v>1</v>
      </c>
      <c r="P196" s="41">
        <v>3</v>
      </c>
      <c r="Q196" s="41">
        <v>4</v>
      </c>
      <c r="R196" s="41" t="s">
        <v>94</v>
      </c>
      <c r="S196" s="41">
        <v>11020</v>
      </c>
      <c r="T196" s="41">
        <v>0</v>
      </c>
      <c r="U196" s="41">
        <v>1</v>
      </c>
      <c r="V196" s="41">
        <v>2</v>
      </c>
      <c r="W196" s="41">
        <v>3</v>
      </c>
      <c r="X196" s="41" t="s">
        <v>90</v>
      </c>
      <c r="Y196" s="41">
        <v>11016</v>
      </c>
      <c r="Z196" s="41">
        <v>0</v>
      </c>
      <c r="AA196" s="41">
        <v>1</v>
      </c>
      <c r="AB196" s="41">
        <v>3</v>
      </c>
      <c r="AC196" s="41">
        <v>5</v>
      </c>
    </row>
    <row r="197" spans="1:35">
      <c r="A197" s="41">
        <v>44501</v>
      </c>
      <c r="B197" s="41">
        <v>2</v>
      </c>
      <c r="C197" s="41">
        <v>0</v>
      </c>
      <c r="D197" s="41">
        <v>2</v>
      </c>
      <c r="E197" s="41">
        <v>1</v>
      </c>
      <c r="F197" s="41" t="s">
        <v>72</v>
      </c>
      <c r="G197" s="41">
        <f>IF(F197&gt;0,INDEX(Fish!$D:$D,MATCH(F197,Fish!$L:$L,0)),"")</f>
        <v>11008</v>
      </c>
      <c r="H197" s="41">
        <v>0</v>
      </c>
      <c r="I197" s="41">
        <v>1</v>
      </c>
      <c r="J197" s="41">
        <v>4</v>
      </c>
      <c r="K197" s="41">
        <v>6</v>
      </c>
      <c r="L197" s="41" t="s">
        <v>82</v>
      </c>
      <c r="M197" s="41">
        <f>IF(L197&gt;0,INDEX(Fish!$D:$D,MATCH(L197,Fish!$L:$L,0)),"")</f>
        <v>11012</v>
      </c>
      <c r="N197" s="41">
        <v>0</v>
      </c>
      <c r="O197" s="41">
        <v>1</v>
      </c>
      <c r="P197" s="41">
        <v>3</v>
      </c>
      <c r="Q197" s="41">
        <v>4</v>
      </c>
      <c r="R197" s="41" t="s">
        <v>88</v>
      </c>
      <c r="S197" s="41">
        <v>11015</v>
      </c>
      <c r="T197" s="41">
        <v>0</v>
      </c>
      <c r="U197" s="41">
        <v>1</v>
      </c>
      <c r="V197" s="41">
        <v>2</v>
      </c>
      <c r="W197" s="41">
        <v>3</v>
      </c>
      <c r="X197" s="41" t="s">
        <v>84</v>
      </c>
      <c r="Y197" s="41">
        <v>11013</v>
      </c>
      <c r="Z197" s="41">
        <v>0</v>
      </c>
      <c r="AA197" s="41">
        <v>1</v>
      </c>
      <c r="AB197" s="41">
        <v>3</v>
      </c>
      <c r="AC197" s="41">
        <v>5</v>
      </c>
    </row>
    <row r="198" spans="1:35">
      <c r="A198" s="41">
        <v>44501</v>
      </c>
      <c r="B198" s="41">
        <v>2</v>
      </c>
      <c r="C198" s="41">
        <v>0</v>
      </c>
      <c r="D198" s="41">
        <v>2</v>
      </c>
      <c r="E198" s="41">
        <v>1</v>
      </c>
      <c r="F198" s="41" t="s">
        <v>72</v>
      </c>
      <c r="G198" s="41">
        <f>IF(F198&gt;0,INDEX(Fish!$D:$D,MATCH(F198,Fish!$L:$L,0)),"")</f>
        <v>11008</v>
      </c>
      <c r="H198" s="41">
        <v>0</v>
      </c>
      <c r="I198" s="41">
        <v>1</v>
      </c>
      <c r="J198" s="41">
        <v>4</v>
      </c>
      <c r="K198" s="41">
        <v>6</v>
      </c>
      <c r="L198" s="41" t="s">
        <v>82</v>
      </c>
      <c r="M198" s="41">
        <f>IF(L198&gt;0,INDEX(Fish!$D:$D,MATCH(L198,Fish!$L:$L,0)),"")</f>
        <v>11012</v>
      </c>
      <c r="N198" s="41">
        <v>0</v>
      </c>
      <c r="O198" s="41">
        <v>1</v>
      </c>
      <c r="P198" s="41">
        <v>3</v>
      </c>
      <c r="Q198" s="41">
        <v>4</v>
      </c>
      <c r="R198" s="41" t="s">
        <v>88</v>
      </c>
      <c r="S198" s="41">
        <v>11015</v>
      </c>
      <c r="T198" s="41">
        <v>0</v>
      </c>
      <c r="U198" s="41">
        <v>1</v>
      </c>
      <c r="V198" s="41">
        <v>2</v>
      </c>
      <c r="W198" s="41">
        <v>3</v>
      </c>
      <c r="X198" s="41" t="s">
        <v>90</v>
      </c>
      <c r="Y198" s="41">
        <v>11016</v>
      </c>
      <c r="Z198" s="41">
        <v>0</v>
      </c>
      <c r="AA198" s="41">
        <v>1</v>
      </c>
      <c r="AB198" s="41">
        <v>3</v>
      </c>
      <c r="AC198" s="41">
        <v>5</v>
      </c>
    </row>
    <row r="199" spans="1:35">
      <c r="A199" s="41">
        <v>44501</v>
      </c>
      <c r="B199" s="41">
        <v>2</v>
      </c>
      <c r="C199" s="41">
        <v>0</v>
      </c>
      <c r="D199" s="41">
        <v>2</v>
      </c>
      <c r="E199" s="41">
        <v>1</v>
      </c>
      <c r="F199" s="41" t="s">
        <v>72</v>
      </c>
      <c r="G199" s="41">
        <f>IF(F199&gt;0,INDEX(Fish!$D:$D,MATCH(F199,Fish!$L:$L,0)),"")</f>
        <v>11008</v>
      </c>
      <c r="H199" s="41">
        <v>0</v>
      </c>
      <c r="I199" s="41">
        <v>1</v>
      </c>
      <c r="J199" s="41">
        <v>4</v>
      </c>
      <c r="K199" s="41">
        <v>6</v>
      </c>
      <c r="L199" s="41" t="s">
        <v>82</v>
      </c>
      <c r="M199" s="41">
        <f>IF(L199&gt;0,INDEX(Fish!$D:$D,MATCH(L199,Fish!$L:$L,0)),"")</f>
        <v>11012</v>
      </c>
      <c r="N199" s="41">
        <v>0</v>
      </c>
      <c r="O199" s="41">
        <v>1</v>
      </c>
      <c r="P199" s="41">
        <v>3</v>
      </c>
      <c r="Q199" s="41">
        <v>4</v>
      </c>
      <c r="R199" s="41" t="s">
        <v>94</v>
      </c>
      <c r="S199" s="41">
        <v>11020</v>
      </c>
      <c r="T199" s="41">
        <v>0</v>
      </c>
      <c r="U199" s="41">
        <v>1</v>
      </c>
      <c r="V199" s="41">
        <v>2</v>
      </c>
      <c r="W199" s="41">
        <v>3</v>
      </c>
      <c r="X199" s="41" t="s">
        <v>84</v>
      </c>
      <c r="Y199" s="41">
        <v>11013</v>
      </c>
      <c r="Z199" s="41">
        <v>0</v>
      </c>
      <c r="AA199" s="41">
        <v>1</v>
      </c>
      <c r="AB199" s="41">
        <v>3</v>
      </c>
      <c r="AC199" s="41">
        <v>5</v>
      </c>
    </row>
    <row r="200" spans="1:35">
      <c r="A200" s="41">
        <v>44501</v>
      </c>
      <c r="B200" s="41">
        <v>2</v>
      </c>
      <c r="C200" s="41">
        <v>0</v>
      </c>
      <c r="D200" s="41">
        <v>2</v>
      </c>
      <c r="E200" s="41">
        <v>1</v>
      </c>
      <c r="F200" s="41" t="s">
        <v>72</v>
      </c>
      <c r="G200" s="41">
        <f>IF(F200&gt;0,INDEX(Fish!$D:$D,MATCH(F200,Fish!$L:$L,0)),"")</f>
        <v>11008</v>
      </c>
      <c r="H200" s="41">
        <v>0</v>
      </c>
      <c r="I200" s="41">
        <v>1</v>
      </c>
      <c r="J200" s="41">
        <v>4</v>
      </c>
      <c r="K200" s="41">
        <v>6</v>
      </c>
      <c r="L200" s="41" t="s">
        <v>82</v>
      </c>
      <c r="M200" s="41">
        <f>IF(L200&gt;0,INDEX(Fish!$D:$D,MATCH(L200,Fish!$L:$L,0)),"")</f>
        <v>11012</v>
      </c>
      <c r="N200" s="41">
        <v>0</v>
      </c>
      <c r="O200" s="41">
        <v>1</v>
      </c>
      <c r="P200" s="41">
        <v>3</v>
      </c>
      <c r="Q200" s="41">
        <v>4</v>
      </c>
      <c r="R200" s="41" t="s">
        <v>94</v>
      </c>
      <c r="S200" s="41">
        <v>11020</v>
      </c>
      <c r="T200" s="41">
        <v>0</v>
      </c>
      <c r="U200" s="41">
        <v>1</v>
      </c>
      <c r="V200" s="41">
        <v>2</v>
      </c>
      <c r="W200" s="41">
        <v>3</v>
      </c>
      <c r="X200" s="41" t="s">
        <v>90</v>
      </c>
      <c r="Y200" s="41">
        <v>11016</v>
      </c>
      <c r="Z200" s="41">
        <v>0</v>
      </c>
      <c r="AA200" s="41">
        <v>1</v>
      </c>
      <c r="AB200" s="41">
        <v>3</v>
      </c>
      <c r="AC200" s="41">
        <v>5</v>
      </c>
    </row>
    <row r="201" spans="1:35">
      <c r="A201" s="41">
        <v>44501</v>
      </c>
      <c r="B201" s="41">
        <v>2</v>
      </c>
      <c r="C201" s="41">
        <v>0</v>
      </c>
      <c r="D201" s="41">
        <v>2</v>
      </c>
      <c r="E201" s="41">
        <v>1</v>
      </c>
      <c r="F201" s="41" t="s">
        <v>74</v>
      </c>
      <c r="G201" s="41">
        <f>IF(F201&gt;0,INDEX(Fish!$D:$D,MATCH(F201,Fish!$L:$L,0)),"")</f>
        <v>11009</v>
      </c>
      <c r="H201" s="41">
        <v>0</v>
      </c>
      <c r="I201" s="41">
        <v>1</v>
      </c>
      <c r="J201" s="41">
        <v>4</v>
      </c>
      <c r="K201" s="41">
        <v>6</v>
      </c>
      <c r="L201" s="41" t="s">
        <v>80</v>
      </c>
      <c r="M201" s="41">
        <f>IF(L201&gt;0,INDEX(Fish!$D:$D,MATCH(L201,Fish!$L:$L,0)),"")</f>
        <v>11011</v>
      </c>
      <c r="N201" s="41">
        <v>0</v>
      </c>
      <c r="O201" s="41">
        <v>1</v>
      </c>
      <c r="P201" s="41">
        <v>3</v>
      </c>
      <c r="Q201" s="41">
        <v>4</v>
      </c>
      <c r="R201" s="41" t="s">
        <v>92</v>
      </c>
      <c r="S201" s="41">
        <v>11017</v>
      </c>
      <c r="T201" s="41">
        <v>0</v>
      </c>
      <c r="U201" s="41">
        <v>1</v>
      </c>
      <c r="V201" s="41">
        <v>2</v>
      </c>
      <c r="W201" s="41">
        <v>3</v>
      </c>
      <c r="X201" s="41" t="s">
        <v>88</v>
      </c>
      <c r="Y201" s="41">
        <v>11015</v>
      </c>
      <c r="Z201" s="41">
        <v>0</v>
      </c>
      <c r="AA201" s="41">
        <v>1</v>
      </c>
      <c r="AB201" s="41">
        <v>2</v>
      </c>
      <c r="AC201" s="41">
        <v>3</v>
      </c>
      <c r="AD201" s="41" t="s">
        <v>84</v>
      </c>
      <c r="AE201" s="41">
        <v>11013</v>
      </c>
      <c r="AF201" s="41">
        <v>0</v>
      </c>
      <c r="AG201" s="41">
        <v>1</v>
      </c>
      <c r="AH201" s="41">
        <v>1</v>
      </c>
      <c r="AI201" s="41">
        <v>2</v>
      </c>
    </row>
    <row r="202" spans="1:35">
      <c r="A202" s="41">
        <v>44501</v>
      </c>
      <c r="B202" s="41">
        <v>2</v>
      </c>
      <c r="C202" s="41">
        <v>0</v>
      </c>
      <c r="D202" s="41">
        <v>2</v>
      </c>
      <c r="E202" s="41">
        <v>1</v>
      </c>
      <c r="F202" s="41" t="s">
        <v>74</v>
      </c>
      <c r="G202" s="41">
        <f>IF(F202&gt;0,INDEX(Fish!$D:$D,MATCH(F202,Fish!$L:$L,0)),"")</f>
        <v>11009</v>
      </c>
      <c r="H202" s="41">
        <v>0</v>
      </c>
      <c r="I202" s="41">
        <v>1</v>
      </c>
      <c r="J202" s="41">
        <v>4</v>
      </c>
      <c r="K202" s="41">
        <v>6</v>
      </c>
      <c r="L202" s="41" t="s">
        <v>80</v>
      </c>
      <c r="M202" s="41">
        <f>IF(L202&gt;0,INDEX(Fish!$D:$D,MATCH(L202,Fish!$L:$L,0)),"")</f>
        <v>11011</v>
      </c>
      <c r="N202" s="41">
        <v>0</v>
      </c>
      <c r="O202" s="41">
        <v>1</v>
      </c>
      <c r="P202" s="41">
        <v>3</v>
      </c>
      <c r="Q202" s="41">
        <v>4</v>
      </c>
      <c r="R202" s="41" t="s">
        <v>92</v>
      </c>
      <c r="S202" s="41">
        <v>11017</v>
      </c>
      <c r="T202" s="41">
        <v>0</v>
      </c>
      <c r="U202" s="41">
        <v>1</v>
      </c>
      <c r="V202" s="41">
        <v>2</v>
      </c>
      <c r="W202" s="41">
        <v>3</v>
      </c>
      <c r="X202" s="41" t="s">
        <v>88</v>
      </c>
      <c r="Y202" s="41">
        <v>11015</v>
      </c>
      <c r="Z202" s="41">
        <v>0</v>
      </c>
      <c r="AA202" s="41">
        <v>1</v>
      </c>
      <c r="AB202" s="41">
        <v>2</v>
      </c>
      <c r="AC202" s="41">
        <v>3</v>
      </c>
      <c r="AD202" s="41" t="s">
        <v>90</v>
      </c>
      <c r="AE202" s="41">
        <v>11016</v>
      </c>
      <c r="AF202" s="41">
        <v>0</v>
      </c>
      <c r="AG202" s="41">
        <v>1</v>
      </c>
      <c r="AH202" s="41">
        <v>1</v>
      </c>
      <c r="AI202" s="41">
        <v>2</v>
      </c>
    </row>
    <row r="203" spans="1:35">
      <c r="A203" s="41">
        <v>44501</v>
      </c>
      <c r="B203" s="41">
        <v>2</v>
      </c>
      <c r="C203" s="41">
        <v>0</v>
      </c>
      <c r="D203" s="41">
        <v>2</v>
      </c>
      <c r="E203" s="41">
        <v>1</v>
      </c>
      <c r="F203" s="41" t="s">
        <v>74</v>
      </c>
      <c r="G203" s="41">
        <f>IF(F203&gt;0,INDEX(Fish!$D:$D,MATCH(F203,Fish!$L:$L,0)),"")</f>
        <v>11009</v>
      </c>
      <c r="H203" s="41">
        <v>0</v>
      </c>
      <c r="I203" s="41">
        <v>1</v>
      </c>
      <c r="J203" s="41">
        <v>4</v>
      </c>
      <c r="K203" s="41">
        <v>6</v>
      </c>
      <c r="L203" s="41" t="s">
        <v>80</v>
      </c>
      <c r="M203" s="41">
        <f>IF(L203&gt;0,INDEX(Fish!$D:$D,MATCH(L203,Fish!$L:$L,0)),"")</f>
        <v>11011</v>
      </c>
      <c r="N203" s="41">
        <v>0</v>
      </c>
      <c r="O203" s="41">
        <v>1</v>
      </c>
      <c r="P203" s="41">
        <v>3</v>
      </c>
      <c r="Q203" s="41">
        <v>4</v>
      </c>
      <c r="R203" s="41" t="s">
        <v>92</v>
      </c>
      <c r="S203" s="41">
        <v>11017</v>
      </c>
      <c r="T203" s="41">
        <v>0</v>
      </c>
      <c r="U203" s="41">
        <v>1</v>
      </c>
      <c r="V203" s="41">
        <v>2</v>
      </c>
      <c r="W203" s="41">
        <v>3</v>
      </c>
      <c r="X203" s="41" t="s">
        <v>84</v>
      </c>
      <c r="Y203" s="41">
        <v>11013</v>
      </c>
      <c r="Z203" s="41">
        <v>0</v>
      </c>
      <c r="AA203" s="41">
        <v>1</v>
      </c>
      <c r="AB203" s="41">
        <v>3</v>
      </c>
      <c r="AC203" s="41">
        <v>5</v>
      </c>
    </row>
    <row r="204" spans="1:35">
      <c r="A204" s="41">
        <v>44501</v>
      </c>
      <c r="B204" s="41">
        <v>2</v>
      </c>
      <c r="C204" s="41">
        <v>0</v>
      </c>
      <c r="D204" s="41">
        <v>2</v>
      </c>
      <c r="E204" s="41">
        <v>1</v>
      </c>
      <c r="F204" s="41" t="s">
        <v>74</v>
      </c>
      <c r="G204" s="41">
        <f>IF(F204&gt;0,INDEX(Fish!$D:$D,MATCH(F204,Fish!$L:$L,0)),"")</f>
        <v>11009</v>
      </c>
      <c r="H204" s="41">
        <v>0</v>
      </c>
      <c r="I204" s="41">
        <v>1</v>
      </c>
      <c r="J204" s="41">
        <v>4</v>
      </c>
      <c r="K204" s="41">
        <v>6</v>
      </c>
      <c r="L204" s="41" t="s">
        <v>80</v>
      </c>
      <c r="M204" s="41">
        <f>IF(L204&gt;0,INDEX(Fish!$D:$D,MATCH(L204,Fish!$L:$L,0)),"")</f>
        <v>11011</v>
      </c>
      <c r="N204" s="41">
        <v>0</v>
      </c>
      <c r="O204" s="41">
        <v>1</v>
      </c>
      <c r="P204" s="41">
        <v>3</v>
      </c>
      <c r="Q204" s="41">
        <v>4</v>
      </c>
      <c r="R204" s="41" t="s">
        <v>92</v>
      </c>
      <c r="S204" s="41">
        <v>11017</v>
      </c>
      <c r="T204" s="41">
        <v>0</v>
      </c>
      <c r="U204" s="41">
        <v>1</v>
      </c>
      <c r="V204" s="41">
        <v>2</v>
      </c>
      <c r="W204" s="41">
        <v>3</v>
      </c>
      <c r="X204" s="41" t="s">
        <v>90</v>
      </c>
      <c r="Y204" s="41">
        <v>11016</v>
      </c>
      <c r="Z204" s="41">
        <v>0</v>
      </c>
      <c r="AA204" s="41">
        <v>1</v>
      </c>
      <c r="AB204" s="41">
        <v>3</v>
      </c>
      <c r="AC204" s="41">
        <v>5</v>
      </c>
    </row>
    <row r="205" spans="1:35">
      <c r="A205" s="41">
        <v>44501</v>
      </c>
      <c r="B205" s="41">
        <v>2</v>
      </c>
      <c r="C205" s="41">
        <v>0</v>
      </c>
      <c r="D205" s="41">
        <v>2</v>
      </c>
      <c r="E205" s="41">
        <v>1</v>
      </c>
      <c r="F205" s="41" t="s">
        <v>74</v>
      </c>
      <c r="G205" s="41">
        <f>IF(F205&gt;0,INDEX(Fish!$D:$D,MATCH(F205,Fish!$L:$L,0)),"")</f>
        <v>11009</v>
      </c>
      <c r="H205" s="41">
        <v>0</v>
      </c>
      <c r="I205" s="41">
        <v>1</v>
      </c>
      <c r="J205" s="41">
        <v>4</v>
      </c>
      <c r="K205" s="41">
        <v>6</v>
      </c>
      <c r="L205" s="41" t="s">
        <v>80</v>
      </c>
      <c r="M205" s="41">
        <f>IF(L205&gt;0,INDEX(Fish!$D:$D,MATCH(L205,Fish!$L:$L,0)),"")</f>
        <v>11011</v>
      </c>
      <c r="N205" s="41">
        <v>0</v>
      </c>
      <c r="O205" s="41">
        <v>1</v>
      </c>
      <c r="P205" s="41">
        <v>3</v>
      </c>
      <c r="Q205" s="41">
        <v>4</v>
      </c>
      <c r="R205" s="41" t="s">
        <v>82</v>
      </c>
      <c r="S205" s="41">
        <v>11012</v>
      </c>
      <c r="T205" s="41">
        <v>0</v>
      </c>
      <c r="U205" s="41">
        <v>1</v>
      </c>
      <c r="V205" s="41">
        <v>2</v>
      </c>
      <c r="W205" s="41">
        <v>3</v>
      </c>
      <c r="X205" s="41" t="s">
        <v>88</v>
      </c>
      <c r="Y205" s="41">
        <v>11015</v>
      </c>
      <c r="Z205" s="41">
        <v>0</v>
      </c>
      <c r="AA205" s="41">
        <v>1</v>
      </c>
      <c r="AB205" s="41">
        <v>2</v>
      </c>
      <c r="AC205" s="41">
        <v>3</v>
      </c>
      <c r="AD205" s="41" t="s">
        <v>84</v>
      </c>
      <c r="AE205" s="41">
        <v>11013</v>
      </c>
      <c r="AF205" s="41">
        <v>0</v>
      </c>
      <c r="AG205" s="41">
        <v>1</v>
      </c>
      <c r="AH205" s="41">
        <v>1</v>
      </c>
      <c r="AI205" s="41">
        <v>2</v>
      </c>
    </row>
    <row r="206" spans="1:35">
      <c r="A206" s="41">
        <v>44501</v>
      </c>
      <c r="B206" s="41">
        <v>2</v>
      </c>
      <c r="C206" s="41">
        <v>0</v>
      </c>
      <c r="D206" s="41">
        <v>2</v>
      </c>
      <c r="E206" s="41">
        <v>1</v>
      </c>
      <c r="F206" s="41" t="s">
        <v>74</v>
      </c>
      <c r="G206" s="41">
        <f>IF(F206&gt;0,INDEX(Fish!$D:$D,MATCH(F206,Fish!$L:$L,0)),"")</f>
        <v>11009</v>
      </c>
      <c r="H206" s="41">
        <v>0</v>
      </c>
      <c r="I206" s="41">
        <v>1</v>
      </c>
      <c r="J206" s="41">
        <v>4</v>
      </c>
      <c r="K206" s="41">
        <v>6</v>
      </c>
      <c r="L206" s="41" t="s">
        <v>80</v>
      </c>
      <c r="M206" s="41">
        <f>IF(L206&gt;0,INDEX(Fish!$D:$D,MATCH(L206,Fish!$L:$L,0)),"")</f>
        <v>11011</v>
      </c>
      <c r="N206" s="41">
        <v>0</v>
      </c>
      <c r="O206" s="41">
        <v>1</v>
      </c>
      <c r="P206" s="41">
        <v>3</v>
      </c>
      <c r="Q206" s="41">
        <v>4</v>
      </c>
      <c r="R206" s="41" t="s">
        <v>82</v>
      </c>
      <c r="S206" s="41">
        <v>11012</v>
      </c>
      <c r="T206" s="41">
        <v>0</v>
      </c>
      <c r="U206" s="41">
        <v>1</v>
      </c>
      <c r="V206" s="41">
        <v>2</v>
      </c>
      <c r="W206" s="41">
        <v>3</v>
      </c>
      <c r="X206" s="41" t="s">
        <v>88</v>
      </c>
      <c r="Y206" s="41">
        <v>11015</v>
      </c>
      <c r="Z206" s="41">
        <v>0</v>
      </c>
      <c r="AA206" s="41">
        <v>1</v>
      </c>
      <c r="AB206" s="41">
        <v>2</v>
      </c>
      <c r="AC206" s="41">
        <v>3</v>
      </c>
      <c r="AD206" s="41" t="s">
        <v>90</v>
      </c>
      <c r="AE206" s="41">
        <v>11016</v>
      </c>
      <c r="AF206" s="41">
        <v>0</v>
      </c>
      <c r="AG206" s="41">
        <v>1</v>
      </c>
      <c r="AH206" s="41">
        <v>1</v>
      </c>
      <c r="AI206" s="41">
        <v>2</v>
      </c>
    </row>
    <row r="207" spans="1:35">
      <c r="A207" s="41">
        <v>44501</v>
      </c>
      <c r="B207" s="41">
        <v>2</v>
      </c>
      <c r="C207" s="41">
        <v>0</v>
      </c>
      <c r="D207" s="41">
        <v>2</v>
      </c>
      <c r="E207" s="41">
        <v>1</v>
      </c>
      <c r="F207" s="41" t="s">
        <v>74</v>
      </c>
      <c r="G207" s="41">
        <f>IF(F207&gt;0,INDEX(Fish!$D:$D,MATCH(F207,Fish!$L:$L,0)),"")</f>
        <v>11009</v>
      </c>
      <c r="H207" s="41">
        <v>0</v>
      </c>
      <c r="I207" s="41">
        <v>1</v>
      </c>
      <c r="J207" s="41">
        <v>4</v>
      </c>
      <c r="K207" s="41">
        <v>6</v>
      </c>
      <c r="L207" s="41" t="s">
        <v>80</v>
      </c>
      <c r="M207" s="41">
        <f>IF(L207&gt;0,INDEX(Fish!$D:$D,MATCH(L207,Fish!$L:$L,0)),"")</f>
        <v>11011</v>
      </c>
      <c r="N207" s="41">
        <v>0</v>
      </c>
      <c r="O207" s="41">
        <v>1</v>
      </c>
      <c r="P207" s="41">
        <v>3</v>
      </c>
      <c r="Q207" s="41">
        <v>4</v>
      </c>
      <c r="R207" s="41" t="s">
        <v>82</v>
      </c>
      <c r="S207" s="41">
        <v>11012</v>
      </c>
      <c r="T207" s="41">
        <v>0</v>
      </c>
      <c r="U207" s="41">
        <v>1</v>
      </c>
      <c r="V207" s="41">
        <v>2</v>
      </c>
      <c r="W207" s="41">
        <v>3</v>
      </c>
      <c r="X207" s="41" t="s">
        <v>84</v>
      </c>
      <c r="Y207" s="41">
        <v>11013</v>
      </c>
      <c r="Z207" s="41">
        <v>0</v>
      </c>
      <c r="AA207" s="41">
        <v>1</v>
      </c>
      <c r="AB207" s="41">
        <v>3</v>
      </c>
      <c r="AC207" s="41">
        <v>5</v>
      </c>
    </row>
    <row r="208" spans="1:35">
      <c r="A208" s="41">
        <v>44501</v>
      </c>
      <c r="B208" s="41">
        <v>2</v>
      </c>
      <c r="C208" s="41">
        <v>0</v>
      </c>
      <c r="D208" s="41">
        <v>2</v>
      </c>
      <c r="E208" s="41">
        <v>1</v>
      </c>
      <c r="F208" s="41" t="s">
        <v>74</v>
      </c>
      <c r="G208" s="41">
        <f>IF(F208&gt;0,INDEX(Fish!$D:$D,MATCH(F208,Fish!$L:$L,0)),"")</f>
        <v>11009</v>
      </c>
      <c r="H208" s="41">
        <v>0</v>
      </c>
      <c r="I208" s="41">
        <v>1</v>
      </c>
      <c r="J208" s="41">
        <v>4</v>
      </c>
      <c r="K208" s="41">
        <v>6</v>
      </c>
      <c r="L208" s="41" t="s">
        <v>80</v>
      </c>
      <c r="M208" s="41">
        <f>IF(L208&gt;0,INDEX(Fish!$D:$D,MATCH(L208,Fish!$L:$L,0)),"")</f>
        <v>11011</v>
      </c>
      <c r="N208" s="41">
        <v>0</v>
      </c>
      <c r="O208" s="41">
        <v>1</v>
      </c>
      <c r="P208" s="41">
        <v>3</v>
      </c>
      <c r="Q208" s="41">
        <v>4</v>
      </c>
      <c r="R208" s="41" t="s">
        <v>82</v>
      </c>
      <c r="S208" s="41">
        <v>11012</v>
      </c>
      <c r="T208" s="41">
        <v>0</v>
      </c>
      <c r="U208" s="41">
        <v>1</v>
      </c>
      <c r="V208" s="41">
        <v>2</v>
      </c>
      <c r="W208" s="41">
        <v>3</v>
      </c>
      <c r="X208" s="41" t="s">
        <v>90</v>
      </c>
      <c r="Y208" s="41">
        <v>11016</v>
      </c>
      <c r="Z208" s="41">
        <v>0</v>
      </c>
      <c r="AA208" s="41">
        <v>1</v>
      </c>
      <c r="AB208" s="41">
        <v>3</v>
      </c>
      <c r="AC208" s="41">
        <v>5</v>
      </c>
    </row>
    <row r="209" spans="1:35">
      <c r="A209" s="41">
        <v>44501</v>
      </c>
      <c r="B209" s="41">
        <v>2</v>
      </c>
      <c r="C209" s="41">
        <v>0</v>
      </c>
      <c r="D209" s="41">
        <v>2</v>
      </c>
      <c r="E209" s="41">
        <v>1</v>
      </c>
      <c r="F209" s="41" t="s">
        <v>74</v>
      </c>
      <c r="G209" s="41">
        <f>IF(F209&gt;0,INDEX(Fish!$D:$D,MATCH(F209,Fish!$L:$L,0)),"")</f>
        <v>11009</v>
      </c>
      <c r="H209" s="41">
        <v>0</v>
      </c>
      <c r="I209" s="41">
        <v>1</v>
      </c>
      <c r="J209" s="41">
        <v>4</v>
      </c>
      <c r="K209" s="41">
        <v>6</v>
      </c>
      <c r="L209" s="41" t="s">
        <v>92</v>
      </c>
      <c r="M209" s="41">
        <f>IF(L209&gt;0,INDEX(Fish!$D:$D,MATCH(L209,Fish!$L:$L,0)),"")</f>
        <v>11017</v>
      </c>
      <c r="N209" s="41">
        <v>0</v>
      </c>
      <c r="O209" s="41">
        <v>1</v>
      </c>
      <c r="P209" s="41">
        <v>3</v>
      </c>
      <c r="Q209" s="41">
        <v>4</v>
      </c>
      <c r="R209" s="41" t="s">
        <v>88</v>
      </c>
      <c r="S209" s="41">
        <v>11015</v>
      </c>
      <c r="T209" s="41">
        <v>0</v>
      </c>
      <c r="U209" s="41">
        <v>1</v>
      </c>
      <c r="V209" s="41">
        <v>2</v>
      </c>
      <c r="W209" s="41">
        <v>3</v>
      </c>
      <c r="X209" s="41" t="s">
        <v>84</v>
      </c>
      <c r="Y209" s="41">
        <v>11013</v>
      </c>
      <c r="Z209" s="41">
        <v>0</v>
      </c>
      <c r="AA209" s="41">
        <v>1</v>
      </c>
      <c r="AB209" s="41">
        <v>3</v>
      </c>
      <c r="AC209" s="41">
        <v>5</v>
      </c>
    </row>
    <row r="210" spans="1:35">
      <c r="A210" s="41">
        <v>44501</v>
      </c>
      <c r="B210" s="41">
        <v>2</v>
      </c>
      <c r="C210" s="41">
        <v>0</v>
      </c>
      <c r="D210" s="41">
        <v>2</v>
      </c>
      <c r="E210" s="41">
        <v>1</v>
      </c>
      <c r="F210" s="41" t="s">
        <v>74</v>
      </c>
      <c r="G210" s="41">
        <f>IF(F210&gt;0,INDEX(Fish!$D:$D,MATCH(F210,Fish!$L:$L,0)),"")</f>
        <v>11009</v>
      </c>
      <c r="H210" s="41">
        <v>0</v>
      </c>
      <c r="I210" s="41">
        <v>1</v>
      </c>
      <c r="J210" s="41">
        <v>4</v>
      </c>
      <c r="K210" s="41">
        <v>6</v>
      </c>
      <c r="L210" s="41" t="s">
        <v>92</v>
      </c>
      <c r="M210" s="41">
        <f>IF(L210&gt;0,INDEX(Fish!$D:$D,MATCH(L210,Fish!$L:$L,0)),"")</f>
        <v>11017</v>
      </c>
      <c r="N210" s="41">
        <v>0</v>
      </c>
      <c r="O210" s="41">
        <v>1</v>
      </c>
      <c r="P210" s="41">
        <v>3</v>
      </c>
      <c r="Q210" s="41">
        <v>4</v>
      </c>
      <c r="R210" s="41" t="s">
        <v>88</v>
      </c>
      <c r="S210" s="41">
        <v>11015</v>
      </c>
      <c r="T210" s="41">
        <v>0</v>
      </c>
      <c r="U210" s="41">
        <v>1</v>
      </c>
      <c r="V210" s="41">
        <v>2</v>
      </c>
      <c r="W210" s="41">
        <v>3</v>
      </c>
      <c r="X210" s="41" t="s">
        <v>90</v>
      </c>
      <c r="Y210" s="41">
        <v>11016</v>
      </c>
      <c r="Z210" s="41">
        <v>0</v>
      </c>
      <c r="AA210" s="41">
        <v>1</v>
      </c>
      <c r="AB210" s="41">
        <v>3</v>
      </c>
      <c r="AC210" s="41">
        <v>5</v>
      </c>
    </row>
    <row r="211" spans="1:35">
      <c r="A211" s="41">
        <v>44501</v>
      </c>
      <c r="B211" s="41">
        <v>2</v>
      </c>
      <c r="C211" s="41">
        <v>0</v>
      </c>
      <c r="D211" s="41">
        <v>2</v>
      </c>
      <c r="E211" s="41">
        <v>1</v>
      </c>
      <c r="F211" s="41" t="s">
        <v>74</v>
      </c>
      <c r="G211" s="41">
        <f>IF(F211&gt;0,INDEX(Fish!$D:$D,MATCH(F211,Fish!$L:$L,0)),"")</f>
        <v>11009</v>
      </c>
      <c r="H211" s="41">
        <v>0</v>
      </c>
      <c r="I211" s="41">
        <v>1</v>
      </c>
      <c r="J211" s="41">
        <v>4</v>
      </c>
      <c r="K211" s="41">
        <v>6</v>
      </c>
      <c r="L211" s="41" t="s">
        <v>92</v>
      </c>
      <c r="M211" s="41">
        <f>IF(L211&gt;0,INDEX(Fish!$D:$D,MATCH(L211,Fish!$L:$L,0)),"")</f>
        <v>11017</v>
      </c>
      <c r="N211" s="41">
        <v>0</v>
      </c>
      <c r="O211" s="41">
        <v>1</v>
      </c>
      <c r="P211" s="41">
        <v>3</v>
      </c>
      <c r="Q211" s="41">
        <v>4</v>
      </c>
      <c r="R211" s="41" t="s">
        <v>94</v>
      </c>
      <c r="S211" s="41">
        <v>11020</v>
      </c>
      <c r="T211" s="41">
        <v>0</v>
      </c>
      <c r="U211" s="41">
        <v>1</v>
      </c>
      <c r="V211" s="41">
        <v>2</v>
      </c>
      <c r="W211" s="41">
        <v>3</v>
      </c>
      <c r="X211" s="41" t="s">
        <v>84</v>
      </c>
      <c r="Y211" s="41">
        <v>11013</v>
      </c>
      <c r="Z211" s="41">
        <v>0</v>
      </c>
      <c r="AA211" s="41">
        <v>1</v>
      </c>
      <c r="AB211" s="41">
        <v>3</v>
      </c>
      <c r="AC211" s="41">
        <v>5</v>
      </c>
    </row>
    <row r="212" spans="1:35">
      <c r="A212" s="41">
        <v>44501</v>
      </c>
      <c r="B212" s="41">
        <v>2</v>
      </c>
      <c r="C212" s="41">
        <v>0</v>
      </c>
      <c r="D212" s="41">
        <v>2</v>
      </c>
      <c r="E212" s="41">
        <v>1</v>
      </c>
      <c r="F212" s="41" t="s">
        <v>74</v>
      </c>
      <c r="G212" s="41">
        <f>IF(F212&gt;0,INDEX(Fish!$D:$D,MATCH(F212,Fish!$L:$L,0)),"")</f>
        <v>11009</v>
      </c>
      <c r="H212" s="41">
        <v>0</v>
      </c>
      <c r="I212" s="41">
        <v>1</v>
      </c>
      <c r="J212" s="41">
        <v>4</v>
      </c>
      <c r="K212" s="41">
        <v>6</v>
      </c>
      <c r="L212" s="41" t="s">
        <v>92</v>
      </c>
      <c r="M212" s="41">
        <f>IF(L212&gt;0,INDEX(Fish!$D:$D,MATCH(L212,Fish!$L:$L,0)),"")</f>
        <v>11017</v>
      </c>
      <c r="N212" s="41">
        <v>0</v>
      </c>
      <c r="O212" s="41">
        <v>1</v>
      </c>
      <c r="P212" s="41">
        <v>3</v>
      </c>
      <c r="Q212" s="41">
        <v>4</v>
      </c>
      <c r="R212" s="41" t="s">
        <v>94</v>
      </c>
      <c r="S212" s="41">
        <v>11020</v>
      </c>
      <c r="T212" s="41">
        <v>0</v>
      </c>
      <c r="U212" s="41">
        <v>1</v>
      </c>
      <c r="V212" s="41">
        <v>2</v>
      </c>
      <c r="W212" s="41">
        <v>3</v>
      </c>
      <c r="X212" s="41" t="s">
        <v>90</v>
      </c>
      <c r="Y212" s="41">
        <v>11016</v>
      </c>
      <c r="Z212" s="41">
        <v>0</v>
      </c>
      <c r="AA212" s="41">
        <v>1</v>
      </c>
      <c r="AB212" s="41">
        <v>3</v>
      </c>
      <c r="AC212" s="41">
        <v>5</v>
      </c>
    </row>
    <row r="213" spans="1:35">
      <c r="A213" s="41">
        <v>44501</v>
      </c>
      <c r="B213" s="41">
        <v>2</v>
      </c>
      <c r="C213" s="41">
        <v>0</v>
      </c>
      <c r="D213" s="41">
        <v>2</v>
      </c>
      <c r="E213" s="41">
        <v>1</v>
      </c>
      <c r="F213" s="41" t="s">
        <v>74</v>
      </c>
      <c r="G213" s="41">
        <f>IF(F213&gt;0,INDEX(Fish!$D:$D,MATCH(F213,Fish!$L:$L,0)),"")</f>
        <v>11009</v>
      </c>
      <c r="H213" s="41">
        <v>0</v>
      </c>
      <c r="I213" s="41">
        <v>1</v>
      </c>
      <c r="J213" s="41">
        <v>4</v>
      </c>
      <c r="K213" s="41">
        <v>6</v>
      </c>
      <c r="L213" s="41" t="s">
        <v>82</v>
      </c>
      <c r="M213" s="41">
        <f>IF(L213&gt;0,INDEX(Fish!$D:$D,MATCH(L213,Fish!$L:$L,0)),"")</f>
        <v>11012</v>
      </c>
      <c r="N213" s="41">
        <v>0</v>
      </c>
      <c r="O213" s="41">
        <v>1</v>
      </c>
      <c r="P213" s="41">
        <v>3</v>
      </c>
      <c r="Q213" s="41">
        <v>4</v>
      </c>
      <c r="R213" s="41" t="s">
        <v>88</v>
      </c>
      <c r="S213" s="41">
        <v>11015</v>
      </c>
      <c r="T213" s="41">
        <v>0</v>
      </c>
      <c r="U213" s="41">
        <v>1</v>
      </c>
      <c r="V213" s="41">
        <v>2</v>
      </c>
      <c r="W213" s="41">
        <v>3</v>
      </c>
      <c r="X213" s="41" t="s">
        <v>84</v>
      </c>
      <c r="Y213" s="41">
        <v>11013</v>
      </c>
      <c r="Z213" s="41">
        <v>0</v>
      </c>
      <c r="AA213" s="41">
        <v>1</v>
      </c>
      <c r="AB213" s="41">
        <v>3</v>
      </c>
      <c r="AC213" s="41">
        <v>5</v>
      </c>
    </row>
    <row r="214" spans="1:35">
      <c r="A214" s="41">
        <v>44501</v>
      </c>
      <c r="B214" s="41">
        <v>2</v>
      </c>
      <c r="C214" s="41">
        <v>0</v>
      </c>
      <c r="D214" s="41">
        <v>2</v>
      </c>
      <c r="E214" s="41">
        <v>1</v>
      </c>
      <c r="F214" s="41" t="s">
        <v>74</v>
      </c>
      <c r="G214" s="41">
        <f>IF(F214&gt;0,INDEX(Fish!$D:$D,MATCH(F214,Fish!$L:$L,0)),"")</f>
        <v>11009</v>
      </c>
      <c r="H214" s="41">
        <v>0</v>
      </c>
      <c r="I214" s="41">
        <v>1</v>
      </c>
      <c r="J214" s="41">
        <v>4</v>
      </c>
      <c r="K214" s="41">
        <v>6</v>
      </c>
      <c r="L214" s="41" t="s">
        <v>82</v>
      </c>
      <c r="M214" s="41">
        <f>IF(L214&gt;0,INDEX(Fish!$D:$D,MATCH(L214,Fish!$L:$L,0)),"")</f>
        <v>11012</v>
      </c>
      <c r="N214" s="41">
        <v>0</v>
      </c>
      <c r="O214" s="41">
        <v>1</v>
      </c>
      <c r="P214" s="41">
        <v>3</v>
      </c>
      <c r="Q214" s="41">
        <v>4</v>
      </c>
      <c r="R214" s="41" t="s">
        <v>88</v>
      </c>
      <c r="S214" s="41">
        <v>11015</v>
      </c>
      <c r="T214" s="41">
        <v>0</v>
      </c>
      <c r="U214" s="41">
        <v>1</v>
      </c>
      <c r="V214" s="41">
        <v>2</v>
      </c>
      <c r="W214" s="41">
        <v>3</v>
      </c>
      <c r="X214" s="41" t="s">
        <v>90</v>
      </c>
      <c r="Y214" s="41">
        <v>11016</v>
      </c>
      <c r="Z214" s="41">
        <v>0</v>
      </c>
      <c r="AA214" s="41">
        <v>1</v>
      </c>
      <c r="AB214" s="41">
        <v>3</v>
      </c>
      <c r="AC214" s="41">
        <v>5</v>
      </c>
    </row>
    <row r="215" spans="1:35">
      <c r="A215" s="41">
        <v>44501</v>
      </c>
      <c r="B215" s="41">
        <v>2</v>
      </c>
      <c r="C215" s="41">
        <v>0</v>
      </c>
      <c r="D215" s="41">
        <v>2</v>
      </c>
      <c r="E215" s="41">
        <v>1</v>
      </c>
      <c r="F215" s="41" t="s">
        <v>74</v>
      </c>
      <c r="G215" s="41">
        <f>IF(F215&gt;0,INDEX(Fish!$D:$D,MATCH(F215,Fish!$L:$L,0)),"")</f>
        <v>11009</v>
      </c>
      <c r="H215" s="41">
        <v>0</v>
      </c>
      <c r="I215" s="41">
        <v>1</v>
      </c>
      <c r="J215" s="41">
        <v>4</v>
      </c>
      <c r="K215" s="41">
        <v>6</v>
      </c>
      <c r="L215" s="41" t="s">
        <v>82</v>
      </c>
      <c r="M215" s="41">
        <f>IF(L215&gt;0,INDEX(Fish!$D:$D,MATCH(L215,Fish!$L:$L,0)),"")</f>
        <v>11012</v>
      </c>
      <c r="N215" s="41">
        <v>0</v>
      </c>
      <c r="O215" s="41">
        <v>1</v>
      </c>
      <c r="P215" s="41">
        <v>3</v>
      </c>
      <c r="Q215" s="41">
        <v>4</v>
      </c>
      <c r="R215" s="41" t="s">
        <v>94</v>
      </c>
      <c r="S215" s="41">
        <v>11020</v>
      </c>
      <c r="T215" s="41">
        <v>0</v>
      </c>
      <c r="U215" s="41">
        <v>1</v>
      </c>
      <c r="V215" s="41">
        <v>2</v>
      </c>
      <c r="W215" s="41">
        <v>3</v>
      </c>
      <c r="X215" s="41" t="s">
        <v>84</v>
      </c>
      <c r="Y215" s="41">
        <v>11013</v>
      </c>
      <c r="Z215" s="41">
        <v>0</v>
      </c>
      <c r="AA215" s="41">
        <v>1</v>
      </c>
      <c r="AB215" s="41">
        <v>3</v>
      </c>
      <c r="AC215" s="41">
        <v>5</v>
      </c>
    </row>
    <row r="216" spans="1:35">
      <c r="A216" s="41">
        <v>44501</v>
      </c>
      <c r="B216" s="41">
        <v>2</v>
      </c>
      <c r="C216" s="41">
        <v>0</v>
      </c>
      <c r="D216" s="41">
        <v>2</v>
      </c>
      <c r="E216" s="41">
        <v>1</v>
      </c>
      <c r="F216" s="41" t="s">
        <v>74</v>
      </c>
      <c r="G216" s="41">
        <f>IF(F216&gt;0,INDEX(Fish!$D:$D,MATCH(F216,Fish!$L:$L,0)),"")</f>
        <v>11009</v>
      </c>
      <c r="H216" s="41">
        <v>0</v>
      </c>
      <c r="I216" s="41">
        <v>1</v>
      </c>
      <c r="J216" s="41">
        <v>4</v>
      </c>
      <c r="K216" s="41">
        <v>6</v>
      </c>
      <c r="L216" s="41" t="s">
        <v>82</v>
      </c>
      <c r="M216" s="41">
        <f>IF(L216&gt;0,INDEX(Fish!$D:$D,MATCH(L216,Fish!$L:$L,0)),"")</f>
        <v>11012</v>
      </c>
      <c r="N216" s="41">
        <v>0</v>
      </c>
      <c r="O216" s="41">
        <v>1</v>
      </c>
      <c r="P216" s="41">
        <v>3</v>
      </c>
      <c r="Q216" s="41">
        <v>4</v>
      </c>
      <c r="R216" s="41" t="s">
        <v>94</v>
      </c>
      <c r="S216" s="41">
        <v>11020</v>
      </c>
      <c r="T216" s="41">
        <v>0</v>
      </c>
      <c r="U216" s="41">
        <v>1</v>
      </c>
      <c r="V216" s="41">
        <v>2</v>
      </c>
      <c r="W216" s="41">
        <v>3</v>
      </c>
      <c r="X216" s="41" t="s">
        <v>90</v>
      </c>
      <c r="Y216" s="41">
        <v>11016</v>
      </c>
      <c r="Z216" s="41">
        <v>0</v>
      </c>
      <c r="AA216" s="41">
        <v>1</v>
      </c>
      <c r="AB216" s="41">
        <v>3</v>
      </c>
      <c r="AC216" s="41">
        <v>5</v>
      </c>
    </row>
    <row r="217" spans="1:35" ht="18.75">
      <c r="A217" s="41">
        <v>44501</v>
      </c>
      <c r="B217" s="41">
        <v>5</v>
      </c>
      <c r="C217" s="41">
        <v>0</v>
      </c>
      <c r="D217" s="41">
        <v>3</v>
      </c>
      <c r="E217" s="41">
        <v>2</v>
      </c>
      <c r="F217" s="45" t="s">
        <v>100</v>
      </c>
      <c r="G217" s="41">
        <f>IF(F217&gt;0,INDEX(Fish!$D:$D,MATCH(F217,Fish!$L:$L,0)),"")</f>
        <v>11025</v>
      </c>
      <c r="H217" s="41">
        <v>30000</v>
      </c>
      <c r="I217" s="41">
        <v>1</v>
      </c>
      <c r="J217" s="41">
        <v>1</v>
      </c>
      <c r="K217" s="41">
        <v>1</v>
      </c>
      <c r="L217" s="45" t="s">
        <v>96</v>
      </c>
      <c r="M217" s="41">
        <f>IF(L217&gt;0,INDEX(Fish!$D:$D,MATCH(L217,Fish!$L:$L,0)),"")</f>
        <v>11024</v>
      </c>
      <c r="N217" s="41">
        <v>30000</v>
      </c>
      <c r="O217" s="41">
        <v>1</v>
      </c>
      <c r="P217" s="41">
        <v>1</v>
      </c>
      <c r="Q217" s="41">
        <v>1</v>
      </c>
      <c r="X217"/>
      <c r="Y217"/>
      <c r="Z217"/>
      <c r="AA217"/>
      <c r="AD217"/>
      <c r="AE217"/>
      <c r="AF217"/>
      <c r="AG217"/>
    </row>
    <row r="218" spans="1:35">
      <c r="A218" s="41">
        <v>44501</v>
      </c>
      <c r="B218" s="41">
        <v>5</v>
      </c>
      <c r="C218" s="41">
        <v>0</v>
      </c>
      <c r="D218" s="41">
        <v>4</v>
      </c>
      <c r="E218" s="41">
        <v>2</v>
      </c>
      <c r="F218" s="41" t="s">
        <v>356</v>
      </c>
      <c r="G218" s="41">
        <f>IF(F218&gt;0,INDEX(Fish!$D:$D,MATCH(F218,Fish!$L:$L,0)),"")</f>
        <v>11214</v>
      </c>
      <c r="H218" s="41">
        <v>25000</v>
      </c>
      <c r="I218" s="41">
        <v>1</v>
      </c>
      <c r="J218" s="41">
        <v>2</v>
      </c>
      <c r="K218" s="41">
        <v>3</v>
      </c>
      <c r="L218" s="41" t="s">
        <v>348</v>
      </c>
      <c r="M218" s="41">
        <f>IF(L218&gt;0,INDEX(Fish!$D:$D,MATCH(L218,Fish!$L:$L,0)),"")</f>
        <v>11092</v>
      </c>
      <c r="N218" s="41">
        <v>15000</v>
      </c>
      <c r="O218" s="41">
        <v>1</v>
      </c>
      <c r="P218" s="41">
        <v>2</v>
      </c>
      <c r="Q218" s="41">
        <v>3</v>
      </c>
      <c r="R218" s="41" t="s">
        <v>352</v>
      </c>
      <c r="S218" s="41">
        <v>11026</v>
      </c>
      <c r="T218" s="41">
        <v>10000</v>
      </c>
      <c r="U218" s="41">
        <v>1</v>
      </c>
      <c r="V218" s="41">
        <v>2</v>
      </c>
      <c r="W218" s="41">
        <v>3</v>
      </c>
    </row>
    <row r="219" spans="1:35">
      <c r="A219" s="41">
        <v>44501</v>
      </c>
      <c r="B219" s="41">
        <v>5</v>
      </c>
      <c r="C219" s="41">
        <v>0</v>
      </c>
      <c r="D219" s="41">
        <v>5</v>
      </c>
      <c r="E219" s="41">
        <v>2</v>
      </c>
      <c r="F219" s="41" t="s">
        <v>118</v>
      </c>
      <c r="G219" s="41">
        <f>IF(F219&gt;0,INDEX(Fish!$D:$D,MATCH(F219,Fish!$L:$L,0)),"")</f>
        <v>14011</v>
      </c>
      <c r="H219" s="41">
        <v>32000</v>
      </c>
      <c r="I219" s="41">
        <v>1</v>
      </c>
      <c r="J219" s="41">
        <v>1</v>
      </c>
      <c r="K219" s="41">
        <v>1</v>
      </c>
      <c r="L219" s="41" t="s">
        <v>120</v>
      </c>
      <c r="M219" s="41">
        <f>IF(L219&gt;0,INDEX(Fish!$D:$D,MATCH(L219,Fish!$L:$L,0)),"")</f>
        <v>14015</v>
      </c>
      <c r="N219" s="41">
        <v>24000</v>
      </c>
      <c r="O219" s="41">
        <v>1</v>
      </c>
      <c r="P219" s="41">
        <v>1</v>
      </c>
      <c r="Q219" s="41">
        <v>1</v>
      </c>
      <c r="R219" s="41" t="s">
        <v>121</v>
      </c>
      <c r="S219" s="41">
        <v>14020</v>
      </c>
      <c r="T219" s="41">
        <v>20000</v>
      </c>
      <c r="U219" s="41">
        <v>1</v>
      </c>
      <c r="V219" s="41">
        <v>1</v>
      </c>
      <c r="W219" s="41">
        <v>1</v>
      </c>
      <c r="X219" s="41" t="s">
        <v>119</v>
      </c>
      <c r="Y219" s="41">
        <v>14013</v>
      </c>
      <c r="Z219" s="41">
        <v>15000</v>
      </c>
      <c r="AA219" s="41">
        <v>1</v>
      </c>
      <c r="AB219" s="41">
        <v>1</v>
      </c>
      <c r="AC219" s="41">
        <v>1</v>
      </c>
      <c r="AD219" s="41" t="s">
        <v>125</v>
      </c>
      <c r="AE219" s="41">
        <v>14090</v>
      </c>
      <c r="AF219" s="41">
        <v>9000</v>
      </c>
      <c r="AG219" s="41">
        <v>1</v>
      </c>
      <c r="AH219" s="41">
        <v>1</v>
      </c>
      <c r="AI219" s="41">
        <v>1</v>
      </c>
    </row>
    <row r="220" spans="1:35">
      <c r="A220" s="41">
        <v>44499</v>
      </c>
      <c r="B220" s="41">
        <v>2</v>
      </c>
      <c r="C220" s="41">
        <v>8</v>
      </c>
      <c r="D220" s="41">
        <v>1</v>
      </c>
      <c r="E220" s="41">
        <v>1</v>
      </c>
      <c r="F220" s="41" t="s">
        <v>58</v>
      </c>
      <c r="G220" s="41">
        <f>IF(F220&gt;0,INDEX(Fish!$D:$D,MATCH(F220,Fish!$L:$L,0)),"")</f>
        <v>11001</v>
      </c>
      <c r="H220" s="41">
        <v>0</v>
      </c>
      <c r="I220" s="41">
        <v>4</v>
      </c>
      <c r="J220" s="41">
        <v>13</v>
      </c>
      <c r="K220" s="41">
        <v>15</v>
      </c>
      <c r="L220" s="41" t="s">
        <v>62</v>
      </c>
      <c r="M220" s="41">
        <f>IF(L220&gt;0,INDEX(Fish!$D:$D,MATCH(L220,Fish!$L:$L,0)),"")</f>
        <v>11003</v>
      </c>
      <c r="N220" s="41">
        <v>0</v>
      </c>
      <c r="O220" s="41">
        <v>3</v>
      </c>
      <c r="P220" s="41">
        <v>13</v>
      </c>
      <c r="Q220" s="41">
        <v>15</v>
      </c>
      <c r="S220" s="41" t="str">
        <f>IF(R220&gt;0,INDEX(Fish!$D:$D,MATCH(R220,Fish!$L:$L,0)),"")</f>
        <v/>
      </c>
      <c r="Y220" s="41" t="str">
        <f>IF(X220&gt;0,INDEX(Fish!$D:$D,MATCH(X220,Fish!$L:$L,0)),"")</f>
        <v/>
      </c>
      <c r="AE220" s="41" t="str">
        <f>IF(AD220&gt;0,VLOOKUP(AD220,IF({1,0},#REF!,#REF!),2,FALSE),"")</f>
        <v/>
      </c>
    </row>
    <row r="221" spans="1:35" ht="20.25">
      <c r="A221" s="41">
        <v>44499</v>
      </c>
      <c r="B221" s="41">
        <v>2</v>
      </c>
      <c r="C221" s="41">
        <v>8</v>
      </c>
      <c r="D221" s="41">
        <v>1</v>
      </c>
      <c r="E221" s="41">
        <v>1</v>
      </c>
      <c r="F221" s="41" t="s">
        <v>58</v>
      </c>
      <c r="G221" s="41">
        <f>IF(F221&gt;0,INDEX(Fish!$D:$D,MATCH(F221,Fish!$L:$L,0)),"")</f>
        <v>11001</v>
      </c>
      <c r="H221" s="41">
        <v>0</v>
      </c>
      <c r="I221" s="41">
        <v>4</v>
      </c>
      <c r="J221" s="41">
        <v>13</v>
      </c>
      <c r="K221" s="41">
        <v>15</v>
      </c>
      <c r="L221" s="44" t="s">
        <v>64</v>
      </c>
      <c r="M221" s="41">
        <f>IF(L221&gt;0,INDEX(Fish!$D:$D,MATCH(L221,Fish!$L:$L,0)),"")</f>
        <v>11004</v>
      </c>
      <c r="N221" s="41">
        <v>0</v>
      </c>
      <c r="O221" s="41">
        <v>3</v>
      </c>
      <c r="P221" s="41">
        <v>13</v>
      </c>
      <c r="Q221" s="41">
        <v>15</v>
      </c>
      <c r="S221" s="41" t="str">
        <f>IF(R221&gt;0,INDEX(Fish!$D:$D,MATCH(R221,Fish!$L:$L,0)),"")</f>
        <v/>
      </c>
      <c r="Y221" s="41" t="str">
        <f>IF(X221&gt;0,INDEX(Fish!$D:$D,MATCH(X221,Fish!$L:$L,0)),"")</f>
        <v/>
      </c>
      <c r="AE221" s="41" t="str">
        <f>IF(AD221&gt;0,VLOOKUP(AD221,IF({1,0},#REF!,#REF!),2,FALSE),"")</f>
        <v/>
      </c>
    </row>
    <row r="222" spans="1:35">
      <c r="A222" s="41">
        <v>44499</v>
      </c>
      <c r="B222" s="41">
        <v>2</v>
      </c>
      <c r="C222" s="41">
        <v>8</v>
      </c>
      <c r="D222" s="41">
        <v>1</v>
      </c>
      <c r="E222" s="41">
        <v>1</v>
      </c>
      <c r="F222" s="41" t="s">
        <v>60</v>
      </c>
      <c r="G222" s="41">
        <f>IF(F222&gt;0,INDEX(Fish!$D:$D,MATCH(F222,Fish!$L:$L,0)),"")</f>
        <v>11002</v>
      </c>
      <c r="H222" s="41">
        <v>0</v>
      </c>
      <c r="I222" s="41">
        <v>4</v>
      </c>
      <c r="J222" s="41">
        <v>13</v>
      </c>
      <c r="K222" s="41">
        <v>15</v>
      </c>
      <c r="L222" s="41" t="s">
        <v>62</v>
      </c>
      <c r="M222" s="41">
        <f>IF(L222&gt;0,INDEX(Fish!$D:$D,MATCH(L222,Fish!$L:$L,0)),"")</f>
        <v>11003</v>
      </c>
      <c r="N222" s="41">
        <v>0</v>
      </c>
      <c r="O222" s="41">
        <v>3</v>
      </c>
      <c r="P222" s="41">
        <v>13</v>
      </c>
      <c r="Q222" s="41">
        <v>15</v>
      </c>
      <c r="S222" s="41" t="str">
        <f>IF(R222&gt;0,INDEX(Fish!$D:$D,MATCH(R222,Fish!$L:$L,0)),"")</f>
        <v/>
      </c>
      <c r="Y222" s="41" t="str">
        <f>IF(X222&gt;0,INDEX(Fish!$D:$D,MATCH(X222,Fish!$L:$L,0)),"")</f>
        <v/>
      </c>
      <c r="AE222" s="41" t="str">
        <f>IF(AD222&gt;0,VLOOKUP(AD222,IF({1,0},#REF!,#REF!),2,FALSE),"")</f>
        <v/>
      </c>
    </row>
    <row r="223" spans="1:35">
      <c r="A223" s="41">
        <v>44499</v>
      </c>
      <c r="B223" s="41">
        <v>2</v>
      </c>
      <c r="C223" s="41">
        <v>8</v>
      </c>
      <c r="D223" s="41">
        <v>1</v>
      </c>
      <c r="E223" s="41">
        <v>1</v>
      </c>
      <c r="F223" s="41" t="s">
        <v>60</v>
      </c>
      <c r="G223" s="41">
        <f>IF(F223&gt;0,INDEX(Fish!$D:$D,MATCH(F223,Fish!$L:$L,0)),"")</f>
        <v>11002</v>
      </c>
      <c r="H223" s="41">
        <v>0</v>
      </c>
      <c r="I223" s="41">
        <v>4</v>
      </c>
      <c r="J223" s="41">
        <v>13</v>
      </c>
      <c r="K223" s="41">
        <v>15</v>
      </c>
      <c r="L223" s="41" t="s">
        <v>64</v>
      </c>
      <c r="M223" s="41">
        <f>IF(L223&gt;0,INDEX(Fish!$D:$D,MATCH(L223,Fish!$L:$L,0)),"")</f>
        <v>11004</v>
      </c>
      <c r="N223" s="41">
        <v>0</v>
      </c>
      <c r="O223" s="41">
        <v>3</v>
      </c>
      <c r="P223" s="41">
        <v>13</v>
      </c>
      <c r="Q223" s="41">
        <v>15</v>
      </c>
      <c r="S223" s="41" t="str">
        <f>IF(R223&gt;0,INDEX(Fish!$D:$D,MATCH(R223,Fish!$L:$L,0)),"")</f>
        <v/>
      </c>
      <c r="Y223" s="41" t="str">
        <f>IF(X223&gt;0,INDEX(Fish!$D:$D,MATCH(X223,Fish!$L:$L,0)),"")</f>
        <v/>
      </c>
      <c r="AE223" s="41" t="str">
        <f>IF(AD223&gt;0,VLOOKUP(AD223,IF({1,0},#REF!,#REF!),2,FALSE),"")</f>
        <v/>
      </c>
    </row>
    <row r="224" spans="1:35">
      <c r="A224" s="41">
        <v>44499</v>
      </c>
      <c r="B224" s="41">
        <v>2</v>
      </c>
      <c r="C224" s="41">
        <v>0</v>
      </c>
      <c r="D224" s="41">
        <v>2</v>
      </c>
      <c r="E224" s="41">
        <v>1</v>
      </c>
      <c r="F224" s="41" t="s">
        <v>72</v>
      </c>
      <c r="G224" s="41">
        <f>IF(F224&gt;0,INDEX(Fish!$D:$D,MATCH(F224,Fish!$L:$L,0)),"")</f>
        <v>11008</v>
      </c>
      <c r="H224" s="41">
        <v>0</v>
      </c>
      <c r="I224" s="41">
        <v>1</v>
      </c>
      <c r="J224" s="41">
        <v>4</v>
      </c>
      <c r="K224" s="41">
        <v>6</v>
      </c>
      <c r="L224" s="41" t="s">
        <v>80</v>
      </c>
      <c r="M224" s="41">
        <f>IF(L224&gt;0,INDEX(Fish!$D:$D,MATCH(L224,Fish!$L:$L,0)),"")</f>
        <v>11011</v>
      </c>
      <c r="N224" s="41">
        <v>0</v>
      </c>
      <c r="O224" s="41">
        <v>1</v>
      </c>
      <c r="P224" s="41">
        <v>3</v>
      </c>
      <c r="Q224" s="41">
        <v>5</v>
      </c>
      <c r="R224" s="41" t="s">
        <v>92</v>
      </c>
      <c r="S224" s="41">
        <f>IF(R224&gt;0,INDEX(Fish!$D:$D,MATCH(R224,Fish!$L:$L,0)),"")</f>
        <v>11017</v>
      </c>
      <c r="T224" s="41">
        <v>0</v>
      </c>
      <c r="U224" s="41">
        <v>1</v>
      </c>
      <c r="V224" s="41">
        <v>3</v>
      </c>
      <c r="W224" s="41">
        <v>4</v>
      </c>
      <c r="X224" s="41" t="s">
        <v>88</v>
      </c>
      <c r="Y224" s="41">
        <f>IF(X224&gt;0,INDEX(Fish!$D:$D,MATCH(X224,Fish!$L:$L,0)),"")</f>
        <v>11015</v>
      </c>
      <c r="Z224" s="41">
        <v>0</v>
      </c>
      <c r="AA224" s="41">
        <v>1</v>
      </c>
      <c r="AB224" s="41">
        <v>2</v>
      </c>
      <c r="AC224" s="41">
        <v>3</v>
      </c>
      <c r="AE224" s="41" t="str">
        <f>IF(AD224&gt;0,VLOOKUP(AD224,IF({1,0},#REF!,#REF!),2,FALSE),"")</f>
        <v/>
      </c>
    </row>
    <row r="225" spans="1:31">
      <c r="A225" s="41">
        <v>44499</v>
      </c>
      <c r="B225" s="41">
        <v>2</v>
      </c>
      <c r="C225" s="41">
        <v>0</v>
      </c>
      <c r="D225" s="41">
        <v>2</v>
      </c>
      <c r="E225" s="41">
        <v>1</v>
      </c>
      <c r="F225" s="41" t="s">
        <v>72</v>
      </c>
      <c r="G225" s="41">
        <f>IF(F225&gt;0,INDEX(Fish!$D:$D,MATCH(F225,Fish!$L:$L,0)),"")</f>
        <v>11008</v>
      </c>
      <c r="H225" s="41">
        <v>0</v>
      </c>
      <c r="I225" s="41">
        <v>1</v>
      </c>
      <c r="J225" s="41">
        <v>4</v>
      </c>
      <c r="K225" s="41">
        <v>6</v>
      </c>
      <c r="L225" s="41" t="s">
        <v>80</v>
      </c>
      <c r="M225" s="41">
        <f>IF(L225&gt;0,INDEX(Fish!$D:$D,MATCH(L225,Fish!$L:$L,0)),"")</f>
        <v>11011</v>
      </c>
      <c r="N225" s="41">
        <v>0</v>
      </c>
      <c r="O225" s="41">
        <v>1</v>
      </c>
      <c r="P225" s="41">
        <v>3</v>
      </c>
      <c r="Q225" s="41">
        <v>5</v>
      </c>
      <c r="R225" s="41" t="s">
        <v>92</v>
      </c>
      <c r="S225" s="41">
        <f>IF(R225&gt;0,INDEX(Fish!$D:$D,MATCH(R225,Fish!$L:$L,0)),"")</f>
        <v>11017</v>
      </c>
      <c r="T225" s="41">
        <v>0</v>
      </c>
      <c r="U225" s="41">
        <v>1</v>
      </c>
      <c r="V225" s="41">
        <v>3</v>
      </c>
      <c r="W225" s="41">
        <v>4</v>
      </c>
      <c r="X225" s="41" t="s">
        <v>84</v>
      </c>
      <c r="Y225" s="41">
        <f>IF(X225&gt;0,INDEX(Fish!$D:$D,MATCH(X225,Fish!$L:$L,0)),"")</f>
        <v>11013</v>
      </c>
      <c r="Z225" s="41">
        <v>0</v>
      </c>
      <c r="AA225" s="41">
        <v>1</v>
      </c>
      <c r="AB225" s="41">
        <v>2</v>
      </c>
      <c r="AC225" s="41">
        <v>3</v>
      </c>
      <c r="AE225" s="41" t="str">
        <f>IF(AD225&gt;0,VLOOKUP(AD225,IF({1,0},#REF!,#REF!),2,FALSE),"")</f>
        <v/>
      </c>
    </row>
    <row r="226" spans="1:31">
      <c r="A226" s="41">
        <v>44499</v>
      </c>
      <c r="B226" s="41">
        <v>2</v>
      </c>
      <c r="C226" s="41">
        <v>0</v>
      </c>
      <c r="D226" s="41">
        <v>2</v>
      </c>
      <c r="E226" s="41">
        <v>1</v>
      </c>
      <c r="F226" s="41" t="s">
        <v>72</v>
      </c>
      <c r="G226" s="41">
        <f>IF(F226&gt;0,INDEX(Fish!$D:$D,MATCH(F226,Fish!$L:$L,0)),"")</f>
        <v>11008</v>
      </c>
      <c r="H226" s="41">
        <v>0</v>
      </c>
      <c r="I226" s="41">
        <v>1</v>
      </c>
      <c r="J226" s="41">
        <v>4</v>
      </c>
      <c r="K226" s="41">
        <v>6</v>
      </c>
      <c r="L226" s="41" t="s">
        <v>80</v>
      </c>
      <c r="M226" s="41">
        <f>IF(L226&gt;0,INDEX(Fish!$D:$D,MATCH(L226,Fish!$L:$L,0)),"")</f>
        <v>11011</v>
      </c>
      <c r="N226" s="41">
        <v>0</v>
      </c>
      <c r="O226" s="41">
        <v>1</v>
      </c>
      <c r="P226" s="41">
        <v>3</v>
      </c>
      <c r="Q226" s="41">
        <v>5</v>
      </c>
      <c r="R226" s="41" t="s">
        <v>82</v>
      </c>
      <c r="S226" s="41">
        <f>IF(R226&gt;0,INDEX(Fish!$D:$D,MATCH(R226,Fish!$L:$L,0)),"")</f>
        <v>11012</v>
      </c>
      <c r="T226" s="41">
        <v>0</v>
      </c>
      <c r="U226" s="41">
        <v>1</v>
      </c>
      <c r="V226" s="41">
        <v>3</v>
      </c>
      <c r="W226" s="41">
        <v>4</v>
      </c>
      <c r="X226" s="41" t="s">
        <v>88</v>
      </c>
      <c r="Y226" s="41">
        <f>IF(X226&gt;0,INDEX(Fish!$D:$D,MATCH(X226,Fish!$L:$L,0)),"")</f>
        <v>11015</v>
      </c>
      <c r="Z226" s="41">
        <v>0</v>
      </c>
      <c r="AA226" s="41">
        <v>1</v>
      </c>
      <c r="AB226" s="41">
        <v>2</v>
      </c>
      <c r="AC226" s="41">
        <v>3</v>
      </c>
      <c r="AE226" s="41" t="str">
        <f>IF(AD226&gt;0,VLOOKUP(AD226,IF({1,0},#REF!,#REF!),2,FALSE),"")</f>
        <v/>
      </c>
    </row>
    <row r="227" spans="1:31">
      <c r="A227" s="41">
        <v>44499</v>
      </c>
      <c r="B227" s="41">
        <v>2</v>
      </c>
      <c r="C227" s="41">
        <v>0</v>
      </c>
      <c r="D227" s="41">
        <v>2</v>
      </c>
      <c r="E227" s="41">
        <v>1</v>
      </c>
      <c r="F227" s="41" t="s">
        <v>72</v>
      </c>
      <c r="G227" s="41">
        <f>IF(F227&gt;0,INDEX(Fish!$D:$D,MATCH(F227,Fish!$L:$L,0)),"")</f>
        <v>11008</v>
      </c>
      <c r="H227" s="41">
        <v>0</v>
      </c>
      <c r="I227" s="41">
        <v>1</v>
      </c>
      <c r="J227" s="41">
        <v>4</v>
      </c>
      <c r="K227" s="41">
        <v>6</v>
      </c>
      <c r="L227" s="41" t="s">
        <v>80</v>
      </c>
      <c r="M227" s="41">
        <f>IF(L227&gt;0,INDEX(Fish!$D:$D,MATCH(L227,Fish!$L:$L,0)),"")</f>
        <v>11011</v>
      </c>
      <c r="N227" s="41">
        <v>0</v>
      </c>
      <c r="O227" s="41">
        <v>1</v>
      </c>
      <c r="P227" s="41">
        <v>3</v>
      </c>
      <c r="Q227" s="41">
        <v>5</v>
      </c>
      <c r="R227" s="41" t="s">
        <v>82</v>
      </c>
      <c r="S227" s="41">
        <f>IF(R227&gt;0,INDEX(Fish!$D:$D,MATCH(R227,Fish!$L:$L,0)),"")</f>
        <v>11012</v>
      </c>
      <c r="T227" s="41">
        <v>0</v>
      </c>
      <c r="U227" s="41">
        <v>1</v>
      </c>
      <c r="V227" s="41">
        <v>3</v>
      </c>
      <c r="W227" s="41">
        <v>4</v>
      </c>
      <c r="X227" s="41" t="s">
        <v>84</v>
      </c>
      <c r="Y227" s="41">
        <f>IF(X227&gt;0,INDEX(Fish!$D:$D,MATCH(X227,Fish!$L:$L,0)),"")</f>
        <v>11013</v>
      </c>
      <c r="Z227" s="41">
        <v>0</v>
      </c>
      <c r="AA227" s="41">
        <v>1</v>
      </c>
      <c r="AB227" s="41">
        <v>2</v>
      </c>
      <c r="AC227" s="41">
        <v>3</v>
      </c>
      <c r="AE227" s="41" t="str">
        <f>IF(AD227&gt;0,VLOOKUP(AD227,IF({1,0},#REF!,#REF!),2,FALSE),"")</f>
        <v/>
      </c>
    </row>
    <row r="228" spans="1:31">
      <c r="A228" s="41">
        <v>44499</v>
      </c>
      <c r="B228" s="41">
        <v>2</v>
      </c>
      <c r="C228" s="41">
        <v>0</v>
      </c>
      <c r="D228" s="41">
        <v>2</v>
      </c>
      <c r="E228" s="41">
        <v>1</v>
      </c>
      <c r="F228" s="41" t="s">
        <v>72</v>
      </c>
      <c r="G228" s="41">
        <f>IF(F228&gt;0,INDEX(Fish!$D:$D,MATCH(F228,Fish!$L:$L,0)),"")</f>
        <v>11008</v>
      </c>
      <c r="H228" s="41">
        <v>0</v>
      </c>
      <c r="I228" s="41">
        <v>1</v>
      </c>
      <c r="J228" s="41">
        <v>4</v>
      </c>
      <c r="K228" s="41">
        <v>6</v>
      </c>
      <c r="L228" s="41" t="s">
        <v>78</v>
      </c>
      <c r="M228" s="41">
        <f>IF(L228&gt;0,INDEX(Fish!$D:$D,MATCH(L228,Fish!$L:$L,0)),"")</f>
        <v>11010</v>
      </c>
      <c r="N228" s="41">
        <v>0</v>
      </c>
      <c r="O228" s="41">
        <v>1</v>
      </c>
      <c r="P228" s="41">
        <v>3</v>
      </c>
      <c r="Q228" s="41">
        <v>5</v>
      </c>
      <c r="R228" s="41" t="s">
        <v>92</v>
      </c>
      <c r="S228" s="41">
        <f>IF(R228&gt;0,INDEX(Fish!$D:$D,MATCH(R228,Fish!$L:$L,0)),"")</f>
        <v>11017</v>
      </c>
      <c r="T228" s="41">
        <v>0</v>
      </c>
      <c r="U228" s="41">
        <v>1</v>
      </c>
      <c r="V228" s="41">
        <v>3</v>
      </c>
      <c r="W228" s="41">
        <v>4</v>
      </c>
      <c r="X228" s="41" t="s">
        <v>88</v>
      </c>
      <c r="Y228" s="41">
        <f>IF(X228&gt;0,INDEX(Fish!$D:$D,MATCH(X228,Fish!$L:$L,0)),"")</f>
        <v>11015</v>
      </c>
      <c r="Z228" s="41">
        <v>0</v>
      </c>
      <c r="AA228" s="41">
        <v>1</v>
      </c>
      <c r="AB228" s="41">
        <v>2</v>
      </c>
      <c r="AC228" s="41">
        <v>3</v>
      </c>
      <c r="AE228" s="41" t="str">
        <f>IF(AD228&gt;0,VLOOKUP(AD228,IF({1,0},#REF!,#REF!),2,FALSE),"")</f>
        <v/>
      </c>
    </row>
    <row r="229" spans="1:31">
      <c r="A229" s="41">
        <v>44499</v>
      </c>
      <c r="B229" s="41">
        <v>2</v>
      </c>
      <c r="C229" s="41">
        <v>0</v>
      </c>
      <c r="D229" s="41">
        <v>2</v>
      </c>
      <c r="E229" s="41">
        <v>1</v>
      </c>
      <c r="F229" s="41" t="s">
        <v>72</v>
      </c>
      <c r="G229" s="41">
        <f>IF(F229&gt;0,INDEX(Fish!$D:$D,MATCH(F229,Fish!$L:$L,0)),"")</f>
        <v>11008</v>
      </c>
      <c r="H229" s="41">
        <v>0</v>
      </c>
      <c r="I229" s="41">
        <v>1</v>
      </c>
      <c r="J229" s="41">
        <v>4</v>
      </c>
      <c r="K229" s="41">
        <v>6</v>
      </c>
      <c r="L229" s="41" t="s">
        <v>78</v>
      </c>
      <c r="M229" s="41">
        <f>IF(L229&gt;0,INDEX(Fish!$D:$D,MATCH(L229,Fish!$L:$L,0)),"")</f>
        <v>11010</v>
      </c>
      <c r="N229" s="41">
        <v>0</v>
      </c>
      <c r="O229" s="41">
        <v>1</v>
      </c>
      <c r="P229" s="41">
        <v>3</v>
      </c>
      <c r="Q229" s="41">
        <v>5</v>
      </c>
      <c r="R229" s="41" t="s">
        <v>92</v>
      </c>
      <c r="S229" s="41">
        <f>IF(R229&gt;0,INDEX(Fish!$D:$D,MATCH(R229,Fish!$L:$L,0)),"")</f>
        <v>11017</v>
      </c>
      <c r="T229" s="41">
        <v>0</v>
      </c>
      <c r="U229" s="41">
        <v>1</v>
      </c>
      <c r="V229" s="41">
        <v>3</v>
      </c>
      <c r="W229" s="41">
        <v>4</v>
      </c>
      <c r="X229" s="41" t="s">
        <v>84</v>
      </c>
      <c r="Y229" s="41">
        <f>IF(X229&gt;0,INDEX(Fish!$D:$D,MATCH(X229,Fish!$L:$L,0)),"")</f>
        <v>11013</v>
      </c>
      <c r="Z229" s="41">
        <v>0</v>
      </c>
      <c r="AA229" s="41">
        <v>1</v>
      </c>
      <c r="AB229" s="41">
        <v>2</v>
      </c>
      <c r="AC229" s="41">
        <v>3</v>
      </c>
      <c r="AE229" s="41" t="str">
        <f>IF(AD229&gt;0,VLOOKUP(AD229,IF({1,0},#REF!,#REF!),2,FALSE),"")</f>
        <v/>
      </c>
    </row>
    <row r="230" spans="1:31">
      <c r="A230" s="41">
        <v>44499</v>
      </c>
      <c r="B230" s="41">
        <v>2</v>
      </c>
      <c r="C230" s="41">
        <v>0</v>
      </c>
      <c r="D230" s="41">
        <v>2</v>
      </c>
      <c r="E230" s="41">
        <v>1</v>
      </c>
      <c r="F230" s="41" t="s">
        <v>72</v>
      </c>
      <c r="G230" s="41">
        <f>IF(F230&gt;0,INDEX(Fish!$D:$D,MATCH(F230,Fish!$L:$L,0)),"")</f>
        <v>11008</v>
      </c>
      <c r="H230" s="41">
        <v>0</v>
      </c>
      <c r="I230" s="41">
        <v>1</v>
      </c>
      <c r="J230" s="41">
        <v>4</v>
      </c>
      <c r="K230" s="41">
        <v>6</v>
      </c>
      <c r="L230" s="41" t="s">
        <v>78</v>
      </c>
      <c r="M230" s="41">
        <f>IF(L230&gt;0,INDEX(Fish!$D:$D,MATCH(L230,Fish!$L:$L,0)),"")</f>
        <v>11010</v>
      </c>
      <c r="N230" s="41">
        <v>0</v>
      </c>
      <c r="O230" s="41">
        <v>1</v>
      </c>
      <c r="P230" s="41">
        <v>3</v>
      </c>
      <c r="Q230" s="41">
        <v>5</v>
      </c>
      <c r="R230" s="41" t="s">
        <v>82</v>
      </c>
      <c r="S230" s="41">
        <f>IF(R230&gt;0,INDEX(Fish!$D:$D,MATCH(R230,Fish!$L:$L,0)),"")</f>
        <v>11012</v>
      </c>
      <c r="T230" s="41">
        <v>0</v>
      </c>
      <c r="U230" s="41">
        <v>1</v>
      </c>
      <c r="V230" s="41">
        <v>3</v>
      </c>
      <c r="W230" s="41">
        <v>4</v>
      </c>
      <c r="X230" s="41" t="s">
        <v>88</v>
      </c>
      <c r="Y230" s="41">
        <f>IF(X230&gt;0,INDEX(Fish!$D:$D,MATCH(X230,Fish!$L:$L,0)),"")</f>
        <v>11015</v>
      </c>
      <c r="Z230" s="41">
        <v>0</v>
      </c>
      <c r="AA230" s="41">
        <v>1</v>
      </c>
      <c r="AB230" s="41">
        <v>2</v>
      </c>
      <c r="AC230" s="41">
        <v>3</v>
      </c>
      <c r="AE230" s="41" t="str">
        <f>IF(AD230&gt;0,VLOOKUP(AD230,IF({1,0},#REF!,#REF!),2,FALSE),"")</f>
        <v/>
      </c>
    </row>
    <row r="231" spans="1:31">
      <c r="A231" s="41">
        <v>44499</v>
      </c>
      <c r="B231" s="41">
        <v>2</v>
      </c>
      <c r="C231" s="41">
        <v>0</v>
      </c>
      <c r="D231" s="41">
        <v>2</v>
      </c>
      <c r="E231" s="41">
        <v>1</v>
      </c>
      <c r="F231" s="41" t="s">
        <v>72</v>
      </c>
      <c r="G231" s="41">
        <f>IF(F231&gt;0,INDEX(Fish!$D:$D,MATCH(F231,Fish!$L:$L,0)),"")</f>
        <v>11008</v>
      </c>
      <c r="H231" s="41">
        <v>0</v>
      </c>
      <c r="I231" s="41">
        <v>1</v>
      </c>
      <c r="J231" s="41">
        <v>4</v>
      </c>
      <c r="K231" s="41">
        <v>6</v>
      </c>
      <c r="L231" s="41" t="s">
        <v>78</v>
      </c>
      <c r="M231" s="41">
        <f>IF(L231&gt;0,INDEX(Fish!$D:$D,MATCH(L231,Fish!$L:$L,0)),"")</f>
        <v>11010</v>
      </c>
      <c r="N231" s="41">
        <v>0</v>
      </c>
      <c r="O231" s="41">
        <v>1</v>
      </c>
      <c r="P231" s="41">
        <v>3</v>
      </c>
      <c r="Q231" s="41">
        <v>5</v>
      </c>
      <c r="R231" s="41" t="s">
        <v>82</v>
      </c>
      <c r="S231" s="41">
        <f>IF(R231&gt;0,INDEX(Fish!$D:$D,MATCH(R231,Fish!$L:$L,0)),"")</f>
        <v>11012</v>
      </c>
      <c r="T231" s="41">
        <v>0</v>
      </c>
      <c r="U231" s="41">
        <v>1</v>
      </c>
      <c r="V231" s="41">
        <v>3</v>
      </c>
      <c r="W231" s="41">
        <v>4</v>
      </c>
      <c r="X231" s="41" t="s">
        <v>84</v>
      </c>
      <c r="Y231" s="41">
        <f>IF(X231&gt;0,INDEX(Fish!$D:$D,MATCH(X231,Fish!$L:$L,0)),"")</f>
        <v>11013</v>
      </c>
      <c r="Z231" s="41">
        <v>0</v>
      </c>
      <c r="AA231" s="41">
        <v>1</v>
      </c>
      <c r="AB231" s="41">
        <v>2</v>
      </c>
      <c r="AC231" s="41">
        <v>3</v>
      </c>
      <c r="AE231" s="41" t="str">
        <f>IF(AD231&gt;0,VLOOKUP(AD231,IF({1,0},#REF!,#REF!),2,FALSE),"")</f>
        <v/>
      </c>
    </row>
    <row r="232" spans="1:31">
      <c r="A232" s="41">
        <v>44499</v>
      </c>
      <c r="B232" s="41">
        <v>2</v>
      </c>
      <c r="C232" s="41">
        <v>0</v>
      </c>
      <c r="D232" s="41">
        <v>2</v>
      </c>
      <c r="E232" s="41">
        <v>1</v>
      </c>
      <c r="F232" s="41" t="s">
        <v>74</v>
      </c>
      <c r="G232" s="41">
        <f>IF(F232&gt;0,INDEX(Fish!$D:$D,MATCH(F232,Fish!$L:$L,0)),"")</f>
        <v>11009</v>
      </c>
      <c r="H232" s="41">
        <v>0</v>
      </c>
      <c r="I232" s="41">
        <v>1</v>
      </c>
      <c r="J232" s="41">
        <v>4</v>
      </c>
      <c r="K232" s="41">
        <v>6</v>
      </c>
      <c r="L232" s="41" t="s">
        <v>80</v>
      </c>
      <c r="M232" s="41">
        <f>IF(L232&gt;0,INDEX(Fish!$D:$D,MATCH(L232,Fish!$L:$L,0)),"")</f>
        <v>11011</v>
      </c>
      <c r="N232" s="41">
        <v>0</v>
      </c>
      <c r="O232" s="41">
        <v>1</v>
      </c>
      <c r="P232" s="41">
        <v>3</v>
      </c>
      <c r="Q232" s="41">
        <v>5</v>
      </c>
      <c r="R232" s="41" t="s">
        <v>92</v>
      </c>
      <c r="S232" s="41">
        <f>IF(R232&gt;0,INDEX(Fish!$D:$D,MATCH(R232,Fish!$L:$L,0)),"")</f>
        <v>11017</v>
      </c>
      <c r="T232" s="41">
        <v>0</v>
      </c>
      <c r="U232" s="41">
        <v>1</v>
      </c>
      <c r="V232" s="41">
        <v>3</v>
      </c>
      <c r="W232" s="41">
        <v>4</v>
      </c>
      <c r="X232" s="41" t="s">
        <v>88</v>
      </c>
      <c r="Y232" s="41">
        <f>IF(X232&gt;0,INDEX(Fish!$D:$D,MATCH(X232,Fish!$L:$L,0)),"")</f>
        <v>11015</v>
      </c>
      <c r="Z232" s="41">
        <v>0</v>
      </c>
      <c r="AA232" s="41">
        <v>1</v>
      </c>
      <c r="AB232" s="41">
        <v>2</v>
      </c>
      <c r="AC232" s="41">
        <v>3</v>
      </c>
      <c r="AE232" s="41" t="str">
        <f>IF(AD232&gt;0,VLOOKUP(AD232,IF({1,0},#REF!,#REF!),2,FALSE),"")</f>
        <v/>
      </c>
    </row>
    <row r="233" spans="1:31">
      <c r="A233" s="41">
        <v>44499</v>
      </c>
      <c r="B233" s="41">
        <v>2</v>
      </c>
      <c r="C233" s="41">
        <v>0</v>
      </c>
      <c r="D233" s="41">
        <v>2</v>
      </c>
      <c r="E233" s="41">
        <v>1</v>
      </c>
      <c r="F233" s="41" t="s">
        <v>74</v>
      </c>
      <c r="G233" s="41">
        <f>IF(F233&gt;0,INDEX(Fish!$D:$D,MATCH(F233,Fish!$L:$L,0)),"")</f>
        <v>11009</v>
      </c>
      <c r="H233" s="41">
        <v>0</v>
      </c>
      <c r="I233" s="41">
        <v>1</v>
      </c>
      <c r="J233" s="41">
        <v>4</v>
      </c>
      <c r="K233" s="41">
        <v>6</v>
      </c>
      <c r="L233" s="41" t="s">
        <v>80</v>
      </c>
      <c r="M233" s="41">
        <f>IF(L233&gt;0,INDEX(Fish!$D:$D,MATCH(L233,Fish!$L:$L,0)),"")</f>
        <v>11011</v>
      </c>
      <c r="N233" s="41">
        <v>0</v>
      </c>
      <c r="O233" s="41">
        <v>1</v>
      </c>
      <c r="P233" s="41">
        <v>3</v>
      </c>
      <c r="Q233" s="41">
        <v>5</v>
      </c>
      <c r="R233" s="41" t="s">
        <v>92</v>
      </c>
      <c r="S233" s="41">
        <f>IF(R233&gt;0,INDEX(Fish!$D:$D,MATCH(R233,Fish!$L:$L,0)),"")</f>
        <v>11017</v>
      </c>
      <c r="T233" s="41">
        <v>0</v>
      </c>
      <c r="U233" s="41">
        <v>1</v>
      </c>
      <c r="V233" s="41">
        <v>3</v>
      </c>
      <c r="W233" s="41">
        <v>4</v>
      </c>
      <c r="X233" s="41" t="s">
        <v>84</v>
      </c>
      <c r="Y233" s="41">
        <f>IF(X233&gt;0,INDEX(Fish!$D:$D,MATCH(X233,Fish!$L:$L,0)),"")</f>
        <v>11013</v>
      </c>
      <c r="Z233" s="41">
        <v>0</v>
      </c>
      <c r="AA233" s="41">
        <v>1</v>
      </c>
      <c r="AB233" s="41">
        <v>2</v>
      </c>
      <c r="AC233" s="41">
        <v>3</v>
      </c>
      <c r="AE233" s="41" t="str">
        <f>IF(AD233&gt;0,VLOOKUP(AD233,IF({1,0},#REF!,#REF!),2,FALSE),"")</f>
        <v/>
      </c>
    </row>
    <row r="234" spans="1:31">
      <c r="A234" s="41">
        <v>44499</v>
      </c>
      <c r="B234" s="41">
        <v>2</v>
      </c>
      <c r="C234" s="41">
        <v>0</v>
      </c>
      <c r="D234" s="41">
        <v>2</v>
      </c>
      <c r="E234" s="41">
        <v>1</v>
      </c>
      <c r="F234" s="41" t="s">
        <v>74</v>
      </c>
      <c r="G234" s="41">
        <f>IF(F234&gt;0,INDEX(Fish!$D:$D,MATCH(F234,Fish!$L:$L,0)),"")</f>
        <v>11009</v>
      </c>
      <c r="H234" s="41">
        <v>0</v>
      </c>
      <c r="I234" s="41">
        <v>1</v>
      </c>
      <c r="J234" s="41">
        <v>4</v>
      </c>
      <c r="K234" s="41">
        <v>6</v>
      </c>
      <c r="L234" s="41" t="s">
        <v>80</v>
      </c>
      <c r="M234" s="41">
        <f>IF(L234&gt;0,INDEX(Fish!$D:$D,MATCH(L234,Fish!$L:$L,0)),"")</f>
        <v>11011</v>
      </c>
      <c r="N234" s="41">
        <v>0</v>
      </c>
      <c r="O234" s="41">
        <v>1</v>
      </c>
      <c r="P234" s="41">
        <v>3</v>
      </c>
      <c r="Q234" s="41">
        <v>5</v>
      </c>
      <c r="R234" s="41" t="s">
        <v>82</v>
      </c>
      <c r="S234" s="41">
        <f>IF(R234&gt;0,INDEX(Fish!$D:$D,MATCH(R234,Fish!$L:$L,0)),"")</f>
        <v>11012</v>
      </c>
      <c r="T234" s="41">
        <v>0</v>
      </c>
      <c r="U234" s="41">
        <v>1</v>
      </c>
      <c r="V234" s="41">
        <v>3</v>
      </c>
      <c r="W234" s="41">
        <v>4</v>
      </c>
      <c r="X234" s="41" t="s">
        <v>88</v>
      </c>
      <c r="Y234" s="41">
        <f>IF(X234&gt;0,INDEX(Fish!$D:$D,MATCH(X234,Fish!$L:$L,0)),"")</f>
        <v>11015</v>
      </c>
      <c r="Z234" s="41">
        <v>0</v>
      </c>
      <c r="AA234" s="41">
        <v>1</v>
      </c>
      <c r="AB234" s="41">
        <v>2</v>
      </c>
      <c r="AC234" s="41">
        <v>3</v>
      </c>
      <c r="AE234" s="41" t="str">
        <f>IF(AD234&gt;0,VLOOKUP(AD234,IF({1,0},#REF!,#REF!),2,FALSE),"")</f>
        <v/>
      </c>
    </row>
    <row r="235" spans="1:31">
      <c r="A235" s="41">
        <v>44499</v>
      </c>
      <c r="B235" s="41">
        <v>2</v>
      </c>
      <c r="C235" s="41">
        <v>0</v>
      </c>
      <c r="D235" s="41">
        <v>2</v>
      </c>
      <c r="E235" s="41">
        <v>1</v>
      </c>
      <c r="F235" s="41" t="s">
        <v>74</v>
      </c>
      <c r="G235" s="41">
        <f>IF(F235&gt;0,INDEX(Fish!$D:$D,MATCH(F235,Fish!$L:$L,0)),"")</f>
        <v>11009</v>
      </c>
      <c r="H235" s="41">
        <v>0</v>
      </c>
      <c r="I235" s="41">
        <v>1</v>
      </c>
      <c r="J235" s="41">
        <v>4</v>
      </c>
      <c r="K235" s="41">
        <v>6</v>
      </c>
      <c r="L235" s="41" t="s">
        <v>80</v>
      </c>
      <c r="M235" s="41">
        <f>IF(L235&gt;0,INDEX(Fish!$D:$D,MATCH(L235,Fish!$L:$L,0)),"")</f>
        <v>11011</v>
      </c>
      <c r="N235" s="41">
        <v>0</v>
      </c>
      <c r="O235" s="41">
        <v>1</v>
      </c>
      <c r="P235" s="41">
        <v>3</v>
      </c>
      <c r="Q235" s="41">
        <v>5</v>
      </c>
      <c r="R235" s="41" t="s">
        <v>82</v>
      </c>
      <c r="S235" s="41">
        <f>IF(R235&gt;0,INDEX(Fish!$D:$D,MATCH(R235,Fish!$L:$L,0)),"")</f>
        <v>11012</v>
      </c>
      <c r="T235" s="41">
        <v>0</v>
      </c>
      <c r="U235" s="41">
        <v>1</v>
      </c>
      <c r="V235" s="41">
        <v>3</v>
      </c>
      <c r="W235" s="41">
        <v>4</v>
      </c>
      <c r="X235" s="41" t="s">
        <v>84</v>
      </c>
      <c r="Y235" s="41">
        <f>IF(X235&gt;0,INDEX(Fish!$D:$D,MATCH(X235,Fish!$L:$L,0)),"")</f>
        <v>11013</v>
      </c>
      <c r="Z235" s="41">
        <v>0</v>
      </c>
      <c r="AA235" s="41">
        <v>1</v>
      </c>
      <c r="AB235" s="41">
        <v>2</v>
      </c>
      <c r="AC235" s="41">
        <v>3</v>
      </c>
      <c r="AE235" s="41" t="str">
        <f>IF(AD235&gt;0,VLOOKUP(AD235,IF({1,0},#REF!,#REF!),2,FALSE),"")</f>
        <v/>
      </c>
    </row>
    <row r="236" spans="1:31">
      <c r="A236" s="41">
        <v>44499</v>
      </c>
      <c r="B236" s="41">
        <v>2</v>
      </c>
      <c r="C236" s="41">
        <v>0</v>
      </c>
      <c r="D236" s="41">
        <v>2</v>
      </c>
      <c r="E236" s="41">
        <v>1</v>
      </c>
      <c r="F236" s="41" t="s">
        <v>74</v>
      </c>
      <c r="G236" s="41">
        <f>IF(F236&gt;0,INDEX(Fish!$D:$D,MATCH(F236,Fish!$L:$L,0)),"")</f>
        <v>11009</v>
      </c>
      <c r="H236" s="41">
        <v>0</v>
      </c>
      <c r="I236" s="41">
        <v>1</v>
      </c>
      <c r="J236" s="41">
        <v>4</v>
      </c>
      <c r="K236" s="41">
        <v>6</v>
      </c>
      <c r="L236" s="41" t="s">
        <v>78</v>
      </c>
      <c r="M236" s="41">
        <f>IF(L236&gt;0,INDEX(Fish!$D:$D,MATCH(L236,Fish!$L:$L,0)),"")</f>
        <v>11010</v>
      </c>
      <c r="N236" s="41">
        <v>0</v>
      </c>
      <c r="O236" s="41">
        <v>1</v>
      </c>
      <c r="P236" s="41">
        <v>3</v>
      </c>
      <c r="Q236" s="41">
        <v>5</v>
      </c>
      <c r="R236" s="41" t="s">
        <v>92</v>
      </c>
      <c r="S236" s="41">
        <f>IF(R236&gt;0,INDEX(Fish!$D:$D,MATCH(R236,Fish!$L:$L,0)),"")</f>
        <v>11017</v>
      </c>
      <c r="T236" s="41">
        <v>0</v>
      </c>
      <c r="U236" s="41">
        <v>1</v>
      </c>
      <c r="V236" s="41">
        <v>3</v>
      </c>
      <c r="W236" s="41">
        <v>4</v>
      </c>
      <c r="X236" s="41" t="s">
        <v>88</v>
      </c>
      <c r="Y236" s="41">
        <f>IF(X236&gt;0,INDEX(Fish!$D:$D,MATCH(X236,Fish!$L:$L,0)),"")</f>
        <v>11015</v>
      </c>
      <c r="Z236" s="41">
        <v>0</v>
      </c>
      <c r="AA236" s="41">
        <v>1</v>
      </c>
      <c r="AB236" s="41">
        <v>2</v>
      </c>
      <c r="AC236" s="41">
        <v>3</v>
      </c>
      <c r="AE236" s="41" t="str">
        <f>IF(AD236&gt;0,VLOOKUP(AD236,IF({1,0},#REF!,#REF!),2,FALSE),"")</f>
        <v/>
      </c>
    </row>
    <row r="237" spans="1:31">
      <c r="A237" s="41">
        <v>44499</v>
      </c>
      <c r="B237" s="41">
        <v>2</v>
      </c>
      <c r="C237" s="41">
        <v>0</v>
      </c>
      <c r="D237" s="41">
        <v>2</v>
      </c>
      <c r="E237" s="41">
        <v>1</v>
      </c>
      <c r="F237" s="41" t="s">
        <v>74</v>
      </c>
      <c r="G237" s="41">
        <f>IF(F237&gt;0,INDEX(Fish!$D:$D,MATCH(F237,Fish!$L:$L,0)),"")</f>
        <v>11009</v>
      </c>
      <c r="H237" s="41">
        <v>0</v>
      </c>
      <c r="I237" s="41">
        <v>1</v>
      </c>
      <c r="J237" s="41">
        <v>4</v>
      </c>
      <c r="K237" s="41">
        <v>6</v>
      </c>
      <c r="L237" s="41" t="s">
        <v>78</v>
      </c>
      <c r="M237" s="41">
        <f>IF(L237&gt;0,INDEX(Fish!$D:$D,MATCH(L237,Fish!$L:$L,0)),"")</f>
        <v>11010</v>
      </c>
      <c r="N237" s="41">
        <v>0</v>
      </c>
      <c r="O237" s="41">
        <v>1</v>
      </c>
      <c r="P237" s="41">
        <v>3</v>
      </c>
      <c r="Q237" s="41">
        <v>5</v>
      </c>
      <c r="R237" s="41" t="s">
        <v>92</v>
      </c>
      <c r="S237" s="41">
        <f>IF(R237&gt;0,INDEX(Fish!$D:$D,MATCH(R237,Fish!$L:$L,0)),"")</f>
        <v>11017</v>
      </c>
      <c r="T237" s="41">
        <v>0</v>
      </c>
      <c r="U237" s="41">
        <v>1</v>
      </c>
      <c r="V237" s="41">
        <v>3</v>
      </c>
      <c r="W237" s="41">
        <v>4</v>
      </c>
      <c r="X237" s="41" t="s">
        <v>84</v>
      </c>
      <c r="Y237" s="41">
        <f>IF(X237&gt;0,INDEX(Fish!$D:$D,MATCH(X237,Fish!$L:$L,0)),"")</f>
        <v>11013</v>
      </c>
      <c r="Z237" s="41">
        <v>0</v>
      </c>
      <c r="AA237" s="41">
        <v>1</v>
      </c>
      <c r="AB237" s="41">
        <v>2</v>
      </c>
      <c r="AC237" s="41">
        <v>3</v>
      </c>
      <c r="AE237" s="41" t="str">
        <f>IF(AD237&gt;0,VLOOKUP(AD237,IF({1,0},#REF!,#REF!),2,FALSE),"")</f>
        <v/>
      </c>
    </row>
    <row r="238" spans="1:31">
      <c r="A238" s="41">
        <v>44499</v>
      </c>
      <c r="B238" s="41">
        <v>2</v>
      </c>
      <c r="C238" s="41">
        <v>0</v>
      </c>
      <c r="D238" s="41">
        <v>2</v>
      </c>
      <c r="E238" s="41">
        <v>1</v>
      </c>
      <c r="F238" s="41" t="s">
        <v>74</v>
      </c>
      <c r="G238" s="41">
        <f>IF(F238&gt;0,INDEX(Fish!$D:$D,MATCH(F238,Fish!$L:$L,0)),"")</f>
        <v>11009</v>
      </c>
      <c r="H238" s="41">
        <v>0</v>
      </c>
      <c r="I238" s="41">
        <v>1</v>
      </c>
      <c r="J238" s="41">
        <v>4</v>
      </c>
      <c r="K238" s="41">
        <v>6</v>
      </c>
      <c r="L238" s="41" t="s">
        <v>78</v>
      </c>
      <c r="M238" s="41">
        <f>IF(L238&gt;0,INDEX(Fish!$D:$D,MATCH(L238,Fish!$L:$L,0)),"")</f>
        <v>11010</v>
      </c>
      <c r="N238" s="41">
        <v>0</v>
      </c>
      <c r="O238" s="41">
        <v>1</v>
      </c>
      <c r="P238" s="41">
        <v>3</v>
      </c>
      <c r="Q238" s="41">
        <v>5</v>
      </c>
      <c r="R238" s="41" t="s">
        <v>82</v>
      </c>
      <c r="S238" s="41">
        <f>IF(R238&gt;0,INDEX(Fish!$D:$D,MATCH(R238,Fish!$L:$L,0)),"")</f>
        <v>11012</v>
      </c>
      <c r="T238" s="41">
        <v>0</v>
      </c>
      <c r="U238" s="41">
        <v>1</v>
      </c>
      <c r="V238" s="41">
        <v>3</v>
      </c>
      <c r="W238" s="41">
        <v>4</v>
      </c>
      <c r="X238" s="41" t="s">
        <v>88</v>
      </c>
      <c r="Y238" s="41">
        <f>IF(X238&gt;0,INDEX(Fish!$D:$D,MATCH(X238,Fish!$L:$L,0)),"")</f>
        <v>11015</v>
      </c>
      <c r="Z238" s="41">
        <v>0</v>
      </c>
      <c r="AA238" s="41">
        <v>1</v>
      </c>
      <c r="AB238" s="41">
        <v>2</v>
      </c>
      <c r="AC238" s="41">
        <v>3</v>
      </c>
      <c r="AE238" s="41" t="str">
        <f>IF(AD238&gt;0,VLOOKUP(AD238,IF({1,0},#REF!,#REF!),2,FALSE),"")</f>
        <v/>
      </c>
    </row>
    <row r="239" spans="1:31">
      <c r="A239" s="41">
        <v>44499</v>
      </c>
      <c r="B239" s="41">
        <v>2</v>
      </c>
      <c r="C239" s="41">
        <v>0</v>
      </c>
      <c r="D239" s="41">
        <v>2</v>
      </c>
      <c r="E239" s="41">
        <v>1</v>
      </c>
      <c r="F239" s="41" t="s">
        <v>74</v>
      </c>
      <c r="G239" s="41">
        <f>IF(F239&gt;0,INDEX(Fish!$D:$D,MATCH(F239,Fish!$L:$L,0)),"")</f>
        <v>11009</v>
      </c>
      <c r="H239" s="41">
        <v>0</v>
      </c>
      <c r="I239" s="41">
        <v>1</v>
      </c>
      <c r="J239" s="41">
        <v>4</v>
      </c>
      <c r="K239" s="41">
        <v>6</v>
      </c>
      <c r="L239" s="41" t="s">
        <v>78</v>
      </c>
      <c r="M239" s="41">
        <f>IF(L239&gt;0,INDEX(Fish!$D:$D,MATCH(L239,Fish!$L:$L,0)),"")</f>
        <v>11010</v>
      </c>
      <c r="N239" s="41">
        <v>0</v>
      </c>
      <c r="O239" s="41">
        <v>1</v>
      </c>
      <c r="P239" s="41">
        <v>3</v>
      </c>
      <c r="Q239" s="41">
        <v>5</v>
      </c>
      <c r="R239" s="41" t="s">
        <v>82</v>
      </c>
      <c r="S239" s="41">
        <f>IF(R239&gt;0,INDEX(Fish!$D:$D,MATCH(R239,Fish!$L:$L,0)),"")</f>
        <v>11012</v>
      </c>
      <c r="T239" s="41">
        <v>0</v>
      </c>
      <c r="U239" s="41">
        <v>1</v>
      </c>
      <c r="V239" s="41">
        <v>3</v>
      </c>
      <c r="W239" s="41">
        <v>4</v>
      </c>
      <c r="X239" s="41" t="s">
        <v>84</v>
      </c>
      <c r="Y239" s="41">
        <f>IF(X239&gt;0,INDEX(Fish!$D:$D,MATCH(X239,Fish!$L:$L,0)),"")</f>
        <v>11013</v>
      </c>
      <c r="Z239" s="41">
        <v>0</v>
      </c>
      <c r="AA239" s="41">
        <v>1</v>
      </c>
      <c r="AB239" s="41">
        <v>2</v>
      </c>
      <c r="AC239" s="41">
        <v>3</v>
      </c>
      <c r="AE239" s="41" t="str">
        <f>IF(AD239&gt;0,VLOOKUP(AD239,IF({1,0},#REF!,#REF!),2,FALSE),"")</f>
        <v/>
      </c>
    </row>
    <row r="240" spans="1:31" ht="18.75">
      <c r="A240" s="41">
        <v>44499</v>
      </c>
      <c r="B240" s="41">
        <v>2</v>
      </c>
      <c r="C240" s="41">
        <v>0</v>
      </c>
      <c r="D240" s="41">
        <v>3</v>
      </c>
      <c r="E240" s="41">
        <v>2</v>
      </c>
      <c r="F240" s="41" t="s">
        <v>98</v>
      </c>
      <c r="G240" s="41">
        <f>IF(F240&gt;0,INDEX(Fish!$D:$D,MATCH(F240,Fish!$L:$L,0)),"")</f>
        <v>11090</v>
      </c>
      <c r="H240" s="41">
        <v>55000</v>
      </c>
      <c r="I240" s="41">
        <v>1</v>
      </c>
      <c r="J240" s="41">
        <v>1</v>
      </c>
      <c r="K240" s="41">
        <v>1</v>
      </c>
      <c r="L240" s="45" t="s">
        <v>100</v>
      </c>
      <c r="M240" s="41">
        <f>IF(L240&gt;0,INDEX(Fish!$D:$D,MATCH(L240,Fish!$L:$L,0)),"")</f>
        <v>11025</v>
      </c>
      <c r="N240" s="41">
        <v>45000</v>
      </c>
      <c r="O240" s="41">
        <v>1</v>
      </c>
      <c r="P240" s="41">
        <v>1</v>
      </c>
      <c r="Q240" s="41">
        <v>1</v>
      </c>
      <c r="S240" s="41" t="str">
        <f>IF(R240&gt;0,INDEX(Fish!$D:$D,MATCH(R240,Fish!$L:$L,0)),"")</f>
        <v/>
      </c>
      <c r="Y240" s="41" t="str">
        <f>IF(X240&gt;0,INDEX(Fish!$D:$D,MATCH(X240,Fish!$L:$L,0)),"")</f>
        <v/>
      </c>
      <c r="AE240" s="41" t="str">
        <f>IF(AD240&gt;0,VLOOKUP(AD240,IF({1,0},#REF!,#REF!),2,FALSE),"")</f>
        <v/>
      </c>
    </row>
    <row r="241" spans="1:35" ht="20.25">
      <c r="A241" s="41">
        <v>44499</v>
      </c>
      <c r="B241" s="41">
        <v>2</v>
      </c>
      <c r="C241" s="41">
        <v>0</v>
      </c>
      <c r="D241" s="41">
        <v>4</v>
      </c>
      <c r="E241" s="41">
        <v>2</v>
      </c>
      <c r="F241" s="41" t="s">
        <v>346</v>
      </c>
      <c r="G241" s="41">
        <f>IF(F241&gt;0,INDEX(Fish!$D:$D,MATCH(F241,Fish!$L:$L,0)),"")</f>
        <v>11018</v>
      </c>
      <c r="H241" s="41">
        <v>30000</v>
      </c>
      <c r="I241" s="41">
        <v>1</v>
      </c>
      <c r="J241" s="41">
        <v>2</v>
      </c>
      <c r="K241" s="41">
        <v>3</v>
      </c>
      <c r="L241" s="41" t="s">
        <v>356</v>
      </c>
      <c r="M241" s="41">
        <f>IF(L241&gt;0,INDEX(Fish!$D:$D,MATCH(L241,Fish!$L:$L,0)),"")</f>
        <v>11214</v>
      </c>
      <c r="N241" s="41">
        <v>30000</v>
      </c>
      <c r="O241" s="41">
        <v>1</v>
      </c>
      <c r="P241" s="41">
        <v>2</v>
      </c>
      <c r="Q241" s="41">
        <v>3</v>
      </c>
      <c r="R241" s="41" t="s">
        <v>350</v>
      </c>
      <c r="S241" s="41">
        <f>IF(R241&gt;0,INDEX(Fish!$D:$D,MATCH(R241,Fish!$L:$L,0)),"")</f>
        <v>11021</v>
      </c>
      <c r="T241" s="41">
        <v>25000</v>
      </c>
      <c r="U241" s="41">
        <v>1</v>
      </c>
      <c r="V241" s="41">
        <v>2</v>
      </c>
      <c r="W241" s="41">
        <v>3</v>
      </c>
      <c r="X241" s="44" t="s">
        <v>348</v>
      </c>
      <c r="Y241" s="41">
        <f>IF(X241&gt;0,INDEX(Fish!$D:$D,MATCH(X241,Fish!$L:$L,0)),"")</f>
        <v>11092</v>
      </c>
      <c r="Z241" s="41">
        <v>15000</v>
      </c>
      <c r="AA241" s="41">
        <v>1</v>
      </c>
      <c r="AB241" s="41">
        <v>2</v>
      </c>
      <c r="AC241" s="41">
        <v>3</v>
      </c>
      <c r="AE241" s="41" t="str">
        <f>IF(AD241&gt;0,VLOOKUP(AD241,IF({1,0},#REF!,#REF!),2,FALSE),"")</f>
        <v/>
      </c>
    </row>
    <row r="242" spans="1:35">
      <c r="A242" s="41">
        <v>44499</v>
      </c>
      <c r="B242" s="41">
        <v>2</v>
      </c>
      <c r="C242" s="41">
        <v>0</v>
      </c>
      <c r="D242" s="41">
        <v>5</v>
      </c>
      <c r="E242" s="41">
        <v>2</v>
      </c>
      <c r="F242" s="41" t="s">
        <v>117</v>
      </c>
      <c r="G242" s="41">
        <f>IF(F242&gt;0,INDEX(Fish!$D:$D,MATCH(F242,Fish!$L:$L,0)),"")</f>
        <v>14009</v>
      </c>
      <c r="H242" s="41">
        <v>38000</v>
      </c>
      <c r="I242" s="41">
        <v>1</v>
      </c>
      <c r="J242" s="41">
        <v>1</v>
      </c>
      <c r="K242" s="41">
        <v>1</v>
      </c>
      <c r="L242" s="41" t="s">
        <v>118</v>
      </c>
      <c r="M242" s="41">
        <f>IF(L242&gt;0,INDEX(Fish!$D:$D,MATCH(L242,Fish!$L:$L,0)),"")</f>
        <v>14011</v>
      </c>
      <c r="N242" s="41">
        <v>29000</v>
      </c>
      <c r="O242" s="41">
        <v>1</v>
      </c>
      <c r="P242" s="41">
        <v>1</v>
      </c>
      <c r="Q242" s="41">
        <v>1</v>
      </c>
      <c r="R242" s="41" t="s">
        <v>120</v>
      </c>
      <c r="S242" s="41">
        <f>IF(R242&gt;0,INDEX(Fish!$D:$D,MATCH(R242,Fish!$L:$L,0)),"")</f>
        <v>14015</v>
      </c>
      <c r="T242" s="41">
        <v>18000</v>
      </c>
      <c r="U242" s="41">
        <v>1</v>
      </c>
      <c r="V242" s="41">
        <v>1</v>
      </c>
      <c r="W242" s="41">
        <v>1</v>
      </c>
      <c r="X242" s="41" t="s">
        <v>121</v>
      </c>
      <c r="Y242" s="41">
        <f>IF(X242&gt;0,INDEX(Fish!$D:$D,MATCH(X242,Fish!$L:$L,0)),"")</f>
        <v>14020</v>
      </c>
      <c r="Z242" s="41">
        <v>15000</v>
      </c>
      <c r="AA242" s="41">
        <v>1</v>
      </c>
      <c r="AB242" s="41">
        <v>1</v>
      </c>
      <c r="AC242" s="41">
        <v>1</v>
      </c>
      <c r="AE242" s="41" t="str">
        <f>IF(AD242&gt;0,VLOOKUP(AD242,IF({1,0},#REF!,#REF!),2,FALSE),"")</f>
        <v/>
      </c>
    </row>
    <row r="243" spans="1:35">
      <c r="Y243" s="41" t="str">
        <f>IF(X243&gt;0,INDEX(Fish!$D:$D,MATCH(X243,Fish!$L:$L,0)),"")</f>
        <v/>
      </c>
      <c r="AE243" s="41" t="str">
        <f>IF(AD243&gt;0,INDEX(Fish!$D:$D,MATCH(AD243,Fish!$L:$L,0)),"")</f>
        <v/>
      </c>
    </row>
    <row r="244" spans="1:35">
      <c r="A244" s="41" t="s">
        <v>1101</v>
      </c>
      <c r="B244" s="41" t="s">
        <v>1102</v>
      </c>
      <c r="C244" s="41" t="s">
        <v>1118</v>
      </c>
      <c r="D244" s="41" t="s">
        <v>1104</v>
      </c>
      <c r="E244" s="41" t="s">
        <v>1105</v>
      </c>
      <c r="F244" s="41" t="s">
        <v>1000</v>
      </c>
      <c r="G244" s="41" t="s">
        <v>1106</v>
      </c>
      <c r="H244" s="41" t="s">
        <v>887</v>
      </c>
      <c r="I244" s="41" t="s">
        <v>1107</v>
      </c>
      <c r="J244" s="41" t="s">
        <v>1108</v>
      </c>
      <c r="K244" s="41" t="s">
        <v>1109</v>
      </c>
      <c r="L244" s="41" t="s">
        <v>1000</v>
      </c>
      <c r="M244" s="41" t="s">
        <v>1106</v>
      </c>
      <c r="N244" s="41" t="s">
        <v>887</v>
      </c>
      <c r="O244" s="41" t="s">
        <v>1107</v>
      </c>
      <c r="P244" s="41" t="s">
        <v>1108</v>
      </c>
      <c r="Q244" s="41" t="s">
        <v>1109</v>
      </c>
      <c r="R244" s="41" t="s">
        <v>1000</v>
      </c>
      <c r="S244" s="41" t="s">
        <v>1106</v>
      </c>
      <c r="T244" s="41" t="s">
        <v>887</v>
      </c>
      <c r="U244" s="41" t="s">
        <v>1107</v>
      </c>
      <c r="V244" s="41" t="s">
        <v>1108</v>
      </c>
      <c r="W244" s="41" t="s">
        <v>1109</v>
      </c>
      <c r="X244" s="41" t="s">
        <v>1000</v>
      </c>
      <c r="Y244" s="41" t="s">
        <v>1106</v>
      </c>
      <c r="Z244" s="41" t="s">
        <v>887</v>
      </c>
      <c r="AA244" s="41" t="s">
        <v>1107</v>
      </c>
      <c r="AB244" s="41" t="s">
        <v>1108</v>
      </c>
      <c r="AC244" s="41" t="s">
        <v>1109</v>
      </c>
      <c r="AD244" s="41" t="s">
        <v>1000</v>
      </c>
      <c r="AE244" s="41" t="s">
        <v>1106</v>
      </c>
      <c r="AF244" s="41" t="s">
        <v>887</v>
      </c>
      <c r="AG244" s="41" t="s">
        <v>1107</v>
      </c>
      <c r="AH244" s="41" t="s">
        <v>1108</v>
      </c>
      <c r="AI244" s="41" t="s">
        <v>1109</v>
      </c>
    </row>
    <row r="245" spans="1:35">
      <c r="A245" s="41" t="s">
        <v>39</v>
      </c>
      <c r="B245" s="41" t="s">
        <v>39</v>
      </c>
      <c r="C245" s="41" t="s">
        <v>39</v>
      </c>
      <c r="D245" s="41" t="s">
        <v>39</v>
      </c>
      <c r="E245" s="41" t="s">
        <v>39</v>
      </c>
      <c r="F245" s="41" t="s">
        <v>40</v>
      </c>
      <c r="G245" s="41" t="s">
        <v>39</v>
      </c>
      <c r="H245" s="41" t="s">
        <v>39</v>
      </c>
      <c r="I245" s="41" t="s">
        <v>39</v>
      </c>
      <c r="J245" s="41" t="s">
        <v>39</v>
      </c>
      <c r="K245" s="41" t="s">
        <v>39</v>
      </c>
      <c r="L245" s="41" t="s">
        <v>40</v>
      </c>
      <c r="M245" s="41" t="s">
        <v>39</v>
      </c>
      <c r="N245" s="41" t="s">
        <v>39</v>
      </c>
      <c r="O245" s="41" t="s">
        <v>39</v>
      </c>
      <c r="P245" s="41" t="s">
        <v>39</v>
      </c>
      <c r="Q245" s="41" t="s">
        <v>39</v>
      </c>
      <c r="R245" s="41" t="s">
        <v>40</v>
      </c>
      <c r="S245" s="41" t="s">
        <v>39</v>
      </c>
      <c r="T245" s="41" t="s">
        <v>39</v>
      </c>
      <c r="U245" s="41" t="s">
        <v>39</v>
      </c>
      <c r="V245" s="41" t="s">
        <v>39</v>
      </c>
      <c r="W245" s="41" t="s">
        <v>39</v>
      </c>
      <c r="X245" s="41" t="s">
        <v>40</v>
      </c>
      <c r="Y245" s="41" t="s">
        <v>39</v>
      </c>
      <c r="Z245" s="41" t="s">
        <v>39</v>
      </c>
      <c r="AA245" s="41" t="s">
        <v>39</v>
      </c>
      <c r="AB245" s="41" t="s">
        <v>39</v>
      </c>
      <c r="AC245" s="41" t="s">
        <v>39</v>
      </c>
      <c r="AD245" s="41" t="s">
        <v>40</v>
      </c>
      <c r="AE245" s="41" t="s">
        <v>39</v>
      </c>
      <c r="AF245" s="41" t="s">
        <v>39</v>
      </c>
      <c r="AG245" s="41" t="s">
        <v>39</v>
      </c>
      <c r="AH245" s="41" t="s">
        <v>39</v>
      </c>
      <c r="AI245" s="41" t="s">
        <v>39</v>
      </c>
    </row>
    <row r="246" spans="1:35" ht="18.75">
      <c r="A246" s="41" t="s">
        <v>1110</v>
      </c>
      <c r="B246" s="43" t="s">
        <v>1111</v>
      </c>
      <c r="C246" s="43" t="s">
        <v>1112</v>
      </c>
      <c r="D246" s="41" t="s">
        <v>46</v>
      </c>
      <c r="E246" s="41" t="s">
        <v>1113</v>
      </c>
      <c r="F246" s="41" t="s">
        <v>1114</v>
      </c>
      <c r="G246" s="41" t="s">
        <v>814</v>
      </c>
      <c r="H246" s="41" t="s">
        <v>898</v>
      </c>
      <c r="I246" s="41" t="s">
        <v>1115</v>
      </c>
      <c r="J246" s="41" t="s">
        <v>1116</v>
      </c>
      <c r="K246" s="41" t="s">
        <v>1117</v>
      </c>
      <c r="L246" s="41" t="s">
        <v>1114</v>
      </c>
      <c r="M246" s="41" t="s">
        <v>814</v>
      </c>
      <c r="N246" s="41" t="s">
        <v>898</v>
      </c>
      <c r="O246" s="41" t="s">
        <v>1115</v>
      </c>
      <c r="P246" s="41" t="s">
        <v>1116</v>
      </c>
      <c r="Q246" s="41" t="s">
        <v>1117</v>
      </c>
      <c r="R246" s="41" t="s">
        <v>1114</v>
      </c>
      <c r="S246" s="41" t="s">
        <v>814</v>
      </c>
      <c r="T246" s="41" t="s">
        <v>898</v>
      </c>
      <c r="U246" s="41" t="s">
        <v>1115</v>
      </c>
      <c r="V246" s="41" t="s">
        <v>1116</v>
      </c>
      <c r="W246" s="41" t="s">
        <v>1117</v>
      </c>
      <c r="X246" s="41" t="s">
        <v>1114</v>
      </c>
      <c r="Y246" s="41" t="s">
        <v>814</v>
      </c>
      <c r="Z246" s="41" t="s">
        <v>898</v>
      </c>
      <c r="AA246" s="41" t="s">
        <v>1115</v>
      </c>
      <c r="AB246" s="41" t="s">
        <v>1116</v>
      </c>
      <c r="AC246" s="41" t="s">
        <v>1117</v>
      </c>
      <c r="AD246" s="41" t="s">
        <v>1114</v>
      </c>
      <c r="AE246" s="41" t="s">
        <v>814</v>
      </c>
      <c r="AF246" s="41" t="s">
        <v>898</v>
      </c>
      <c r="AG246" s="41" t="s">
        <v>1115</v>
      </c>
      <c r="AH246" s="41" t="s">
        <v>1116</v>
      </c>
      <c r="AI246" s="41" t="s">
        <v>1117</v>
      </c>
    </row>
    <row r="247" spans="1:35">
      <c r="A247" s="41">
        <v>44411</v>
      </c>
      <c r="B247" s="41">
        <v>2</v>
      </c>
      <c r="C247" s="41">
        <v>10</v>
      </c>
      <c r="D247" s="41">
        <v>1</v>
      </c>
      <c r="E247" s="41">
        <v>1</v>
      </c>
      <c r="F247" s="41" t="s">
        <v>58</v>
      </c>
      <c r="G247" s="41">
        <f>IF(F247&gt;0,INDEX(Fish!$D:$D,MATCH(F247,Fish!$L:$L,0)),"")</f>
        <v>11001</v>
      </c>
      <c r="H247" s="41">
        <v>0</v>
      </c>
      <c r="I247" s="41">
        <v>4</v>
      </c>
      <c r="J247" s="41">
        <v>8</v>
      </c>
      <c r="K247" s="41">
        <v>10</v>
      </c>
      <c r="L247" s="41" t="s">
        <v>62</v>
      </c>
      <c r="M247" s="41">
        <f>IF(L247&gt;0,INDEX(Fish!$D:$D,MATCH(L247,Fish!$L:$L,0)),"")</f>
        <v>11003</v>
      </c>
      <c r="N247" s="41">
        <v>0</v>
      </c>
      <c r="O247" s="41">
        <v>3</v>
      </c>
      <c r="P247" s="41">
        <v>8</v>
      </c>
      <c r="Q247" s="41">
        <v>10</v>
      </c>
      <c r="S247" s="41" t="str">
        <f>IF(R247&gt;0,INDEX(Fish!$D:$D,MATCH(R247,Fish!$L:$L,0)),"")</f>
        <v/>
      </c>
      <c r="Y247" s="41" t="str">
        <f>IF(X247&gt;0,INDEX(Fish!$D:$D,MATCH(X247,Fish!$L:$L,0)),"")</f>
        <v/>
      </c>
      <c r="AE247" s="41" t="str">
        <f>IF(AD247&gt;0,VLOOKUP(AD247,IF({1,0},#REF!,#REF!),2,FALSE),"")</f>
        <v/>
      </c>
    </row>
    <row r="248" spans="1:35" ht="20.25">
      <c r="A248" s="41">
        <v>44411</v>
      </c>
      <c r="B248" s="41">
        <v>2</v>
      </c>
      <c r="C248" s="41">
        <v>10</v>
      </c>
      <c r="D248" s="41">
        <v>1</v>
      </c>
      <c r="E248" s="41">
        <v>1</v>
      </c>
      <c r="F248" s="41" t="s">
        <v>58</v>
      </c>
      <c r="G248" s="41">
        <f>IF(F248&gt;0,INDEX(Fish!$D:$D,MATCH(F248,Fish!$L:$L,0)),"")</f>
        <v>11001</v>
      </c>
      <c r="H248" s="41">
        <v>0</v>
      </c>
      <c r="I248" s="41">
        <v>4</v>
      </c>
      <c r="J248" s="41">
        <v>8</v>
      </c>
      <c r="K248" s="41">
        <v>10</v>
      </c>
      <c r="L248" s="44" t="s">
        <v>64</v>
      </c>
      <c r="M248" s="41">
        <f>IF(L248&gt;0,INDEX(Fish!$D:$D,MATCH(L248,Fish!$L:$L,0)),"")</f>
        <v>11004</v>
      </c>
      <c r="N248" s="41">
        <v>0</v>
      </c>
      <c r="O248" s="41">
        <v>3</v>
      </c>
      <c r="P248" s="41">
        <v>8</v>
      </c>
      <c r="Q248" s="41">
        <v>10</v>
      </c>
      <c r="S248" s="41" t="str">
        <f>IF(R248&gt;0,INDEX(Fish!$D:$D,MATCH(R248,Fish!$L:$L,0)),"")</f>
        <v/>
      </c>
      <c r="Y248" s="41" t="str">
        <f>IF(X248&gt;0,INDEX(Fish!$D:$D,MATCH(X248,Fish!$L:$L,0)),"")</f>
        <v/>
      </c>
      <c r="AE248" s="41" t="str">
        <f>IF(AD248&gt;0,VLOOKUP(AD248,IF({1,0},#REF!,#REF!),2,FALSE),"")</f>
        <v/>
      </c>
    </row>
    <row r="249" spans="1:35">
      <c r="A249" s="41">
        <v>44411</v>
      </c>
      <c r="B249" s="41">
        <v>2</v>
      </c>
      <c r="C249" s="41">
        <v>10</v>
      </c>
      <c r="D249" s="41">
        <v>1</v>
      </c>
      <c r="E249" s="41">
        <v>1</v>
      </c>
      <c r="F249" s="41" t="s">
        <v>60</v>
      </c>
      <c r="G249" s="41">
        <f>IF(F249&gt;0,INDEX(Fish!$D:$D,MATCH(F249,Fish!$L:$L,0)),"")</f>
        <v>11002</v>
      </c>
      <c r="H249" s="41">
        <v>0</v>
      </c>
      <c r="I249" s="41">
        <v>4</v>
      </c>
      <c r="J249" s="41">
        <v>8</v>
      </c>
      <c r="K249" s="41">
        <v>10</v>
      </c>
      <c r="L249" s="41" t="s">
        <v>62</v>
      </c>
      <c r="M249" s="41">
        <f>IF(L249&gt;0,INDEX(Fish!$D:$D,MATCH(L249,Fish!$L:$L,0)),"")</f>
        <v>11003</v>
      </c>
      <c r="N249" s="41">
        <v>0</v>
      </c>
      <c r="O249" s="41">
        <v>3</v>
      </c>
      <c r="P249" s="41">
        <v>8</v>
      </c>
      <c r="Q249" s="41">
        <v>10</v>
      </c>
      <c r="S249" s="41" t="str">
        <f>IF(R249&gt;0,INDEX(Fish!$D:$D,MATCH(R249,Fish!$L:$L,0)),"")</f>
        <v/>
      </c>
      <c r="Y249" s="41" t="str">
        <f>IF(X249&gt;0,INDEX(Fish!$D:$D,MATCH(X249,Fish!$L:$L,0)),"")</f>
        <v/>
      </c>
      <c r="AE249" s="41" t="str">
        <f>IF(AD249&gt;0,VLOOKUP(AD249,IF({1,0},#REF!,#REF!),2,FALSE),"")</f>
        <v/>
      </c>
    </row>
    <row r="250" spans="1:35">
      <c r="A250" s="41">
        <v>44411</v>
      </c>
      <c r="B250" s="41">
        <v>2</v>
      </c>
      <c r="C250" s="41">
        <v>10</v>
      </c>
      <c r="D250" s="41">
        <v>1</v>
      </c>
      <c r="E250" s="41">
        <v>1</v>
      </c>
      <c r="F250" s="41" t="s">
        <v>60</v>
      </c>
      <c r="G250" s="41">
        <f>IF(F250&gt;0,INDEX(Fish!$D:$D,MATCH(F250,Fish!$L:$L,0)),"")</f>
        <v>11002</v>
      </c>
      <c r="H250" s="41">
        <v>0</v>
      </c>
      <c r="I250" s="41">
        <v>4</v>
      </c>
      <c r="J250" s="41">
        <v>8</v>
      </c>
      <c r="K250" s="41">
        <v>10</v>
      </c>
      <c r="L250" s="41" t="s">
        <v>64</v>
      </c>
      <c r="M250" s="41">
        <f>IF(L250&gt;0,INDEX(Fish!$D:$D,MATCH(L250,Fish!$L:$L,0)),"")</f>
        <v>11004</v>
      </c>
      <c r="N250" s="41">
        <v>0</v>
      </c>
      <c r="O250" s="41">
        <v>3</v>
      </c>
      <c r="P250" s="41">
        <v>8</v>
      </c>
      <c r="Q250" s="41">
        <v>10</v>
      </c>
      <c r="S250" s="41" t="str">
        <f>IF(R250&gt;0,INDEX(Fish!$D:$D,MATCH(R250,Fish!$L:$L,0)),"")</f>
        <v/>
      </c>
      <c r="Y250" s="41" t="str">
        <f>IF(X250&gt;0,INDEX(Fish!$D:$D,MATCH(X250,Fish!$L:$L,0)),"")</f>
        <v/>
      </c>
      <c r="AE250" s="41" t="str">
        <f>IF(AD250&gt;0,VLOOKUP(AD250,IF({1,0},#REF!,#REF!),2,FALSE),"")</f>
        <v/>
      </c>
    </row>
    <row r="251" spans="1:35">
      <c r="A251" s="41">
        <v>44411</v>
      </c>
      <c r="B251" s="41">
        <v>2</v>
      </c>
      <c r="C251" s="41">
        <v>0</v>
      </c>
      <c r="D251" s="41">
        <v>2</v>
      </c>
      <c r="E251" s="41">
        <v>1</v>
      </c>
      <c r="F251" s="41" t="s">
        <v>72</v>
      </c>
      <c r="G251" s="41">
        <f>IF(F251&gt;0,INDEX(Fish!$D:$D,MATCH(F251,Fish!$L:$L,0)),"")</f>
        <v>11008</v>
      </c>
      <c r="H251" s="41">
        <v>0</v>
      </c>
      <c r="I251" s="41">
        <v>1</v>
      </c>
      <c r="J251" s="41">
        <v>3</v>
      </c>
      <c r="K251" s="41">
        <v>4</v>
      </c>
      <c r="L251" s="41" t="s">
        <v>80</v>
      </c>
      <c r="M251" s="41">
        <f>IF(L251&gt;0,INDEX(Fish!$D:$D,MATCH(L251,Fish!$L:$L,0)),"")</f>
        <v>11011</v>
      </c>
      <c r="N251" s="41">
        <v>0</v>
      </c>
      <c r="O251" s="41">
        <v>1</v>
      </c>
      <c r="P251" s="41">
        <v>2</v>
      </c>
      <c r="Q251" s="41">
        <v>3</v>
      </c>
      <c r="R251" s="41" t="s">
        <v>92</v>
      </c>
      <c r="S251" s="41">
        <f>IF(R251&gt;0,INDEX(Fish!$D:$D,MATCH(R251,Fish!$L:$L,0)),"")</f>
        <v>11017</v>
      </c>
      <c r="T251" s="41">
        <v>0</v>
      </c>
      <c r="U251" s="41">
        <v>1</v>
      </c>
      <c r="V251" s="41">
        <v>2</v>
      </c>
      <c r="W251" s="41">
        <v>3</v>
      </c>
      <c r="X251" s="41" t="s">
        <v>88</v>
      </c>
      <c r="Y251" s="41">
        <f>IF(X251&gt;0,INDEX(Fish!$D:$D,MATCH(X251,Fish!$L:$L,0)),"")</f>
        <v>11015</v>
      </c>
      <c r="Z251" s="41">
        <v>0</v>
      </c>
      <c r="AA251" s="41">
        <v>1</v>
      </c>
      <c r="AB251" s="41">
        <v>1</v>
      </c>
      <c r="AC251" s="41">
        <v>2</v>
      </c>
      <c r="AE251" s="41" t="str">
        <f>IF(AD251&gt;0,VLOOKUP(AD251,IF({1,0},#REF!,#REF!),2,FALSE),"")</f>
        <v/>
      </c>
    </row>
    <row r="252" spans="1:35" hidden="1">
      <c r="A252" s="41">
        <v>44411</v>
      </c>
      <c r="B252" s="41">
        <v>2</v>
      </c>
      <c r="C252" s="41">
        <v>0</v>
      </c>
      <c r="D252" s="41">
        <v>2</v>
      </c>
      <c r="E252" s="41">
        <v>1</v>
      </c>
      <c r="F252" s="41" t="s">
        <v>72</v>
      </c>
      <c r="G252" s="41">
        <f>IF(F252&gt;0,INDEX(Fish!$D:$D,MATCH(F252,Fish!$L:$L,0)),"")</f>
        <v>11008</v>
      </c>
      <c r="H252" s="41">
        <v>0</v>
      </c>
      <c r="I252" s="41">
        <v>1</v>
      </c>
      <c r="J252" s="41">
        <v>3</v>
      </c>
      <c r="K252" s="41">
        <v>4</v>
      </c>
      <c r="L252" s="41" t="s">
        <v>80</v>
      </c>
      <c r="M252" s="41">
        <f>IF(L252&gt;0,INDEX(Fish!$D:$D,MATCH(L252,Fish!$L:$L,0)),"")</f>
        <v>11011</v>
      </c>
      <c r="N252" s="41">
        <v>0</v>
      </c>
      <c r="O252" s="41">
        <v>1</v>
      </c>
      <c r="P252" s="41">
        <v>2</v>
      </c>
      <c r="Q252" s="41">
        <v>3</v>
      </c>
      <c r="R252" s="41" t="s">
        <v>92</v>
      </c>
      <c r="S252" s="41">
        <f>IF(R252&gt;0,INDEX(Fish!$D:$D,MATCH(R252,Fish!$L:$L,0)),"")</f>
        <v>11017</v>
      </c>
      <c r="T252" s="41">
        <v>0</v>
      </c>
      <c r="U252" s="41">
        <v>1</v>
      </c>
      <c r="V252" s="41">
        <v>2</v>
      </c>
      <c r="W252" s="41">
        <v>3</v>
      </c>
      <c r="X252" s="41" t="s">
        <v>94</v>
      </c>
      <c r="Y252" s="41">
        <f>IF(X252&gt;0,INDEX(Fish!$D:$D,MATCH(X252,Fish!$L:$L,0)),"")</f>
        <v>11020</v>
      </c>
      <c r="Z252" s="41">
        <v>0</v>
      </c>
      <c r="AA252" s="41">
        <v>1</v>
      </c>
      <c r="AB252" s="41">
        <v>1</v>
      </c>
      <c r="AC252" s="41">
        <v>2</v>
      </c>
      <c r="AE252" s="41" t="str">
        <f>IF(AD252&gt;0,VLOOKUP(AD252,IF({1,0},#REF!,#REF!),2,FALSE),"")</f>
        <v/>
      </c>
    </row>
    <row r="253" spans="1:35">
      <c r="A253" s="41">
        <v>44411</v>
      </c>
      <c r="B253" s="41">
        <v>2</v>
      </c>
      <c r="C253" s="41">
        <v>0</v>
      </c>
      <c r="D253" s="41">
        <v>2</v>
      </c>
      <c r="E253" s="41">
        <v>1</v>
      </c>
      <c r="F253" s="41" t="s">
        <v>72</v>
      </c>
      <c r="G253" s="41">
        <f>IF(F253&gt;0,INDEX(Fish!$D:$D,MATCH(F253,Fish!$L:$L,0)),"")</f>
        <v>11008</v>
      </c>
      <c r="H253" s="41">
        <v>0</v>
      </c>
      <c r="I253" s="41">
        <v>1</v>
      </c>
      <c r="J253" s="41">
        <v>3</v>
      </c>
      <c r="K253" s="41">
        <v>4</v>
      </c>
      <c r="L253" s="41" t="s">
        <v>80</v>
      </c>
      <c r="M253" s="41">
        <f>IF(L253&gt;0,INDEX(Fish!$D:$D,MATCH(L253,Fish!$L:$L,0)),"")</f>
        <v>11011</v>
      </c>
      <c r="N253" s="41">
        <v>0</v>
      </c>
      <c r="O253" s="41">
        <v>1</v>
      </c>
      <c r="P253" s="41">
        <v>2</v>
      </c>
      <c r="Q253" s="41">
        <v>3</v>
      </c>
      <c r="R253" s="41" t="s">
        <v>92</v>
      </c>
      <c r="S253" s="41">
        <f>IF(R253&gt;0,INDEX(Fish!$D:$D,MATCH(R253,Fish!$L:$L,0)),"")</f>
        <v>11017</v>
      </c>
      <c r="T253" s="41">
        <v>0</v>
      </c>
      <c r="U253" s="41">
        <v>1</v>
      </c>
      <c r="V253" s="41">
        <v>2</v>
      </c>
      <c r="W253" s="41">
        <v>3</v>
      </c>
      <c r="X253" s="41" t="s">
        <v>84</v>
      </c>
      <c r="Y253" s="41">
        <f>IF(X253&gt;0,INDEX(Fish!$D:$D,MATCH(X253,Fish!$L:$L,0)),"")</f>
        <v>11013</v>
      </c>
      <c r="Z253" s="41">
        <v>0</v>
      </c>
      <c r="AA253" s="41">
        <v>1</v>
      </c>
      <c r="AB253" s="41">
        <v>1</v>
      </c>
      <c r="AC253" s="41">
        <v>2</v>
      </c>
      <c r="AE253" s="41" t="str">
        <f>IF(AD253&gt;0,VLOOKUP(AD253,IF({1,0},#REF!,#REF!),2,FALSE),"")</f>
        <v/>
      </c>
    </row>
    <row r="254" spans="1:35">
      <c r="A254" s="41">
        <v>44411</v>
      </c>
      <c r="B254" s="41">
        <v>2</v>
      </c>
      <c r="C254" s="41">
        <v>0</v>
      </c>
      <c r="D254" s="41">
        <v>2</v>
      </c>
      <c r="E254" s="41">
        <v>1</v>
      </c>
      <c r="F254" s="41" t="s">
        <v>72</v>
      </c>
      <c r="G254" s="41">
        <f>IF(F254&gt;0,INDEX(Fish!$D:$D,MATCH(F254,Fish!$L:$L,0)),"")</f>
        <v>11008</v>
      </c>
      <c r="H254" s="41">
        <v>0</v>
      </c>
      <c r="I254" s="41">
        <v>1</v>
      </c>
      <c r="J254" s="41">
        <v>3</v>
      </c>
      <c r="K254" s="41">
        <v>4</v>
      </c>
      <c r="L254" s="41" t="s">
        <v>80</v>
      </c>
      <c r="M254" s="41">
        <f>IF(L254&gt;0,INDEX(Fish!$D:$D,MATCH(L254,Fish!$L:$L,0)),"")</f>
        <v>11011</v>
      </c>
      <c r="N254" s="41">
        <v>0</v>
      </c>
      <c r="O254" s="41">
        <v>1</v>
      </c>
      <c r="P254" s="41">
        <v>2</v>
      </c>
      <c r="Q254" s="41">
        <v>3</v>
      </c>
      <c r="R254" s="41" t="s">
        <v>82</v>
      </c>
      <c r="S254" s="41">
        <f>IF(R254&gt;0,INDEX(Fish!$D:$D,MATCH(R254,Fish!$L:$L,0)),"")</f>
        <v>11012</v>
      </c>
      <c r="T254" s="41">
        <v>0</v>
      </c>
      <c r="U254" s="41">
        <v>1</v>
      </c>
      <c r="V254" s="41">
        <v>2</v>
      </c>
      <c r="W254" s="41">
        <v>3</v>
      </c>
      <c r="X254" s="41" t="s">
        <v>88</v>
      </c>
      <c r="Y254" s="41">
        <f>IF(X254&gt;0,INDEX(Fish!$D:$D,MATCH(X254,Fish!$L:$L,0)),"")</f>
        <v>11015</v>
      </c>
      <c r="Z254" s="41">
        <v>0</v>
      </c>
      <c r="AA254" s="41">
        <v>1</v>
      </c>
      <c r="AB254" s="41">
        <v>1</v>
      </c>
      <c r="AC254" s="41">
        <v>2</v>
      </c>
      <c r="AE254" s="41" t="str">
        <f>IF(AD254&gt;0,VLOOKUP(AD254,IF({1,0},#REF!,#REF!),2,FALSE),"")</f>
        <v/>
      </c>
    </row>
    <row r="255" spans="1:35" hidden="1">
      <c r="A255" s="41">
        <v>44411</v>
      </c>
      <c r="B255" s="41">
        <v>2</v>
      </c>
      <c r="C255" s="41">
        <v>0</v>
      </c>
      <c r="D255" s="41">
        <v>2</v>
      </c>
      <c r="E255" s="41">
        <v>1</v>
      </c>
      <c r="F255" s="41" t="s">
        <v>72</v>
      </c>
      <c r="G255" s="41">
        <f>IF(F255&gt;0,INDEX(Fish!$D:$D,MATCH(F255,Fish!$L:$L,0)),"")</f>
        <v>11008</v>
      </c>
      <c r="H255" s="41">
        <v>0</v>
      </c>
      <c r="I255" s="41">
        <v>1</v>
      </c>
      <c r="J255" s="41">
        <v>3</v>
      </c>
      <c r="K255" s="41">
        <v>4</v>
      </c>
      <c r="L255" s="41" t="s">
        <v>80</v>
      </c>
      <c r="M255" s="41">
        <f>IF(L255&gt;0,INDEX(Fish!$D:$D,MATCH(L255,Fish!$L:$L,0)),"")</f>
        <v>11011</v>
      </c>
      <c r="N255" s="41">
        <v>0</v>
      </c>
      <c r="O255" s="41">
        <v>1</v>
      </c>
      <c r="P255" s="41">
        <v>2</v>
      </c>
      <c r="Q255" s="41">
        <v>3</v>
      </c>
      <c r="R255" s="41" t="s">
        <v>82</v>
      </c>
      <c r="S255" s="41">
        <f>IF(R255&gt;0,INDEX(Fish!$D:$D,MATCH(R255,Fish!$L:$L,0)),"")</f>
        <v>11012</v>
      </c>
      <c r="T255" s="41">
        <v>0</v>
      </c>
      <c r="U255" s="41">
        <v>1</v>
      </c>
      <c r="V255" s="41">
        <v>2</v>
      </c>
      <c r="W255" s="41">
        <v>3</v>
      </c>
      <c r="X255" s="41" t="s">
        <v>94</v>
      </c>
      <c r="Y255" s="41">
        <f>IF(X255&gt;0,INDEX(Fish!$D:$D,MATCH(X255,Fish!$L:$L,0)),"")</f>
        <v>11020</v>
      </c>
      <c r="Z255" s="41">
        <v>0</v>
      </c>
      <c r="AA255" s="41">
        <v>1</v>
      </c>
      <c r="AB255" s="41">
        <v>1</v>
      </c>
      <c r="AC255" s="41">
        <v>2</v>
      </c>
      <c r="AE255" s="41" t="str">
        <f>IF(AD255&gt;0,VLOOKUP(AD255,IF({1,0},#REF!,#REF!),2,FALSE),"")</f>
        <v/>
      </c>
    </row>
    <row r="256" spans="1:35">
      <c r="A256" s="41">
        <v>44411</v>
      </c>
      <c r="B256" s="41">
        <v>2</v>
      </c>
      <c r="C256" s="41">
        <v>0</v>
      </c>
      <c r="D256" s="41">
        <v>2</v>
      </c>
      <c r="E256" s="41">
        <v>1</v>
      </c>
      <c r="F256" s="41" t="s">
        <v>72</v>
      </c>
      <c r="G256" s="41">
        <f>IF(F256&gt;0,INDEX(Fish!$D:$D,MATCH(F256,Fish!$L:$L,0)),"")</f>
        <v>11008</v>
      </c>
      <c r="H256" s="41">
        <v>0</v>
      </c>
      <c r="I256" s="41">
        <v>1</v>
      </c>
      <c r="J256" s="41">
        <v>3</v>
      </c>
      <c r="K256" s="41">
        <v>4</v>
      </c>
      <c r="L256" s="41" t="s">
        <v>80</v>
      </c>
      <c r="M256" s="41">
        <f>IF(L256&gt;0,INDEX(Fish!$D:$D,MATCH(L256,Fish!$L:$L,0)),"")</f>
        <v>11011</v>
      </c>
      <c r="N256" s="41">
        <v>0</v>
      </c>
      <c r="O256" s="41">
        <v>1</v>
      </c>
      <c r="P256" s="41">
        <v>2</v>
      </c>
      <c r="Q256" s="41">
        <v>3</v>
      </c>
      <c r="R256" s="41" t="s">
        <v>82</v>
      </c>
      <c r="S256" s="41">
        <f>IF(R256&gt;0,INDEX(Fish!$D:$D,MATCH(R256,Fish!$L:$L,0)),"")</f>
        <v>11012</v>
      </c>
      <c r="T256" s="41">
        <v>0</v>
      </c>
      <c r="U256" s="41">
        <v>1</v>
      </c>
      <c r="V256" s="41">
        <v>2</v>
      </c>
      <c r="W256" s="41">
        <v>3</v>
      </c>
      <c r="X256" s="41" t="s">
        <v>84</v>
      </c>
      <c r="Y256" s="41">
        <f>IF(X256&gt;0,INDEX(Fish!$D:$D,MATCH(X256,Fish!$L:$L,0)),"")</f>
        <v>11013</v>
      </c>
      <c r="Z256" s="41">
        <v>0</v>
      </c>
      <c r="AA256" s="41">
        <v>1</v>
      </c>
      <c r="AB256" s="41">
        <v>1</v>
      </c>
      <c r="AC256" s="41">
        <v>2</v>
      </c>
      <c r="AE256" s="41" t="str">
        <f>IF(AD256&gt;0,VLOOKUP(AD256,IF({1,0},#REF!,#REF!),2,FALSE),"")</f>
        <v/>
      </c>
    </row>
    <row r="257" spans="1:31">
      <c r="A257" s="41">
        <v>44411</v>
      </c>
      <c r="B257" s="41">
        <v>2</v>
      </c>
      <c r="C257" s="41">
        <v>0</v>
      </c>
      <c r="D257" s="41">
        <v>2</v>
      </c>
      <c r="E257" s="41">
        <v>1</v>
      </c>
      <c r="F257" s="41" t="s">
        <v>72</v>
      </c>
      <c r="G257" s="41">
        <f>IF(F257&gt;0,INDEX(Fish!$D:$D,MATCH(F257,Fish!$L:$L,0)),"")</f>
        <v>11008</v>
      </c>
      <c r="H257" s="41">
        <v>0</v>
      </c>
      <c r="I257" s="41">
        <v>1</v>
      </c>
      <c r="J257" s="41">
        <v>3</v>
      </c>
      <c r="K257" s="41">
        <v>4</v>
      </c>
      <c r="L257" s="41" t="s">
        <v>78</v>
      </c>
      <c r="M257" s="41">
        <f>IF(L257&gt;0,INDEX(Fish!$D:$D,MATCH(L257,Fish!$L:$L,0)),"")</f>
        <v>11010</v>
      </c>
      <c r="N257" s="41">
        <v>0</v>
      </c>
      <c r="O257" s="41">
        <v>1</v>
      </c>
      <c r="P257" s="41">
        <v>2</v>
      </c>
      <c r="Q257" s="41">
        <v>3</v>
      </c>
      <c r="R257" s="41" t="s">
        <v>92</v>
      </c>
      <c r="S257" s="41">
        <f>IF(R257&gt;0,INDEX(Fish!$D:$D,MATCH(R257,Fish!$L:$L,0)),"")</f>
        <v>11017</v>
      </c>
      <c r="T257" s="41">
        <v>0</v>
      </c>
      <c r="U257" s="41">
        <v>1</v>
      </c>
      <c r="V257" s="41">
        <v>2</v>
      </c>
      <c r="W257" s="41">
        <v>3</v>
      </c>
      <c r="X257" s="41" t="s">
        <v>88</v>
      </c>
      <c r="Y257" s="41">
        <f>IF(X257&gt;0,INDEX(Fish!$D:$D,MATCH(X257,Fish!$L:$L,0)),"")</f>
        <v>11015</v>
      </c>
      <c r="Z257" s="41">
        <v>0</v>
      </c>
      <c r="AA257" s="41">
        <v>1</v>
      </c>
      <c r="AB257" s="41">
        <v>1</v>
      </c>
      <c r="AC257" s="41">
        <v>2</v>
      </c>
      <c r="AE257" s="41" t="str">
        <f>IF(AD257&gt;0,VLOOKUP(AD257,IF({1,0},#REF!,#REF!),2,FALSE),"")</f>
        <v/>
      </c>
    </row>
    <row r="258" spans="1:31" hidden="1">
      <c r="A258" s="41">
        <v>44411</v>
      </c>
      <c r="B258" s="41">
        <v>2</v>
      </c>
      <c r="C258" s="41">
        <v>0</v>
      </c>
      <c r="D258" s="41">
        <v>2</v>
      </c>
      <c r="E258" s="41">
        <v>1</v>
      </c>
      <c r="F258" s="41" t="s">
        <v>72</v>
      </c>
      <c r="G258" s="41">
        <f>IF(F258&gt;0,INDEX(Fish!$D:$D,MATCH(F258,Fish!$L:$L,0)),"")</f>
        <v>11008</v>
      </c>
      <c r="H258" s="41">
        <v>0</v>
      </c>
      <c r="I258" s="41">
        <v>1</v>
      </c>
      <c r="J258" s="41">
        <v>3</v>
      </c>
      <c r="K258" s="41">
        <v>4</v>
      </c>
      <c r="L258" s="41" t="s">
        <v>78</v>
      </c>
      <c r="M258" s="41">
        <f>IF(L258&gt;0,INDEX(Fish!$D:$D,MATCH(L258,Fish!$L:$L,0)),"")</f>
        <v>11010</v>
      </c>
      <c r="N258" s="41">
        <v>0</v>
      </c>
      <c r="O258" s="41">
        <v>1</v>
      </c>
      <c r="P258" s="41">
        <v>2</v>
      </c>
      <c r="Q258" s="41">
        <v>3</v>
      </c>
      <c r="R258" s="41" t="s">
        <v>92</v>
      </c>
      <c r="S258" s="41">
        <f>IF(R258&gt;0,INDEX(Fish!$D:$D,MATCH(R258,Fish!$L:$L,0)),"")</f>
        <v>11017</v>
      </c>
      <c r="T258" s="41">
        <v>0</v>
      </c>
      <c r="U258" s="41">
        <v>1</v>
      </c>
      <c r="V258" s="41">
        <v>2</v>
      </c>
      <c r="W258" s="41">
        <v>3</v>
      </c>
      <c r="X258" s="41" t="s">
        <v>94</v>
      </c>
      <c r="Y258" s="41">
        <f>IF(X258&gt;0,INDEX(Fish!$D:$D,MATCH(X258,Fish!$L:$L,0)),"")</f>
        <v>11020</v>
      </c>
      <c r="Z258" s="41">
        <v>0</v>
      </c>
      <c r="AA258" s="41">
        <v>1</v>
      </c>
      <c r="AB258" s="41">
        <v>1</v>
      </c>
      <c r="AC258" s="41">
        <v>2</v>
      </c>
      <c r="AE258" s="41" t="str">
        <f>IF(AD258&gt;0,VLOOKUP(AD258,IF({1,0},#REF!,#REF!),2,FALSE),"")</f>
        <v/>
      </c>
    </row>
    <row r="259" spans="1:31">
      <c r="A259" s="41">
        <v>44411</v>
      </c>
      <c r="B259" s="41">
        <v>2</v>
      </c>
      <c r="C259" s="41">
        <v>0</v>
      </c>
      <c r="D259" s="41">
        <v>2</v>
      </c>
      <c r="E259" s="41">
        <v>1</v>
      </c>
      <c r="F259" s="41" t="s">
        <v>72</v>
      </c>
      <c r="G259" s="41">
        <f>IF(F259&gt;0,INDEX(Fish!$D:$D,MATCH(F259,Fish!$L:$L,0)),"")</f>
        <v>11008</v>
      </c>
      <c r="H259" s="41">
        <v>0</v>
      </c>
      <c r="I259" s="41">
        <v>1</v>
      </c>
      <c r="J259" s="41">
        <v>3</v>
      </c>
      <c r="K259" s="41">
        <v>4</v>
      </c>
      <c r="L259" s="41" t="s">
        <v>78</v>
      </c>
      <c r="M259" s="41">
        <f>IF(L259&gt;0,INDEX(Fish!$D:$D,MATCH(L259,Fish!$L:$L,0)),"")</f>
        <v>11010</v>
      </c>
      <c r="N259" s="41">
        <v>0</v>
      </c>
      <c r="O259" s="41">
        <v>1</v>
      </c>
      <c r="P259" s="41">
        <v>2</v>
      </c>
      <c r="Q259" s="41">
        <v>3</v>
      </c>
      <c r="R259" s="41" t="s">
        <v>92</v>
      </c>
      <c r="S259" s="41">
        <f>IF(R259&gt;0,INDEX(Fish!$D:$D,MATCH(R259,Fish!$L:$L,0)),"")</f>
        <v>11017</v>
      </c>
      <c r="T259" s="41">
        <v>0</v>
      </c>
      <c r="U259" s="41">
        <v>1</v>
      </c>
      <c r="V259" s="41">
        <v>2</v>
      </c>
      <c r="W259" s="41">
        <v>3</v>
      </c>
      <c r="X259" s="41" t="s">
        <v>84</v>
      </c>
      <c r="Y259" s="41">
        <f>IF(X259&gt;0,INDEX(Fish!$D:$D,MATCH(X259,Fish!$L:$L,0)),"")</f>
        <v>11013</v>
      </c>
      <c r="Z259" s="41">
        <v>0</v>
      </c>
      <c r="AA259" s="41">
        <v>1</v>
      </c>
      <c r="AB259" s="41">
        <v>1</v>
      </c>
      <c r="AC259" s="41">
        <v>2</v>
      </c>
      <c r="AE259" s="41" t="str">
        <f>IF(AD259&gt;0,VLOOKUP(AD259,IF({1,0},#REF!,#REF!),2,FALSE),"")</f>
        <v/>
      </c>
    </row>
    <row r="260" spans="1:31">
      <c r="A260" s="41">
        <v>44411</v>
      </c>
      <c r="B260" s="41">
        <v>2</v>
      </c>
      <c r="C260" s="41">
        <v>0</v>
      </c>
      <c r="D260" s="41">
        <v>2</v>
      </c>
      <c r="E260" s="41">
        <v>1</v>
      </c>
      <c r="F260" s="41" t="s">
        <v>72</v>
      </c>
      <c r="G260" s="41">
        <f>IF(F260&gt;0,INDEX(Fish!$D:$D,MATCH(F260,Fish!$L:$L,0)),"")</f>
        <v>11008</v>
      </c>
      <c r="H260" s="41">
        <v>0</v>
      </c>
      <c r="I260" s="41">
        <v>1</v>
      </c>
      <c r="J260" s="41">
        <v>3</v>
      </c>
      <c r="K260" s="41">
        <v>4</v>
      </c>
      <c r="L260" s="41" t="s">
        <v>78</v>
      </c>
      <c r="M260" s="41">
        <f>IF(L260&gt;0,INDEX(Fish!$D:$D,MATCH(L260,Fish!$L:$L,0)),"")</f>
        <v>11010</v>
      </c>
      <c r="N260" s="41">
        <v>0</v>
      </c>
      <c r="O260" s="41">
        <v>1</v>
      </c>
      <c r="P260" s="41">
        <v>2</v>
      </c>
      <c r="Q260" s="41">
        <v>3</v>
      </c>
      <c r="R260" s="41" t="s">
        <v>82</v>
      </c>
      <c r="S260" s="41">
        <f>IF(R260&gt;0,INDEX(Fish!$D:$D,MATCH(R260,Fish!$L:$L,0)),"")</f>
        <v>11012</v>
      </c>
      <c r="T260" s="41">
        <v>0</v>
      </c>
      <c r="U260" s="41">
        <v>1</v>
      </c>
      <c r="V260" s="41">
        <v>2</v>
      </c>
      <c r="W260" s="41">
        <v>3</v>
      </c>
      <c r="X260" s="41" t="s">
        <v>88</v>
      </c>
      <c r="Y260" s="41">
        <f>IF(X260&gt;0,INDEX(Fish!$D:$D,MATCH(X260,Fish!$L:$L,0)),"")</f>
        <v>11015</v>
      </c>
      <c r="Z260" s="41">
        <v>0</v>
      </c>
      <c r="AA260" s="41">
        <v>1</v>
      </c>
      <c r="AB260" s="41">
        <v>1</v>
      </c>
      <c r="AC260" s="41">
        <v>2</v>
      </c>
      <c r="AE260" s="41" t="str">
        <f>IF(AD260&gt;0,VLOOKUP(AD260,IF({1,0},#REF!,#REF!),2,FALSE),"")</f>
        <v/>
      </c>
    </row>
    <row r="261" spans="1:31" hidden="1">
      <c r="A261" s="41">
        <v>44411</v>
      </c>
      <c r="B261" s="41">
        <v>2</v>
      </c>
      <c r="C261" s="41">
        <v>0</v>
      </c>
      <c r="D261" s="41">
        <v>2</v>
      </c>
      <c r="E261" s="41">
        <v>1</v>
      </c>
      <c r="F261" s="41" t="s">
        <v>72</v>
      </c>
      <c r="G261" s="41">
        <f>IF(F261&gt;0,INDEX(Fish!$D:$D,MATCH(F261,Fish!$L:$L,0)),"")</f>
        <v>11008</v>
      </c>
      <c r="H261" s="41">
        <v>0</v>
      </c>
      <c r="I261" s="41">
        <v>1</v>
      </c>
      <c r="J261" s="41">
        <v>3</v>
      </c>
      <c r="K261" s="41">
        <v>4</v>
      </c>
      <c r="L261" s="41" t="s">
        <v>78</v>
      </c>
      <c r="M261" s="41">
        <f>IF(L261&gt;0,INDEX(Fish!$D:$D,MATCH(L261,Fish!$L:$L,0)),"")</f>
        <v>11010</v>
      </c>
      <c r="N261" s="41">
        <v>0</v>
      </c>
      <c r="O261" s="41">
        <v>1</v>
      </c>
      <c r="P261" s="41">
        <v>2</v>
      </c>
      <c r="Q261" s="41">
        <v>3</v>
      </c>
      <c r="R261" s="41" t="s">
        <v>82</v>
      </c>
      <c r="S261" s="41">
        <f>IF(R261&gt;0,INDEX(Fish!$D:$D,MATCH(R261,Fish!$L:$L,0)),"")</f>
        <v>11012</v>
      </c>
      <c r="T261" s="41">
        <v>0</v>
      </c>
      <c r="U261" s="41">
        <v>1</v>
      </c>
      <c r="V261" s="41">
        <v>2</v>
      </c>
      <c r="W261" s="41">
        <v>3</v>
      </c>
      <c r="X261" s="41" t="s">
        <v>94</v>
      </c>
      <c r="Y261" s="41">
        <f>IF(X261&gt;0,INDEX(Fish!$D:$D,MATCH(X261,Fish!$L:$L,0)),"")</f>
        <v>11020</v>
      </c>
      <c r="Z261" s="41">
        <v>0</v>
      </c>
      <c r="AA261" s="41">
        <v>1</v>
      </c>
      <c r="AB261" s="41">
        <v>1</v>
      </c>
      <c r="AC261" s="41">
        <v>2</v>
      </c>
      <c r="AE261" s="41" t="str">
        <f>IF(AD261&gt;0,VLOOKUP(AD261,IF({1,0},#REF!,#REF!),2,FALSE),"")</f>
        <v/>
      </c>
    </row>
    <row r="262" spans="1:31">
      <c r="A262" s="41">
        <v>44411</v>
      </c>
      <c r="B262" s="41">
        <v>2</v>
      </c>
      <c r="C262" s="41">
        <v>0</v>
      </c>
      <c r="D262" s="41">
        <v>2</v>
      </c>
      <c r="E262" s="41">
        <v>1</v>
      </c>
      <c r="F262" s="41" t="s">
        <v>72</v>
      </c>
      <c r="G262" s="41">
        <f>IF(F262&gt;0,INDEX(Fish!$D:$D,MATCH(F262,Fish!$L:$L,0)),"")</f>
        <v>11008</v>
      </c>
      <c r="H262" s="41">
        <v>0</v>
      </c>
      <c r="I262" s="41">
        <v>1</v>
      </c>
      <c r="J262" s="41">
        <v>3</v>
      </c>
      <c r="K262" s="41">
        <v>4</v>
      </c>
      <c r="L262" s="41" t="s">
        <v>78</v>
      </c>
      <c r="M262" s="41">
        <f>IF(L262&gt;0,INDEX(Fish!$D:$D,MATCH(L262,Fish!$L:$L,0)),"")</f>
        <v>11010</v>
      </c>
      <c r="N262" s="41">
        <v>0</v>
      </c>
      <c r="O262" s="41">
        <v>1</v>
      </c>
      <c r="P262" s="41">
        <v>2</v>
      </c>
      <c r="Q262" s="41">
        <v>3</v>
      </c>
      <c r="R262" s="41" t="s">
        <v>82</v>
      </c>
      <c r="S262" s="41">
        <f>IF(R262&gt;0,INDEX(Fish!$D:$D,MATCH(R262,Fish!$L:$L,0)),"")</f>
        <v>11012</v>
      </c>
      <c r="T262" s="41">
        <v>0</v>
      </c>
      <c r="U262" s="41">
        <v>1</v>
      </c>
      <c r="V262" s="41">
        <v>2</v>
      </c>
      <c r="W262" s="41">
        <v>3</v>
      </c>
      <c r="X262" s="41" t="s">
        <v>84</v>
      </c>
      <c r="Y262" s="41">
        <f>IF(X262&gt;0,INDEX(Fish!$D:$D,MATCH(X262,Fish!$L:$L,0)),"")</f>
        <v>11013</v>
      </c>
      <c r="Z262" s="41">
        <v>0</v>
      </c>
      <c r="AA262" s="41">
        <v>1</v>
      </c>
      <c r="AB262" s="41">
        <v>1</v>
      </c>
      <c r="AC262" s="41">
        <v>2</v>
      </c>
      <c r="AE262" s="41" t="str">
        <f>IF(AD262&gt;0,VLOOKUP(AD262,IF({1,0},#REF!,#REF!),2,FALSE),"")</f>
        <v/>
      </c>
    </row>
    <row r="263" spans="1:31">
      <c r="A263" s="41">
        <v>44411</v>
      </c>
      <c r="B263" s="41">
        <v>2</v>
      </c>
      <c r="C263" s="41">
        <v>0</v>
      </c>
      <c r="D263" s="41">
        <v>2</v>
      </c>
      <c r="E263" s="41">
        <v>1</v>
      </c>
      <c r="F263" s="41" t="s">
        <v>74</v>
      </c>
      <c r="G263" s="41">
        <f>IF(F263&gt;0,INDEX(Fish!$D:$D,MATCH(F263,Fish!$L:$L,0)),"")</f>
        <v>11009</v>
      </c>
      <c r="H263" s="41">
        <v>0</v>
      </c>
      <c r="I263" s="41">
        <v>1</v>
      </c>
      <c r="J263" s="41">
        <v>3</v>
      </c>
      <c r="K263" s="41">
        <v>4</v>
      </c>
      <c r="L263" s="41" t="s">
        <v>80</v>
      </c>
      <c r="M263" s="41">
        <f>IF(L263&gt;0,INDEX(Fish!$D:$D,MATCH(L263,Fish!$L:$L,0)),"")</f>
        <v>11011</v>
      </c>
      <c r="N263" s="41">
        <v>0</v>
      </c>
      <c r="O263" s="41">
        <v>1</v>
      </c>
      <c r="P263" s="41">
        <v>2</v>
      </c>
      <c r="Q263" s="41">
        <v>3</v>
      </c>
      <c r="R263" s="41" t="s">
        <v>92</v>
      </c>
      <c r="S263" s="41">
        <f>IF(R263&gt;0,INDEX(Fish!$D:$D,MATCH(R263,Fish!$L:$L,0)),"")</f>
        <v>11017</v>
      </c>
      <c r="T263" s="41">
        <v>0</v>
      </c>
      <c r="U263" s="41">
        <v>1</v>
      </c>
      <c r="V263" s="41">
        <v>2</v>
      </c>
      <c r="W263" s="41">
        <v>3</v>
      </c>
      <c r="X263" s="41" t="s">
        <v>88</v>
      </c>
      <c r="Y263" s="41">
        <f>IF(X263&gt;0,INDEX(Fish!$D:$D,MATCH(X263,Fish!$L:$L,0)),"")</f>
        <v>11015</v>
      </c>
      <c r="Z263" s="41">
        <v>0</v>
      </c>
      <c r="AA263" s="41">
        <v>1</v>
      </c>
      <c r="AB263" s="41">
        <v>1</v>
      </c>
      <c r="AC263" s="41">
        <v>2</v>
      </c>
      <c r="AE263" s="41" t="str">
        <f>IF(AD263&gt;0,VLOOKUP(AD263,IF({1,0},#REF!,#REF!),2,FALSE),"")</f>
        <v/>
      </c>
    </row>
    <row r="264" spans="1:31">
      <c r="A264" s="41">
        <v>44411</v>
      </c>
      <c r="B264" s="41">
        <v>2</v>
      </c>
      <c r="C264" s="41">
        <v>0</v>
      </c>
      <c r="D264" s="41">
        <v>2</v>
      </c>
      <c r="E264" s="41">
        <v>1</v>
      </c>
      <c r="F264" s="41" t="s">
        <v>74</v>
      </c>
      <c r="G264" s="41">
        <f>IF(F264&gt;0,INDEX(Fish!$D:$D,MATCH(F264,Fish!$L:$L,0)),"")</f>
        <v>11009</v>
      </c>
      <c r="H264" s="41">
        <v>0</v>
      </c>
      <c r="I264" s="41">
        <v>1</v>
      </c>
      <c r="J264" s="41">
        <v>3</v>
      </c>
      <c r="K264" s="41">
        <v>4</v>
      </c>
      <c r="L264" s="41" t="s">
        <v>80</v>
      </c>
      <c r="M264" s="41">
        <f>IF(L264&gt;0,INDEX(Fish!$D:$D,MATCH(L264,Fish!$L:$L,0)),"")</f>
        <v>11011</v>
      </c>
      <c r="N264" s="41">
        <v>0</v>
      </c>
      <c r="O264" s="41">
        <v>1</v>
      </c>
      <c r="P264" s="41">
        <v>2</v>
      </c>
      <c r="Q264" s="41">
        <v>3</v>
      </c>
      <c r="R264" s="41" t="s">
        <v>92</v>
      </c>
      <c r="S264" s="41">
        <f>IF(R264&gt;0,INDEX(Fish!$D:$D,MATCH(R264,Fish!$L:$L,0)),"")</f>
        <v>11017</v>
      </c>
      <c r="T264" s="41">
        <v>0</v>
      </c>
      <c r="U264" s="41">
        <v>1</v>
      </c>
      <c r="V264" s="41">
        <v>2</v>
      </c>
      <c r="W264" s="41">
        <v>3</v>
      </c>
      <c r="X264" s="41" t="s">
        <v>84</v>
      </c>
      <c r="Y264" s="41">
        <f>IF(X264&gt;0,INDEX(Fish!$D:$D,MATCH(X264,Fish!$L:$L,0)),"")</f>
        <v>11013</v>
      </c>
      <c r="Z264" s="41">
        <v>0</v>
      </c>
      <c r="AA264" s="41">
        <v>1</v>
      </c>
      <c r="AB264" s="41">
        <v>1</v>
      </c>
      <c r="AC264" s="41">
        <v>2</v>
      </c>
      <c r="AE264" s="41" t="str">
        <f>IF(AD264&gt;0,VLOOKUP(AD264,IF({1,0},#REF!,#REF!),2,FALSE),"")</f>
        <v/>
      </c>
    </row>
    <row r="265" spans="1:31">
      <c r="A265" s="41">
        <v>44411</v>
      </c>
      <c r="B265" s="41">
        <v>2</v>
      </c>
      <c r="C265" s="41">
        <v>0</v>
      </c>
      <c r="D265" s="41">
        <v>2</v>
      </c>
      <c r="E265" s="41">
        <v>1</v>
      </c>
      <c r="F265" s="41" t="s">
        <v>74</v>
      </c>
      <c r="G265" s="41">
        <f>IF(F265&gt;0,INDEX(Fish!$D:$D,MATCH(F265,Fish!$L:$L,0)),"")</f>
        <v>11009</v>
      </c>
      <c r="H265" s="41">
        <v>0</v>
      </c>
      <c r="I265" s="41">
        <v>1</v>
      </c>
      <c r="J265" s="41">
        <v>3</v>
      </c>
      <c r="K265" s="41">
        <v>4</v>
      </c>
      <c r="L265" s="41" t="s">
        <v>80</v>
      </c>
      <c r="M265" s="41">
        <f>IF(L265&gt;0,INDEX(Fish!$D:$D,MATCH(L265,Fish!$L:$L,0)),"")</f>
        <v>11011</v>
      </c>
      <c r="N265" s="41">
        <v>0</v>
      </c>
      <c r="O265" s="41">
        <v>1</v>
      </c>
      <c r="P265" s="41">
        <v>2</v>
      </c>
      <c r="Q265" s="41">
        <v>3</v>
      </c>
      <c r="R265" s="41" t="s">
        <v>82</v>
      </c>
      <c r="S265" s="41">
        <f>IF(R265&gt;0,INDEX(Fish!$D:$D,MATCH(R265,Fish!$L:$L,0)),"")</f>
        <v>11012</v>
      </c>
      <c r="T265" s="41">
        <v>0</v>
      </c>
      <c r="U265" s="41">
        <v>1</v>
      </c>
      <c r="V265" s="41">
        <v>2</v>
      </c>
      <c r="W265" s="41">
        <v>3</v>
      </c>
      <c r="X265" s="41" t="s">
        <v>88</v>
      </c>
      <c r="Y265" s="41">
        <f>IF(X265&gt;0,INDEX(Fish!$D:$D,MATCH(X265,Fish!$L:$L,0)),"")</f>
        <v>11015</v>
      </c>
      <c r="Z265" s="41">
        <v>0</v>
      </c>
      <c r="AA265" s="41">
        <v>1</v>
      </c>
      <c r="AB265" s="41">
        <v>1</v>
      </c>
      <c r="AC265" s="41">
        <v>2</v>
      </c>
      <c r="AE265" s="41" t="str">
        <f>IF(AD265&gt;0,VLOOKUP(AD265,IF({1,0},#REF!,#REF!),2,FALSE),"")</f>
        <v/>
      </c>
    </row>
    <row r="266" spans="1:31">
      <c r="A266" s="41">
        <v>44411</v>
      </c>
      <c r="B266" s="41">
        <v>2</v>
      </c>
      <c r="C266" s="41">
        <v>0</v>
      </c>
      <c r="D266" s="41">
        <v>2</v>
      </c>
      <c r="E266" s="41">
        <v>1</v>
      </c>
      <c r="F266" s="41" t="s">
        <v>74</v>
      </c>
      <c r="G266" s="41">
        <f>IF(F266&gt;0,INDEX(Fish!$D:$D,MATCH(F266,Fish!$L:$L,0)),"")</f>
        <v>11009</v>
      </c>
      <c r="H266" s="41">
        <v>0</v>
      </c>
      <c r="I266" s="41">
        <v>1</v>
      </c>
      <c r="J266" s="41">
        <v>3</v>
      </c>
      <c r="K266" s="41">
        <v>4</v>
      </c>
      <c r="L266" s="41" t="s">
        <v>80</v>
      </c>
      <c r="M266" s="41">
        <f>IF(L266&gt;0,INDEX(Fish!$D:$D,MATCH(L266,Fish!$L:$L,0)),"")</f>
        <v>11011</v>
      </c>
      <c r="N266" s="41">
        <v>0</v>
      </c>
      <c r="O266" s="41">
        <v>1</v>
      </c>
      <c r="P266" s="41">
        <v>2</v>
      </c>
      <c r="Q266" s="41">
        <v>3</v>
      </c>
      <c r="R266" s="41" t="s">
        <v>82</v>
      </c>
      <c r="S266" s="41">
        <f>IF(R266&gt;0,INDEX(Fish!$D:$D,MATCH(R266,Fish!$L:$L,0)),"")</f>
        <v>11012</v>
      </c>
      <c r="T266" s="41">
        <v>0</v>
      </c>
      <c r="U266" s="41">
        <v>1</v>
      </c>
      <c r="V266" s="41">
        <v>2</v>
      </c>
      <c r="W266" s="41">
        <v>3</v>
      </c>
      <c r="X266" s="41" t="s">
        <v>84</v>
      </c>
      <c r="Y266" s="41">
        <f>IF(X266&gt;0,INDEX(Fish!$D:$D,MATCH(X266,Fish!$L:$L,0)),"")</f>
        <v>11013</v>
      </c>
      <c r="Z266" s="41">
        <v>0</v>
      </c>
      <c r="AA266" s="41">
        <v>1</v>
      </c>
      <c r="AB266" s="41">
        <v>1</v>
      </c>
      <c r="AC266" s="41">
        <v>2</v>
      </c>
      <c r="AE266" s="41" t="str">
        <f>IF(AD266&gt;0,VLOOKUP(AD266,IF({1,0},#REF!,#REF!),2,FALSE),"")</f>
        <v/>
      </c>
    </row>
    <row r="267" spans="1:31">
      <c r="A267" s="41">
        <v>44411</v>
      </c>
      <c r="B267" s="41">
        <v>2</v>
      </c>
      <c r="C267" s="41">
        <v>0</v>
      </c>
      <c r="D267" s="41">
        <v>2</v>
      </c>
      <c r="E267" s="41">
        <v>1</v>
      </c>
      <c r="F267" s="41" t="s">
        <v>74</v>
      </c>
      <c r="G267" s="41">
        <f>IF(F267&gt;0,INDEX(Fish!$D:$D,MATCH(F267,Fish!$L:$L,0)),"")</f>
        <v>11009</v>
      </c>
      <c r="H267" s="41">
        <v>0</v>
      </c>
      <c r="I267" s="41">
        <v>1</v>
      </c>
      <c r="J267" s="41">
        <v>3</v>
      </c>
      <c r="K267" s="41">
        <v>4</v>
      </c>
      <c r="L267" s="41" t="s">
        <v>78</v>
      </c>
      <c r="M267" s="41">
        <f>IF(L267&gt;0,INDEX(Fish!$D:$D,MATCH(L267,Fish!$L:$L,0)),"")</f>
        <v>11010</v>
      </c>
      <c r="N267" s="41">
        <v>0</v>
      </c>
      <c r="O267" s="41">
        <v>1</v>
      </c>
      <c r="P267" s="41">
        <v>2</v>
      </c>
      <c r="Q267" s="41">
        <v>3</v>
      </c>
      <c r="R267" s="41" t="s">
        <v>92</v>
      </c>
      <c r="S267" s="41">
        <f>IF(R267&gt;0,INDEX(Fish!$D:$D,MATCH(R267,Fish!$L:$L,0)),"")</f>
        <v>11017</v>
      </c>
      <c r="T267" s="41">
        <v>0</v>
      </c>
      <c r="U267" s="41">
        <v>1</v>
      </c>
      <c r="V267" s="41">
        <v>2</v>
      </c>
      <c r="W267" s="41">
        <v>3</v>
      </c>
      <c r="X267" s="41" t="s">
        <v>88</v>
      </c>
      <c r="Y267" s="41">
        <f>IF(X267&gt;0,INDEX(Fish!$D:$D,MATCH(X267,Fish!$L:$L,0)),"")</f>
        <v>11015</v>
      </c>
      <c r="Z267" s="41">
        <v>0</v>
      </c>
      <c r="AA267" s="41">
        <v>1</v>
      </c>
      <c r="AB267" s="41">
        <v>1</v>
      </c>
      <c r="AC267" s="41">
        <v>2</v>
      </c>
      <c r="AE267" s="41" t="str">
        <f>IF(AD267&gt;0,VLOOKUP(AD267,IF({1,0},#REF!,#REF!),2,FALSE),"")</f>
        <v/>
      </c>
    </row>
    <row r="268" spans="1:31">
      <c r="A268" s="41">
        <v>44411</v>
      </c>
      <c r="B268" s="41">
        <v>2</v>
      </c>
      <c r="C268" s="41">
        <v>0</v>
      </c>
      <c r="D268" s="41">
        <v>2</v>
      </c>
      <c r="E268" s="41">
        <v>1</v>
      </c>
      <c r="F268" s="41" t="s">
        <v>74</v>
      </c>
      <c r="G268" s="41">
        <f>IF(F268&gt;0,INDEX(Fish!$D:$D,MATCH(F268,Fish!$L:$L,0)),"")</f>
        <v>11009</v>
      </c>
      <c r="H268" s="41">
        <v>0</v>
      </c>
      <c r="I268" s="41">
        <v>1</v>
      </c>
      <c r="J268" s="41">
        <v>3</v>
      </c>
      <c r="K268" s="41">
        <v>4</v>
      </c>
      <c r="L268" s="41" t="s">
        <v>78</v>
      </c>
      <c r="M268" s="41">
        <f>IF(L268&gt;0,INDEX(Fish!$D:$D,MATCH(L268,Fish!$L:$L,0)),"")</f>
        <v>11010</v>
      </c>
      <c r="N268" s="41">
        <v>0</v>
      </c>
      <c r="O268" s="41">
        <v>1</v>
      </c>
      <c r="P268" s="41">
        <v>2</v>
      </c>
      <c r="Q268" s="41">
        <v>3</v>
      </c>
      <c r="R268" s="41" t="s">
        <v>92</v>
      </c>
      <c r="S268" s="41">
        <f>IF(R268&gt;0,INDEX(Fish!$D:$D,MATCH(R268,Fish!$L:$L,0)),"")</f>
        <v>11017</v>
      </c>
      <c r="T268" s="41">
        <v>0</v>
      </c>
      <c r="U268" s="41">
        <v>1</v>
      </c>
      <c r="V268" s="41">
        <v>2</v>
      </c>
      <c r="W268" s="41">
        <v>3</v>
      </c>
      <c r="X268" s="41" t="s">
        <v>84</v>
      </c>
      <c r="Y268" s="41">
        <f>IF(X268&gt;0,INDEX(Fish!$D:$D,MATCH(X268,Fish!$L:$L,0)),"")</f>
        <v>11013</v>
      </c>
      <c r="Z268" s="41">
        <v>0</v>
      </c>
      <c r="AA268" s="41">
        <v>1</v>
      </c>
      <c r="AB268" s="41">
        <v>1</v>
      </c>
      <c r="AC268" s="41">
        <v>2</v>
      </c>
      <c r="AE268" s="41" t="str">
        <f>IF(AD268&gt;0,VLOOKUP(AD268,IF({1,0},#REF!,#REF!),2,FALSE),"")</f>
        <v/>
      </c>
    </row>
    <row r="269" spans="1:31">
      <c r="A269" s="41">
        <v>44411</v>
      </c>
      <c r="B269" s="41">
        <v>2</v>
      </c>
      <c r="C269" s="41">
        <v>0</v>
      </c>
      <c r="D269" s="41">
        <v>2</v>
      </c>
      <c r="E269" s="41">
        <v>1</v>
      </c>
      <c r="F269" s="41" t="s">
        <v>74</v>
      </c>
      <c r="G269" s="41">
        <f>IF(F269&gt;0,INDEX(Fish!$D:$D,MATCH(F269,Fish!$L:$L,0)),"")</f>
        <v>11009</v>
      </c>
      <c r="H269" s="41">
        <v>0</v>
      </c>
      <c r="I269" s="41">
        <v>1</v>
      </c>
      <c r="J269" s="41">
        <v>3</v>
      </c>
      <c r="K269" s="41">
        <v>4</v>
      </c>
      <c r="L269" s="41" t="s">
        <v>78</v>
      </c>
      <c r="M269" s="41">
        <f>IF(L269&gt;0,INDEX(Fish!$D:$D,MATCH(L269,Fish!$L:$L,0)),"")</f>
        <v>11010</v>
      </c>
      <c r="N269" s="41">
        <v>0</v>
      </c>
      <c r="O269" s="41">
        <v>1</v>
      </c>
      <c r="P269" s="41">
        <v>2</v>
      </c>
      <c r="Q269" s="41">
        <v>3</v>
      </c>
      <c r="R269" s="41" t="s">
        <v>82</v>
      </c>
      <c r="S269" s="41">
        <f>IF(R269&gt;0,INDEX(Fish!$D:$D,MATCH(R269,Fish!$L:$L,0)),"")</f>
        <v>11012</v>
      </c>
      <c r="T269" s="41">
        <v>0</v>
      </c>
      <c r="U269" s="41">
        <v>1</v>
      </c>
      <c r="V269" s="41">
        <v>2</v>
      </c>
      <c r="W269" s="41">
        <v>3</v>
      </c>
      <c r="X269" s="41" t="s">
        <v>88</v>
      </c>
      <c r="Y269" s="41">
        <f>IF(X269&gt;0,INDEX(Fish!$D:$D,MATCH(X269,Fish!$L:$L,0)),"")</f>
        <v>11015</v>
      </c>
      <c r="Z269" s="41">
        <v>0</v>
      </c>
      <c r="AA269" s="41">
        <v>1</v>
      </c>
      <c r="AB269" s="41">
        <v>1</v>
      </c>
      <c r="AC269" s="41">
        <v>2</v>
      </c>
      <c r="AE269" s="41" t="str">
        <f>IF(AD269&gt;0,VLOOKUP(AD269,IF({1,0},#REF!,#REF!),2,FALSE),"")</f>
        <v/>
      </c>
    </row>
    <row r="270" spans="1:31">
      <c r="A270" s="41">
        <v>44411</v>
      </c>
      <c r="B270" s="41">
        <v>2</v>
      </c>
      <c r="C270" s="41">
        <v>0</v>
      </c>
      <c r="D270" s="41">
        <v>2</v>
      </c>
      <c r="E270" s="41">
        <v>1</v>
      </c>
      <c r="F270" s="41" t="s">
        <v>74</v>
      </c>
      <c r="G270" s="41">
        <f>IF(F270&gt;0,INDEX(Fish!$D:$D,MATCH(F270,Fish!$L:$L,0)),"")</f>
        <v>11009</v>
      </c>
      <c r="H270" s="41">
        <v>0</v>
      </c>
      <c r="I270" s="41">
        <v>1</v>
      </c>
      <c r="J270" s="41">
        <v>3</v>
      </c>
      <c r="K270" s="41">
        <v>4</v>
      </c>
      <c r="L270" s="41" t="s">
        <v>78</v>
      </c>
      <c r="M270" s="41">
        <f>IF(L270&gt;0,INDEX(Fish!$D:$D,MATCH(L270,Fish!$L:$L,0)),"")</f>
        <v>11010</v>
      </c>
      <c r="N270" s="41">
        <v>0</v>
      </c>
      <c r="O270" s="41">
        <v>1</v>
      </c>
      <c r="P270" s="41">
        <v>2</v>
      </c>
      <c r="Q270" s="41">
        <v>3</v>
      </c>
      <c r="R270" s="41" t="s">
        <v>82</v>
      </c>
      <c r="S270" s="41">
        <f>IF(R270&gt;0,INDEX(Fish!$D:$D,MATCH(R270,Fish!$L:$L,0)),"")</f>
        <v>11012</v>
      </c>
      <c r="T270" s="41">
        <v>0</v>
      </c>
      <c r="U270" s="41">
        <v>1</v>
      </c>
      <c r="V270" s="41">
        <v>2</v>
      </c>
      <c r="W270" s="41">
        <v>3</v>
      </c>
      <c r="X270" s="41" t="s">
        <v>84</v>
      </c>
      <c r="Y270" s="41">
        <f>IF(X270&gt;0,INDEX(Fish!$D:$D,MATCH(X270,Fish!$L:$L,0)),"")</f>
        <v>11013</v>
      </c>
      <c r="Z270" s="41">
        <v>0</v>
      </c>
      <c r="AA270" s="41">
        <v>1</v>
      </c>
      <c r="AB270" s="41">
        <v>1</v>
      </c>
      <c r="AC270" s="41">
        <v>2</v>
      </c>
      <c r="AE270" s="41" t="str">
        <f>IF(AD270&gt;0,VLOOKUP(AD270,IF({1,0},#REF!,#REF!),2,FALSE),"")</f>
        <v/>
      </c>
    </row>
    <row r="271" spans="1:31" ht="18.75">
      <c r="A271" s="41">
        <v>44411</v>
      </c>
      <c r="B271" s="41">
        <v>2</v>
      </c>
      <c r="C271" s="41">
        <v>0</v>
      </c>
      <c r="D271" s="41">
        <v>3</v>
      </c>
      <c r="E271" s="41">
        <v>2</v>
      </c>
      <c r="F271" s="41" t="s">
        <v>98</v>
      </c>
      <c r="G271" s="41">
        <f>IF(F271&gt;0,INDEX(Fish!$D:$D,MATCH(F271,Fish!$L:$L,0)),"")</f>
        <v>11090</v>
      </c>
      <c r="H271" s="41">
        <v>55000</v>
      </c>
      <c r="I271" s="41">
        <v>1</v>
      </c>
      <c r="J271" s="41">
        <v>1</v>
      </c>
      <c r="K271" s="41">
        <v>1</v>
      </c>
      <c r="L271" s="45" t="s">
        <v>100</v>
      </c>
      <c r="M271" s="41">
        <f>IF(L271&gt;0,INDEX(Fish!$D:$D,MATCH(L271,Fish!$L:$L,0)),"")</f>
        <v>11025</v>
      </c>
      <c r="N271" s="41">
        <v>45000</v>
      </c>
      <c r="O271" s="41">
        <v>1</v>
      </c>
      <c r="P271" s="41">
        <v>1</v>
      </c>
      <c r="Q271" s="41">
        <v>1</v>
      </c>
      <c r="S271" s="41" t="str">
        <f>IF(R271&gt;0,INDEX(Fish!$D:$D,MATCH(R271,Fish!$L:$L,0)),"")</f>
        <v/>
      </c>
      <c r="Y271" s="41" t="str">
        <f>IF(X271&gt;0,INDEX(Fish!$D:$D,MATCH(X271,Fish!$L:$L,0)),"")</f>
        <v/>
      </c>
      <c r="AE271" s="41" t="str">
        <f>IF(AD271&gt;0,VLOOKUP(AD271,IF({1,0},#REF!,#REF!),2,FALSE),"")</f>
        <v/>
      </c>
    </row>
    <row r="272" spans="1:31" ht="20.25">
      <c r="A272" s="41">
        <v>44411</v>
      </c>
      <c r="B272" s="41">
        <v>2</v>
      </c>
      <c r="C272" s="41">
        <v>0</v>
      </c>
      <c r="D272" s="41">
        <v>4</v>
      </c>
      <c r="E272" s="41">
        <v>2</v>
      </c>
      <c r="F272" s="41" t="s">
        <v>346</v>
      </c>
      <c r="G272" s="41">
        <f>IF(F272&gt;0,INDEX(Fish!$D:$D,MATCH(F272,Fish!$L:$L,0)),"")</f>
        <v>11018</v>
      </c>
      <c r="H272" s="41">
        <v>30000</v>
      </c>
      <c r="I272" s="41">
        <v>1</v>
      </c>
      <c r="J272" s="41">
        <v>1</v>
      </c>
      <c r="K272" s="41">
        <v>2</v>
      </c>
      <c r="L272" s="41" t="s">
        <v>356</v>
      </c>
      <c r="M272" s="41">
        <f>IF(L272&gt;0,INDEX(Fish!$D:$D,MATCH(L272,Fish!$L:$L,0)),"")</f>
        <v>11214</v>
      </c>
      <c r="N272" s="41">
        <v>30000</v>
      </c>
      <c r="O272" s="41">
        <v>1</v>
      </c>
      <c r="P272" s="41">
        <v>1</v>
      </c>
      <c r="Q272" s="41">
        <v>2</v>
      </c>
      <c r="R272" s="41" t="s">
        <v>350</v>
      </c>
      <c r="S272" s="41">
        <f>IF(R272&gt;0,INDEX(Fish!$D:$D,MATCH(R272,Fish!$L:$L,0)),"")</f>
        <v>11021</v>
      </c>
      <c r="T272" s="41">
        <v>25000</v>
      </c>
      <c r="U272" s="41">
        <v>1</v>
      </c>
      <c r="V272" s="41">
        <v>1</v>
      </c>
      <c r="W272" s="41">
        <v>2</v>
      </c>
      <c r="X272" s="44" t="s">
        <v>348</v>
      </c>
      <c r="Y272" s="41">
        <f>IF(X272&gt;0,INDEX(Fish!$D:$D,MATCH(X272,Fish!$L:$L,0)),"")</f>
        <v>11092</v>
      </c>
      <c r="Z272" s="41">
        <v>15000</v>
      </c>
      <c r="AA272" s="41">
        <v>1</v>
      </c>
      <c r="AB272" s="41">
        <v>1</v>
      </c>
      <c r="AC272" s="41">
        <v>2</v>
      </c>
      <c r="AE272" s="41" t="str">
        <f>IF(AD272&gt;0,VLOOKUP(AD272,IF({1,0},#REF!,#REF!),2,FALSE),"")</f>
        <v/>
      </c>
    </row>
    <row r="273" spans="1:35">
      <c r="A273" s="41">
        <v>44411</v>
      </c>
      <c r="B273" s="41">
        <v>2</v>
      </c>
      <c r="C273" s="41">
        <v>0</v>
      </c>
      <c r="D273" s="41">
        <v>5</v>
      </c>
      <c r="E273" s="41">
        <v>2</v>
      </c>
      <c r="F273" s="41" t="s">
        <v>117</v>
      </c>
      <c r="G273" s="41">
        <f>IF(F273&gt;0,INDEX(Fish!$D:$D,MATCH(F273,Fish!$L:$L,0)),"")</f>
        <v>14009</v>
      </c>
      <c r="H273" s="41">
        <v>38000</v>
      </c>
      <c r="I273" s="41">
        <v>1</v>
      </c>
      <c r="J273" s="41">
        <v>1</v>
      </c>
      <c r="K273" s="41">
        <v>1</v>
      </c>
      <c r="L273" s="41" t="s">
        <v>118</v>
      </c>
      <c r="M273" s="41">
        <f>IF(L273&gt;0,INDEX(Fish!$D:$D,MATCH(L273,Fish!$L:$L,0)),"")</f>
        <v>14011</v>
      </c>
      <c r="N273" s="41">
        <v>29000</v>
      </c>
      <c r="O273" s="41">
        <v>1</v>
      </c>
      <c r="P273" s="41">
        <v>1</v>
      </c>
      <c r="Q273" s="41">
        <v>1</v>
      </c>
      <c r="R273" s="41" t="s">
        <v>120</v>
      </c>
      <c r="S273" s="41">
        <f>IF(R273&gt;0,INDEX(Fish!$D:$D,MATCH(R273,Fish!$L:$L,0)),"")</f>
        <v>14015</v>
      </c>
      <c r="T273" s="41">
        <v>18000</v>
      </c>
      <c r="U273" s="41">
        <v>1</v>
      </c>
      <c r="V273" s="41">
        <v>1</v>
      </c>
      <c r="W273" s="41">
        <v>1</v>
      </c>
      <c r="X273" s="41" t="s">
        <v>121</v>
      </c>
      <c r="Y273" s="41">
        <f>IF(X273&gt;0,INDEX(Fish!$D:$D,MATCH(X273,Fish!$L:$L,0)),"")</f>
        <v>14020</v>
      </c>
      <c r="Z273" s="41">
        <v>15000</v>
      </c>
      <c r="AA273" s="41">
        <v>1</v>
      </c>
      <c r="AB273" s="41">
        <v>1</v>
      </c>
      <c r="AC273" s="41">
        <v>1</v>
      </c>
      <c r="AE273" s="41" t="str">
        <f>IF(AD273&gt;0,VLOOKUP(AD273,IF({1,0},#REF!,#REF!),2,FALSE),"")</f>
        <v/>
      </c>
    </row>
    <row r="274" spans="1:35">
      <c r="A274" s="41">
        <v>44412</v>
      </c>
      <c r="B274" s="41">
        <v>2</v>
      </c>
      <c r="C274" s="41">
        <v>10</v>
      </c>
      <c r="D274" s="41">
        <v>1</v>
      </c>
      <c r="E274" s="41">
        <v>1</v>
      </c>
      <c r="F274" s="41" t="s">
        <v>58</v>
      </c>
      <c r="G274" s="41">
        <f>IF(F274&gt;0,INDEX(Fish!$D:$D,MATCH(F274,Fish!$L:$L,0)),"")</f>
        <v>11001</v>
      </c>
      <c r="H274" s="41">
        <v>0</v>
      </c>
      <c r="I274" s="41">
        <v>4</v>
      </c>
      <c r="J274" s="41">
        <v>8</v>
      </c>
      <c r="K274" s="41">
        <v>10</v>
      </c>
      <c r="L274" s="41" t="s">
        <v>62</v>
      </c>
      <c r="M274" s="41">
        <f>IF(L274&gt;0,INDEX(Fish!$D:$D,MATCH(L274,Fish!$L:$L,0)),"")</f>
        <v>11003</v>
      </c>
      <c r="N274" s="41">
        <v>0</v>
      </c>
      <c r="O274" s="41">
        <v>3</v>
      </c>
      <c r="P274" s="41">
        <v>8</v>
      </c>
      <c r="Q274" s="41">
        <v>10</v>
      </c>
      <c r="S274" s="41" t="str">
        <f>IF(R274&gt;0,INDEX(Fish!$D:$D,MATCH(R274,Fish!$L:$L,0)),"")</f>
        <v/>
      </c>
      <c r="Y274" s="41" t="str">
        <f>IF(X274&gt;0,INDEX(Fish!$D:$D,MATCH(X274,Fish!$L:$L,0)),"")</f>
        <v/>
      </c>
      <c r="AE274" s="41" t="str">
        <f>IF(AD274&gt;0,VLOOKUP(AD274,IF({1,0},#REF!,#REF!),2,FALSE),"")</f>
        <v/>
      </c>
    </row>
    <row r="275" spans="1:35">
      <c r="A275" s="41">
        <v>44412</v>
      </c>
      <c r="B275" s="41">
        <v>2</v>
      </c>
      <c r="C275" s="41">
        <v>10</v>
      </c>
      <c r="D275" s="41">
        <v>1</v>
      </c>
      <c r="E275" s="41">
        <v>1</v>
      </c>
      <c r="F275" s="41" t="s">
        <v>58</v>
      </c>
      <c r="G275" s="41">
        <f>IF(F275&gt;0,INDEX(Fish!$D:$D,MATCH(F275,Fish!$L:$L,0)),"")</f>
        <v>11001</v>
      </c>
      <c r="H275" s="41">
        <v>0</v>
      </c>
      <c r="I275" s="41">
        <v>4</v>
      </c>
      <c r="J275" s="41">
        <v>8</v>
      </c>
      <c r="K275" s="41">
        <v>10</v>
      </c>
      <c r="L275" s="41" t="s">
        <v>64</v>
      </c>
      <c r="M275" s="41">
        <f>IF(L275&gt;0,INDEX(Fish!$D:$D,MATCH(L275,Fish!$L:$L,0)),"")</f>
        <v>11004</v>
      </c>
      <c r="N275" s="41">
        <v>0</v>
      </c>
      <c r="O275" s="41">
        <v>3</v>
      </c>
      <c r="P275" s="41">
        <v>8</v>
      </c>
      <c r="Q275" s="41">
        <v>10</v>
      </c>
      <c r="S275" s="41" t="str">
        <f>IF(R275&gt;0,INDEX(Fish!$D:$D,MATCH(R275,Fish!$L:$L,0)),"")</f>
        <v/>
      </c>
      <c r="Y275" s="41" t="str">
        <f>IF(X275&gt;0,INDEX(Fish!$D:$D,MATCH(X275,Fish!$L:$L,0)),"")</f>
        <v/>
      </c>
      <c r="AE275" s="41" t="str">
        <f>IF(AD275&gt;0,VLOOKUP(AD275,IF({1,0},#REF!,#REF!),2,FALSE),"")</f>
        <v/>
      </c>
    </row>
    <row r="276" spans="1:35">
      <c r="A276" s="41">
        <v>44412</v>
      </c>
      <c r="B276" s="41">
        <v>2</v>
      </c>
      <c r="C276" s="41">
        <v>10</v>
      </c>
      <c r="D276" s="41">
        <v>1</v>
      </c>
      <c r="E276" s="41">
        <v>1</v>
      </c>
      <c r="F276" s="41" t="s">
        <v>60</v>
      </c>
      <c r="G276" s="41">
        <f>IF(F276&gt;0,INDEX(Fish!$D:$D,MATCH(F276,Fish!$L:$L,0)),"")</f>
        <v>11002</v>
      </c>
      <c r="H276" s="41">
        <v>0</v>
      </c>
      <c r="I276" s="41">
        <v>4</v>
      </c>
      <c r="J276" s="41">
        <v>8</v>
      </c>
      <c r="K276" s="41">
        <v>10</v>
      </c>
      <c r="L276" s="41" t="s">
        <v>62</v>
      </c>
      <c r="M276" s="41">
        <f>IF(L276&gt;0,INDEX(Fish!$D:$D,MATCH(L276,Fish!$L:$L,0)),"")</f>
        <v>11003</v>
      </c>
      <c r="N276" s="41">
        <v>0</v>
      </c>
      <c r="O276" s="41">
        <v>3</v>
      </c>
      <c r="P276" s="41">
        <v>8</v>
      </c>
      <c r="Q276" s="41">
        <v>10</v>
      </c>
      <c r="S276" s="41" t="str">
        <f>IF(R276&gt;0,INDEX(Fish!$D:$D,MATCH(R276,Fish!$L:$L,0)),"")</f>
        <v/>
      </c>
      <c r="Y276" s="41" t="str">
        <f>IF(X276&gt;0,INDEX(Fish!$D:$D,MATCH(X276,Fish!$L:$L,0)),"")</f>
        <v/>
      </c>
      <c r="AE276" s="41" t="str">
        <f>IF(AD276&gt;0,VLOOKUP(AD276,IF({1,0},#REF!,#REF!),2,FALSE),"")</f>
        <v/>
      </c>
    </row>
    <row r="277" spans="1:35">
      <c r="A277" s="41">
        <v>44412</v>
      </c>
      <c r="B277" s="41">
        <v>2</v>
      </c>
      <c r="C277" s="41">
        <v>10</v>
      </c>
      <c r="D277" s="41">
        <v>1</v>
      </c>
      <c r="E277" s="41">
        <v>1</v>
      </c>
      <c r="F277" s="41" t="s">
        <v>60</v>
      </c>
      <c r="G277" s="41">
        <f>IF(F277&gt;0,INDEX(Fish!$D:$D,MATCH(F277,Fish!$L:$L,0)),"")</f>
        <v>11002</v>
      </c>
      <c r="H277" s="41">
        <v>0</v>
      </c>
      <c r="I277" s="41">
        <v>4</v>
      </c>
      <c r="J277" s="41">
        <v>8</v>
      </c>
      <c r="K277" s="41">
        <v>10</v>
      </c>
      <c r="L277" s="41" t="s">
        <v>64</v>
      </c>
      <c r="M277" s="41">
        <f>IF(L277&gt;0,INDEX(Fish!$D:$D,MATCH(L277,Fish!$L:$L,0)),"")</f>
        <v>11004</v>
      </c>
      <c r="N277" s="41">
        <v>0</v>
      </c>
      <c r="O277" s="41">
        <v>3</v>
      </c>
      <c r="P277" s="41">
        <v>8</v>
      </c>
      <c r="Q277" s="41">
        <v>10</v>
      </c>
      <c r="S277" s="41" t="str">
        <f>IF(R277&gt;0,INDEX(Fish!$D:$D,MATCH(R277,Fish!$L:$L,0)),"")</f>
        <v/>
      </c>
      <c r="Y277" s="41" t="str">
        <f>IF(X277&gt;0,INDEX(Fish!$D:$D,MATCH(X277,Fish!$L:$L,0)),"")</f>
        <v/>
      </c>
      <c r="AE277" s="41" t="str">
        <f>IF(AD277&gt;0,VLOOKUP(AD277,IF({1,0},#REF!,#REF!),2,FALSE),"")</f>
        <v/>
      </c>
    </row>
    <row r="278" spans="1:35">
      <c r="A278" s="41">
        <v>44412</v>
      </c>
      <c r="B278" s="41">
        <v>4</v>
      </c>
      <c r="C278" s="41">
        <v>0</v>
      </c>
      <c r="D278" s="41">
        <v>2</v>
      </c>
      <c r="E278" s="41">
        <v>1</v>
      </c>
      <c r="F278" s="41" t="s">
        <v>72</v>
      </c>
      <c r="G278" s="41">
        <f>IF(F278&gt;0,INDEX(Fish!$D:$D,MATCH(F278,Fish!$L:$L,0)),"")</f>
        <v>11008</v>
      </c>
      <c r="H278" s="41">
        <v>0</v>
      </c>
      <c r="I278" s="41">
        <v>1</v>
      </c>
      <c r="J278" s="41">
        <v>3</v>
      </c>
      <c r="K278" s="41">
        <v>4</v>
      </c>
      <c r="L278" s="41" t="s">
        <v>80</v>
      </c>
      <c r="M278" s="41">
        <f>IF(L278&gt;0,INDEX(Fish!$D:$D,MATCH(L278,Fish!$L:$L,0)),"")</f>
        <v>11011</v>
      </c>
      <c r="N278" s="41">
        <v>0</v>
      </c>
      <c r="O278" s="41">
        <v>1</v>
      </c>
      <c r="P278" s="41">
        <v>2</v>
      </c>
      <c r="Q278" s="41">
        <v>3</v>
      </c>
      <c r="R278" s="41" t="s">
        <v>92</v>
      </c>
      <c r="S278" s="41">
        <f>IF(R278&gt;0,INDEX(Fish!$D:$D,MATCH(R278,Fish!$L:$L,0)),"")</f>
        <v>11017</v>
      </c>
      <c r="T278" s="41">
        <v>0</v>
      </c>
      <c r="U278" s="41">
        <v>1</v>
      </c>
      <c r="V278" s="41">
        <v>1</v>
      </c>
      <c r="W278" s="41">
        <v>2</v>
      </c>
      <c r="X278" s="41" t="s">
        <v>88</v>
      </c>
      <c r="Y278" s="41">
        <f>IF(X278&gt;0,INDEX(Fish!$D:$D,MATCH(X278,Fish!$L:$L,0)),"")</f>
        <v>11015</v>
      </c>
      <c r="Z278" s="41">
        <v>0</v>
      </c>
      <c r="AA278" s="41">
        <v>1</v>
      </c>
      <c r="AB278" s="41">
        <v>1</v>
      </c>
      <c r="AC278" s="41">
        <v>2</v>
      </c>
      <c r="AD278" s="41" t="s">
        <v>84</v>
      </c>
      <c r="AE278" s="41">
        <f>IF(AD278&gt;0,INDEX(Fish!$D:$D,MATCH(AD278,Fish!$L:$L,0)),"")</f>
        <v>11013</v>
      </c>
      <c r="AF278" s="41">
        <v>0</v>
      </c>
      <c r="AG278" s="41">
        <v>1</v>
      </c>
      <c r="AH278" s="41">
        <v>1</v>
      </c>
      <c r="AI278" s="41">
        <v>1</v>
      </c>
    </row>
    <row r="279" spans="1:35">
      <c r="A279" s="41">
        <v>44412</v>
      </c>
      <c r="B279" s="41">
        <v>4</v>
      </c>
      <c r="C279" s="41">
        <v>0</v>
      </c>
      <c r="D279" s="41">
        <v>2</v>
      </c>
      <c r="E279" s="41">
        <v>1</v>
      </c>
      <c r="F279" s="41" t="s">
        <v>72</v>
      </c>
      <c r="G279" s="41">
        <f>IF(F279&gt;0,INDEX(Fish!$D:$D,MATCH(F279,Fish!$L:$L,0)),"")</f>
        <v>11008</v>
      </c>
      <c r="H279" s="41">
        <v>0</v>
      </c>
      <c r="I279" s="41">
        <v>1</v>
      </c>
      <c r="J279" s="41">
        <v>3</v>
      </c>
      <c r="K279" s="41">
        <v>4</v>
      </c>
      <c r="L279" s="41" t="s">
        <v>80</v>
      </c>
      <c r="M279" s="41">
        <f>IF(L279&gt;0,INDEX(Fish!$D:$D,MATCH(L279,Fish!$L:$L,0)),"")</f>
        <v>11011</v>
      </c>
      <c r="N279" s="41">
        <v>0</v>
      </c>
      <c r="O279" s="41">
        <v>1</v>
      </c>
      <c r="P279" s="41">
        <v>2</v>
      </c>
      <c r="Q279" s="41">
        <v>3</v>
      </c>
      <c r="R279" s="41" t="s">
        <v>92</v>
      </c>
      <c r="S279" s="41">
        <f>IF(R279&gt;0,INDEX(Fish!$D:$D,MATCH(R279,Fish!$L:$L,0)),"")</f>
        <v>11017</v>
      </c>
      <c r="T279" s="41">
        <v>0</v>
      </c>
      <c r="U279" s="41">
        <v>1</v>
      </c>
      <c r="V279" s="41">
        <v>1</v>
      </c>
      <c r="W279" s="41">
        <v>2</v>
      </c>
      <c r="X279" s="41" t="s">
        <v>88</v>
      </c>
      <c r="Y279" s="41">
        <f>IF(X279&gt;0,INDEX(Fish!$D:$D,MATCH(X279,Fish!$L:$L,0)),"")</f>
        <v>11015</v>
      </c>
      <c r="Z279" s="41">
        <v>0</v>
      </c>
      <c r="AA279" s="41">
        <v>1</v>
      </c>
      <c r="AB279" s="41">
        <v>1</v>
      </c>
      <c r="AC279" s="41">
        <v>2</v>
      </c>
      <c r="AD279" s="41" t="s">
        <v>90</v>
      </c>
      <c r="AE279" s="41">
        <f>IF(AD279&gt;0,INDEX(Fish!$D:$D,MATCH(AD279,Fish!$L:$L,0)),"")</f>
        <v>11016</v>
      </c>
      <c r="AF279" s="41">
        <v>0</v>
      </c>
      <c r="AG279" s="41">
        <v>1</v>
      </c>
      <c r="AH279" s="41">
        <v>1</v>
      </c>
      <c r="AI279" s="41">
        <v>1</v>
      </c>
    </row>
    <row r="280" spans="1:35">
      <c r="A280" s="41">
        <v>44412</v>
      </c>
      <c r="B280" s="41">
        <v>4</v>
      </c>
      <c r="C280" s="41">
        <v>0</v>
      </c>
      <c r="D280" s="41">
        <v>2</v>
      </c>
      <c r="E280" s="41">
        <v>1</v>
      </c>
      <c r="F280" s="41" t="s">
        <v>72</v>
      </c>
      <c r="G280" s="41">
        <f>IF(F280&gt;0,INDEX(Fish!$D:$D,MATCH(F280,Fish!$L:$L,0)),"")</f>
        <v>11008</v>
      </c>
      <c r="H280" s="41">
        <v>0</v>
      </c>
      <c r="I280" s="41">
        <v>1</v>
      </c>
      <c r="J280" s="41">
        <v>3</v>
      </c>
      <c r="K280" s="41">
        <v>4</v>
      </c>
      <c r="L280" s="41" t="s">
        <v>80</v>
      </c>
      <c r="M280" s="41">
        <f>IF(L280&gt;0,INDEX(Fish!$D:$D,MATCH(L280,Fish!$L:$L,0)),"")</f>
        <v>11011</v>
      </c>
      <c r="N280" s="41">
        <v>0</v>
      </c>
      <c r="O280" s="41">
        <v>1</v>
      </c>
      <c r="P280" s="41">
        <v>2</v>
      </c>
      <c r="Q280" s="41">
        <v>3</v>
      </c>
      <c r="R280" s="41" t="s">
        <v>92</v>
      </c>
      <c r="S280" s="41">
        <f>IF(R280&gt;0,INDEX(Fish!$D:$D,MATCH(R280,Fish!$L:$L,0)),"")</f>
        <v>11017</v>
      </c>
      <c r="T280" s="41">
        <v>0</v>
      </c>
      <c r="U280" s="41">
        <v>1</v>
      </c>
      <c r="V280" s="41">
        <v>1</v>
      </c>
      <c r="W280" s="41">
        <v>2</v>
      </c>
      <c r="X280" s="41" t="s">
        <v>94</v>
      </c>
      <c r="Y280" s="41">
        <f>IF(X280&gt;0,INDEX(Fish!$D:$D,MATCH(X280,Fish!$L:$L,0)),"")</f>
        <v>11020</v>
      </c>
      <c r="Z280" s="41">
        <v>0</v>
      </c>
      <c r="AA280" s="41">
        <v>1</v>
      </c>
      <c r="AB280" s="41">
        <v>1</v>
      </c>
      <c r="AC280" s="41">
        <v>2</v>
      </c>
      <c r="AD280" s="41" t="s">
        <v>84</v>
      </c>
      <c r="AE280" s="41">
        <f>IF(AD280&gt;0,INDEX(Fish!$D:$D,MATCH(AD280,Fish!$L:$L,0)),"")</f>
        <v>11013</v>
      </c>
      <c r="AF280" s="41">
        <v>0</v>
      </c>
      <c r="AG280" s="41">
        <v>1</v>
      </c>
      <c r="AH280" s="41">
        <v>1</v>
      </c>
      <c r="AI280" s="41">
        <v>1</v>
      </c>
    </row>
    <row r="281" spans="1:35">
      <c r="A281" s="41">
        <v>44412</v>
      </c>
      <c r="B281" s="41">
        <v>4</v>
      </c>
      <c r="C281" s="41">
        <v>0</v>
      </c>
      <c r="D281" s="41">
        <v>2</v>
      </c>
      <c r="E281" s="41">
        <v>1</v>
      </c>
      <c r="F281" s="41" t="s">
        <v>72</v>
      </c>
      <c r="G281" s="41">
        <f>IF(F281&gt;0,INDEX(Fish!$D:$D,MATCH(F281,Fish!$L:$L,0)),"")</f>
        <v>11008</v>
      </c>
      <c r="H281" s="41">
        <v>0</v>
      </c>
      <c r="I281" s="41">
        <v>1</v>
      </c>
      <c r="J281" s="41">
        <v>3</v>
      </c>
      <c r="K281" s="41">
        <v>4</v>
      </c>
      <c r="L281" s="41" t="s">
        <v>80</v>
      </c>
      <c r="M281" s="41">
        <f>IF(L281&gt;0,INDEX(Fish!$D:$D,MATCH(L281,Fish!$L:$L,0)),"")</f>
        <v>11011</v>
      </c>
      <c r="N281" s="41">
        <v>0</v>
      </c>
      <c r="O281" s="41">
        <v>1</v>
      </c>
      <c r="P281" s="41">
        <v>2</v>
      </c>
      <c r="Q281" s="41">
        <v>3</v>
      </c>
      <c r="R281" s="41" t="s">
        <v>92</v>
      </c>
      <c r="S281" s="41">
        <f>IF(R281&gt;0,INDEX(Fish!$D:$D,MATCH(R281,Fish!$L:$L,0)),"")</f>
        <v>11017</v>
      </c>
      <c r="T281" s="41">
        <v>0</v>
      </c>
      <c r="U281" s="41">
        <v>1</v>
      </c>
      <c r="V281" s="41">
        <v>1</v>
      </c>
      <c r="W281" s="41">
        <v>2</v>
      </c>
      <c r="X281" s="41" t="s">
        <v>94</v>
      </c>
      <c r="Y281" s="41">
        <f>IF(X281&gt;0,INDEX(Fish!$D:$D,MATCH(X281,Fish!$L:$L,0)),"")</f>
        <v>11020</v>
      </c>
      <c r="Z281" s="41">
        <v>0</v>
      </c>
      <c r="AA281" s="41">
        <v>1</v>
      </c>
      <c r="AB281" s="41">
        <v>1</v>
      </c>
      <c r="AC281" s="41">
        <v>2</v>
      </c>
      <c r="AD281" s="41" t="s">
        <v>90</v>
      </c>
      <c r="AE281" s="41">
        <f>IF(AD281&gt;0,INDEX(Fish!$D:$D,MATCH(AD281,Fish!$L:$L,0)),"")</f>
        <v>11016</v>
      </c>
      <c r="AF281" s="41">
        <v>0</v>
      </c>
      <c r="AG281" s="41">
        <v>1</v>
      </c>
      <c r="AH281" s="41">
        <v>1</v>
      </c>
      <c r="AI281" s="41">
        <v>1</v>
      </c>
    </row>
    <row r="282" spans="1:35">
      <c r="A282" s="41">
        <v>44412</v>
      </c>
      <c r="B282" s="41">
        <v>4</v>
      </c>
      <c r="C282" s="41">
        <v>0</v>
      </c>
      <c r="D282" s="41">
        <v>2</v>
      </c>
      <c r="E282" s="41">
        <v>1</v>
      </c>
      <c r="F282" s="41" t="s">
        <v>72</v>
      </c>
      <c r="G282" s="41">
        <f>IF(F282&gt;0,INDEX(Fish!$D:$D,MATCH(F282,Fish!$L:$L,0)),"")</f>
        <v>11008</v>
      </c>
      <c r="H282" s="41">
        <v>0</v>
      </c>
      <c r="I282" s="41">
        <v>1</v>
      </c>
      <c r="J282" s="41">
        <v>3</v>
      </c>
      <c r="K282" s="41">
        <v>4</v>
      </c>
      <c r="L282" s="41" t="s">
        <v>80</v>
      </c>
      <c r="M282" s="41">
        <f>IF(L282&gt;0,INDEX(Fish!$D:$D,MATCH(L282,Fish!$L:$L,0)),"")</f>
        <v>11011</v>
      </c>
      <c r="N282" s="41">
        <v>0</v>
      </c>
      <c r="O282" s="41">
        <v>1</v>
      </c>
      <c r="P282" s="41">
        <v>2</v>
      </c>
      <c r="Q282" s="41">
        <v>3</v>
      </c>
      <c r="R282" s="41" t="s">
        <v>82</v>
      </c>
      <c r="S282" s="41">
        <f>IF(R282&gt;0,INDEX(Fish!$D:$D,MATCH(R282,Fish!$L:$L,0)),"")</f>
        <v>11012</v>
      </c>
      <c r="T282" s="41">
        <v>0</v>
      </c>
      <c r="U282" s="41">
        <v>1</v>
      </c>
      <c r="V282" s="41">
        <v>1</v>
      </c>
      <c r="W282" s="41">
        <v>2</v>
      </c>
      <c r="X282" s="41" t="s">
        <v>88</v>
      </c>
      <c r="Y282" s="41">
        <f>IF(X282&gt;0,INDEX(Fish!$D:$D,MATCH(X282,Fish!$L:$L,0)),"")</f>
        <v>11015</v>
      </c>
      <c r="Z282" s="41">
        <v>0</v>
      </c>
      <c r="AA282" s="41">
        <v>1</v>
      </c>
      <c r="AB282" s="41">
        <v>1</v>
      </c>
      <c r="AC282" s="41">
        <v>2</v>
      </c>
      <c r="AD282" s="41" t="s">
        <v>84</v>
      </c>
      <c r="AE282" s="41">
        <f>IF(AD282&gt;0,INDEX(Fish!$D:$D,MATCH(AD282,Fish!$L:$L,0)),"")</f>
        <v>11013</v>
      </c>
      <c r="AF282" s="41">
        <v>0</v>
      </c>
      <c r="AG282" s="41">
        <v>1</v>
      </c>
      <c r="AH282" s="41">
        <v>1</v>
      </c>
      <c r="AI282" s="41">
        <v>1</v>
      </c>
    </row>
    <row r="283" spans="1:35">
      <c r="A283" s="41">
        <v>44412</v>
      </c>
      <c r="B283" s="41">
        <v>4</v>
      </c>
      <c r="C283" s="41">
        <v>0</v>
      </c>
      <c r="D283" s="41">
        <v>2</v>
      </c>
      <c r="E283" s="41">
        <v>1</v>
      </c>
      <c r="F283" s="41" t="s">
        <v>72</v>
      </c>
      <c r="G283" s="41">
        <f>IF(F283&gt;0,INDEX(Fish!$D:$D,MATCH(F283,Fish!$L:$L,0)),"")</f>
        <v>11008</v>
      </c>
      <c r="H283" s="41">
        <v>0</v>
      </c>
      <c r="I283" s="41">
        <v>1</v>
      </c>
      <c r="J283" s="41">
        <v>3</v>
      </c>
      <c r="K283" s="41">
        <v>4</v>
      </c>
      <c r="L283" s="41" t="s">
        <v>80</v>
      </c>
      <c r="M283" s="41">
        <f>IF(L283&gt;0,INDEX(Fish!$D:$D,MATCH(L283,Fish!$L:$L,0)),"")</f>
        <v>11011</v>
      </c>
      <c r="N283" s="41">
        <v>0</v>
      </c>
      <c r="O283" s="41">
        <v>1</v>
      </c>
      <c r="P283" s="41">
        <v>2</v>
      </c>
      <c r="Q283" s="41">
        <v>3</v>
      </c>
      <c r="R283" s="41" t="s">
        <v>82</v>
      </c>
      <c r="S283" s="41">
        <f>IF(R283&gt;0,INDEX(Fish!$D:$D,MATCH(R283,Fish!$L:$L,0)),"")</f>
        <v>11012</v>
      </c>
      <c r="T283" s="41">
        <v>0</v>
      </c>
      <c r="U283" s="41">
        <v>1</v>
      </c>
      <c r="V283" s="41">
        <v>1</v>
      </c>
      <c r="W283" s="41">
        <v>2</v>
      </c>
      <c r="X283" s="41" t="s">
        <v>88</v>
      </c>
      <c r="Y283" s="41">
        <f>IF(X283&gt;0,INDEX(Fish!$D:$D,MATCH(X283,Fish!$L:$L,0)),"")</f>
        <v>11015</v>
      </c>
      <c r="Z283" s="41">
        <v>0</v>
      </c>
      <c r="AA283" s="41">
        <v>1</v>
      </c>
      <c r="AB283" s="41">
        <v>1</v>
      </c>
      <c r="AC283" s="41">
        <v>2</v>
      </c>
      <c r="AD283" s="41" t="s">
        <v>90</v>
      </c>
      <c r="AE283" s="41">
        <f>IF(AD283&gt;0,INDEX(Fish!$D:$D,MATCH(AD283,Fish!$L:$L,0)),"")</f>
        <v>11016</v>
      </c>
      <c r="AF283" s="41">
        <v>0</v>
      </c>
      <c r="AG283" s="41">
        <v>1</v>
      </c>
      <c r="AH283" s="41">
        <v>1</v>
      </c>
      <c r="AI283" s="41">
        <v>1</v>
      </c>
    </row>
    <row r="284" spans="1:35">
      <c r="A284" s="41">
        <v>44412</v>
      </c>
      <c r="B284" s="41">
        <v>4</v>
      </c>
      <c r="C284" s="41">
        <v>0</v>
      </c>
      <c r="D284" s="41">
        <v>2</v>
      </c>
      <c r="E284" s="41">
        <v>1</v>
      </c>
      <c r="F284" s="41" t="s">
        <v>72</v>
      </c>
      <c r="G284" s="41">
        <f>IF(F284&gt;0,INDEX(Fish!$D:$D,MATCH(F284,Fish!$L:$L,0)),"")</f>
        <v>11008</v>
      </c>
      <c r="H284" s="41">
        <v>0</v>
      </c>
      <c r="I284" s="41">
        <v>1</v>
      </c>
      <c r="J284" s="41">
        <v>3</v>
      </c>
      <c r="K284" s="41">
        <v>4</v>
      </c>
      <c r="L284" s="41" t="s">
        <v>80</v>
      </c>
      <c r="M284" s="41">
        <f>IF(L284&gt;0,INDEX(Fish!$D:$D,MATCH(L284,Fish!$L:$L,0)),"")</f>
        <v>11011</v>
      </c>
      <c r="N284" s="41">
        <v>0</v>
      </c>
      <c r="O284" s="41">
        <v>1</v>
      </c>
      <c r="P284" s="41">
        <v>2</v>
      </c>
      <c r="Q284" s="41">
        <v>3</v>
      </c>
      <c r="R284" s="41" t="s">
        <v>82</v>
      </c>
      <c r="S284" s="41">
        <f>IF(R284&gt;0,INDEX(Fish!$D:$D,MATCH(R284,Fish!$L:$L,0)),"")</f>
        <v>11012</v>
      </c>
      <c r="T284" s="41">
        <v>0</v>
      </c>
      <c r="U284" s="41">
        <v>1</v>
      </c>
      <c r="V284" s="41">
        <v>1</v>
      </c>
      <c r="W284" s="41">
        <v>2</v>
      </c>
      <c r="X284" s="41" t="s">
        <v>94</v>
      </c>
      <c r="Y284" s="41">
        <f>IF(X284&gt;0,INDEX(Fish!$D:$D,MATCH(X284,Fish!$L:$L,0)),"")</f>
        <v>11020</v>
      </c>
      <c r="Z284" s="41">
        <v>0</v>
      </c>
      <c r="AA284" s="41">
        <v>1</v>
      </c>
      <c r="AB284" s="41">
        <v>1</v>
      </c>
      <c r="AC284" s="41">
        <v>2</v>
      </c>
      <c r="AD284" s="41" t="s">
        <v>84</v>
      </c>
      <c r="AE284" s="41">
        <f>IF(AD284&gt;0,INDEX(Fish!$D:$D,MATCH(AD284,Fish!$L:$L,0)),"")</f>
        <v>11013</v>
      </c>
      <c r="AF284" s="41">
        <v>0</v>
      </c>
      <c r="AG284" s="41">
        <v>1</v>
      </c>
      <c r="AH284" s="41">
        <v>1</v>
      </c>
      <c r="AI284" s="41">
        <v>1</v>
      </c>
    </row>
    <row r="285" spans="1:35">
      <c r="A285" s="41">
        <v>44412</v>
      </c>
      <c r="B285" s="41">
        <v>4</v>
      </c>
      <c r="C285" s="41">
        <v>0</v>
      </c>
      <c r="D285" s="41">
        <v>2</v>
      </c>
      <c r="E285" s="41">
        <v>1</v>
      </c>
      <c r="F285" s="41" t="s">
        <v>72</v>
      </c>
      <c r="G285" s="41">
        <f>IF(F285&gt;0,INDEX(Fish!$D:$D,MATCH(F285,Fish!$L:$L,0)),"")</f>
        <v>11008</v>
      </c>
      <c r="H285" s="41">
        <v>0</v>
      </c>
      <c r="I285" s="41">
        <v>1</v>
      </c>
      <c r="J285" s="41">
        <v>3</v>
      </c>
      <c r="K285" s="41">
        <v>4</v>
      </c>
      <c r="L285" s="41" t="s">
        <v>80</v>
      </c>
      <c r="M285" s="41">
        <f>IF(L285&gt;0,INDEX(Fish!$D:$D,MATCH(L285,Fish!$L:$L,0)),"")</f>
        <v>11011</v>
      </c>
      <c r="N285" s="41">
        <v>0</v>
      </c>
      <c r="O285" s="41">
        <v>1</v>
      </c>
      <c r="P285" s="41">
        <v>2</v>
      </c>
      <c r="Q285" s="41">
        <v>3</v>
      </c>
      <c r="R285" s="41" t="s">
        <v>82</v>
      </c>
      <c r="S285" s="41">
        <f>IF(R285&gt;0,INDEX(Fish!$D:$D,MATCH(R285,Fish!$L:$L,0)),"")</f>
        <v>11012</v>
      </c>
      <c r="T285" s="41">
        <v>0</v>
      </c>
      <c r="U285" s="41">
        <v>1</v>
      </c>
      <c r="V285" s="41">
        <v>1</v>
      </c>
      <c r="W285" s="41">
        <v>2</v>
      </c>
      <c r="X285" s="41" t="s">
        <v>94</v>
      </c>
      <c r="Y285" s="41">
        <f>IF(X285&gt;0,INDEX(Fish!$D:$D,MATCH(X285,Fish!$L:$L,0)),"")</f>
        <v>11020</v>
      </c>
      <c r="Z285" s="41">
        <v>0</v>
      </c>
      <c r="AA285" s="41">
        <v>1</v>
      </c>
      <c r="AB285" s="41">
        <v>1</v>
      </c>
      <c r="AC285" s="41">
        <v>2</v>
      </c>
      <c r="AD285" s="41" t="s">
        <v>90</v>
      </c>
      <c r="AE285" s="41">
        <f>IF(AD285&gt;0,INDEX(Fish!$D:$D,MATCH(AD285,Fish!$L:$L,0)),"")</f>
        <v>11016</v>
      </c>
      <c r="AF285" s="41">
        <v>0</v>
      </c>
      <c r="AG285" s="41">
        <v>1</v>
      </c>
      <c r="AH285" s="41">
        <v>1</v>
      </c>
      <c r="AI285" s="41">
        <v>1</v>
      </c>
    </row>
    <row r="286" spans="1:35">
      <c r="A286" s="41">
        <v>44412</v>
      </c>
      <c r="B286" s="41">
        <v>4</v>
      </c>
      <c r="C286" s="41">
        <v>0</v>
      </c>
      <c r="D286" s="41">
        <v>2</v>
      </c>
      <c r="E286" s="41">
        <v>1</v>
      </c>
      <c r="F286" s="41" t="s">
        <v>72</v>
      </c>
      <c r="G286" s="41">
        <f>IF(F286&gt;0,INDEX(Fish!$D:$D,MATCH(F286,Fish!$L:$L,0)),"")</f>
        <v>11008</v>
      </c>
      <c r="H286" s="41">
        <v>0</v>
      </c>
      <c r="I286" s="41">
        <v>1</v>
      </c>
      <c r="J286" s="41">
        <v>3</v>
      </c>
      <c r="K286" s="41">
        <v>4</v>
      </c>
      <c r="L286" s="41" t="s">
        <v>78</v>
      </c>
      <c r="M286" s="41">
        <f>IF(L286&gt;0,INDEX(Fish!$D:$D,MATCH(L286,Fish!$L:$L,0)),"")</f>
        <v>11010</v>
      </c>
      <c r="N286" s="41">
        <v>0</v>
      </c>
      <c r="O286" s="41">
        <v>1</v>
      </c>
      <c r="P286" s="41">
        <v>2</v>
      </c>
      <c r="Q286" s="41">
        <v>3</v>
      </c>
      <c r="R286" s="41" t="s">
        <v>92</v>
      </c>
      <c r="S286" s="41">
        <f>IF(R286&gt;0,INDEX(Fish!$D:$D,MATCH(R286,Fish!$L:$L,0)),"")</f>
        <v>11017</v>
      </c>
      <c r="T286" s="41">
        <v>0</v>
      </c>
      <c r="U286" s="41">
        <v>1</v>
      </c>
      <c r="V286" s="41">
        <v>1</v>
      </c>
      <c r="W286" s="41">
        <v>2</v>
      </c>
      <c r="X286" s="41" t="s">
        <v>88</v>
      </c>
      <c r="Y286" s="41">
        <f>IF(X286&gt;0,INDEX(Fish!$D:$D,MATCH(X286,Fish!$L:$L,0)),"")</f>
        <v>11015</v>
      </c>
      <c r="Z286" s="41">
        <v>0</v>
      </c>
      <c r="AA286" s="41">
        <v>1</v>
      </c>
      <c r="AB286" s="41">
        <v>1</v>
      </c>
      <c r="AC286" s="41">
        <v>2</v>
      </c>
      <c r="AD286" s="41" t="s">
        <v>84</v>
      </c>
      <c r="AE286" s="41">
        <f>IF(AD286&gt;0,INDEX(Fish!$D:$D,MATCH(AD286,Fish!$L:$L,0)),"")</f>
        <v>11013</v>
      </c>
      <c r="AF286" s="41">
        <v>0</v>
      </c>
      <c r="AG286" s="41">
        <v>1</v>
      </c>
      <c r="AH286" s="41">
        <v>1</v>
      </c>
      <c r="AI286" s="41">
        <v>1</v>
      </c>
    </row>
    <row r="287" spans="1:35">
      <c r="A287" s="41">
        <v>44412</v>
      </c>
      <c r="B287" s="41">
        <v>4</v>
      </c>
      <c r="C287" s="41">
        <v>0</v>
      </c>
      <c r="D287" s="41">
        <v>2</v>
      </c>
      <c r="E287" s="41">
        <v>1</v>
      </c>
      <c r="F287" s="41" t="s">
        <v>72</v>
      </c>
      <c r="G287" s="41">
        <f>IF(F287&gt;0,INDEX(Fish!$D:$D,MATCH(F287,Fish!$L:$L,0)),"")</f>
        <v>11008</v>
      </c>
      <c r="H287" s="41">
        <v>0</v>
      </c>
      <c r="I287" s="41">
        <v>1</v>
      </c>
      <c r="J287" s="41">
        <v>3</v>
      </c>
      <c r="K287" s="41">
        <v>4</v>
      </c>
      <c r="L287" s="41" t="s">
        <v>78</v>
      </c>
      <c r="M287" s="41">
        <f>IF(L287&gt;0,INDEX(Fish!$D:$D,MATCH(L287,Fish!$L:$L,0)),"")</f>
        <v>11010</v>
      </c>
      <c r="N287" s="41">
        <v>0</v>
      </c>
      <c r="O287" s="41">
        <v>1</v>
      </c>
      <c r="P287" s="41">
        <v>2</v>
      </c>
      <c r="Q287" s="41">
        <v>3</v>
      </c>
      <c r="R287" s="41" t="s">
        <v>92</v>
      </c>
      <c r="S287" s="41">
        <f>IF(R287&gt;0,INDEX(Fish!$D:$D,MATCH(R287,Fish!$L:$L,0)),"")</f>
        <v>11017</v>
      </c>
      <c r="T287" s="41">
        <v>0</v>
      </c>
      <c r="U287" s="41">
        <v>1</v>
      </c>
      <c r="V287" s="41">
        <v>1</v>
      </c>
      <c r="W287" s="41">
        <v>2</v>
      </c>
      <c r="X287" s="41" t="s">
        <v>88</v>
      </c>
      <c r="Y287" s="41">
        <f>IF(X287&gt;0,INDEX(Fish!$D:$D,MATCH(X287,Fish!$L:$L,0)),"")</f>
        <v>11015</v>
      </c>
      <c r="Z287" s="41">
        <v>0</v>
      </c>
      <c r="AA287" s="41">
        <v>1</v>
      </c>
      <c r="AB287" s="41">
        <v>1</v>
      </c>
      <c r="AC287" s="41">
        <v>2</v>
      </c>
      <c r="AD287" s="41" t="s">
        <v>90</v>
      </c>
      <c r="AE287" s="41">
        <f>IF(AD287&gt;0,INDEX(Fish!$D:$D,MATCH(AD287,Fish!$L:$L,0)),"")</f>
        <v>11016</v>
      </c>
      <c r="AF287" s="41">
        <v>0</v>
      </c>
      <c r="AG287" s="41">
        <v>1</v>
      </c>
      <c r="AH287" s="41">
        <v>1</v>
      </c>
      <c r="AI287" s="41">
        <v>1</v>
      </c>
    </row>
    <row r="288" spans="1:35">
      <c r="A288" s="41">
        <v>44412</v>
      </c>
      <c r="B288" s="41">
        <v>4</v>
      </c>
      <c r="C288" s="41">
        <v>0</v>
      </c>
      <c r="D288" s="41">
        <v>2</v>
      </c>
      <c r="E288" s="41">
        <v>1</v>
      </c>
      <c r="F288" s="41" t="s">
        <v>72</v>
      </c>
      <c r="G288" s="41">
        <f>IF(F288&gt;0,INDEX(Fish!$D:$D,MATCH(F288,Fish!$L:$L,0)),"")</f>
        <v>11008</v>
      </c>
      <c r="H288" s="41">
        <v>0</v>
      </c>
      <c r="I288" s="41">
        <v>1</v>
      </c>
      <c r="J288" s="41">
        <v>3</v>
      </c>
      <c r="K288" s="41">
        <v>4</v>
      </c>
      <c r="L288" s="41" t="s">
        <v>78</v>
      </c>
      <c r="M288" s="41">
        <f>IF(L288&gt;0,INDEX(Fish!$D:$D,MATCH(L288,Fish!$L:$L,0)),"")</f>
        <v>11010</v>
      </c>
      <c r="N288" s="41">
        <v>0</v>
      </c>
      <c r="O288" s="41">
        <v>1</v>
      </c>
      <c r="P288" s="41">
        <v>2</v>
      </c>
      <c r="Q288" s="41">
        <v>3</v>
      </c>
      <c r="R288" s="41" t="s">
        <v>92</v>
      </c>
      <c r="S288" s="41">
        <f>IF(R288&gt;0,INDEX(Fish!$D:$D,MATCH(R288,Fish!$L:$L,0)),"")</f>
        <v>11017</v>
      </c>
      <c r="T288" s="41">
        <v>0</v>
      </c>
      <c r="U288" s="41">
        <v>1</v>
      </c>
      <c r="V288" s="41">
        <v>1</v>
      </c>
      <c r="W288" s="41">
        <v>2</v>
      </c>
      <c r="X288" s="41" t="s">
        <v>94</v>
      </c>
      <c r="Y288" s="41">
        <f>IF(X288&gt;0,INDEX(Fish!$D:$D,MATCH(X288,Fish!$L:$L,0)),"")</f>
        <v>11020</v>
      </c>
      <c r="Z288" s="41">
        <v>0</v>
      </c>
      <c r="AA288" s="41">
        <v>1</v>
      </c>
      <c r="AB288" s="41">
        <v>1</v>
      </c>
      <c r="AC288" s="41">
        <v>2</v>
      </c>
      <c r="AD288" s="41" t="s">
        <v>84</v>
      </c>
      <c r="AE288" s="41">
        <f>IF(AD288&gt;0,INDEX(Fish!$D:$D,MATCH(AD288,Fish!$L:$L,0)),"")</f>
        <v>11013</v>
      </c>
      <c r="AF288" s="41">
        <v>0</v>
      </c>
      <c r="AG288" s="41">
        <v>1</v>
      </c>
      <c r="AH288" s="41">
        <v>1</v>
      </c>
      <c r="AI288" s="41">
        <v>1</v>
      </c>
    </row>
    <row r="289" spans="1:35">
      <c r="A289" s="41">
        <v>44412</v>
      </c>
      <c r="B289" s="41">
        <v>4</v>
      </c>
      <c r="C289" s="41">
        <v>0</v>
      </c>
      <c r="D289" s="41">
        <v>2</v>
      </c>
      <c r="E289" s="41">
        <v>1</v>
      </c>
      <c r="F289" s="41" t="s">
        <v>72</v>
      </c>
      <c r="G289" s="41">
        <f>IF(F289&gt;0,INDEX(Fish!$D:$D,MATCH(F289,Fish!$L:$L,0)),"")</f>
        <v>11008</v>
      </c>
      <c r="H289" s="41">
        <v>0</v>
      </c>
      <c r="I289" s="41">
        <v>1</v>
      </c>
      <c r="J289" s="41">
        <v>3</v>
      </c>
      <c r="K289" s="41">
        <v>4</v>
      </c>
      <c r="L289" s="41" t="s">
        <v>78</v>
      </c>
      <c r="M289" s="41">
        <f>IF(L289&gt;0,INDEX(Fish!$D:$D,MATCH(L289,Fish!$L:$L,0)),"")</f>
        <v>11010</v>
      </c>
      <c r="N289" s="41">
        <v>0</v>
      </c>
      <c r="O289" s="41">
        <v>1</v>
      </c>
      <c r="P289" s="41">
        <v>2</v>
      </c>
      <c r="Q289" s="41">
        <v>3</v>
      </c>
      <c r="R289" s="41" t="s">
        <v>92</v>
      </c>
      <c r="S289" s="41">
        <f>IF(R289&gt;0,INDEX(Fish!$D:$D,MATCH(R289,Fish!$L:$L,0)),"")</f>
        <v>11017</v>
      </c>
      <c r="T289" s="41">
        <v>0</v>
      </c>
      <c r="U289" s="41">
        <v>1</v>
      </c>
      <c r="V289" s="41">
        <v>1</v>
      </c>
      <c r="W289" s="41">
        <v>2</v>
      </c>
      <c r="X289" s="41" t="s">
        <v>94</v>
      </c>
      <c r="Y289" s="41">
        <f>IF(X289&gt;0,INDEX(Fish!$D:$D,MATCH(X289,Fish!$L:$L,0)),"")</f>
        <v>11020</v>
      </c>
      <c r="Z289" s="41">
        <v>0</v>
      </c>
      <c r="AA289" s="41">
        <v>1</v>
      </c>
      <c r="AB289" s="41">
        <v>1</v>
      </c>
      <c r="AC289" s="41">
        <v>2</v>
      </c>
      <c r="AD289" s="41" t="s">
        <v>90</v>
      </c>
      <c r="AE289" s="41">
        <f>IF(AD289&gt;0,INDEX(Fish!$D:$D,MATCH(AD289,Fish!$L:$L,0)),"")</f>
        <v>11016</v>
      </c>
      <c r="AF289" s="41">
        <v>0</v>
      </c>
      <c r="AG289" s="41">
        <v>1</v>
      </c>
      <c r="AH289" s="41">
        <v>1</v>
      </c>
      <c r="AI289" s="41">
        <v>1</v>
      </c>
    </row>
    <row r="290" spans="1:35">
      <c r="A290" s="41">
        <v>44412</v>
      </c>
      <c r="B290" s="41">
        <v>4</v>
      </c>
      <c r="C290" s="41">
        <v>0</v>
      </c>
      <c r="D290" s="41">
        <v>2</v>
      </c>
      <c r="E290" s="41">
        <v>1</v>
      </c>
      <c r="F290" s="41" t="s">
        <v>72</v>
      </c>
      <c r="G290" s="41">
        <f>IF(F290&gt;0,INDEX(Fish!$D:$D,MATCH(F290,Fish!$L:$L,0)),"")</f>
        <v>11008</v>
      </c>
      <c r="H290" s="41">
        <v>0</v>
      </c>
      <c r="I290" s="41">
        <v>1</v>
      </c>
      <c r="J290" s="41">
        <v>3</v>
      </c>
      <c r="K290" s="41">
        <v>4</v>
      </c>
      <c r="L290" s="41" t="s">
        <v>78</v>
      </c>
      <c r="M290" s="41">
        <f>IF(L290&gt;0,INDEX(Fish!$D:$D,MATCH(L290,Fish!$L:$L,0)),"")</f>
        <v>11010</v>
      </c>
      <c r="N290" s="41">
        <v>0</v>
      </c>
      <c r="O290" s="41">
        <v>1</v>
      </c>
      <c r="P290" s="41">
        <v>2</v>
      </c>
      <c r="Q290" s="41">
        <v>3</v>
      </c>
      <c r="R290" s="41" t="s">
        <v>82</v>
      </c>
      <c r="S290" s="41">
        <f>IF(R290&gt;0,INDEX(Fish!$D:$D,MATCH(R290,Fish!$L:$L,0)),"")</f>
        <v>11012</v>
      </c>
      <c r="T290" s="41">
        <v>0</v>
      </c>
      <c r="U290" s="41">
        <v>1</v>
      </c>
      <c r="V290" s="41">
        <v>1</v>
      </c>
      <c r="W290" s="41">
        <v>2</v>
      </c>
      <c r="X290" s="41" t="s">
        <v>88</v>
      </c>
      <c r="Y290" s="41">
        <f>IF(X290&gt;0,INDEX(Fish!$D:$D,MATCH(X290,Fish!$L:$L,0)),"")</f>
        <v>11015</v>
      </c>
      <c r="Z290" s="41">
        <v>0</v>
      </c>
      <c r="AA290" s="41">
        <v>1</v>
      </c>
      <c r="AB290" s="41">
        <v>1</v>
      </c>
      <c r="AC290" s="41">
        <v>2</v>
      </c>
      <c r="AD290" s="41" t="s">
        <v>84</v>
      </c>
      <c r="AE290" s="41">
        <f>IF(AD290&gt;0,INDEX(Fish!$D:$D,MATCH(AD290,Fish!$L:$L,0)),"")</f>
        <v>11013</v>
      </c>
      <c r="AF290" s="41">
        <v>0</v>
      </c>
      <c r="AG290" s="41">
        <v>1</v>
      </c>
      <c r="AH290" s="41">
        <v>1</v>
      </c>
      <c r="AI290" s="41">
        <v>1</v>
      </c>
    </row>
    <row r="291" spans="1:35">
      <c r="A291" s="41">
        <v>44412</v>
      </c>
      <c r="B291" s="41">
        <v>4</v>
      </c>
      <c r="C291" s="41">
        <v>0</v>
      </c>
      <c r="D291" s="41">
        <v>2</v>
      </c>
      <c r="E291" s="41">
        <v>1</v>
      </c>
      <c r="F291" s="41" t="s">
        <v>72</v>
      </c>
      <c r="G291" s="41">
        <f>IF(F291&gt;0,INDEX(Fish!$D:$D,MATCH(F291,Fish!$L:$L,0)),"")</f>
        <v>11008</v>
      </c>
      <c r="H291" s="41">
        <v>0</v>
      </c>
      <c r="I291" s="41">
        <v>1</v>
      </c>
      <c r="J291" s="41">
        <v>3</v>
      </c>
      <c r="K291" s="41">
        <v>4</v>
      </c>
      <c r="L291" s="41" t="s">
        <v>78</v>
      </c>
      <c r="M291" s="41">
        <f>IF(L291&gt;0,INDEX(Fish!$D:$D,MATCH(L291,Fish!$L:$L,0)),"")</f>
        <v>11010</v>
      </c>
      <c r="N291" s="41">
        <v>0</v>
      </c>
      <c r="O291" s="41">
        <v>1</v>
      </c>
      <c r="P291" s="41">
        <v>2</v>
      </c>
      <c r="Q291" s="41">
        <v>3</v>
      </c>
      <c r="R291" s="41" t="s">
        <v>82</v>
      </c>
      <c r="S291" s="41">
        <f>IF(R291&gt;0,INDEX(Fish!$D:$D,MATCH(R291,Fish!$L:$L,0)),"")</f>
        <v>11012</v>
      </c>
      <c r="T291" s="41">
        <v>0</v>
      </c>
      <c r="U291" s="41">
        <v>1</v>
      </c>
      <c r="V291" s="41">
        <v>1</v>
      </c>
      <c r="W291" s="41">
        <v>2</v>
      </c>
      <c r="X291" s="41" t="s">
        <v>88</v>
      </c>
      <c r="Y291" s="41">
        <f>IF(X291&gt;0,INDEX(Fish!$D:$D,MATCH(X291,Fish!$L:$L,0)),"")</f>
        <v>11015</v>
      </c>
      <c r="Z291" s="41">
        <v>0</v>
      </c>
      <c r="AA291" s="41">
        <v>1</v>
      </c>
      <c r="AB291" s="41">
        <v>1</v>
      </c>
      <c r="AC291" s="41">
        <v>2</v>
      </c>
      <c r="AD291" s="41" t="s">
        <v>90</v>
      </c>
      <c r="AE291" s="41">
        <f>IF(AD291&gt;0,INDEX(Fish!$D:$D,MATCH(AD291,Fish!$L:$L,0)),"")</f>
        <v>11016</v>
      </c>
      <c r="AF291" s="41">
        <v>0</v>
      </c>
      <c r="AG291" s="41">
        <v>1</v>
      </c>
      <c r="AH291" s="41">
        <v>1</v>
      </c>
      <c r="AI291" s="41">
        <v>1</v>
      </c>
    </row>
    <row r="292" spans="1:35">
      <c r="A292" s="41">
        <v>44412</v>
      </c>
      <c r="B292" s="41">
        <v>4</v>
      </c>
      <c r="C292" s="41">
        <v>0</v>
      </c>
      <c r="D292" s="41">
        <v>2</v>
      </c>
      <c r="E292" s="41">
        <v>1</v>
      </c>
      <c r="F292" s="41" t="s">
        <v>72</v>
      </c>
      <c r="G292" s="41">
        <f>IF(F292&gt;0,INDEX(Fish!$D:$D,MATCH(F292,Fish!$L:$L,0)),"")</f>
        <v>11008</v>
      </c>
      <c r="H292" s="41">
        <v>0</v>
      </c>
      <c r="I292" s="41">
        <v>1</v>
      </c>
      <c r="J292" s="41">
        <v>3</v>
      </c>
      <c r="K292" s="41">
        <v>4</v>
      </c>
      <c r="L292" s="41" t="s">
        <v>78</v>
      </c>
      <c r="M292" s="41">
        <f>IF(L292&gt;0,INDEX(Fish!$D:$D,MATCH(L292,Fish!$L:$L,0)),"")</f>
        <v>11010</v>
      </c>
      <c r="N292" s="41">
        <v>0</v>
      </c>
      <c r="O292" s="41">
        <v>1</v>
      </c>
      <c r="P292" s="41">
        <v>2</v>
      </c>
      <c r="Q292" s="41">
        <v>3</v>
      </c>
      <c r="R292" s="41" t="s">
        <v>82</v>
      </c>
      <c r="S292" s="41">
        <f>IF(R292&gt;0,INDEX(Fish!$D:$D,MATCH(R292,Fish!$L:$L,0)),"")</f>
        <v>11012</v>
      </c>
      <c r="T292" s="41">
        <v>0</v>
      </c>
      <c r="U292" s="41">
        <v>1</v>
      </c>
      <c r="V292" s="41">
        <v>1</v>
      </c>
      <c r="W292" s="41">
        <v>2</v>
      </c>
      <c r="X292" s="41" t="s">
        <v>94</v>
      </c>
      <c r="Y292" s="41">
        <f>IF(X292&gt;0,INDEX(Fish!$D:$D,MATCH(X292,Fish!$L:$L,0)),"")</f>
        <v>11020</v>
      </c>
      <c r="Z292" s="41">
        <v>0</v>
      </c>
      <c r="AA292" s="41">
        <v>1</v>
      </c>
      <c r="AB292" s="41">
        <v>1</v>
      </c>
      <c r="AC292" s="41">
        <v>2</v>
      </c>
      <c r="AD292" s="41" t="s">
        <v>84</v>
      </c>
      <c r="AE292" s="41">
        <f>IF(AD292&gt;0,INDEX(Fish!$D:$D,MATCH(AD292,Fish!$L:$L,0)),"")</f>
        <v>11013</v>
      </c>
      <c r="AF292" s="41">
        <v>0</v>
      </c>
      <c r="AG292" s="41">
        <v>1</v>
      </c>
      <c r="AH292" s="41">
        <v>1</v>
      </c>
      <c r="AI292" s="41">
        <v>1</v>
      </c>
    </row>
    <row r="293" spans="1:35">
      <c r="A293" s="41">
        <v>44412</v>
      </c>
      <c r="B293" s="41">
        <v>4</v>
      </c>
      <c r="C293" s="41">
        <v>0</v>
      </c>
      <c r="D293" s="41">
        <v>2</v>
      </c>
      <c r="E293" s="41">
        <v>1</v>
      </c>
      <c r="F293" s="41" t="s">
        <v>72</v>
      </c>
      <c r="G293" s="41">
        <f>IF(F293&gt;0,INDEX(Fish!$D:$D,MATCH(F293,Fish!$L:$L,0)),"")</f>
        <v>11008</v>
      </c>
      <c r="H293" s="41">
        <v>0</v>
      </c>
      <c r="I293" s="41">
        <v>1</v>
      </c>
      <c r="J293" s="41">
        <v>3</v>
      </c>
      <c r="K293" s="41">
        <v>4</v>
      </c>
      <c r="L293" s="41" t="s">
        <v>78</v>
      </c>
      <c r="M293" s="41">
        <f>IF(L293&gt;0,INDEX(Fish!$D:$D,MATCH(L293,Fish!$L:$L,0)),"")</f>
        <v>11010</v>
      </c>
      <c r="N293" s="41">
        <v>0</v>
      </c>
      <c r="O293" s="41">
        <v>1</v>
      </c>
      <c r="P293" s="41">
        <v>2</v>
      </c>
      <c r="Q293" s="41">
        <v>3</v>
      </c>
      <c r="R293" s="41" t="s">
        <v>82</v>
      </c>
      <c r="S293" s="41">
        <f>IF(R293&gt;0,INDEX(Fish!$D:$D,MATCH(R293,Fish!$L:$L,0)),"")</f>
        <v>11012</v>
      </c>
      <c r="T293" s="41">
        <v>0</v>
      </c>
      <c r="U293" s="41">
        <v>1</v>
      </c>
      <c r="V293" s="41">
        <v>1</v>
      </c>
      <c r="W293" s="41">
        <v>2</v>
      </c>
      <c r="X293" s="41" t="s">
        <v>94</v>
      </c>
      <c r="Y293" s="41">
        <f>IF(X293&gt;0,INDEX(Fish!$D:$D,MATCH(X293,Fish!$L:$L,0)),"")</f>
        <v>11020</v>
      </c>
      <c r="Z293" s="41">
        <v>0</v>
      </c>
      <c r="AA293" s="41">
        <v>1</v>
      </c>
      <c r="AB293" s="41">
        <v>1</v>
      </c>
      <c r="AC293" s="41">
        <v>2</v>
      </c>
      <c r="AD293" s="41" t="s">
        <v>90</v>
      </c>
      <c r="AE293" s="41">
        <f>IF(AD293&gt;0,INDEX(Fish!$D:$D,MATCH(AD293,Fish!$L:$L,0)),"")</f>
        <v>11016</v>
      </c>
      <c r="AF293" s="41">
        <v>0</v>
      </c>
      <c r="AG293" s="41">
        <v>1</v>
      </c>
      <c r="AH293" s="41">
        <v>1</v>
      </c>
      <c r="AI293" s="41">
        <v>1</v>
      </c>
    </row>
    <row r="294" spans="1:35">
      <c r="A294" s="41">
        <v>44412</v>
      </c>
      <c r="B294" s="41">
        <v>4</v>
      </c>
      <c r="C294" s="41">
        <v>0</v>
      </c>
      <c r="D294" s="41">
        <v>2</v>
      </c>
      <c r="E294" s="41">
        <v>1</v>
      </c>
      <c r="F294" s="41" t="s">
        <v>74</v>
      </c>
      <c r="G294" s="41">
        <f>IF(F294&gt;0,INDEX(Fish!$D:$D,MATCH(F294,Fish!$L:$L,0)),"")</f>
        <v>11009</v>
      </c>
      <c r="H294" s="41">
        <v>0</v>
      </c>
      <c r="I294" s="41">
        <v>1</v>
      </c>
      <c r="J294" s="41">
        <v>3</v>
      </c>
      <c r="K294" s="41">
        <v>4</v>
      </c>
      <c r="L294" s="41" t="s">
        <v>80</v>
      </c>
      <c r="M294" s="41">
        <f>IF(L294&gt;0,INDEX(Fish!$D:$D,MATCH(L294,Fish!$L:$L,0)),"")</f>
        <v>11011</v>
      </c>
      <c r="N294" s="41">
        <v>0</v>
      </c>
      <c r="O294" s="41">
        <v>1</v>
      </c>
      <c r="P294" s="41">
        <v>2</v>
      </c>
      <c r="Q294" s="41">
        <v>3</v>
      </c>
      <c r="R294" s="41" t="s">
        <v>92</v>
      </c>
      <c r="S294" s="41">
        <f>IF(R294&gt;0,INDEX(Fish!$D:$D,MATCH(R294,Fish!$L:$L,0)),"")</f>
        <v>11017</v>
      </c>
      <c r="T294" s="41">
        <v>0</v>
      </c>
      <c r="U294" s="41">
        <v>1</v>
      </c>
      <c r="V294" s="41">
        <v>1</v>
      </c>
      <c r="W294" s="41">
        <v>2</v>
      </c>
      <c r="X294" s="41" t="s">
        <v>88</v>
      </c>
      <c r="Y294" s="41">
        <f>IF(X294&gt;0,INDEX(Fish!$D:$D,MATCH(X294,Fish!$L:$L,0)),"")</f>
        <v>11015</v>
      </c>
      <c r="Z294" s="41">
        <v>0</v>
      </c>
      <c r="AA294" s="41">
        <v>1</v>
      </c>
      <c r="AB294" s="41">
        <v>1</v>
      </c>
      <c r="AC294" s="41">
        <v>2</v>
      </c>
      <c r="AD294" s="41" t="s">
        <v>84</v>
      </c>
      <c r="AE294" s="41">
        <f>IF(AD294&gt;0,INDEX(Fish!$D:$D,MATCH(AD294,Fish!$L:$L,0)),"")</f>
        <v>11013</v>
      </c>
      <c r="AF294" s="41">
        <v>0</v>
      </c>
      <c r="AG294" s="41">
        <v>1</v>
      </c>
      <c r="AH294" s="41">
        <v>1</v>
      </c>
      <c r="AI294" s="41">
        <v>1</v>
      </c>
    </row>
    <row r="295" spans="1:35">
      <c r="A295" s="41">
        <v>44412</v>
      </c>
      <c r="B295" s="41">
        <v>4</v>
      </c>
      <c r="C295" s="41">
        <v>0</v>
      </c>
      <c r="D295" s="41">
        <v>2</v>
      </c>
      <c r="E295" s="41">
        <v>1</v>
      </c>
      <c r="F295" s="41" t="s">
        <v>74</v>
      </c>
      <c r="G295" s="41">
        <f>IF(F295&gt;0,INDEX(Fish!$D:$D,MATCH(F295,Fish!$L:$L,0)),"")</f>
        <v>11009</v>
      </c>
      <c r="H295" s="41">
        <v>0</v>
      </c>
      <c r="I295" s="41">
        <v>1</v>
      </c>
      <c r="J295" s="41">
        <v>3</v>
      </c>
      <c r="K295" s="41">
        <v>4</v>
      </c>
      <c r="L295" s="41" t="s">
        <v>80</v>
      </c>
      <c r="M295" s="41">
        <f>IF(L295&gt;0,INDEX(Fish!$D:$D,MATCH(L295,Fish!$L:$L,0)),"")</f>
        <v>11011</v>
      </c>
      <c r="N295" s="41">
        <v>0</v>
      </c>
      <c r="O295" s="41">
        <v>1</v>
      </c>
      <c r="P295" s="41">
        <v>2</v>
      </c>
      <c r="Q295" s="41">
        <v>3</v>
      </c>
      <c r="R295" s="41" t="s">
        <v>92</v>
      </c>
      <c r="S295" s="41">
        <f>IF(R295&gt;0,INDEX(Fish!$D:$D,MATCH(R295,Fish!$L:$L,0)),"")</f>
        <v>11017</v>
      </c>
      <c r="T295" s="41">
        <v>0</v>
      </c>
      <c r="U295" s="41">
        <v>1</v>
      </c>
      <c r="V295" s="41">
        <v>1</v>
      </c>
      <c r="W295" s="41">
        <v>2</v>
      </c>
      <c r="X295" s="41" t="s">
        <v>88</v>
      </c>
      <c r="Y295" s="41">
        <f>IF(X295&gt;0,INDEX(Fish!$D:$D,MATCH(X295,Fish!$L:$L,0)),"")</f>
        <v>11015</v>
      </c>
      <c r="Z295" s="41">
        <v>0</v>
      </c>
      <c r="AA295" s="41">
        <v>1</v>
      </c>
      <c r="AB295" s="41">
        <v>1</v>
      </c>
      <c r="AC295" s="41">
        <v>2</v>
      </c>
      <c r="AD295" s="41" t="s">
        <v>90</v>
      </c>
      <c r="AE295" s="41">
        <f>IF(AD295&gt;0,INDEX(Fish!$D:$D,MATCH(AD295,Fish!$L:$L,0)),"")</f>
        <v>11016</v>
      </c>
      <c r="AF295" s="41">
        <v>0</v>
      </c>
      <c r="AG295" s="41">
        <v>1</v>
      </c>
      <c r="AH295" s="41">
        <v>1</v>
      </c>
      <c r="AI295" s="41">
        <v>1</v>
      </c>
    </row>
    <row r="296" spans="1:35">
      <c r="A296" s="41">
        <v>44412</v>
      </c>
      <c r="B296" s="41">
        <v>4</v>
      </c>
      <c r="C296" s="41">
        <v>0</v>
      </c>
      <c r="D296" s="41">
        <v>2</v>
      </c>
      <c r="E296" s="41">
        <v>1</v>
      </c>
      <c r="F296" s="41" t="s">
        <v>74</v>
      </c>
      <c r="G296" s="41">
        <f>IF(F296&gt;0,INDEX(Fish!$D:$D,MATCH(F296,Fish!$L:$L,0)),"")</f>
        <v>11009</v>
      </c>
      <c r="H296" s="41">
        <v>0</v>
      </c>
      <c r="I296" s="41">
        <v>1</v>
      </c>
      <c r="J296" s="41">
        <v>3</v>
      </c>
      <c r="K296" s="41">
        <v>4</v>
      </c>
      <c r="L296" s="41" t="s">
        <v>80</v>
      </c>
      <c r="M296" s="41">
        <f>IF(L296&gt;0,INDEX(Fish!$D:$D,MATCH(L296,Fish!$L:$L,0)),"")</f>
        <v>11011</v>
      </c>
      <c r="N296" s="41">
        <v>0</v>
      </c>
      <c r="O296" s="41">
        <v>1</v>
      </c>
      <c r="P296" s="41">
        <v>2</v>
      </c>
      <c r="Q296" s="41">
        <v>3</v>
      </c>
      <c r="R296" s="41" t="s">
        <v>92</v>
      </c>
      <c r="S296" s="41">
        <f>IF(R296&gt;0,INDEX(Fish!$D:$D,MATCH(R296,Fish!$L:$L,0)),"")</f>
        <v>11017</v>
      </c>
      <c r="T296" s="41">
        <v>0</v>
      </c>
      <c r="U296" s="41">
        <v>1</v>
      </c>
      <c r="V296" s="41">
        <v>1</v>
      </c>
      <c r="W296" s="41">
        <v>2</v>
      </c>
      <c r="X296" s="41" t="s">
        <v>94</v>
      </c>
      <c r="Y296" s="41">
        <f>IF(X296&gt;0,INDEX(Fish!$D:$D,MATCH(X296,Fish!$L:$L,0)),"")</f>
        <v>11020</v>
      </c>
      <c r="Z296" s="41">
        <v>0</v>
      </c>
      <c r="AA296" s="41">
        <v>1</v>
      </c>
      <c r="AB296" s="41">
        <v>1</v>
      </c>
      <c r="AC296" s="41">
        <v>2</v>
      </c>
      <c r="AD296" s="41" t="s">
        <v>84</v>
      </c>
      <c r="AE296" s="41">
        <f>IF(AD296&gt;0,INDEX(Fish!$D:$D,MATCH(AD296,Fish!$L:$L,0)),"")</f>
        <v>11013</v>
      </c>
      <c r="AF296" s="41">
        <v>0</v>
      </c>
      <c r="AG296" s="41">
        <v>1</v>
      </c>
      <c r="AH296" s="41">
        <v>1</v>
      </c>
      <c r="AI296" s="41">
        <v>1</v>
      </c>
    </row>
    <row r="297" spans="1:35">
      <c r="A297" s="41">
        <v>44412</v>
      </c>
      <c r="B297" s="41">
        <v>4</v>
      </c>
      <c r="C297" s="41">
        <v>0</v>
      </c>
      <c r="D297" s="41">
        <v>2</v>
      </c>
      <c r="E297" s="41">
        <v>1</v>
      </c>
      <c r="F297" s="41" t="s">
        <v>74</v>
      </c>
      <c r="G297" s="41">
        <f>IF(F297&gt;0,INDEX(Fish!$D:$D,MATCH(F297,Fish!$L:$L,0)),"")</f>
        <v>11009</v>
      </c>
      <c r="H297" s="41">
        <v>0</v>
      </c>
      <c r="I297" s="41">
        <v>1</v>
      </c>
      <c r="J297" s="41">
        <v>3</v>
      </c>
      <c r="K297" s="41">
        <v>4</v>
      </c>
      <c r="L297" s="41" t="s">
        <v>80</v>
      </c>
      <c r="M297" s="41">
        <f>IF(L297&gt;0,INDEX(Fish!$D:$D,MATCH(L297,Fish!$L:$L,0)),"")</f>
        <v>11011</v>
      </c>
      <c r="N297" s="41">
        <v>0</v>
      </c>
      <c r="O297" s="41">
        <v>1</v>
      </c>
      <c r="P297" s="41">
        <v>2</v>
      </c>
      <c r="Q297" s="41">
        <v>3</v>
      </c>
      <c r="R297" s="41" t="s">
        <v>92</v>
      </c>
      <c r="S297" s="41">
        <f>IF(R297&gt;0,INDEX(Fish!$D:$D,MATCH(R297,Fish!$L:$L,0)),"")</f>
        <v>11017</v>
      </c>
      <c r="T297" s="41">
        <v>0</v>
      </c>
      <c r="U297" s="41">
        <v>1</v>
      </c>
      <c r="V297" s="41">
        <v>1</v>
      </c>
      <c r="W297" s="41">
        <v>2</v>
      </c>
      <c r="X297" s="41" t="s">
        <v>94</v>
      </c>
      <c r="Y297" s="41">
        <f>IF(X297&gt;0,INDEX(Fish!$D:$D,MATCH(X297,Fish!$L:$L,0)),"")</f>
        <v>11020</v>
      </c>
      <c r="Z297" s="41">
        <v>0</v>
      </c>
      <c r="AA297" s="41">
        <v>1</v>
      </c>
      <c r="AB297" s="41">
        <v>1</v>
      </c>
      <c r="AC297" s="41">
        <v>2</v>
      </c>
      <c r="AD297" s="41" t="s">
        <v>90</v>
      </c>
      <c r="AE297" s="41">
        <f>IF(AD297&gt;0,INDEX(Fish!$D:$D,MATCH(AD297,Fish!$L:$L,0)),"")</f>
        <v>11016</v>
      </c>
      <c r="AF297" s="41">
        <v>0</v>
      </c>
      <c r="AG297" s="41">
        <v>1</v>
      </c>
      <c r="AH297" s="41">
        <v>1</v>
      </c>
      <c r="AI297" s="41">
        <v>1</v>
      </c>
    </row>
    <row r="298" spans="1:35">
      <c r="A298" s="41">
        <v>44412</v>
      </c>
      <c r="B298" s="41">
        <v>4</v>
      </c>
      <c r="C298" s="41">
        <v>0</v>
      </c>
      <c r="D298" s="41">
        <v>2</v>
      </c>
      <c r="E298" s="41">
        <v>1</v>
      </c>
      <c r="F298" s="41" t="s">
        <v>74</v>
      </c>
      <c r="G298" s="41">
        <f>IF(F298&gt;0,INDEX(Fish!$D:$D,MATCH(F298,Fish!$L:$L,0)),"")</f>
        <v>11009</v>
      </c>
      <c r="H298" s="41">
        <v>0</v>
      </c>
      <c r="I298" s="41">
        <v>1</v>
      </c>
      <c r="J298" s="41">
        <v>3</v>
      </c>
      <c r="K298" s="41">
        <v>4</v>
      </c>
      <c r="L298" s="41" t="s">
        <v>80</v>
      </c>
      <c r="M298" s="41">
        <f>IF(L298&gt;0,INDEX(Fish!$D:$D,MATCH(L298,Fish!$L:$L,0)),"")</f>
        <v>11011</v>
      </c>
      <c r="N298" s="41">
        <v>0</v>
      </c>
      <c r="O298" s="41">
        <v>1</v>
      </c>
      <c r="P298" s="41">
        <v>2</v>
      </c>
      <c r="Q298" s="41">
        <v>3</v>
      </c>
      <c r="R298" s="41" t="s">
        <v>82</v>
      </c>
      <c r="S298" s="41">
        <f>IF(R298&gt;0,INDEX(Fish!$D:$D,MATCH(R298,Fish!$L:$L,0)),"")</f>
        <v>11012</v>
      </c>
      <c r="T298" s="41">
        <v>0</v>
      </c>
      <c r="U298" s="41">
        <v>1</v>
      </c>
      <c r="V298" s="41">
        <v>1</v>
      </c>
      <c r="W298" s="41">
        <v>2</v>
      </c>
      <c r="X298" s="41" t="s">
        <v>88</v>
      </c>
      <c r="Y298" s="41">
        <f>IF(X298&gt;0,INDEX(Fish!$D:$D,MATCH(X298,Fish!$L:$L,0)),"")</f>
        <v>11015</v>
      </c>
      <c r="Z298" s="41">
        <v>0</v>
      </c>
      <c r="AA298" s="41">
        <v>1</v>
      </c>
      <c r="AB298" s="41">
        <v>1</v>
      </c>
      <c r="AC298" s="41">
        <v>2</v>
      </c>
      <c r="AD298" s="41" t="s">
        <v>84</v>
      </c>
      <c r="AE298" s="41">
        <f>IF(AD298&gt;0,INDEX(Fish!$D:$D,MATCH(AD298,Fish!$L:$L,0)),"")</f>
        <v>11013</v>
      </c>
      <c r="AF298" s="41">
        <v>0</v>
      </c>
      <c r="AG298" s="41">
        <v>1</v>
      </c>
      <c r="AH298" s="41">
        <v>1</v>
      </c>
      <c r="AI298" s="41">
        <v>1</v>
      </c>
    </row>
    <row r="299" spans="1:35">
      <c r="A299" s="41">
        <v>44412</v>
      </c>
      <c r="B299" s="41">
        <v>4</v>
      </c>
      <c r="C299" s="41">
        <v>0</v>
      </c>
      <c r="D299" s="41">
        <v>2</v>
      </c>
      <c r="E299" s="41">
        <v>1</v>
      </c>
      <c r="F299" s="41" t="s">
        <v>74</v>
      </c>
      <c r="G299" s="41">
        <f>IF(F299&gt;0,INDEX(Fish!$D:$D,MATCH(F299,Fish!$L:$L,0)),"")</f>
        <v>11009</v>
      </c>
      <c r="H299" s="41">
        <v>0</v>
      </c>
      <c r="I299" s="41">
        <v>1</v>
      </c>
      <c r="J299" s="41">
        <v>3</v>
      </c>
      <c r="K299" s="41">
        <v>4</v>
      </c>
      <c r="L299" s="41" t="s">
        <v>80</v>
      </c>
      <c r="M299" s="41">
        <f>IF(L299&gt;0,INDEX(Fish!$D:$D,MATCH(L299,Fish!$L:$L,0)),"")</f>
        <v>11011</v>
      </c>
      <c r="N299" s="41">
        <v>0</v>
      </c>
      <c r="O299" s="41">
        <v>1</v>
      </c>
      <c r="P299" s="41">
        <v>2</v>
      </c>
      <c r="Q299" s="41">
        <v>3</v>
      </c>
      <c r="R299" s="41" t="s">
        <v>82</v>
      </c>
      <c r="S299" s="41">
        <f>IF(R299&gt;0,INDEX(Fish!$D:$D,MATCH(R299,Fish!$L:$L,0)),"")</f>
        <v>11012</v>
      </c>
      <c r="T299" s="41">
        <v>0</v>
      </c>
      <c r="U299" s="41">
        <v>1</v>
      </c>
      <c r="V299" s="41">
        <v>1</v>
      </c>
      <c r="W299" s="41">
        <v>2</v>
      </c>
      <c r="X299" s="41" t="s">
        <v>88</v>
      </c>
      <c r="Y299" s="41">
        <f>IF(X299&gt;0,INDEX(Fish!$D:$D,MATCH(X299,Fish!$L:$L,0)),"")</f>
        <v>11015</v>
      </c>
      <c r="Z299" s="41">
        <v>0</v>
      </c>
      <c r="AA299" s="41">
        <v>1</v>
      </c>
      <c r="AB299" s="41">
        <v>1</v>
      </c>
      <c r="AC299" s="41">
        <v>2</v>
      </c>
      <c r="AD299" s="41" t="s">
        <v>90</v>
      </c>
      <c r="AE299" s="41">
        <f>IF(AD299&gt;0,INDEX(Fish!$D:$D,MATCH(AD299,Fish!$L:$L,0)),"")</f>
        <v>11016</v>
      </c>
      <c r="AF299" s="41">
        <v>0</v>
      </c>
      <c r="AG299" s="41">
        <v>1</v>
      </c>
      <c r="AH299" s="41">
        <v>1</v>
      </c>
      <c r="AI299" s="41">
        <v>1</v>
      </c>
    </row>
    <row r="300" spans="1:35">
      <c r="A300" s="41">
        <v>44412</v>
      </c>
      <c r="B300" s="41">
        <v>4</v>
      </c>
      <c r="C300" s="41">
        <v>0</v>
      </c>
      <c r="D300" s="41">
        <v>2</v>
      </c>
      <c r="E300" s="41">
        <v>1</v>
      </c>
      <c r="F300" s="41" t="s">
        <v>74</v>
      </c>
      <c r="G300" s="41">
        <f>IF(F300&gt;0,INDEX(Fish!$D:$D,MATCH(F300,Fish!$L:$L,0)),"")</f>
        <v>11009</v>
      </c>
      <c r="H300" s="41">
        <v>0</v>
      </c>
      <c r="I300" s="41">
        <v>1</v>
      </c>
      <c r="J300" s="41">
        <v>3</v>
      </c>
      <c r="K300" s="41">
        <v>4</v>
      </c>
      <c r="L300" s="41" t="s">
        <v>80</v>
      </c>
      <c r="M300" s="41">
        <f>IF(L300&gt;0,INDEX(Fish!$D:$D,MATCH(L300,Fish!$L:$L,0)),"")</f>
        <v>11011</v>
      </c>
      <c r="N300" s="41">
        <v>0</v>
      </c>
      <c r="O300" s="41">
        <v>1</v>
      </c>
      <c r="P300" s="41">
        <v>2</v>
      </c>
      <c r="Q300" s="41">
        <v>3</v>
      </c>
      <c r="R300" s="41" t="s">
        <v>82</v>
      </c>
      <c r="S300" s="41">
        <f>IF(R300&gt;0,INDEX(Fish!$D:$D,MATCH(R300,Fish!$L:$L,0)),"")</f>
        <v>11012</v>
      </c>
      <c r="T300" s="41">
        <v>0</v>
      </c>
      <c r="U300" s="41">
        <v>1</v>
      </c>
      <c r="V300" s="41">
        <v>1</v>
      </c>
      <c r="W300" s="41">
        <v>2</v>
      </c>
      <c r="X300" s="41" t="s">
        <v>94</v>
      </c>
      <c r="Y300" s="41">
        <f>IF(X300&gt;0,INDEX(Fish!$D:$D,MATCH(X300,Fish!$L:$L,0)),"")</f>
        <v>11020</v>
      </c>
      <c r="Z300" s="41">
        <v>0</v>
      </c>
      <c r="AA300" s="41">
        <v>1</v>
      </c>
      <c r="AB300" s="41">
        <v>1</v>
      </c>
      <c r="AC300" s="41">
        <v>2</v>
      </c>
      <c r="AD300" s="41" t="s">
        <v>84</v>
      </c>
      <c r="AE300" s="41">
        <f>IF(AD300&gt;0,INDEX(Fish!$D:$D,MATCH(AD300,Fish!$L:$L,0)),"")</f>
        <v>11013</v>
      </c>
      <c r="AF300" s="41">
        <v>0</v>
      </c>
      <c r="AG300" s="41">
        <v>1</v>
      </c>
      <c r="AH300" s="41">
        <v>1</v>
      </c>
      <c r="AI300" s="41">
        <v>1</v>
      </c>
    </row>
    <row r="301" spans="1:35">
      <c r="A301" s="41">
        <v>44412</v>
      </c>
      <c r="B301" s="41">
        <v>4</v>
      </c>
      <c r="C301" s="41">
        <v>0</v>
      </c>
      <c r="D301" s="41">
        <v>2</v>
      </c>
      <c r="E301" s="41">
        <v>1</v>
      </c>
      <c r="F301" s="41" t="s">
        <v>74</v>
      </c>
      <c r="G301" s="41">
        <f>IF(F301&gt;0,INDEX(Fish!$D:$D,MATCH(F301,Fish!$L:$L,0)),"")</f>
        <v>11009</v>
      </c>
      <c r="H301" s="41">
        <v>0</v>
      </c>
      <c r="I301" s="41">
        <v>1</v>
      </c>
      <c r="J301" s="41">
        <v>3</v>
      </c>
      <c r="K301" s="41">
        <v>4</v>
      </c>
      <c r="L301" s="41" t="s">
        <v>80</v>
      </c>
      <c r="M301" s="41">
        <f>IF(L301&gt;0,INDEX(Fish!$D:$D,MATCH(L301,Fish!$L:$L,0)),"")</f>
        <v>11011</v>
      </c>
      <c r="N301" s="41">
        <v>0</v>
      </c>
      <c r="O301" s="41">
        <v>1</v>
      </c>
      <c r="P301" s="41">
        <v>2</v>
      </c>
      <c r="Q301" s="41">
        <v>3</v>
      </c>
      <c r="R301" s="41" t="s">
        <v>82</v>
      </c>
      <c r="S301" s="41">
        <f>IF(R301&gt;0,INDEX(Fish!$D:$D,MATCH(R301,Fish!$L:$L,0)),"")</f>
        <v>11012</v>
      </c>
      <c r="T301" s="41">
        <v>0</v>
      </c>
      <c r="U301" s="41">
        <v>1</v>
      </c>
      <c r="V301" s="41">
        <v>1</v>
      </c>
      <c r="W301" s="41">
        <v>2</v>
      </c>
      <c r="X301" s="41" t="s">
        <v>94</v>
      </c>
      <c r="Y301" s="41">
        <f>IF(X301&gt;0,INDEX(Fish!$D:$D,MATCH(X301,Fish!$L:$L,0)),"")</f>
        <v>11020</v>
      </c>
      <c r="Z301" s="41">
        <v>0</v>
      </c>
      <c r="AA301" s="41">
        <v>1</v>
      </c>
      <c r="AB301" s="41">
        <v>1</v>
      </c>
      <c r="AC301" s="41">
        <v>2</v>
      </c>
      <c r="AD301" s="41" t="s">
        <v>90</v>
      </c>
      <c r="AE301" s="41">
        <f>IF(AD301&gt;0,INDEX(Fish!$D:$D,MATCH(AD301,Fish!$L:$L,0)),"")</f>
        <v>11016</v>
      </c>
      <c r="AF301" s="41">
        <v>0</v>
      </c>
      <c r="AG301" s="41">
        <v>1</v>
      </c>
      <c r="AH301" s="41">
        <v>1</v>
      </c>
      <c r="AI301" s="41">
        <v>1</v>
      </c>
    </row>
    <row r="302" spans="1:35">
      <c r="A302" s="41">
        <v>44412</v>
      </c>
      <c r="B302" s="41">
        <v>4</v>
      </c>
      <c r="C302" s="41">
        <v>0</v>
      </c>
      <c r="D302" s="41">
        <v>2</v>
      </c>
      <c r="E302" s="41">
        <v>1</v>
      </c>
      <c r="F302" s="41" t="s">
        <v>74</v>
      </c>
      <c r="G302" s="41">
        <f>IF(F302&gt;0,INDEX(Fish!$D:$D,MATCH(F302,Fish!$L:$L,0)),"")</f>
        <v>11009</v>
      </c>
      <c r="H302" s="41">
        <v>0</v>
      </c>
      <c r="I302" s="41">
        <v>1</v>
      </c>
      <c r="J302" s="41">
        <v>3</v>
      </c>
      <c r="K302" s="41">
        <v>4</v>
      </c>
      <c r="L302" s="41" t="s">
        <v>78</v>
      </c>
      <c r="M302" s="41">
        <f>IF(L302&gt;0,INDEX(Fish!$D:$D,MATCH(L302,Fish!$L:$L,0)),"")</f>
        <v>11010</v>
      </c>
      <c r="N302" s="41">
        <v>0</v>
      </c>
      <c r="O302" s="41">
        <v>1</v>
      </c>
      <c r="P302" s="41">
        <v>2</v>
      </c>
      <c r="Q302" s="41">
        <v>3</v>
      </c>
      <c r="R302" s="41" t="s">
        <v>92</v>
      </c>
      <c r="S302" s="41">
        <f>IF(R302&gt;0,INDEX(Fish!$D:$D,MATCH(R302,Fish!$L:$L,0)),"")</f>
        <v>11017</v>
      </c>
      <c r="T302" s="41">
        <v>0</v>
      </c>
      <c r="U302" s="41">
        <v>1</v>
      </c>
      <c r="V302" s="41">
        <v>1</v>
      </c>
      <c r="W302" s="41">
        <v>2</v>
      </c>
      <c r="X302" s="41" t="s">
        <v>88</v>
      </c>
      <c r="Y302" s="41">
        <f>IF(X302&gt;0,INDEX(Fish!$D:$D,MATCH(X302,Fish!$L:$L,0)),"")</f>
        <v>11015</v>
      </c>
      <c r="Z302" s="41">
        <v>0</v>
      </c>
      <c r="AA302" s="41">
        <v>1</v>
      </c>
      <c r="AB302" s="41">
        <v>1</v>
      </c>
      <c r="AC302" s="41">
        <v>2</v>
      </c>
      <c r="AD302" s="41" t="s">
        <v>84</v>
      </c>
      <c r="AE302" s="41">
        <f>IF(AD302&gt;0,INDEX(Fish!$D:$D,MATCH(AD302,Fish!$L:$L,0)),"")</f>
        <v>11013</v>
      </c>
      <c r="AF302" s="41">
        <v>0</v>
      </c>
      <c r="AG302" s="41">
        <v>1</v>
      </c>
      <c r="AH302" s="41">
        <v>1</v>
      </c>
      <c r="AI302" s="41">
        <v>1</v>
      </c>
    </row>
    <row r="303" spans="1:35">
      <c r="A303" s="41">
        <v>44412</v>
      </c>
      <c r="B303" s="41">
        <v>4</v>
      </c>
      <c r="C303" s="41">
        <v>0</v>
      </c>
      <c r="D303" s="41">
        <v>2</v>
      </c>
      <c r="E303" s="41">
        <v>1</v>
      </c>
      <c r="F303" s="41" t="s">
        <v>74</v>
      </c>
      <c r="G303" s="41">
        <f>IF(F303&gt;0,INDEX(Fish!$D:$D,MATCH(F303,Fish!$L:$L,0)),"")</f>
        <v>11009</v>
      </c>
      <c r="H303" s="41">
        <v>0</v>
      </c>
      <c r="I303" s="41">
        <v>1</v>
      </c>
      <c r="J303" s="41">
        <v>3</v>
      </c>
      <c r="K303" s="41">
        <v>4</v>
      </c>
      <c r="L303" s="41" t="s">
        <v>78</v>
      </c>
      <c r="M303" s="41">
        <f>IF(L303&gt;0,INDEX(Fish!$D:$D,MATCH(L303,Fish!$L:$L,0)),"")</f>
        <v>11010</v>
      </c>
      <c r="N303" s="41">
        <v>0</v>
      </c>
      <c r="O303" s="41">
        <v>1</v>
      </c>
      <c r="P303" s="41">
        <v>2</v>
      </c>
      <c r="Q303" s="41">
        <v>3</v>
      </c>
      <c r="R303" s="41" t="s">
        <v>92</v>
      </c>
      <c r="S303" s="41">
        <f>IF(R303&gt;0,INDEX(Fish!$D:$D,MATCH(R303,Fish!$L:$L,0)),"")</f>
        <v>11017</v>
      </c>
      <c r="T303" s="41">
        <v>0</v>
      </c>
      <c r="U303" s="41">
        <v>1</v>
      </c>
      <c r="V303" s="41">
        <v>1</v>
      </c>
      <c r="W303" s="41">
        <v>2</v>
      </c>
      <c r="X303" s="41" t="s">
        <v>88</v>
      </c>
      <c r="Y303" s="41">
        <f>IF(X303&gt;0,INDEX(Fish!$D:$D,MATCH(X303,Fish!$L:$L,0)),"")</f>
        <v>11015</v>
      </c>
      <c r="Z303" s="41">
        <v>0</v>
      </c>
      <c r="AA303" s="41">
        <v>1</v>
      </c>
      <c r="AB303" s="41">
        <v>1</v>
      </c>
      <c r="AC303" s="41">
        <v>2</v>
      </c>
      <c r="AD303" s="41" t="s">
        <v>90</v>
      </c>
      <c r="AE303" s="41">
        <f>IF(AD303&gt;0,INDEX(Fish!$D:$D,MATCH(AD303,Fish!$L:$L,0)),"")</f>
        <v>11016</v>
      </c>
      <c r="AF303" s="41">
        <v>0</v>
      </c>
      <c r="AG303" s="41">
        <v>1</v>
      </c>
      <c r="AH303" s="41">
        <v>1</v>
      </c>
      <c r="AI303" s="41">
        <v>1</v>
      </c>
    </row>
    <row r="304" spans="1:35">
      <c r="A304" s="41">
        <v>44412</v>
      </c>
      <c r="B304" s="41">
        <v>4</v>
      </c>
      <c r="C304" s="41">
        <v>0</v>
      </c>
      <c r="D304" s="41">
        <v>2</v>
      </c>
      <c r="E304" s="41">
        <v>1</v>
      </c>
      <c r="F304" s="41" t="s">
        <v>74</v>
      </c>
      <c r="G304" s="41">
        <f>IF(F304&gt;0,INDEX(Fish!$D:$D,MATCH(F304,Fish!$L:$L,0)),"")</f>
        <v>11009</v>
      </c>
      <c r="H304" s="41">
        <v>0</v>
      </c>
      <c r="I304" s="41">
        <v>1</v>
      </c>
      <c r="J304" s="41">
        <v>3</v>
      </c>
      <c r="K304" s="41">
        <v>4</v>
      </c>
      <c r="L304" s="41" t="s">
        <v>78</v>
      </c>
      <c r="M304" s="41">
        <f>IF(L304&gt;0,INDEX(Fish!$D:$D,MATCH(L304,Fish!$L:$L,0)),"")</f>
        <v>11010</v>
      </c>
      <c r="N304" s="41">
        <v>0</v>
      </c>
      <c r="O304" s="41">
        <v>1</v>
      </c>
      <c r="P304" s="41">
        <v>2</v>
      </c>
      <c r="Q304" s="41">
        <v>3</v>
      </c>
      <c r="R304" s="41" t="s">
        <v>92</v>
      </c>
      <c r="S304" s="41">
        <f>IF(R304&gt;0,INDEX(Fish!$D:$D,MATCH(R304,Fish!$L:$L,0)),"")</f>
        <v>11017</v>
      </c>
      <c r="T304" s="41">
        <v>0</v>
      </c>
      <c r="U304" s="41">
        <v>1</v>
      </c>
      <c r="V304" s="41">
        <v>1</v>
      </c>
      <c r="W304" s="41">
        <v>2</v>
      </c>
      <c r="X304" s="41" t="s">
        <v>94</v>
      </c>
      <c r="Y304" s="41">
        <f>IF(X304&gt;0,INDEX(Fish!$D:$D,MATCH(X304,Fish!$L:$L,0)),"")</f>
        <v>11020</v>
      </c>
      <c r="Z304" s="41">
        <v>0</v>
      </c>
      <c r="AA304" s="41">
        <v>1</v>
      </c>
      <c r="AB304" s="41">
        <v>1</v>
      </c>
      <c r="AC304" s="41">
        <v>2</v>
      </c>
      <c r="AD304" s="41" t="s">
        <v>84</v>
      </c>
      <c r="AE304" s="41">
        <f>IF(AD304&gt;0,INDEX(Fish!$D:$D,MATCH(AD304,Fish!$L:$L,0)),"")</f>
        <v>11013</v>
      </c>
      <c r="AF304" s="41">
        <v>0</v>
      </c>
      <c r="AG304" s="41">
        <v>1</v>
      </c>
      <c r="AH304" s="41">
        <v>1</v>
      </c>
      <c r="AI304" s="41">
        <v>1</v>
      </c>
    </row>
    <row r="305" spans="1:35">
      <c r="A305" s="41">
        <v>44412</v>
      </c>
      <c r="B305" s="41">
        <v>4</v>
      </c>
      <c r="C305" s="41">
        <v>0</v>
      </c>
      <c r="D305" s="41">
        <v>2</v>
      </c>
      <c r="E305" s="41">
        <v>1</v>
      </c>
      <c r="F305" s="41" t="s">
        <v>74</v>
      </c>
      <c r="G305" s="41">
        <f>IF(F305&gt;0,INDEX(Fish!$D:$D,MATCH(F305,Fish!$L:$L,0)),"")</f>
        <v>11009</v>
      </c>
      <c r="H305" s="41">
        <v>0</v>
      </c>
      <c r="I305" s="41">
        <v>1</v>
      </c>
      <c r="J305" s="41">
        <v>3</v>
      </c>
      <c r="K305" s="41">
        <v>4</v>
      </c>
      <c r="L305" s="41" t="s">
        <v>78</v>
      </c>
      <c r="M305" s="41">
        <f>IF(L305&gt;0,INDEX(Fish!$D:$D,MATCH(L305,Fish!$L:$L,0)),"")</f>
        <v>11010</v>
      </c>
      <c r="N305" s="41">
        <v>0</v>
      </c>
      <c r="O305" s="41">
        <v>1</v>
      </c>
      <c r="P305" s="41">
        <v>2</v>
      </c>
      <c r="Q305" s="41">
        <v>3</v>
      </c>
      <c r="R305" s="41" t="s">
        <v>92</v>
      </c>
      <c r="S305" s="41">
        <f>IF(R305&gt;0,INDEX(Fish!$D:$D,MATCH(R305,Fish!$L:$L,0)),"")</f>
        <v>11017</v>
      </c>
      <c r="T305" s="41">
        <v>0</v>
      </c>
      <c r="U305" s="41">
        <v>1</v>
      </c>
      <c r="V305" s="41">
        <v>1</v>
      </c>
      <c r="W305" s="41">
        <v>2</v>
      </c>
      <c r="X305" s="41" t="s">
        <v>94</v>
      </c>
      <c r="Y305" s="41">
        <f>IF(X305&gt;0,INDEX(Fish!$D:$D,MATCH(X305,Fish!$L:$L,0)),"")</f>
        <v>11020</v>
      </c>
      <c r="Z305" s="41">
        <v>0</v>
      </c>
      <c r="AA305" s="41">
        <v>1</v>
      </c>
      <c r="AB305" s="41">
        <v>1</v>
      </c>
      <c r="AC305" s="41">
        <v>2</v>
      </c>
      <c r="AD305" s="41" t="s">
        <v>90</v>
      </c>
      <c r="AE305" s="41">
        <f>IF(AD305&gt;0,INDEX(Fish!$D:$D,MATCH(AD305,Fish!$L:$L,0)),"")</f>
        <v>11016</v>
      </c>
      <c r="AF305" s="41">
        <v>0</v>
      </c>
      <c r="AG305" s="41">
        <v>1</v>
      </c>
      <c r="AH305" s="41">
        <v>1</v>
      </c>
      <c r="AI305" s="41">
        <v>1</v>
      </c>
    </row>
    <row r="306" spans="1:35">
      <c r="A306" s="41">
        <v>44412</v>
      </c>
      <c r="B306" s="41">
        <v>4</v>
      </c>
      <c r="C306" s="41">
        <v>0</v>
      </c>
      <c r="D306" s="41">
        <v>2</v>
      </c>
      <c r="E306" s="41">
        <v>1</v>
      </c>
      <c r="F306" s="41" t="s">
        <v>74</v>
      </c>
      <c r="G306" s="41">
        <f>IF(F306&gt;0,INDEX(Fish!$D:$D,MATCH(F306,Fish!$L:$L,0)),"")</f>
        <v>11009</v>
      </c>
      <c r="H306" s="41">
        <v>0</v>
      </c>
      <c r="I306" s="41">
        <v>1</v>
      </c>
      <c r="J306" s="41">
        <v>3</v>
      </c>
      <c r="K306" s="41">
        <v>4</v>
      </c>
      <c r="L306" s="41" t="s">
        <v>78</v>
      </c>
      <c r="M306" s="41">
        <f>IF(L306&gt;0,INDEX(Fish!$D:$D,MATCH(L306,Fish!$L:$L,0)),"")</f>
        <v>11010</v>
      </c>
      <c r="N306" s="41">
        <v>0</v>
      </c>
      <c r="O306" s="41">
        <v>1</v>
      </c>
      <c r="P306" s="41">
        <v>2</v>
      </c>
      <c r="Q306" s="41">
        <v>3</v>
      </c>
      <c r="R306" s="41" t="s">
        <v>82</v>
      </c>
      <c r="S306" s="41">
        <f>IF(R306&gt;0,INDEX(Fish!$D:$D,MATCH(R306,Fish!$L:$L,0)),"")</f>
        <v>11012</v>
      </c>
      <c r="T306" s="41">
        <v>0</v>
      </c>
      <c r="U306" s="41">
        <v>1</v>
      </c>
      <c r="V306" s="41">
        <v>1</v>
      </c>
      <c r="W306" s="41">
        <v>2</v>
      </c>
      <c r="X306" s="41" t="s">
        <v>88</v>
      </c>
      <c r="Y306" s="41">
        <f>IF(X306&gt;0,INDEX(Fish!$D:$D,MATCH(X306,Fish!$L:$L,0)),"")</f>
        <v>11015</v>
      </c>
      <c r="Z306" s="41">
        <v>0</v>
      </c>
      <c r="AA306" s="41">
        <v>1</v>
      </c>
      <c r="AB306" s="41">
        <v>1</v>
      </c>
      <c r="AC306" s="41">
        <v>2</v>
      </c>
      <c r="AD306" s="41" t="s">
        <v>84</v>
      </c>
      <c r="AE306" s="41">
        <f>IF(AD306&gt;0,INDEX(Fish!$D:$D,MATCH(AD306,Fish!$L:$L,0)),"")</f>
        <v>11013</v>
      </c>
      <c r="AF306" s="41">
        <v>0</v>
      </c>
      <c r="AG306" s="41">
        <v>1</v>
      </c>
      <c r="AH306" s="41">
        <v>1</v>
      </c>
      <c r="AI306" s="41">
        <v>1</v>
      </c>
    </row>
    <row r="307" spans="1:35">
      <c r="A307" s="41">
        <v>44412</v>
      </c>
      <c r="B307" s="41">
        <v>4</v>
      </c>
      <c r="C307" s="41">
        <v>0</v>
      </c>
      <c r="D307" s="41">
        <v>2</v>
      </c>
      <c r="E307" s="41">
        <v>1</v>
      </c>
      <c r="F307" s="41" t="s">
        <v>74</v>
      </c>
      <c r="G307" s="41">
        <f>IF(F307&gt;0,INDEX(Fish!$D:$D,MATCH(F307,Fish!$L:$L,0)),"")</f>
        <v>11009</v>
      </c>
      <c r="H307" s="41">
        <v>0</v>
      </c>
      <c r="I307" s="41">
        <v>1</v>
      </c>
      <c r="J307" s="41">
        <v>3</v>
      </c>
      <c r="K307" s="41">
        <v>4</v>
      </c>
      <c r="L307" s="41" t="s">
        <v>78</v>
      </c>
      <c r="M307" s="41">
        <f>IF(L307&gt;0,INDEX(Fish!$D:$D,MATCH(L307,Fish!$L:$L,0)),"")</f>
        <v>11010</v>
      </c>
      <c r="N307" s="41">
        <v>0</v>
      </c>
      <c r="O307" s="41">
        <v>1</v>
      </c>
      <c r="P307" s="41">
        <v>2</v>
      </c>
      <c r="Q307" s="41">
        <v>3</v>
      </c>
      <c r="R307" s="41" t="s">
        <v>82</v>
      </c>
      <c r="S307" s="41">
        <f>IF(R307&gt;0,INDEX(Fish!$D:$D,MATCH(R307,Fish!$L:$L,0)),"")</f>
        <v>11012</v>
      </c>
      <c r="T307" s="41">
        <v>0</v>
      </c>
      <c r="U307" s="41">
        <v>1</v>
      </c>
      <c r="V307" s="41">
        <v>1</v>
      </c>
      <c r="W307" s="41">
        <v>2</v>
      </c>
      <c r="X307" s="41" t="s">
        <v>88</v>
      </c>
      <c r="Y307" s="41">
        <f>IF(X307&gt;0,INDEX(Fish!$D:$D,MATCH(X307,Fish!$L:$L,0)),"")</f>
        <v>11015</v>
      </c>
      <c r="Z307" s="41">
        <v>0</v>
      </c>
      <c r="AA307" s="41">
        <v>1</v>
      </c>
      <c r="AB307" s="41">
        <v>1</v>
      </c>
      <c r="AC307" s="41">
        <v>2</v>
      </c>
      <c r="AD307" s="41" t="s">
        <v>90</v>
      </c>
      <c r="AE307" s="41">
        <f>IF(AD307&gt;0,INDEX(Fish!$D:$D,MATCH(AD307,Fish!$L:$L,0)),"")</f>
        <v>11016</v>
      </c>
      <c r="AF307" s="41">
        <v>0</v>
      </c>
      <c r="AG307" s="41">
        <v>1</v>
      </c>
      <c r="AH307" s="41">
        <v>1</v>
      </c>
      <c r="AI307" s="41">
        <v>1</v>
      </c>
    </row>
    <row r="308" spans="1:35">
      <c r="A308" s="41">
        <v>44412</v>
      </c>
      <c r="B308" s="41">
        <v>4</v>
      </c>
      <c r="C308" s="41">
        <v>0</v>
      </c>
      <c r="D308" s="41">
        <v>2</v>
      </c>
      <c r="E308" s="41">
        <v>1</v>
      </c>
      <c r="F308" s="41" t="s">
        <v>74</v>
      </c>
      <c r="G308" s="41">
        <f>IF(F308&gt;0,INDEX(Fish!$D:$D,MATCH(F308,Fish!$L:$L,0)),"")</f>
        <v>11009</v>
      </c>
      <c r="H308" s="41">
        <v>0</v>
      </c>
      <c r="I308" s="41">
        <v>1</v>
      </c>
      <c r="J308" s="41">
        <v>3</v>
      </c>
      <c r="K308" s="41">
        <v>4</v>
      </c>
      <c r="L308" s="41" t="s">
        <v>78</v>
      </c>
      <c r="M308" s="41">
        <f>IF(L308&gt;0,INDEX(Fish!$D:$D,MATCH(L308,Fish!$L:$L,0)),"")</f>
        <v>11010</v>
      </c>
      <c r="N308" s="41">
        <v>0</v>
      </c>
      <c r="O308" s="41">
        <v>1</v>
      </c>
      <c r="P308" s="41">
        <v>2</v>
      </c>
      <c r="Q308" s="41">
        <v>3</v>
      </c>
      <c r="R308" s="41" t="s">
        <v>82</v>
      </c>
      <c r="S308" s="41">
        <f>IF(R308&gt;0,INDEX(Fish!$D:$D,MATCH(R308,Fish!$L:$L,0)),"")</f>
        <v>11012</v>
      </c>
      <c r="T308" s="41">
        <v>0</v>
      </c>
      <c r="U308" s="41">
        <v>1</v>
      </c>
      <c r="V308" s="41">
        <v>1</v>
      </c>
      <c r="W308" s="41">
        <v>2</v>
      </c>
      <c r="X308" s="41" t="s">
        <v>94</v>
      </c>
      <c r="Y308" s="41">
        <f>IF(X308&gt;0,INDEX(Fish!$D:$D,MATCH(X308,Fish!$L:$L,0)),"")</f>
        <v>11020</v>
      </c>
      <c r="Z308" s="41">
        <v>0</v>
      </c>
      <c r="AA308" s="41">
        <v>1</v>
      </c>
      <c r="AB308" s="41">
        <v>1</v>
      </c>
      <c r="AC308" s="41">
        <v>2</v>
      </c>
      <c r="AD308" s="41" t="s">
        <v>84</v>
      </c>
      <c r="AE308" s="41">
        <f>IF(AD308&gt;0,INDEX(Fish!$D:$D,MATCH(AD308,Fish!$L:$L,0)),"")</f>
        <v>11013</v>
      </c>
      <c r="AF308" s="41">
        <v>0</v>
      </c>
      <c r="AG308" s="41">
        <v>1</v>
      </c>
      <c r="AH308" s="41">
        <v>1</v>
      </c>
      <c r="AI308" s="41">
        <v>1</v>
      </c>
    </row>
    <row r="309" spans="1:35">
      <c r="A309" s="41">
        <v>44412</v>
      </c>
      <c r="B309" s="41">
        <v>4</v>
      </c>
      <c r="C309" s="41">
        <v>0</v>
      </c>
      <c r="D309" s="41">
        <v>2</v>
      </c>
      <c r="E309" s="41">
        <v>1</v>
      </c>
      <c r="F309" s="41" t="s">
        <v>74</v>
      </c>
      <c r="G309" s="41">
        <f>IF(F309&gt;0,INDEX(Fish!$D:$D,MATCH(F309,Fish!$L:$L,0)),"")</f>
        <v>11009</v>
      </c>
      <c r="H309" s="41">
        <v>0</v>
      </c>
      <c r="I309" s="41">
        <v>1</v>
      </c>
      <c r="J309" s="41">
        <v>3</v>
      </c>
      <c r="K309" s="41">
        <v>4</v>
      </c>
      <c r="L309" s="41" t="s">
        <v>78</v>
      </c>
      <c r="M309" s="41">
        <f>IF(L309&gt;0,INDEX(Fish!$D:$D,MATCH(L309,Fish!$L:$L,0)),"")</f>
        <v>11010</v>
      </c>
      <c r="N309" s="41">
        <v>0</v>
      </c>
      <c r="O309" s="41">
        <v>1</v>
      </c>
      <c r="P309" s="41">
        <v>2</v>
      </c>
      <c r="Q309" s="41">
        <v>3</v>
      </c>
      <c r="R309" s="41" t="s">
        <v>82</v>
      </c>
      <c r="S309" s="41">
        <f>IF(R309&gt;0,INDEX(Fish!$D:$D,MATCH(R309,Fish!$L:$L,0)),"")</f>
        <v>11012</v>
      </c>
      <c r="T309" s="41">
        <v>0</v>
      </c>
      <c r="U309" s="41">
        <v>1</v>
      </c>
      <c r="V309" s="41">
        <v>1</v>
      </c>
      <c r="W309" s="41">
        <v>2</v>
      </c>
      <c r="X309" s="41" t="s">
        <v>94</v>
      </c>
      <c r="Y309" s="41">
        <f>IF(X309&gt;0,INDEX(Fish!$D:$D,MATCH(X309,Fish!$L:$L,0)),"")</f>
        <v>11020</v>
      </c>
      <c r="Z309" s="41">
        <v>0</v>
      </c>
      <c r="AA309" s="41">
        <v>1</v>
      </c>
      <c r="AB309" s="41">
        <v>1</v>
      </c>
      <c r="AC309" s="41">
        <v>2</v>
      </c>
      <c r="AD309" s="41" t="s">
        <v>90</v>
      </c>
      <c r="AE309" s="41">
        <f>IF(AD309&gt;0,INDEX(Fish!$D:$D,MATCH(AD309,Fish!$L:$L,0)),"")</f>
        <v>11016</v>
      </c>
      <c r="AF309" s="41">
        <v>0</v>
      </c>
      <c r="AG309" s="41">
        <v>1</v>
      </c>
      <c r="AH309" s="41">
        <v>1</v>
      </c>
      <c r="AI309" s="41">
        <v>1</v>
      </c>
    </row>
    <row r="310" spans="1:35" ht="18.75">
      <c r="A310" s="41">
        <v>44412</v>
      </c>
      <c r="B310" s="41">
        <v>5</v>
      </c>
      <c r="C310" s="41">
        <v>0</v>
      </c>
      <c r="D310" s="41">
        <v>3</v>
      </c>
      <c r="E310" s="41">
        <v>2</v>
      </c>
      <c r="F310" s="41" t="s">
        <v>98</v>
      </c>
      <c r="G310" s="41">
        <f>IF(F310&gt;0,INDEX(Fish!$D:$D,MATCH(F310,Fish!$L:$L,0)),"")</f>
        <v>11090</v>
      </c>
      <c r="H310" s="41">
        <v>55000</v>
      </c>
      <c r="I310" s="41">
        <v>1</v>
      </c>
      <c r="J310" s="41">
        <v>1</v>
      </c>
      <c r="K310" s="41">
        <v>1</v>
      </c>
      <c r="L310" s="45" t="s">
        <v>100</v>
      </c>
      <c r="M310" s="41">
        <f>IF(L310&gt;0,INDEX(Fish!$D:$D,MATCH(L310,Fish!$L:$L,0)),"")</f>
        <v>11025</v>
      </c>
      <c r="N310" s="41">
        <v>45000</v>
      </c>
      <c r="O310" s="41">
        <v>1</v>
      </c>
      <c r="P310" s="41">
        <v>1</v>
      </c>
      <c r="Q310" s="41">
        <v>1</v>
      </c>
      <c r="S310" s="41" t="str">
        <f>IF(R310&gt;0,INDEX(Fish!$D:$D,MATCH(R310,Fish!$L:$L,0)),"")</f>
        <v/>
      </c>
      <c r="Y310" s="41" t="str">
        <f>IF(X310&gt;0,INDEX(Fish!$D:$D,MATCH(X310,Fish!$L:$L,0)),"")</f>
        <v/>
      </c>
      <c r="AE310" s="41" t="str">
        <f>IF(AD310&gt;0,INDEX(Fish!$D:$D,MATCH(AD310,Fish!$L:$L,0)),"")</f>
        <v/>
      </c>
    </row>
    <row r="311" spans="1:35" ht="20.25">
      <c r="A311" s="41">
        <v>44412</v>
      </c>
      <c r="B311" s="41">
        <v>5</v>
      </c>
      <c r="C311" s="41">
        <v>0</v>
      </c>
      <c r="D311" s="41">
        <v>4</v>
      </c>
      <c r="E311" s="41">
        <v>2</v>
      </c>
      <c r="F311" s="41" t="s">
        <v>346</v>
      </c>
      <c r="G311" s="41">
        <f>IF(F311&gt;0,INDEX(Fish!$D:$D,MATCH(F311,Fish!$L:$L,0)),"")</f>
        <v>11018</v>
      </c>
      <c r="H311" s="41">
        <v>30000</v>
      </c>
      <c r="I311" s="41">
        <v>1</v>
      </c>
      <c r="J311" s="41">
        <v>1</v>
      </c>
      <c r="K311" s="41">
        <v>2</v>
      </c>
      <c r="L311" s="41" t="s">
        <v>356</v>
      </c>
      <c r="M311" s="41">
        <f>IF(L311&gt;0,INDEX(Fish!$D:$D,MATCH(L311,Fish!$L:$L,0)),"")</f>
        <v>11214</v>
      </c>
      <c r="N311" s="41">
        <v>30000</v>
      </c>
      <c r="O311" s="41">
        <v>1</v>
      </c>
      <c r="P311" s="41">
        <v>1</v>
      </c>
      <c r="Q311" s="41">
        <v>2</v>
      </c>
      <c r="R311" s="41" t="s">
        <v>350</v>
      </c>
      <c r="S311" s="41">
        <f>IF(R311&gt;0,INDEX(Fish!$D:$D,MATCH(R311,Fish!$L:$L,0)),"")</f>
        <v>11021</v>
      </c>
      <c r="T311" s="41">
        <v>25000</v>
      </c>
      <c r="U311" s="41">
        <v>1</v>
      </c>
      <c r="V311" s="41">
        <v>1</v>
      </c>
      <c r="W311" s="41">
        <v>2</v>
      </c>
      <c r="X311" s="44" t="s">
        <v>348</v>
      </c>
      <c r="Y311" s="41">
        <f>IF(X311&gt;0,INDEX(Fish!$D:$D,MATCH(X311,Fish!$L:$L,0)),"")</f>
        <v>11092</v>
      </c>
      <c r="Z311" s="41">
        <v>15000</v>
      </c>
      <c r="AA311" s="41">
        <v>1</v>
      </c>
      <c r="AB311" s="41">
        <v>1</v>
      </c>
      <c r="AC311" s="41">
        <v>2</v>
      </c>
      <c r="AE311" s="41" t="str">
        <f>IF(AD311&gt;0,INDEX(Fish!$D:$D,MATCH(AD311,Fish!$L:$L,0)),"")</f>
        <v/>
      </c>
    </row>
    <row r="312" spans="1:35">
      <c r="A312" s="41">
        <v>44412</v>
      </c>
      <c r="B312" s="41">
        <v>5</v>
      </c>
      <c r="C312" s="41">
        <v>0</v>
      </c>
      <c r="D312" s="41">
        <v>5</v>
      </c>
      <c r="E312" s="41">
        <v>2</v>
      </c>
      <c r="F312" s="41" t="s">
        <v>117</v>
      </c>
      <c r="G312" s="41">
        <f>IF(F312&gt;0,INDEX(Fish!$D:$D,MATCH(F312,Fish!$L:$L,0)),"")</f>
        <v>14009</v>
      </c>
      <c r="H312" s="41">
        <v>30000</v>
      </c>
      <c r="I312" s="41">
        <v>1</v>
      </c>
      <c r="J312" s="41">
        <v>1</v>
      </c>
      <c r="K312" s="41">
        <v>1</v>
      </c>
      <c r="L312" s="41" t="s">
        <v>118</v>
      </c>
      <c r="M312" s="41">
        <f>IF(L312&gt;0,INDEX(Fish!$D:$D,MATCH(L312,Fish!$L:$L,0)),"")</f>
        <v>14011</v>
      </c>
      <c r="N312" s="41">
        <v>27000</v>
      </c>
      <c r="O312" s="41">
        <v>1</v>
      </c>
      <c r="P312" s="41">
        <v>1</v>
      </c>
      <c r="Q312" s="41">
        <v>1</v>
      </c>
      <c r="R312" s="41" t="s">
        <v>120</v>
      </c>
      <c r="S312" s="41">
        <f>IF(R312&gt;0,INDEX(Fish!$D:$D,MATCH(R312,Fish!$L:$L,0)),"")</f>
        <v>14015</v>
      </c>
      <c r="T312" s="41">
        <v>20000</v>
      </c>
      <c r="U312" s="41">
        <v>1</v>
      </c>
      <c r="V312" s="41">
        <v>1</v>
      </c>
      <c r="W312" s="41">
        <v>1</v>
      </c>
      <c r="X312" s="41" t="s">
        <v>121</v>
      </c>
      <c r="Y312" s="41">
        <f>IF(X312&gt;0,INDEX(Fish!$D:$D,MATCH(X312,Fish!$L:$L,0)),"")</f>
        <v>14020</v>
      </c>
      <c r="Z312" s="41">
        <v>12000</v>
      </c>
      <c r="AA312" s="41">
        <v>1</v>
      </c>
      <c r="AB312" s="41">
        <v>1</v>
      </c>
      <c r="AC312" s="41">
        <v>1</v>
      </c>
      <c r="AD312" s="41" t="s">
        <v>119</v>
      </c>
      <c r="AE312" s="41">
        <f>IF(AD312&gt;0,INDEX(Fish!$D:$D,MATCH(AD312,Fish!$L:$L,0)),"")</f>
        <v>14013</v>
      </c>
      <c r="AF312" s="41">
        <v>11000</v>
      </c>
      <c r="AG312" s="41">
        <v>1</v>
      </c>
      <c r="AH312" s="41">
        <v>1</v>
      </c>
      <c r="AI312" s="41">
        <v>1</v>
      </c>
    </row>
    <row r="313" spans="1:35">
      <c r="A313" s="41">
        <v>44413</v>
      </c>
      <c r="B313" s="41">
        <v>1</v>
      </c>
      <c r="C313" s="41">
        <v>10</v>
      </c>
      <c r="D313" s="41">
        <v>1</v>
      </c>
      <c r="E313" s="41">
        <v>1</v>
      </c>
      <c r="F313" s="41" t="s">
        <v>58</v>
      </c>
      <c r="G313" s="41">
        <f>IF(F313&gt;0,INDEX(Fish!$D:$D,MATCH(F313,Fish!$L:$L,0)),"")</f>
        <v>11001</v>
      </c>
      <c r="H313" s="41">
        <v>0</v>
      </c>
      <c r="I313" s="41">
        <v>4</v>
      </c>
      <c r="J313" s="41">
        <v>8</v>
      </c>
      <c r="K313" s="41">
        <v>10</v>
      </c>
      <c r="L313" s="41" t="s">
        <v>62</v>
      </c>
      <c r="M313" s="41">
        <f>IF(L313&gt;0,INDEX(Fish!$D:$D,MATCH(L313,Fish!$L:$L,0)),"")</f>
        <v>11003</v>
      </c>
      <c r="N313" s="41">
        <v>0</v>
      </c>
      <c r="O313" s="41">
        <v>3</v>
      </c>
      <c r="P313" s="41">
        <v>8</v>
      </c>
      <c r="Q313" s="41">
        <v>10</v>
      </c>
    </row>
    <row r="314" spans="1:35">
      <c r="A314" s="41">
        <v>44413</v>
      </c>
      <c r="B314" s="41">
        <v>1</v>
      </c>
      <c r="C314" s="41">
        <v>10</v>
      </c>
      <c r="D314" s="41">
        <v>1</v>
      </c>
      <c r="E314" s="41">
        <v>1</v>
      </c>
      <c r="F314" s="41" t="s">
        <v>58</v>
      </c>
      <c r="G314" s="41">
        <f>IF(F314&gt;0,INDEX(Fish!$D:$D,MATCH(F314,Fish!$L:$L,0)),"")</f>
        <v>11001</v>
      </c>
      <c r="H314" s="41">
        <v>0</v>
      </c>
      <c r="I314" s="41">
        <v>4</v>
      </c>
      <c r="J314" s="41">
        <v>8</v>
      </c>
      <c r="K314" s="41">
        <v>10</v>
      </c>
      <c r="L314" s="41" t="s">
        <v>64</v>
      </c>
      <c r="M314" s="41">
        <f>IF(L314&gt;0,INDEX(Fish!$D:$D,MATCH(L314,Fish!$L:$L,0)),"")</f>
        <v>11004</v>
      </c>
      <c r="N314" s="41">
        <v>0</v>
      </c>
      <c r="O314" s="41">
        <v>3</v>
      </c>
      <c r="P314" s="41">
        <v>8</v>
      </c>
      <c r="Q314" s="41">
        <v>10</v>
      </c>
    </row>
    <row r="315" spans="1:35">
      <c r="A315" s="41">
        <v>44413</v>
      </c>
      <c r="B315" s="41">
        <v>1</v>
      </c>
      <c r="C315" s="41">
        <v>10</v>
      </c>
      <c r="D315" s="41">
        <v>1</v>
      </c>
      <c r="E315" s="41">
        <v>1</v>
      </c>
      <c r="F315" s="41" t="s">
        <v>58</v>
      </c>
      <c r="G315" s="41">
        <f>IF(F315&gt;0,INDEX(Fish!$D:$D,MATCH(F315,Fish!$L:$L,0)),"")</f>
        <v>11001</v>
      </c>
      <c r="H315" s="41">
        <v>0</v>
      </c>
      <c r="I315" s="41">
        <v>4</v>
      </c>
      <c r="J315" s="41">
        <v>8</v>
      </c>
      <c r="K315" s="41">
        <v>10</v>
      </c>
      <c r="L315" s="41" t="s">
        <v>70</v>
      </c>
      <c r="M315" s="41">
        <f>IF(L315&gt;0,INDEX(Fish!$D:$D,MATCH(L315,Fish!$L:$L,0)),"")</f>
        <v>11007</v>
      </c>
      <c r="N315" s="41">
        <v>0</v>
      </c>
      <c r="O315" s="41">
        <v>3</v>
      </c>
      <c r="P315" s="41">
        <v>8</v>
      </c>
      <c r="Q315" s="41">
        <v>10</v>
      </c>
    </row>
    <row r="316" spans="1:35">
      <c r="A316" s="41">
        <v>44413</v>
      </c>
      <c r="B316" s="41">
        <v>1</v>
      </c>
      <c r="C316" s="41">
        <v>10</v>
      </c>
      <c r="D316" s="41">
        <v>1</v>
      </c>
      <c r="E316" s="41">
        <v>1</v>
      </c>
      <c r="F316" s="41" t="s">
        <v>60</v>
      </c>
      <c r="G316" s="41">
        <f>IF(F316&gt;0,INDEX(Fish!$D:$D,MATCH(F316,Fish!$L:$L,0)),"")</f>
        <v>11002</v>
      </c>
      <c r="H316" s="41">
        <v>0</v>
      </c>
      <c r="I316" s="41">
        <v>4</v>
      </c>
      <c r="J316" s="41">
        <v>8</v>
      </c>
      <c r="K316" s="41">
        <v>10</v>
      </c>
      <c r="L316" s="41" t="s">
        <v>62</v>
      </c>
      <c r="M316" s="41">
        <f>IF(L316&gt;0,INDEX(Fish!$D:$D,MATCH(L316,Fish!$L:$L,0)),"")</f>
        <v>11003</v>
      </c>
      <c r="N316" s="41">
        <v>0</v>
      </c>
      <c r="O316" s="41">
        <v>3</v>
      </c>
      <c r="P316" s="41">
        <v>8</v>
      </c>
      <c r="Q316" s="41">
        <v>10</v>
      </c>
    </row>
    <row r="317" spans="1:35">
      <c r="A317" s="41">
        <v>44413</v>
      </c>
      <c r="B317" s="41">
        <v>1</v>
      </c>
      <c r="C317" s="41">
        <v>10</v>
      </c>
      <c r="D317" s="41">
        <v>1</v>
      </c>
      <c r="E317" s="41">
        <v>1</v>
      </c>
      <c r="F317" s="41" t="s">
        <v>60</v>
      </c>
      <c r="G317" s="41">
        <f>IF(F317&gt;0,INDEX(Fish!$D:$D,MATCH(F317,Fish!$L:$L,0)),"")</f>
        <v>11002</v>
      </c>
      <c r="H317" s="41">
        <v>0</v>
      </c>
      <c r="I317" s="41">
        <v>4</v>
      </c>
      <c r="J317" s="41">
        <v>8</v>
      </c>
      <c r="K317" s="41">
        <v>10</v>
      </c>
      <c r="L317" s="41" t="s">
        <v>64</v>
      </c>
      <c r="M317" s="41">
        <f>IF(L317&gt;0,INDEX(Fish!$D:$D,MATCH(L317,Fish!$L:$L,0)),"")</f>
        <v>11004</v>
      </c>
      <c r="N317" s="41">
        <v>0</v>
      </c>
      <c r="O317" s="41">
        <v>3</v>
      </c>
      <c r="P317" s="41">
        <v>8</v>
      </c>
      <c r="Q317" s="41">
        <v>10</v>
      </c>
    </row>
    <row r="318" spans="1:35">
      <c r="A318" s="41">
        <v>44413</v>
      </c>
      <c r="B318" s="41">
        <v>1</v>
      </c>
      <c r="C318" s="41">
        <v>10</v>
      </c>
      <c r="D318" s="41">
        <v>1</v>
      </c>
      <c r="E318" s="41">
        <v>1</v>
      </c>
      <c r="F318" s="41" t="s">
        <v>60</v>
      </c>
      <c r="G318" s="41">
        <f>IF(F318&gt;0,INDEX(Fish!$D:$D,MATCH(F318,Fish!$L:$L,0)),"")</f>
        <v>11002</v>
      </c>
      <c r="H318" s="41">
        <v>0</v>
      </c>
      <c r="I318" s="41">
        <v>4</v>
      </c>
      <c r="J318" s="41">
        <v>8</v>
      </c>
      <c r="K318" s="41">
        <v>10</v>
      </c>
      <c r="L318" s="41" t="s">
        <v>70</v>
      </c>
      <c r="M318" s="41">
        <f>IF(L318&gt;0,INDEX(Fish!$D:$D,MATCH(L318,Fish!$L:$L,0)),"")</f>
        <v>11007</v>
      </c>
      <c r="N318" s="41">
        <v>0</v>
      </c>
      <c r="O318" s="41">
        <v>3</v>
      </c>
      <c r="P318" s="41">
        <v>8</v>
      </c>
      <c r="Q318" s="41">
        <v>10</v>
      </c>
    </row>
    <row r="319" spans="1:35">
      <c r="A319" s="41">
        <v>44413</v>
      </c>
      <c r="B319" s="41">
        <v>2</v>
      </c>
      <c r="C319" s="41">
        <v>0</v>
      </c>
      <c r="D319" s="41">
        <v>2</v>
      </c>
      <c r="E319" s="41">
        <v>1</v>
      </c>
      <c r="F319" s="41" t="s">
        <v>72</v>
      </c>
      <c r="G319" s="41">
        <f>IF(F319&gt;0,INDEX(Fish!$D:$D,MATCH(F319,Fish!$L:$L,0)),"")</f>
        <v>11008</v>
      </c>
      <c r="H319" s="41">
        <v>0</v>
      </c>
      <c r="I319" s="41">
        <v>1</v>
      </c>
      <c r="J319" s="41">
        <v>3</v>
      </c>
      <c r="K319" s="41">
        <v>4</v>
      </c>
      <c r="L319" s="41" t="s">
        <v>80</v>
      </c>
      <c r="M319" s="41">
        <f>IF(L319&gt;0,INDEX(Fish!$D:$D,MATCH(L319,Fish!$L:$L,0)),"")</f>
        <v>11011</v>
      </c>
      <c r="N319" s="41">
        <v>0</v>
      </c>
      <c r="O319" s="41">
        <v>1</v>
      </c>
      <c r="P319" s="41">
        <v>2</v>
      </c>
      <c r="Q319" s="41">
        <v>3</v>
      </c>
      <c r="R319" s="41" t="s">
        <v>92</v>
      </c>
      <c r="S319" s="41">
        <f>IF(R319&gt;0,INDEX(Fish!$D:$D,MATCH(R319,Fish!$L:$L,0)),"")</f>
        <v>11017</v>
      </c>
      <c r="T319" s="41">
        <v>0</v>
      </c>
      <c r="U319" s="41">
        <v>1</v>
      </c>
      <c r="V319" s="41">
        <v>1</v>
      </c>
      <c r="W319" s="41">
        <v>2</v>
      </c>
      <c r="X319" s="41" t="s">
        <v>88</v>
      </c>
      <c r="Y319" s="41">
        <f>IF(X319&gt;0,INDEX(Fish!$D:$D,MATCH(X319,Fish!$L:$L,0)),"")</f>
        <v>11015</v>
      </c>
      <c r="Z319" s="41">
        <v>0</v>
      </c>
      <c r="AA319" s="41">
        <v>1</v>
      </c>
      <c r="AB319" s="41">
        <v>1</v>
      </c>
      <c r="AC319" s="41">
        <v>2</v>
      </c>
      <c r="AD319" s="41" t="s">
        <v>84</v>
      </c>
      <c r="AE319" s="41">
        <f>IF(AD319&gt;0,INDEX(Fish!$D:$D,MATCH(AD319,Fish!$L:$L,0)),"")</f>
        <v>11013</v>
      </c>
      <c r="AF319" s="41">
        <v>0</v>
      </c>
      <c r="AG319" s="41">
        <v>1</v>
      </c>
      <c r="AH319" s="41">
        <v>1</v>
      </c>
      <c r="AI319" s="41">
        <v>1</v>
      </c>
    </row>
    <row r="320" spans="1:35">
      <c r="A320" s="41">
        <v>44413</v>
      </c>
      <c r="B320" s="41">
        <v>2</v>
      </c>
      <c r="C320" s="41">
        <v>0</v>
      </c>
      <c r="D320" s="41">
        <v>2</v>
      </c>
      <c r="E320" s="41">
        <v>1</v>
      </c>
      <c r="F320" s="41" t="s">
        <v>72</v>
      </c>
      <c r="G320" s="41">
        <f>IF(F320&gt;0,INDEX(Fish!$D:$D,MATCH(F320,Fish!$L:$L,0)),"")</f>
        <v>11008</v>
      </c>
      <c r="H320" s="41">
        <v>0</v>
      </c>
      <c r="I320" s="41">
        <v>1</v>
      </c>
      <c r="J320" s="41">
        <v>3</v>
      </c>
      <c r="K320" s="41">
        <v>4</v>
      </c>
      <c r="L320" s="41" t="s">
        <v>80</v>
      </c>
      <c r="M320" s="41">
        <f>IF(L320&gt;0,INDEX(Fish!$D:$D,MATCH(L320,Fish!$L:$L,0)),"")</f>
        <v>11011</v>
      </c>
      <c r="N320" s="41">
        <v>0</v>
      </c>
      <c r="O320" s="41">
        <v>1</v>
      </c>
      <c r="P320" s="41">
        <v>2</v>
      </c>
      <c r="Q320" s="41">
        <v>3</v>
      </c>
      <c r="R320" s="41" t="s">
        <v>92</v>
      </c>
      <c r="S320" s="41">
        <f>IF(R320&gt;0,INDEX(Fish!$D:$D,MATCH(R320,Fish!$L:$L,0)),"")</f>
        <v>11017</v>
      </c>
      <c r="T320" s="41">
        <v>0</v>
      </c>
      <c r="U320" s="41">
        <v>1</v>
      </c>
      <c r="V320" s="41">
        <v>1</v>
      </c>
      <c r="W320" s="41">
        <v>2</v>
      </c>
      <c r="X320" s="41" t="s">
        <v>88</v>
      </c>
      <c r="Y320" s="41">
        <f>IF(X320&gt;0,INDEX(Fish!$D:$D,MATCH(X320,Fish!$L:$L,0)),"")</f>
        <v>11015</v>
      </c>
      <c r="Z320" s="41">
        <v>0</v>
      </c>
      <c r="AA320" s="41">
        <v>1</v>
      </c>
      <c r="AB320" s="41">
        <v>1</v>
      </c>
      <c r="AC320" s="41">
        <v>2</v>
      </c>
      <c r="AD320" s="41" t="s">
        <v>90</v>
      </c>
      <c r="AE320" s="41">
        <f>IF(AD320&gt;0,INDEX(Fish!$D:$D,MATCH(AD320,Fish!$L:$L,0)),"")</f>
        <v>11016</v>
      </c>
      <c r="AF320" s="41">
        <v>0</v>
      </c>
      <c r="AG320" s="41">
        <v>1</v>
      </c>
      <c r="AH320" s="41">
        <v>1</v>
      </c>
      <c r="AI320" s="41">
        <v>1</v>
      </c>
    </row>
    <row r="321" spans="1:35">
      <c r="A321" s="41">
        <v>44413</v>
      </c>
      <c r="B321" s="41">
        <v>2</v>
      </c>
      <c r="C321" s="41">
        <v>0</v>
      </c>
      <c r="D321" s="41">
        <v>2</v>
      </c>
      <c r="E321" s="41">
        <v>1</v>
      </c>
      <c r="F321" s="41" t="s">
        <v>72</v>
      </c>
      <c r="G321" s="41">
        <f>IF(F321&gt;0,INDEX(Fish!$D:$D,MATCH(F321,Fish!$L:$L,0)),"")</f>
        <v>11008</v>
      </c>
      <c r="H321" s="41">
        <v>0</v>
      </c>
      <c r="I321" s="41">
        <v>1</v>
      </c>
      <c r="J321" s="41">
        <v>3</v>
      </c>
      <c r="K321" s="41">
        <v>4</v>
      </c>
      <c r="L321" s="41" t="s">
        <v>80</v>
      </c>
      <c r="M321" s="41">
        <f>IF(L321&gt;0,INDEX(Fish!$D:$D,MATCH(L321,Fish!$L:$L,0)),"")</f>
        <v>11011</v>
      </c>
      <c r="N321" s="41">
        <v>0</v>
      </c>
      <c r="O321" s="41">
        <v>1</v>
      </c>
      <c r="P321" s="41">
        <v>2</v>
      </c>
      <c r="Q321" s="41">
        <v>3</v>
      </c>
      <c r="R321" s="41" t="s">
        <v>92</v>
      </c>
      <c r="S321" s="41">
        <f>IF(R321&gt;0,INDEX(Fish!$D:$D,MATCH(R321,Fish!$L:$L,0)),"")</f>
        <v>11017</v>
      </c>
      <c r="T321" s="41">
        <v>0</v>
      </c>
      <c r="U321" s="41">
        <v>1</v>
      </c>
      <c r="V321" s="41">
        <v>1</v>
      </c>
      <c r="W321" s="41">
        <v>2</v>
      </c>
      <c r="X321" s="41" t="s">
        <v>94</v>
      </c>
      <c r="Y321" s="41">
        <f>IF(X321&gt;0,INDEX(Fish!$D:$D,MATCH(X321,Fish!$L:$L,0)),"")</f>
        <v>11020</v>
      </c>
      <c r="Z321" s="41">
        <v>0</v>
      </c>
      <c r="AA321" s="41">
        <v>1</v>
      </c>
      <c r="AB321" s="41">
        <v>1</v>
      </c>
      <c r="AC321" s="41">
        <v>2</v>
      </c>
      <c r="AD321" s="41" t="s">
        <v>84</v>
      </c>
      <c r="AE321" s="41">
        <f>IF(AD321&gt;0,INDEX(Fish!$D:$D,MATCH(AD321,Fish!$L:$L,0)),"")</f>
        <v>11013</v>
      </c>
      <c r="AF321" s="41">
        <v>0</v>
      </c>
      <c r="AG321" s="41">
        <v>1</v>
      </c>
      <c r="AH321" s="41">
        <v>1</v>
      </c>
      <c r="AI321" s="41">
        <v>1</v>
      </c>
    </row>
    <row r="322" spans="1:35">
      <c r="A322" s="41">
        <v>44413</v>
      </c>
      <c r="B322" s="41">
        <v>2</v>
      </c>
      <c r="C322" s="41">
        <v>0</v>
      </c>
      <c r="D322" s="41">
        <v>2</v>
      </c>
      <c r="E322" s="41">
        <v>1</v>
      </c>
      <c r="F322" s="41" t="s">
        <v>72</v>
      </c>
      <c r="G322" s="41">
        <f>IF(F322&gt;0,INDEX(Fish!$D:$D,MATCH(F322,Fish!$L:$L,0)),"")</f>
        <v>11008</v>
      </c>
      <c r="H322" s="41">
        <v>0</v>
      </c>
      <c r="I322" s="41">
        <v>1</v>
      </c>
      <c r="J322" s="41">
        <v>3</v>
      </c>
      <c r="K322" s="41">
        <v>4</v>
      </c>
      <c r="L322" s="41" t="s">
        <v>80</v>
      </c>
      <c r="M322" s="41">
        <f>IF(L322&gt;0,INDEX(Fish!$D:$D,MATCH(L322,Fish!$L:$L,0)),"")</f>
        <v>11011</v>
      </c>
      <c r="N322" s="41">
        <v>0</v>
      </c>
      <c r="O322" s="41">
        <v>1</v>
      </c>
      <c r="P322" s="41">
        <v>2</v>
      </c>
      <c r="Q322" s="41">
        <v>3</v>
      </c>
      <c r="R322" s="41" t="s">
        <v>92</v>
      </c>
      <c r="S322" s="41">
        <f>IF(R322&gt;0,INDEX(Fish!$D:$D,MATCH(R322,Fish!$L:$L,0)),"")</f>
        <v>11017</v>
      </c>
      <c r="T322" s="41">
        <v>0</v>
      </c>
      <c r="U322" s="41">
        <v>1</v>
      </c>
      <c r="V322" s="41">
        <v>1</v>
      </c>
      <c r="W322" s="41">
        <v>2</v>
      </c>
      <c r="X322" s="41" t="s">
        <v>94</v>
      </c>
      <c r="Y322" s="41">
        <f>IF(X322&gt;0,INDEX(Fish!$D:$D,MATCH(X322,Fish!$L:$L,0)),"")</f>
        <v>11020</v>
      </c>
      <c r="Z322" s="41">
        <v>0</v>
      </c>
      <c r="AA322" s="41">
        <v>1</v>
      </c>
      <c r="AB322" s="41">
        <v>1</v>
      </c>
      <c r="AC322" s="41">
        <v>2</v>
      </c>
      <c r="AD322" s="41" t="s">
        <v>90</v>
      </c>
      <c r="AE322" s="41">
        <f>IF(AD322&gt;0,INDEX(Fish!$D:$D,MATCH(AD322,Fish!$L:$L,0)),"")</f>
        <v>11016</v>
      </c>
      <c r="AF322" s="41">
        <v>0</v>
      </c>
      <c r="AG322" s="41">
        <v>1</v>
      </c>
      <c r="AH322" s="41">
        <v>1</v>
      </c>
      <c r="AI322" s="41">
        <v>1</v>
      </c>
    </row>
    <row r="323" spans="1:35">
      <c r="A323" s="41">
        <v>44413</v>
      </c>
      <c r="B323" s="41">
        <v>2</v>
      </c>
      <c r="C323" s="41">
        <v>0</v>
      </c>
      <c r="D323" s="41">
        <v>2</v>
      </c>
      <c r="E323" s="41">
        <v>1</v>
      </c>
      <c r="F323" s="41" t="s">
        <v>72</v>
      </c>
      <c r="G323" s="41">
        <f>IF(F323&gt;0,INDEX(Fish!$D:$D,MATCH(F323,Fish!$L:$L,0)),"")</f>
        <v>11008</v>
      </c>
      <c r="H323" s="41">
        <v>0</v>
      </c>
      <c r="I323" s="41">
        <v>1</v>
      </c>
      <c r="J323" s="41">
        <v>3</v>
      </c>
      <c r="K323" s="41">
        <v>4</v>
      </c>
      <c r="L323" s="41" t="s">
        <v>80</v>
      </c>
      <c r="M323" s="41">
        <f>IF(L323&gt;0,INDEX(Fish!$D:$D,MATCH(L323,Fish!$L:$L,0)),"")</f>
        <v>11011</v>
      </c>
      <c r="N323" s="41">
        <v>0</v>
      </c>
      <c r="O323" s="41">
        <v>1</v>
      </c>
      <c r="P323" s="41">
        <v>2</v>
      </c>
      <c r="Q323" s="41">
        <v>3</v>
      </c>
      <c r="R323" s="41" t="s">
        <v>82</v>
      </c>
      <c r="S323" s="41">
        <f>IF(R323&gt;0,INDEX(Fish!$D:$D,MATCH(R323,Fish!$L:$L,0)),"")</f>
        <v>11012</v>
      </c>
      <c r="T323" s="41">
        <v>0</v>
      </c>
      <c r="U323" s="41">
        <v>1</v>
      </c>
      <c r="V323" s="41">
        <v>1</v>
      </c>
      <c r="W323" s="41">
        <v>2</v>
      </c>
      <c r="X323" s="41" t="s">
        <v>88</v>
      </c>
      <c r="Y323" s="41">
        <f>IF(X323&gt;0,INDEX(Fish!$D:$D,MATCH(X323,Fish!$L:$L,0)),"")</f>
        <v>11015</v>
      </c>
      <c r="Z323" s="41">
        <v>0</v>
      </c>
      <c r="AA323" s="41">
        <v>1</v>
      </c>
      <c r="AB323" s="41">
        <v>1</v>
      </c>
      <c r="AC323" s="41">
        <v>2</v>
      </c>
      <c r="AD323" s="41" t="s">
        <v>84</v>
      </c>
      <c r="AE323" s="41">
        <f>IF(AD323&gt;0,INDEX(Fish!$D:$D,MATCH(AD323,Fish!$L:$L,0)),"")</f>
        <v>11013</v>
      </c>
      <c r="AF323" s="41">
        <v>0</v>
      </c>
      <c r="AG323" s="41">
        <v>1</v>
      </c>
      <c r="AH323" s="41">
        <v>1</v>
      </c>
      <c r="AI323" s="41">
        <v>1</v>
      </c>
    </row>
    <row r="324" spans="1:35">
      <c r="A324" s="41">
        <v>44413</v>
      </c>
      <c r="B324" s="41">
        <v>2</v>
      </c>
      <c r="C324" s="41">
        <v>0</v>
      </c>
      <c r="D324" s="41">
        <v>2</v>
      </c>
      <c r="E324" s="41">
        <v>1</v>
      </c>
      <c r="F324" s="41" t="s">
        <v>72</v>
      </c>
      <c r="G324" s="41">
        <f>IF(F324&gt;0,INDEX(Fish!$D:$D,MATCH(F324,Fish!$L:$L,0)),"")</f>
        <v>11008</v>
      </c>
      <c r="H324" s="41">
        <v>0</v>
      </c>
      <c r="I324" s="41">
        <v>1</v>
      </c>
      <c r="J324" s="41">
        <v>3</v>
      </c>
      <c r="K324" s="41">
        <v>4</v>
      </c>
      <c r="L324" s="41" t="s">
        <v>80</v>
      </c>
      <c r="M324" s="41">
        <f>IF(L324&gt;0,INDEX(Fish!$D:$D,MATCH(L324,Fish!$L:$L,0)),"")</f>
        <v>11011</v>
      </c>
      <c r="N324" s="41">
        <v>0</v>
      </c>
      <c r="O324" s="41">
        <v>1</v>
      </c>
      <c r="P324" s="41">
        <v>2</v>
      </c>
      <c r="Q324" s="41">
        <v>3</v>
      </c>
      <c r="R324" s="41" t="s">
        <v>82</v>
      </c>
      <c r="S324" s="41">
        <f>IF(R324&gt;0,INDEX(Fish!$D:$D,MATCH(R324,Fish!$L:$L,0)),"")</f>
        <v>11012</v>
      </c>
      <c r="T324" s="41">
        <v>0</v>
      </c>
      <c r="U324" s="41">
        <v>1</v>
      </c>
      <c r="V324" s="41">
        <v>1</v>
      </c>
      <c r="W324" s="41">
        <v>2</v>
      </c>
      <c r="X324" s="41" t="s">
        <v>88</v>
      </c>
      <c r="Y324" s="41">
        <f>IF(X324&gt;0,INDEX(Fish!$D:$D,MATCH(X324,Fish!$L:$L,0)),"")</f>
        <v>11015</v>
      </c>
      <c r="Z324" s="41">
        <v>0</v>
      </c>
      <c r="AA324" s="41">
        <v>1</v>
      </c>
      <c r="AB324" s="41">
        <v>1</v>
      </c>
      <c r="AC324" s="41">
        <v>2</v>
      </c>
      <c r="AD324" s="41" t="s">
        <v>90</v>
      </c>
      <c r="AE324" s="41">
        <f>IF(AD324&gt;0,INDEX(Fish!$D:$D,MATCH(AD324,Fish!$L:$L,0)),"")</f>
        <v>11016</v>
      </c>
      <c r="AF324" s="41">
        <v>0</v>
      </c>
      <c r="AG324" s="41">
        <v>1</v>
      </c>
      <c r="AH324" s="41">
        <v>1</v>
      </c>
      <c r="AI324" s="41">
        <v>1</v>
      </c>
    </row>
    <row r="325" spans="1:35">
      <c r="A325" s="41">
        <v>44413</v>
      </c>
      <c r="B325" s="41">
        <v>2</v>
      </c>
      <c r="C325" s="41">
        <v>0</v>
      </c>
      <c r="D325" s="41">
        <v>2</v>
      </c>
      <c r="E325" s="41">
        <v>1</v>
      </c>
      <c r="F325" s="41" t="s">
        <v>72</v>
      </c>
      <c r="G325" s="41">
        <f>IF(F325&gt;0,INDEX(Fish!$D:$D,MATCH(F325,Fish!$L:$L,0)),"")</f>
        <v>11008</v>
      </c>
      <c r="H325" s="41">
        <v>0</v>
      </c>
      <c r="I325" s="41">
        <v>1</v>
      </c>
      <c r="J325" s="41">
        <v>3</v>
      </c>
      <c r="K325" s="41">
        <v>4</v>
      </c>
      <c r="L325" s="41" t="s">
        <v>80</v>
      </c>
      <c r="M325" s="41">
        <f>IF(L325&gt;0,INDEX(Fish!$D:$D,MATCH(L325,Fish!$L:$L,0)),"")</f>
        <v>11011</v>
      </c>
      <c r="N325" s="41">
        <v>0</v>
      </c>
      <c r="O325" s="41">
        <v>1</v>
      </c>
      <c r="P325" s="41">
        <v>2</v>
      </c>
      <c r="Q325" s="41">
        <v>3</v>
      </c>
      <c r="R325" s="41" t="s">
        <v>82</v>
      </c>
      <c r="S325" s="41">
        <f>IF(R325&gt;0,INDEX(Fish!$D:$D,MATCH(R325,Fish!$L:$L,0)),"")</f>
        <v>11012</v>
      </c>
      <c r="T325" s="41">
        <v>0</v>
      </c>
      <c r="U325" s="41">
        <v>1</v>
      </c>
      <c r="V325" s="41">
        <v>1</v>
      </c>
      <c r="W325" s="41">
        <v>2</v>
      </c>
      <c r="X325" s="41" t="s">
        <v>94</v>
      </c>
      <c r="Y325" s="41">
        <f>IF(X325&gt;0,INDEX(Fish!$D:$D,MATCH(X325,Fish!$L:$L,0)),"")</f>
        <v>11020</v>
      </c>
      <c r="Z325" s="41">
        <v>0</v>
      </c>
      <c r="AA325" s="41">
        <v>1</v>
      </c>
      <c r="AB325" s="41">
        <v>1</v>
      </c>
      <c r="AC325" s="41">
        <v>2</v>
      </c>
      <c r="AD325" s="41" t="s">
        <v>84</v>
      </c>
      <c r="AE325" s="41">
        <f>IF(AD325&gt;0,INDEX(Fish!$D:$D,MATCH(AD325,Fish!$L:$L,0)),"")</f>
        <v>11013</v>
      </c>
      <c r="AF325" s="41">
        <v>0</v>
      </c>
      <c r="AG325" s="41">
        <v>1</v>
      </c>
      <c r="AH325" s="41">
        <v>1</v>
      </c>
      <c r="AI325" s="41">
        <v>1</v>
      </c>
    </row>
    <row r="326" spans="1:35">
      <c r="A326" s="41">
        <v>44413</v>
      </c>
      <c r="B326" s="41">
        <v>2</v>
      </c>
      <c r="C326" s="41">
        <v>0</v>
      </c>
      <c r="D326" s="41">
        <v>2</v>
      </c>
      <c r="E326" s="41">
        <v>1</v>
      </c>
      <c r="F326" s="41" t="s">
        <v>72</v>
      </c>
      <c r="G326" s="41">
        <f>IF(F326&gt;0,INDEX(Fish!$D:$D,MATCH(F326,Fish!$L:$L,0)),"")</f>
        <v>11008</v>
      </c>
      <c r="H326" s="41">
        <v>0</v>
      </c>
      <c r="I326" s="41">
        <v>1</v>
      </c>
      <c r="J326" s="41">
        <v>3</v>
      </c>
      <c r="K326" s="41">
        <v>4</v>
      </c>
      <c r="L326" s="41" t="s">
        <v>80</v>
      </c>
      <c r="M326" s="41">
        <f>IF(L326&gt;0,INDEX(Fish!$D:$D,MATCH(L326,Fish!$L:$L,0)),"")</f>
        <v>11011</v>
      </c>
      <c r="N326" s="41">
        <v>0</v>
      </c>
      <c r="O326" s="41">
        <v>1</v>
      </c>
      <c r="P326" s="41">
        <v>2</v>
      </c>
      <c r="Q326" s="41">
        <v>3</v>
      </c>
      <c r="R326" s="41" t="s">
        <v>82</v>
      </c>
      <c r="S326" s="41">
        <f>IF(R326&gt;0,INDEX(Fish!$D:$D,MATCH(R326,Fish!$L:$L,0)),"")</f>
        <v>11012</v>
      </c>
      <c r="T326" s="41">
        <v>0</v>
      </c>
      <c r="U326" s="41">
        <v>1</v>
      </c>
      <c r="V326" s="41">
        <v>1</v>
      </c>
      <c r="W326" s="41">
        <v>2</v>
      </c>
      <c r="X326" s="41" t="s">
        <v>94</v>
      </c>
      <c r="Y326" s="41">
        <f>IF(X326&gt;0,INDEX(Fish!$D:$D,MATCH(X326,Fish!$L:$L,0)),"")</f>
        <v>11020</v>
      </c>
      <c r="Z326" s="41">
        <v>0</v>
      </c>
      <c r="AA326" s="41">
        <v>1</v>
      </c>
      <c r="AB326" s="41">
        <v>1</v>
      </c>
      <c r="AC326" s="41">
        <v>2</v>
      </c>
      <c r="AD326" s="41" t="s">
        <v>90</v>
      </c>
      <c r="AE326" s="41">
        <f>IF(AD326&gt;0,INDEX(Fish!$D:$D,MATCH(AD326,Fish!$L:$L,0)),"")</f>
        <v>11016</v>
      </c>
      <c r="AF326" s="41">
        <v>0</v>
      </c>
      <c r="AG326" s="41">
        <v>1</v>
      </c>
      <c r="AH326" s="41">
        <v>1</v>
      </c>
      <c r="AI326" s="41">
        <v>1</v>
      </c>
    </row>
    <row r="327" spans="1:35">
      <c r="A327" s="41">
        <v>44413</v>
      </c>
      <c r="B327" s="41">
        <v>2</v>
      </c>
      <c r="C327" s="41">
        <v>0</v>
      </c>
      <c r="D327" s="41">
        <v>2</v>
      </c>
      <c r="E327" s="41">
        <v>1</v>
      </c>
      <c r="F327" s="41" t="s">
        <v>72</v>
      </c>
      <c r="G327" s="41">
        <f>IF(F327&gt;0,INDEX(Fish!$D:$D,MATCH(F327,Fish!$L:$L,0)),"")</f>
        <v>11008</v>
      </c>
      <c r="H327" s="41">
        <v>0</v>
      </c>
      <c r="I327" s="41">
        <v>1</v>
      </c>
      <c r="J327" s="41">
        <v>3</v>
      </c>
      <c r="K327" s="41">
        <v>4</v>
      </c>
      <c r="L327" s="41" t="s">
        <v>78</v>
      </c>
      <c r="M327" s="41">
        <f>IF(L327&gt;0,INDEX(Fish!$D:$D,MATCH(L327,Fish!$L:$L,0)),"")</f>
        <v>11010</v>
      </c>
      <c r="N327" s="41">
        <v>0</v>
      </c>
      <c r="O327" s="41">
        <v>1</v>
      </c>
      <c r="P327" s="41">
        <v>2</v>
      </c>
      <c r="Q327" s="41">
        <v>3</v>
      </c>
      <c r="R327" s="41" t="s">
        <v>92</v>
      </c>
      <c r="S327" s="41">
        <f>IF(R327&gt;0,INDEX(Fish!$D:$D,MATCH(R327,Fish!$L:$L,0)),"")</f>
        <v>11017</v>
      </c>
      <c r="T327" s="41">
        <v>0</v>
      </c>
      <c r="U327" s="41">
        <v>1</v>
      </c>
      <c r="V327" s="41">
        <v>1</v>
      </c>
      <c r="W327" s="41">
        <v>2</v>
      </c>
      <c r="X327" s="41" t="s">
        <v>88</v>
      </c>
      <c r="Y327" s="41">
        <f>IF(X327&gt;0,INDEX(Fish!$D:$D,MATCH(X327,Fish!$L:$L,0)),"")</f>
        <v>11015</v>
      </c>
      <c r="Z327" s="41">
        <v>0</v>
      </c>
      <c r="AA327" s="41">
        <v>1</v>
      </c>
      <c r="AB327" s="41">
        <v>1</v>
      </c>
      <c r="AC327" s="41">
        <v>2</v>
      </c>
      <c r="AD327" s="41" t="s">
        <v>84</v>
      </c>
      <c r="AE327" s="41">
        <f>IF(AD327&gt;0,INDEX(Fish!$D:$D,MATCH(AD327,Fish!$L:$L,0)),"")</f>
        <v>11013</v>
      </c>
      <c r="AF327" s="41">
        <v>0</v>
      </c>
      <c r="AG327" s="41">
        <v>1</v>
      </c>
      <c r="AH327" s="41">
        <v>1</v>
      </c>
      <c r="AI327" s="41">
        <v>1</v>
      </c>
    </row>
    <row r="328" spans="1:35">
      <c r="A328" s="41">
        <v>44413</v>
      </c>
      <c r="B328" s="41">
        <v>2</v>
      </c>
      <c r="C328" s="41">
        <v>0</v>
      </c>
      <c r="D328" s="41">
        <v>2</v>
      </c>
      <c r="E328" s="41">
        <v>1</v>
      </c>
      <c r="F328" s="41" t="s">
        <v>72</v>
      </c>
      <c r="G328" s="41">
        <f>IF(F328&gt;0,INDEX(Fish!$D:$D,MATCH(F328,Fish!$L:$L,0)),"")</f>
        <v>11008</v>
      </c>
      <c r="H328" s="41">
        <v>0</v>
      </c>
      <c r="I328" s="41">
        <v>1</v>
      </c>
      <c r="J328" s="41">
        <v>3</v>
      </c>
      <c r="K328" s="41">
        <v>4</v>
      </c>
      <c r="L328" s="41" t="s">
        <v>78</v>
      </c>
      <c r="M328" s="41">
        <f>IF(L328&gt;0,INDEX(Fish!$D:$D,MATCH(L328,Fish!$L:$L,0)),"")</f>
        <v>11010</v>
      </c>
      <c r="N328" s="41">
        <v>0</v>
      </c>
      <c r="O328" s="41">
        <v>1</v>
      </c>
      <c r="P328" s="41">
        <v>2</v>
      </c>
      <c r="Q328" s="41">
        <v>3</v>
      </c>
      <c r="R328" s="41" t="s">
        <v>92</v>
      </c>
      <c r="S328" s="41">
        <f>IF(R328&gt;0,INDEX(Fish!$D:$D,MATCH(R328,Fish!$L:$L,0)),"")</f>
        <v>11017</v>
      </c>
      <c r="T328" s="41">
        <v>0</v>
      </c>
      <c r="U328" s="41">
        <v>1</v>
      </c>
      <c r="V328" s="41">
        <v>1</v>
      </c>
      <c r="W328" s="41">
        <v>2</v>
      </c>
      <c r="X328" s="41" t="s">
        <v>88</v>
      </c>
      <c r="Y328" s="41">
        <f>IF(X328&gt;0,INDEX(Fish!$D:$D,MATCH(X328,Fish!$L:$L,0)),"")</f>
        <v>11015</v>
      </c>
      <c r="Z328" s="41">
        <v>0</v>
      </c>
      <c r="AA328" s="41">
        <v>1</v>
      </c>
      <c r="AB328" s="41">
        <v>1</v>
      </c>
      <c r="AC328" s="41">
        <v>2</v>
      </c>
      <c r="AD328" s="41" t="s">
        <v>90</v>
      </c>
      <c r="AE328" s="41">
        <f>IF(AD328&gt;0,INDEX(Fish!$D:$D,MATCH(AD328,Fish!$L:$L,0)),"")</f>
        <v>11016</v>
      </c>
      <c r="AF328" s="41">
        <v>0</v>
      </c>
      <c r="AG328" s="41">
        <v>1</v>
      </c>
      <c r="AH328" s="41">
        <v>1</v>
      </c>
      <c r="AI328" s="41">
        <v>1</v>
      </c>
    </row>
    <row r="329" spans="1:35">
      <c r="A329" s="41">
        <v>44413</v>
      </c>
      <c r="B329" s="41">
        <v>2</v>
      </c>
      <c r="C329" s="41">
        <v>0</v>
      </c>
      <c r="D329" s="41">
        <v>2</v>
      </c>
      <c r="E329" s="41">
        <v>1</v>
      </c>
      <c r="F329" s="41" t="s">
        <v>72</v>
      </c>
      <c r="G329" s="41">
        <f>IF(F329&gt;0,INDEX(Fish!$D:$D,MATCH(F329,Fish!$L:$L,0)),"")</f>
        <v>11008</v>
      </c>
      <c r="H329" s="41">
        <v>0</v>
      </c>
      <c r="I329" s="41">
        <v>1</v>
      </c>
      <c r="J329" s="41">
        <v>3</v>
      </c>
      <c r="K329" s="41">
        <v>4</v>
      </c>
      <c r="L329" s="41" t="s">
        <v>78</v>
      </c>
      <c r="M329" s="41">
        <f>IF(L329&gt;0,INDEX(Fish!$D:$D,MATCH(L329,Fish!$L:$L,0)),"")</f>
        <v>11010</v>
      </c>
      <c r="N329" s="41">
        <v>0</v>
      </c>
      <c r="O329" s="41">
        <v>1</v>
      </c>
      <c r="P329" s="41">
        <v>2</v>
      </c>
      <c r="Q329" s="41">
        <v>3</v>
      </c>
      <c r="R329" s="41" t="s">
        <v>92</v>
      </c>
      <c r="S329" s="41">
        <f>IF(R329&gt;0,INDEX(Fish!$D:$D,MATCH(R329,Fish!$L:$L,0)),"")</f>
        <v>11017</v>
      </c>
      <c r="T329" s="41">
        <v>0</v>
      </c>
      <c r="U329" s="41">
        <v>1</v>
      </c>
      <c r="V329" s="41">
        <v>1</v>
      </c>
      <c r="W329" s="41">
        <v>2</v>
      </c>
      <c r="X329" s="41" t="s">
        <v>94</v>
      </c>
      <c r="Y329" s="41">
        <f>IF(X329&gt;0,INDEX(Fish!$D:$D,MATCH(X329,Fish!$L:$L,0)),"")</f>
        <v>11020</v>
      </c>
      <c r="Z329" s="41">
        <v>0</v>
      </c>
      <c r="AA329" s="41">
        <v>1</v>
      </c>
      <c r="AB329" s="41">
        <v>1</v>
      </c>
      <c r="AC329" s="41">
        <v>2</v>
      </c>
      <c r="AD329" s="41" t="s">
        <v>84</v>
      </c>
      <c r="AE329" s="41">
        <f>IF(AD329&gt;0,INDEX(Fish!$D:$D,MATCH(AD329,Fish!$L:$L,0)),"")</f>
        <v>11013</v>
      </c>
      <c r="AF329" s="41">
        <v>0</v>
      </c>
      <c r="AG329" s="41">
        <v>1</v>
      </c>
      <c r="AH329" s="41">
        <v>1</v>
      </c>
      <c r="AI329" s="41">
        <v>1</v>
      </c>
    </row>
    <row r="330" spans="1:35">
      <c r="A330" s="41">
        <v>44413</v>
      </c>
      <c r="B330" s="41">
        <v>2</v>
      </c>
      <c r="C330" s="41">
        <v>0</v>
      </c>
      <c r="D330" s="41">
        <v>2</v>
      </c>
      <c r="E330" s="41">
        <v>1</v>
      </c>
      <c r="F330" s="41" t="s">
        <v>72</v>
      </c>
      <c r="G330" s="41">
        <f>IF(F330&gt;0,INDEX(Fish!$D:$D,MATCH(F330,Fish!$L:$L,0)),"")</f>
        <v>11008</v>
      </c>
      <c r="H330" s="41">
        <v>0</v>
      </c>
      <c r="I330" s="41">
        <v>1</v>
      </c>
      <c r="J330" s="41">
        <v>3</v>
      </c>
      <c r="K330" s="41">
        <v>4</v>
      </c>
      <c r="L330" s="41" t="s">
        <v>78</v>
      </c>
      <c r="M330" s="41">
        <f>IF(L330&gt;0,INDEX(Fish!$D:$D,MATCH(L330,Fish!$L:$L,0)),"")</f>
        <v>11010</v>
      </c>
      <c r="N330" s="41">
        <v>0</v>
      </c>
      <c r="O330" s="41">
        <v>1</v>
      </c>
      <c r="P330" s="41">
        <v>2</v>
      </c>
      <c r="Q330" s="41">
        <v>3</v>
      </c>
      <c r="R330" s="41" t="s">
        <v>92</v>
      </c>
      <c r="S330" s="41">
        <f>IF(R330&gt;0,INDEX(Fish!$D:$D,MATCH(R330,Fish!$L:$L,0)),"")</f>
        <v>11017</v>
      </c>
      <c r="T330" s="41">
        <v>0</v>
      </c>
      <c r="U330" s="41">
        <v>1</v>
      </c>
      <c r="V330" s="41">
        <v>1</v>
      </c>
      <c r="W330" s="41">
        <v>2</v>
      </c>
      <c r="X330" s="41" t="s">
        <v>94</v>
      </c>
      <c r="Y330" s="41">
        <f>IF(X330&gt;0,INDEX(Fish!$D:$D,MATCH(X330,Fish!$L:$L,0)),"")</f>
        <v>11020</v>
      </c>
      <c r="Z330" s="41">
        <v>0</v>
      </c>
      <c r="AA330" s="41">
        <v>1</v>
      </c>
      <c r="AB330" s="41">
        <v>1</v>
      </c>
      <c r="AC330" s="41">
        <v>2</v>
      </c>
      <c r="AD330" s="41" t="s">
        <v>90</v>
      </c>
      <c r="AE330" s="41">
        <f>IF(AD330&gt;0,INDEX(Fish!$D:$D,MATCH(AD330,Fish!$L:$L,0)),"")</f>
        <v>11016</v>
      </c>
      <c r="AF330" s="41">
        <v>0</v>
      </c>
      <c r="AG330" s="41">
        <v>1</v>
      </c>
      <c r="AH330" s="41">
        <v>1</v>
      </c>
      <c r="AI330" s="41">
        <v>1</v>
      </c>
    </row>
    <row r="331" spans="1:35">
      <c r="A331" s="41">
        <v>44413</v>
      </c>
      <c r="B331" s="41">
        <v>2</v>
      </c>
      <c r="C331" s="41">
        <v>0</v>
      </c>
      <c r="D331" s="41">
        <v>2</v>
      </c>
      <c r="E331" s="41">
        <v>1</v>
      </c>
      <c r="F331" s="41" t="s">
        <v>72</v>
      </c>
      <c r="G331" s="41">
        <f>IF(F331&gt;0,INDEX(Fish!$D:$D,MATCH(F331,Fish!$L:$L,0)),"")</f>
        <v>11008</v>
      </c>
      <c r="H331" s="41">
        <v>0</v>
      </c>
      <c r="I331" s="41">
        <v>1</v>
      </c>
      <c r="J331" s="41">
        <v>3</v>
      </c>
      <c r="K331" s="41">
        <v>4</v>
      </c>
      <c r="L331" s="41" t="s">
        <v>78</v>
      </c>
      <c r="M331" s="41">
        <f>IF(L331&gt;0,INDEX(Fish!$D:$D,MATCH(L331,Fish!$L:$L,0)),"")</f>
        <v>11010</v>
      </c>
      <c r="N331" s="41">
        <v>0</v>
      </c>
      <c r="O331" s="41">
        <v>1</v>
      </c>
      <c r="P331" s="41">
        <v>2</v>
      </c>
      <c r="Q331" s="41">
        <v>3</v>
      </c>
      <c r="R331" s="41" t="s">
        <v>82</v>
      </c>
      <c r="S331" s="41">
        <f>IF(R331&gt;0,INDEX(Fish!$D:$D,MATCH(R331,Fish!$L:$L,0)),"")</f>
        <v>11012</v>
      </c>
      <c r="T331" s="41">
        <v>0</v>
      </c>
      <c r="U331" s="41">
        <v>1</v>
      </c>
      <c r="V331" s="41">
        <v>1</v>
      </c>
      <c r="W331" s="41">
        <v>2</v>
      </c>
      <c r="X331" s="41" t="s">
        <v>88</v>
      </c>
      <c r="Y331" s="41">
        <f>IF(X331&gt;0,INDEX(Fish!$D:$D,MATCH(X331,Fish!$L:$L,0)),"")</f>
        <v>11015</v>
      </c>
      <c r="Z331" s="41">
        <v>0</v>
      </c>
      <c r="AA331" s="41">
        <v>1</v>
      </c>
      <c r="AB331" s="41">
        <v>1</v>
      </c>
      <c r="AC331" s="41">
        <v>2</v>
      </c>
      <c r="AD331" s="41" t="s">
        <v>84</v>
      </c>
      <c r="AE331" s="41">
        <f>IF(AD331&gt;0,INDEX(Fish!$D:$D,MATCH(AD331,Fish!$L:$L,0)),"")</f>
        <v>11013</v>
      </c>
      <c r="AF331" s="41">
        <v>0</v>
      </c>
      <c r="AG331" s="41">
        <v>1</v>
      </c>
      <c r="AH331" s="41">
        <v>1</v>
      </c>
      <c r="AI331" s="41">
        <v>1</v>
      </c>
    </row>
    <row r="332" spans="1:35">
      <c r="A332" s="41">
        <v>44413</v>
      </c>
      <c r="B332" s="41">
        <v>2</v>
      </c>
      <c r="C332" s="41">
        <v>0</v>
      </c>
      <c r="D332" s="41">
        <v>2</v>
      </c>
      <c r="E332" s="41">
        <v>1</v>
      </c>
      <c r="F332" s="41" t="s">
        <v>72</v>
      </c>
      <c r="G332" s="41">
        <f>IF(F332&gt;0,INDEX(Fish!$D:$D,MATCH(F332,Fish!$L:$L,0)),"")</f>
        <v>11008</v>
      </c>
      <c r="H332" s="41">
        <v>0</v>
      </c>
      <c r="I332" s="41">
        <v>1</v>
      </c>
      <c r="J332" s="41">
        <v>3</v>
      </c>
      <c r="K332" s="41">
        <v>4</v>
      </c>
      <c r="L332" s="41" t="s">
        <v>78</v>
      </c>
      <c r="M332" s="41">
        <f>IF(L332&gt;0,INDEX(Fish!$D:$D,MATCH(L332,Fish!$L:$L,0)),"")</f>
        <v>11010</v>
      </c>
      <c r="N332" s="41">
        <v>0</v>
      </c>
      <c r="O332" s="41">
        <v>1</v>
      </c>
      <c r="P332" s="41">
        <v>2</v>
      </c>
      <c r="Q332" s="41">
        <v>3</v>
      </c>
      <c r="R332" s="41" t="s">
        <v>82</v>
      </c>
      <c r="S332" s="41">
        <f>IF(R332&gt;0,INDEX(Fish!$D:$D,MATCH(R332,Fish!$L:$L,0)),"")</f>
        <v>11012</v>
      </c>
      <c r="T332" s="41">
        <v>0</v>
      </c>
      <c r="U332" s="41">
        <v>1</v>
      </c>
      <c r="V332" s="41">
        <v>1</v>
      </c>
      <c r="W332" s="41">
        <v>2</v>
      </c>
      <c r="X332" s="41" t="s">
        <v>88</v>
      </c>
      <c r="Y332" s="41">
        <f>IF(X332&gt;0,INDEX(Fish!$D:$D,MATCH(X332,Fish!$L:$L,0)),"")</f>
        <v>11015</v>
      </c>
      <c r="Z332" s="41">
        <v>0</v>
      </c>
      <c r="AA332" s="41">
        <v>1</v>
      </c>
      <c r="AB332" s="41">
        <v>1</v>
      </c>
      <c r="AC332" s="41">
        <v>2</v>
      </c>
      <c r="AD332" s="41" t="s">
        <v>90</v>
      </c>
      <c r="AE332" s="41">
        <f>IF(AD332&gt;0,INDEX(Fish!$D:$D,MATCH(AD332,Fish!$L:$L,0)),"")</f>
        <v>11016</v>
      </c>
      <c r="AF332" s="41">
        <v>0</v>
      </c>
      <c r="AG332" s="41">
        <v>1</v>
      </c>
      <c r="AH332" s="41">
        <v>1</v>
      </c>
      <c r="AI332" s="41">
        <v>1</v>
      </c>
    </row>
    <row r="333" spans="1:35">
      <c r="A333" s="41">
        <v>44413</v>
      </c>
      <c r="B333" s="41">
        <v>2</v>
      </c>
      <c r="C333" s="41">
        <v>0</v>
      </c>
      <c r="D333" s="41">
        <v>2</v>
      </c>
      <c r="E333" s="41">
        <v>1</v>
      </c>
      <c r="F333" s="41" t="s">
        <v>72</v>
      </c>
      <c r="G333" s="41">
        <f>IF(F333&gt;0,INDEX(Fish!$D:$D,MATCH(F333,Fish!$L:$L,0)),"")</f>
        <v>11008</v>
      </c>
      <c r="H333" s="41">
        <v>0</v>
      </c>
      <c r="I333" s="41">
        <v>1</v>
      </c>
      <c r="J333" s="41">
        <v>3</v>
      </c>
      <c r="K333" s="41">
        <v>4</v>
      </c>
      <c r="L333" s="41" t="s">
        <v>78</v>
      </c>
      <c r="M333" s="41">
        <f>IF(L333&gt;0,INDEX(Fish!$D:$D,MATCH(L333,Fish!$L:$L,0)),"")</f>
        <v>11010</v>
      </c>
      <c r="N333" s="41">
        <v>0</v>
      </c>
      <c r="O333" s="41">
        <v>1</v>
      </c>
      <c r="P333" s="41">
        <v>2</v>
      </c>
      <c r="Q333" s="41">
        <v>3</v>
      </c>
      <c r="R333" s="41" t="s">
        <v>82</v>
      </c>
      <c r="S333" s="41">
        <f>IF(R333&gt;0,INDEX(Fish!$D:$D,MATCH(R333,Fish!$L:$L,0)),"")</f>
        <v>11012</v>
      </c>
      <c r="T333" s="41">
        <v>0</v>
      </c>
      <c r="U333" s="41">
        <v>1</v>
      </c>
      <c r="V333" s="41">
        <v>1</v>
      </c>
      <c r="W333" s="41">
        <v>2</v>
      </c>
      <c r="X333" s="41" t="s">
        <v>94</v>
      </c>
      <c r="Y333" s="41">
        <f>IF(X333&gt;0,INDEX(Fish!$D:$D,MATCH(X333,Fish!$L:$L,0)),"")</f>
        <v>11020</v>
      </c>
      <c r="Z333" s="41">
        <v>0</v>
      </c>
      <c r="AA333" s="41">
        <v>1</v>
      </c>
      <c r="AB333" s="41">
        <v>1</v>
      </c>
      <c r="AC333" s="41">
        <v>2</v>
      </c>
      <c r="AD333" s="41" t="s">
        <v>84</v>
      </c>
      <c r="AE333" s="41">
        <f>IF(AD333&gt;0,INDEX(Fish!$D:$D,MATCH(AD333,Fish!$L:$L,0)),"")</f>
        <v>11013</v>
      </c>
      <c r="AF333" s="41">
        <v>0</v>
      </c>
      <c r="AG333" s="41">
        <v>1</v>
      </c>
      <c r="AH333" s="41">
        <v>1</v>
      </c>
      <c r="AI333" s="41">
        <v>1</v>
      </c>
    </row>
    <row r="334" spans="1:35">
      <c r="A334" s="41">
        <v>44413</v>
      </c>
      <c r="B334" s="41">
        <v>2</v>
      </c>
      <c r="C334" s="41">
        <v>0</v>
      </c>
      <c r="D334" s="41">
        <v>2</v>
      </c>
      <c r="E334" s="41">
        <v>1</v>
      </c>
      <c r="F334" s="41" t="s">
        <v>72</v>
      </c>
      <c r="G334" s="41">
        <f>IF(F334&gt;0,INDEX(Fish!$D:$D,MATCH(F334,Fish!$L:$L,0)),"")</f>
        <v>11008</v>
      </c>
      <c r="H334" s="41">
        <v>0</v>
      </c>
      <c r="I334" s="41">
        <v>1</v>
      </c>
      <c r="J334" s="41">
        <v>3</v>
      </c>
      <c r="K334" s="41">
        <v>4</v>
      </c>
      <c r="L334" s="41" t="s">
        <v>78</v>
      </c>
      <c r="M334" s="41">
        <f>IF(L334&gt;0,INDEX(Fish!$D:$D,MATCH(L334,Fish!$L:$L,0)),"")</f>
        <v>11010</v>
      </c>
      <c r="N334" s="41">
        <v>0</v>
      </c>
      <c r="O334" s="41">
        <v>1</v>
      </c>
      <c r="P334" s="41">
        <v>2</v>
      </c>
      <c r="Q334" s="41">
        <v>3</v>
      </c>
      <c r="R334" s="41" t="s">
        <v>82</v>
      </c>
      <c r="S334" s="41">
        <f>IF(R334&gt;0,INDEX(Fish!$D:$D,MATCH(R334,Fish!$L:$L,0)),"")</f>
        <v>11012</v>
      </c>
      <c r="T334" s="41">
        <v>0</v>
      </c>
      <c r="U334" s="41">
        <v>1</v>
      </c>
      <c r="V334" s="41">
        <v>1</v>
      </c>
      <c r="W334" s="41">
        <v>2</v>
      </c>
      <c r="X334" s="41" t="s">
        <v>94</v>
      </c>
      <c r="Y334" s="41">
        <f>IF(X334&gt;0,INDEX(Fish!$D:$D,MATCH(X334,Fish!$L:$L,0)),"")</f>
        <v>11020</v>
      </c>
      <c r="Z334" s="41">
        <v>0</v>
      </c>
      <c r="AA334" s="41">
        <v>1</v>
      </c>
      <c r="AB334" s="41">
        <v>1</v>
      </c>
      <c r="AC334" s="41">
        <v>2</v>
      </c>
      <c r="AD334" s="41" t="s">
        <v>90</v>
      </c>
      <c r="AE334" s="41">
        <f>IF(AD334&gt;0,INDEX(Fish!$D:$D,MATCH(AD334,Fish!$L:$L,0)),"")</f>
        <v>11016</v>
      </c>
      <c r="AF334" s="41">
        <v>0</v>
      </c>
      <c r="AG334" s="41">
        <v>1</v>
      </c>
      <c r="AH334" s="41">
        <v>1</v>
      </c>
      <c r="AI334" s="41">
        <v>1</v>
      </c>
    </row>
    <row r="335" spans="1:35">
      <c r="A335" s="41">
        <v>44413</v>
      </c>
      <c r="B335" s="41">
        <v>2</v>
      </c>
      <c r="C335" s="41">
        <v>0</v>
      </c>
      <c r="D335" s="41">
        <v>2</v>
      </c>
      <c r="E335" s="41">
        <v>1</v>
      </c>
      <c r="F335" s="41" t="s">
        <v>74</v>
      </c>
      <c r="G335" s="41">
        <f>IF(F335&gt;0,INDEX(Fish!$D:$D,MATCH(F335,Fish!$L:$L,0)),"")</f>
        <v>11009</v>
      </c>
      <c r="H335" s="41">
        <v>0</v>
      </c>
      <c r="I335" s="41">
        <v>1</v>
      </c>
      <c r="J335" s="41">
        <v>3</v>
      </c>
      <c r="K335" s="41">
        <v>4</v>
      </c>
      <c r="L335" s="41" t="s">
        <v>80</v>
      </c>
      <c r="M335" s="41">
        <f>IF(L335&gt;0,INDEX(Fish!$D:$D,MATCH(L335,Fish!$L:$L,0)),"")</f>
        <v>11011</v>
      </c>
      <c r="N335" s="41">
        <v>0</v>
      </c>
      <c r="O335" s="41">
        <v>1</v>
      </c>
      <c r="P335" s="41">
        <v>2</v>
      </c>
      <c r="Q335" s="41">
        <v>3</v>
      </c>
      <c r="R335" s="41" t="s">
        <v>92</v>
      </c>
      <c r="S335" s="41">
        <f>IF(R335&gt;0,INDEX(Fish!$D:$D,MATCH(R335,Fish!$L:$L,0)),"")</f>
        <v>11017</v>
      </c>
      <c r="T335" s="41">
        <v>0</v>
      </c>
      <c r="U335" s="41">
        <v>1</v>
      </c>
      <c r="V335" s="41">
        <v>1</v>
      </c>
      <c r="W335" s="41">
        <v>2</v>
      </c>
      <c r="X335" s="41" t="s">
        <v>88</v>
      </c>
      <c r="Y335" s="41">
        <f>IF(X335&gt;0,INDEX(Fish!$D:$D,MATCH(X335,Fish!$L:$L,0)),"")</f>
        <v>11015</v>
      </c>
      <c r="Z335" s="41">
        <v>0</v>
      </c>
      <c r="AA335" s="41">
        <v>1</v>
      </c>
      <c r="AB335" s="41">
        <v>1</v>
      </c>
      <c r="AC335" s="41">
        <v>2</v>
      </c>
      <c r="AD335" s="41" t="s">
        <v>84</v>
      </c>
      <c r="AE335" s="41">
        <f>IF(AD335&gt;0,INDEX(Fish!$D:$D,MATCH(AD335,Fish!$L:$L,0)),"")</f>
        <v>11013</v>
      </c>
      <c r="AF335" s="41">
        <v>0</v>
      </c>
      <c r="AG335" s="41">
        <v>1</v>
      </c>
      <c r="AH335" s="41">
        <v>1</v>
      </c>
      <c r="AI335" s="41">
        <v>1</v>
      </c>
    </row>
    <row r="336" spans="1:35">
      <c r="A336" s="41">
        <v>44413</v>
      </c>
      <c r="B336" s="41">
        <v>2</v>
      </c>
      <c r="C336" s="41">
        <v>0</v>
      </c>
      <c r="D336" s="41">
        <v>2</v>
      </c>
      <c r="E336" s="41">
        <v>1</v>
      </c>
      <c r="F336" s="41" t="s">
        <v>74</v>
      </c>
      <c r="G336" s="41">
        <f>IF(F336&gt;0,INDEX(Fish!$D:$D,MATCH(F336,Fish!$L:$L,0)),"")</f>
        <v>11009</v>
      </c>
      <c r="H336" s="41">
        <v>0</v>
      </c>
      <c r="I336" s="41">
        <v>1</v>
      </c>
      <c r="J336" s="41">
        <v>3</v>
      </c>
      <c r="K336" s="41">
        <v>4</v>
      </c>
      <c r="L336" s="41" t="s">
        <v>80</v>
      </c>
      <c r="M336" s="41">
        <f>IF(L336&gt;0,INDEX(Fish!$D:$D,MATCH(L336,Fish!$L:$L,0)),"")</f>
        <v>11011</v>
      </c>
      <c r="N336" s="41">
        <v>0</v>
      </c>
      <c r="O336" s="41">
        <v>1</v>
      </c>
      <c r="P336" s="41">
        <v>2</v>
      </c>
      <c r="Q336" s="41">
        <v>3</v>
      </c>
      <c r="R336" s="41" t="s">
        <v>92</v>
      </c>
      <c r="S336" s="41">
        <f>IF(R336&gt;0,INDEX(Fish!$D:$D,MATCH(R336,Fish!$L:$L,0)),"")</f>
        <v>11017</v>
      </c>
      <c r="T336" s="41">
        <v>0</v>
      </c>
      <c r="U336" s="41">
        <v>1</v>
      </c>
      <c r="V336" s="41">
        <v>1</v>
      </c>
      <c r="W336" s="41">
        <v>2</v>
      </c>
      <c r="X336" s="41" t="s">
        <v>88</v>
      </c>
      <c r="Y336" s="41">
        <f>IF(X336&gt;0,INDEX(Fish!$D:$D,MATCH(X336,Fish!$L:$L,0)),"")</f>
        <v>11015</v>
      </c>
      <c r="Z336" s="41">
        <v>0</v>
      </c>
      <c r="AA336" s="41">
        <v>1</v>
      </c>
      <c r="AB336" s="41">
        <v>1</v>
      </c>
      <c r="AC336" s="41">
        <v>2</v>
      </c>
      <c r="AD336" s="41" t="s">
        <v>90</v>
      </c>
      <c r="AE336" s="41">
        <f>IF(AD336&gt;0,INDEX(Fish!$D:$D,MATCH(AD336,Fish!$L:$L,0)),"")</f>
        <v>11016</v>
      </c>
      <c r="AF336" s="41">
        <v>0</v>
      </c>
      <c r="AG336" s="41">
        <v>1</v>
      </c>
      <c r="AH336" s="41">
        <v>1</v>
      </c>
      <c r="AI336" s="41">
        <v>1</v>
      </c>
    </row>
    <row r="337" spans="1:35">
      <c r="A337" s="41">
        <v>44413</v>
      </c>
      <c r="B337" s="41">
        <v>2</v>
      </c>
      <c r="C337" s="41">
        <v>0</v>
      </c>
      <c r="D337" s="41">
        <v>2</v>
      </c>
      <c r="E337" s="41">
        <v>1</v>
      </c>
      <c r="F337" s="41" t="s">
        <v>74</v>
      </c>
      <c r="G337" s="41">
        <f>IF(F337&gt;0,INDEX(Fish!$D:$D,MATCH(F337,Fish!$L:$L,0)),"")</f>
        <v>11009</v>
      </c>
      <c r="H337" s="41">
        <v>0</v>
      </c>
      <c r="I337" s="41">
        <v>1</v>
      </c>
      <c r="J337" s="41">
        <v>3</v>
      </c>
      <c r="K337" s="41">
        <v>4</v>
      </c>
      <c r="L337" s="41" t="s">
        <v>80</v>
      </c>
      <c r="M337" s="41">
        <f>IF(L337&gt;0,INDEX(Fish!$D:$D,MATCH(L337,Fish!$L:$L,0)),"")</f>
        <v>11011</v>
      </c>
      <c r="N337" s="41">
        <v>0</v>
      </c>
      <c r="O337" s="41">
        <v>1</v>
      </c>
      <c r="P337" s="41">
        <v>2</v>
      </c>
      <c r="Q337" s="41">
        <v>3</v>
      </c>
      <c r="R337" s="41" t="s">
        <v>92</v>
      </c>
      <c r="S337" s="41">
        <f>IF(R337&gt;0,INDEX(Fish!$D:$D,MATCH(R337,Fish!$L:$L,0)),"")</f>
        <v>11017</v>
      </c>
      <c r="T337" s="41">
        <v>0</v>
      </c>
      <c r="U337" s="41">
        <v>1</v>
      </c>
      <c r="V337" s="41">
        <v>1</v>
      </c>
      <c r="W337" s="41">
        <v>2</v>
      </c>
      <c r="X337" s="41" t="s">
        <v>94</v>
      </c>
      <c r="Y337" s="41">
        <f>IF(X337&gt;0,INDEX(Fish!$D:$D,MATCH(X337,Fish!$L:$L,0)),"")</f>
        <v>11020</v>
      </c>
      <c r="Z337" s="41">
        <v>0</v>
      </c>
      <c r="AA337" s="41">
        <v>1</v>
      </c>
      <c r="AB337" s="41">
        <v>1</v>
      </c>
      <c r="AC337" s="41">
        <v>2</v>
      </c>
      <c r="AD337" s="41" t="s">
        <v>84</v>
      </c>
      <c r="AE337" s="41">
        <f>IF(AD337&gt;0,INDEX(Fish!$D:$D,MATCH(AD337,Fish!$L:$L,0)),"")</f>
        <v>11013</v>
      </c>
      <c r="AF337" s="41">
        <v>0</v>
      </c>
      <c r="AG337" s="41">
        <v>1</v>
      </c>
      <c r="AH337" s="41">
        <v>1</v>
      </c>
      <c r="AI337" s="41">
        <v>1</v>
      </c>
    </row>
    <row r="338" spans="1:35">
      <c r="A338" s="41">
        <v>44413</v>
      </c>
      <c r="B338" s="41">
        <v>2</v>
      </c>
      <c r="C338" s="41">
        <v>0</v>
      </c>
      <c r="D338" s="41">
        <v>2</v>
      </c>
      <c r="E338" s="41">
        <v>1</v>
      </c>
      <c r="F338" s="41" t="s">
        <v>74</v>
      </c>
      <c r="G338" s="41">
        <f>IF(F338&gt;0,INDEX(Fish!$D:$D,MATCH(F338,Fish!$L:$L,0)),"")</f>
        <v>11009</v>
      </c>
      <c r="H338" s="41">
        <v>0</v>
      </c>
      <c r="I338" s="41">
        <v>1</v>
      </c>
      <c r="J338" s="41">
        <v>3</v>
      </c>
      <c r="K338" s="41">
        <v>4</v>
      </c>
      <c r="L338" s="41" t="s">
        <v>80</v>
      </c>
      <c r="M338" s="41">
        <f>IF(L338&gt;0,INDEX(Fish!$D:$D,MATCH(L338,Fish!$L:$L,0)),"")</f>
        <v>11011</v>
      </c>
      <c r="N338" s="41">
        <v>0</v>
      </c>
      <c r="O338" s="41">
        <v>1</v>
      </c>
      <c r="P338" s="41">
        <v>2</v>
      </c>
      <c r="Q338" s="41">
        <v>3</v>
      </c>
      <c r="R338" s="41" t="s">
        <v>92</v>
      </c>
      <c r="S338" s="41">
        <f>IF(R338&gt;0,INDEX(Fish!$D:$D,MATCH(R338,Fish!$L:$L,0)),"")</f>
        <v>11017</v>
      </c>
      <c r="T338" s="41">
        <v>0</v>
      </c>
      <c r="U338" s="41">
        <v>1</v>
      </c>
      <c r="V338" s="41">
        <v>1</v>
      </c>
      <c r="W338" s="41">
        <v>2</v>
      </c>
      <c r="X338" s="41" t="s">
        <v>94</v>
      </c>
      <c r="Y338" s="41">
        <f>IF(X338&gt;0,INDEX(Fish!$D:$D,MATCH(X338,Fish!$L:$L,0)),"")</f>
        <v>11020</v>
      </c>
      <c r="Z338" s="41">
        <v>0</v>
      </c>
      <c r="AA338" s="41">
        <v>1</v>
      </c>
      <c r="AB338" s="41">
        <v>1</v>
      </c>
      <c r="AC338" s="41">
        <v>2</v>
      </c>
      <c r="AD338" s="41" t="s">
        <v>90</v>
      </c>
      <c r="AE338" s="41">
        <f>IF(AD338&gt;0,INDEX(Fish!$D:$D,MATCH(AD338,Fish!$L:$L,0)),"")</f>
        <v>11016</v>
      </c>
      <c r="AF338" s="41">
        <v>0</v>
      </c>
      <c r="AG338" s="41">
        <v>1</v>
      </c>
      <c r="AH338" s="41">
        <v>1</v>
      </c>
      <c r="AI338" s="41">
        <v>1</v>
      </c>
    </row>
    <row r="339" spans="1:35">
      <c r="A339" s="41">
        <v>44413</v>
      </c>
      <c r="B339" s="41">
        <v>2</v>
      </c>
      <c r="C339" s="41">
        <v>0</v>
      </c>
      <c r="D339" s="41">
        <v>2</v>
      </c>
      <c r="E339" s="41">
        <v>1</v>
      </c>
      <c r="F339" s="41" t="s">
        <v>74</v>
      </c>
      <c r="G339" s="41">
        <f>IF(F339&gt;0,INDEX(Fish!$D:$D,MATCH(F339,Fish!$L:$L,0)),"")</f>
        <v>11009</v>
      </c>
      <c r="H339" s="41">
        <v>0</v>
      </c>
      <c r="I339" s="41">
        <v>1</v>
      </c>
      <c r="J339" s="41">
        <v>3</v>
      </c>
      <c r="K339" s="41">
        <v>4</v>
      </c>
      <c r="L339" s="41" t="s">
        <v>80</v>
      </c>
      <c r="M339" s="41">
        <f>IF(L339&gt;0,INDEX(Fish!$D:$D,MATCH(L339,Fish!$L:$L,0)),"")</f>
        <v>11011</v>
      </c>
      <c r="N339" s="41">
        <v>0</v>
      </c>
      <c r="O339" s="41">
        <v>1</v>
      </c>
      <c r="P339" s="41">
        <v>2</v>
      </c>
      <c r="Q339" s="41">
        <v>3</v>
      </c>
      <c r="R339" s="41" t="s">
        <v>82</v>
      </c>
      <c r="S339" s="41">
        <f>IF(R339&gt;0,INDEX(Fish!$D:$D,MATCH(R339,Fish!$L:$L,0)),"")</f>
        <v>11012</v>
      </c>
      <c r="T339" s="41">
        <v>0</v>
      </c>
      <c r="U339" s="41">
        <v>1</v>
      </c>
      <c r="V339" s="41">
        <v>1</v>
      </c>
      <c r="W339" s="41">
        <v>2</v>
      </c>
      <c r="X339" s="41" t="s">
        <v>88</v>
      </c>
      <c r="Y339" s="41">
        <f>IF(X339&gt;0,INDEX(Fish!$D:$D,MATCH(X339,Fish!$L:$L,0)),"")</f>
        <v>11015</v>
      </c>
      <c r="Z339" s="41">
        <v>0</v>
      </c>
      <c r="AA339" s="41">
        <v>1</v>
      </c>
      <c r="AB339" s="41">
        <v>1</v>
      </c>
      <c r="AC339" s="41">
        <v>2</v>
      </c>
      <c r="AD339" s="41" t="s">
        <v>84</v>
      </c>
      <c r="AE339" s="41">
        <f>IF(AD339&gt;0,INDEX(Fish!$D:$D,MATCH(AD339,Fish!$L:$L,0)),"")</f>
        <v>11013</v>
      </c>
      <c r="AF339" s="41">
        <v>0</v>
      </c>
      <c r="AG339" s="41">
        <v>1</v>
      </c>
      <c r="AH339" s="41">
        <v>1</v>
      </c>
      <c r="AI339" s="41">
        <v>1</v>
      </c>
    </row>
    <row r="340" spans="1:35">
      <c r="A340" s="41">
        <v>44413</v>
      </c>
      <c r="B340" s="41">
        <v>2</v>
      </c>
      <c r="C340" s="41">
        <v>0</v>
      </c>
      <c r="D340" s="41">
        <v>2</v>
      </c>
      <c r="E340" s="41">
        <v>1</v>
      </c>
      <c r="F340" s="41" t="s">
        <v>74</v>
      </c>
      <c r="G340" s="41">
        <f>IF(F340&gt;0,INDEX(Fish!$D:$D,MATCH(F340,Fish!$L:$L,0)),"")</f>
        <v>11009</v>
      </c>
      <c r="H340" s="41">
        <v>0</v>
      </c>
      <c r="I340" s="41">
        <v>1</v>
      </c>
      <c r="J340" s="41">
        <v>3</v>
      </c>
      <c r="K340" s="41">
        <v>4</v>
      </c>
      <c r="L340" s="41" t="s">
        <v>80</v>
      </c>
      <c r="M340" s="41">
        <f>IF(L340&gt;0,INDEX(Fish!$D:$D,MATCH(L340,Fish!$L:$L,0)),"")</f>
        <v>11011</v>
      </c>
      <c r="N340" s="41">
        <v>0</v>
      </c>
      <c r="O340" s="41">
        <v>1</v>
      </c>
      <c r="P340" s="41">
        <v>2</v>
      </c>
      <c r="Q340" s="41">
        <v>3</v>
      </c>
      <c r="R340" s="41" t="s">
        <v>82</v>
      </c>
      <c r="S340" s="41">
        <f>IF(R340&gt;0,INDEX(Fish!$D:$D,MATCH(R340,Fish!$L:$L,0)),"")</f>
        <v>11012</v>
      </c>
      <c r="T340" s="41">
        <v>0</v>
      </c>
      <c r="U340" s="41">
        <v>1</v>
      </c>
      <c r="V340" s="41">
        <v>1</v>
      </c>
      <c r="W340" s="41">
        <v>2</v>
      </c>
      <c r="X340" s="41" t="s">
        <v>88</v>
      </c>
      <c r="Y340" s="41">
        <f>IF(X340&gt;0,INDEX(Fish!$D:$D,MATCH(X340,Fish!$L:$L,0)),"")</f>
        <v>11015</v>
      </c>
      <c r="Z340" s="41">
        <v>0</v>
      </c>
      <c r="AA340" s="41">
        <v>1</v>
      </c>
      <c r="AB340" s="41">
        <v>1</v>
      </c>
      <c r="AC340" s="41">
        <v>2</v>
      </c>
      <c r="AD340" s="41" t="s">
        <v>90</v>
      </c>
      <c r="AE340" s="41">
        <f>IF(AD340&gt;0,INDEX(Fish!$D:$D,MATCH(AD340,Fish!$L:$L,0)),"")</f>
        <v>11016</v>
      </c>
      <c r="AF340" s="41">
        <v>0</v>
      </c>
      <c r="AG340" s="41">
        <v>1</v>
      </c>
      <c r="AH340" s="41">
        <v>1</v>
      </c>
      <c r="AI340" s="41">
        <v>1</v>
      </c>
    </row>
    <row r="341" spans="1:35">
      <c r="A341" s="41">
        <v>44413</v>
      </c>
      <c r="B341" s="41">
        <v>2</v>
      </c>
      <c r="C341" s="41">
        <v>0</v>
      </c>
      <c r="D341" s="41">
        <v>2</v>
      </c>
      <c r="E341" s="41">
        <v>1</v>
      </c>
      <c r="F341" s="41" t="s">
        <v>74</v>
      </c>
      <c r="G341" s="41">
        <f>IF(F341&gt;0,INDEX(Fish!$D:$D,MATCH(F341,Fish!$L:$L,0)),"")</f>
        <v>11009</v>
      </c>
      <c r="H341" s="41">
        <v>0</v>
      </c>
      <c r="I341" s="41">
        <v>1</v>
      </c>
      <c r="J341" s="41">
        <v>3</v>
      </c>
      <c r="K341" s="41">
        <v>4</v>
      </c>
      <c r="L341" s="41" t="s">
        <v>80</v>
      </c>
      <c r="M341" s="41">
        <f>IF(L341&gt;0,INDEX(Fish!$D:$D,MATCH(L341,Fish!$L:$L,0)),"")</f>
        <v>11011</v>
      </c>
      <c r="N341" s="41">
        <v>0</v>
      </c>
      <c r="O341" s="41">
        <v>1</v>
      </c>
      <c r="P341" s="41">
        <v>2</v>
      </c>
      <c r="Q341" s="41">
        <v>3</v>
      </c>
      <c r="R341" s="41" t="s">
        <v>82</v>
      </c>
      <c r="S341" s="41">
        <f>IF(R341&gt;0,INDEX(Fish!$D:$D,MATCH(R341,Fish!$L:$L,0)),"")</f>
        <v>11012</v>
      </c>
      <c r="T341" s="41">
        <v>0</v>
      </c>
      <c r="U341" s="41">
        <v>1</v>
      </c>
      <c r="V341" s="41">
        <v>1</v>
      </c>
      <c r="W341" s="41">
        <v>2</v>
      </c>
      <c r="X341" s="41" t="s">
        <v>94</v>
      </c>
      <c r="Y341" s="41">
        <f>IF(X341&gt;0,INDEX(Fish!$D:$D,MATCH(X341,Fish!$L:$L,0)),"")</f>
        <v>11020</v>
      </c>
      <c r="Z341" s="41">
        <v>0</v>
      </c>
      <c r="AA341" s="41">
        <v>1</v>
      </c>
      <c r="AB341" s="41">
        <v>1</v>
      </c>
      <c r="AC341" s="41">
        <v>2</v>
      </c>
      <c r="AD341" s="41" t="s">
        <v>84</v>
      </c>
      <c r="AE341" s="41">
        <f>IF(AD341&gt;0,INDEX(Fish!$D:$D,MATCH(AD341,Fish!$L:$L,0)),"")</f>
        <v>11013</v>
      </c>
      <c r="AF341" s="41">
        <v>0</v>
      </c>
      <c r="AG341" s="41">
        <v>1</v>
      </c>
      <c r="AH341" s="41">
        <v>1</v>
      </c>
      <c r="AI341" s="41">
        <v>1</v>
      </c>
    </row>
    <row r="342" spans="1:35">
      <c r="A342" s="41">
        <v>44413</v>
      </c>
      <c r="B342" s="41">
        <v>2</v>
      </c>
      <c r="C342" s="41">
        <v>0</v>
      </c>
      <c r="D342" s="41">
        <v>2</v>
      </c>
      <c r="E342" s="41">
        <v>1</v>
      </c>
      <c r="F342" s="41" t="s">
        <v>74</v>
      </c>
      <c r="G342" s="41">
        <f>IF(F342&gt;0,INDEX(Fish!$D:$D,MATCH(F342,Fish!$L:$L,0)),"")</f>
        <v>11009</v>
      </c>
      <c r="H342" s="41">
        <v>0</v>
      </c>
      <c r="I342" s="41">
        <v>1</v>
      </c>
      <c r="J342" s="41">
        <v>3</v>
      </c>
      <c r="K342" s="41">
        <v>4</v>
      </c>
      <c r="L342" s="41" t="s">
        <v>80</v>
      </c>
      <c r="M342" s="41">
        <f>IF(L342&gt;0,INDEX(Fish!$D:$D,MATCH(L342,Fish!$L:$L,0)),"")</f>
        <v>11011</v>
      </c>
      <c r="N342" s="41">
        <v>0</v>
      </c>
      <c r="O342" s="41">
        <v>1</v>
      </c>
      <c r="P342" s="41">
        <v>2</v>
      </c>
      <c r="Q342" s="41">
        <v>3</v>
      </c>
      <c r="R342" s="41" t="s">
        <v>82</v>
      </c>
      <c r="S342" s="41">
        <f>IF(R342&gt;0,INDEX(Fish!$D:$D,MATCH(R342,Fish!$L:$L,0)),"")</f>
        <v>11012</v>
      </c>
      <c r="T342" s="41">
        <v>0</v>
      </c>
      <c r="U342" s="41">
        <v>1</v>
      </c>
      <c r="V342" s="41">
        <v>1</v>
      </c>
      <c r="W342" s="41">
        <v>2</v>
      </c>
      <c r="X342" s="41" t="s">
        <v>94</v>
      </c>
      <c r="Y342" s="41">
        <f>IF(X342&gt;0,INDEX(Fish!$D:$D,MATCH(X342,Fish!$L:$L,0)),"")</f>
        <v>11020</v>
      </c>
      <c r="Z342" s="41">
        <v>0</v>
      </c>
      <c r="AA342" s="41">
        <v>1</v>
      </c>
      <c r="AB342" s="41">
        <v>1</v>
      </c>
      <c r="AC342" s="41">
        <v>2</v>
      </c>
      <c r="AD342" s="41" t="s">
        <v>90</v>
      </c>
      <c r="AE342" s="41">
        <f>IF(AD342&gt;0,INDEX(Fish!$D:$D,MATCH(AD342,Fish!$L:$L,0)),"")</f>
        <v>11016</v>
      </c>
      <c r="AF342" s="41">
        <v>0</v>
      </c>
      <c r="AG342" s="41">
        <v>1</v>
      </c>
      <c r="AH342" s="41">
        <v>1</v>
      </c>
      <c r="AI342" s="41">
        <v>1</v>
      </c>
    </row>
    <row r="343" spans="1:35">
      <c r="A343" s="41">
        <v>44413</v>
      </c>
      <c r="B343" s="41">
        <v>2</v>
      </c>
      <c r="C343" s="41">
        <v>0</v>
      </c>
      <c r="D343" s="41">
        <v>2</v>
      </c>
      <c r="E343" s="41">
        <v>1</v>
      </c>
      <c r="F343" s="41" t="s">
        <v>74</v>
      </c>
      <c r="G343" s="41">
        <f>IF(F343&gt;0,INDEX(Fish!$D:$D,MATCH(F343,Fish!$L:$L,0)),"")</f>
        <v>11009</v>
      </c>
      <c r="H343" s="41">
        <v>0</v>
      </c>
      <c r="I343" s="41">
        <v>1</v>
      </c>
      <c r="J343" s="41">
        <v>3</v>
      </c>
      <c r="K343" s="41">
        <v>4</v>
      </c>
      <c r="L343" s="41" t="s">
        <v>78</v>
      </c>
      <c r="M343" s="41">
        <f>IF(L343&gt;0,INDEX(Fish!$D:$D,MATCH(L343,Fish!$L:$L,0)),"")</f>
        <v>11010</v>
      </c>
      <c r="N343" s="41">
        <v>0</v>
      </c>
      <c r="O343" s="41">
        <v>1</v>
      </c>
      <c r="P343" s="41">
        <v>2</v>
      </c>
      <c r="Q343" s="41">
        <v>3</v>
      </c>
      <c r="R343" s="41" t="s">
        <v>92</v>
      </c>
      <c r="S343" s="41">
        <f>IF(R343&gt;0,INDEX(Fish!$D:$D,MATCH(R343,Fish!$L:$L,0)),"")</f>
        <v>11017</v>
      </c>
      <c r="T343" s="41">
        <v>0</v>
      </c>
      <c r="U343" s="41">
        <v>1</v>
      </c>
      <c r="V343" s="41">
        <v>1</v>
      </c>
      <c r="W343" s="41">
        <v>2</v>
      </c>
      <c r="X343" s="41" t="s">
        <v>88</v>
      </c>
      <c r="Y343" s="41">
        <f>IF(X343&gt;0,INDEX(Fish!$D:$D,MATCH(X343,Fish!$L:$L,0)),"")</f>
        <v>11015</v>
      </c>
      <c r="Z343" s="41">
        <v>0</v>
      </c>
      <c r="AA343" s="41">
        <v>1</v>
      </c>
      <c r="AB343" s="41">
        <v>1</v>
      </c>
      <c r="AC343" s="41">
        <v>2</v>
      </c>
      <c r="AD343" s="41" t="s">
        <v>84</v>
      </c>
      <c r="AE343" s="41">
        <f>IF(AD343&gt;0,INDEX(Fish!$D:$D,MATCH(AD343,Fish!$L:$L,0)),"")</f>
        <v>11013</v>
      </c>
      <c r="AF343" s="41">
        <v>0</v>
      </c>
      <c r="AG343" s="41">
        <v>1</v>
      </c>
      <c r="AH343" s="41">
        <v>1</v>
      </c>
      <c r="AI343" s="41">
        <v>1</v>
      </c>
    </row>
    <row r="344" spans="1:35">
      <c r="A344" s="41">
        <v>44413</v>
      </c>
      <c r="B344" s="41">
        <v>2</v>
      </c>
      <c r="C344" s="41">
        <v>0</v>
      </c>
      <c r="D344" s="41">
        <v>2</v>
      </c>
      <c r="E344" s="41">
        <v>1</v>
      </c>
      <c r="F344" s="41" t="s">
        <v>74</v>
      </c>
      <c r="G344" s="41">
        <f>IF(F344&gt;0,INDEX(Fish!$D:$D,MATCH(F344,Fish!$L:$L,0)),"")</f>
        <v>11009</v>
      </c>
      <c r="H344" s="41">
        <v>0</v>
      </c>
      <c r="I344" s="41">
        <v>1</v>
      </c>
      <c r="J344" s="41">
        <v>3</v>
      </c>
      <c r="K344" s="41">
        <v>4</v>
      </c>
      <c r="L344" s="41" t="s">
        <v>78</v>
      </c>
      <c r="M344" s="41">
        <f>IF(L344&gt;0,INDEX(Fish!$D:$D,MATCH(L344,Fish!$L:$L,0)),"")</f>
        <v>11010</v>
      </c>
      <c r="N344" s="41">
        <v>0</v>
      </c>
      <c r="O344" s="41">
        <v>1</v>
      </c>
      <c r="P344" s="41">
        <v>2</v>
      </c>
      <c r="Q344" s="41">
        <v>3</v>
      </c>
      <c r="R344" s="41" t="s">
        <v>92</v>
      </c>
      <c r="S344" s="41">
        <f>IF(R344&gt;0,INDEX(Fish!$D:$D,MATCH(R344,Fish!$L:$L,0)),"")</f>
        <v>11017</v>
      </c>
      <c r="T344" s="41">
        <v>0</v>
      </c>
      <c r="U344" s="41">
        <v>1</v>
      </c>
      <c r="V344" s="41">
        <v>1</v>
      </c>
      <c r="W344" s="41">
        <v>2</v>
      </c>
      <c r="X344" s="41" t="s">
        <v>88</v>
      </c>
      <c r="Y344" s="41">
        <f>IF(X344&gt;0,INDEX(Fish!$D:$D,MATCH(X344,Fish!$L:$L,0)),"")</f>
        <v>11015</v>
      </c>
      <c r="Z344" s="41">
        <v>0</v>
      </c>
      <c r="AA344" s="41">
        <v>1</v>
      </c>
      <c r="AB344" s="41">
        <v>1</v>
      </c>
      <c r="AC344" s="41">
        <v>2</v>
      </c>
      <c r="AD344" s="41" t="s">
        <v>90</v>
      </c>
      <c r="AE344" s="41">
        <f>IF(AD344&gt;0,INDEX(Fish!$D:$D,MATCH(AD344,Fish!$L:$L,0)),"")</f>
        <v>11016</v>
      </c>
      <c r="AF344" s="41">
        <v>0</v>
      </c>
      <c r="AG344" s="41">
        <v>1</v>
      </c>
      <c r="AH344" s="41">
        <v>1</v>
      </c>
      <c r="AI344" s="41">
        <v>1</v>
      </c>
    </row>
    <row r="345" spans="1:35">
      <c r="A345" s="41">
        <v>44413</v>
      </c>
      <c r="B345" s="41">
        <v>2</v>
      </c>
      <c r="C345" s="41">
        <v>0</v>
      </c>
      <c r="D345" s="41">
        <v>2</v>
      </c>
      <c r="E345" s="41">
        <v>1</v>
      </c>
      <c r="F345" s="41" t="s">
        <v>74</v>
      </c>
      <c r="G345" s="41">
        <f>IF(F345&gt;0,INDEX(Fish!$D:$D,MATCH(F345,Fish!$L:$L,0)),"")</f>
        <v>11009</v>
      </c>
      <c r="H345" s="41">
        <v>0</v>
      </c>
      <c r="I345" s="41">
        <v>1</v>
      </c>
      <c r="J345" s="41">
        <v>3</v>
      </c>
      <c r="K345" s="41">
        <v>4</v>
      </c>
      <c r="L345" s="41" t="s">
        <v>78</v>
      </c>
      <c r="M345" s="41">
        <f>IF(L345&gt;0,INDEX(Fish!$D:$D,MATCH(L345,Fish!$L:$L,0)),"")</f>
        <v>11010</v>
      </c>
      <c r="N345" s="41">
        <v>0</v>
      </c>
      <c r="O345" s="41">
        <v>1</v>
      </c>
      <c r="P345" s="41">
        <v>2</v>
      </c>
      <c r="Q345" s="41">
        <v>3</v>
      </c>
      <c r="R345" s="41" t="s">
        <v>92</v>
      </c>
      <c r="S345" s="41">
        <f>IF(R345&gt;0,INDEX(Fish!$D:$D,MATCH(R345,Fish!$L:$L,0)),"")</f>
        <v>11017</v>
      </c>
      <c r="T345" s="41">
        <v>0</v>
      </c>
      <c r="U345" s="41">
        <v>1</v>
      </c>
      <c r="V345" s="41">
        <v>1</v>
      </c>
      <c r="W345" s="41">
        <v>2</v>
      </c>
      <c r="X345" s="41" t="s">
        <v>94</v>
      </c>
      <c r="Y345" s="41">
        <f>IF(X345&gt;0,INDEX(Fish!$D:$D,MATCH(X345,Fish!$L:$L,0)),"")</f>
        <v>11020</v>
      </c>
      <c r="Z345" s="41">
        <v>0</v>
      </c>
      <c r="AA345" s="41">
        <v>1</v>
      </c>
      <c r="AB345" s="41">
        <v>1</v>
      </c>
      <c r="AC345" s="41">
        <v>2</v>
      </c>
      <c r="AD345" s="41" t="s">
        <v>84</v>
      </c>
      <c r="AE345" s="41">
        <f>IF(AD345&gt;0,INDEX(Fish!$D:$D,MATCH(AD345,Fish!$L:$L,0)),"")</f>
        <v>11013</v>
      </c>
      <c r="AF345" s="41">
        <v>0</v>
      </c>
      <c r="AG345" s="41">
        <v>1</v>
      </c>
      <c r="AH345" s="41">
        <v>1</v>
      </c>
      <c r="AI345" s="41">
        <v>1</v>
      </c>
    </row>
    <row r="346" spans="1:35">
      <c r="A346" s="41">
        <v>44413</v>
      </c>
      <c r="B346" s="41">
        <v>2</v>
      </c>
      <c r="C346" s="41">
        <v>0</v>
      </c>
      <c r="D346" s="41">
        <v>2</v>
      </c>
      <c r="E346" s="41">
        <v>1</v>
      </c>
      <c r="F346" s="41" t="s">
        <v>74</v>
      </c>
      <c r="G346" s="41">
        <f>IF(F346&gt;0,INDEX(Fish!$D:$D,MATCH(F346,Fish!$L:$L,0)),"")</f>
        <v>11009</v>
      </c>
      <c r="H346" s="41">
        <v>0</v>
      </c>
      <c r="I346" s="41">
        <v>1</v>
      </c>
      <c r="J346" s="41">
        <v>3</v>
      </c>
      <c r="K346" s="41">
        <v>4</v>
      </c>
      <c r="L346" s="41" t="s">
        <v>78</v>
      </c>
      <c r="M346" s="41">
        <f>IF(L346&gt;0,INDEX(Fish!$D:$D,MATCH(L346,Fish!$L:$L,0)),"")</f>
        <v>11010</v>
      </c>
      <c r="N346" s="41">
        <v>0</v>
      </c>
      <c r="O346" s="41">
        <v>1</v>
      </c>
      <c r="P346" s="41">
        <v>2</v>
      </c>
      <c r="Q346" s="41">
        <v>3</v>
      </c>
      <c r="R346" s="41" t="s">
        <v>92</v>
      </c>
      <c r="S346" s="41">
        <f>IF(R346&gt;0,INDEX(Fish!$D:$D,MATCH(R346,Fish!$L:$L,0)),"")</f>
        <v>11017</v>
      </c>
      <c r="T346" s="41">
        <v>0</v>
      </c>
      <c r="U346" s="41">
        <v>1</v>
      </c>
      <c r="V346" s="41">
        <v>1</v>
      </c>
      <c r="W346" s="41">
        <v>2</v>
      </c>
      <c r="X346" s="41" t="s">
        <v>94</v>
      </c>
      <c r="Y346" s="41">
        <f>IF(X346&gt;0,INDEX(Fish!$D:$D,MATCH(X346,Fish!$L:$L,0)),"")</f>
        <v>11020</v>
      </c>
      <c r="Z346" s="41">
        <v>0</v>
      </c>
      <c r="AA346" s="41">
        <v>1</v>
      </c>
      <c r="AB346" s="41">
        <v>1</v>
      </c>
      <c r="AC346" s="41">
        <v>2</v>
      </c>
      <c r="AD346" s="41" t="s">
        <v>90</v>
      </c>
      <c r="AE346" s="41">
        <f>IF(AD346&gt;0,INDEX(Fish!$D:$D,MATCH(AD346,Fish!$L:$L,0)),"")</f>
        <v>11016</v>
      </c>
      <c r="AF346" s="41">
        <v>0</v>
      </c>
      <c r="AG346" s="41">
        <v>1</v>
      </c>
      <c r="AH346" s="41">
        <v>1</v>
      </c>
      <c r="AI346" s="41">
        <v>1</v>
      </c>
    </row>
    <row r="347" spans="1:35">
      <c r="A347" s="41">
        <v>44413</v>
      </c>
      <c r="B347" s="41">
        <v>2</v>
      </c>
      <c r="C347" s="41">
        <v>0</v>
      </c>
      <c r="D347" s="41">
        <v>2</v>
      </c>
      <c r="E347" s="41">
        <v>1</v>
      </c>
      <c r="F347" s="41" t="s">
        <v>74</v>
      </c>
      <c r="G347" s="41">
        <f>IF(F347&gt;0,INDEX(Fish!$D:$D,MATCH(F347,Fish!$L:$L,0)),"")</f>
        <v>11009</v>
      </c>
      <c r="H347" s="41">
        <v>0</v>
      </c>
      <c r="I347" s="41">
        <v>1</v>
      </c>
      <c r="J347" s="41">
        <v>3</v>
      </c>
      <c r="K347" s="41">
        <v>4</v>
      </c>
      <c r="L347" s="41" t="s">
        <v>78</v>
      </c>
      <c r="M347" s="41">
        <f>IF(L347&gt;0,INDEX(Fish!$D:$D,MATCH(L347,Fish!$L:$L,0)),"")</f>
        <v>11010</v>
      </c>
      <c r="N347" s="41">
        <v>0</v>
      </c>
      <c r="O347" s="41">
        <v>1</v>
      </c>
      <c r="P347" s="41">
        <v>2</v>
      </c>
      <c r="Q347" s="41">
        <v>3</v>
      </c>
      <c r="R347" s="41" t="s">
        <v>82</v>
      </c>
      <c r="S347" s="41">
        <f>IF(R347&gt;0,INDEX(Fish!$D:$D,MATCH(R347,Fish!$L:$L,0)),"")</f>
        <v>11012</v>
      </c>
      <c r="T347" s="41">
        <v>0</v>
      </c>
      <c r="U347" s="41">
        <v>1</v>
      </c>
      <c r="V347" s="41">
        <v>1</v>
      </c>
      <c r="W347" s="41">
        <v>2</v>
      </c>
      <c r="X347" s="41" t="s">
        <v>88</v>
      </c>
      <c r="Y347" s="41">
        <f>IF(X347&gt;0,INDEX(Fish!$D:$D,MATCH(X347,Fish!$L:$L,0)),"")</f>
        <v>11015</v>
      </c>
      <c r="Z347" s="41">
        <v>0</v>
      </c>
      <c r="AA347" s="41">
        <v>1</v>
      </c>
      <c r="AB347" s="41">
        <v>1</v>
      </c>
      <c r="AC347" s="41">
        <v>2</v>
      </c>
      <c r="AD347" s="41" t="s">
        <v>84</v>
      </c>
      <c r="AE347" s="41">
        <f>IF(AD347&gt;0,INDEX(Fish!$D:$D,MATCH(AD347,Fish!$L:$L,0)),"")</f>
        <v>11013</v>
      </c>
      <c r="AF347" s="41">
        <v>0</v>
      </c>
      <c r="AG347" s="41">
        <v>1</v>
      </c>
      <c r="AH347" s="41">
        <v>1</v>
      </c>
      <c r="AI347" s="41">
        <v>1</v>
      </c>
    </row>
    <row r="348" spans="1:35">
      <c r="A348" s="41">
        <v>44413</v>
      </c>
      <c r="B348" s="41">
        <v>2</v>
      </c>
      <c r="C348" s="41">
        <v>0</v>
      </c>
      <c r="D348" s="41">
        <v>2</v>
      </c>
      <c r="E348" s="41">
        <v>1</v>
      </c>
      <c r="F348" s="41" t="s">
        <v>74</v>
      </c>
      <c r="G348" s="41">
        <f>IF(F348&gt;0,INDEX(Fish!$D:$D,MATCH(F348,Fish!$L:$L,0)),"")</f>
        <v>11009</v>
      </c>
      <c r="H348" s="41">
        <v>0</v>
      </c>
      <c r="I348" s="41">
        <v>1</v>
      </c>
      <c r="J348" s="41">
        <v>3</v>
      </c>
      <c r="K348" s="41">
        <v>4</v>
      </c>
      <c r="L348" s="41" t="s">
        <v>78</v>
      </c>
      <c r="M348" s="41">
        <f>IF(L348&gt;0,INDEX(Fish!$D:$D,MATCH(L348,Fish!$L:$L,0)),"")</f>
        <v>11010</v>
      </c>
      <c r="N348" s="41">
        <v>0</v>
      </c>
      <c r="O348" s="41">
        <v>1</v>
      </c>
      <c r="P348" s="41">
        <v>2</v>
      </c>
      <c r="Q348" s="41">
        <v>3</v>
      </c>
      <c r="R348" s="41" t="s">
        <v>82</v>
      </c>
      <c r="S348" s="41">
        <f>IF(R348&gt;0,INDEX(Fish!$D:$D,MATCH(R348,Fish!$L:$L,0)),"")</f>
        <v>11012</v>
      </c>
      <c r="T348" s="41">
        <v>0</v>
      </c>
      <c r="U348" s="41">
        <v>1</v>
      </c>
      <c r="V348" s="41">
        <v>1</v>
      </c>
      <c r="W348" s="41">
        <v>2</v>
      </c>
      <c r="X348" s="41" t="s">
        <v>88</v>
      </c>
      <c r="Y348" s="41">
        <f>IF(X348&gt;0,INDEX(Fish!$D:$D,MATCH(X348,Fish!$L:$L,0)),"")</f>
        <v>11015</v>
      </c>
      <c r="Z348" s="41">
        <v>0</v>
      </c>
      <c r="AA348" s="41">
        <v>1</v>
      </c>
      <c r="AB348" s="41">
        <v>1</v>
      </c>
      <c r="AC348" s="41">
        <v>2</v>
      </c>
      <c r="AD348" s="41" t="s">
        <v>90</v>
      </c>
      <c r="AE348" s="41">
        <f>IF(AD348&gt;0,INDEX(Fish!$D:$D,MATCH(AD348,Fish!$L:$L,0)),"")</f>
        <v>11016</v>
      </c>
      <c r="AF348" s="41">
        <v>0</v>
      </c>
      <c r="AG348" s="41">
        <v>1</v>
      </c>
      <c r="AH348" s="41">
        <v>1</v>
      </c>
      <c r="AI348" s="41">
        <v>1</v>
      </c>
    </row>
    <row r="349" spans="1:35">
      <c r="A349" s="41">
        <v>44413</v>
      </c>
      <c r="B349" s="41">
        <v>2</v>
      </c>
      <c r="C349" s="41">
        <v>0</v>
      </c>
      <c r="D349" s="41">
        <v>2</v>
      </c>
      <c r="E349" s="41">
        <v>1</v>
      </c>
      <c r="F349" s="41" t="s">
        <v>74</v>
      </c>
      <c r="G349" s="41">
        <f>IF(F349&gt;0,INDEX(Fish!$D:$D,MATCH(F349,Fish!$L:$L,0)),"")</f>
        <v>11009</v>
      </c>
      <c r="H349" s="41">
        <v>0</v>
      </c>
      <c r="I349" s="41">
        <v>1</v>
      </c>
      <c r="J349" s="41">
        <v>3</v>
      </c>
      <c r="K349" s="41">
        <v>4</v>
      </c>
      <c r="L349" s="41" t="s">
        <v>78</v>
      </c>
      <c r="M349" s="41">
        <f>IF(L349&gt;0,INDEX(Fish!$D:$D,MATCH(L349,Fish!$L:$L,0)),"")</f>
        <v>11010</v>
      </c>
      <c r="N349" s="41">
        <v>0</v>
      </c>
      <c r="O349" s="41">
        <v>1</v>
      </c>
      <c r="P349" s="41">
        <v>2</v>
      </c>
      <c r="Q349" s="41">
        <v>3</v>
      </c>
      <c r="R349" s="41" t="s">
        <v>82</v>
      </c>
      <c r="S349" s="41">
        <f>IF(R349&gt;0,INDEX(Fish!$D:$D,MATCH(R349,Fish!$L:$L,0)),"")</f>
        <v>11012</v>
      </c>
      <c r="T349" s="41">
        <v>0</v>
      </c>
      <c r="U349" s="41">
        <v>1</v>
      </c>
      <c r="V349" s="41">
        <v>1</v>
      </c>
      <c r="W349" s="41">
        <v>2</v>
      </c>
      <c r="X349" s="41" t="s">
        <v>94</v>
      </c>
      <c r="Y349" s="41">
        <f>IF(X349&gt;0,INDEX(Fish!$D:$D,MATCH(X349,Fish!$L:$L,0)),"")</f>
        <v>11020</v>
      </c>
      <c r="Z349" s="41">
        <v>0</v>
      </c>
      <c r="AA349" s="41">
        <v>1</v>
      </c>
      <c r="AB349" s="41">
        <v>1</v>
      </c>
      <c r="AC349" s="41">
        <v>2</v>
      </c>
      <c r="AD349" s="41" t="s">
        <v>84</v>
      </c>
      <c r="AE349" s="41">
        <f>IF(AD349&gt;0,INDEX(Fish!$D:$D,MATCH(AD349,Fish!$L:$L,0)),"")</f>
        <v>11013</v>
      </c>
      <c r="AF349" s="41">
        <v>0</v>
      </c>
      <c r="AG349" s="41">
        <v>1</v>
      </c>
      <c r="AH349" s="41">
        <v>1</v>
      </c>
      <c r="AI349" s="41">
        <v>1</v>
      </c>
    </row>
    <row r="350" spans="1:35">
      <c r="A350" s="41">
        <v>44413</v>
      </c>
      <c r="B350" s="41">
        <v>2</v>
      </c>
      <c r="C350" s="41">
        <v>0</v>
      </c>
      <c r="D350" s="41">
        <v>2</v>
      </c>
      <c r="E350" s="41">
        <v>1</v>
      </c>
      <c r="F350" s="41" t="s">
        <v>74</v>
      </c>
      <c r="G350" s="41">
        <f>IF(F350&gt;0,INDEX(Fish!$D:$D,MATCH(F350,Fish!$L:$L,0)),"")</f>
        <v>11009</v>
      </c>
      <c r="H350" s="41">
        <v>0</v>
      </c>
      <c r="I350" s="41">
        <v>1</v>
      </c>
      <c r="J350" s="41">
        <v>3</v>
      </c>
      <c r="K350" s="41">
        <v>4</v>
      </c>
      <c r="L350" s="41" t="s">
        <v>78</v>
      </c>
      <c r="M350" s="41">
        <f>IF(L350&gt;0,INDEX(Fish!$D:$D,MATCH(L350,Fish!$L:$L,0)),"")</f>
        <v>11010</v>
      </c>
      <c r="N350" s="41">
        <v>0</v>
      </c>
      <c r="O350" s="41">
        <v>1</v>
      </c>
      <c r="P350" s="41">
        <v>2</v>
      </c>
      <c r="Q350" s="41">
        <v>3</v>
      </c>
      <c r="R350" s="41" t="s">
        <v>82</v>
      </c>
      <c r="S350" s="41">
        <f>IF(R350&gt;0,INDEX(Fish!$D:$D,MATCH(R350,Fish!$L:$L,0)),"")</f>
        <v>11012</v>
      </c>
      <c r="T350" s="41">
        <v>0</v>
      </c>
      <c r="U350" s="41">
        <v>1</v>
      </c>
      <c r="V350" s="41">
        <v>1</v>
      </c>
      <c r="W350" s="41">
        <v>2</v>
      </c>
      <c r="X350" s="41" t="s">
        <v>94</v>
      </c>
      <c r="Y350" s="41">
        <f>IF(X350&gt;0,INDEX(Fish!$D:$D,MATCH(X350,Fish!$L:$L,0)),"")</f>
        <v>11020</v>
      </c>
      <c r="Z350" s="41">
        <v>0</v>
      </c>
      <c r="AA350" s="41">
        <v>1</v>
      </c>
      <c r="AB350" s="41">
        <v>1</v>
      </c>
      <c r="AC350" s="41">
        <v>2</v>
      </c>
      <c r="AD350" s="41" t="s">
        <v>90</v>
      </c>
      <c r="AE350" s="41">
        <f>IF(AD350&gt;0,INDEX(Fish!$D:$D,MATCH(AD350,Fish!$L:$L,0)),"")</f>
        <v>11016</v>
      </c>
      <c r="AF350" s="41">
        <v>0</v>
      </c>
      <c r="AG350" s="41">
        <v>1</v>
      </c>
      <c r="AH350" s="41">
        <v>1</v>
      </c>
      <c r="AI350" s="41">
        <v>1</v>
      </c>
    </row>
    <row r="351" spans="1:35" ht="18.75">
      <c r="A351" s="41">
        <v>44413</v>
      </c>
      <c r="B351" s="41">
        <v>5</v>
      </c>
      <c r="C351" s="41">
        <v>0</v>
      </c>
      <c r="D351" s="41">
        <v>3</v>
      </c>
      <c r="E351" s="41">
        <v>2</v>
      </c>
      <c r="F351" s="41" t="s">
        <v>98</v>
      </c>
      <c r="G351" s="41">
        <f>IF(F351&gt;0,INDEX(Fish!$D:$D,MATCH(F351,Fish!$L:$L,0)),"")</f>
        <v>11090</v>
      </c>
      <c r="H351" s="41">
        <v>40000</v>
      </c>
      <c r="I351" s="41">
        <v>1</v>
      </c>
      <c r="J351" s="41">
        <v>1</v>
      </c>
      <c r="K351" s="41">
        <v>1</v>
      </c>
      <c r="L351" s="45" t="s">
        <v>100</v>
      </c>
      <c r="M351" s="41">
        <f>IF(L351&gt;0,INDEX(Fish!$D:$D,MATCH(L351,Fish!$L:$L,0)),"")</f>
        <v>11025</v>
      </c>
      <c r="N351" s="41">
        <v>30000</v>
      </c>
      <c r="O351" s="41">
        <v>1</v>
      </c>
      <c r="P351" s="41">
        <v>1</v>
      </c>
      <c r="Q351" s="41">
        <v>1</v>
      </c>
      <c r="R351" s="45" t="s">
        <v>96</v>
      </c>
      <c r="S351" s="41">
        <f>IF(R351&gt;0,INDEX(Fish!$D:$D,MATCH(R351,Fish!$L:$L,0)),"")</f>
        <v>11024</v>
      </c>
      <c r="T351" s="41">
        <v>30000</v>
      </c>
      <c r="U351" s="41">
        <v>1</v>
      </c>
      <c r="V351" s="41">
        <v>1</v>
      </c>
      <c r="W351" s="41">
        <v>1</v>
      </c>
    </row>
    <row r="352" spans="1:35">
      <c r="A352" s="41">
        <v>44413</v>
      </c>
      <c r="B352" s="41">
        <v>5</v>
      </c>
      <c r="C352" s="41">
        <v>0</v>
      </c>
      <c r="D352" s="41">
        <v>4</v>
      </c>
      <c r="E352" s="41">
        <v>2</v>
      </c>
      <c r="F352" s="41" t="s">
        <v>346</v>
      </c>
      <c r="G352" s="41">
        <f>IF(F352&gt;0,INDEX(Fish!$D:$D,MATCH(F352,Fish!$L:$L,0)),"")</f>
        <v>11018</v>
      </c>
      <c r="H352" s="41">
        <v>30000</v>
      </c>
      <c r="I352" s="41">
        <v>1</v>
      </c>
      <c r="J352" s="41">
        <v>1</v>
      </c>
      <c r="K352" s="41">
        <v>2</v>
      </c>
      <c r="L352" s="41" t="s">
        <v>356</v>
      </c>
      <c r="M352" s="41">
        <f>IF(L352&gt;0,INDEX(Fish!$D:$D,MATCH(L352,Fish!$L:$L,0)),"")</f>
        <v>11214</v>
      </c>
      <c r="N352" s="41">
        <v>25000</v>
      </c>
      <c r="O352" s="41">
        <v>1</v>
      </c>
      <c r="P352" s="41">
        <v>1</v>
      </c>
      <c r="Q352" s="41">
        <v>2</v>
      </c>
      <c r="R352" s="41" t="s">
        <v>350</v>
      </c>
      <c r="S352" s="41">
        <f>IF(R352&gt;0,INDEX(Fish!$D:$D,MATCH(R352,Fish!$L:$L,0)),"")</f>
        <v>11021</v>
      </c>
      <c r="T352" s="41">
        <v>20000</v>
      </c>
      <c r="U352" s="41">
        <v>1</v>
      </c>
      <c r="V352" s="41">
        <v>1</v>
      </c>
      <c r="W352" s="41">
        <v>2</v>
      </c>
      <c r="X352" s="41" t="s">
        <v>348</v>
      </c>
      <c r="Y352" s="41">
        <f>IF(X352&gt;0,INDEX(Fish!$D:$D,MATCH(X352,Fish!$L:$L,0)),"")</f>
        <v>11092</v>
      </c>
      <c r="Z352" s="41">
        <v>15000</v>
      </c>
      <c r="AA352" s="41">
        <v>1</v>
      </c>
      <c r="AB352" s="41">
        <v>1</v>
      </c>
      <c r="AC352" s="41">
        <v>2</v>
      </c>
      <c r="AD352" s="41" t="s">
        <v>352</v>
      </c>
      <c r="AE352" s="41">
        <f>IF(AD352&gt;0,INDEX(Fish!$D:$D,MATCH(AD352,Fish!$L:$L,0)),"")</f>
        <v>11026</v>
      </c>
      <c r="AF352" s="41">
        <v>10000</v>
      </c>
      <c r="AG352" s="41">
        <v>1</v>
      </c>
      <c r="AH352" s="41">
        <v>1</v>
      </c>
      <c r="AI352" s="41">
        <v>2</v>
      </c>
    </row>
    <row r="353" spans="1:35">
      <c r="A353" s="41">
        <v>44413</v>
      </c>
      <c r="B353" s="41">
        <v>5</v>
      </c>
      <c r="C353" s="41">
        <v>0</v>
      </c>
      <c r="D353" s="41">
        <v>5</v>
      </c>
      <c r="E353" s="41">
        <v>2</v>
      </c>
      <c r="F353" s="41" t="s">
        <v>118</v>
      </c>
      <c r="G353" s="41">
        <f>IF(F353&gt;0,INDEX(Fish!$D:$D,MATCH(F353,Fish!$L:$L,0)),"")</f>
        <v>14011</v>
      </c>
      <c r="H353" s="41">
        <v>32000</v>
      </c>
      <c r="I353" s="41">
        <v>1</v>
      </c>
      <c r="J353" s="41">
        <v>1</v>
      </c>
      <c r="K353" s="41">
        <v>1</v>
      </c>
      <c r="L353" s="41" t="s">
        <v>120</v>
      </c>
      <c r="M353" s="41">
        <f>IF(L353&gt;0,INDEX(Fish!$D:$D,MATCH(L353,Fish!$L:$L,0)),"")</f>
        <v>14015</v>
      </c>
      <c r="N353" s="41">
        <v>24000</v>
      </c>
      <c r="O353" s="41">
        <v>1</v>
      </c>
      <c r="P353" s="41">
        <v>1</v>
      </c>
      <c r="Q353" s="41">
        <v>1</v>
      </c>
      <c r="R353" s="41" t="s">
        <v>121</v>
      </c>
      <c r="S353" s="41">
        <f>IF(R353&gt;0,INDEX(Fish!$D:$D,MATCH(R353,Fish!$L:$L,0)),"")</f>
        <v>14020</v>
      </c>
      <c r="T353" s="41">
        <v>20000</v>
      </c>
      <c r="U353" s="41">
        <v>1</v>
      </c>
      <c r="V353" s="41">
        <v>1</v>
      </c>
      <c r="W353" s="41">
        <v>1</v>
      </c>
      <c r="X353" s="41" t="s">
        <v>119</v>
      </c>
      <c r="Y353" s="41">
        <f>IF(X353&gt;0,INDEX(Fish!$D:$D,MATCH(X353,Fish!$L:$L,0)),"")</f>
        <v>14013</v>
      </c>
      <c r="Z353" s="41">
        <v>15000</v>
      </c>
      <c r="AA353" s="41">
        <v>1</v>
      </c>
      <c r="AB353" s="41">
        <v>1</v>
      </c>
      <c r="AC353" s="41">
        <v>1</v>
      </c>
      <c r="AD353" s="41" t="s">
        <v>125</v>
      </c>
      <c r="AE353" s="41">
        <f>IF(AD353&gt;0,INDEX(Fish!$D:$D,MATCH(AD353,Fish!$L:$L,0)),"")</f>
        <v>14090</v>
      </c>
      <c r="AF353" s="41">
        <v>9000</v>
      </c>
      <c r="AG353" s="41">
        <v>1</v>
      </c>
      <c r="AH353" s="41">
        <v>1</v>
      </c>
      <c r="AI353" s="41">
        <v>1</v>
      </c>
    </row>
    <row r="354" spans="1:35">
      <c r="A354" s="41">
        <v>44414</v>
      </c>
      <c r="B354" s="41">
        <v>1</v>
      </c>
      <c r="C354" s="41">
        <v>10</v>
      </c>
      <c r="D354" s="41">
        <v>1</v>
      </c>
      <c r="E354" s="41">
        <v>1</v>
      </c>
      <c r="F354" s="41" t="s">
        <v>58</v>
      </c>
      <c r="G354" s="41">
        <f>IF(F354&gt;0,INDEX(Fish!$D:$D,MATCH(F354,Fish!$L:$L,0)),"")</f>
        <v>11001</v>
      </c>
      <c r="H354" s="41">
        <v>0</v>
      </c>
      <c r="I354" s="41">
        <v>4</v>
      </c>
      <c r="J354" s="41">
        <v>6</v>
      </c>
      <c r="K354" s="41">
        <v>8</v>
      </c>
      <c r="L354" s="41" t="s">
        <v>68</v>
      </c>
      <c r="M354" s="41">
        <f>IF(L354&gt;0,INDEX(Fish!$D:$D,MATCH(L354,Fish!$L:$L,0)),"")</f>
        <v>11006</v>
      </c>
      <c r="N354" s="41">
        <v>0</v>
      </c>
      <c r="O354" s="41">
        <v>3</v>
      </c>
      <c r="P354" s="41">
        <v>6</v>
      </c>
      <c r="Q354" s="41">
        <v>8</v>
      </c>
    </row>
    <row r="355" spans="1:35">
      <c r="A355" s="41">
        <v>44414</v>
      </c>
      <c r="B355" s="41">
        <v>1</v>
      </c>
      <c r="C355" s="41">
        <v>10</v>
      </c>
      <c r="D355" s="41">
        <v>1</v>
      </c>
      <c r="E355" s="41">
        <v>1</v>
      </c>
      <c r="F355" s="41" t="s">
        <v>58</v>
      </c>
      <c r="G355" s="41">
        <f>IF(F355&gt;0,INDEX(Fish!$D:$D,MATCH(F355,Fish!$L:$L,0)),"")</f>
        <v>11001</v>
      </c>
      <c r="H355" s="41">
        <v>0</v>
      </c>
      <c r="I355" s="41">
        <v>4</v>
      </c>
      <c r="J355" s="41">
        <v>6</v>
      </c>
      <c r="K355" s="41">
        <v>8</v>
      </c>
      <c r="L355" s="41" t="s">
        <v>62</v>
      </c>
      <c r="M355" s="41">
        <f>IF(L355&gt;0,INDEX(Fish!$D:$D,MATCH(L355,Fish!$L:$L,0)),"")</f>
        <v>11003</v>
      </c>
      <c r="N355" s="41">
        <v>0</v>
      </c>
      <c r="O355" s="41">
        <v>3</v>
      </c>
      <c r="P355" s="41">
        <v>6</v>
      </c>
      <c r="Q355" s="41">
        <v>8</v>
      </c>
    </row>
    <row r="356" spans="1:35">
      <c r="A356" s="41">
        <v>44414</v>
      </c>
      <c r="B356" s="41">
        <v>1</v>
      </c>
      <c r="C356" s="41">
        <v>10</v>
      </c>
      <c r="D356" s="41">
        <v>1</v>
      </c>
      <c r="E356" s="41">
        <v>1</v>
      </c>
      <c r="F356" s="41" t="s">
        <v>58</v>
      </c>
      <c r="G356" s="41">
        <f>IF(F356&gt;0,INDEX(Fish!$D:$D,MATCH(F356,Fish!$L:$L,0)),"")</f>
        <v>11001</v>
      </c>
      <c r="H356" s="41">
        <v>0</v>
      </c>
      <c r="I356" s="41">
        <v>4</v>
      </c>
      <c r="J356" s="41">
        <v>6</v>
      </c>
      <c r="K356" s="41">
        <v>8</v>
      </c>
      <c r="L356" s="41" t="s">
        <v>70</v>
      </c>
      <c r="M356" s="41">
        <f>IF(L356&gt;0,INDEX(Fish!$D:$D,MATCH(L356,Fish!$L:$L,0)),"")</f>
        <v>11007</v>
      </c>
      <c r="N356" s="41">
        <v>0</v>
      </c>
      <c r="O356" s="41">
        <v>3</v>
      </c>
      <c r="P356" s="41">
        <v>6</v>
      </c>
      <c r="Q356" s="41">
        <v>8</v>
      </c>
    </row>
    <row r="357" spans="1:35">
      <c r="A357" s="41">
        <v>44414</v>
      </c>
      <c r="B357" s="41">
        <v>1</v>
      </c>
      <c r="C357" s="41">
        <v>10</v>
      </c>
      <c r="D357" s="41">
        <v>1</v>
      </c>
      <c r="E357" s="41">
        <v>1</v>
      </c>
      <c r="F357" s="41" t="s">
        <v>58</v>
      </c>
      <c r="G357" s="41">
        <f>IF(F357&gt;0,INDEX(Fish!$D:$D,MATCH(F357,Fish!$L:$L,0)),"")</f>
        <v>11001</v>
      </c>
      <c r="H357" s="41">
        <v>0</v>
      </c>
      <c r="I357" s="41">
        <v>4</v>
      </c>
      <c r="J357" s="41">
        <v>6</v>
      </c>
      <c r="K357" s="41">
        <v>8</v>
      </c>
      <c r="L357" s="41" t="s">
        <v>76</v>
      </c>
      <c r="M357" s="41">
        <f>IF(L357&gt;0,INDEX(Fish!$D:$D,MATCH(L357,Fish!$L:$L,0)),"")</f>
        <v>11085</v>
      </c>
      <c r="N357" s="41">
        <v>0</v>
      </c>
      <c r="O357" s="41">
        <v>3</v>
      </c>
      <c r="P357" s="41">
        <v>6</v>
      </c>
      <c r="Q357" s="41">
        <v>8</v>
      </c>
    </row>
    <row r="358" spans="1:35">
      <c r="A358" s="41">
        <v>44414</v>
      </c>
      <c r="B358" s="41">
        <v>1</v>
      </c>
      <c r="C358" s="41">
        <v>10</v>
      </c>
      <c r="D358" s="41">
        <v>1</v>
      </c>
      <c r="E358" s="41">
        <v>1</v>
      </c>
      <c r="F358" s="41" t="s">
        <v>58</v>
      </c>
      <c r="G358" s="41">
        <f>IF(F358&gt;0,INDEX(Fish!$D:$D,MATCH(F358,Fish!$L:$L,0)),"")</f>
        <v>11001</v>
      </c>
      <c r="H358" s="41">
        <v>0</v>
      </c>
      <c r="I358" s="41">
        <v>4</v>
      </c>
      <c r="J358" s="41">
        <v>6</v>
      </c>
      <c r="K358" s="41">
        <v>8</v>
      </c>
      <c r="L358" s="41" t="s">
        <v>64</v>
      </c>
      <c r="M358" s="41">
        <f>IF(L358&gt;0,INDEX(Fish!$D:$D,MATCH(L358,Fish!$L:$L,0)),"")</f>
        <v>11004</v>
      </c>
      <c r="N358" s="41">
        <v>0</v>
      </c>
      <c r="O358" s="41">
        <v>3</v>
      </c>
      <c r="P358" s="41">
        <v>6</v>
      </c>
      <c r="Q358" s="41">
        <v>8</v>
      </c>
    </row>
    <row r="359" spans="1:35">
      <c r="A359" s="41">
        <v>44414</v>
      </c>
      <c r="B359" s="41">
        <v>1</v>
      </c>
      <c r="C359" s="41">
        <v>10</v>
      </c>
      <c r="D359" s="41">
        <v>1</v>
      </c>
      <c r="E359" s="41">
        <v>1</v>
      </c>
      <c r="F359" s="41" t="s">
        <v>60</v>
      </c>
      <c r="G359" s="41">
        <f>IF(F359&gt;0,INDEX(Fish!$D:$D,MATCH(F359,Fish!$L:$L,0)),"")</f>
        <v>11002</v>
      </c>
      <c r="H359" s="41">
        <v>0</v>
      </c>
      <c r="I359" s="41">
        <v>4</v>
      </c>
      <c r="J359" s="41">
        <v>6</v>
      </c>
      <c r="K359" s="41">
        <v>8</v>
      </c>
      <c r="L359" s="41" t="s">
        <v>68</v>
      </c>
      <c r="M359" s="41">
        <f>IF(L359&gt;0,INDEX(Fish!$D:$D,MATCH(L359,Fish!$L:$L,0)),"")</f>
        <v>11006</v>
      </c>
      <c r="N359" s="41">
        <v>0</v>
      </c>
      <c r="O359" s="41">
        <v>3</v>
      </c>
      <c r="P359" s="41">
        <v>6</v>
      </c>
      <c r="Q359" s="41">
        <v>8</v>
      </c>
    </row>
    <row r="360" spans="1:35">
      <c r="A360" s="41">
        <v>44414</v>
      </c>
      <c r="B360" s="41">
        <v>1</v>
      </c>
      <c r="C360" s="41">
        <v>10</v>
      </c>
      <c r="D360" s="41">
        <v>1</v>
      </c>
      <c r="E360" s="41">
        <v>1</v>
      </c>
      <c r="F360" s="41" t="s">
        <v>60</v>
      </c>
      <c r="G360" s="41">
        <f>IF(F360&gt;0,INDEX(Fish!$D:$D,MATCH(F360,Fish!$L:$L,0)),"")</f>
        <v>11002</v>
      </c>
      <c r="H360" s="41">
        <v>0</v>
      </c>
      <c r="I360" s="41">
        <v>4</v>
      </c>
      <c r="J360" s="41">
        <v>6</v>
      </c>
      <c r="K360" s="41">
        <v>8</v>
      </c>
      <c r="L360" s="41" t="s">
        <v>62</v>
      </c>
      <c r="M360" s="41">
        <f>IF(L360&gt;0,INDEX(Fish!$D:$D,MATCH(L360,Fish!$L:$L,0)),"")</f>
        <v>11003</v>
      </c>
      <c r="N360" s="41">
        <v>0</v>
      </c>
      <c r="O360" s="41">
        <v>3</v>
      </c>
      <c r="P360" s="41">
        <v>6</v>
      </c>
      <c r="Q360" s="41">
        <v>8</v>
      </c>
    </row>
    <row r="361" spans="1:35">
      <c r="A361" s="41">
        <v>44414</v>
      </c>
      <c r="B361" s="41">
        <v>1</v>
      </c>
      <c r="C361" s="41">
        <v>10</v>
      </c>
      <c r="D361" s="41">
        <v>1</v>
      </c>
      <c r="E361" s="41">
        <v>1</v>
      </c>
      <c r="F361" s="41" t="s">
        <v>60</v>
      </c>
      <c r="G361" s="41">
        <f>IF(F361&gt;0,INDEX(Fish!$D:$D,MATCH(F361,Fish!$L:$L,0)),"")</f>
        <v>11002</v>
      </c>
      <c r="H361" s="41">
        <v>0</v>
      </c>
      <c r="I361" s="41">
        <v>4</v>
      </c>
      <c r="J361" s="41">
        <v>6</v>
      </c>
      <c r="K361" s="41">
        <v>8</v>
      </c>
      <c r="L361" s="41" t="s">
        <v>70</v>
      </c>
      <c r="M361" s="41">
        <f>IF(L361&gt;0,INDEX(Fish!$D:$D,MATCH(L361,Fish!$L:$L,0)),"")</f>
        <v>11007</v>
      </c>
      <c r="N361" s="41">
        <v>0</v>
      </c>
      <c r="O361" s="41">
        <v>3</v>
      </c>
      <c r="P361" s="41">
        <v>6</v>
      </c>
      <c r="Q361" s="41">
        <v>8</v>
      </c>
    </row>
    <row r="362" spans="1:35">
      <c r="A362" s="41">
        <v>44414</v>
      </c>
      <c r="B362" s="41">
        <v>1</v>
      </c>
      <c r="C362" s="41">
        <v>10</v>
      </c>
      <c r="D362" s="41">
        <v>1</v>
      </c>
      <c r="E362" s="41">
        <v>1</v>
      </c>
      <c r="F362" s="41" t="s">
        <v>60</v>
      </c>
      <c r="G362" s="41">
        <f>IF(F362&gt;0,INDEX(Fish!$D:$D,MATCH(F362,Fish!$L:$L,0)),"")</f>
        <v>11002</v>
      </c>
      <c r="H362" s="41">
        <v>0</v>
      </c>
      <c r="I362" s="41">
        <v>4</v>
      </c>
      <c r="J362" s="41">
        <v>6</v>
      </c>
      <c r="K362" s="41">
        <v>8</v>
      </c>
      <c r="L362" s="41" t="s">
        <v>76</v>
      </c>
      <c r="M362" s="41">
        <f>IF(L362&gt;0,INDEX(Fish!$D:$D,MATCH(L362,Fish!$L:$L,0)),"")</f>
        <v>11085</v>
      </c>
      <c r="N362" s="41">
        <v>0</v>
      </c>
      <c r="O362" s="41">
        <v>3</v>
      </c>
      <c r="P362" s="41">
        <v>6</v>
      </c>
      <c r="Q362" s="41">
        <v>8</v>
      </c>
    </row>
    <row r="363" spans="1:35">
      <c r="A363" s="41">
        <v>44414</v>
      </c>
      <c r="B363" s="41">
        <v>1</v>
      </c>
      <c r="C363" s="41">
        <v>10</v>
      </c>
      <c r="D363" s="41">
        <v>1</v>
      </c>
      <c r="E363" s="41">
        <v>1</v>
      </c>
      <c r="F363" s="41" t="s">
        <v>60</v>
      </c>
      <c r="G363" s="41">
        <f>IF(F363&gt;0,INDEX(Fish!$D:$D,MATCH(F363,Fish!$L:$L,0)),"")</f>
        <v>11002</v>
      </c>
      <c r="H363" s="41">
        <v>0</v>
      </c>
      <c r="I363" s="41">
        <v>4</v>
      </c>
      <c r="J363" s="41">
        <v>6</v>
      </c>
      <c r="K363" s="41">
        <v>8</v>
      </c>
      <c r="L363" s="41" t="s">
        <v>64</v>
      </c>
      <c r="M363" s="41">
        <f>IF(L363&gt;0,INDEX(Fish!$D:$D,MATCH(L363,Fish!$L:$L,0)),"")</f>
        <v>11004</v>
      </c>
      <c r="N363" s="41">
        <v>0</v>
      </c>
      <c r="O363" s="41">
        <v>3</v>
      </c>
      <c r="P363" s="41">
        <v>6</v>
      </c>
      <c r="Q363" s="41">
        <v>8</v>
      </c>
    </row>
    <row r="364" spans="1:35">
      <c r="A364" s="41">
        <v>44414</v>
      </c>
      <c r="B364" s="41">
        <v>2</v>
      </c>
      <c r="C364" s="41">
        <v>0</v>
      </c>
      <c r="D364" s="41">
        <v>2</v>
      </c>
      <c r="E364" s="41">
        <v>1</v>
      </c>
      <c r="F364" s="41" t="s">
        <v>72</v>
      </c>
      <c r="G364" s="41">
        <f>IF(F364&gt;0,INDEX(Fish!$D:$D,MATCH(F364,Fish!$L:$L,0)),"")</f>
        <v>11008</v>
      </c>
      <c r="H364" s="41">
        <v>0</v>
      </c>
      <c r="I364" s="41">
        <v>1</v>
      </c>
      <c r="J364" s="41">
        <v>2</v>
      </c>
      <c r="K364" s="41">
        <v>3</v>
      </c>
      <c r="L364" s="41" t="s">
        <v>78</v>
      </c>
      <c r="M364" s="41">
        <f>IF(L364&gt;0,INDEX(Fish!$D:$D,MATCH(L364,Fish!$L:$L,0)),"")</f>
        <v>11010</v>
      </c>
      <c r="N364" s="41">
        <v>0</v>
      </c>
      <c r="O364" s="41">
        <v>1</v>
      </c>
      <c r="P364" s="41">
        <v>1</v>
      </c>
      <c r="Q364" s="41">
        <v>2</v>
      </c>
      <c r="R364" s="41" t="s">
        <v>82</v>
      </c>
      <c r="S364" s="41">
        <f>IF(R364&gt;0,INDEX(Fish!$D:$D,MATCH(R364,Fish!$L:$L,0)),"")</f>
        <v>11012</v>
      </c>
      <c r="T364" s="41">
        <v>0</v>
      </c>
      <c r="U364" s="41">
        <v>1</v>
      </c>
      <c r="V364" s="41">
        <v>2</v>
      </c>
      <c r="W364" s="41">
        <v>3</v>
      </c>
      <c r="X364" s="41" t="s">
        <v>84</v>
      </c>
      <c r="Y364" s="41">
        <f>IF(X364&gt;0,INDEX(Fish!$D:$D,MATCH(X364,Fish!$L:$L,0)),"")</f>
        <v>11013</v>
      </c>
      <c r="Z364" s="41">
        <v>0</v>
      </c>
      <c r="AA364" s="41">
        <v>1</v>
      </c>
      <c r="AB364" s="41">
        <v>1</v>
      </c>
      <c r="AC364" s="41">
        <v>2</v>
      </c>
    </row>
    <row r="365" spans="1:35">
      <c r="A365" s="41">
        <v>44414</v>
      </c>
      <c r="B365" s="41">
        <v>2</v>
      </c>
      <c r="C365" s="41">
        <v>0</v>
      </c>
      <c r="D365" s="41">
        <v>2</v>
      </c>
      <c r="E365" s="41">
        <v>1</v>
      </c>
      <c r="F365" s="41" t="s">
        <v>72</v>
      </c>
      <c r="G365" s="41">
        <f>IF(F365&gt;0,INDEX(Fish!$D:$D,MATCH(F365,Fish!$L:$L,0)),"")</f>
        <v>11008</v>
      </c>
      <c r="H365" s="41">
        <v>0</v>
      </c>
      <c r="I365" s="41">
        <v>1</v>
      </c>
      <c r="J365" s="41">
        <v>2</v>
      </c>
      <c r="K365" s="41">
        <v>3</v>
      </c>
      <c r="L365" s="41" t="s">
        <v>78</v>
      </c>
      <c r="M365" s="41">
        <f>IF(L365&gt;0,INDEX(Fish!$D:$D,MATCH(L365,Fish!$L:$L,0)),"")</f>
        <v>11010</v>
      </c>
      <c r="N365" s="41">
        <v>0</v>
      </c>
      <c r="O365" s="41">
        <v>1</v>
      </c>
      <c r="P365" s="41">
        <v>1</v>
      </c>
      <c r="Q365" s="41">
        <v>2</v>
      </c>
      <c r="R365" s="41" t="s">
        <v>82</v>
      </c>
      <c r="S365" s="41">
        <f>IF(R365&gt;0,INDEX(Fish!$D:$D,MATCH(R365,Fish!$L:$L,0)),"")</f>
        <v>11012</v>
      </c>
      <c r="T365" s="41">
        <v>0</v>
      </c>
      <c r="U365" s="41">
        <v>1</v>
      </c>
      <c r="V365" s="41">
        <v>2</v>
      </c>
      <c r="W365" s="41">
        <v>3</v>
      </c>
      <c r="X365" s="41" t="s">
        <v>90</v>
      </c>
      <c r="Y365" s="41">
        <f>IF(X365&gt;0,INDEX(Fish!$D:$D,MATCH(X365,Fish!$L:$L,0)),"")</f>
        <v>11016</v>
      </c>
      <c r="Z365" s="41">
        <v>0</v>
      </c>
      <c r="AA365" s="41">
        <v>1</v>
      </c>
      <c r="AB365" s="41">
        <v>1</v>
      </c>
      <c r="AC365" s="41">
        <v>2</v>
      </c>
    </row>
    <row r="366" spans="1:35">
      <c r="A366" s="41">
        <v>44414</v>
      </c>
      <c r="B366" s="41">
        <v>2</v>
      </c>
      <c r="C366" s="41">
        <v>0</v>
      </c>
      <c r="D366" s="41">
        <v>2</v>
      </c>
      <c r="E366" s="41">
        <v>1</v>
      </c>
      <c r="F366" s="41" t="s">
        <v>72</v>
      </c>
      <c r="G366" s="41">
        <f>IF(F366&gt;0,INDEX(Fish!$D:$D,MATCH(F366,Fish!$L:$L,0)),"")</f>
        <v>11008</v>
      </c>
      <c r="H366" s="41">
        <v>0</v>
      </c>
      <c r="I366" s="41">
        <v>1</v>
      </c>
      <c r="J366" s="41">
        <v>2</v>
      </c>
      <c r="K366" s="41">
        <v>3</v>
      </c>
      <c r="L366" s="41" t="s">
        <v>78</v>
      </c>
      <c r="M366" s="41">
        <f>IF(L366&gt;0,INDEX(Fish!$D:$D,MATCH(L366,Fish!$L:$L,0)),"")</f>
        <v>11010</v>
      </c>
      <c r="N366" s="41">
        <v>0</v>
      </c>
      <c r="O366" s="41">
        <v>1</v>
      </c>
      <c r="P366" s="41">
        <v>1</v>
      </c>
      <c r="Q366" s="41">
        <v>2</v>
      </c>
      <c r="R366" s="41" t="s">
        <v>82</v>
      </c>
      <c r="S366" s="41">
        <f>IF(R366&gt;0,INDEX(Fish!$D:$D,MATCH(R366,Fish!$L:$L,0)),"")</f>
        <v>11012</v>
      </c>
      <c r="T366" s="41">
        <v>0</v>
      </c>
      <c r="U366" s="41">
        <v>1</v>
      </c>
      <c r="V366" s="41">
        <v>2</v>
      </c>
      <c r="W366" s="41">
        <v>3</v>
      </c>
      <c r="X366" s="41" t="s">
        <v>86</v>
      </c>
      <c r="Y366" s="41">
        <f>IF(X366&gt;0,INDEX(Fish!$D:$D,MATCH(X366,Fish!$L:$L,0)),"")</f>
        <v>11235</v>
      </c>
      <c r="Z366" s="41">
        <v>0</v>
      </c>
      <c r="AA366" s="41">
        <v>1</v>
      </c>
      <c r="AB366" s="41">
        <v>1</v>
      </c>
      <c r="AC366" s="41">
        <v>2</v>
      </c>
    </row>
    <row r="367" spans="1:35">
      <c r="A367" s="41">
        <v>44414</v>
      </c>
      <c r="B367" s="41">
        <v>2</v>
      </c>
      <c r="C367" s="41">
        <v>0</v>
      </c>
      <c r="D367" s="41">
        <v>2</v>
      </c>
      <c r="E367" s="41">
        <v>1</v>
      </c>
      <c r="F367" s="41" t="s">
        <v>72</v>
      </c>
      <c r="G367" s="41">
        <f>IF(F367&gt;0,INDEX(Fish!$D:$D,MATCH(F367,Fish!$L:$L,0)),"")</f>
        <v>11008</v>
      </c>
      <c r="H367" s="41">
        <v>0</v>
      </c>
      <c r="I367" s="41">
        <v>1</v>
      </c>
      <c r="J367" s="41">
        <v>2</v>
      </c>
      <c r="K367" s="41">
        <v>3</v>
      </c>
      <c r="L367" s="41" t="s">
        <v>78</v>
      </c>
      <c r="M367" s="41">
        <f>IF(L367&gt;0,INDEX(Fish!$D:$D,MATCH(L367,Fish!$L:$L,0)),"")</f>
        <v>11010</v>
      </c>
      <c r="N367" s="41">
        <v>0</v>
      </c>
      <c r="O367" s="41">
        <v>1</v>
      </c>
      <c r="P367" s="41">
        <v>1</v>
      </c>
      <c r="Q367" s="41">
        <v>2</v>
      </c>
      <c r="R367" s="41" t="s">
        <v>88</v>
      </c>
      <c r="S367" s="41">
        <f>IF(R367&gt;0,INDEX(Fish!$D:$D,MATCH(R367,Fish!$L:$L,0)),"")</f>
        <v>11015</v>
      </c>
      <c r="T367" s="41">
        <v>0</v>
      </c>
      <c r="U367" s="41">
        <v>1</v>
      </c>
      <c r="V367" s="41">
        <v>2</v>
      </c>
      <c r="W367" s="41">
        <v>3</v>
      </c>
      <c r="X367" s="41" t="s">
        <v>84</v>
      </c>
      <c r="Y367" s="41">
        <f>IF(X367&gt;0,INDEX(Fish!$D:$D,MATCH(X367,Fish!$L:$L,0)),"")</f>
        <v>11013</v>
      </c>
      <c r="Z367" s="41">
        <v>0</v>
      </c>
      <c r="AA367" s="41">
        <v>1</v>
      </c>
      <c r="AB367" s="41">
        <v>1</v>
      </c>
      <c r="AC367" s="41">
        <v>2</v>
      </c>
    </row>
    <row r="368" spans="1:35">
      <c r="A368" s="41">
        <v>44414</v>
      </c>
      <c r="B368" s="41">
        <v>2</v>
      </c>
      <c r="C368" s="41">
        <v>0</v>
      </c>
      <c r="D368" s="41">
        <v>2</v>
      </c>
      <c r="E368" s="41">
        <v>1</v>
      </c>
      <c r="F368" s="41" t="s">
        <v>72</v>
      </c>
      <c r="G368" s="41">
        <f>IF(F368&gt;0,INDEX(Fish!$D:$D,MATCH(F368,Fish!$L:$L,0)),"")</f>
        <v>11008</v>
      </c>
      <c r="H368" s="41">
        <v>0</v>
      </c>
      <c r="I368" s="41">
        <v>1</v>
      </c>
      <c r="J368" s="41">
        <v>2</v>
      </c>
      <c r="K368" s="41">
        <v>3</v>
      </c>
      <c r="L368" s="41" t="s">
        <v>78</v>
      </c>
      <c r="M368" s="41">
        <f>IF(L368&gt;0,INDEX(Fish!$D:$D,MATCH(L368,Fish!$L:$L,0)),"")</f>
        <v>11010</v>
      </c>
      <c r="N368" s="41">
        <v>0</v>
      </c>
      <c r="O368" s="41">
        <v>1</v>
      </c>
      <c r="P368" s="41">
        <v>1</v>
      </c>
      <c r="Q368" s="41">
        <v>2</v>
      </c>
      <c r="R368" s="41" t="s">
        <v>88</v>
      </c>
      <c r="S368" s="41">
        <f>IF(R368&gt;0,INDEX(Fish!$D:$D,MATCH(R368,Fish!$L:$L,0)),"")</f>
        <v>11015</v>
      </c>
      <c r="T368" s="41">
        <v>0</v>
      </c>
      <c r="U368" s="41">
        <v>1</v>
      </c>
      <c r="V368" s="41">
        <v>2</v>
      </c>
      <c r="W368" s="41">
        <v>3</v>
      </c>
      <c r="X368" s="41" t="s">
        <v>90</v>
      </c>
      <c r="Y368" s="41">
        <f>IF(X368&gt;0,INDEX(Fish!$D:$D,MATCH(X368,Fish!$L:$L,0)),"")</f>
        <v>11016</v>
      </c>
      <c r="Z368" s="41">
        <v>0</v>
      </c>
      <c r="AA368" s="41">
        <v>1</v>
      </c>
      <c r="AB368" s="41">
        <v>1</v>
      </c>
      <c r="AC368" s="41">
        <v>2</v>
      </c>
    </row>
    <row r="369" spans="1:29">
      <c r="A369" s="41">
        <v>44414</v>
      </c>
      <c r="B369" s="41">
        <v>2</v>
      </c>
      <c r="C369" s="41">
        <v>0</v>
      </c>
      <c r="D369" s="41">
        <v>2</v>
      </c>
      <c r="E369" s="41">
        <v>1</v>
      </c>
      <c r="F369" s="41" t="s">
        <v>72</v>
      </c>
      <c r="G369" s="41">
        <f>IF(F369&gt;0,INDEX(Fish!$D:$D,MATCH(F369,Fish!$L:$L,0)),"")</f>
        <v>11008</v>
      </c>
      <c r="H369" s="41">
        <v>0</v>
      </c>
      <c r="I369" s="41">
        <v>1</v>
      </c>
      <c r="J369" s="41">
        <v>2</v>
      </c>
      <c r="K369" s="41">
        <v>3</v>
      </c>
      <c r="L369" s="41" t="s">
        <v>78</v>
      </c>
      <c r="M369" s="41">
        <f>IF(L369&gt;0,INDEX(Fish!$D:$D,MATCH(L369,Fish!$L:$L,0)),"")</f>
        <v>11010</v>
      </c>
      <c r="N369" s="41">
        <v>0</v>
      </c>
      <c r="O369" s="41">
        <v>1</v>
      </c>
      <c r="P369" s="41">
        <v>1</v>
      </c>
      <c r="Q369" s="41">
        <v>2</v>
      </c>
      <c r="R369" s="41" t="s">
        <v>88</v>
      </c>
      <c r="S369" s="41">
        <f>IF(R369&gt;0,INDEX(Fish!$D:$D,MATCH(R369,Fish!$L:$L,0)),"")</f>
        <v>11015</v>
      </c>
      <c r="T369" s="41">
        <v>0</v>
      </c>
      <c r="U369" s="41">
        <v>1</v>
      </c>
      <c r="V369" s="41">
        <v>2</v>
      </c>
      <c r="W369" s="41">
        <v>3</v>
      </c>
      <c r="X369" s="41" t="s">
        <v>86</v>
      </c>
      <c r="Y369" s="41">
        <f>IF(X369&gt;0,INDEX(Fish!$D:$D,MATCH(X369,Fish!$L:$L,0)),"")</f>
        <v>11235</v>
      </c>
      <c r="Z369" s="41">
        <v>0</v>
      </c>
      <c r="AA369" s="41">
        <v>1</v>
      </c>
      <c r="AB369" s="41">
        <v>1</v>
      </c>
      <c r="AC369" s="41">
        <v>2</v>
      </c>
    </row>
    <row r="370" spans="1:29">
      <c r="A370" s="41">
        <v>44414</v>
      </c>
      <c r="B370" s="41">
        <v>2</v>
      </c>
      <c r="C370" s="41">
        <v>0</v>
      </c>
      <c r="D370" s="41">
        <v>2</v>
      </c>
      <c r="E370" s="41">
        <v>1</v>
      </c>
      <c r="F370" s="41" t="s">
        <v>72</v>
      </c>
      <c r="G370" s="41">
        <f>IF(F370&gt;0,INDEX(Fish!$D:$D,MATCH(F370,Fish!$L:$L,0)),"")</f>
        <v>11008</v>
      </c>
      <c r="H370" s="41">
        <v>0</v>
      </c>
      <c r="I370" s="41">
        <v>1</v>
      </c>
      <c r="J370" s="41">
        <v>2</v>
      </c>
      <c r="K370" s="41">
        <v>3</v>
      </c>
      <c r="L370" s="41" t="s">
        <v>92</v>
      </c>
      <c r="M370" s="41">
        <f>IF(L370&gt;0,INDEX(Fish!$D:$D,MATCH(L370,Fish!$L:$L,0)),"")</f>
        <v>11017</v>
      </c>
      <c r="N370" s="41">
        <v>0</v>
      </c>
      <c r="O370" s="41">
        <v>1</v>
      </c>
      <c r="P370" s="41">
        <v>1</v>
      </c>
      <c r="Q370" s="41">
        <v>2</v>
      </c>
      <c r="R370" s="41" t="s">
        <v>82</v>
      </c>
      <c r="S370" s="41">
        <f>IF(R370&gt;0,INDEX(Fish!$D:$D,MATCH(R370,Fish!$L:$L,0)),"")</f>
        <v>11012</v>
      </c>
      <c r="T370" s="41">
        <v>0</v>
      </c>
      <c r="U370" s="41">
        <v>1</v>
      </c>
      <c r="V370" s="41">
        <v>2</v>
      </c>
      <c r="W370" s="41">
        <v>3</v>
      </c>
      <c r="X370" s="41" t="s">
        <v>84</v>
      </c>
      <c r="Y370" s="41">
        <f>IF(X370&gt;0,INDEX(Fish!$D:$D,MATCH(X370,Fish!$L:$L,0)),"")</f>
        <v>11013</v>
      </c>
      <c r="Z370" s="41">
        <v>0</v>
      </c>
      <c r="AA370" s="41">
        <v>1</v>
      </c>
      <c r="AB370" s="41">
        <v>1</v>
      </c>
      <c r="AC370" s="41">
        <v>2</v>
      </c>
    </row>
    <row r="371" spans="1:29">
      <c r="A371" s="41">
        <v>44414</v>
      </c>
      <c r="B371" s="41">
        <v>2</v>
      </c>
      <c r="C371" s="41">
        <v>0</v>
      </c>
      <c r="D371" s="41">
        <v>2</v>
      </c>
      <c r="E371" s="41">
        <v>1</v>
      </c>
      <c r="F371" s="41" t="s">
        <v>72</v>
      </c>
      <c r="G371" s="41">
        <f>IF(F371&gt;0,INDEX(Fish!$D:$D,MATCH(F371,Fish!$L:$L,0)),"")</f>
        <v>11008</v>
      </c>
      <c r="H371" s="41">
        <v>0</v>
      </c>
      <c r="I371" s="41">
        <v>1</v>
      </c>
      <c r="J371" s="41">
        <v>2</v>
      </c>
      <c r="K371" s="41">
        <v>3</v>
      </c>
      <c r="L371" s="41" t="s">
        <v>92</v>
      </c>
      <c r="M371" s="41">
        <f>IF(L371&gt;0,INDEX(Fish!$D:$D,MATCH(L371,Fish!$L:$L,0)),"")</f>
        <v>11017</v>
      </c>
      <c r="N371" s="41">
        <v>0</v>
      </c>
      <c r="O371" s="41">
        <v>1</v>
      </c>
      <c r="P371" s="41">
        <v>1</v>
      </c>
      <c r="Q371" s="41">
        <v>2</v>
      </c>
      <c r="R371" s="41" t="s">
        <v>82</v>
      </c>
      <c r="S371" s="41">
        <f>IF(R371&gt;0,INDEX(Fish!$D:$D,MATCH(R371,Fish!$L:$L,0)),"")</f>
        <v>11012</v>
      </c>
      <c r="T371" s="41">
        <v>0</v>
      </c>
      <c r="U371" s="41">
        <v>1</v>
      </c>
      <c r="V371" s="41">
        <v>2</v>
      </c>
      <c r="W371" s="41">
        <v>3</v>
      </c>
      <c r="X371" s="41" t="s">
        <v>90</v>
      </c>
      <c r="Y371" s="41">
        <f>IF(X371&gt;0,INDEX(Fish!$D:$D,MATCH(X371,Fish!$L:$L,0)),"")</f>
        <v>11016</v>
      </c>
      <c r="Z371" s="41">
        <v>0</v>
      </c>
      <c r="AA371" s="41">
        <v>1</v>
      </c>
      <c r="AB371" s="41">
        <v>1</v>
      </c>
      <c r="AC371" s="41">
        <v>2</v>
      </c>
    </row>
    <row r="372" spans="1:29">
      <c r="A372" s="41">
        <v>44414</v>
      </c>
      <c r="B372" s="41">
        <v>2</v>
      </c>
      <c r="C372" s="41">
        <v>0</v>
      </c>
      <c r="D372" s="41">
        <v>2</v>
      </c>
      <c r="E372" s="41">
        <v>1</v>
      </c>
      <c r="F372" s="41" t="s">
        <v>72</v>
      </c>
      <c r="G372" s="41">
        <f>IF(F372&gt;0,INDEX(Fish!$D:$D,MATCH(F372,Fish!$L:$L,0)),"")</f>
        <v>11008</v>
      </c>
      <c r="H372" s="41">
        <v>0</v>
      </c>
      <c r="I372" s="41">
        <v>1</v>
      </c>
      <c r="J372" s="41">
        <v>2</v>
      </c>
      <c r="K372" s="41">
        <v>3</v>
      </c>
      <c r="L372" s="41" t="s">
        <v>92</v>
      </c>
      <c r="M372" s="41">
        <f>IF(L372&gt;0,INDEX(Fish!$D:$D,MATCH(L372,Fish!$L:$L,0)),"")</f>
        <v>11017</v>
      </c>
      <c r="N372" s="41">
        <v>0</v>
      </c>
      <c r="O372" s="41">
        <v>1</v>
      </c>
      <c r="P372" s="41">
        <v>1</v>
      </c>
      <c r="Q372" s="41">
        <v>2</v>
      </c>
      <c r="R372" s="41" t="s">
        <v>82</v>
      </c>
      <c r="S372" s="41">
        <f>IF(R372&gt;0,INDEX(Fish!$D:$D,MATCH(R372,Fish!$L:$L,0)),"")</f>
        <v>11012</v>
      </c>
      <c r="T372" s="41">
        <v>0</v>
      </c>
      <c r="U372" s="41">
        <v>1</v>
      </c>
      <c r="V372" s="41">
        <v>2</v>
      </c>
      <c r="W372" s="41">
        <v>3</v>
      </c>
      <c r="X372" s="41" t="s">
        <v>86</v>
      </c>
      <c r="Y372" s="41">
        <f>IF(X372&gt;0,INDEX(Fish!$D:$D,MATCH(X372,Fish!$L:$L,0)),"")</f>
        <v>11235</v>
      </c>
      <c r="Z372" s="41">
        <v>0</v>
      </c>
      <c r="AA372" s="41">
        <v>1</v>
      </c>
      <c r="AB372" s="41">
        <v>1</v>
      </c>
      <c r="AC372" s="41">
        <v>2</v>
      </c>
    </row>
    <row r="373" spans="1:29">
      <c r="A373" s="41">
        <v>44414</v>
      </c>
      <c r="B373" s="41">
        <v>2</v>
      </c>
      <c r="C373" s="41">
        <v>0</v>
      </c>
      <c r="D373" s="41">
        <v>2</v>
      </c>
      <c r="E373" s="41">
        <v>1</v>
      </c>
      <c r="F373" s="41" t="s">
        <v>72</v>
      </c>
      <c r="G373" s="41">
        <f>IF(F373&gt;0,INDEX(Fish!$D:$D,MATCH(F373,Fish!$L:$L,0)),"")</f>
        <v>11008</v>
      </c>
      <c r="H373" s="41">
        <v>0</v>
      </c>
      <c r="I373" s="41">
        <v>1</v>
      </c>
      <c r="J373" s="41">
        <v>2</v>
      </c>
      <c r="K373" s="41">
        <v>3</v>
      </c>
      <c r="L373" s="41" t="s">
        <v>92</v>
      </c>
      <c r="M373" s="41">
        <f>IF(L373&gt;0,INDEX(Fish!$D:$D,MATCH(L373,Fish!$L:$L,0)),"")</f>
        <v>11017</v>
      </c>
      <c r="N373" s="41">
        <v>0</v>
      </c>
      <c r="O373" s="41">
        <v>1</v>
      </c>
      <c r="P373" s="41">
        <v>1</v>
      </c>
      <c r="Q373" s="41">
        <v>2</v>
      </c>
      <c r="R373" s="41" t="s">
        <v>88</v>
      </c>
      <c r="S373" s="41">
        <f>IF(R373&gt;0,INDEX(Fish!$D:$D,MATCH(R373,Fish!$L:$L,0)),"")</f>
        <v>11015</v>
      </c>
      <c r="T373" s="41">
        <v>0</v>
      </c>
      <c r="U373" s="41">
        <v>1</v>
      </c>
      <c r="V373" s="41">
        <v>2</v>
      </c>
      <c r="W373" s="41">
        <v>3</v>
      </c>
      <c r="X373" s="41" t="s">
        <v>84</v>
      </c>
      <c r="Y373" s="41">
        <f>IF(X373&gt;0,INDEX(Fish!$D:$D,MATCH(X373,Fish!$L:$L,0)),"")</f>
        <v>11013</v>
      </c>
      <c r="Z373" s="41">
        <v>0</v>
      </c>
      <c r="AA373" s="41">
        <v>1</v>
      </c>
      <c r="AB373" s="41">
        <v>1</v>
      </c>
      <c r="AC373" s="41">
        <v>2</v>
      </c>
    </row>
    <row r="374" spans="1:29">
      <c r="A374" s="41">
        <v>44414</v>
      </c>
      <c r="B374" s="41">
        <v>2</v>
      </c>
      <c r="C374" s="41">
        <v>0</v>
      </c>
      <c r="D374" s="41">
        <v>2</v>
      </c>
      <c r="E374" s="41">
        <v>1</v>
      </c>
      <c r="F374" s="41" t="s">
        <v>72</v>
      </c>
      <c r="G374" s="41">
        <f>IF(F374&gt;0,INDEX(Fish!$D:$D,MATCH(F374,Fish!$L:$L,0)),"")</f>
        <v>11008</v>
      </c>
      <c r="H374" s="41">
        <v>0</v>
      </c>
      <c r="I374" s="41">
        <v>1</v>
      </c>
      <c r="J374" s="41">
        <v>2</v>
      </c>
      <c r="K374" s="41">
        <v>3</v>
      </c>
      <c r="L374" s="41" t="s">
        <v>92</v>
      </c>
      <c r="M374" s="41">
        <f>IF(L374&gt;0,INDEX(Fish!$D:$D,MATCH(L374,Fish!$L:$L,0)),"")</f>
        <v>11017</v>
      </c>
      <c r="N374" s="41">
        <v>0</v>
      </c>
      <c r="O374" s="41">
        <v>1</v>
      </c>
      <c r="P374" s="41">
        <v>1</v>
      </c>
      <c r="Q374" s="41">
        <v>2</v>
      </c>
      <c r="R374" s="41" t="s">
        <v>88</v>
      </c>
      <c r="S374" s="41">
        <f>IF(R374&gt;0,INDEX(Fish!$D:$D,MATCH(R374,Fish!$L:$L,0)),"")</f>
        <v>11015</v>
      </c>
      <c r="T374" s="41">
        <v>0</v>
      </c>
      <c r="U374" s="41">
        <v>1</v>
      </c>
      <c r="V374" s="41">
        <v>2</v>
      </c>
      <c r="W374" s="41">
        <v>3</v>
      </c>
      <c r="X374" s="41" t="s">
        <v>90</v>
      </c>
      <c r="Y374" s="41">
        <f>IF(X374&gt;0,INDEX(Fish!$D:$D,MATCH(X374,Fish!$L:$L,0)),"")</f>
        <v>11016</v>
      </c>
      <c r="Z374" s="41">
        <v>0</v>
      </c>
      <c r="AA374" s="41">
        <v>1</v>
      </c>
      <c r="AB374" s="41">
        <v>1</v>
      </c>
      <c r="AC374" s="41">
        <v>2</v>
      </c>
    </row>
    <row r="375" spans="1:29">
      <c r="A375" s="41">
        <v>44414</v>
      </c>
      <c r="B375" s="41">
        <v>2</v>
      </c>
      <c r="C375" s="41">
        <v>0</v>
      </c>
      <c r="D375" s="41">
        <v>2</v>
      </c>
      <c r="E375" s="41">
        <v>1</v>
      </c>
      <c r="F375" s="41" t="s">
        <v>72</v>
      </c>
      <c r="G375" s="41">
        <f>IF(F375&gt;0,INDEX(Fish!$D:$D,MATCH(F375,Fish!$L:$L,0)),"")</f>
        <v>11008</v>
      </c>
      <c r="H375" s="41">
        <v>0</v>
      </c>
      <c r="I375" s="41">
        <v>1</v>
      </c>
      <c r="J375" s="41">
        <v>2</v>
      </c>
      <c r="K375" s="41">
        <v>3</v>
      </c>
      <c r="L375" s="41" t="s">
        <v>92</v>
      </c>
      <c r="M375" s="41">
        <f>IF(L375&gt;0,INDEX(Fish!$D:$D,MATCH(L375,Fish!$L:$L,0)),"")</f>
        <v>11017</v>
      </c>
      <c r="N375" s="41">
        <v>0</v>
      </c>
      <c r="O375" s="41">
        <v>1</v>
      </c>
      <c r="P375" s="41">
        <v>1</v>
      </c>
      <c r="Q375" s="41">
        <v>2</v>
      </c>
      <c r="R375" s="41" t="s">
        <v>88</v>
      </c>
      <c r="S375" s="41">
        <f>IF(R375&gt;0,INDEX(Fish!$D:$D,MATCH(R375,Fish!$L:$L,0)),"")</f>
        <v>11015</v>
      </c>
      <c r="T375" s="41">
        <v>0</v>
      </c>
      <c r="U375" s="41">
        <v>1</v>
      </c>
      <c r="V375" s="41">
        <v>2</v>
      </c>
      <c r="W375" s="41">
        <v>3</v>
      </c>
      <c r="X375" s="41" t="s">
        <v>86</v>
      </c>
      <c r="Y375" s="41">
        <f>IF(X375&gt;0,INDEX(Fish!$D:$D,MATCH(X375,Fish!$L:$L,0)),"")</f>
        <v>11235</v>
      </c>
      <c r="Z375" s="41">
        <v>0</v>
      </c>
      <c r="AA375" s="41">
        <v>1</v>
      </c>
      <c r="AB375" s="41">
        <v>1</v>
      </c>
      <c r="AC375" s="41">
        <v>2</v>
      </c>
    </row>
    <row r="376" spans="1:29">
      <c r="A376" s="41">
        <v>44414</v>
      </c>
      <c r="B376" s="41">
        <v>2</v>
      </c>
      <c r="C376" s="41">
        <v>0</v>
      </c>
      <c r="D376" s="41">
        <v>2</v>
      </c>
      <c r="E376" s="41">
        <v>1</v>
      </c>
      <c r="F376" s="41" t="s">
        <v>66</v>
      </c>
      <c r="G376" s="41">
        <f>IF(F376&gt;0,INDEX(Fish!$D:$D,MATCH(F376,Fish!$L:$L,0)),"")</f>
        <v>11005</v>
      </c>
      <c r="H376" s="41">
        <v>0</v>
      </c>
      <c r="I376" s="41">
        <v>1</v>
      </c>
      <c r="J376" s="41">
        <v>2</v>
      </c>
      <c r="K376" s="41">
        <v>3</v>
      </c>
      <c r="L376" s="41" t="s">
        <v>78</v>
      </c>
      <c r="M376" s="41">
        <f>IF(L376&gt;0,INDEX(Fish!$D:$D,MATCH(L376,Fish!$L:$L,0)),"")</f>
        <v>11010</v>
      </c>
      <c r="N376" s="41">
        <v>0</v>
      </c>
      <c r="O376" s="41">
        <v>1</v>
      </c>
      <c r="P376" s="41">
        <v>1</v>
      </c>
      <c r="Q376" s="41">
        <v>2</v>
      </c>
      <c r="R376" s="41" t="s">
        <v>82</v>
      </c>
      <c r="S376" s="41">
        <f>IF(R376&gt;0,INDEX(Fish!$D:$D,MATCH(R376,Fish!$L:$L,0)),"")</f>
        <v>11012</v>
      </c>
      <c r="T376" s="41">
        <v>0</v>
      </c>
      <c r="U376" s="41">
        <v>1</v>
      </c>
      <c r="V376" s="41">
        <v>2</v>
      </c>
      <c r="W376" s="41">
        <v>3</v>
      </c>
      <c r="X376" s="41" t="s">
        <v>84</v>
      </c>
      <c r="Y376" s="41">
        <f>IF(X376&gt;0,INDEX(Fish!$D:$D,MATCH(X376,Fish!$L:$L,0)),"")</f>
        <v>11013</v>
      </c>
      <c r="Z376" s="41">
        <v>0</v>
      </c>
      <c r="AA376" s="41">
        <v>1</v>
      </c>
      <c r="AB376" s="41">
        <v>1</v>
      </c>
      <c r="AC376" s="41">
        <v>2</v>
      </c>
    </row>
    <row r="377" spans="1:29">
      <c r="A377" s="41">
        <v>44414</v>
      </c>
      <c r="B377" s="41">
        <v>2</v>
      </c>
      <c r="C377" s="41">
        <v>0</v>
      </c>
      <c r="D377" s="41">
        <v>2</v>
      </c>
      <c r="E377" s="41">
        <v>1</v>
      </c>
      <c r="F377" s="41" t="s">
        <v>66</v>
      </c>
      <c r="G377" s="41">
        <f>IF(F377&gt;0,INDEX(Fish!$D:$D,MATCH(F377,Fish!$L:$L,0)),"")</f>
        <v>11005</v>
      </c>
      <c r="H377" s="41">
        <v>0</v>
      </c>
      <c r="I377" s="41">
        <v>1</v>
      </c>
      <c r="J377" s="41">
        <v>2</v>
      </c>
      <c r="K377" s="41">
        <v>3</v>
      </c>
      <c r="L377" s="41" t="s">
        <v>78</v>
      </c>
      <c r="M377" s="41">
        <f>IF(L377&gt;0,INDEX(Fish!$D:$D,MATCH(L377,Fish!$L:$L,0)),"")</f>
        <v>11010</v>
      </c>
      <c r="N377" s="41">
        <v>0</v>
      </c>
      <c r="O377" s="41">
        <v>1</v>
      </c>
      <c r="P377" s="41">
        <v>1</v>
      </c>
      <c r="Q377" s="41">
        <v>2</v>
      </c>
      <c r="R377" s="41" t="s">
        <v>82</v>
      </c>
      <c r="S377" s="41">
        <f>IF(R377&gt;0,INDEX(Fish!$D:$D,MATCH(R377,Fish!$L:$L,0)),"")</f>
        <v>11012</v>
      </c>
      <c r="T377" s="41">
        <v>0</v>
      </c>
      <c r="U377" s="41">
        <v>1</v>
      </c>
      <c r="V377" s="41">
        <v>2</v>
      </c>
      <c r="W377" s="41">
        <v>3</v>
      </c>
      <c r="X377" s="41" t="s">
        <v>90</v>
      </c>
      <c r="Y377" s="41">
        <f>IF(X377&gt;0,INDEX(Fish!$D:$D,MATCH(X377,Fish!$L:$L,0)),"")</f>
        <v>11016</v>
      </c>
      <c r="Z377" s="41">
        <v>0</v>
      </c>
      <c r="AA377" s="41">
        <v>1</v>
      </c>
      <c r="AB377" s="41">
        <v>1</v>
      </c>
      <c r="AC377" s="41">
        <v>2</v>
      </c>
    </row>
    <row r="378" spans="1:29">
      <c r="A378" s="41">
        <v>44414</v>
      </c>
      <c r="B378" s="41">
        <v>2</v>
      </c>
      <c r="C378" s="41">
        <v>0</v>
      </c>
      <c r="D378" s="41">
        <v>2</v>
      </c>
      <c r="E378" s="41">
        <v>1</v>
      </c>
      <c r="F378" s="41" t="s">
        <v>66</v>
      </c>
      <c r="G378" s="41">
        <f>IF(F378&gt;0,INDEX(Fish!$D:$D,MATCH(F378,Fish!$L:$L,0)),"")</f>
        <v>11005</v>
      </c>
      <c r="H378" s="41">
        <v>0</v>
      </c>
      <c r="I378" s="41">
        <v>1</v>
      </c>
      <c r="J378" s="41">
        <v>2</v>
      </c>
      <c r="K378" s="41">
        <v>3</v>
      </c>
      <c r="L378" s="41" t="s">
        <v>78</v>
      </c>
      <c r="M378" s="41">
        <f>IF(L378&gt;0,INDEX(Fish!$D:$D,MATCH(L378,Fish!$L:$L,0)),"")</f>
        <v>11010</v>
      </c>
      <c r="N378" s="41">
        <v>0</v>
      </c>
      <c r="O378" s="41">
        <v>1</v>
      </c>
      <c r="P378" s="41">
        <v>1</v>
      </c>
      <c r="Q378" s="41">
        <v>2</v>
      </c>
      <c r="R378" s="41" t="s">
        <v>82</v>
      </c>
      <c r="S378" s="41">
        <f>IF(R378&gt;0,INDEX(Fish!$D:$D,MATCH(R378,Fish!$L:$L,0)),"")</f>
        <v>11012</v>
      </c>
      <c r="T378" s="41">
        <v>0</v>
      </c>
      <c r="U378" s="41">
        <v>1</v>
      </c>
      <c r="V378" s="41">
        <v>2</v>
      </c>
      <c r="W378" s="41">
        <v>3</v>
      </c>
      <c r="X378" s="41" t="s">
        <v>86</v>
      </c>
      <c r="Y378" s="41">
        <f>IF(X378&gt;0,INDEX(Fish!$D:$D,MATCH(X378,Fish!$L:$L,0)),"")</f>
        <v>11235</v>
      </c>
      <c r="Z378" s="41">
        <v>0</v>
      </c>
      <c r="AA378" s="41">
        <v>1</v>
      </c>
      <c r="AB378" s="41">
        <v>1</v>
      </c>
      <c r="AC378" s="41">
        <v>2</v>
      </c>
    </row>
    <row r="379" spans="1:29">
      <c r="A379" s="41">
        <v>44414</v>
      </c>
      <c r="B379" s="41">
        <v>2</v>
      </c>
      <c r="C379" s="41">
        <v>0</v>
      </c>
      <c r="D379" s="41">
        <v>2</v>
      </c>
      <c r="E379" s="41">
        <v>1</v>
      </c>
      <c r="F379" s="41" t="s">
        <v>66</v>
      </c>
      <c r="G379" s="41">
        <f>IF(F379&gt;0,INDEX(Fish!$D:$D,MATCH(F379,Fish!$L:$L,0)),"")</f>
        <v>11005</v>
      </c>
      <c r="H379" s="41">
        <v>0</v>
      </c>
      <c r="I379" s="41">
        <v>1</v>
      </c>
      <c r="J379" s="41">
        <v>2</v>
      </c>
      <c r="K379" s="41">
        <v>3</v>
      </c>
      <c r="L379" s="41" t="s">
        <v>78</v>
      </c>
      <c r="M379" s="41">
        <f>IF(L379&gt;0,INDEX(Fish!$D:$D,MATCH(L379,Fish!$L:$L,0)),"")</f>
        <v>11010</v>
      </c>
      <c r="N379" s="41">
        <v>0</v>
      </c>
      <c r="O379" s="41">
        <v>1</v>
      </c>
      <c r="P379" s="41">
        <v>1</v>
      </c>
      <c r="Q379" s="41">
        <v>2</v>
      </c>
      <c r="R379" s="41" t="s">
        <v>88</v>
      </c>
      <c r="S379" s="41">
        <f>IF(R379&gt;0,INDEX(Fish!$D:$D,MATCH(R379,Fish!$L:$L,0)),"")</f>
        <v>11015</v>
      </c>
      <c r="T379" s="41">
        <v>0</v>
      </c>
      <c r="U379" s="41">
        <v>1</v>
      </c>
      <c r="V379" s="41">
        <v>2</v>
      </c>
      <c r="W379" s="41">
        <v>3</v>
      </c>
      <c r="X379" s="41" t="s">
        <v>84</v>
      </c>
      <c r="Y379" s="41">
        <f>IF(X379&gt;0,INDEX(Fish!$D:$D,MATCH(X379,Fish!$L:$L,0)),"")</f>
        <v>11013</v>
      </c>
      <c r="Z379" s="41">
        <v>0</v>
      </c>
      <c r="AA379" s="41">
        <v>1</v>
      </c>
      <c r="AB379" s="41">
        <v>1</v>
      </c>
      <c r="AC379" s="41">
        <v>2</v>
      </c>
    </row>
    <row r="380" spans="1:29">
      <c r="A380" s="41">
        <v>44414</v>
      </c>
      <c r="B380" s="41">
        <v>2</v>
      </c>
      <c r="C380" s="41">
        <v>0</v>
      </c>
      <c r="D380" s="41">
        <v>2</v>
      </c>
      <c r="E380" s="41">
        <v>1</v>
      </c>
      <c r="F380" s="41" t="s">
        <v>66</v>
      </c>
      <c r="G380" s="41">
        <f>IF(F380&gt;0,INDEX(Fish!$D:$D,MATCH(F380,Fish!$L:$L,0)),"")</f>
        <v>11005</v>
      </c>
      <c r="H380" s="41">
        <v>0</v>
      </c>
      <c r="I380" s="41">
        <v>1</v>
      </c>
      <c r="J380" s="41">
        <v>2</v>
      </c>
      <c r="K380" s="41">
        <v>3</v>
      </c>
      <c r="L380" s="41" t="s">
        <v>78</v>
      </c>
      <c r="M380" s="41">
        <f>IF(L380&gt;0,INDEX(Fish!$D:$D,MATCH(L380,Fish!$L:$L,0)),"")</f>
        <v>11010</v>
      </c>
      <c r="N380" s="41">
        <v>0</v>
      </c>
      <c r="O380" s="41">
        <v>1</v>
      </c>
      <c r="P380" s="41">
        <v>1</v>
      </c>
      <c r="Q380" s="41">
        <v>2</v>
      </c>
      <c r="R380" s="41" t="s">
        <v>88</v>
      </c>
      <c r="S380" s="41">
        <f>IF(R380&gt;0,INDEX(Fish!$D:$D,MATCH(R380,Fish!$L:$L,0)),"")</f>
        <v>11015</v>
      </c>
      <c r="T380" s="41">
        <v>0</v>
      </c>
      <c r="U380" s="41">
        <v>1</v>
      </c>
      <c r="V380" s="41">
        <v>2</v>
      </c>
      <c r="W380" s="41">
        <v>3</v>
      </c>
      <c r="X380" s="41" t="s">
        <v>90</v>
      </c>
      <c r="Y380" s="41">
        <f>IF(X380&gt;0,INDEX(Fish!$D:$D,MATCH(X380,Fish!$L:$L,0)),"")</f>
        <v>11016</v>
      </c>
      <c r="Z380" s="41">
        <v>0</v>
      </c>
      <c r="AA380" s="41">
        <v>1</v>
      </c>
      <c r="AB380" s="41">
        <v>1</v>
      </c>
      <c r="AC380" s="41">
        <v>2</v>
      </c>
    </row>
    <row r="381" spans="1:29">
      <c r="A381" s="41">
        <v>44414</v>
      </c>
      <c r="B381" s="41">
        <v>2</v>
      </c>
      <c r="C381" s="41">
        <v>0</v>
      </c>
      <c r="D381" s="41">
        <v>2</v>
      </c>
      <c r="E381" s="41">
        <v>1</v>
      </c>
      <c r="F381" s="41" t="s">
        <v>66</v>
      </c>
      <c r="G381" s="41">
        <f>IF(F381&gt;0,INDEX(Fish!$D:$D,MATCH(F381,Fish!$L:$L,0)),"")</f>
        <v>11005</v>
      </c>
      <c r="H381" s="41">
        <v>0</v>
      </c>
      <c r="I381" s="41">
        <v>1</v>
      </c>
      <c r="J381" s="41">
        <v>2</v>
      </c>
      <c r="K381" s="41">
        <v>3</v>
      </c>
      <c r="L381" s="41" t="s">
        <v>78</v>
      </c>
      <c r="M381" s="41">
        <f>IF(L381&gt;0,INDEX(Fish!$D:$D,MATCH(L381,Fish!$L:$L,0)),"")</f>
        <v>11010</v>
      </c>
      <c r="N381" s="41">
        <v>0</v>
      </c>
      <c r="O381" s="41">
        <v>1</v>
      </c>
      <c r="P381" s="41">
        <v>1</v>
      </c>
      <c r="Q381" s="41">
        <v>2</v>
      </c>
      <c r="R381" s="41" t="s">
        <v>88</v>
      </c>
      <c r="S381" s="41">
        <f>IF(R381&gt;0,INDEX(Fish!$D:$D,MATCH(R381,Fish!$L:$L,0)),"")</f>
        <v>11015</v>
      </c>
      <c r="T381" s="41">
        <v>0</v>
      </c>
      <c r="U381" s="41">
        <v>1</v>
      </c>
      <c r="V381" s="41">
        <v>2</v>
      </c>
      <c r="W381" s="41">
        <v>3</v>
      </c>
      <c r="X381" s="41" t="s">
        <v>86</v>
      </c>
      <c r="Y381" s="41">
        <f>IF(X381&gt;0,INDEX(Fish!$D:$D,MATCH(X381,Fish!$L:$L,0)),"")</f>
        <v>11235</v>
      </c>
      <c r="Z381" s="41">
        <v>0</v>
      </c>
      <c r="AA381" s="41">
        <v>1</v>
      </c>
      <c r="AB381" s="41">
        <v>1</v>
      </c>
      <c r="AC381" s="41">
        <v>2</v>
      </c>
    </row>
    <row r="382" spans="1:29">
      <c r="A382" s="41">
        <v>44414</v>
      </c>
      <c r="B382" s="41">
        <v>2</v>
      </c>
      <c r="C382" s="41">
        <v>0</v>
      </c>
      <c r="D382" s="41">
        <v>2</v>
      </c>
      <c r="E382" s="41">
        <v>1</v>
      </c>
      <c r="F382" s="41" t="s">
        <v>66</v>
      </c>
      <c r="G382" s="41">
        <f>IF(F382&gt;0,INDEX(Fish!$D:$D,MATCH(F382,Fish!$L:$L,0)),"")</f>
        <v>11005</v>
      </c>
      <c r="H382" s="41">
        <v>0</v>
      </c>
      <c r="I382" s="41">
        <v>1</v>
      </c>
      <c r="J382" s="41">
        <v>2</v>
      </c>
      <c r="K382" s="41">
        <v>3</v>
      </c>
      <c r="L382" s="41" t="s">
        <v>92</v>
      </c>
      <c r="M382" s="41">
        <f>IF(L382&gt;0,INDEX(Fish!$D:$D,MATCH(L382,Fish!$L:$L,0)),"")</f>
        <v>11017</v>
      </c>
      <c r="N382" s="41">
        <v>0</v>
      </c>
      <c r="O382" s="41">
        <v>1</v>
      </c>
      <c r="P382" s="41">
        <v>1</v>
      </c>
      <c r="Q382" s="41">
        <v>2</v>
      </c>
      <c r="R382" s="41" t="s">
        <v>82</v>
      </c>
      <c r="S382" s="41">
        <f>IF(R382&gt;0,INDEX(Fish!$D:$D,MATCH(R382,Fish!$L:$L,0)),"")</f>
        <v>11012</v>
      </c>
      <c r="T382" s="41">
        <v>0</v>
      </c>
      <c r="U382" s="41">
        <v>1</v>
      </c>
      <c r="V382" s="41">
        <v>2</v>
      </c>
      <c r="W382" s="41">
        <v>3</v>
      </c>
      <c r="X382" s="41" t="s">
        <v>84</v>
      </c>
      <c r="Y382" s="41">
        <f>IF(X382&gt;0,INDEX(Fish!$D:$D,MATCH(X382,Fish!$L:$L,0)),"")</f>
        <v>11013</v>
      </c>
      <c r="Z382" s="41">
        <v>0</v>
      </c>
      <c r="AA382" s="41">
        <v>1</v>
      </c>
      <c r="AB382" s="41">
        <v>1</v>
      </c>
      <c r="AC382" s="41">
        <v>2</v>
      </c>
    </row>
    <row r="383" spans="1:29">
      <c r="A383" s="41">
        <v>44414</v>
      </c>
      <c r="B383" s="41">
        <v>2</v>
      </c>
      <c r="C383" s="41">
        <v>0</v>
      </c>
      <c r="D383" s="41">
        <v>2</v>
      </c>
      <c r="E383" s="41">
        <v>1</v>
      </c>
      <c r="F383" s="41" t="s">
        <v>66</v>
      </c>
      <c r="G383" s="41">
        <f>IF(F383&gt;0,INDEX(Fish!$D:$D,MATCH(F383,Fish!$L:$L,0)),"")</f>
        <v>11005</v>
      </c>
      <c r="H383" s="41">
        <v>0</v>
      </c>
      <c r="I383" s="41">
        <v>1</v>
      </c>
      <c r="J383" s="41">
        <v>2</v>
      </c>
      <c r="K383" s="41">
        <v>3</v>
      </c>
      <c r="L383" s="41" t="s">
        <v>92</v>
      </c>
      <c r="M383" s="41">
        <f>IF(L383&gt;0,INDEX(Fish!$D:$D,MATCH(L383,Fish!$L:$L,0)),"")</f>
        <v>11017</v>
      </c>
      <c r="N383" s="41">
        <v>0</v>
      </c>
      <c r="O383" s="41">
        <v>1</v>
      </c>
      <c r="P383" s="41">
        <v>1</v>
      </c>
      <c r="Q383" s="41">
        <v>2</v>
      </c>
      <c r="R383" s="41" t="s">
        <v>82</v>
      </c>
      <c r="S383" s="41">
        <f>IF(R383&gt;0,INDEX(Fish!$D:$D,MATCH(R383,Fish!$L:$L,0)),"")</f>
        <v>11012</v>
      </c>
      <c r="T383" s="41">
        <v>0</v>
      </c>
      <c r="U383" s="41">
        <v>1</v>
      </c>
      <c r="V383" s="41">
        <v>2</v>
      </c>
      <c r="W383" s="41">
        <v>3</v>
      </c>
      <c r="X383" s="41" t="s">
        <v>90</v>
      </c>
      <c r="Y383" s="41">
        <f>IF(X383&gt;0,INDEX(Fish!$D:$D,MATCH(X383,Fish!$L:$L,0)),"")</f>
        <v>11016</v>
      </c>
      <c r="Z383" s="41">
        <v>0</v>
      </c>
      <c r="AA383" s="41">
        <v>1</v>
      </c>
      <c r="AB383" s="41">
        <v>1</v>
      </c>
      <c r="AC383" s="41">
        <v>2</v>
      </c>
    </row>
    <row r="384" spans="1:29">
      <c r="A384" s="41">
        <v>44414</v>
      </c>
      <c r="B384" s="41">
        <v>2</v>
      </c>
      <c r="C384" s="41">
        <v>0</v>
      </c>
      <c r="D384" s="41">
        <v>2</v>
      </c>
      <c r="E384" s="41">
        <v>1</v>
      </c>
      <c r="F384" s="41" t="s">
        <v>66</v>
      </c>
      <c r="G384" s="41">
        <f>IF(F384&gt;0,INDEX(Fish!$D:$D,MATCH(F384,Fish!$L:$L,0)),"")</f>
        <v>11005</v>
      </c>
      <c r="H384" s="41">
        <v>0</v>
      </c>
      <c r="I384" s="41">
        <v>1</v>
      </c>
      <c r="J384" s="41">
        <v>2</v>
      </c>
      <c r="K384" s="41">
        <v>3</v>
      </c>
      <c r="L384" s="41" t="s">
        <v>92</v>
      </c>
      <c r="M384" s="41">
        <f>IF(L384&gt;0,INDEX(Fish!$D:$D,MATCH(L384,Fish!$L:$L,0)),"")</f>
        <v>11017</v>
      </c>
      <c r="N384" s="41">
        <v>0</v>
      </c>
      <c r="O384" s="41">
        <v>1</v>
      </c>
      <c r="P384" s="41">
        <v>1</v>
      </c>
      <c r="Q384" s="41">
        <v>2</v>
      </c>
      <c r="R384" s="41" t="s">
        <v>82</v>
      </c>
      <c r="S384" s="41">
        <f>IF(R384&gt;0,INDEX(Fish!$D:$D,MATCH(R384,Fish!$L:$L,0)),"")</f>
        <v>11012</v>
      </c>
      <c r="T384" s="41">
        <v>0</v>
      </c>
      <c r="U384" s="41">
        <v>1</v>
      </c>
      <c r="V384" s="41">
        <v>2</v>
      </c>
      <c r="W384" s="41">
        <v>3</v>
      </c>
      <c r="X384" s="41" t="s">
        <v>86</v>
      </c>
      <c r="Y384" s="41">
        <f>IF(X384&gt;0,INDEX(Fish!$D:$D,MATCH(X384,Fish!$L:$L,0)),"")</f>
        <v>11235</v>
      </c>
      <c r="Z384" s="41">
        <v>0</v>
      </c>
      <c r="AA384" s="41">
        <v>1</v>
      </c>
      <c r="AB384" s="41">
        <v>1</v>
      </c>
      <c r="AC384" s="41">
        <v>2</v>
      </c>
    </row>
    <row r="385" spans="1:35">
      <c r="A385" s="41">
        <v>44414</v>
      </c>
      <c r="B385" s="41">
        <v>2</v>
      </c>
      <c r="C385" s="41">
        <v>0</v>
      </c>
      <c r="D385" s="41">
        <v>2</v>
      </c>
      <c r="E385" s="41">
        <v>1</v>
      </c>
      <c r="F385" s="41" t="s">
        <v>66</v>
      </c>
      <c r="G385" s="41">
        <f>IF(F385&gt;0,INDEX(Fish!$D:$D,MATCH(F385,Fish!$L:$L,0)),"")</f>
        <v>11005</v>
      </c>
      <c r="H385" s="41">
        <v>0</v>
      </c>
      <c r="I385" s="41">
        <v>1</v>
      </c>
      <c r="J385" s="41">
        <v>2</v>
      </c>
      <c r="K385" s="41">
        <v>3</v>
      </c>
      <c r="L385" s="41" t="s">
        <v>92</v>
      </c>
      <c r="M385" s="41">
        <f>IF(L385&gt;0,INDEX(Fish!$D:$D,MATCH(L385,Fish!$L:$L,0)),"")</f>
        <v>11017</v>
      </c>
      <c r="N385" s="41">
        <v>0</v>
      </c>
      <c r="O385" s="41">
        <v>1</v>
      </c>
      <c r="P385" s="41">
        <v>1</v>
      </c>
      <c r="Q385" s="41">
        <v>2</v>
      </c>
      <c r="R385" s="41" t="s">
        <v>88</v>
      </c>
      <c r="S385" s="41">
        <f>IF(R385&gt;0,INDEX(Fish!$D:$D,MATCH(R385,Fish!$L:$L,0)),"")</f>
        <v>11015</v>
      </c>
      <c r="T385" s="41">
        <v>0</v>
      </c>
      <c r="U385" s="41">
        <v>1</v>
      </c>
      <c r="V385" s="41">
        <v>2</v>
      </c>
      <c r="W385" s="41">
        <v>3</v>
      </c>
      <c r="X385" s="41" t="s">
        <v>84</v>
      </c>
      <c r="Y385" s="41">
        <f>IF(X385&gt;0,INDEX(Fish!$D:$D,MATCH(X385,Fish!$L:$L,0)),"")</f>
        <v>11013</v>
      </c>
      <c r="Z385" s="41">
        <v>0</v>
      </c>
      <c r="AA385" s="41">
        <v>1</v>
      </c>
      <c r="AB385" s="41">
        <v>1</v>
      </c>
      <c r="AC385" s="41">
        <v>2</v>
      </c>
    </row>
    <row r="386" spans="1:35">
      <c r="A386" s="41">
        <v>44414</v>
      </c>
      <c r="B386" s="41">
        <v>2</v>
      </c>
      <c r="C386" s="41">
        <v>0</v>
      </c>
      <c r="D386" s="41">
        <v>2</v>
      </c>
      <c r="E386" s="41">
        <v>1</v>
      </c>
      <c r="F386" s="41" t="s">
        <v>66</v>
      </c>
      <c r="G386" s="41">
        <f>IF(F386&gt;0,INDEX(Fish!$D:$D,MATCH(F386,Fish!$L:$L,0)),"")</f>
        <v>11005</v>
      </c>
      <c r="H386" s="41">
        <v>0</v>
      </c>
      <c r="I386" s="41">
        <v>1</v>
      </c>
      <c r="J386" s="41">
        <v>2</v>
      </c>
      <c r="K386" s="41">
        <v>3</v>
      </c>
      <c r="L386" s="41" t="s">
        <v>92</v>
      </c>
      <c r="M386" s="41">
        <f>IF(L386&gt;0,INDEX(Fish!$D:$D,MATCH(L386,Fish!$L:$L,0)),"")</f>
        <v>11017</v>
      </c>
      <c r="N386" s="41">
        <v>0</v>
      </c>
      <c r="O386" s="41">
        <v>1</v>
      </c>
      <c r="P386" s="41">
        <v>1</v>
      </c>
      <c r="Q386" s="41">
        <v>2</v>
      </c>
      <c r="R386" s="41" t="s">
        <v>88</v>
      </c>
      <c r="S386" s="41">
        <f>IF(R386&gt;0,INDEX(Fish!$D:$D,MATCH(R386,Fish!$L:$L,0)),"")</f>
        <v>11015</v>
      </c>
      <c r="T386" s="41">
        <v>0</v>
      </c>
      <c r="U386" s="41">
        <v>1</v>
      </c>
      <c r="V386" s="41">
        <v>2</v>
      </c>
      <c r="W386" s="41">
        <v>3</v>
      </c>
      <c r="X386" s="41" t="s">
        <v>90</v>
      </c>
      <c r="Y386" s="41">
        <f>IF(X386&gt;0,INDEX(Fish!$D:$D,MATCH(X386,Fish!$L:$L,0)),"")</f>
        <v>11016</v>
      </c>
      <c r="Z386" s="41">
        <v>0</v>
      </c>
      <c r="AA386" s="41">
        <v>1</v>
      </c>
      <c r="AB386" s="41">
        <v>1</v>
      </c>
      <c r="AC386" s="41">
        <v>2</v>
      </c>
    </row>
    <row r="387" spans="1:35">
      <c r="A387" s="41">
        <v>44414</v>
      </c>
      <c r="B387" s="41">
        <v>2</v>
      </c>
      <c r="C387" s="41">
        <v>0</v>
      </c>
      <c r="D387" s="41">
        <v>2</v>
      </c>
      <c r="E387" s="41">
        <v>1</v>
      </c>
      <c r="F387" s="41" t="s">
        <v>66</v>
      </c>
      <c r="G387" s="41">
        <f>IF(F387&gt;0,INDEX(Fish!$D:$D,MATCH(F387,Fish!$L:$L,0)),"")</f>
        <v>11005</v>
      </c>
      <c r="H387" s="41">
        <v>0</v>
      </c>
      <c r="I387" s="41">
        <v>1</v>
      </c>
      <c r="J387" s="41">
        <v>2</v>
      </c>
      <c r="K387" s="41">
        <v>3</v>
      </c>
      <c r="L387" s="41" t="s">
        <v>92</v>
      </c>
      <c r="M387" s="41">
        <f>IF(L387&gt;0,INDEX(Fish!$D:$D,MATCH(L387,Fish!$L:$L,0)),"")</f>
        <v>11017</v>
      </c>
      <c r="N387" s="41">
        <v>0</v>
      </c>
      <c r="O387" s="41">
        <v>1</v>
      </c>
      <c r="P387" s="41">
        <v>1</v>
      </c>
      <c r="Q387" s="41">
        <v>2</v>
      </c>
      <c r="R387" s="41" t="s">
        <v>88</v>
      </c>
      <c r="S387" s="41">
        <f>IF(R387&gt;0,INDEX(Fish!$D:$D,MATCH(R387,Fish!$L:$L,0)),"")</f>
        <v>11015</v>
      </c>
      <c r="T387" s="41">
        <v>0</v>
      </c>
      <c r="U387" s="41">
        <v>1</v>
      </c>
      <c r="V387" s="41">
        <v>2</v>
      </c>
      <c r="W387" s="41">
        <v>3</v>
      </c>
      <c r="X387" s="41" t="s">
        <v>86</v>
      </c>
      <c r="Y387" s="41">
        <f>IF(X387&gt;0,INDEX(Fish!$D:$D,MATCH(X387,Fish!$L:$L,0)),"")</f>
        <v>11235</v>
      </c>
      <c r="Z387" s="41">
        <v>0</v>
      </c>
      <c r="AA387" s="41">
        <v>1</v>
      </c>
      <c r="AB387" s="41">
        <v>1</v>
      </c>
      <c r="AC387" s="41">
        <v>2</v>
      </c>
    </row>
    <row r="388" spans="1:35" ht="18.75">
      <c r="A388" s="41">
        <v>44414</v>
      </c>
      <c r="B388" s="41">
        <v>5</v>
      </c>
      <c r="C388" s="41">
        <v>0</v>
      </c>
      <c r="D388" s="41">
        <v>3</v>
      </c>
      <c r="E388" s="41">
        <v>2</v>
      </c>
      <c r="F388" s="41" t="s">
        <v>98</v>
      </c>
      <c r="G388" s="41">
        <f>IF(F388&gt;0,INDEX(Fish!$D:$D,MATCH(F388,Fish!$L:$L,0)),"")</f>
        <v>11090</v>
      </c>
      <c r="H388" s="41">
        <v>40000</v>
      </c>
      <c r="I388" s="41">
        <v>1</v>
      </c>
      <c r="J388" s="41">
        <v>1</v>
      </c>
      <c r="K388" s="41">
        <v>1</v>
      </c>
      <c r="L388" s="45" t="s">
        <v>100</v>
      </c>
      <c r="M388" s="41">
        <f>IF(L388&gt;0,INDEX(Fish!$D:$D,MATCH(L388,Fish!$L:$L,0)),"")</f>
        <v>11025</v>
      </c>
      <c r="N388" s="41">
        <v>30000</v>
      </c>
      <c r="O388" s="41">
        <v>1</v>
      </c>
      <c r="P388" s="41">
        <v>1</v>
      </c>
      <c r="Q388" s="41">
        <v>1</v>
      </c>
      <c r="R388" s="45" t="s">
        <v>96</v>
      </c>
      <c r="S388" s="41">
        <f>IF(R388&gt;0,INDEX(Fish!$D:$D,MATCH(R388,Fish!$L:$L,0)),"")</f>
        <v>11024</v>
      </c>
      <c r="T388" s="41">
        <v>30000</v>
      </c>
      <c r="U388" s="41">
        <v>1</v>
      </c>
      <c r="V388" s="41">
        <v>1</v>
      </c>
      <c r="W388" s="41">
        <v>1</v>
      </c>
    </row>
    <row r="389" spans="1:35">
      <c r="A389" s="41">
        <v>44414</v>
      </c>
      <c r="B389" s="41">
        <v>5</v>
      </c>
      <c r="C389" s="41">
        <v>0</v>
      </c>
      <c r="D389" s="41">
        <v>4</v>
      </c>
      <c r="E389" s="41">
        <v>2</v>
      </c>
      <c r="F389" s="41" t="s">
        <v>356</v>
      </c>
      <c r="G389" s="41">
        <f>IF(F389&gt;0,INDEX(Fish!$D:$D,MATCH(F389,Fish!$L:$L,0)),"")</f>
        <v>11214</v>
      </c>
      <c r="H389" s="41">
        <v>30000</v>
      </c>
      <c r="I389" s="41">
        <v>1</v>
      </c>
      <c r="J389" s="41">
        <v>1</v>
      </c>
      <c r="K389" s="41">
        <v>2</v>
      </c>
      <c r="L389" s="41" t="s">
        <v>350</v>
      </c>
      <c r="M389" s="41">
        <f>IF(L389&gt;0,INDEX(Fish!$D:$D,MATCH(L389,Fish!$L:$L,0)),"")</f>
        <v>11021</v>
      </c>
      <c r="N389" s="41">
        <v>25000</v>
      </c>
      <c r="O389" s="41">
        <v>1</v>
      </c>
      <c r="P389" s="41">
        <v>1</v>
      </c>
      <c r="Q389" s="41">
        <v>2</v>
      </c>
      <c r="R389" s="41" t="s">
        <v>348</v>
      </c>
      <c r="S389" s="41">
        <f>IF(R389&gt;0,INDEX(Fish!$D:$D,MATCH(R389,Fish!$L:$L,0)),"")</f>
        <v>11092</v>
      </c>
      <c r="T389" s="41">
        <v>18000</v>
      </c>
      <c r="U389" s="41">
        <v>1</v>
      </c>
      <c r="V389" s="41">
        <v>1</v>
      </c>
      <c r="W389" s="41">
        <v>2</v>
      </c>
      <c r="X389" s="41" t="s">
        <v>352</v>
      </c>
      <c r="Y389" s="41">
        <f>IF(X389&gt;0,INDEX(Fish!$D:$D,MATCH(X389,Fish!$L:$L,0)),"")</f>
        <v>11026</v>
      </c>
      <c r="Z389" s="41">
        <v>15000</v>
      </c>
      <c r="AA389" s="41">
        <v>1</v>
      </c>
      <c r="AB389" s="41">
        <v>1</v>
      </c>
      <c r="AC389" s="41">
        <v>2</v>
      </c>
      <c r="AD389" s="41" t="s">
        <v>354</v>
      </c>
      <c r="AE389" s="41">
        <f>IF(AD389&gt;0,INDEX(Fish!$D:$D,MATCH(AD389,Fish!$L:$L,0)),"")</f>
        <v>11027</v>
      </c>
      <c r="AF389" s="41">
        <v>12000</v>
      </c>
      <c r="AG389" s="41">
        <v>1</v>
      </c>
      <c r="AH389" s="41">
        <v>1</v>
      </c>
      <c r="AI389" s="41">
        <v>2</v>
      </c>
    </row>
    <row r="390" spans="1:35">
      <c r="A390" s="41">
        <v>44414</v>
      </c>
      <c r="B390" s="41">
        <v>5</v>
      </c>
      <c r="C390" s="41">
        <v>0</v>
      </c>
      <c r="D390" s="41">
        <v>5</v>
      </c>
      <c r="E390" s="41">
        <v>2</v>
      </c>
      <c r="F390" s="41" t="s">
        <v>120</v>
      </c>
      <c r="G390" s="41">
        <f>IF(F390&gt;0,INDEX(Fish!$D:$D,MATCH(F390,Fish!$L:$L,0)),"")</f>
        <v>14015</v>
      </c>
      <c r="H390" s="41">
        <v>30000</v>
      </c>
      <c r="I390" s="41">
        <v>1</v>
      </c>
      <c r="J390" s="41">
        <v>1</v>
      </c>
      <c r="K390" s="41">
        <v>1</v>
      </c>
      <c r="L390" s="41" t="s">
        <v>124</v>
      </c>
      <c r="M390" s="41">
        <f>IF(L390&gt;0,INDEX(Fish!$D:$D,MATCH(L390,Fish!$L:$L,0)),"")</f>
        <v>14235</v>
      </c>
      <c r="N390" s="41">
        <v>25000</v>
      </c>
      <c r="O390" s="41">
        <v>1</v>
      </c>
      <c r="P390" s="41">
        <v>1</v>
      </c>
      <c r="Q390" s="41">
        <v>1</v>
      </c>
      <c r="R390" s="41" t="s">
        <v>119</v>
      </c>
      <c r="S390" s="41">
        <f>IF(R390&gt;0,INDEX(Fish!$D:$D,MATCH(R390,Fish!$L:$L,0)),"")</f>
        <v>14013</v>
      </c>
      <c r="T390" s="41">
        <v>18000</v>
      </c>
      <c r="U390" s="41">
        <v>1</v>
      </c>
      <c r="V390" s="41">
        <v>1</v>
      </c>
      <c r="W390" s="41">
        <v>1</v>
      </c>
      <c r="X390" s="41" t="s">
        <v>125</v>
      </c>
      <c r="Y390" s="41">
        <f>IF(X390&gt;0,INDEX(Fish!$D:$D,MATCH(X390,Fish!$L:$L,0)),"")</f>
        <v>14090</v>
      </c>
      <c r="Z390" s="41">
        <v>15000</v>
      </c>
      <c r="AA390" s="41">
        <v>1</v>
      </c>
      <c r="AB390" s="41">
        <v>1</v>
      </c>
      <c r="AC390" s="41">
        <v>1</v>
      </c>
      <c r="AD390" s="41" t="s">
        <v>122</v>
      </c>
      <c r="AE390" s="41">
        <f>IF(AD390&gt;0,INDEX(Fish!$D:$D,MATCH(AD390,Fish!$L:$L,0)),"")</f>
        <v>14024</v>
      </c>
      <c r="AF390" s="41">
        <v>12000</v>
      </c>
      <c r="AG390" s="41">
        <v>1</v>
      </c>
      <c r="AH390" s="41">
        <v>1</v>
      </c>
      <c r="AI390" s="41">
        <v>1</v>
      </c>
    </row>
    <row r="391" spans="1:35">
      <c r="A391" s="41">
        <v>44415</v>
      </c>
      <c r="B391" s="41">
        <v>1</v>
      </c>
      <c r="C391" s="41">
        <v>10</v>
      </c>
      <c r="D391" s="41">
        <v>1</v>
      </c>
      <c r="E391" s="41">
        <v>1</v>
      </c>
      <c r="F391" s="41" t="s">
        <v>58</v>
      </c>
      <c r="G391" s="41">
        <f>IF(F391&gt;0,INDEX(Fish!$D:$D,MATCH(F391,Fish!$L:$L,0)),"")</f>
        <v>11001</v>
      </c>
      <c r="H391" s="41">
        <v>0</v>
      </c>
      <c r="I391" s="41">
        <v>4</v>
      </c>
      <c r="J391" s="41">
        <v>8</v>
      </c>
      <c r="K391" s="41">
        <v>10</v>
      </c>
      <c r="L391" s="41" t="s">
        <v>68</v>
      </c>
      <c r="M391" s="41">
        <f>IF(L391&gt;0,INDEX(Fish!$D:$D,MATCH(L391,Fish!$L:$L,0)),"")</f>
        <v>11006</v>
      </c>
      <c r="N391" s="41">
        <v>0</v>
      </c>
      <c r="O391" s="41">
        <v>3</v>
      </c>
      <c r="P391" s="41">
        <v>8</v>
      </c>
      <c r="Q391" s="41">
        <v>10</v>
      </c>
    </row>
    <row r="392" spans="1:35">
      <c r="A392" s="41">
        <v>44415</v>
      </c>
      <c r="B392" s="41">
        <v>1</v>
      </c>
      <c r="C392" s="41">
        <v>10</v>
      </c>
      <c r="D392" s="41">
        <v>1</v>
      </c>
      <c r="E392" s="41">
        <v>1</v>
      </c>
      <c r="F392" s="41" t="s">
        <v>58</v>
      </c>
      <c r="G392" s="41">
        <f>IF(F392&gt;0,INDEX(Fish!$D:$D,MATCH(F392,Fish!$L:$L,0)),"")</f>
        <v>11001</v>
      </c>
      <c r="H392" s="41">
        <v>0</v>
      </c>
      <c r="I392" s="41">
        <v>4</v>
      </c>
      <c r="J392" s="41">
        <v>8</v>
      </c>
      <c r="K392" s="41">
        <v>10</v>
      </c>
      <c r="L392" s="41" t="s">
        <v>62</v>
      </c>
      <c r="M392" s="41">
        <f>IF(L392&gt;0,INDEX(Fish!$D:$D,MATCH(L392,Fish!$L:$L,0)),"")</f>
        <v>11003</v>
      </c>
      <c r="N392" s="41">
        <v>0</v>
      </c>
      <c r="O392" s="41">
        <v>3</v>
      </c>
      <c r="P392" s="41">
        <v>8</v>
      </c>
      <c r="Q392" s="41">
        <v>10</v>
      </c>
    </row>
    <row r="393" spans="1:35">
      <c r="A393" s="41">
        <v>44415</v>
      </c>
      <c r="B393" s="41">
        <v>1</v>
      </c>
      <c r="C393" s="41">
        <v>10</v>
      </c>
      <c r="D393" s="41">
        <v>1</v>
      </c>
      <c r="E393" s="41">
        <v>1</v>
      </c>
      <c r="F393" s="41" t="s">
        <v>58</v>
      </c>
      <c r="G393" s="41">
        <f>IF(F393&gt;0,INDEX(Fish!$D:$D,MATCH(F393,Fish!$L:$L,0)),"")</f>
        <v>11001</v>
      </c>
      <c r="H393" s="41">
        <v>0</v>
      </c>
      <c r="I393" s="41">
        <v>4</v>
      </c>
      <c r="J393" s="41">
        <v>8</v>
      </c>
      <c r="K393" s="41">
        <v>10</v>
      </c>
      <c r="L393" s="41" t="s">
        <v>70</v>
      </c>
      <c r="M393" s="41">
        <f>IF(L393&gt;0,INDEX(Fish!$D:$D,MATCH(L393,Fish!$L:$L,0)),"")</f>
        <v>11007</v>
      </c>
      <c r="N393" s="41">
        <v>0</v>
      </c>
      <c r="O393" s="41">
        <v>3</v>
      </c>
      <c r="P393" s="41">
        <v>8</v>
      </c>
      <c r="Q393" s="41">
        <v>10</v>
      </c>
    </row>
    <row r="394" spans="1:35">
      <c r="A394" s="41">
        <v>44415</v>
      </c>
      <c r="B394" s="41">
        <v>1</v>
      </c>
      <c r="C394" s="41">
        <v>10</v>
      </c>
      <c r="D394" s="41">
        <v>1</v>
      </c>
      <c r="E394" s="41">
        <v>1</v>
      </c>
      <c r="F394" s="41" t="s">
        <v>58</v>
      </c>
      <c r="G394" s="41">
        <f>IF(F394&gt;0,INDEX(Fish!$D:$D,MATCH(F394,Fish!$L:$L,0)),"")</f>
        <v>11001</v>
      </c>
      <c r="H394" s="41">
        <v>0</v>
      </c>
      <c r="I394" s="41">
        <v>4</v>
      </c>
      <c r="J394" s="41">
        <v>8</v>
      </c>
      <c r="K394" s="41">
        <v>10</v>
      </c>
      <c r="L394" s="41" t="s">
        <v>76</v>
      </c>
      <c r="M394" s="41">
        <f>IF(L394&gt;0,INDEX(Fish!$D:$D,MATCH(L394,Fish!$L:$L,0)),"")</f>
        <v>11085</v>
      </c>
      <c r="N394" s="41">
        <v>0</v>
      </c>
      <c r="O394" s="41">
        <v>3</v>
      </c>
      <c r="P394" s="41">
        <v>8</v>
      </c>
      <c r="Q394" s="41">
        <v>10</v>
      </c>
    </row>
    <row r="395" spans="1:35">
      <c r="A395" s="41">
        <v>44415</v>
      </c>
      <c r="B395" s="41">
        <v>1</v>
      </c>
      <c r="C395" s="41">
        <v>10</v>
      </c>
      <c r="D395" s="41">
        <v>1</v>
      </c>
      <c r="E395" s="41">
        <v>1</v>
      </c>
      <c r="F395" s="41" t="s">
        <v>58</v>
      </c>
      <c r="G395" s="41">
        <f>IF(F395&gt;0,INDEX(Fish!$D:$D,MATCH(F395,Fish!$L:$L,0)),"")</f>
        <v>11001</v>
      </c>
      <c r="H395" s="41">
        <v>0</v>
      </c>
      <c r="I395" s="41">
        <v>4</v>
      </c>
      <c r="J395" s="41">
        <v>8</v>
      </c>
      <c r="K395" s="41">
        <v>10</v>
      </c>
      <c r="L395" s="41" t="s">
        <v>64</v>
      </c>
      <c r="M395" s="41">
        <f>IF(L395&gt;0,INDEX(Fish!$D:$D,MATCH(L395,Fish!$L:$L,0)),"")</f>
        <v>11004</v>
      </c>
      <c r="N395" s="41">
        <v>0</v>
      </c>
      <c r="O395" s="41">
        <v>3</v>
      </c>
      <c r="P395" s="41">
        <v>8</v>
      </c>
      <c r="Q395" s="41">
        <v>10</v>
      </c>
    </row>
    <row r="396" spans="1:35">
      <c r="A396" s="41">
        <v>44415</v>
      </c>
      <c r="B396" s="41">
        <v>1</v>
      </c>
      <c r="C396" s="41">
        <v>10</v>
      </c>
      <c r="D396" s="41">
        <v>1</v>
      </c>
      <c r="E396" s="41">
        <v>1</v>
      </c>
      <c r="F396" s="41" t="s">
        <v>60</v>
      </c>
      <c r="G396" s="41">
        <f>IF(F396&gt;0,INDEX(Fish!$D:$D,MATCH(F396,Fish!$L:$L,0)),"")</f>
        <v>11002</v>
      </c>
      <c r="H396" s="41">
        <v>0</v>
      </c>
      <c r="I396" s="41">
        <v>4</v>
      </c>
      <c r="J396" s="41">
        <v>8</v>
      </c>
      <c r="K396" s="41">
        <v>10</v>
      </c>
      <c r="L396" s="41" t="s">
        <v>68</v>
      </c>
      <c r="M396" s="41">
        <f>IF(L396&gt;0,INDEX(Fish!$D:$D,MATCH(L396,Fish!$L:$L,0)),"")</f>
        <v>11006</v>
      </c>
      <c r="N396" s="41">
        <v>0</v>
      </c>
      <c r="O396" s="41">
        <v>3</v>
      </c>
      <c r="P396" s="41">
        <v>8</v>
      </c>
      <c r="Q396" s="41">
        <v>10</v>
      </c>
    </row>
    <row r="397" spans="1:35">
      <c r="A397" s="41">
        <v>44415</v>
      </c>
      <c r="B397" s="41">
        <v>1</v>
      </c>
      <c r="C397" s="41">
        <v>10</v>
      </c>
      <c r="D397" s="41">
        <v>1</v>
      </c>
      <c r="E397" s="41">
        <v>1</v>
      </c>
      <c r="F397" s="41" t="s">
        <v>60</v>
      </c>
      <c r="G397" s="41">
        <f>IF(F397&gt;0,INDEX(Fish!$D:$D,MATCH(F397,Fish!$L:$L,0)),"")</f>
        <v>11002</v>
      </c>
      <c r="H397" s="41">
        <v>0</v>
      </c>
      <c r="I397" s="41">
        <v>4</v>
      </c>
      <c r="J397" s="41">
        <v>8</v>
      </c>
      <c r="K397" s="41">
        <v>10</v>
      </c>
      <c r="L397" s="41" t="s">
        <v>62</v>
      </c>
      <c r="M397" s="41">
        <f>IF(L397&gt;0,INDEX(Fish!$D:$D,MATCH(L397,Fish!$L:$L,0)),"")</f>
        <v>11003</v>
      </c>
      <c r="N397" s="41">
        <v>0</v>
      </c>
      <c r="O397" s="41">
        <v>3</v>
      </c>
      <c r="P397" s="41">
        <v>8</v>
      </c>
      <c r="Q397" s="41">
        <v>10</v>
      </c>
    </row>
    <row r="398" spans="1:35">
      <c r="A398" s="41">
        <v>44415</v>
      </c>
      <c r="B398" s="41">
        <v>1</v>
      </c>
      <c r="C398" s="41">
        <v>10</v>
      </c>
      <c r="D398" s="41">
        <v>1</v>
      </c>
      <c r="E398" s="41">
        <v>1</v>
      </c>
      <c r="F398" s="41" t="s">
        <v>60</v>
      </c>
      <c r="G398" s="41">
        <f>IF(F398&gt;0,INDEX(Fish!$D:$D,MATCH(F398,Fish!$L:$L,0)),"")</f>
        <v>11002</v>
      </c>
      <c r="H398" s="41">
        <v>0</v>
      </c>
      <c r="I398" s="41">
        <v>4</v>
      </c>
      <c r="J398" s="41">
        <v>8</v>
      </c>
      <c r="K398" s="41">
        <v>10</v>
      </c>
      <c r="L398" s="41" t="s">
        <v>70</v>
      </c>
      <c r="M398" s="41">
        <f>IF(L398&gt;0,INDEX(Fish!$D:$D,MATCH(L398,Fish!$L:$L,0)),"")</f>
        <v>11007</v>
      </c>
      <c r="N398" s="41">
        <v>0</v>
      </c>
      <c r="O398" s="41">
        <v>3</v>
      </c>
      <c r="P398" s="41">
        <v>8</v>
      </c>
      <c r="Q398" s="41">
        <v>10</v>
      </c>
    </row>
    <row r="399" spans="1:35">
      <c r="A399" s="41">
        <v>44415</v>
      </c>
      <c r="B399" s="41">
        <v>1</v>
      </c>
      <c r="C399" s="41">
        <v>10</v>
      </c>
      <c r="D399" s="41">
        <v>1</v>
      </c>
      <c r="E399" s="41">
        <v>1</v>
      </c>
      <c r="F399" s="41" t="s">
        <v>60</v>
      </c>
      <c r="G399" s="41">
        <f>IF(F399&gt;0,INDEX(Fish!$D:$D,MATCH(F399,Fish!$L:$L,0)),"")</f>
        <v>11002</v>
      </c>
      <c r="H399" s="41">
        <v>0</v>
      </c>
      <c r="I399" s="41">
        <v>4</v>
      </c>
      <c r="J399" s="41">
        <v>8</v>
      </c>
      <c r="K399" s="41">
        <v>10</v>
      </c>
      <c r="L399" s="41" t="s">
        <v>76</v>
      </c>
      <c r="M399" s="41">
        <f>IF(L399&gt;0,INDEX(Fish!$D:$D,MATCH(L399,Fish!$L:$L,0)),"")</f>
        <v>11085</v>
      </c>
      <c r="N399" s="41">
        <v>0</v>
      </c>
      <c r="O399" s="41">
        <v>3</v>
      </c>
      <c r="P399" s="41">
        <v>8</v>
      </c>
      <c r="Q399" s="41">
        <v>10</v>
      </c>
    </row>
    <row r="400" spans="1:35">
      <c r="A400" s="41">
        <v>44415</v>
      </c>
      <c r="B400" s="41">
        <v>1</v>
      </c>
      <c r="C400" s="41">
        <v>10</v>
      </c>
      <c r="D400" s="41">
        <v>1</v>
      </c>
      <c r="E400" s="41">
        <v>1</v>
      </c>
      <c r="F400" s="41" t="s">
        <v>60</v>
      </c>
      <c r="G400" s="41">
        <f>IF(F400&gt;0,INDEX(Fish!$D:$D,MATCH(F400,Fish!$L:$L,0)),"")</f>
        <v>11002</v>
      </c>
      <c r="H400" s="41">
        <v>0</v>
      </c>
      <c r="I400" s="41">
        <v>4</v>
      </c>
      <c r="J400" s="41">
        <v>8</v>
      </c>
      <c r="K400" s="41">
        <v>10</v>
      </c>
      <c r="L400" s="41" t="s">
        <v>64</v>
      </c>
      <c r="M400" s="41">
        <f>IF(L400&gt;0,INDEX(Fish!$D:$D,MATCH(L400,Fish!$L:$L,0)),"")</f>
        <v>11004</v>
      </c>
      <c r="N400" s="41">
        <v>0</v>
      </c>
      <c r="O400" s="41">
        <v>3</v>
      </c>
      <c r="P400" s="41">
        <v>8</v>
      </c>
      <c r="Q400" s="41">
        <v>10</v>
      </c>
    </row>
    <row r="401" spans="1:29">
      <c r="A401" s="41">
        <v>44415</v>
      </c>
      <c r="B401" s="41">
        <v>2</v>
      </c>
      <c r="C401" s="41">
        <v>0</v>
      </c>
      <c r="D401" s="41">
        <v>2</v>
      </c>
      <c r="E401" s="41">
        <v>1</v>
      </c>
      <c r="F401" s="41" t="s">
        <v>72</v>
      </c>
      <c r="G401" s="41">
        <f>IF(F401&gt;0,INDEX(Fish!$D:$D,MATCH(F401,Fish!$L:$L,0)),"")</f>
        <v>11008</v>
      </c>
      <c r="H401" s="41">
        <v>0</v>
      </c>
      <c r="I401" s="41">
        <v>1</v>
      </c>
      <c r="J401" s="41">
        <v>3</v>
      </c>
      <c r="K401" s="41">
        <v>4</v>
      </c>
      <c r="L401" s="41" t="s">
        <v>78</v>
      </c>
      <c r="M401" s="41">
        <f>IF(L401&gt;0,INDEX(Fish!$D:$D,MATCH(L401,Fish!$L:$L,0)),"")</f>
        <v>11010</v>
      </c>
      <c r="N401" s="41">
        <v>0</v>
      </c>
      <c r="O401" s="41">
        <v>1</v>
      </c>
      <c r="P401" s="41">
        <v>2</v>
      </c>
      <c r="Q401" s="41">
        <v>3</v>
      </c>
      <c r="R401" s="41" t="s">
        <v>82</v>
      </c>
      <c r="S401" s="41">
        <f>IF(R401&gt;0,INDEX(Fish!$D:$D,MATCH(R401,Fish!$L:$L,0)),"")</f>
        <v>11012</v>
      </c>
      <c r="T401" s="41">
        <v>0</v>
      </c>
      <c r="U401" s="41">
        <v>1</v>
      </c>
      <c r="V401" s="41">
        <v>2</v>
      </c>
      <c r="W401" s="41">
        <v>3</v>
      </c>
      <c r="X401" s="41" t="s">
        <v>84</v>
      </c>
      <c r="Y401" s="41">
        <f>IF(X401&gt;0,INDEX(Fish!$D:$D,MATCH(X401,Fish!$L:$L,0)),"")</f>
        <v>11013</v>
      </c>
      <c r="Z401" s="41">
        <v>0</v>
      </c>
      <c r="AA401" s="41">
        <v>1</v>
      </c>
      <c r="AB401" s="41">
        <v>1</v>
      </c>
      <c r="AC401" s="41">
        <v>2</v>
      </c>
    </row>
    <row r="402" spans="1:29">
      <c r="A402" s="41">
        <v>44415</v>
      </c>
      <c r="B402" s="41">
        <v>2</v>
      </c>
      <c r="C402" s="41">
        <v>0</v>
      </c>
      <c r="D402" s="41">
        <v>2</v>
      </c>
      <c r="E402" s="41">
        <v>1</v>
      </c>
      <c r="F402" s="41" t="s">
        <v>72</v>
      </c>
      <c r="G402" s="41">
        <f>IF(F402&gt;0,INDEX(Fish!$D:$D,MATCH(F402,Fish!$L:$L,0)),"")</f>
        <v>11008</v>
      </c>
      <c r="H402" s="41">
        <v>0</v>
      </c>
      <c r="I402" s="41">
        <v>1</v>
      </c>
      <c r="J402" s="41">
        <v>3</v>
      </c>
      <c r="K402" s="41">
        <v>4</v>
      </c>
      <c r="L402" s="41" t="s">
        <v>78</v>
      </c>
      <c r="M402" s="41">
        <f>IF(L402&gt;0,INDEX(Fish!$D:$D,MATCH(L402,Fish!$L:$L,0)),"")</f>
        <v>11010</v>
      </c>
      <c r="N402" s="41">
        <v>0</v>
      </c>
      <c r="O402" s="41">
        <v>1</v>
      </c>
      <c r="P402" s="41">
        <v>2</v>
      </c>
      <c r="Q402" s="41">
        <v>3</v>
      </c>
      <c r="R402" s="41" t="s">
        <v>82</v>
      </c>
      <c r="S402" s="41">
        <f>IF(R402&gt;0,INDEX(Fish!$D:$D,MATCH(R402,Fish!$L:$L,0)),"")</f>
        <v>11012</v>
      </c>
      <c r="T402" s="41">
        <v>0</v>
      </c>
      <c r="U402" s="41">
        <v>1</v>
      </c>
      <c r="V402" s="41">
        <v>2</v>
      </c>
      <c r="W402" s="41">
        <v>3</v>
      </c>
      <c r="X402" s="41" t="s">
        <v>90</v>
      </c>
      <c r="Y402" s="41">
        <f>IF(X402&gt;0,INDEX(Fish!$D:$D,MATCH(X402,Fish!$L:$L,0)),"")</f>
        <v>11016</v>
      </c>
      <c r="Z402" s="41">
        <v>0</v>
      </c>
      <c r="AA402" s="41">
        <v>1</v>
      </c>
      <c r="AB402" s="41">
        <v>1</v>
      </c>
      <c r="AC402" s="41">
        <v>2</v>
      </c>
    </row>
    <row r="403" spans="1:29">
      <c r="A403" s="41">
        <v>44415</v>
      </c>
      <c r="B403" s="41">
        <v>2</v>
      </c>
      <c r="C403" s="41">
        <v>0</v>
      </c>
      <c r="D403" s="41">
        <v>2</v>
      </c>
      <c r="E403" s="41">
        <v>1</v>
      </c>
      <c r="F403" s="41" t="s">
        <v>72</v>
      </c>
      <c r="G403" s="41">
        <f>IF(F403&gt;0,INDEX(Fish!$D:$D,MATCH(F403,Fish!$L:$L,0)),"")</f>
        <v>11008</v>
      </c>
      <c r="H403" s="41">
        <v>0</v>
      </c>
      <c r="I403" s="41">
        <v>1</v>
      </c>
      <c r="J403" s="41">
        <v>3</v>
      </c>
      <c r="K403" s="41">
        <v>4</v>
      </c>
      <c r="L403" s="41" t="s">
        <v>78</v>
      </c>
      <c r="M403" s="41">
        <f>IF(L403&gt;0,INDEX(Fish!$D:$D,MATCH(L403,Fish!$L:$L,0)),"")</f>
        <v>11010</v>
      </c>
      <c r="N403" s="41">
        <v>0</v>
      </c>
      <c r="O403" s="41">
        <v>1</v>
      </c>
      <c r="P403" s="41">
        <v>2</v>
      </c>
      <c r="Q403" s="41">
        <v>3</v>
      </c>
      <c r="R403" s="41" t="s">
        <v>82</v>
      </c>
      <c r="S403" s="41">
        <f>IF(R403&gt;0,INDEX(Fish!$D:$D,MATCH(R403,Fish!$L:$L,0)),"")</f>
        <v>11012</v>
      </c>
      <c r="T403" s="41">
        <v>0</v>
      </c>
      <c r="U403" s="41">
        <v>1</v>
      </c>
      <c r="V403" s="41">
        <v>2</v>
      </c>
      <c r="W403" s="41">
        <v>3</v>
      </c>
      <c r="X403" s="41" t="s">
        <v>86</v>
      </c>
      <c r="Y403" s="41">
        <f>IF(X403&gt;0,INDEX(Fish!$D:$D,MATCH(X403,Fish!$L:$L,0)),"")</f>
        <v>11235</v>
      </c>
      <c r="Z403" s="41">
        <v>0</v>
      </c>
      <c r="AA403" s="41">
        <v>1</v>
      </c>
      <c r="AB403" s="41">
        <v>1</v>
      </c>
      <c r="AC403" s="41">
        <v>2</v>
      </c>
    </row>
    <row r="404" spans="1:29">
      <c r="A404" s="41">
        <v>44415</v>
      </c>
      <c r="B404" s="41">
        <v>2</v>
      </c>
      <c r="C404" s="41">
        <v>0</v>
      </c>
      <c r="D404" s="41">
        <v>2</v>
      </c>
      <c r="E404" s="41">
        <v>1</v>
      </c>
      <c r="F404" s="41" t="s">
        <v>72</v>
      </c>
      <c r="G404" s="41">
        <f>IF(F404&gt;0,INDEX(Fish!$D:$D,MATCH(F404,Fish!$L:$L,0)),"")</f>
        <v>11008</v>
      </c>
      <c r="H404" s="41">
        <v>0</v>
      </c>
      <c r="I404" s="41">
        <v>1</v>
      </c>
      <c r="J404" s="41">
        <v>3</v>
      </c>
      <c r="K404" s="41">
        <v>4</v>
      </c>
      <c r="L404" s="41" t="s">
        <v>78</v>
      </c>
      <c r="M404" s="41">
        <f>IF(L404&gt;0,INDEX(Fish!$D:$D,MATCH(L404,Fish!$L:$L,0)),"")</f>
        <v>11010</v>
      </c>
      <c r="N404" s="41">
        <v>0</v>
      </c>
      <c r="O404" s="41">
        <v>1</v>
      </c>
      <c r="P404" s="41">
        <v>2</v>
      </c>
      <c r="Q404" s="41">
        <v>3</v>
      </c>
      <c r="R404" s="41" t="s">
        <v>88</v>
      </c>
      <c r="S404" s="41">
        <f>IF(R404&gt;0,INDEX(Fish!$D:$D,MATCH(R404,Fish!$L:$L,0)),"")</f>
        <v>11015</v>
      </c>
      <c r="T404" s="41">
        <v>0</v>
      </c>
      <c r="U404" s="41">
        <v>1</v>
      </c>
      <c r="V404" s="41">
        <v>2</v>
      </c>
      <c r="W404" s="41">
        <v>3</v>
      </c>
      <c r="X404" s="41" t="s">
        <v>84</v>
      </c>
      <c r="Y404" s="41">
        <f>IF(X404&gt;0,INDEX(Fish!$D:$D,MATCH(X404,Fish!$L:$L,0)),"")</f>
        <v>11013</v>
      </c>
      <c r="Z404" s="41">
        <v>0</v>
      </c>
      <c r="AA404" s="41">
        <v>1</v>
      </c>
      <c r="AB404" s="41">
        <v>1</v>
      </c>
      <c r="AC404" s="41">
        <v>2</v>
      </c>
    </row>
    <row r="405" spans="1:29">
      <c r="A405" s="41">
        <v>44415</v>
      </c>
      <c r="B405" s="41">
        <v>2</v>
      </c>
      <c r="C405" s="41">
        <v>0</v>
      </c>
      <c r="D405" s="41">
        <v>2</v>
      </c>
      <c r="E405" s="41">
        <v>1</v>
      </c>
      <c r="F405" s="41" t="s">
        <v>72</v>
      </c>
      <c r="G405" s="41">
        <f>IF(F405&gt;0,INDEX(Fish!$D:$D,MATCH(F405,Fish!$L:$L,0)),"")</f>
        <v>11008</v>
      </c>
      <c r="H405" s="41">
        <v>0</v>
      </c>
      <c r="I405" s="41">
        <v>1</v>
      </c>
      <c r="J405" s="41">
        <v>3</v>
      </c>
      <c r="K405" s="41">
        <v>4</v>
      </c>
      <c r="L405" s="41" t="s">
        <v>78</v>
      </c>
      <c r="M405" s="41">
        <f>IF(L405&gt;0,INDEX(Fish!$D:$D,MATCH(L405,Fish!$L:$L,0)),"")</f>
        <v>11010</v>
      </c>
      <c r="N405" s="41">
        <v>0</v>
      </c>
      <c r="O405" s="41">
        <v>1</v>
      </c>
      <c r="P405" s="41">
        <v>2</v>
      </c>
      <c r="Q405" s="41">
        <v>3</v>
      </c>
      <c r="R405" s="41" t="s">
        <v>88</v>
      </c>
      <c r="S405" s="41">
        <f>IF(R405&gt;0,INDEX(Fish!$D:$D,MATCH(R405,Fish!$L:$L,0)),"")</f>
        <v>11015</v>
      </c>
      <c r="T405" s="41">
        <v>0</v>
      </c>
      <c r="U405" s="41">
        <v>1</v>
      </c>
      <c r="V405" s="41">
        <v>2</v>
      </c>
      <c r="W405" s="41">
        <v>3</v>
      </c>
      <c r="X405" s="41" t="s">
        <v>90</v>
      </c>
      <c r="Y405" s="41">
        <f>IF(X405&gt;0,INDEX(Fish!$D:$D,MATCH(X405,Fish!$L:$L,0)),"")</f>
        <v>11016</v>
      </c>
      <c r="Z405" s="41">
        <v>0</v>
      </c>
      <c r="AA405" s="41">
        <v>1</v>
      </c>
      <c r="AB405" s="41">
        <v>1</v>
      </c>
      <c r="AC405" s="41">
        <v>2</v>
      </c>
    </row>
    <row r="406" spans="1:29">
      <c r="A406" s="41">
        <v>44415</v>
      </c>
      <c r="B406" s="41">
        <v>2</v>
      </c>
      <c r="C406" s="41">
        <v>0</v>
      </c>
      <c r="D406" s="41">
        <v>2</v>
      </c>
      <c r="E406" s="41">
        <v>1</v>
      </c>
      <c r="F406" s="41" t="s">
        <v>72</v>
      </c>
      <c r="G406" s="41">
        <f>IF(F406&gt;0,INDEX(Fish!$D:$D,MATCH(F406,Fish!$L:$L,0)),"")</f>
        <v>11008</v>
      </c>
      <c r="H406" s="41">
        <v>0</v>
      </c>
      <c r="I406" s="41">
        <v>1</v>
      </c>
      <c r="J406" s="41">
        <v>3</v>
      </c>
      <c r="K406" s="41">
        <v>4</v>
      </c>
      <c r="L406" s="41" t="s">
        <v>78</v>
      </c>
      <c r="M406" s="41">
        <f>IF(L406&gt;0,INDEX(Fish!$D:$D,MATCH(L406,Fish!$L:$L,0)),"")</f>
        <v>11010</v>
      </c>
      <c r="N406" s="41">
        <v>0</v>
      </c>
      <c r="O406" s="41">
        <v>1</v>
      </c>
      <c r="P406" s="41">
        <v>2</v>
      </c>
      <c r="Q406" s="41">
        <v>3</v>
      </c>
      <c r="R406" s="41" t="s">
        <v>88</v>
      </c>
      <c r="S406" s="41">
        <f>IF(R406&gt;0,INDEX(Fish!$D:$D,MATCH(R406,Fish!$L:$L,0)),"")</f>
        <v>11015</v>
      </c>
      <c r="T406" s="41">
        <v>0</v>
      </c>
      <c r="U406" s="41">
        <v>1</v>
      </c>
      <c r="V406" s="41">
        <v>2</v>
      </c>
      <c r="W406" s="41">
        <v>3</v>
      </c>
      <c r="X406" s="41" t="s">
        <v>86</v>
      </c>
      <c r="Y406" s="41">
        <f>IF(X406&gt;0,INDEX(Fish!$D:$D,MATCH(X406,Fish!$L:$L,0)),"")</f>
        <v>11235</v>
      </c>
      <c r="Z406" s="41">
        <v>0</v>
      </c>
      <c r="AA406" s="41">
        <v>1</v>
      </c>
      <c r="AB406" s="41">
        <v>1</v>
      </c>
      <c r="AC406" s="41">
        <v>2</v>
      </c>
    </row>
    <row r="407" spans="1:29">
      <c r="A407" s="41">
        <v>44415</v>
      </c>
      <c r="B407" s="41">
        <v>2</v>
      </c>
      <c r="C407" s="41">
        <v>0</v>
      </c>
      <c r="D407" s="41">
        <v>2</v>
      </c>
      <c r="E407" s="41">
        <v>1</v>
      </c>
      <c r="F407" s="41" t="s">
        <v>72</v>
      </c>
      <c r="G407" s="41">
        <f>IF(F407&gt;0,INDEX(Fish!$D:$D,MATCH(F407,Fish!$L:$L,0)),"")</f>
        <v>11008</v>
      </c>
      <c r="H407" s="41">
        <v>0</v>
      </c>
      <c r="I407" s="41">
        <v>1</v>
      </c>
      <c r="J407" s="41">
        <v>3</v>
      </c>
      <c r="K407" s="41">
        <v>4</v>
      </c>
      <c r="L407" s="41" t="s">
        <v>92</v>
      </c>
      <c r="M407" s="41">
        <f>IF(L407&gt;0,INDEX(Fish!$D:$D,MATCH(L407,Fish!$L:$L,0)),"")</f>
        <v>11017</v>
      </c>
      <c r="N407" s="41">
        <v>0</v>
      </c>
      <c r="O407" s="41">
        <v>1</v>
      </c>
      <c r="P407" s="41">
        <v>2</v>
      </c>
      <c r="Q407" s="41">
        <v>3</v>
      </c>
      <c r="R407" s="41" t="s">
        <v>82</v>
      </c>
      <c r="S407" s="41">
        <f>IF(R407&gt;0,INDEX(Fish!$D:$D,MATCH(R407,Fish!$L:$L,0)),"")</f>
        <v>11012</v>
      </c>
      <c r="T407" s="41">
        <v>0</v>
      </c>
      <c r="U407" s="41">
        <v>1</v>
      </c>
      <c r="V407" s="41">
        <v>2</v>
      </c>
      <c r="W407" s="41">
        <v>3</v>
      </c>
      <c r="X407" s="41" t="s">
        <v>84</v>
      </c>
      <c r="Y407" s="41">
        <f>IF(X407&gt;0,INDEX(Fish!$D:$D,MATCH(X407,Fish!$L:$L,0)),"")</f>
        <v>11013</v>
      </c>
      <c r="Z407" s="41">
        <v>0</v>
      </c>
      <c r="AA407" s="41">
        <v>1</v>
      </c>
      <c r="AB407" s="41">
        <v>1</v>
      </c>
      <c r="AC407" s="41">
        <v>2</v>
      </c>
    </row>
    <row r="408" spans="1:29">
      <c r="A408" s="41">
        <v>44415</v>
      </c>
      <c r="B408" s="41">
        <v>2</v>
      </c>
      <c r="C408" s="41">
        <v>0</v>
      </c>
      <c r="D408" s="41">
        <v>2</v>
      </c>
      <c r="E408" s="41">
        <v>1</v>
      </c>
      <c r="F408" s="41" t="s">
        <v>72</v>
      </c>
      <c r="G408" s="41">
        <f>IF(F408&gt;0,INDEX(Fish!$D:$D,MATCH(F408,Fish!$L:$L,0)),"")</f>
        <v>11008</v>
      </c>
      <c r="H408" s="41">
        <v>0</v>
      </c>
      <c r="I408" s="41">
        <v>1</v>
      </c>
      <c r="J408" s="41">
        <v>3</v>
      </c>
      <c r="K408" s="41">
        <v>4</v>
      </c>
      <c r="L408" s="41" t="s">
        <v>92</v>
      </c>
      <c r="M408" s="41">
        <f>IF(L408&gt;0,INDEX(Fish!$D:$D,MATCH(L408,Fish!$L:$L,0)),"")</f>
        <v>11017</v>
      </c>
      <c r="N408" s="41">
        <v>0</v>
      </c>
      <c r="O408" s="41">
        <v>1</v>
      </c>
      <c r="P408" s="41">
        <v>2</v>
      </c>
      <c r="Q408" s="41">
        <v>3</v>
      </c>
      <c r="R408" s="41" t="s">
        <v>82</v>
      </c>
      <c r="S408" s="41">
        <f>IF(R408&gt;0,INDEX(Fish!$D:$D,MATCH(R408,Fish!$L:$L,0)),"")</f>
        <v>11012</v>
      </c>
      <c r="T408" s="41">
        <v>0</v>
      </c>
      <c r="U408" s="41">
        <v>1</v>
      </c>
      <c r="V408" s="41">
        <v>2</v>
      </c>
      <c r="W408" s="41">
        <v>3</v>
      </c>
      <c r="X408" s="41" t="s">
        <v>90</v>
      </c>
      <c r="Y408" s="41">
        <f>IF(X408&gt;0,INDEX(Fish!$D:$D,MATCH(X408,Fish!$L:$L,0)),"")</f>
        <v>11016</v>
      </c>
      <c r="Z408" s="41">
        <v>0</v>
      </c>
      <c r="AA408" s="41">
        <v>1</v>
      </c>
      <c r="AB408" s="41">
        <v>1</v>
      </c>
      <c r="AC408" s="41">
        <v>2</v>
      </c>
    </row>
    <row r="409" spans="1:29">
      <c r="A409" s="41">
        <v>44415</v>
      </c>
      <c r="B409" s="41">
        <v>2</v>
      </c>
      <c r="C409" s="41">
        <v>0</v>
      </c>
      <c r="D409" s="41">
        <v>2</v>
      </c>
      <c r="E409" s="41">
        <v>1</v>
      </c>
      <c r="F409" s="41" t="s">
        <v>72</v>
      </c>
      <c r="G409" s="41">
        <f>IF(F409&gt;0,INDEX(Fish!$D:$D,MATCH(F409,Fish!$L:$L,0)),"")</f>
        <v>11008</v>
      </c>
      <c r="H409" s="41">
        <v>0</v>
      </c>
      <c r="I409" s="41">
        <v>1</v>
      </c>
      <c r="J409" s="41">
        <v>3</v>
      </c>
      <c r="K409" s="41">
        <v>4</v>
      </c>
      <c r="L409" s="41" t="s">
        <v>92</v>
      </c>
      <c r="M409" s="41">
        <f>IF(L409&gt;0,INDEX(Fish!$D:$D,MATCH(L409,Fish!$L:$L,0)),"")</f>
        <v>11017</v>
      </c>
      <c r="N409" s="41">
        <v>0</v>
      </c>
      <c r="O409" s="41">
        <v>1</v>
      </c>
      <c r="P409" s="41">
        <v>2</v>
      </c>
      <c r="Q409" s="41">
        <v>3</v>
      </c>
      <c r="R409" s="41" t="s">
        <v>82</v>
      </c>
      <c r="S409" s="41">
        <f>IF(R409&gt;0,INDEX(Fish!$D:$D,MATCH(R409,Fish!$L:$L,0)),"")</f>
        <v>11012</v>
      </c>
      <c r="T409" s="41">
        <v>0</v>
      </c>
      <c r="U409" s="41">
        <v>1</v>
      </c>
      <c r="V409" s="41">
        <v>2</v>
      </c>
      <c r="W409" s="41">
        <v>3</v>
      </c>
      <c r="X409" s="41" t="s">
        <v>86</v>
      </c>
      <c r="Y409" s="41">
        <f>IF(X409&gt;0,INDEX(Fish!$D:$D,MATCH(X409,Fish!$L:$L,0)),"")</f>
        <v>11235</v>
      </c>
      <c r="Z409" s="41">
        <v>0</v>
      </c>
      <c r="AA409" s="41">
        <v>1</v>
      </c>
      <c r="AB409" s="41">
        <v>1</v>
      </c>
      <c r="AC409" s="41">
        <v>2</v>
      </c>
    </row>
    <row r="410" spans="1:29">
      <c r="A410" s="41">
        <v>44415</v>
      </c>
      <c r="B410" s="41">
        <v>2</v>
      </c>
      <c r="C410" s="41">
        <v>0</v>
      </c>
      <c r="D410" s="41">
        <v>2</v>
      </c>
      <c r="E410" s="41">
        <v>1</v>
      </c>
      <c r="F410" s="41" t="s">
        <v>72</v>
      </c>
      <c r="G410" s="41">
        <f>IF(F410&gt;0,INDEX(Fish!$D:$D,MATCH(F410,Fish!$L:$L,0)),"")</f>
        <v>11008</v>
      </c>
      <c r="H410" s="41">
        <v>0</v>
      </c>
      <c r="I410" s="41">
        <v>1</v>
      </c>
      <c r="J410" s="41">
        <v>3</v>
      </c>
      <c r="K410" s="41">
        <v>4</v>
      </c>
      <c r="L410" s="41" t="s">
        <v>92</v>
      </c>
      <c r="M410" s="41">
        <f>IF(L410&gt;0,INDEX(Fish!$D:$D,MATCH(L410,Fish!$L:$L,0)),"")</f>
        <v>11017</v>
      </c>
      <c r="N410" s="41">
        <v>0</v>
      </c>
      <c r="O410" s="41">
        <v>1</v>
      </c>
      <c r="P410" s="41">
        <v>2</v>
      </c>
      <c r="Q410" s="41">
        <v>3</v>
      </c>
      <c r="R410" s="41" t="s">
        <v>88</v>
      </c>
      <c r="S410" s="41">
        <f>IF(R410&gt;0,INDEX(Fish!$D:$D,MATCH(R410,Fish!$L:$L,0)),"")</f>
        <v>11015</v>
      </c>
      <c r="T410" s="41">
        <v>0</v>
      </c>
      <c r="U410" s="41">
        <v>1</v>
      </c>
      <c r="V410" s="41">
        <v>2</v>
      </c>
      <c r="W410" s="41">
        <v>3</v>
      </c>
      <c r="X410" s="41" t="s">
        <v>84</v>
      </c>
      <c r="Y410" s="41">
        <f>IF(X410&gt;0,INDEX(Fish!$D:$D,MATCH(X410,Fish!$L:$L,0)),"")</f>
        <v>11013</v>
      </c>
      <c r="Z410" s="41">
        <v>0</v>
      </c>
      <c r="AA410" s="41">
        <v>1</v>
      </c>
      <c r="AB410" s="41">
        <v>1</v>
      </c>
      <c r="AC410" s="41">
        <v>2</v>
      </c>
    </row>
    <row r="411" spans="1:29">
      <c r="A411" s="41">
        <v>44415</v>
      </c>
      <c r="B411" s="41">
        <v>2</v>
      </c>
      <c r="C411" s="41">
        <v>0</v>
      </c>
      <c r="D411" s="41">
        <v>2</v>
      </c>
      <c r="E411" s="41">
        <v>1</v>
      </c>
      <c r="F411" s="41" t="s">
        <v>72</v>
      </c>
      <c r="G411" s="41">
        <f>IF(F411&gt;0,INDEX(Fish!$D:$D,MATCH(F411,Fish!$L:$L,0)),"")</f>
        <v>11008</v>
      </c>
      <c r="H411" s="41">
        <v>0</v>
      </c>
      <c r="I411" s="41">
        <v>1</v>
      </c>
      <c r="J411" s="41">
        <v>3</v>
      </c>
      <c r="K411" s="41">
        <v>4</v>
      </c>
      <c r="L411" s="41" t="s">
        <v>92</v>
      </c>
      <c r="M411" s="41">
        <f>IF(L411&gt;0,INDEX(Fish!$D:$D,MATCH(L411,Fish!$L:$L,0)),"")</f>
        <v>11017</v>
      </c>
      <c r="N411" s="41">
        <v>0</v>
      </c>
      <c r="O411" s="41">
        <v>1</v>
      </c>
      <c r="P411" s="41">
        <v>2</v>
      </c>
      <c r="Q411" s="41">
        <v>3</v>
      </c>
      <c r="R411" s="41" t="s">
        <v>88</v>
      </c>
      <c r="S411" s="41">
        <f>IF(R411&gt;0,INDEX(Fish!$D:$D,MATCH(R411,Fish!$L:$L,0)),"")</f>
        <v>11015</v>
      </c>
      <c r="T411" s="41">
        <v>0</v>
      </c>
      <c r="U411" s="41">
        <v>1</v>
      </c>
      <c r="V411" s="41">
        <v>2</v>
      </c>
      <c r="W411" s="41">
        <v>3</v>
      </c>
      <c r="X411" s="41" t="s">
        <v>90</v>
      </c>
      <c r="Y411" s="41">
        <f>IF(X411&gt;0,INDEX(Fish!$D:$D,MATCH(X411,Fish!$L:$L,0)),"")</f>
        <v>11016</v>
      </c>
      <c r="Z411" s="41">
        <v>0</v>
      </c>
      <c r="AA411" s="41">
        <v>1</v>
      </c>
      <c r="AB411" s="41">
        <v>1</v>
      </c>
      <c r="AC411" s="41">
        <v>2</v>
      </c>
    </row>
    <row r="412" spans="1:29">
      <c r="A412" s="41">
        <v>44415</v>
      </c>
      <c r="B412" s="41">
        <v>2</v>
      </c>
      <c r="C412" s="41">
        <v>0</v>
      </c>
      <c r="D412" s="41">
        <v>2</v>
      </c>
      <c r="E412" s="41">
        <v>1</v>
      </c>
      <c r="F412" s="41" t="s">
        <v>72</v>
      </c>
      <c r="G412" s="41">
        <f>IF(F412&gt;0,INDEX(Fish!$D:$D,MATCH(F412,Fish!$L:$L,0)),"")</f>
        <v>11008</v>
      </c>
      <c r="H412" s="41">
        <v>0</v>
      </c>
      <c r="I412" s="41">
        <v>1</v>
      </c>
      <c r="J412" s="41">
        <v>3</v>
      </c>
      <c r="K412" s="41">
        <v>4</v>
      </c>
      <c r="L412" s="41" t="s">
        <v>92</v>
      </c>
      <c r="M412" s="41">
        <f>IF(L412&gt;0,INDEX(Fish!$D:$D,MATCH(L412,Fish!$L:$L,0)),"")</f>
        <v>11017</v>
      </c>
      <c r="N412" s="41">
        <v>0</v>
      </c>
      <c r="O412" s="41">
        <v>1</v>
      </c>
      <c r="P412" s="41">
        <v>2</v>
      </c>
      <c r="Q412" s="41">
        <v>3</v>
      </c>
      <c r="R412" s="41" t="s">
        <v>88</v>
      </c>
      <c r="S412" s="41">
        <f>IF(R412&gt;0,INDEX(Fish!$D:$D,MATCH(R412,Fish!$L:$L,0)),"")</f>
        <v>11015</v>
      </c>
      <c r="T412" s="41">
        <v>0</v>
      </c>
      <c r="U412" s="41">
        <v>1</v>
      </c>
      <c r="V412" s="41">
        <v>2</v>
      </c>
      <c r="W412" s="41">
        <v>3</v>
      </c>
      <c r="X412" s="41" t="s">
        <v>86</v>
      </c>
      <c r="Y412" s="41">
        <f>IF(X412&gt;0,INDEX(Fish!$D:$D,MATCH(X412,Fish!$L:$L,0)),"")</f>
        <v>11235</v>
      </c>
      <c r="Z412" s="41">
        <v>0</v>
      </c>
      <c r="AA412" s="41">
        <v>1</v>
      </c>
      <c r="AB412" s="41">
        <v>1</v>
      </c>
      <c r="AC412" s="41">
        <v>2</v>
      </c>
    </row>
    <row r="413" spans="1:29">
      <c r="A413" s="41">
        <v>44415</v>
      </c>
      <c r="B413" s="41">
        <v>2</v>
      </c>
      <c r="C413" s="41">
        <v>0</v>
      </c>
      <c r="D413" s="41">
        <v>2</v>
      </c>
      <c r="E413" s="41">
        <v>1</v>
      </c>
      <c r="F413" s="41" t="s">
        <v>66</v>
      </c>
      <c r="G413" s="41">
        <f>IF(F413&gt;0,INDEX(Fish!$D:$D,MATCH(F413,Fish!$L:$L,0)),"")</f>
        <v>11005</v>
      </c>
      <c r="H413" s="41">
        <v>0</v>
      </c>
      <c r="I413" s="41">
        <v>1</v>
      </c>
      <c r="J413" s="41">
        <v>3</v>
      </c>
      <c r="K413" s="41">
        <v>4</v>
      </c>
      <c r="L413" s="41" t="s">
        <v>78</v>
      </c>
      <c r="M413" s="41">
        <f>IF(L413&gt;0,INDEX(Fish!$D:$D,MATCH(L413,Fish!$L:$L,0)),"")</f>
        <v>11010</v>
      </c>
      <c r="N413" s="41">
        <v>0</v>
      </c>
      <c r="O413" s="41">
        <v>1</v>
      </c>
      <c r="P413" s="41">
        <v>2</v>
      </c>
      <c r="Q413" s="41">
        <v>3</v>
      </c>
      <c r="R413" s="41" t="s">
        <v>82</v>
      </c>
      <c r="S413" s="41">
        <f>IF(R413&gt;0,INDEX(Fish!$D:$D,MATCH(R413,Fish!$L:$L,0)),"")</f>
        <v>11012</v>
      </c>
      <c r="T413" s="41">
        <v>0</v>
      </c>
      <c r="U413" s="41">
        <v>1</v>
      </c>
      <c r="V413" s="41">
        <v>2</v>
      </c>
      <c r="W413" s="41">
        <v>3</v>
      </c>
      <c r="X413" s="41" t="s">
        <v>84</v>
      </c>
      <c r="Y413" s="41">
        <f>IF(X413&gt;0,INDEX(Fish!$D:$D,MATCH(X413,Fish!$L:$L,0)),"")</f>
        <v>11013</v>
      </c>
      <c r="Z413" s="41">
        <v>0</v>
      </c>
      <c r="AA413" s="41">
        <v>1</v>
      </c>
      <c r="AB413" s="41">
        <v>1</v>
      </c>
      <c r="AC413" s="41">
        <v>2</v>
      </c>
    </row>
    <row r="414" spans="1:29">
      <c r="A414" s="41">
        <v>44415</v>
      </c>
      <c r="B414" s="41">
        <v>2</v>
      </c>
      <c r="C414" s="41">
        <v>0</v>
      </c>
      <c r="D414" s="41">
        <v>2</v>
      </c>
      <c r="E414" s="41">
        <v>1</v>
      </c>
      <c r="F414" s="41" t="s">
        <v>66</v>
      </c>
      <c r="G414" s="41">
        <f>IF(F414&gt;0,INDEX(Fish!$D:$D,MATCH(F414,Fish!$L:$L,0)),"")</f>
        <v>11005</v>
      </c>
      <c r="H414" s="41">
        <v>0</v>
      </c>
      <c r="I414" s="41">
        <v>1</v>
      </c>
      <c r="J414" s="41">
        <v>3</v>
      </c>
      <c r="K414" s="41">
        <v>4</v>
      </c>
      <c r="L414" s="41" t="s">
        <v>78</v>
      </c>
      <c r="M414" s="41">
        <f>IF(L414&gt;0,INDEX(Fish!$D:$D,MATCH(L414,Fish!$L:$L,0)),"")</f>
        <v>11010</v>
      </c>
      <c r="N414" s="41">
        <v>0</v>
      </c>
      <c r="O414" s="41">
        <v>1</v>
      </c>
      <c r="P414" s="41">
        <v>2</v>
      </c>
      <c r="Q414" s="41">
        <v>3</v>
      </c>
      <c r="R414" s="41" t="s">
        <v>82</v>
      </c>
      <c r="S414" s="41">
        <f>IF(R414&gt;0,INDEX(Fish!$D:$D,MATCH(R414,Fish!$L:$L,0)),"")</f>
        <v>11012</v>
      </c>
      <c r="T414" s="41">
        <v>0</v>
      </c>
      <c r="U414" s="41">
        <v>1</v>
      </c>
      <c r="V414" s="41">
        <v>2</v>
      </c>
      <c r="W414" s="41">
        <v>3</v>
      </c>
      <c r="X414" s="41" t="s">
        <v>90</v>
      </c>
      <c r="Y414" s="41">
        <f>IF(X414&gt;0,INDEX(Fish!$D:$D,MATCH(X414,Fish!$L:$L,0)),"")</f>
        <v>11016</v>
      </c>
      <c r="Z414" s="41">
        <v>0</v>
      </c>
      <c r="AA414" s="41">
        <v>1</v>
      </c>
      <c r="AB414" s="41">
        <v>1</v>
      </c>
      <c r="AC414" s="41">
        <v>2</v>
      </c>
    </row>
    <row r="415" spans="1:29">
      <c r="A415" s="41">
        <v>44415</v>
      </c>
      <c r="B415" s="41">
        <v>2</v>
      </c>
      <c r="C415" s="41">
        <v>0</v>
      </c>
      <c r="D415" s="41">
        <v>2</v>
      </c>
      <c r="E415" s="41">
        <v>1</v>
      </c>
      <c r="F415" s="41" t="s">
        <v>66</v>
      </c>
      <c r="G415" s="41">
        <f>IF(F415&gt;0,INDEX(Fish!$D:$D,MATCH(F415,Fish!$L:$L,0)),"")</f>
        <v>11005</v>
      </c>
      <c r="H415" s="41">
        <v>0</v>
      </c>
      <c r="I415" s="41">
        <v>1</v>
      </c>
      <c r="J415" s="41">
        <v>3</v>
      </c>
      <c r="K415" s="41">
        <v>4</v>
      </c>
      <c r="L415" s="41" t="s">
        <v>78</v>
      </c>
      <c r="M415" s="41">
        <f>IF(L415&gt;0,INDEX(Fish!$D:$D,MATCH(L415,Fish!$L:$L,0)),"")</f>
        <v>11010</v>
      </c>
      <c r="N415" s="41">
        <v>0</v>
      </c>
      <c r="O415" s="41">
        <v>1</v>
      </c>
      <c r="P415" s="41">
        <v>2</v>
      </c>
      <c r="Q415" s="41">
        <v>3</v>
      </c>
      <c r="R415" s="41" t="s">
        <v>82</v>
      </c>
      <c r="S415" s="41">
        <f>IF(R415&gt;0,INDEX(Fish!$D:$D,MATCH(R415,Fish!$L:$L,0)),"")</f>
        <v>11012</v>
      </c>
      <c r="T415" s="41">
        <v>0</v>
      </c>
      <c r="U415" s="41">
        <v>1</v>
      </c>
      <c r="V415" s="41">
        <v>2</v>
      </c>
      <c r="W415" s="41">
        <v>3</v>
      </c>
      <c r="X415" s="41" t="s">
        <v>86</v>
      </c>
      <c r="Y415" s="41">
        <f>IF(X415&gt;0,INDEX(Fish!$D:$D,MATCH(X415,Fish!$L:$L,0)),"")</f>
        <v>11235</v>
      </c>
      <c r="Z415" s="41">
        <v>0</v>
      </c>
      <c r="AA415" s="41">
        <v>1</v>
      </c>
      <c r="AB415" s="41">
        <v>1</v>
      </c>
      <c r="AC415" s="41">
        <v>2</v>
      </c>
    </row>
    <row r="416" spans="1:29">
      <c r="A416" s="41">
        <v>44415</v>
      </c>
      <c r="B416" s="41">
        <v>2</v>
      </c>
      <c r="C416" s="41">
        <v>0</v>
      </c>
      <c r="D416" s="41">
        <v>2</v>
      </c>
      <c r="E416" s="41">
        <v>1</v>
      </c>
      <c r="F416" s="41" t="s">
        <v>66</v>
      </c>
      <c r="G416" s="41">
        <f>IF(F416&gt;0,INDEX(Fish!$D:$D,MATCH(F416,Fish!$L:$L,0)),"")</f>
        <v>11005</v>
      </c>
      <c r="H416" s="41">
        <v>0</v>
      </c>
      <c r="I416" s="41">
        <v>1</v>
      </c>
      <c r="J416" s="41">
        <v>3</v>
      </c>
      <c r="K416" s="41">
        <v>4</v>
      </c>
      <c r="L416" s="41" t="s">
        <v>78</v>
      </c>
      <c r="M416" s="41">
        <f>IF(L416&gt;0,INDEX(Fish!$D:$D,MATCH(L416,Fish!$L:$L,0)),"")</f>
        <v>11010</v>
      </c>
      <c r="N416" s="41">
        <v>0</v>
      </c>
      <c r="O416" s="41">
        <v>1</v>
      </c>
      <c r="P416" s="41">
        <v>2</v>
      </c>
      <c r="Q416" s="41">
        <v>3</v>
      </c>
      <c r="R416" s="41" t="s">
        <v>88</v>
      </c>
      <c r="S416" s="41">
        <f>IF(R416&gt;0,INDEX(Fish!$D:$D,MATCH(R416,Fish!$L:$L,0)),"")</f>
        <v>11015</v>
      </c>
      <c r="T416" s="41">
        <v>0</v>
      </c>
      <c r="U416" s="41">
        <v>1</v>
      </c>
      <c r="V416" s="41">
        <v>2</v>
      </c>
      <c r="W416" s="41">
        <v>3</v>
      </c>
      <c r="X416" s="41" t="s">
        <v>84</v>
      </c>
      <c r="Y416" s="41">
        <f>IF(X416&gt;0,INDEX(Fish!$D:$D,MATCH(X416,Fish!$L:$L,0)),"")</f>
        <v>11013</v>
      </c>
      <c r="Z416" s="41">
        <v>0</v>
      </c>
      <c r="AA416" s="41">
        <v>1</v>
      </c>
      <c r="AB416" s="41">
        <v>1</v>
      </c>
      <c r="AC416" s="41">
        <v>2</v>
      </c>
    </row>
    <row r="417" spans="1:35">
      <c r="A417" s="41">
        <v>44415</v>
      </c>
      <c r="B417" s="41">
        <v>2</v>
      </c>
      <c r="C417" s="41">
        <v>0</v>
      </c>
      <c r="D417" s="41">
        <v>2</v>
      </c>
      <c r="E417" s="41">
        <v>1</v>
      </c>
      <c r="F417" s="41" t="s">
        <v>66</v>
      </c>
      <c r="G417" s="41">
        <f>IF(F417&gt;0,INDEX(Fish!$D:$D,MATCH(F417,Fish!$L:$L,0)),"")</f>
        <v>11005</v>
      </c>
      <c r="H417" s="41">
        <v>0</v>
      </c>
      <c r="I417" s="41">
        <v>1</v>
      </c>
      <c r="J417" s="41">
        <v>3</v>
      </c>
      <c r="K417" s="41">
        <v>4</v>
      </c>
      <c r="L417" s="41" t="s">
        <v>78</v>
      </c>
      <c r="M417" s="41">
        <f>IF(L417&gt;0,INDEX(Fish!$D:$D,MATCH(L417,Fish!$L:$L,0)),"")</f>
        <v>11010</v>
      </c>
      <c r="N417" s="41">
        <v>0</v>
      </c>
      <c r="O417" s="41">
        <v>1</v>
      </c>
      <c r="P417" s="41">
        <v>2</v>
      </c>
      <c r="Q417" s="41">
        <v>3</v>
      </c>
      <c r="R417" s="41" t="s">
        <v>88</v>
      </c>
      <c r="S417" s="41">
        <f>IF(R417&gt;0,INDEX(Fish!$D:$D,MATCH(R417,Fish!$L:$L,0)),"")</f>
        <v>11015</v>
      </c>
      <c r="T417" s="41">
        <v>0</v>
      </c>
      <c r="U417" s="41">
        <v>1</v>
      </c>
      <c r="V417" s="41">
        <v>2</v>
      </c>
      <c r="W417" s="41">
        <v>3</v>
      </c>
      <c r="X417" s="41" t="s">
        <v>90</v>
      </c>
      <c r="Y417" s="41">
        <f>IF(X417&gt;0,INDEX(Fish!$D:$D,MATCH(X417,Fish!$L:$L,0)),"")</f>
        <v>11016</v>
      </c>
      <c r="Z417" s="41">
        <v>0</v>
      </c>
      <c r="AA417" s="41">
        <v>1</v>
      </c>
      <c r="AB417" s="41">
        <v>1</v>
      </c>
      <c r="AC417" s="41">
        <v>2</v>
      </c>
    </row>
    <row r="418" spans="1:35">
      <c r="A418" s="41">
        <v>44415</v>
      </c>
      <c r="B418" s="41">
        <v>2</v>
      </c>
      <c r="C418" s="41">
        <v>0</v>
      </c>
      <c r="D418" s="41">
        <v>2</v>
      </c>
      <c r="E418" s="41">
        <v>1</v>
      </c>
      <c r="F418" s="41" t="s">
        <v>66</v>
      </c>
      <c r="G418" s="41">
        <f>IF(F418&gt;0,INDEX(Fish!$D:$D,MATCH(F418,Fish!$L:$L,0)),"")</f>
        <v>11005</v>
      </c>
      <c r="H418" s="41">
        <v>0</v>
      </c>
      <c r="I418" s="41">
        <v>1</v>
      </c>
      <c r="J418" s="41">
        <v>3</v>
      </c>
      <c r="K418" s="41">
        <v>4</v>
      </c>
      <c r="L418" s="41" t="s">
        <v>78</v>
      </c>
      <c r="M418" s="41">
        <f>IF(L418&gt;0,INDEX(Fish!$D:$D,MATCH(L418,Fish!$L:$L,0)),"")</f>
        <v>11010</v>
      </c>
      <c r="N418" s="41">
        <v>0</v>
      </c>
      <c r="O418" s="41">
        <v>1</v>
      </c>
      <c r="P418" s="41">
        <v>2</v>
      </c>
      <c r="Q418" s="41">
        <v>3</v>
      </c>
      <c r="R418" s="41" t="s">
        <v>88</v>
      </c>
      <c r="S418" s="41">
        <f>IF(R418&gt;0,INDEX(Fish!$D:$D,MATCH(R418,Fish!$L:$L,0)),"")</f>
        <v>11015</v>
      </c>
      <c r="T418" s="41">
        <v>0</v>
      </c>
      <c r="U418" s="41">
        <v>1</v>
      </c>
      <c r="V418" s="41">
        <v>2</v>
      </c>
      <c r="W418" s="41">
        <v>3</v>
      </c>
      <c r="X418" s="41" t="s">
        <v>86</v>
      </c>
      <c r="Y418" s="41">
        <f>IF(X418&gt;0,INDEX(Fish!$D:$D,MATCH(X418,Fish!$L:$L,0)),"")</f>
        <v>11235</v>
      </c>
      <c r="Z418" s="41">
        <v>0</v>
      </c>
      <c r="AA418" s="41">
        <v>1</v>
      </c>
      <c r="AB418" s="41">
        <v>1</v>
      </c>
      <c r="AC418" s="41">
        <v>2</v>
      </c>
    </row>
    <row r="419" spans="1:35">
      <c r="A419" s="41">
        <v>44415</v>
      </c>
      <c r="B419" s="41">
        <v>2</v>
      </c>
      <c r="C419" s="41">
        <v>0</v>
      </c>
      <c r="D419" s="41">
        <v>2</v>
      </c>
      <c r="E419" s="41">
        <v>1</v>
      </c>
      <c r="F419" s="41" t="s">
        <v>66</v>
      </c>
      <c r="G419" s="41">
        <f>IF(F419&gt;0,INDEX(Fish!$D:$D,MATCH(F419,Fish!$L:$L,0)),"")</f>
        <v>11005</v>
      </c>
      <c r="H419" s="41">
        <v>0</v>
      </c>
      <c r="I419" s="41">
        <v>1</v>
      </c>
      <c r="J419" s="41">
        <v>3</v>
      </c>
      <c r="K419" s="41">
        <v>4</v>
      </c>
      <c r="L419" s="41" t="s">
        <v>92</v>
      </c>
      <c r="M419" s="41">
        <f>IF(L419&gt;0,INDEX(Fish!$D:$D,MATCH(L419,Fish!$L:$L,0)),"")</f>
        <v>11017</v>
      </c>
      <c r="N419" s="41">
        <v>0</v>
      </c>
      <c r="O419" s="41">
        <v>1</v>
      </c>
      <c r="P419" s="41">
        <v>2</v>
      </c>
      <c r="Q419" s="41">
        <v>3</v>
      </c>
      <c r="R419" s="41" t="s">
        <v>82</v>
      </c>
      <c r="S419" s="41">
        <f>IF(R419&gt;0,INDEX(Fish!$D:$D,MATCH(R419,Fish!$L:$L,0)),"")</f>
        <v>11012</v>
      </c>
      <c r="T419" s="41">
        <v>0</v>
      </c>
      <c r="U419" s="41">
        <v>1</v>
      </c>
      <c r="V419" s="41">
        <v>2</v>
      </c>
      <c r="W419" s="41">
        <v>3</v>
      </c>
      <c r="X419" s="41" t="s">
        <v>84</v>
      </c>
      <c r="Y419" s="41">
        <f>IF(X419&gt;0,INDEX(Fish!$D:$D,MATCH(X419,Fish!$L:$L,0)),"")</f>
        <v>11013</v>
      </c>
      <c r="Z419" s="41">
        <v>0</v>
      </c>
      <c r="AA419" s="41">
        <v>1</v>
      </c>
      <c r="AB419" s="41">
        <v>1</v>
      </c>
      <c r="AC419" s="41">
        <v>2</v>
      </c>
    </row>
    <row r="420" spans="1:35">
      <c r="A420" s="41">
        <v>44415</v>
      </c>
      <c r="B420" s="41">
        <v>2</v>
      </c>
      <c r="C420" s="41">
        <v>0</v>
      </c>
      <c r="D420" s="41">
        <v>2</v>
      </c>
      <c r="E420" s="41">
        <v>1</v>
      </c>
      <c r="F420" s="41" t="s">
        <v>66</v>
      </c>
      <c r="G420" s="41">
        <f>IF(F420&gt;0,INDEX(Fish!$D:$D,MATCH(F420,Fish!$L:$L,0)),"")</f>
        <v>11005</v>
      </c>
      <c r="H420" s="41">
        <v>0</v>
      </c>
      <c r="I420" s="41">
        <v>1</v>
      </c>
      <c r="J420" s="41">
        <v>3</v>
      </c>
      <c r="K420" s="41">
        <v>4</v>
      </c>
      <c r="L420" s="41" t="s">
        <v>92</v>
      </c>
      <c r="M420" s="41">
        <f>IF(L420&gt;0,INDEX(Fish!$D:$D,MATCH(L420,Fish!$L:$L,0)),"")</f>
        <v>11017</v>
      </c>
      <c r="N420" s="41">
        <v>0</v>
      </c>
      <c r="O420" s="41">
        <v>1</v>
      </c>
      <c r="P420" s="41">
        <v>2</v>
      </c>
      <c r="Q420" s="41">
        <v>3</v>
      </c>
      <c r="R420" s="41" t="s">
        <v>82</v>
      </c>
      <c r="S420" s="41">
        <f>IF(R420&gt;0,INDEX(Fish!$D:$D,MATCH(R420,Fish!$L:$L,0)),"")</f>
        <v>11012</v>
      </c>
      <c r="T420" s="41">
        <v>0</v>
      </c>
      <c r="U420" s="41">
        <v>1</v>
      </c>
      <c r="V420" s="41">
        <v>2</v>
      </c>
      <c r="W420" s="41">
        <v>3</v>
      </c>
      <c r="X420" s="41" t="s">
        <v>90</v>
      </c>
      <c r="Y420" s="41">
        <f>IF(X420&gt;0,INDEX(Fish!$D:$D,MATCH(X420,Fish!$L:$L,0)),"")</f>
        <v>11016</v>
      </c>
      <c r="Z420" s="41">
        <v>0</v>
      </c>
      <c r="AA420" s="41">
        <v>1</v>
      </c>
      <c r="AB420" s="41">
        <v>1</v>
      </c>
      <c r="AC420" s="41">
        <v>2</v>
      </c>
    </row>
    <row r="421" spans="1:35">
      <c r="A421" s="41">
        <v>44415</v>
      </c>
      <c r="B421" s="41">
        <v>2</v>
      </c>
      <c r="C421" s="41">
        <v>0</v>
      </c>
      <c r="D421" s="41">
        <v>2</v>
      </c>
      <c r="E421" s="41">
        <v>1</v>
      </c>
      <c r="F421" s="41" t="s">
        <v>66</v>
      </c>
      <c r="G421" s="41">
        <f>IF(F421&gt;0,INDEX(Fish!$D:$D,MATCH(F421,Fish!$L:$L,0)),"")</f>
        <v>11005</v>
      </c>
      <c r="H421" s="41">
        <v>0</v>
      </c>
      <c r="I421" s="41">
        <v>1</v>
      </c>
      <c r="J421" s="41">
        <v>3</v>
      </c>
      <c r="K421" s="41">
        <v>4</v>
      </c>
      <c r="L421" s="41" t="s">
        <v>92</v>
      </c>
      <c r="M421" s="41">
        <f>IF(L421&gt;0,INDEX(Fish!$D:$D,MATCH(L421,Fish!$L:$L,0)),"")</f>
        <v>11017</v>
      </c>
      <c r="N421" s="41">
        <v>0</v>
      </c>
      <c r="O421" s="41">
        <v>1</v>
      </c>
      <c r="P421" s="41">
        <v>2</v>
      </c>
      <c r="Q421" s="41">
        <v>3</v>
      </c>
      <c r="R421" s="41" t="s">
        <v>82</v>
      </c>
      <c r="S421" s="41">
        <f>IF(R421&gt;0,INDEX(Fish!$D:$D,MATCH(R421,Fish!$L:$L,0)),"")</f>
        <v>11012</v>
      </c>
      <c r="T421" s="41">
        <v>0</v>
      </c>
      <c r="U421" s="41">
        <v>1</v>
      </c>
      <c r="V421" s="41">
        <v>2</v>
      </c>
      <c r="W421" s="41">
        <v>3</v>
      </c>
      <c r="X421" s="41" t="s">
        <v>86</v>
      </c>
      <c r="Y421" s="41">
        <f>IF(X421&gt;0,INDEX(Fish!$D:$D,MATCH(X421,Fish!$L:$L,0)),"")</f>
        <v>11235</v>
      </c>
      <c r="Z421" s="41">
        <v>0</v>
      </c>
      <c r="AA421" s="41">
        <v>1</v>
      </c>
      <c r="AB421" s="41">
        <v>1</v>
      </c>
      <c r="AC421" s="41">
        <v>2</v>
      </c>
    </row>
    <row r="422" spans="1:35">
      <c r="A422" s="41">
        <v>44415</v>
      </c>
      <c r="B422" s="41">
        <v>2</v>
      </c>
      <c r="C422" s="41">
        <v>0</v>
      </c>
      <c r="D422" s="41">
        <v>2</v>
      </c>
      <c r="E422" s="41">
        <v>1</v>
      </c>
      <c r="F422" s="41" t="s">
        <v>66</v>
      </c>
      <c r="G422" s="41">
        <f>IF(F422&gt;0,INDEX(Fish!$D:$D,MATCH(F422,Fish!$L:$L,0)),"")</f>
        <v>11005</v>
      </c>
      <c r="H422" s="41">
        <v>0</v>
      </c>
      <c r="I422" s="41">
        <v>1</v>
      </c>
      <c r="J422" s="41">
        <v>3</v>
      </c>
      <c r="K422" s="41">
        <v>4</v>
      </c>
      <c r="L422" s="41" t="s">
        <v>92</v>
      </c>
      <c r="M422" s="41">
        <f>IF(L422&gt;0,INDEX(Fish!$D:$D,MATCH(L422,Fish!$L:$L,0)),"")</f>
        <v>11017</v>
      </c>
      <c r="N422" s="41">
        <v>0</v>
      </c>
      <c r="O422" s="41">
        <v>1</v>
      </c>
      <c r="P422" s="41">
        <v>2</v>
      </c>
      <c r="Q422" s="41">
        <v>3</v>
      </c>
      <c r="R422" s="41" t="s">
        <v>88</v>
      </c>
      <c r="S422" s="41">
        <f>IF(R422&gt;0,INDEX(Fish!$D:$D,MATCH(R422,Fish!$L:$L,0)),"")</f>
        <v>11015</v>
      </c>
      <c r="T422" s="41">
        <v>0</v>
      </c>
      <c r="U422" s="41">
        <v>1</v>
      </c>
      <c r="V422" s="41">
        <v>2</v>
      </c>
      <c r="W422" s="41">
        <v>3</v>
      </c>
      <c r="X422" s="41" t="s">
        <v>84</v>
      </c>
      <c r="Y422" s="41">
        <f>IF(X422&gt;0,INDEX(Fish!$D:$D,MATCH(X422,Fish!$L:$L,0)),"")</f>
        <v>11013</v>
      </c>
      <c r="Z422" s="41">
        <v>0</v>
      </c>
      <c r="AA422" s="41">
        <v>1</v>
      </c>
      <c r="AB422" s="41">
        <v>1</v>
      </c>
      <c r="AC422" s="41">
        <v>2</v>
      </c>
    </row>
    <row r="423" spans="1:35">
      <c r="A423" s="41">
        <v>44415</v>
      </c>
      <c r="B423" s="41">
        <v>2</v>
      </c>
      <c r="C423" s="41">
        <v>0</v>
      </c>
      <c r="D423" s="41">
        <v>2</v>
      </c>
      <c r="E423" s="41">
        <v>1</v>
      </c>
      <c r="F423" s="41" t="s">
        <v>66</v>
      </c>
      <c r="G423" s="41">
        <f>IF(F423&gt;0,INDEX(Fish!$D:$D,MATCH(F423,Fish!$L:$L,0)),"")</f>
        <v>11005</v>
      </c>
      <c r="H423" s="41">
        <v>0</v>
      </c>
      <c r="I423" s="41">
        <v>1</v>
      </c>
      <c r="J423" s="41">
        <v>3</v>
      </c>
      <c r="K423" s="41">
        <v>4</v>
      </c>
      <c r="L423" s="41" t="s">
        <v>92</v>
      </c>
      <c r="M423" s="41">
        <f>IF(L423&gt;0,INDEX(Fish!$D:$D,MATCH(L423,Fish!$L:$L,0)),"")</f>
        <v>11017</v>
      </c>
      <c r="N423" s="41">
        <v>0</v>
      </c>
      <c r="O423" s="41">
        <v>1</v>
      </c>
      <c r="P423" s="41">
        <v>2</v>
      </c>
      <c r="Q423" s="41">
        <v>3</v>
      </c>
      <c r="R423" s="41" t="s">
        <v>88</v>
      </c>
      <c r="S423" s="41">
        <f>IF(R423&gt;0,INDEX(Fish!$D:$D,MATCH(R423,Fish!$L:$L,0)),"")</f>
        <v>11015</v>
      </c>
      <c r="T423" s="41">
        <v>0</v>
      </c>
      <c r="U423" s="41">
        <v>1</v>
      </c>
      <c r="V423" s="41">
        <v>2</v>
      </c>
      <c r="W423" s="41">
        <v>3</v>
      </c>
      <c r="X423" s="41" t="s">
        <v>90</v>
      </c>
      <c r="Y423" s="41">
        <f>IF(X423&gt;0,INDEX(Fish!$D:$D,MATCH(X423,Fish!$L:$L,0)),"")</f>
        <v>11016</v>
      </c>
      <c r="Z423" s="41">
        <v>0</v>
      </c>
      <c r="AA423" s="41">
        <v>1</v>
      </c>
      <c r="AB423" s="41">
        <v>1</v>
      </c>
      <c r="AC423" s="41">
        <v>2</v>
      </c>
    </row>
    <row r="424" spans="1:35">
      <c r="A424" s="41">
        <v>44415</v>
      </c>
      <c r="B424" s="41">
        <v>2</v>
      </c>
      <c r="C424" s="41">
        <v>0</v>
      </c>
      <c r="D424" s="41">
        <v>2</v>
      </c>
      <c r="E424" s="41">
        <v>1</v>
      </c>
      <c r="F424" s="41" t="s">
        <v>66</v>
      </c>
      <c r="G424" s="41">
        <f>IF(F424&gt;0,INDEX(Fish!$D:$D,MATCH(F424,Fish!$L:$L,0)),"")</f>
        <v>11005</v>
      </c>
      <c r="H424" s="41">
        <v>0</v>
      </c>
      <c r="I424" s="41">
        <v>1</v>
      </c>
      <c r="J424" s="41">
        <v>3</v>
      </c>
      <c r="K424" s="41">
        <v>4</v>
      </c>
      <c r="L424" s="41" t="s">
        <v>92</v>
      </c>
      <c r="M424" s="41">
        <f>IF(L424&gt;0,INDEX(Fish!$D:$D,MATCH(L424,Fish!$L:$L,0)),"")</f>
        <v>11017</v>
      </c>
      <c r="N424" s="41">
        <v>0</v>
      </c>
      <c r="O424" s="41">
        <v>1</v>
      </c>
      <c r="P424" s="41">
        <v>2</v>
      </c>
      <c r="Q424" s="41">
        <v>3</v>
      </c>
      <c r="R424" s="41" t="s">
        <v>88</v>
      </c>
      <c r="S424" s="41">
        <f>IF(R424&gt;0,INDEX(Fish!$D:$D,MATCH(R424,Fish!$L:$L,0)),"")</f>
        <v>11015</v>
      </c>
      <c r="T424" s="41">
        <v>0</v>
      </c>
      <c r="U424" s="41">
        <v>1</v>
      </c>
      <c r="V424" s="41">
        <v>2</v>
      </c>
      <c r="W424" s="41">
        <v>3</v>
      </c>
      <c r="X424" s="41" t="s">
        <v>86</v>
      </c>
      <c r="Y424" s="41">
        <f>IF(X424&gt;0,INDEX(Fish!$D:$D,MATCH(X424,Fish!$L:$L,0)),"")</f>
        <v>11235</v>
      </c>
      <c r="Z424" s="41">
        <v>0</v>
      </c>
      <c r="AA424" s="41">
        <v>1</v>
      </c>
      <c r="AB424" s="41">
        <v>1</v>
      </c>
      <c r="AC424" s="41">
        <v>2</v>
      </c>
    </row>
    <row r="425" spans="1:35" ht="18.75">
      <c r="A425" s="41">
        <v>44415</v>
      </c>
      <c r="B425" s="41">
        <v>5</v>
      </c>
      <c r="C425" s="41">
        <v>0</v>
      </c>
      <c r="D425" s="41">
        <v>3</v>
      </c>
      <c r="E425" s="41">
        <v>2</v>
      </c>
      <c r="F425" s="45" t="s">
        <v>100</v>
      </c>
      <c r="G425" s="41">
        <f>IF(F425&gt;0,INDEX(Fish!$D:$D,MATCH(F425,Fish!$L:$L,0)),"")</f>
        <v>11025</v>
      </c>
      <c r="H425" s="41">
        <v>40000</v>
      </c>
      <c r="I425" s="41">
        <v>1</v>
      </c>
      <c r="J425" s="41">
        <v>1</v>
      </c>
      <c r="K425" s="41">
        <v>1</v>
      </c>
      <c r="L425" s="45" t="s">
        <v>96</v>
      </c>
      <c r="M425" s="41">
        <f>IF(L425&gt;0,INDEX(Fish!$D:$D,MATCH(L425,Fish!$L:$L,0)),"")</f>
        <v>11024</v>
      </c>
      <c r="N425" s="41">
        <v>30000</v>
      </c>
      <c r="O425" s="41">
        <v>1</v>
      </c>
      <c r="P425" s="41">
        <v>1</v>
      </c>
      <c r="Q425" s="41">
        <v>1</v>
      </c>
      <c r="R425" s="41" t="s">
        <v>102</v>
      </c>
      <c r="S425" s="41">
        <f>IF(R425&gt;0,INDEX(Fish!$D:$D,MATCH(R425,Fish!$L:$L,0)),"")</f>
        <v>11211</v>
      </c>
      <c r="T425" s="41">
        <v>30000</v>
      </c>
      <c r="U425" s="41">
        <v>1</v>
      </c>
      <c r="V425" s="41">
        <v>1</v>
      </c>
      <c r="W425" s="41">
        <v>1</v>
      </c>
    </row>
    <row r="426" spans="1:35">
      <c r="A426" s="41">
        <v>44415</v>
      </c>
      <c r="B426" s="41">
        <v>5</v>
      </c>
      <c r="C426" s="41">
        <v>0</v>
      </c>
      <c r="D426" s="41">
        <v>4</v>
      </c>
      <c r="E426" s="41">
        <v>2</v>
      </c>
      <c r="F426" s="41" t="s">
        <v>350</v>
      </c>
      <c r="G426" s="41">
        <f>IF(F426&gt;0,INDEX(Fish!$D:$D,MATCH(F426,Fish!$L:$L,0)),"")</f>
        <v>11021</v>
      </c>
      <c r="H426" s="41">
        <v>30000</v>
      </c>
      <c r="I426" s="41">
        <v>1</v>
      </c>
      <c r="J426" s="41">
        <v>1</v>
      </c>
      <c r="K426" s="41">
        <v>2</v>
      </c>
      <c r="L426" s="41" t="s">
        <v>348</v>
      </c>
      <c r="M426" s="41">
        <f>IF(L426&gt;0,INDEX(Fish!$D:$D,MATCH(L426,Fish!$L:$L,0)),"")</f>
        <v>11092</v>
      </c>
      <c r="N426" s="41">
        <v>24000</v>
      </c>
      <c r="O426" s="41">
        <v>1</v>
      </c>
      <c r="P426" s="41">
        <v>1</v>
      </c>
      <c r="Q426" s="41">
        <v>2</v>
      </c>
      <c r="R426" s="41" t="s">
        <v>352</v>
      </c>
      <c r="S426" s="41">
        <f>IF(R426&gt;0,INDEX(Fish!$D:$D,MATCH(R426,Fish!$L:$L,0)),"")</f>
        <v>11026</v>
      </c>
      <c r="T426" s="41">
        <v>20000</v>
      </c>
      <c r="U426" s="41">
        <v>1</v>
      </c>
      <c r="V426" s="41">
        <v>1</v>
      </c>
      <c r="W426" s="41">
        <v>2</v>
      </c>
      <c r="X426" s="41" t="s">
        <v>354</v>
      </c>
      <c r="Y426" s="41">
        <f>IF(X426&gt;0,INDEX(Fish!$D:$D,MATCH(X426,Fish!$L:$L,0)),"")</f>
        <v>11027</v>
      </c>
      <c r="Z426" s="41">
        <v>14000</v>
      </c>
      <c r="AA426" s="41">
        <v>1</v>
      </c>
      <c r="AB426" s="41">
        <v>1</v>
      </c>
      <c r="AC426" s="41">
        <v>2</v>
      </c>
      <c r="AD426" s="41" t="s">
        <v>357</v>
      </c>
      <c r="AE426" s="41">
        <f>IF(AD426&gt;0,INDEX(Fish!$D:$D,MATCH(AD426,Fish!$L:$L,0)),"")</f>
        <v>11231</v>
      </c>
      <c r="AF426" s="41">
        <v>12000</v>
      </c>
      <c r="AG426" s="41">
        <v>1</v>
      </c>
      <c r="AH426" s="41">
        <v>1</v>
      </c>
      <c r="AI426" s="41">
        <v>2</v>
      </c>
    </row>
    <row r="427" spans="1:35" ht="18.75">
      <c r="A427" s="41">
        <v>44415</v>
      </c>
      <c r="B427" s="41">
        <v>5</v>
      </c>
      <c r="C427" s="41">
        <v>0</v>
      </c>
      <c r="D427" s="41">
        <v>5</v>
      </c>
      <c r="E427" s="41">
        <v>2</v>
      </c>
      <c r="F427" s="41" t="s">
        <v>120</v>
      </c>
      <c r="G427" s="41">
        <f>IF(F427&gt;0,INDEX(Fish!$D:$D,MATCH(F427,Fish!$L:$L,0)),"")</f>
        <v>14015</v>
      </c>
      <c r="H427" s="41">
        <v>35000</v>
      </c>
      <c r="I427" s="41">
        <v>1</v>
      </c>
      <c r="J427" s="41">
        <v>1</v>
      </c>
      <c r="K427" s="41">
        <v>1</v>
      </c>
      <c r="L427" s="41" t="s">
        <v>124</v>
      </c>
      <c r="M427" s="41">
        <f>IF(L427&gt;0,INDEX(Fish!$D:$D,MATCH(L427,Fish!$L:$L,0)),"")</f>
        <v>14235</v>
      </c>
      <c r="N427" s="41">
        <v>26000</v>
      </c>
      <c r="O427" s="41">
        <v>1</v>
      </c>
      <c r="P427" s="41">
        <v>1</v>
      </c>
      <c r="Q427" s="41">
        <v>1</v>
      </c>
      <c r="R427" s="41" t="s">
        <v>119</v>
      </c>
      <c r="S427" s="41">
        <f>IF(R427&gt;0,INDEX(Fish!$D:$D,MATCH(R427,Fish!$L:$L,0)),"")</f>
        <v>14013</v>
      </c>
      <c r="T427" s="41">
        <v>16000</v>
      </c>
      <c r="U427" s="41">
        <v>1</v>
      </c>
      <c r="V427" s="41">
        <v>1</v>
      </c>
      <c r="W427" s="41">
        <v>1</v>
      </c>
      <c r="X427" s="41" t="s">
        <v>122</v>
      </c>
      <c r="Y427" s="41">
        <f>IF(X427&gt;0,INDEX(Fish!$D:$D,MATCH(X427,Fish!$L:$L,0)),"")</f>
        <v>14024</v>
      </c>
      <c r="Z427" s="41">
        <v>13000</v>
      </c>
      <c r="AA427" s="41">
        <v>1</v>
      </c>
      <c r="AB427" s="41">
        <v>1</v>
      </c>
      <c r="AC427" s="41">
        <v>1</v>
      </c>
      <c r="AD427" s="45" t="s">
        <v>123</v>
      </c>
      <c r="AE427" s="41">
        <f>IF(AD427&gt;0,INDEX(Fish!$D:$D,MATCH(AD427,Fish!$L:$L,0)),"")</f>
        <v>14025</v>
      </c>
      <c r="AF427" s="41">
        <v>10000</v>
      </c>
      <c r="AG427" s="41">
        <v>1</v>
      </c>
      <c r="AH427" s="41">
        <v>1</v>
      </c>
      <c r="AI427" s="41">
        <v>1</v>
      </c>
    </row>
    <row r="428" spans="1:35" ht="18.75">
      <c r="A428" s="41">
        <v>44415</v>
      </c>
      <c r="B428" s="41">
        <v>5</v>
      </c>
      <c r="C428" s="41">
        <v>0</v>
      </c>
      <c r="D428" s="41">
        <v>6</v>
      </c>
      <c r="E428" s="41">
        <v>2</v>
      </c>
      <c r="F428" s="45" t="s">
        <v>316</v>
      </c>
      <c r="G428" s="41">
        <f>IF(F428&gt;0,INDEX(Fish!$D:$D,MATCH(F428,Fish!$L:$L,0)),"")</f>
        <v>75210</v>
      </c>
      <c r="H428" s="41">
        <v>100000</v>
      </c>
      <c r="I428" s="41">
        <v>1</v>
      </c>
      <c r="J428" s="41">
        <v>1</v>
      </c>
      <c r="K428" s="41">
        <v>1</v>
      </c>
    </row>
  </sheetData>
  <phoneticPr fontId="42" type="noConversion"/>
  <conditionalFormatting sqref="AD105">
    <cfRule type="notContainsBlanks" dxfId="77" priority="86">
      <formula>LEN(TRIM(AD105))&gt;0</formula>
    </cfRule>
  </conditionalFormatting>
  <conditionalFormatting sqref="R142">
    <cfRule type="notContainsBlanks" dxfId="76" priority="82">
      <formula>LEN(TRIM(R142))&gt;0</formula>
    </cfRule>
  </conditionalFormatting>
  <conditionalFormatting sqref="X142">
    <cfRule type="notContainsBlanks" dxfId="75" priority="88">
      <formula>LEN(TRIM(X142))&gt;0</formula>
    </cfRule>
  </conditionalFormatting>
  <conditionalFormatting sqref="AD142">
    <cfRule type="notContainsBlanks" dxfId="74" priority="87">
      <formula>LEN(TRIM(AD142))&gt;0</formula>
    </cfRule>
  </conditionalFormatting>
  <conditionalFormatting sqref="P218:Q218">
    <cfRule type="notContainsBlanks" dxfId="73" priority="6">
      <formula>LEN(TRIM(P218))&gt;0</formula>
    </cfRule>
  </conditionalFormatting>
  <conditionalFormatting sqref="V218:W218">
    <cfRule type="notContainsBlanks" dxfId="72" priority="5">
      <formula>LEN(TRIM(V218))&gt;0</formula>
    </cfRule>
  </conditionalFormatting>
  <conditionalFormatting sqref="J241:K241">
    <cfRule type="notContainsBlanks" dxfId="71" priority="4">
      <formula>LEN(TRIM(J241))&gt;0</formula>
    </cfRule>
  </conditionalFormatting>
  <conditionalFormatting sqref="P241:Q241">
    <cfRule type="notContainsBlanks" dxfId="70" priority="3">
      <formula>LEN(TRIM(P241))&gt;0</formula>
    </cfRule>
  </conditionalFormatting>
  <conditionalFormatting sqref="V241:W241">
    <cfRule type="notContainsBlanks" dxfId="69" priority="2">
      <formula>LEN(TRIM(V241))&gt;0</formula>
    </cfRule>
  </conditionalFormatting>
  <conditionalFormatting sqref="AB241:AC241">
    <cfRule type="notContainsBlanks" dxfId="68" priority="1">
      <formula>LEN(TRIM(AB241))&gt;0</formula>
    </cfRule>
  </conditionalFormatting>
  <conditionalFormatting sqref="X352">
    <cfRule type="notContainsBlanks" dxfId="67" priority="93">
      <formula>LEN(TRIM(X352))&gt;0</formula>
    </cfRule>
  </conditionalFormatting>
  <conditionalFormatting sqref="AD352">
    <cfRule type="notContainsBlanks" dxfId="66" priority="92">
      <formula>LEN(TRIM(AD352))&gt;0</formula>
    </cfRule>
  </conditionalFormatting>
  <conditionalFormatting sqref="R389">
    <cfRule type="notContainsBlanks" dxfId="65" priority="98">
      <formula>LEN(TRIM(R389))&gt;0</formula>
    </cfRule>
  </conditionalFormatting>
  <conditionalFormatting sqref="X389">
    <cfRule type="notContainsBlanks" dxfId="64" priority="95">
      <formula>LEN(TRIM(X389))&gt;0</formula>
    </cfRule>
  </conditionalFormatting>
  <conditionalFormatting sqref="AD389">
    <cfRule type="notContainsBlanks" dxfId="63" priority="94">
      <formula>LEN(TRIM(AD389))&gt;0</formula>
    </cfRule>
  </conditionalFormatting>
  <conditionalFormatting sqref="R426">
    <cfRule type="notContainsBlanks" dxfId="62" priority="97">
      <formula>LEN(TRIM(R426))&gt;0</formula>
    </cfRule>
  </conditionalFormatting>
  <conditionalFormatting sqref="AD427">
    <cfRule type="notContainsBlanks" dxfId="61" priority="96">
      <formula>LEN(TRIM(AD427))&gt;0</formula>
    </cfRule>
  </conditionalFormatting>
  <conditionalFormatting sqref="C27:C30">
    <cfRule type="notContainsBlanks" dxfId="60" priority="56">
      <formula>LEN(TRIM(C27))&gt;0</formula>
    </cfRule>
  </conditionalFormatting>
  <conditionalFormatting sqref="C66:C71">
    <cfRule type="notContainsBlanks" dxfId="59" priority="55">
      <formula>LEN(TRIM(C66))&gt;0</formula>
    </cfRule>
  </conditionalFormatting>
  <conditionalFormatting sqref="C107:C116">
    <cfRule type="notContainsBlanks" dxfId="58" priority="53">
      <formula>LEN(TRIM(C107))&gt;0</formula>
    </cfRule>
    <cfRule type="notContainsBlanks" dxfId="57" priority="54">
      <formula>LEN(TRIM(C107))&gt;0</formula>
    </cfRule>
  </conditionalFormatting>
  <conditionalFormatting sqref="C144:C153">
    <cfRule type="notContainsBlanks" dxfId="56" priority="50">
      <formula>LEN(TRIM(C144))&gt;0</formula>
    </cfRule>
    <cfRule type="notContainsBlanks" dxfId="55" priority="51">
      <formula>LEN(TRIM(C144))&gt;0</formula>
    </cfRule>
    <cfRule type="notContainsBlanks" dxfId="54" priority="52">
      <formula>LEN(TRIM(C144))&gt;0</formula>
    </cfRule>
  </conditionalFormatting>
  <conditionalFormatting sqref="C181:C184">
    <cfRule type="notContainsBlanks" dxfId="53" priority="46">
      <formula>LEN(TRIM(C181))&gt;0</formula>
    </cfRule>
    <cfRule type="notContainsBlanks" dxfId="52" priority="47">
      <formula>LEN(TRIM(C181))&gt;0</formula>
    </cfRule>
    <cfRule type="notContainsBlanks" dxfId="51" priority="48">
      <formula>LEN(TRIM(C181))&gt;0</formula>
    </cfRule>
    <cfRule type="notContainsBlanks" dxfId="50" priority="49">
      <formula>LEN(TRIM(C181))&gt;0</formula>
    </cfRule>
  </conditionalFormatting>
  <conditionalFormatting sqref="C247:C250">
    <cfRule type="notContainsBlanks" dxfId="49" priority="42">
      <formula>LEN(TRIM(C247))&gt;0</formula>
    </cfRule>
    <cfRule type="notContainsBlanks" dxfId="48" priority="43">
      <formula>LEN(TRIM(C247))&gt;0</formula>
    </cfRule>
    <cfRule type="notContainsBlanks" dxfId="47" priority="44">
      <formula>LEN(TRIM(C247))&gt;0</formula>
    </cfRule>
    <cfRule type="notContainsBlanks" dxfId="46" priority="45">
      <formula>LEN(TRIM(C247))&gt;0</formula>
    </cfRule>
  </conditionalFormatting>
  <conditionalFormatting sqref="C274:C277">
    <cfRule type="notContainsBlanks" dxfId="45" priority="38">
      <formula>LEN(TRIM(C274))&gt;0</formula>
    </cfRule>
    <cfRule type="notContainsBlanks" dxfId="44" priority="39">
      <formula>LEN(TRIM(C274))&gt;0</formula>
    </cfRule>
    <cfRule type="notContainsBlanks" dxfId="43" priority="40">
      <formula>LEN(TRIM(C274))&gt;0</formula>
    </cfRule>
    <cfRule type="notContainsBlanks" dxfId="42" priority="41">
      <formula>LEN(TRIM(C274))&gt;0</formula>
    </cfRule>
  </conditionalFormatting>
  <conditionalFormatting sqref="C278:C312">
    <cfRule type="notContainsBlanks" dxfId="41" priority="66">
      <formula>LEN(TRIM(C278))&gt;0</formula>
    </cfRule>
  </conditionalFormatting>
  <conditionalFormatting sqref="C313:C318">
    <cfRule type="notContainsBlanks" dxfId="40" priority="34">
      <formula>LEN(TRIM(C313))&gt;0</formula>
    </cfRule>
    <cfRule type="notContainsBlanks" dxfId="39" priority="35">
      <formula>LEN(TRIM(C313))&gt;0</formula>
    </cfRule>
    <cfRule type="notContainsBlanks" dxfId="38" priority="36">
      <formula>LEN(TRIM(C313))&gt;0</formula>
    </cfRule>
    <cfRule type="notContainsBlanks" dxfId="37" priority="37">
      <formula>LEN(TRIM(C313))&gt;0</formula>
    </cfRule>
  </conditionalFormatting>
  <conditionalFormatting sqref="C319:C353">
    <cfRule type="notContainsBlanks" dxfId="36" priority="64">
      <formula>LEN(TRIM(C319))&gt;0</formula>
    </cfRule>
    <cfRule type="notContainsBlanks" dxfId="35" priority="65">
      <formula>LEN(TRIM(C319))&gt;0</formula>
    </cfRule>
  </conditionalFormatting>
  <conditionalFormatting sqref="C354:C363">
    <cfRule type="notContainsBlanks" dxfId="34" priority="29">
      <formula>LEN(TRIM(C354))&gt;0</formula>
    </cfRule>
    <cfRule type="notContainsBlanks" dxfId="33" priority="30">
      <formula>LEN(TRIM(C354))&gt;0</formula>
    </cfRule>
    <cfRule type="notContainsBlanks" dxfId="32" priority="31">
      <formula>LEN(TRIM(C354))&gt;0</formula>
    </cfRule>
    <cfRule type="notContainsBlanks" dxfId="31" priority="32">
      <formula>LEN(TRIM(C354))&gt;0</formula>
    </cfRule>
    <cfRule type="notContainsBlanks" dxfId="30" priority="33">
      <formula>LEN(TRIM(C354))&gt;0</formula>
    </cfRule>
  </conditionalFormatting>
  <conditionalFormatting sqref="C364:C390">
    <cfRule type="notContainsBlanks" dxfId="29" priority="61">
      <formula>LEN(TRIM(C364))&gt;0</formula>
    </cfRule>
    <cfRule type="notContainsBlanks" dxfId="28" priority="62">
      <formula>LEN(TRIM(C364))&gt;0</formula>
    </cfRule>
    <cfRule type="notContainsBlanks" dxfId="27" priority="63">
      <formula>LEN(TRIM(C364))&gt;0</formula>
    </cfRule>
  </conditionalFormatting>
  <conditionalFormatting sqref="C391:C400">
    <cfRule type="notContainsBlanks" dxfId="26" priority="23">
      <formula>LEN(TRIM(C391))&gt;0</formula>
    </cfRule>
    <cfRule type="notContainsBlanks" dxfId="25" priority="24">
      <formula>LEN(TRIM(C391))&gt;0</formula>
    </cfRule>
    <cfRule type="notContainsBlanks" dxfId="24" priority="25">
      <formula>LEN(TRIM(C391))&gt;0</formula>
    </cfRule>
    <cfRule type="notContainsBlanks" dxfId="23" priority="26">
      <formula>LEN(TRIM(C391))&gt;0</formula>
    </cfRule>
    <cfRule type="notContainsBlanks" dxfId="22" priority="27">
      <formula>LEN(TRIM(C391))&gt;0</formula>
    </cfRule>
    <cfRule type="notContainsBlanks" dxfId="21" priority="28">
      <formula>LEN(TRIM(C391))&gt;0</formula>
    </cfRule>
  </conditionalFormatting>
  <conditionalFormatting sqref="C401:C427">
    <cfRule type="notContainsBlanks" dxfId="20" priority="57">
      <formula>LEN(TRIM(C401))&gt;0</formula>
    </cfRule>
    <cfRule type="notContainsBlanks" dxfId="19" priority="58">
      <formula>LEN(TRIM(C401))&gt;0</formula>
    </cfRule>
    <cfRule type="notContainsBlanks" dxfId="18" priority="59">
      <formula>LEN(TRIM(C401))&gt;0</formula>
    </cfRule>
    <cfRule type="notContainsBlanks" dxfId="17" priority="60">
      <formula>LEN(TRIM(C401))&gt;0</formula>
    </cfRule>
  </conditionalFormatting>
  <conditionalFormatting sqref="X31:X43">
    <cfRule type="notContainsBlanks" dxfId="16" priority="84">
      <formula>LEN(TRIM(X31))&gt;0</formula>
    </cfRule>
  </conditionalFormatting>
  <conditionalFormatting sqref="X278:X290">
    <cfRule type="notContainsBlanks" dxfId="15" priority="91">
      <formula>LEN(TRIM(X278))&gt;0</formula>
    </cfRule>
  </conditionalFormatting>
  <conditionalFormatting sqref="AD31:AD43">
    <cfRule type="notContainsBlanks" dxfId="14" priority="83">
      <formula>LEN(TRIM(AD31))&gt;0</formula>
    </cfRule>
  </conditionalFormatting>
  <conditionalFormatting sqref="AD278:AD290">
    <cfRule type="notContainsBlanks" dxfId="13" priority="90">
      <formula>LEN(TRIM(AD278))&gt;0</formula>
    </cfRule>
  </conditionalFormatting>
  <conditionalFormatting sqref="L217 A244:A246 AD217:AG217 AD219:AG219 X219:AA219 R218:U219 X217:AA217 C185:C219 AD205:AI206 AD201:AI202 AD189:AI190 AD186:AI186 J186:L216 A1:XFD3 A243:C243 F181:F219 H181:K217 N186:AC216 N217:O219 L181:L185 N181:AI185 H218:L219">
    <cfRule type="notContainsBlanks" dxfId="12" priority="99">
      <formula>LEN(TRIM(A1))&gt;0</formula>
    </cfRule>
  </conditionalFormatting>
  <conditionalFormatting sqref="AJ4:XFD219 A4:B219 D4:E219 C4:C180 F4:AI180 A247:C1048576 D243:XFD1048576 G181:G242 M181:M242 A220:F242 H224:L240 N224:XFD240">
    <cfRule type="notContainsBlanks" dxfId="11" priority="85">
      <formula>LEN(TRIM(A4))&gt;0</formula>
    </cfRule>
  </conditionalFormatting>
  <conditionalFormatting sqref="AD180:AD186 R218 X207:X216 AD219 AD217 X203:X204 AD205:AD206 AD201:AD202 X191:X200 X187:X188 AD189:AD190">
    <cfRule type="notContainsBlanks" dxfId="10" priority="89">
      <formula>LEN(TRIM(R180))&gt;0</formula>
    </cfRule>
  </conditionalFormatting>
  <conditionalFormatting sqref="P217:Q217 P219:Q219">
    <cfRule type="notContainsBlanks" dxfId="9" priority="81">
      <formula>LEN(TRIM(P217))&gt;0</formula>
    </cfRule>
  </conditionalFormatting>
  <conditionalFormatting sqref="V217:W217 V219:W219">
    <cfRule type="notContainsBlanks" dxfId="8" priority="80">
      <formula>LEN(TRIM(V217))&gt;0</formula>
    </cfRule>
  </conditionalFormatting>
  <conditionalFormatting sqref="AB217:AC219">
    <cfRule type="notContainsBlanks" dxfId="7" priority="79">
      <formula>LEN(TRIM(AB217))&gt;0</formula>
    </cfRule>
  </conditionalFormatting>
  <conditionalFormatting sqref="AH217:AI219">
    <cfRule type="notContainsBlanks" dxfId="6" priority="78">
      <formula>LEN(TRIM(AH217))&gt;0</formula>
    </cfRule>
  </conditionalFormatting>
  <conditionalFormatting sqref="L220:L223 R220:XFD223 H220:I223 N220:O223 H242:L242 H241:I241 L241 N242:XFD242 N241:O241 AD241:XFD241 X241:AA241 R241:U241">
    <cfRule type="notContainsBlanks" dxfId="5" priority="21">
      <formula>LEN(TRIM(H220))&gt;0</formula>
    </cfRule>
  </conditionalFormatting>
  <conditionalFormatting sqref="J220:K223">
    <cfRule type="notContainsBlanks" dxfId="4" priority="20">
      <formula>LEN(TRIM(J220))&gt;0</formula>
    </cfRule>
  </conditionalFormatting>
  <conditionalFormatting sqref="P220:Q223">
    <cfRule type="notContainsBlanks" dxfId="3" priority="19">
      <formula>LEN(TRIM(P220))&gt;0</formula>
    </cfRule>
  </conditionalFormatting>
  <conditionalFormatting sqref="B244:C246">
    <cfRule type="notContainsBlanks" dxfId="2" priority="77">
      <formula>LEN(TRIM(B244))&gt;0</formula>
    </cfRule>
  </conditionalFormatting>
  <pageMargins left="0.75" right="0.75" top="1" bottom="1" header="0.51180555555555596" footer="0.51180555555555596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K45"/>
  <sheetViews>
    <sheetView workbookViewId="0">
      <selection activeCell="G10" sqref="G10"/>
    </sheetView>
  </sheetViews>
  <sheetFormatPr defaultColWidth="8.796875" defaultRowHeight="15"/>
  <cols>
    <col min="1" max="1" width="23.69921875" customWidth="1"/>
    <col min="3" max="3" width="11.09765625"/>
    <col min="4" max="4" width="18.296875" customWidth="1"/>
    <col min="5" max="6" width="11.09765625"/>
    <col min="7" max="7" width="38.59765625" customWidth="1"/>
    <col min="11" max="11" width="13.296875" customWidth="1"/>
  </cols>
  <sheetData>
    <row r="1" spans="1:11">
      <c r="A1" s="39" t="s">
        <v>1119</v>
      </c>
      <c r="B1" s="39" t="s">
        <v>1120</v>
      </c>
      <c r="C1" s="39" t="s">
        <v>1121</v>
      </c>
      <c r="D1" s="39" t="s">
        <v>1122</v>
      </c>
      <c r="E1" s="39" t="s">
        <v>1123</v>
      </c>
      <c r="F1" s="39" t="s">
        <v>1124</v>
      </c>
      <c r="G1" s="39" t="s">
        <v>35</v>
      </c>
      <c r="H1" s="39" t="s">
        <v>1125</v>
      </c>
      <c r="I1" s="39" t="s">
        <v>1126</v>
      </c>
      <c r="J1" s="39" t="s">
        <v>26</v>
      </c>
      <c r="K1" s="39" t="s">
        <v>1127</v>
      </c>
    </row>
    <row r="2" spans="1:11">
      <c r="A2" s="39" t="s">
        <v>40</v>
      </c>
      <c r="B2" s="39" t="s">
        <v>39</v>
      </c>
      <c r="C2" s="39" t="s">
        <v>39</v>
      </c>
      <c r="D2" s="39" t="s">
        <v>39</v>
      </c>
      <c r="E2" s="39" t="s">
        <v>39</v>
      </c>
      <c r="F2" s="39" t="s">
        <v>39</v>
      </c>
      <c r="G2" s="40" t="s">
        <v>40</v>
      </c>
      <c r="H2" s="39" t="s">
        <v>39</v>
      </c>
      <c r="I2" s="39" t="s">
        <v>39</v>
      </c>
      <c r="J2" s="39" t="s">
        <v>39</v>
      </c>
      <c r="K2" s="39" t="s">
        <v>39</v>
      </c>
    </row>
    <row r="3" spans="1:11">
      <c r="A3" s="39" t="s">
        <v>1128</v>
      </c>
      <c r="B3" s="39" t="s">
        <v>1129</v>
      </c>
      <c r="C3" s="39" t="s">
        <v>1130</v>
      </c>
      <c r="D3" s="39" t="s">
        <v>1131</v>
      </c>
      <c r="E3" s="39" t="s">
        <v>1131</v>
      </c>
      <c r="F3" s="40" t="s">
        <v>1132</v>
      </c>
      <c r="G3" s="40" t="s">
        <v>1133</v>
      </c>
      <c r="H3" s="39" t="s">
        <v>1134</v>
      </c>
      <c r="I3" s="39" t="s">
        <v>1135</v>
      </c>
      <c r="J3" s="39" t="s">
        <v>1136</v>
      </c>
      <c r="K3" s="39" t="s">
        <v>1135</v>
      </c>
    </row>
    <row r="4" spans="1:11">
      <c r="A4" s="39" t="s">
        <v>1137</v>
      </c>
      <c r="B4" s="39">
        <v>64301</v>
      </c>
      <c r="C4" s="39">
        <v>2</v>
      </c>
      <c r="D4" s="39">
        <v>4</v>
      </c>
      <c r="E4" s="39">
        <v>60</v>
      </c>
      <c r="F4" s="39">
        <v>1</v>
      </c>
      <c r="G4" s="40" t="s">
        <v>1138</v>
      </c>
      <c r="H4" s="39">
        <v>11021</v>
      </c>
      <c r="I4" s="39">
        <v>1</v>
      </c>
      <c r="J4" s="39">
        <v>101</v>
      </c>
      <c r="K4" s="39">
        <v>100</v>
      </c>
    </row>
    <row r="5" spans="1:11">
      <c r="A5" s="39" t="s">
        <v>1139</v>
      </c>
      <c r="B5" s="39">
        <v>64302</v>
      </c>
      <c r="C5" s="39">
        <v>2</v>
      </c>
      <c r="D5" s="39">
        <v>4</v>
      </c>
      <c r="E5" s="39">
        <v>60</v>
      </c>
      <c r="F5" s="39">
        <v>1</v>
      </c>
      <c r="G5" s="40" t="s">
        <v>1138</v>
      </c>
      <c r="H5" s="39">
        <v>11024</v>
      </c>
      <c r="I5" s="39">
        <v>2</v>
      </c>
      <c r="J5" s="39">
        <v>101</v>
      </c>
      <c r="K5" s="39">
        <v>100</v>
      </c>
    </row>
    <row r="6" spans="1:11">
      <c r="A6" s="39" t="s">
        <v>1140</v>
      </c>
      <c r="B6" s="39">
        <v>64303</v>
      </c>
      <c r="C6" s="39">
        <v>2</v>
      </c>
      <c r="D6" s="39">
        <v>4</v>
      </c>
      <c r="E6" s="39">
        <v>60</v>
      </c>
      <c r="F6" s="39">
        <v>2</v>
      </c>
      <c r="G6" s="40" t="s">
        <v>1141</v>
      </c>
      <c r="H6" s="39"/>
      <c r="I6" s="39">
        <v>30</v>
      </c>
      <c r="J6" s="39">
        <v>101</v>
      </c>
      <c r="K6" s="39">
        <v>100</v>
      </c>
    </row>
    <row r="7" spans="1:11">
      <c r="A7" s="39" t="s">
        <v>1142</v>
      </c>
      <c r="B7" s="39">
        <v>64304</v>
      </c>
      <c r="C7" s="39">
        <v>2</v>
      </c>
      <c r="D7" s="39">
        <v>4</v>
      </c>
      <c r="E7" s="39">
        <v>60</v>
      </c>
      <c r="F7" s="39">
        <v>3</v>
      </c>
      <c r="G7" s="40" t="s">
        <v>1143</v>
      </c>
      <c r="H7" s="39"/>
      <c r="I7" s="39">
        <v>180</v>
      </c>
      <c r="J7" s="39">
        <v>101</v>
      </c>
      <c r="K7" s="39">
        <v>100</v>
      </c>
    </row>
    <row r="8" spans="1:11">
      <c r="A8" s="39" t="s">
        <v>1144</v>
      </c>
      <c r="B8" s="39">
        <v>64305</v>
      </c>
      <c r="C8" s="39">
        <v>2</v>
      </c>
      <c r="D8" s="39">
        <v>4</v>
      </c>
      <c r="E8" s="39">
        <v>60</v>
      </c>
      <c r="F8" s="39">
        <v>2</v>
      </c>
      <c r="G8" s="40" t="s">
        <v>1141</v>
      </c>
      <c r="H8" s="39"/>
      <c r="I8" s="39">
        <v>30</v>
      </c>
      <c r="J8" s="39">
        <v>101</v>
      </c>
      <c r="K8" s="39">
        <v>100</v>
      </c>
    </row>
    <row r="9" spans="1:11">
      <c r="A9" s="39" t="s">
        <v>1145</v>
      </c>
      <c r="B9" s="39">
        <v>64306</v>
      </c>
      <c r="C9" s="39">
        <v>2</v>
      </c>
      <c r="D9" s="39">
        <v>4</v>
      </c>
      <c r="E9" s="39">
        <v>60</v>
      </c>
      <c r="F9" s="39">
        <v>1</v>
      </c>
      <c r="G9" s="40" t="s">
        <v>1138</v>
      </c>
      <c r="H9" s="39">
        <v>11021</v>
      </c>
      <c r="I9" s="39">
        <v>1</v>
      </c>
      <c r="J9" s="39">
        <v>101</v>
      </c>
      <c r="K9" s="39">
        <v>100</v>
      </c>
    </row>
    <row r="10" spans="1:11">
      <c r="A10" s="39" t="s">
        <v>1146</v>
      </c>
      <c r="B10" s="39">
        <v>64307</v>
      </c>
      <c r="C10" s="39">
        <v>2</v>
      </c>
      <c r="D10" s="39">
        <v>4</v>
      </c>
      <c r="E10" s="39">
        <v>60</v>
      </c>
      <c r="F10" s="39">
        <v>2</v>
      </c>
      <c r="G10" s="40" t="s">
        <v>1141</v>
      </c>
      <c r="H10" s="39"/>
      <c r="I10" s="39">
        <v>30</v>
      </c>
      <c r="J10" s="39">
        <v>101</v>
      </c>
      <c r="K10" s="39">
        <v>100</v>
      </c>
    </row>
    <row r="11" spans="1:11">
      <c r="A11" s="39" t="s">
        <v>1147</v>
      </c>
      <c r="B11" s="39">
        <v>64308</v>
      </c>
      <c r="C11" s="39">
        <v>2</v>
      </c>
      <c r="D11" s="39">
        <v>4</v>
      </c>
      <c r="E11" s="39">
        <v>60</v>
      </c>
      <c r="F11" s="39">
        <v>1</v>
      </c>
      <c r="G11" s="40" t="s">
        <v>1138</v>
      </c>
      <c r="H11" s="39">
        <v>60118</v>
      </c>
      <c r="I11" s="39">
        <v>1</v>
      </c>
      <c r="J11" s="39">
        <v>101</v>
      </c>
      <c r="K11" s="39">
        <v>100</v>
      </c>
    </row>
    <row r="12" spans="1:11">
      <c r="A12" s="39" t="s">
        <v>1148</v>
      </c>
      <c r="B12" s="39">
        <v>64401</v>
      </c>
      <c r="C12" s="39">
        <v>2</v>
      </c>
      <c r="D12" s="39">
        <v>4</v>
      </c>
      <c r="E12" s="39">
        <v>60</v>
      </c>
      <c r="F12" s="39">
        <v>1</v>
      </c>
      <c r="G12" s="40" t="s">
        <v>1138</v>
      </c>
      <c r="H12" s="39">
        <v>11021</v>
      </c>
      <c r="I12" s="39">
        <v>1</v>
      </c>
      <c r="J12" s="39">
        <v>101</v>
      </c>
      <c r="K12" s="39">
        <v>100</v>
      </c>
    </row>
    <row r="13" spans="1:11">
      <c r="A13" s="39" t="s">
        <v>1149</v>
      </c>
      <c r="B13" s="39">
        <v>64402</v>
      </c>
      <c r="C13" s="39">
        <v>2</v>
      </c>
      <c r="D13" s="39">
        <v>4</v>
      </c>
      <c r="E13" s="39">
        <v>60</v>
      </c>
      <c r="F13" s="39">
        <v>1</v>
      </c>
      <c r="G13" s="40" t="s">
        <v>1138</v>
      </c>
      <c r="H13" s="39">
        <v>11024</v>
      </c>
      <c r="I13" s="39">
        <v>2</v>
      </c>
      <c r="J13" s="39">
        <v>101</v>
      </c>
      <c r="K13" s="39">
        <v>100</v>
      </c>
    </row>
    <row r="14" spans="1:11">
      <c r="A14" s="39" t="s">
        <v>1150</v>
      </c>
      <c r="B14" s="39">
        <v>64403</v>
      </c>
      <c r="C14" s="39">
        <v>2</v>
      </c>
      <c r="D14" s="39">
        <v>4</v>
      </c>
      <c r="E14" s="39">
        <v>60</v>
      </c>
      <c r="F14" s="39">
        <v>2</v>
      </c>
      <c r="G14" s="40" t="s">
        <v>1141</v>
      </c>
      <c r="H14" s="39"/>
      <c r="I14" s="39">
        <v>30</v>
      </c>
      <c r="J14" s="39">
        <v>101</v>
      </c>
      <c r="K14" s="39">
        <v>100</v>
      </c>
    </row>
    <row r="15" spans="1:11">
      <c r="A15" s="39" t="s">
        <v>1151</v>
      </c>
      <c r="B15" s="39">
        <v>64404</v>
      </c>
      <c r="C15" s="39">
        <v>2</v>
      </c>
      <c r="D15" s="39">
        <v>4</v>
      </c>
      <c r="E15" s="39">
        <v>60</v>
      </c>
      <c r="F15" s="39">
        <v>3</v>
      </c>
      <c r="G15" s="40" t="s">
        <v>1143</v>
      </c>
      <c r="H15" s="39"/>
      <c r="I15" s="39">
        <v>200</v>
      </c>
      <c r="J15" s="39">
        <v>101</v>
      </c>
      <c r="K15" s="39">
        <v>100</v>
      </c>
    </row>
    <row r="16" spans="1:11">
      <c r="A16" s="39" t="s">
        <v>1152</v>
      </c>
      <c r="B16" s="39">
        <v>64405</v>
      </c>
      <c r="C16" s="39">
        <v>2</v>
      </c>
      <c r="D16" s="39">
        <v>4</v>
      </c>
      <c r="E16" s="39">
        <v>60</v>
      </c>
      <c r="F16" s="39">
        <v>2</v>
      </c>
      <c r="G16" s="40" t="s">
        <v>1141</v>
      </c>
      <c r="H16" s="39"/>
      <c r="I16" s="39">
        <v>32</v>
      </c>
      <c r="J16" s="39">
        <v>101</v>
      </c>
      <c r="K16" s="39">
        <v>100</v>
      </c>
    </row>
    <row r="17" spans="1:11">
      <c r="A17" s="39" t="s">
        <v>1153</v>
      </c>
      <c r="B17" s="39">
        <v>64406</v>
      </c>
      <c r="C17" s="39">
        <v>2</v>
      </c>
      <c r="D17" s="39">
        <v>4</v>
      </c>
      <c r="E17" s="39">
        <v>60</v>
      </c>
      <c r="F17" s="39">
        <v>1</v>
      </c>
      <c r="G17" s="40" t="s">
        <v>1138</v>
      </c>
      <c r="H17" s="39">
        <v>11021</v>
      </c>
      <c r="I17" s="39">
        <v>1</v>
      </c>
      <c r="J17" s="39">
        <v>101</v>
      </c>
      <c r="K17" s="39">
        <v>100</v>
      </c>
    </row>
    <row r="18" spans="1:11">
      <c r="A18" s="39" t="s">
        <v>1154</v>
      </c>
      <c r="B18" s="39">
        <v>64407</v>
      </c>
      <c r="C18" s="39">
        <v>2</v>
      </c>
      <c r="D18" s="39">
        <v>4</v>
      </c>
      <c r="E18" s="39">
        <v>60</v>
      </c>
      <c r="F18" s="39">
        <v>2</v>
      </c>
      <c r="G18" s="40" t="s">
        <v>1141</v>
      </c>
      <c r="H18" s="39"/>
      <c r="I18" s="39">
        <v>32</v>
      </c>
      <c r="J18" s="39">
        <v>101</v>
      </c>
      <c r="K18" s="39">
        <v>100</v>
      </c>
    </row>
    <row r="19" spans="1:11">
      <c r="A19" s="39" t="s">
        <v>1155</v>
      </c>
      <c r="B19" s="39">
        <v>64408</v>
      </c>
      <c r="C19" s="39">
        <v>2</v>
      </c>
      <c r="D19" s="39">
        <v>4</v>
      </c>
      <c r="E19" s="39">
        <v>60</v>
      </c>
      <c r="F19" s="39">
        <v>1</v>
      </c>
      <c r="G19" s="40" t="s">
        <v>1138</v>
      </c>
      <c r="H19" s="39">
        <v>60118</v>
      </c>
      <c r="I19" s="39">
        <v>1</v>
      </c>
      <c r="J19" s="39">
        <v>101</v>
      </c>
      <c r="K19" s="39">
        <v>100</v>
      </c>
    </row>
    <row r="20" spans="1:11">
      <c r="A20" s="39" t="s">
        <v>1156</v>
      </c>
      <c r="B20" s="39">
        <v>64501</v>
      </c>
      <c r="C20" s="39">
        <v>2</v>
      </c>
      <c r="D20" s="39">
        <v>4</v>
      </c>
      <c r="E20" s="39">
        <v>60</v>
      </c>
      <c r="F20" s="39">
        <v>1</v>
      </c>
      <c r="G20" s="40" t="s">
        <v>1138</v>
      </c>
      <c r="H20" s="39">
        <v>11026</v>
      </c>
      <c r="I20" s="39">
        <v>1</v>
      </c>
      <c r="J20" s="39">
        <v>101</v>
      </c>
      <c r="K20" s="39">
        <v>100</v>
      </c>
    </row>
    <row r="21" spans="1:11">
      <c r="A21" s="39" t="s">
        <v>1157</v>
      </c>
      <c r="B21" s="39">
        <v>64502</v>
      </c>
      <c r="C21" s="39">
        <v>2</v>
      </c>
      <c r="D21" s="39">
        <v>4</v>
      </c>
      <c r="E21" s="39">
        <v>60</v>
      </c>
      <c r="F21" s="39">
        <v>1</v>
      </c>
      <c r="G21" s="40" t="s">
        <v>1138</v>
      </c>
      <c r="H21" s="39">
        <v>11021</v>
      </c>
      <c r="I21" s="39">
        <v>2</v>
      </c>
      <c r="J21" s="39">
        <v>101</v>
      </c>
      <c r="K21" s="39">
        <v>100</v>
      </c>
    </row>
    <row r="22" spans="1:11">
      <c r="A22" s="39" t="s">
        <v>1158</v>
      </c>
      <c r="B22" s="39">
        <v>64503</v>
      </c>
      <c r="C22" s="39">
        <v>2</v>
      </c>
      <c r="D22" s="39">
        <v>4</v>
      </c>
      <c r="E22" s="39">
        <v>60</v>
      </c>
      <c r="F22" s="39">
        <v>2</v>
      </c>
      <c r="G22" s="40" t="s">
        <v>1141</v>
      </c>
      <c r="H22" s="39"/>
      <c r="I22" s="39">
        <v>30</v>
      </c>
      <c r="J22" s="39">
        <v>101</v>
      </c>
      <c r="K22" s="39">
        <v>100</v>
      </c>
    </row>
    <row r="23" spans="1:11">
      <c r="A23" s="39" t="s">
        <v>1159</v>
      </c>
      <c r="B23" s="39">
        <v>64504</v>
      </c>
      <c r="C23" s="39">
        <v>2</v>
      </c>
      <c r="D23" s="39">
        <v>4</v>
      </c>
      <c r="E23" s="39">
        <v>60</v>
      </c>
      <c r="F23" s="39">
        <v>3</v>
      </c>
      <c r="G23" s="40" t="s">
        <v>1143</v>
      </c>
      <c r="H23" s="39"/>
      <c r="I23" s="39">
        <v>300</v>
      </c>
      <c r="J23" s="39">
        <v>101</v>
      </c>
      <c r="K23" s="39">
        <v>100</v>
      </c>
    </row>
    <row r="24" spans="1:11">
      <c r="A24" s="39" t="s">
        <v>1160</v>
      </c>
      <c r="B24" s="39">
        <v>64505</v>
      </c>
      <c r="C24" s="39">
        <v>2</v>
      </c>
      <c r="D24" s="39">
        <v>4</v>
      </c>
      <c r="E24" s="39">
        <v>60</v>
      </c>
      <c r="F24" s="39">
        <v>2</v>
      </c>
      <c r="G24" s="40" t="s">
        <v>1141</v>
      </c>
      <c r="H24" s="39"/>
      <c r="I24" s="39">
        <v>36</v>
      </c>
      <c r="J24" s="39">
        <v>101</v>
      </c>
      <c r="K24" s="39">
        <v>100</v>
      </c>
    </row>
    <row r="25" spans="1:11">
      <c r="A25" s="39" t="s">
        <v>1161</v>
      </c>
      <c r="B25" s="39">
        <v>64506</v>
      </c>
      <c r="C25" s="39">
        <v>2</v>
      </c>
      <c r="D25" s="39">
        <v>4</v>
      </c>
      <c r="E25" s="39">
        <v>60</v>
      </c>
      <c r="F25" s="39">
        <v>1</v>
      </c>
      <c r="G25" s="40" t="s">
        <v>1138</v>
      </c>
      <c r="H25" s="39">
        <v>11026</v>
      </c>
      <c r="I25" s="39">
        <v>2</v>
      </c>
      <c r="J25" s="39">
        <v>101</v>
      </c>
      <c r="K25" s="39">
        <v>100</v>
      </c>
    </row>
    <row r="26" spans="1:11">
      <c r="A26" s="39" t="s">
        <v>1162</v>
      </c>
      <c r="B26" s="39">
        <v>64507</v>
      </c>
      <c r="C26" s="39">
        <v>2</v>
      </c>
      <c r="D26" s="39">
        <v>4</v>
      </c>
      <c r="E26" s="39">
        <v>60</v>
      </c>
      <c r="F26" s="39">
        <v>2</v>
      </c>
      <c r="G26" s="40" t="s">
        <v>1141</v>
      </c>
      <c r="H26" s="39"/>
      <c r="I26" s="39">
        <v>36</v>
      </c>
      <c r="J26" s="39">
        <v>101</v>
      </c>
      <c r="K26" s="39">
        <v>100</v>
      </c>
    </row>
    <row r="27" spans="1:11">
      <c r="A27" s="39" t="s">
        <v>1163</v>
      </c>
      <c r="B27" s="39">
        <v>64508</v>
      </c>
      <c r="C27" s="39">
        <v>2</v>
      </c>
      <c r="D27" s="39">
        <v>4</v>
      </c>
      <c r="E27" s="39">
        <v>60</v>
      </c>
      <c r="F27" s="39">
        <v>1</v>
      </c>
      <c r="G27" s="40" t="s">
        <v>1138</v>
      </c>
      <c r="H27" s="39">
        <v>60118</v>
      </c>
      <c r="I27" s="39">
        <v>1</v>
      </c>
      <c r="J27" s="39">
        <v>101</v>
      </c>
      <c r="K27" s="39">
        <v>100</v>
      </c>
    </row>
    <row r="28" spans="1:11">
      <c r="A28" s="39" t="s">
        <v>1164</v>
      </c>
      <c r="B28" s="39">
        <v>64601</v>
      </c>
      <c r="C28" s="39">
        <v>2</v>
      </c>
      <c r="D28" s="39">
        <v>4</v>
      </c>
      <c r="E28" s="39">
        <v>60</v>
      </c>
      <c r="F28" s="39">
        <v>1</v>
      </c>
      <c r="G28" s="40" t="s">
        <v>1138</v>
      </c>
      <c r="H28" s="39">
        <v>14024</v>
      </c>
      <c r="I28" s="39">
        <v>1</v>
      </c>
      <c r="J28" s="39">
        <v>101</v>
      </c>
      <c r="K28" s="39">
        <v>100</v>
      </c>
    </row>
    <row r="29" spans="1:11">
      <c r="A29" s="39" t="s">
        <v>1165</v>
      </c>
      <c r="B29" s="39">
        <v>64602</v>
      </c>
      <c r="C29" s="39">
        <v>2</v>
      </c>
      <c r="D29" s="39">
        <v>4</v>
      </c>
      <c r="E29" s="39">
        <v>60</v>
      </c>
      <c r="F29" s="39">
        <v>1</v>
      </c>
      <c r="G29" s="40" t="s">
        <v>1138</v>
      </c>
      <c r="H29" s="39">
        <v>11027</v>
      </c>
      <c r="I29" s="39">
        <v>2</v>
      </c>
      <c r="J29" s="39">
        <v>101</v>
      </c>
      <c r="K29" s="39">
        <v>100</v>
      </c>
    </row>
    <row r="30" spans="1:11">
      <c r="A30" s="39" t="s">
        <v>1166</v>
      </c>
      <c r="B30" s="39">
        <v>64603</v>
      </c>
      <c r="C30" s="39">
        <v>2</v>
      </c>
      <c r="D30" s="39">
        <v>4</v>
      </c>
      <c r="E30" s="39">
        <v>60</v>
      </c>
      <c r="F30" s="39">
        <v>2</v>
      </c>
      <c r="G30" s="40" t="s">
        <v>1141</v>
      </c>
      <c r="H30" s="39"/>
      <c r="I30" s="39">
        <v>30</v>
      </c>
      <c r="J30" s="39">
        <v>101</v>
      </c>
      <c r="K30" s="39">
        <v>100</v>
      </c>
    </row>
    <row r="31" spans="1:11">
      <c r="A31" s="39" t="s">
        <v>1167</v>
      </c>
      <c r="B31" s="39">
        <v>64604</v>
      </c>
      <c r="C31" s="39">
        <v>2</v>
      </c>
      <c r="D31" s="39">
        <v>4</v>
      </c>
      <c r="E31" s="39">
        <v>60</v>
      </c>
      <c r="F31" s="39">
        <v>3</v>
      </c>
      <c r="G31" s="40" t="s">
        <v>1143</v>
      </c>
      <c r="H31" s="39"/>
      <c r="I31" s="39">
        <v>400</v>
      </c>
      <c r="J31" s="39">
        <v>101</v>
      </c>
      <c r="K31" s="39">
        <v>100</v>
      </c>
    </row>
    <row r="32" spans="1:11">
      <c r="A32" s="39" t="s">
        <v>1168</v>
      </c>
      <c r="B32" s="39">
        <v>64605</v>
      </c>
      <c r="C32" s="39">
        <v>2</v>
      </c>
      <c r="D32" s="39">
        <v>4</v>
      </c>
      <c r="E32" s="39">
        <v>60</v>
      </c>
      <c r="F32" s="39">
        <v>2</v>
      </c>
      <c r="G32" s="40" t="s">
        <v>1141</v>
      </c>
      <c r="H32" s="39"/>
      <c r="I32" s="39">
        <v>40</v>
      </c>
      <c r="J32" s="39">
        <v>101</v>
      </c>
      <c r="K32" s="39">
        <v>100</v>
      </c>
    </row>
    <row r="33" spans="1:11">
      <c r="A33" s="39" t="s">
        <v>1169</v>
      </c>
      <c r="B33" s="39">
        <v>64606</v>
      </c>
      <c r="C33" s="39">
        <v>2</v>
      </c>
      <c r="D33" s="39">
        <v>4</v>
      </c>
      <c r="E33" s="39">
        <v>60</v>
      </c>
      <c r="F33" s="39">
        <v>1</v>
      </c>
      <c r="G33" s="40" t="s">
        <v>1138</v>
      </c>
      <c r="H33" s="39">
        <v>11027</v>
      </c>
      <c r="I33" s="39">
        <v>1</v>
      </c>
      <c r="J33" s="39">
        <v>101</v>
      </c>
      <c r="K33" s="39">
        <v>100</v>
      </c>
    </row>
    <row r="34" spans="1:11">
      <c r="A34" s="39" t="s">
        <v>1170</v>
      </c>
      <c r="B34" s="39">
        <v>64607</v>
      </c>
      <c r="C34" s="39">
        <v>2</v>
      </c>
      <c r="D34" s="39">
        <v>4</v>
      </c>
      <c r="E34" s="39">
        <v>60</v>
      </c>
      <c r="F34" s="39">
        <v>2</v>
      </c>
      <c r="G34" s="40" t="s">
        <v>1141</v>
      </c>
      <c r="H34" s="39"/>
      <c r="I34" s="39">
        <v>40</v>
      </c>
      <c r="J34" s="39">
        <v>101</v>
      </c>
      <c r="K34" s="39">
        <v>100</v>
      </c>
    </row>
    <row r="35" spans="1:11">
      <c r="A35" s="39" t="s">
        <v>1171</v>
      </c>
      <c r="B35" s="39">
        <v>64608</v>
      </c>
      <c r="C35" s="39">
        <v>2</v>
      </c>
      <c r="D35" s="39">
        <v>4</v>
      </c>
      <c r="E35" s="39">
        <v>60</v>
      </c>
      <c r="F35" s="39">
        <v>1</v>
      </c>
      <c r="G35" s="40" t="s">
        <v>1138</v>
      </c>
      <c r="H35" s="39">
        <v>79230</v>
      </c>
      <c r="I35" s="39">
        <v>1</v>
      </c>
      <c r="J35" s="39">
        <v>101</v>
      </c>
      <c r="K35" s="39">
        <v>100</v>
      </c>
    </row>
    <row r="36" spans="1:11">
      <c r="A36" s="39" t="s">
        <v>1172</v>
      </c>
      <c r="B36" s="39">
        <v>64609</v>
      </c>
      <c r="C36" s="39">
        <v>2</v>
      </c>
      <c r="D36" s="39">
        <v>4</v>
      </c>
      <c r="E36" s="39">
        <v>60</v>
      </c>
      <c r="F36" s="39">
        <v>3</v>
      </c>
      <c r="G36" s="40" t="s">
        <v>1143</v>
      </c>
      <c r="H36" s="39"/>
      <c r="I36" s="39">
        <v>500</v>
      </c>
      <c r="J36" s="39">
        <v>101</v>
      </c>
      <c r="K36" s="39">
        <v>100</v>
      </c>
    </row>
    <row r="37" spans="1:11">
      <c r="A37" s="39" t="s">
        <v>1173</v>
      </c>
      <c r="B37" s="39">
        <v>64701</v>
      </c>
      <c r="C37" s="39">
        <v>2</v>
      </c>
      <c r="D37" s="39">
        <v>4</v>
      </c>
      <c r="E37" s="39">
        <v>60</v>
      </c>
      <c r="F37" s="39">
        <v>1</v>
      </c>
      <c r="G37" s="40" t="s">
        <v>1138</v>
      </c>
      <c r="H37" s="39">
        <v>11027</v>
      </c>
      <c r="I37" s="39">
        <v>1</v>
      </c>
      <c r="J37" s="39">
        <v>101</v>
      </c>
      <c r="K37" s="39">
        <v>100</v>
      </c>
    </row>
    <row r="38" spans="1:11">
      <c r="A38" s="39" t="s">
        <v>1174</v>
      </c>
      <c r="B38" s="39">
        <v>64702</v>
      </c>
      <c r="C38" s="39">
        <v>2</v>
      </c>
      <c r="D38" s="39">
        <v>4</v>
      </c>
      <c r="E38" s="39">
        <v>60</v>
      </c>
      <c r="F38" s="39">
        <v>1</v>
      </c>
      <c r="G38" s="40" t="s">
        <v>1138</v>
      </c>
      <c r="H38" s="39">
        <v>14025</v>
      </c>
      <c r="I38" s="39">
        <v>2</v>
      </c>
      <c r="J38" s="39">
        <v>101</v>
      </c>
      <c r="K38" s="39">
        <v>100</v>
      </c>
    </row>
    <row r="39" spans="1:11">
      <c r="A39" s="39" t="s">
        <v>1175</v>
      </c>
      <c r="B39" s="39">
        <v>64703</v>
      </c>
      <c r="C39" s="39">
        <v>2</v>
      </c>
      <c r="D39" s="39">
        <v>4</v>
      </c>
      <c r="E39" s="39">
        <v>60</v>
      </c>
      <c r="F39" s="39">
        <v>2</v>
      </c>
      <c r="G39" s="40" t="s">
        <v>1141</v>
      </c>
      <c r="H39" s="39"/>
      <c r="I39" s="39">
        <v>30</v>
      </c>
      <c r="J39" s="39">
        <v>101</v>
      </c>
      <c r="K39" s="39">
        <v>100</v>
      </c>
    </row>
    <row r="40" spans="1:11">
      <c r="A40" s="39" t="s">
        <v>1176</v>
      </c>
      <c r="B40" s="39">
        <v>64704</v>
      </c>
      <c r="C40" s="39">
        <v>2</v>
      </c>
      <c r="D40" s="39">
        <v>4</v>
      </c>
      <c r="E40" s="39">
        <v>60</v>
      </c>
      <c r="F40" s="39">
        <v>3</v>
      </c>
      <c r="G40" s="40" t="s">
        <v>1143</v>
      </c>
      <c r="H40" s="39"/>
      <c r="I40" s="39">
        <v>420</v>
      </c>
      <c r="J40" s="39">
        <v>101</v>
      </c>
      <c r="K40" s="39">
        <v>100</v>
      </c>
    </row>
    <row r="41" spans="1:11">
      <c r="A41" s="39" t="s">
        <v>1177</v>
      </c>
      <c r="B41" s="39">
        <v>64705</v>
      </c>
      <c r="C41" s="39">
        <v>2</v>
      </c>
      <c r="D41" s="39">
        <v>4</v>
      </c>
      <c r="E41" s="39">
        <v>60</v>
      </c>
      <c r="F41" s="39">
        <v>2</v>
      </c>
      <c r="G41" s="40" t="s">
        <v>1141</v>
      </c>
      <c r="H41" s="39"/>
      <c r="I41" s="39">
        <v>40</v>
      </c>
      <c r="J41" s="39">
        <v>101</v>
      </c>
      <c r="K41" s="39">
        <v>100</v>
      </c>
    </row>
    <row r="42" spans="1:11">
      <c r="A42" s="39" t="s">
        <v>1178</v>
      </c>
      <c r="B42" s="39">
        <v>64706</v>
      </c>
      <c r="C42" s="39">
        <v>2</v>
      </c>
      <c r="D42" s="39">
        <v>4</v>
      </c>
      <c r="E42" s="39">
        <v>60</v>
      </c>
      <c r="F42" s="39">
        <v>1</v>
      </c>
      <c r="G42" s="40" t="s">
        <v>1138</v>
      </c>
      <c r="H42" s="39">
        <v>11027</v>
      </c>
      <c r="I42" s="39">
        <v>1</v>
      </c>
      <c r="J42" s="39">
        <v>101</v>
      </c>
      <c r="K42" s="39">
        <v>100</v>
      </c>
    </row>
    <row r="43" spans="1:11">
      <c r="A43" s="39" t="s">
        <v>1179</v>
      </c>
      <c r="B43" s="39">
        <v>64707</v>
      </c>
      <c r="C43" s="39">
        <v>2</v>
      </c>
      <c r="D43" s="39">
        <v>4</v>
      </c>
      <c r="E43" s="39">
        <v>60</v>
      </c>
      <c r="F43" s="39">
        <v>2</v>
      </c>
      <c r="G43" s="40" t="s">
        <v>1141</v>
      </c>
      <c r="H43" s="39"/>
      <c r="I43" s="39">
        <v>40</v>
      </c>
      <c r="J43" s="39">
        <v>101</v>
      </c>
      <c r="K43" s="39">
        <v>100</v>
      </c>
    </row>
    <row r="44" spans="1:11">
      <c r="A44" s="39" t="s">
        <v>1180</v>
      </c>
      <c r="B44" s="39">
        <v>64708</v>
      </c>
      <c r="C44" s="39">
        <v>2</v>
      </c>
      <c r="D44" s="39">
        <v>4</v>
      </c>
      <c r="E44" s="39">
        <v>60</v>
      </c>
      <c r="F44" s="39">
        <v>1</v>
      </c>
      <c r="G44" s="40" t="s">
        <v>1138</v>
      </c>
      <c r="H44" s="39">
        <v>79230</v>
      </c>
      <c r="I44" s="39">
        <v>1</v>
      </c>
      <c r="J44" s="39">
        <v>101</v>
      </c>
      <c r="K44" s="39">
        <v>100</v>
      </c>
    </row>
    <row r="45" spans="1:11">
      <c r="A45" s="39" t="s">
        <v>1181</v>
      </c>
      <c r="B45" s="39">
        <v>64709</v>
      </c>
      <c r="C45" s="39">
        <v>2</v>
      </c>
      <c r="D45" s="39">
        <v>4</v>
      </c>
      <c r="E45" s="39">
        <v>60</v>
      </c>
      <c r="F45" s="39">
        <v>3</v>
      </c>
      <c r="G45" s="40" t="s">
        <v>1143</v>
      </c>
      <c r="H45" s="39"/>
      <c r="I45" s="39">
        <v>600</v>
      </c>
      <c r="J45" s="39">
        <v>101</v>
      </c>
      <c r="K45" s="39">
        <v>100</v>
      </c>
    </row>
  </sheetData>
  <phoneticPr fontId="42" type="noConversion"/>
  <pageMargins left="0.75" right="0.75" top="1" bottom="1" header="0.51180555555555596" footer="0.51180555555555596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Y10"/>
  <sheetViews>
    <sheetView workbookViewId="0">
      <selection activeCell="A11" sqref="A11:XFD11"/>
    </sheetView>
  </sheetViews>
  <sheetFormatPr defaultColWidth="8.796875" defaultRowHeight="15"/>
  <sheetData>
    <row r="1" spans="1:25" ht="36">
      <c r="A1" s="24" t="s">
        <v>429</v>
      </c>
      <c r="B1" s="24" t="s">
        <v>1182</v>
      </c>
      <c r="C1" s="24" t="s">
        <v>31</v>
      </c>
      <c r="D1" s="24" t="s">
        <v>1183</v>
      </c>
      <c r="E1" s="24" t="s">
        <v>1184</v>
      </c>
      <c r="F1" s="24" t="s">
        <v>1185</v>
      </c>
      <c r="G1" s="24" t="s">
        <v>32</v>
      </c>
      <c r="H1" s="24" t="s">
        <v>1186</v>
      </c>
      <c r="I1" s="24" t="s">
        <v>1184</v>
      </c>
      <c r="J1" s="24" t="s">
        <v>1187</v>
      </c>
      <c r="K1" s="24" t="s">
        <v>433</v>
      </c>
      <c r="L1" s="24" t="s">
        <v>1188</v>
      </c>
      <c r="M1" s="24" t="s">
        <v>1184</v>
      </c>
      <c r="N1" s="24" t="s">
        <v>1189</v>
      </c>
      <c r="O1" s="24" t="s">
        <v>435</v>
      </c>
      <c r="P1" s="24" t="s">
        <v>1190</v>
      </c>
      <c r="Q1" s="24" t="s">
        <v>1184</v>
      </c>
      <c r="R1" s="24" t="s">
        <v>1191</v>
      </c>
      <c r="S1" s="24" t="s">
        <v>437</v>
      </c>
      <c r="T1" s="24" t="s">
        <v>1190</v>
      </c>
      <c r="U1" s="24" t="s">
        <v>1184</v>
      </c>
      <c r="V1" s="24" t="s">
        <v>1192</v>
      </c>
      <c r="W1" s="24" t="s">
        <v>439</v>
      </c>
      <c r="X1" s="24" t="s">
        <v>1190</v>
      </c>
      <c r="Y1" s="24" t="s">
        <v>1184</v>
      </c>
    </row>
    <row r="2" spans="1:25" ht="18">
      <c r="A2" s="24" t="s">
        <v>39</v>
      </c>
      <c r="B2" s="24" t="s">
        <v>39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  <c r="I2" s="24" t="s">
        <v>39</v>
      </c>
      <c r="J2" s="24" t="s">
        <v>39</v>
      </c>
      <c r="K2" s="24" t="s">
        <v>39</v>
      </c>
      <c r="L2" s="24" t="s">
        <v>39</v>
      </c>
      <c r="M2" s="24" t="s">
        <v>39</v>
      </c>
      <c r="N2" s="24" t="s">
        <v>39</v>
      </c>
      <c r="O2" s="24" t="s">
        <v>39</v>
      </c>
      <c r="P2" s="24" t="s">
        <v>39</v>
      </c>
      <c r="Q2" s="24" t="s">
        <v>39</v>
      </c>
      <c r="R2" s="24" t="s">
        <v>39</v>
      </c>
      <c r="S2" s="24" t="s">
        <v>39</v>
      </c>
      <c r="T2" s="24" t="s">
        <v>39</v>
      </c>
      <c r="U2" s="24" t="s">
        <v>39</v>
      </c>
      <c r="V2" s="24" t="s">
        <v>39</v>
      </c>
      <c r="W2" s="24" t="s">
        <v>39</v>
      </c>
      <c r="X2" s="24" t="s">
        <v>39</v>
      </c>
      <c r="Y2" s="24" t="s">
        <v>39</v>
      </c>
    </row>
    <row r="3" spans="1:25" ht="37.5">
      <c r="A3" s="24" t="s">
        <v>1110</v>
      </c>
      <c r="B3" s="24" t="s">
        <v>1193</v>
      </c>
      <c r="C3" s="24" t="s">
        <v>443</v>
      </c>
      <c r="D3" s="32" t="s">
        <v>1194</v>
      </c>
      <c r="E3" s="32" t="s">
        <v>1195</v>
      </c>
      <c r="F3" s="24" t="s">
        <v>1193</v>
      </c>
      <c r="G3" s="24" t="s">
        <v>443</v>
      </c>
      <c r="H3" s="32" t="s">
        <v>1194</v>
      </c>
      <c r="I3" s="32" t="s">
        <v>1195</v>
      </c>
      <c r="J3" s="24" t="s">
        <v>1193</v>
      </c>
      <c r="K3" s="24" t="s">
        <v>443</v>
      </c>
      <c r="L3" s="32" t="s">
        <v>1194</v>
      </c>
      <c r="M3" s="32" t="s">
        <v>1195</v>
      </c>
      <c r="N3" s="24" t="s">
        <v>1193</v>
      </c>
      <c r="O3" s="24" t="s">
        <v>443</v>
      </c>
      <c r="P3" s="32" t="s">
        <v>1194</v>
      </c>
      <c r="Q3" s="32" t="s">
        <v>1195</v>
      </c>
      <c r="R3" s="24" t="s">
        <v>1193</v>
      </c>
      <c r="S3" s="24" t="s">
        <v>443</v>
      </c>
      <c r="T3" s="32" t="s">
        <v>1194</v>
      </c>
      <c r="U3" s="32" t="s">
        <v>1195</v>
      </c>
      <c r="V3" s="24" t="s">
        <v>1193</v>
      </c>
      <c r="W3" s="24" t="s">
        <v>443</v>
      </c>
      <c r="X3" s="32" t="s">
        <v>1194</v>
      </c>
      <c r="Y3" s="32" t="s">
        <v>1195</v>
      </c>
    </row>
    <row r="4" spans="1:25" ht="18">
      <c r="A4" s="24">
        <v>44411</v>
      </c>
      <c r="B4" s="26">
        <v>1</v>
      </c>
      <c r="C4" s="24">
        <v>2000</v>
      </c>
      <c r="D4" s="24">
        <v>0</v>
      </c>
      <c r="E4" s="24">
        <v>0</v>
      </c>
      <c r="F4" s="24">
        <v>2</v>
      </c>
      <c r="G4" s="24">
        <v>3000</v>
      </c>
      <c r="H4" s="24">
        <v>0</v>
      </c>
      <c r="I4" s="24">
        <v>0</v>
      </c>
      <c r="J4" s="27">
        <v>3</v>
      </c>
      <c r="K4" s="24">
        <v>3000</v>
      </c>
      <c r="L4" s="24">
        <v>0</v>
      </c>
      <c r="M4" s="24">
        <v>0</v>
      </c>
      <c r="N4" s="26">
        <v>5</v>
      </c>
      <c r="O4" s="24">
        <v>2000</v>
      </c>
      <c r="P4" s="24">
        <v>0</v>
      </c>
      <c r="Q4" s="24">
        <v>0</v>
      </c>
    </row>
    <row r="5" spans="1:25" ht="18">
      <c r="A5" s="24">
        <v>44412</v>
      </c>
      <c r="B5" s="26">
        <v>1</v>
      </c>
      <c r="C5" s="24">
        <v>2000</v>
      </c>
      <c r="D5" s="24">
        <v>0</v>
      </c>
      <c r="E5" s="24">
        <v>0</v>
      </c>
      <c r="F5" s="24">
        <v>2</v>
      </c>
      <c r="G5" s="24">
        <v>3000</v>
      </c>
      <c r="H5" s="24">
        <v>0</v>
      </c>
      <c r="I5" s="24">
        <v>0</v>
      </c>
      <c r="J5" s="27">
        <v>3</v>
      </c>
      <c r="K5" s="24">
        <v>3000</v>
      </c>
      <c r="L5" s="24">
        <v>0</v>
      </c>
      <c r="M5" s="24">
        <v>0</v>
      </c>
      <c r="N5" s="26">
        <v>5</v>
      </c>
      <c r="O5" s="24">
        <v>2000</v>
      </c>
      <c r="P5" s="24">
        <v>0</v>
      </c>
      <c r="Q5" s="24">
        <v>0</v>
      </c>
    </row>
    <row r="6" spans="1:25" ht="18">
      <c r="A6" s="24">
        <v>44413</v>
      </c>
      <c r="B6" s="26">
        <v>1</v>
      </c>
      <c r="C6" s="24">
        <v>2000</v>
      </c>
      <c r="D6" s="24">
        <v>0</v>
      </c>
      <c r="E6" s="24">
        <v>0</v>
      </c>
      <c r="F6" s="24">
        <v>2</v>
      </c>
      <c r="G6" s="24">
        <v>3000</v>
      </c>
      <c r="H6" s="24">
        <v>0</v>
      </c>
      <c r="I6" s="24">
        <v>0</v>
      </c>
      <c r="J6" s="27">
        <v>3</v>
      </c>
      <c r="K6" s="24">
        <v>3000</v>
      </c>
      <c r="L6" s="24">
        <v>0</v>
      </c>
      <c r="M6" s="24">
        <v>0</v>
      </c>
      <c r="N6" s="26">
        <v>5</v>
      </c>
      <c r="O6" s="24">
        <v>2000</v>
      </c>
      <c r="P6" s="24">
        <v>0</v>
      </c>
      <c r="Q6" s="24">
        <v>0</v>
      </c>
    </row>
    <row r="7" spans="1:25" ht="18">
      <c r="A7" s="24">
        <v>44414</v>
      </c>
      <c r="B7" s="26">
        <v>1</v>
      </c>
      <c r="C7" s="24">
        <v>2000</v>
      </c>
      <c r="D7" s="24">
        <v>0</v>
      </c>
      <c r="E7" s="24">
        <v>0</v>
      </c>
      <c r="F7" s="24">
        <v>2</v>
      </c>
      <c r="G7" s="24">
        <v>3000</v>
      </c>
      <c r="H7" s="24">
        <v>0</v>
      </c>
      <c r="I7" s="24">
        <v>0</v>
      </c>
      <c r="J7" s="27">
        <v>3</v>
      </c>
      <c r="K7" s="24">
        <v>3000</v>
      </c>
      <c r="L7" s="24">
        <v>0</v>
      </c>
      <c r="M7" s="24">
        <v>0</v>
      </c>
      <c r="N7" s="26">
        <v>5</v>
      </c>
      <c r="O7" s="24">
        <v>2000</v>
      </c>
      <c r="P7" s="24">
        <v>0</v>
      </c>
      <c r="Q7" s="24">
        <v>0</v>
      </c>
    </row>
    <row r="8" spans="1:25" ht="18">
      <c r="A8" s="24">
        <v>44415</v>
      </c>
      <c r="B8" s="26">
        <v>1</v>
      </c>
      <c r="C8" s="24">
        <v>2000</v>
      </c>
      <c r="D8" s="24">
        <v>0</v>
      </c>
      <c r="E8" s="24">
        <v>0</v>
      </c>
      <c r="F8" s="24">
        <v>2</v>
      </c>
      <c r="G8" s="24">
        <v>3000</v>
      </c>
      <c r="H8" s="24">
        <v>0</v>
      </c>
      <c r="I8" s="24">
        <v>0</v>
      </c>
      <c r="J8" s="27">
        <v>3</v>
      </c>
      <c r="K8" s="24">
        <v>3000</v>
      </c>
      <c r="L8" s="24">
        <v>0</v>
      </c>
      <c r="M8" s="24">
        <v>0</v>
      </c>
      <c r="N8" s="26">
        <v>5</v>
      </c>
      <c r="O8" s="24">
        <v>2000</v>
      </c>
      <c r="P8" s="24">
        <v>0</v>
      </c>
      <c r="Q8" s="24">
        <v>0</v>
      </c>
    </row>
    <row r="9" spans="1:25" ht="18">
      <c r="A9" s="24">
        <v>44301</v>
      </c>
      <c r="B9" s="26">
        <v>2</v>
      </c>
      <c r="C9" s="24">
        <v>0</v>
      </c>
      <c r="D9" s="24">
        <v>0</v>
      </c>
      <c r="E9" s="24">
        <v>0</v>
      </c>
      <c r="F9" s="24">
        <v>3</v>
      </c>
      <c r="G9" s="24">
        <v>3000</v>
      </c>
      <c r="H9" s="24">
        <v>0</v>
      </c>
      <c r="I9" s="24">
        <v>0</v>
      </c>
      <c r="J9" s="27">
        <v>4</v>
      </c>
      <c r="K9" s="24">
        <v>4000</v>
      </c>
      <c r="L9" s="24">
        <v>0</v>
      </c>
      <c r="M9" s="24">
        <v>0</v>
      </c>
      <c r="N9" s="26">
        <v>5</v>
      </c>
      <c r="O9" s="24">
        <v>2250</v>
      </c>
      <c r="P9" s="24">
        <v>0</v>
      </c>
      <c r="Q9" s="24">
        <v>0</v>
      </c>
      <c r="R9" s="38">
        <v>10</v>
      </c>
      <c r="S9" s="24">
        <v>550</v>
      </c>
      <c r="T9" s="24">
        <v>0</v>
      </c>
      <c r="U9" s="24">
        <v>0</v>
      </c>
      <c r="V9" s="38">
        <v>20</v>
      </c>
      <c r="W9" s="24">
        <v>200</v>
      </c>
      <c r="X9" s="24">
        <v>0</v>
      </c>
      <c r="Y9" s="24">
        <v>0</v>
      </c>
    </row>
    <row r="10" spans="1:25" ht="18">
      <c r="A10" s="24">
        <v>44501</v>
      </c>
      <c r="B10" s="26">
        <v>1</v>
      </c>
      <c r="C10" s="24">
        <v>2000</v>
      </c>
      <c r="D10" s="38">
        <v>0</v>
      </c>
      <c r="E10" s="38">
        <v>0</v>
      </c>
      <c r="F10" s="24">
        <v>2</v>
      </c>
      <c r="G10" s="24">
        <v>3000</v>
      </c>
      <c r="H10" s="24">
        <v>0</v>
      </c>
      <c r="I10" s="24">
        <v>0</v>
      </c>
      <c r="J10" s="27">
        <v>3</v>
      </c>
      <c r="K10" s="24">
        <v>3000</v>
      </c>
      <c r="L10" s="24">
        <v>0</v>
      </c>
      <c r="M10" s="24">
        <v>0</v>
      </c>
      <c r="N10" s="26">
        <v>5</v>
      </c>
      <c r="O10" s="24">
        <v>2000</v>
      </c>
      <c r="P10" s="24">
        <v>0</v>
      </c>
      <c r="Q10" s="24">
        <v>0</v>
      </c>
    </row>
  </sheetData>
  <phoneticPr fontId="42" type="noConversion"/>
  <pageMargins left="0.75" right="0.75" top="1" bottom="1" header="0.51180555555555596" footer="0.51180555555555596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M10"/>
  <sheetViews>
    <sheetView showGridLines="0" workbookViewId="0">
      <selection activeCell="F22" sqref="F22"/>
    </sheetView>
  </sheetViews>
  <sheetFormatPr defaultColWidth="11.09765625" defaultRowHeight="15"/>
  <sheetData>
    <row r="1" spans="1:13" ht="23.1" customHeight="1">
      <c r="A1" s="24" t="s">
        <v>429</v>
      </c>
      <c r="B1" s="24" t="s">
        <v>430</v>
      </c>
      <c r="C1" s="24" t="s">
        <v>31</v>
      </c>
      <c r="D1" s="24" t="s">
        <v>431</v>
      </c>
      <c r="E1" s="24" t="s">
        <v>32</v>
      </c>
      <c r="F1" s="24" t="s">
        <v>432</v>
      </c>
      <c r="G1" s="24" t="s">
        <v>433</v>
      </c>
      <c r="H1" s="24" t="s">
        <v>434</v>
      </c>
      <c r="I1" s="24" t="s">
        <v>435</v>
      </c>
      <c r="J1" s="24" t="s">
        <v>436</v>
      </c>
      <c r="K1" s="24" t="s">
        <v>437</v>
      </c>
      <c r="L1" s="24" t="s">
        <v>438</v>
      </c>
      <c r="M1" s="24" t="s">
        <v>439</v>
      </c>
    </row>
    <row r="2" spans="1:13" ht="23.1" customHeight="1">
      <c r="A2" s="24" t="s">
        <v>39</v>
      </c>
      <c r="B2" s="24" t="s">
        <v>39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  <c r="I2" s="24" t="s">
        <v>39</v>
      </c>
      <c r="J2" s="24" t="s">
        <v>39</v>
      </c>
      <c r="K2" s="24" t="s">
        <v>39</v>
      </c>
      <c r="L2" s="24" t="s">
        <v>39</v>
      </c>
      <c r="M2" s="24" t="s">
        <v>39</v>
      </c>
    </row>
    <row r="3" spans="1:13" ht="23.1" customHeight="1">
      <c r="A3" s="24" t="s">
        <v>1110</v>
      </c>
      <c r="B3" s="24" t="s">
        <v>442</v>
      </c>
      <c r="C3" s="24" t="s">
        <v>443</v>
      </c>
      <c r="D3" s="24" t="s">
        <v>442</v>
      </c>
      <c r="E3" s="24" t="s">
        <v>443</v>
      </c>
      <c r="F3" s="24" t="s">
        <v>442</v>
      </c>
      <c r="G3" s="24" t="s">
        <v>443</v>
      </c>
      <c r="H3" s="24" t="s">
        <v>442</v>
      </c>
      <c r="I3" s="24" t="s">
        <v>443</v>
      </c>
      <c r="J3" s="24" t="s">
        <v>442</v>
      </c>
      <c r="K3" s="24" t="s">
        <v>443</v>
      </c>
      <c r="L3" s="24" t="s">
        <v>442</v>
      </c>
      <c r="M3" s="24" t="s">
        <v>443</v>
      </c>
    </row>
    <row r="4" spans="1:13" ht="23.1" customHeight="1">
      <c r="A4" s="24">
        <v>44411</v>
      </c>
      <c r="B4" s="24">
        <v>12032</v>
      </c>
      <c r="C4" s="24">
        <v>5000</v>
      </c>
      <c r="D4" s="24">
        <v>12028</v>
      </c>
      <c r="E4" s="24">
        <v>3000</v>
      </c>
      <c r="F4" s="24">
        <v>12232</v>
      </c>
      <c r="G4" s="24">
        <v>2000</v>
      </c>
      <c r="H4" s="24"/>
      <c r="I4" s="24"/>
      <c r="J4" s="24"/>
      <c r="K4" s="24"/>
      <c r="L4" s="24"/>
      <c r="M4" s="24"/>
    </row>
    <row r="5" spans="1:13" ht="23.1" customHeight="1">
      <c r="A5" s="24">
        <v>44412</v>
      </c>
      <c r="B5" s="24">
        <v>12032</v>
      </c>
      <c r="C5" s="24">
        <v>4500</v>
      </c>
      <c r="D5" s="24">
        <v>12028</v>
      </c>
      <c r="E5" s="24">
        <v>3000</v>
      </c>
      <c r="F5" s="24">
        <v>12213</v>
      </c>
      <c r="G5" s="24">
        <v>2500</v>
      </c>
      <c r="H5" s="24"/>
      <c r="I5" s="24"/>
      <c r="J5" s="24"/>
      <c r="K5" s="24"/>
      <c r="L5" s="24"/>
      <c r="M5" s="24"/>
    </row>
    <row r="6" spans="1:13" ht="23.1" customHeight="1">
      <c r="A6" s="24">
        <v>44413</v>
      </c>
      <c r="B6" s="24">
        <v>12232</v>
      </c>
      <c r="C6" s="24">
        <v>5500</v>
      </c>
      <c r="D6" s="24">
        <v>12031</v>
      </c>
      <c r="E6" s="24">
        <v>4500</v>
      </c>
      <c r="F6" s="24"/>
      <c r="G6" s="24"/>
      <c r="H6" s="24"/>
      <c r="I6" s="24"/>
      <c r="J6" s="24"/>
      <c r="K6" s="24"/>
      <c r="L6" s="24"/>
      <c r="M6" s="24"/>
    </row>
    <row r="7" spans="1:13" ht="23.1" customHeight="1">
      <c r="A7" s="24">
        <v>44414</v>
      </c>
      <c r="B7" s="24">
        <v>12213</v>
      </c>
      <c r="C7" s="24">
        <v>4500</v>
      </c>
      <c r="D7" s="24">
        <v>12031</v>
      </c>
      <c r="E7" s="24">
        <v>3000</v>
      </c>
      <c r="F7" s="24">
        <v>12234</v>
      </c>
      <c r="G7" s="24">
        <v>2500</v>
      </c>
      <c r="H7" s="24"/>
      <c r="I7" s="24"/>
      <c r="J7" s="24"/>
      <c r="K7" s="24"/>
      <c r="L7" s="24"/>
      <c r="M7" s="24"/>
    </row>
    <row r="8" spans="1:13" ht="23.1" customHeight="1">
      <c r="A8" s="24">
        <v>44415</v>
      </c>
      <c r="B8" s="24">
        <v>12031</v>
      </c>
      <c r="C8" s="24">
        <v>3500</v>
      </c>
      <c r="D8" s="24">
        <v>12234</v>
      </c>
      <c r="E8" s="24">
        <v>4000</v>
      </c>
      <c r="F8" s="24">
        <v>12233</v>
      </c>
      <c r="G8" s="24">
        <v>2500</v>
      </c>
      <c r="H8" s="24"/>
      <c r="I8" s="24"/>
      <c r="J8" s="24"/>
      <c r="K8" s="24"/>
      <c r="L8" s="24"/>
      <c r="M8" s="24"/>
    </row>
    <row r="9" spans="1:13" ht="23.1" customHeight="1">
      <c r="A9" s="24">
        <v>44301</v>
      </c>
      <c r="B9" s="24">
        <v>36031</v>
      </c>
      <c r="C9" s="24">
        <v>5000</v>
      </c>
      <c r="D9" s="24">
        <v>36078</v>
      </c>
      <c r="E9" s="24">
        <v>5000</v>
      </c>
      <c r="F9" s="24"/>
      <c r="G9" s="24"/>
      <c r="H9" s="24"/>
      <c r="I9" s="24"/>
      <c r="J9" s="24"/>
      <c r="K9" s="24"/>
      <c r="L9" s="24"/>
      <c r="M9" s="24"/>
    </row>
    <row r="10" spans="1:13" ht="23.1" customHeight="1">
      <c r="A10" s="24">
        <v>44501</v>
      </c>
      <c r="B10" s="38">
        <v>12032</v>
      </c>
      <c r="C10" s="38">
        <v>4800</v>
      </c>
      <c r="D10" s="38">
        <v>12213</v>
      </c>
      <c r="E10" s="38">
        <v>3600</v>
      </c>
      <c r="F10" s="38">
        <v>12031</v>
      </c>
      <c r="G10" s="38">
        <v>1600</v>
      </c>
      <c r="H10" s="38"/>
      <c r="I10" s="38"/>
      <c r="J10" s="24"/>
      <c r="K10" s="24"/>
      <c r="L10" s="24"/>
      <c r="M10" s="24"/>
    </row>
  </sheetData>
  <phoneticPr fontId="42" type="noConversion"/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I21"/>
  <sheetViews>
    <sheetView workbookViewId="0">
      <selection activeCell="B11" sqref="B11"/>
    </sheetView>
  </sheetViews>
  <sheetFormatPr defaultColWidth="8.796875" defaultRowHeight="15"/>
  <sheetData>
    <row r="1" spans="1:9" ht="18">
      <c r="A1" s="24" t="s">
        <v>27</v>
      </c>
      <c r="B1" s="24" t="s">
        <v>1182</v>
      </c>
      <c r="C1" s="24" t="s">
        <v>31</v>
      </c>
      <c r="D1" s="24" t="s">
        <v>1185</v>
      </c>
      <c r="E1" s="24" t="s">
        <v>32</v>
      </c>
      <c r="F1" s="24" t="s">
        <v>1187</v>
      </c>
      <c r="G1" s="24" t="s">
        <v>433</v>
      </c>
      <c r="H1" s="24" t="s">
        <v>1189</v>
      </c>
      <c r="I1" s="24" t="s">
        <v>435</v>
      </c>
    </row>
    <row r="2" spans="1:9" ht="18">
      <c r="A2" s="24" t="s">
        <v>39</v>
      </c>
      <c r="B2" s="24" t="s">
        <v>39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  <c r="I2" s="24" t="s">
        <v>39</v>
      </c>
    </row>
    <row r="3" spans="1:9" ht="18.75">
      <c r="A3" s="36" t="s">
        <v>45</v>
      </c>
      <c r="B3" s="24" t="s">
        <v>1193</v>
      </c>
      <c r="C3" s="24" t="s">
        <v>443</v>
      </c>
      <c r="D3" s="24" t="s">
        <v>1193</v>
      </c>
      <c r="E3" s="24" t="s">
        <v>443</v>
      </c>
      <c r="F3" s="24" t="s">
        <v>1193</v>
      </c>
      <c r="G3" s="24" t="s">
        <v>443</v>
      </c>
      <c r="H3" s="24" t="s">
        <v>1193</v>
      </c>
      <c r="I3" s="24" t="s">
        <v>443</v>
      </c>
    </row>
    <row r="4" spans="1:9" ht="18">
      <c r="A4" s="37">
        <v>12028</v>
      </c>
      <c r="B4" s="24">
        <v>1</v>
      </c>
      <c r="C4" s="24">
        <v>2500</v>
      </c>
      <c r="D4" s="24">
        <v>1.5</v>
      </c>
      <c r="E4" s="24">
        <v>2500</v>
      </c>
      <c r="F4" s="26">
        <v>2</v>
      </c>
      <c r="G4" s="24">
        <v>2500</v>
      </c>
      <c r="H4" s="24">
        <v>2.5</v>
      </c>
      <c r="I4" s="24">
        <v>2500</v>
      </c>
    </row>
    <row r="5" spans="1:9" ht="18">
      <c r="A5" s="37">
        <v>12032</v>
      </c>
      <c r="B5" s="24">
        <v>1</v>
      </c>
      <c r="C5" s="24">
        <v>2500</v>
      </c>
      <c r="D5" s="24">
        <v>1.5</v>
      </c>
      <c r="E5" s="24">
        <v>2500</v>
      </c>
      <c r="F5" s="26">
        <v>2</v>
      </c>
      <c r="G5" s="24">
        <v>2500</v>
      </c>
      <c r="H5" s="24">
        <v>2.5</v>
      </c>
      <c r="I5" s="24">
        <v>2500</v>
      </c>
    </row>
    <row r="6" spans="1:9" ht="18">
      <c r="A6" s="37">
        <v>12031</v>
      </c>
      <c r="B6" s="24">
        <v>1</v>
      </c>
      <c r="C6" s="24">
        <v>2500</v>
      </c>
      <c r="D6" s="24">
        <v>1.5</v>
      </c>
      <c r="E6" s="24">
        <v>2500</v>
      </c>
      <c r="F6" s="26">
        <v>2</v>
      </c>
      <c r="G6" s="24">
        <v>2500</v>
      </c>
      <c r="H6" s="24">
        <v>2.5</v>
      </c>
      <c r="I6" s="24">
        <v>2500</v>
      </c>
    </row>
    <row r="7" spans="1:9" ht="18">
      <c r="A7" s="37">
        <v>12213</v>
      </c>
      <c r="B7" s="24">
        <v>1</v>
      </c>
      <c r="C7" s="24">
        <v>2500</v>
      </c>
      <c r="D7" s="24">
        <v>1.5</v>
      </c>
      <c r="E7" s="24">
        <v>2500</v>
      </c>
      <c r="F7" s="26">
        <v>2</v>
      </c>
      <c r="G7" s="24">
        <v>2500</v>
      </c>
      <c r="H7" s="24">
        <v>2.5</v>
      </c>
      <c r="I7" s="24">
        <v>2500</v>
      </c>
    </row>
    <row r="8" spans="1:9" ht="18">
      <c r="A8" s="37">
        <v>12232</v>
      </c>
      <c r="B8" s="24">
        <v>1</v>
      </c>
      <c r="C8" s="24">
        <v>2500</v>
      </c>
      <c r="D8" s="24">
        <v>1.5</v>
      </c>
      <c r="E8" s="24">
        <v>2500</v>
      </c>
      <c r="F8" s="26">
        <v>2</v>
      </c>
      <c r="G8" s="24">
        <v>2500</v>
      </c>
      <c r="H8" s="24">
        <v>2.5</v>
      </c>
      <c r="I8" s="24">
        <v>2500</v>
      </c>
    </row>
    <row r="9" spans="1:9" ht="18">
      <c r="A9" s="37">
        <v>12233</v>
      </c>
      <c r="B9" s="24">
        <v>1</v>
      </c>
      <c r="C9" s="24">
        <v>2500</v>
      </c>
      <c r="D9" s="24">
        <v>1.5</v>
      </c>
      <c r="E9" s="24">
        <v>2500</v>
      </c>
      <c r="F9" s="26">
        <v>2</v>
      </c>
      <c r="G9" s="24">
        <v>2500</v>
      </c>
      <c r="H9" s="24">
        <v>2.5</v>
      </c>
      <c r="I9" s="24">
        <v>2500</v>
      </c>
    </row>
    <row r="10" spans="1:9" ht="18">
      <c r="A10" s="37">
        <v>12234</v>
      </c>
      <c r="B10" s="24">
        <v>1</v>
      </c>
      <c r="C10" s="24">
        <v>2500</v>
      </c>
      <c r="D10" s="24">
        <v>1.5</v>
      </c>
      <c r="E10" s="24">
        <v>2500</v>
      </c>
      <c r="F10" s="26">
        <v>2</v>
      </c>
      <c r="G10" s="24">
        <v>2500</v>
      </c>
      <c r="H10" s="24">
        <v>2.5</v>
      </c>
      <c r="I10" s="24">
        <v>2500</v>
      </c>
    </row>
    <row r="11" spans="1:9" ht="18">
      <c r="A11" s="37">
        <v>35027</v>
      </c>
      <c r="B11" s="24">
        <v>1</v>
      </c>
      <c r="C11" s="24">
        <v>2500</v>
      </c>
      <c r="D11" s="24">
        <v>1.5</v>
      </c>
      <c r="E11" s="24">
        <v>2500</v>
      </c>
      <c r="F11" s="26">
        <v>2</v>
      </c>
      <c r="G11" s="24">
        <v>2500</v>
      </c>
      <c r="H11" s="24">
        <v>2.5</v>
      </c>
      <c r="I11" s="24">
        <v>2500</v>
      </c>
    </row>
    <row r="12" spans="1:9" ht="18">
      <c r="A12" s="37">
        <v>35030</v>
      </c>
      <c r="B12" s="24">
        <v>1</v>
      </c>
      <c r="C12" s="24">
        <v>2500</v>
      </c>
      <c r="D12" s="24">
        <v>1.5</v>
      </c>
      <c r="E12" s="24">
        <v>2500</v>
      </c>
      <c r="F12" s="26">
        <v>2</v>
      </c>
      <c r="G12" s="24">
        <v>2500</v>
      </c>
      <c r="H12" s="24">
        <v>2.5</v>
      </c>
      <c r="I12" s="24">
        <v>2500</v>
      </c>
    </row>
    <row r="13" spans="1:9" ht="18">
      <c r="A13" s="37">
        <v>35031</v>
      </c>
      <c r="B13" s="24">
        <v>1</v>
      </c>
      <c r="C13" s="24">
        <v>2500</v>
      </c>
      <c r="D13" s="24">
        <v>1.5</v>
      </c>
      <c r="E13" s="24">
        <v>2500</v>
      </c>
      <c r="F13" s="26">
        <v>2</v>
      </c>
      <c r="G13" s="24">
        <v>2500</v>
      </c>
      <c r="H13" s="24">
        <v>2.5</v>
      </c>
      <c r="I13" s="24">
        <v>2500</v>
      </c>
    </row>
    <row r="14" spans="1:9" ht="18">
      <c r="A14" s="37">
        <v>35028</v>
      </c>
      <c r="B14" s="24">
        <v>1</v>
      </c>
      <c r="C14" s="24">
        <v>2500</v>
      </c>
      <c r="D14" s="24">
        <v>1.5</v>
      </c>
      <c r="E14" s="24">
        <v>2500</v>
      </c>
      <c r="F14" s="26">
        <v>2</v>
      </c>
      <c r="G14" s="24">
        <v>2500</v>
      </c>
      <c r="H14" s="24">
        <v>2.5</v>
      </c>
      <c r="I14" s="24">
        <v>2500</v>
      </c>
    </row>
    <row r="15" spans="1:9" ht="18">
      <c r="A15" s="37">
        <v>71201</v>
      </c>
      <c r="B15" s="24">
        <v>1</v>
      </c>
      <c r="C15" s="24">
        <v>2500</v>
      </c>
      <c r="D15" s="24">
        <v>1.5</v>
      </c>
      <c r="E15" s="24">
        <v>2500</v>
      </c>
      <c r="F15" s="26">
        <v>2</v>
      </c>
      <c r="G15" s="24">
        <v>2500</v>
      </c>
      <c r="H15" s="24">
        <v>2.5</v>
      </c>
      <c r="I15" s="24">
        <v>2500</v>
      </c>
    </row>
    <row r="16" spans="1:9" ht="18">
      <c r="A16" s="37">
        <v>71202</v>
      </c>
      <c r="B16" s="24">
        <v>1</v>
      </c>
      <c r="C16" s="24">
        <v>2500</v>
      </c>
      <c r="D16" s="24">
        <v>1.5</v>
      </c>
      <c r="E16" s="24">
        <v>2500</v>
      </c>
      <c r="F16" s="26">
        <v>2</v>
      </c>
      <c r="G16" s="24">
        <v>2500</v>
      </c>
      <c r="H16" s="24">
        <v>2.5</v>
      </c>
      <c r="I16" s="24">
        <v>2500</v>
      </c>
    </row>
    <row r="17" spans="1:9" ht="18">
      <c r="A17" s="37">
        <v>73204</v>
      </c>
      <c r="B17" s="24">
        <v>1</v>
      </c>
      <c r="C17" s="24">
        <v>2500</v>
      </c>
      <c r="D17" s="24">
        <v>1.5</v>
      </c>
      <c r="E17" s="24">
        <v>2500</v>
      </c>
      <c r="F17" s="26">
        <v>2</v>
      </c>
      <c r="G17" s="24">
        <v>2500</v>
      </c>
      <c r="H17" s="24">
        <v>2.5</v>
      </c>
      <c r="I17" s="24">
        <v>2500</v>
      </c>
    </row>
    <row r="18" spans="1:9" ht="18">
      <c r="A18" s="37">
        <v>73205</v>
      </c>
      <c r="B18" s="24">
        <v>1</v>
      </c>
      <c r="C18" s="24">
        <v>2500</v>
      </c>
      <c r="D18" s="24">
        <v>1.5</v>
      </c>
      <c r="E18" s="24">
        <v>2500</v>
      </c>
      <c r="F18" s="26">
        <v>2</v>
      </c>
      <c r="G18" s="24">
        <v>2500</v>
      </c>
      <c r="H18" s="24">
        <v>2.5</v>
      </c>
      <c r="I18" s="24">
        <v>2500</v>
      </c>
    </row>
    <row r="19" spans="1:9" ht="18">
      <c r="A19" s="37">
        <v>73206</v>
      </c>
      <c r="B19" s="24">
        <v>1</v>
      </c>
      <c r="C19" s="24">
        <v>2500</v>
      </c>
      <c r="D19" s="24">
        <v>1.5</v>
      </c>
      <c r="E19" s="24">
        <v>2500</v>
      </c>
      <c r="F19" s="26">
        <v>2</v>
      </c>
      <c r="G19" s="24">
        <v>2500</v>
      </c>
      <c r="H19" s="24">
        <v>2.5</v>
      </c>
      <c r="I19" s="24">
        <v>2500</v>
      </c>
    </row>
    <row r="20" spans="1:9" ht="18">
      <c r="A20" s="37">
        <v>74215</v>
      </c>
      <c r="B20" s="24">
        <v>1</v>
      </c>
      <c r="C20" s="24">
        <v>10000</v>
      </c>
      <c r="D20" s="24"/>
      <c r="E20" s="24"/>
      <c r="F20" s="26"/>
      <c r="G20" s="24"/>
      <c r="H20" s="24"/>
      <c r="I20" s="24"/>
    </row>
    <row r="21" spans="1:9" ht="18">
      <c r="A21" s="37">
        <v>75208</v>
      </c>
      <c r="B21" s="24">
        <v>1</v>
      </c>
      <c r="C21" s="24">
        <v>2500</v>
      </c>
      <c r="D21" s="24">
        <v>1.5</v>
      </c>
      <c r="E21" s="24">
        <v>2500</v>
      </c>
      <c r="F21" s="26">
        <v>2</v>
      </c>
      <c r="G21" s="24">
        <v>2500</v>
      </c>
      <c r="H21" s="24">
        <v>2.5</v>
      </c>
      <c r="I21" s="24">
        <v>2500</v>
      </c>
    </row>
  </sheetData>
  <phoneticPr fontId="42" type="noConversion"/>
  <pageMargins left="0.75" right="0.75" top="1" bottom="1" header="0.51180555555555596" footer="0.51180555555555596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L58"/>
  <sheetViews>
    <sheetView topLeftCell="A31" workbookViewId="0">
      <selection activeCell="C5" sqref="C5:C19"/>
    </sheetView>
  </sheetViews>
  <sheetFormatPr defaultColWidth="8.796875" defaultRowHeight="15"/>
  <cols>
    <col min="1" max="1" width="9.8984375" customWidth="1"/>
    <col min="2" max="2" width="11" customWidth="1"/>
    <col min="3" max="3" width="6.296875" customWidth="1"/>
    <col min="4" max="4" width="8" customWidth="1"/>
    <col min="5" max="5" width="12.19921875" customWidth="1"/>
    <col min="6" max="6" width="5.296875" customWidth="1"/>
    <col min="7" max="8" width="14.09765625" customWidth="1"/>
    <col min="9" max="9" width="7.296875" customWidth="1"/>
    <col min="10" max="10" width="9.8984375" customWidth="1"/>
    <col min="11" max="11" width="33.19921875" customWidth="1"/>
    <col min="12" max="12" width="9.8984375" customWidth="1"/>
  </cols>
  <sheetData>
    <row r="1" spans="1:12" ht="23.1" customHeight="1">
      <c r="A1" s="29" t="s">
        <v>25</v>
      </c>
      <c r="B1" s="29" t="s">
        <v>1196</v>
      </c>
      <c r="C1" s="29" t="s">
        <v>1197</v>
      </c>
      <c r="D1" s="29" t="s">
        <v>1198</v>
      </c>
      <c r="E1" s="29" t="s">
        <v>29</v>
      </c>
      <c r="F1" s="29" t="s">
        <v>30</v>
      </c>
      <c r="G1" s="24" t="s">
        <v>1199</v>
      </c>
      <c r="H1" s="24" t="s">
        <v>1200</v>
      </c>
      <c r="I1" s="29" t="s">
        <v>1201</v>
      </c>
      <c r="J1" s="29" t="s">
        <v>822</v>
      </c>
      <c r="K1" s="30" t="s">
        <v>429</v>
      </c>
      <c r="L1" s="29" t="s">
        <v>35</v>
      </c>
    </row>
    <row r="2" spans="1:12" ht="23.1" customHeight="1">
      <c r="A2" s="29" t="s">
        <v>39</v>
      </c>
      <c r="B2" s="29" t="s">
        <v>40</v>
      </c>
      <c r="C2" s="29" t="s">
        <v>39</v>
      </c>
      <c r="D2" s="29" t="s">
        <v>39</v>
      </c>
      <c r="E2" s="29" t="s">
        <v>39</v>
      </c>
      <c r="F2" s="29" t="s">
        <v>39</v>
      </c>
      <c r="G2" s="24" t="s">
        <v>41</v>
      </c>
      <c r="H2" s="24" t="s">
        <v>41</v>
      </c>
      <c r="I2" s="29" t="s">
        <v>39</v>
      </c>
      <c r="J2" s="29" t="s">
        <v>39</v>
      </c>
      <c r="K2" s="31" t="s">
        <v>40</v>
      </c>
      <c r="L2" s="29" t="s">
        <v>40</v>
      </c>
    </row>
    <row r="3" spans="1:12" ht="23.1" customHeight="1">
      <c r="A3" s="29" t="s">
        <v>42</v>
      </c>
      <c r="B3" s="29" t="s">
        <v>44</v>
      </c>
      <c r="C3" s="29" t="s">
        <v>45</v>
      </c>
      <c r="D3" s="29" t="s">
        <v>46</v>
      </c>
      <c r="E3" s="25" t="s">
        <v>1202</v>
      </c>
      <c r="F3" s="29" t="s">
        <v>48</v>
      </c>
      <c r="G3" s="24" t="s">
        <v>49</v>
      </c>
      <c r="H3" s="24" t="s">
        <v>50</v>
      </c>
      <c r="I3" s="29" t="s">
        <v>51</v>
      </c>
      <c r="J3" s="32" t="s">
        <v>1203</v>
      </c>
      <c r="K3" s="33" t="s">
        <v>1204</v>
      </c>
      <c r="L3" s="29" t="s">
        <v>53</v>
      </c>
    </row>
    <row r="4" spans="1:12" ht="23.1" customHeight="1">
      <c r="A4" s="29">
        <v>1</v>
      </c>
      <c r="B4" s="29" t="s">
        <v>58</v>
      </c>
      <c r="C4" s="29">
        <v>11001</v>
      </c>
      <c r="D4" s="29">
        <v>1</v>
      </c>
      <c r="E4" s="29">
        <v>0</v>
      </c>
      <c r="F4" s="29">
        <v>2</v>
      </c>
      <c r="G4" s="29">
        <v>2</v>
      </c>
      <c r="H4" s="29">
        <v>2</v>
      </c>
      <c r="I4" s="29">
        <v>0</v>
      </c>
      <c r="J4" s="34">
        <v>5</v>
      </c>
      <c r="K4" s="31" t="s">
        <v>1205</v>
      </c>
      <c r="L4" s="29" t="s">
        <v>58</v>
      </c>
    </row>
    <row r="5" spans="1:12" ht="23.1" customHeight="1">
      <c r="A5" s="29">
        <v>2</v>
      </c>
      <c r="B5" s="29" t="s">
        <v>60</v>
      </c>
      <c r="C5" s="29">
        <v>11002</v>
      </c>
      <c r="D5" s="29">
        <v>1</v>
      </c>
      <c r="E5" s="29">
        <v>0</v>
      </c>
      <c r="F5" s="29">
        <v>2</v>
      </c>
      <c r="G5" s="29">
        <v>2</v>
      </c>
      <c r="H5" s="29">
        <v>2</v>
      </c>
      <c r="I5" s="29">
        <v>0</v>
      </c>
      <c r="J5" s="34">
        <v>5</v>
      </c>
      <c r="K5" s="31" t="s">
        <v>1205</v>
      </c>
      <c r="L5" s="29" t="s">
        <v>60</v>
      </c>
    </row>
    <row r="6" spans="1:12" ht="23.1" customHeight="1">
      <c r="A6" s="29">
        <v>3</v>
      </c>
      <c r="B6" s="29" t="s">
        <v>62</v>
      </c>
      <c r="C6" s="29">
        <v>11003</v>
      </c>
      <c r="D6" s="29">
        <v>1</v>
      </c>
      <c r="E6" s="29">
        <v>0</v>
      </c>
      <c r="F6" s="29">
        <v>3</v>
      </c>
      <c r="G6" s="29">
        <v>3</v>
      </c>
      <c r="H6" s="29">
        <v>3</v>
      </c>
      <c r="I6" s="29">
        <v>0</v>
      </c>
      <c r="J6" s="34">
        <v>5</v>
      </c>
      <c r="K6" s="31" t="s">
        <v>1205</v>
      </c>
      <c r="L6" s="29" t="s">
        <v>62</v>
      </c>
    </row>
    <row r="7" spans="1:12" ht="23.1" customHeight="1">
      <c r="A7" s="29">
        <v>4</v>
      </c>
      <c r="B7" s="29" t="s">
        <v>1206</v>
      </c>
      <c r="C7" s="29">
        <v>11004</v>
      </c>
      <c r="D7" s="29">
        <v>1</v>
      </c>
      <c r="E7" s="29">
        <v>0</v>
      </c>
      <c r="F7" s="29">
        <v>4</v>
      </c>
      <c r="G7" s="29">
        <v>4</v>
      </c>
      <c r="H7" s="29">
        <v>4</v>
      </c>
      <c r="I7" s="29">
        <v>0</v>
      </c>
      <c r="J7" s="34">
        <v>5</v>
      </c>
      <c r="K7" s="31" t="s">
        <v>1205</v>
      </c>
      <c r="L7" s="29" t="s">
        <v>1206</v>
      </c>
    </row>
    <row r="8" spans="1:12" ht="23.1" customHeight="1">
      <c r="A8" s="29">
        <v>5</v>
      </c>
      <c r="B8" s="29" t="s">
        <v>66</v>
      </c>
      <c r="C8" s="29">
        <v>11005</v>
      </c>
      <c r="D8" s="29">
        <v>1</v>
      </c>
      <c r="E8" s="29">
        <v>0</v>
      </c>
      <c r="F8" s="29">
        <v>7</v>
      </c>
      <c r="G8" s="29">
        <v>7</v>
      </c>
      <c r="H8" s="29">
        <v>7</v>
      </c>
      <c r="I8" s="29">
        <v>0</v>
      </c>
      <c r="J8" s="34">
        <v>4</v>
      </c>
      <c r="K8" s="31" t="s">
        <v>1205</v>
      </c>
      <c r="L8" s="29" t="s">
        <v>66</v>
      </c>
    </row>
    <row r="9" spans="1:12" ht="23.1" customHeight="1">
      <c r="A9" s="29">
        <v>6</v>
      </c>
      <c r="B9" s="29" t="s">
        <v>68</v>
      </c>
      <c r="C9" s="29">
        <v>11006</v>
      </c>
      <c r="D9" s="29">
        <v>1</v>
      </c>
      <c r="E9" s="29">
        <v>0</v>
      </c>
      <c r="F9" s="29">
        <v>3</v>
      </c>
      <c r="G9" s="29">
        <v>3</v>
      </c>
      <c r="H9" s="29">
        <v>3</v>
      </c>
      <c r="I9" s="29">
        <v>0</v>
      </c>
      <c r="J9" s="34">
        <v>5</v>
      </c>
      <c r="K9" s="31" t="s">
        <v>1205</v>
      </c>
      <c r="L9" s="29" t="s">
        <v>68</v>
      </c>
    </row>
    <row r="10" spans="1:12" ht="23.1" customHeight="1">
      <c r="A10" s="29">
        <v>7</v>
      </c>
      <c r="B10" s="29" t="s">
        <v>70</v>
      </c>
      <c r="C10" s="29">
        <v>11007</v>
      </c>
      <c r="D10" s="29">
        <v>1</v>
      </c>
      <c r="E10" s="29">
        <v>0</v>
      </c>
      <c r="F10" s="29">
        <v>4</v>
      </c>
      <c r="G10" s="29">
        <v>4</v>
      </c>
      <c r="H10" s="29">
        <v>4</v>
      </c>
      <c r="I10" s="29">
        <v>0</v>
      </c>
      <c r="J10" s="34">
        <v>5</v>
      </c>
      <c r="K10" s="31" t="s">
        <v>1205</v>
      </c>
      <c r="L10" s="29" t="s">
        <v>70</v>
      </c>
    </row>
    <row r="11" spans="1:12" ht="23.1" customHeight="1">
      <c r="A11" s="29">
        <v>8</v>
      </c>
      <c r="B11" s="29" t="s">
        <v>72</v>
      </c>
      <c r="C11" s="29">
        <v>11008</v>
      </c>
      <c r="D11" s="29">
        <v>1</v>
      </c>
      <c r="E11" s="29">
        <v>0</v>
      </c>
      <c r="F11" s="29">
        <v>5</v>
      </c>
      <c r="G11" s="29">
        <v>5</v>
      </c>
      <c r="H11" s="29">
        <v>5</v>
      </c>
      <c r="I11" s="29">
        <v>0</v>
      </c>
      <c r="J11" s="34">
        <v>5</v>
      </c>
      <c r="K11" s="31" t="s">
        <v>1205</v>
      </c>
      <c r="L11" s="29" t="s">
        <v>72</v>
      </c>
    </row>
    <row r="12" spans="1:12" ht="23.1" customHeight="1">
      <c r="A12" s="29">
        <v>9</v>
      </c>
      <c r="B12" s="29" t="s">
        <v>74</v>
      </c>
      <c r="C12" s="29">
        <v>11009</v>
      </c>
      <c r="D12" s="29">
        <v>1</v>
      </c>
      <c r="E12" s="29">
        <v>0</v>
      </c>
      <c r="F12" s="29">
        <v>6</v>
      </c>
      <c r="G12" s="29">
        <v>6</v>
      </c>
      <c r="H12" s="29">
        <v>6</v>
      </c>
      <c r="I12" s="29">
        <v>0</v>
      </c>
      <c r="J12" s="34">
        <v>4</v>
      </c>
      <c r="K12" s="31" t="s">
        <v>1207</v>
      </c>
      <c r="L12" s="29" t="s">
        <v>74</v>
      </c>
    </row>
    <row r="13" spans="1:12" ht="23.1" customHeight="1">
      <c r="A13" s="29">
        <v>10</v>
      </c>
      <c r="B13" s="29" t="s">
        <v>78</v>
      </c>
      <c r="C13" s="29">
        <v>11010</v>
      </c>
      <c r="D13" s="29">
        <v>1</v>
      </c>
      <c r="E13" s="29">
        <v>0</v>
      </c>
      <c r="F13" s="29">
        <v>8</v>
      </c>
      <c r="G13" s="29">
        <v>8</v>
      </c>
      <c r="H13" s="29">
        <v>8</v>
      </c>
      <c r="I13" s="29">
        <v>0</v>
      </c>
      <c r="J13" s="34">
        <v>4</v>
      </c>
      <c r="K13" s="31" t="s">
        <v>1207</v>
      </c>
      <c r="L13" s="29" t="s">
        <v>78</v>
      </c>
    </row>
    <row r="14" spans="1:12" ht="23.1" customHeight="1">
      <c r="A14" s="29">
        <v>11</v>
      </c>
      <c r="B14" s="29" t="s">
        <v>80</v>
      </c>
      <c r="C14" s="29">
        <v>11011</v>
      </c>
      <c r="D14" s="29">
        <v>1</v>
      </c>
      <c r="E14" s="29">
        <v>0</v>
      </c>
      <c r="F14" s="29">
        <v>7</v>
      </c>
      <c r="G14" s="29">
        <v>7</v>
      </c>
      <c r="H14" s="29">
        <v>7</v>
      </c>
      <c r="I14" s="29">
        <v>0</v>
      </c>
      <c r="J14" s="34">
        <v>4</v>
      </c>
      <c r="K14" s="31" t="s">
        <v>1207</v>
      </c>
      <c r="L14" s="29" t="s">
        <v>80</v>
      </c>
    </row>
    <row r="15" spans="1:12" ht="23.1" customHeight="1">
      <c r="A15" s="29">
        <v>12</v>
      </c>
      <c r="B15" s="29" t="s">
        <v>82</v>
      </c>
      <c r="C15" s="29">
        <v>11012</v>
      </c>
      <c r="D15" s="29">
        <v>1</v>
      </c>
      <c r="E15" s="29">
        <v>0</v>
      </c>
      <c r="F15" s="29">
        <v>10</v>
      </c>
      <c r="G15" s="29">
        <v>10</v>
      </c>
      <c r="H15" s="29">
        <v>10</v>
      </c>
      <c r="I15" s="29">
        <v>0</v>
      </c>
      <c r="J15" s="34">
        <v>3</v>
      </c>
      <c r="K15" s="31" t="s">
        <v>1207</v>
      </c>
      <c r="L15" s="29" t="s">
        <v>82</v>
      </c>
    </row>
    <row r="16" spans="1:12" ht="23.1" customHeight="1">
      <c r="A16" s="29">
        <v>13</v>
      </c>
      <c r="B16" s="29" t="s">
        <v>84</v>
      </c>
      <c r="C16" s="29">
        <v>11013</v>
      </c>
      <c r="D16" s="29">
        <v>1</v>
      </c>
      <c r="E16" s="29">
        <v>0</v>
      </c>
      <c r="F16" s="29">
        <v>18</v>
      </c>
      <c r="G16" s="29">
        <v>18</v>
      </c>
      <c r="H16" s="29">
        <v>18</v>
      </c>
      <c r="I16" s="29">
        <v>0</v>
      </c>
      <c r="J16" s="34">
        <v>3</v>
      </c>
      <c r="K16" s="31" t="s">
        <v>1208</v>
      </c>
      <c r="L16" s="29" t="s">
        <v>84</v>
      </c>
    </row>
    <row r="17" spans="1:12" ht="23.1" customHeight="1">
      <c r="A17" s="29">
        <v>15</v>
      </c>
      <c r="B17" s="29" t="s">
        <v>88</v>
      </c>
      <c r="C17" s="29">
        <v>11015</v>
      </c>
      <c r="D17" s="29">
        <v>1</v>
      </c>
      <c r="E17" s="29">
        <v>0</v>
      </c>
      <c r="F17" s="29">
        <v>12</v>
      </c>
      <c r="G17" s="29">
        <v>12</v>
      </c>
      <c r="H17" s="29">
        <v>12</v>
      </c>
      <c r="I17" s="29">
        <v>0</v>
      </c>
      <c r="J17" s="34">
        <v>3</v>
      </c>
      <c r="K17" s="31" t="s">
        <v>1208</v>
      </c>
      <c r="L17" s="29" t="s">
        <v>88</v>
      </c>
    </row>
    <row r="18" spans="1:12" ht="23.1" customHeight="1">
      <c r="A18" s="29">
        <v>16</v>
      </c>
      <c r="B18" s="29" t="s">
        <v>90</v>
      </c>
      <c r="C18" s="29">
        <v>11016</v>
      </c>
      <c r="D18" s="29">
        <v>1</v>
      </c>
      <c r="E18" s="29">
        <v>0</v>
      </c>
      <c r="F18" s="29">
        <v>20</v>
      </c>
      <c r="G18" s="29">
        <v>20</v>
      </c>
      <c r="H18" s="29">
        <v>20</v>
      </c>
      <c r="I18" s="29">
        <v>0</v>
      </c>
      <c r="J18" s="34">
        <v>3</v>
      </c>
      <c r="K18" s="31" t="s">
        <v>1208</v>
      </c>
      <c r="L18" s="29" t="s">
        <v>90</v>
      </c>
    </row>
    <row r="19" spans="1:12" ht="23.1" customHeight="1">
      <c r="A19" s="29">
        <v>17</v>
      </c>
      <c r="B19" s="29" t="s">
        <v>92</v>
      </c>
      <c r="C19" s="29">
        <v>11017</v>
      </c>
      <c r="D19" s="29">
        <v>1</v>
      </c>
      <c r="E19" s="29">
        <v>0</v>
      </c>
      <c r="F19" s="29">
        <v>9</v>
      </c>
      <c r="G19" s="29">
        <v>9</v>
      </c>
      <c r="H19" s="29">
        <v>9</v>
      </c>
      <c r="I19" s="29">
        <v>0</v>
      </c>
      <c r="J19" s="34">
        <v>4</v>
      </c>
      <c r="K19" s="31" t="s">
        <v>1208</v>
      </c>
      <c r="L19" s="29" t="s">
        <v>92</v>
      </c>
    </row>
    <row r="20" spans="1:12" ht="23.1" customHeight="1">
      <c r="A20" s="29">
        <v>18</v>
      </c>
      <c r="B20" s="29" t="s">
        <v>346</v>
      </c>
      <c r="C20" s="29">
        <v>11018</v>
      </c>
      <c r="D20" s="29">
        <v>1</v>
      </c>
      <c r="E20" s="29">
        <v>0</v>
      </c>
      <c r="F20" s="29">
        <v>60</v>
      </c>
      <c r="G20" s="29">
        <v>60</v>
      </c>
      <c r="H20" s="29">
        <v>60</v>
      </c>
      <c r="I20" s="29">
        <v>0</v>
      </c>
      <c r="J20" s="34">
        <v>2</v>
      </c>
      <c r="K20" s="31">
        <v>44103</v>
      </c>
      <c r="L20" s="29" t="s">
        <v>346</v>
      </c>
    </row>
    <row r="21" spans="1:12" ht="23.1" customHeight="1">
      <c r="A21" s="29">
        <v>20</v>
      </c>
      <c r="B21" s="29" t="s">
        <v>94</v>
      </c>
      <c r="C21" s="29">
        <v>11020</v>
      </c>
      <c r="D21" s="29">
        <v>1</v>
      </c>
      <c r="E21" s="29">
        <v>0</v>
      </c>
      <c r="F21" s="29">
        <v>16</v>
      </c>
      <c r="G21" s="29">
        <v>16</v>
      </c>
      <c r="H21" s="29">
        <v>16</v>
      </c>
      <c r="I21" s="29">
        <v>0</v>
      </c>
      <c r="J21" s="34">
        <v>3</v>
      </c>
      <c r="K21" s="31">
        <v>44103</v>
      </c>
      <c r="L21" s="29" t="s">
        <v>94</v>
      </c>
    </row>
    <row r="22" spans="1:12" ht="23.1" customHeight="1">
      <c r="A22" s="29">
        <v>21</v>
      </c>
      <c r="B22" s="29" t="s">
        <v>350</v>
      </c>
      <c r="C22" s="29">
        <v>11021</v>
      </c>
      <c r="D22" s="29">
        <v>1</v>
      </c>
      <c r="E22" s="29">
        <v>0</v>
      </c>
      <c r="F22" s="29">
        <v>100</v>
      </c>
      <c r="G22" s="29">
        <v>100</v>
      </c>
      <c r="H22" s="29">
        <v>100</v>
      </c>
      <c r="I22" s="29">
        <v>0</v>
      </c>
      <c r="J22" s="34">
        <v>3</v>
      </c>
      <c r="K22" s="31">
        <v>44103</v>
      </c>
      <c r="L22" s="29" t="s">
        <v>350</v>
      </c>
    </row>
    <row r="23" spans="1:12" ht="23.1" customHeight="1">
      <c r="A23" s="29">
        <v>24</v>
      </c>
      <c r="B23" s="29" t="s">
        <v>96</v>
      </c>
      <c r="C23" s="29">
        <v>11024</v>
      </c>
      <c r="D23" s="29">
        <v>1</v>
      </c>
      <c r="E23" s="29">
        <v>0</v>
      </c>
      <c r="F23" s="29">
        <v>30</v>
      </c>
      <c r="G23" s="29">
        <v>30</v>
      </c>
      <c r="H23" s="29">
        <v>30</v>
      </c>
      <c r="I23" s="29">
        <v>0</v>
      </c>
      <c r="J23" s="34">
        <v>3</v>
      </c>
      <c r="K23" s="31">
        <v>44103</v>
      </c>
      <c r="L23" s="29" t="s">
        <v>96</v>
      </c>
    </row>
    <row r="24" spans="1:12" ht="23.1" customHeight="1">
      <c r="A24" s="29">
        <v>25</v>
      </c>
      <c r="B24" s="29" t="s">
        <v>100</v>
      </c>
      <c r="C24" s="29">
        <v>11025</v>
      </c>
      <c r="D24" s="29">
        <v>1</v>
      </c>
      <c r="E24" s="29">
        <v>0</v>
      </c>
      <c r="F24" s="29">
        <v>40</v>
      </c>
      <c r="G24" s="29">
        <v>40</v>
      </c>
      <c r="H24" s="29">
        <v>40</v>
      </c>
      <c r="I24" s="29">
        <v>0</v>
      </c>
      <c r="J24" s="34">
        <v>3</v>
      </c>
      <c r="K24" s="31">
        <v>44103</v>
      </c>
      <c r="L24" s="29" t="s">
        <v>100</v>
      </c>
    </row>
    <row r="25" spans="1:12" ht="23.1" customHeight="1">
      <c r="A25" s="29">
        <v>26</v>
      </c>
      <c r="B25" s="29" t="s">
        <v>352</v>
      </c>
      <c r="C25" s="29">
        <v>11026</v>
      </c>
      <c r="D25" s="29">
        <v>1</v>
      </c>
      <c r="E25" s="29">
        <v>0</v>
      </c>
      <c r="F25" s="29">
        <v>160</v>
      </c>
      <c r="G25" s="29">
        <v>160</v>
      </c>
      <c r="H25" s="29">
        <v>160</v>
      </c>
      <c r="I25" s="29">
        <v>0</v>
      </c>
      <c r="J25" s="34">
        <v>2</v>
      </c>
      <c r="K25" s="31">
        <v>44103</v>
      </c>
      <c r="L25" s="29" t="s">
        <v>352</v>
      </c>
    </row>
    <row r="26" spans="1:12" ht="23.1" customHeight="1">
      <c r="A26" s="29">
        <v>26</v>
      </c>
      <c r="B26" s="29" t="s">
        <v>86</v>
      </c>
      <c r="C26" s="29">
        <v>11235</v>
      </c>
      <c r="D26" s="29">
        <v>1</v>
      </c>
      <c r="E26" s="29">
        <v>0</v>
      </c>
      <c r="F26" s="29">
        <v>15</v>
      </c>
      <c r="G26" s="29">
        <v>15</v>
      </c>
      <c r="H26" s="29">
        <v>15</v>
      </c>
      <c r="I26" s="29">
        <v>0</v>
      </c>
      <c r="J26" s="34">
        <v>3</v>
      </c>
      <c r="K26" s="31"/>
      <c r="L26" s="29" t="s">
        <v>86</v>
      </c>
    </row>
    <row r="27" spans="1:12" ht="23.1" customHeight="1">
      <c r="A27" s="29">
        <v>26</v>
      </c>
      <c r="B27" s="29" t="s">
        <v>76</v>
      </c>
      <c r="C27" s="29">
        <v>11085</v>
      </c>
      <c r="D27" s="29">
        <v>1</v>
      </c>
      <c r="E27" s="29">
        <v>0</v>
      </c>
      <c r="F27" s="29">
        <v>4</v>
      </c>
      <c r="G27" s="29">
        <v>4</v>
      </c>
      <c r="H27" s="29">
        <v>4</v>
      </c>
      <c r="I27" s="29">
        <v>0</v>
      </c>
      <c r="J27" s="34">
        <v>5</v>
      </c>
      <c r="K27" s="31"/>
      <c r="L27" s="29" t="s">
        <v>76</v>
      </c>
    </row>
    <row r="28" spans="1:12" ht="23.1" customHeight="1">
      <c r="A28" s="29">
        <v>26</v>
      </c>
      <c r="B28" s="29" t="s">
        <v>98</v>
      </c>
      <c r="C28" s="29">
        <v>11090</v>
      </c>
      <c r="D28" s="29">
        <v>1</v>
      </c>
      <c r="E28" s="29">
        <v>0</v>
      </c>
      <c r="F28" s="29">
        <v>25</v>
      </c>
      <c r="G28" s="29">
        <v>25</v>
      </c>
      <c r="H28" s="29">
        <v>25</v>
      </c>
      <c r="I28" s="29">
        <v>0</v>
      </c>
      <c r="J28" s="34">
        <v>3</v>
      </c>
      <c r="K28" s="31"/>
      <c r="L28" s="29" t="s">
        <v>98</v>
      </c>
    </row>
    <row r="29" spans="1:12" ht="23.1" customHeight="1">
      <c r="A29" s="29">
        <v>26</v>
      </c>
      <c r="B29" s="29" t="s">
        <v>348</v>
      </c>
      <c r="C29" s="29">
        <v>11092</v>
      </c>
      <c r="D29" s="29">
        <v>1</v>
      </c>
      <c r="E29" s="29">
        <v>0</v>
      </c>
      <c r="F29" s="29">
        <v>120</v>
      </c>
      <c r="G29" s="29">
        <v>120</v>
      </c>
      <c r="H29" s="29">
        <v>120</v>
      </c>
      <c r="I29" s="29">
        <v>0</v>
      </c>
      <c r="J29" s="34">
        <v>3</v>
      </c>
      <c r="K29" s="31"/>
      <c r="L29" s="29" t="s">
        <v>348</v>
      </c>
    </row>
    <row r="30" spans="1:12" ht="23.1" customHeight="1">
      <c r="A30" s="29">
        <v>26</v>
      </c>
      <c r="B30" s="29" t="s">
        <v>102</v>
      </c>
      <c r="C30" s="29">
        <v>11211</v>
      </c>
      <c r="D30" s="29">
        <v>1</v>
      </c>
      <c r="E30" s="29">
        <v>0</v>
      </c>
      <c r="F30" s="29">
        <v>50</v>
      </c>
      <c r="G30" s="29">
        <v>50</v>
      </c>
      <c r="H30" s="29">
        <v>50</v>
      </c>
      <c r="I30" s="29">
        <v>0</v>
      </c>
      <c r="J30" s="34">
        <v>3</v>
      </c>
      <c r="K30" s="31"/>
      <c r="L30" s="29" t="s">
        <v>102</v>
      </c>
    </row>
    <row r="31" spans="1:12" ht="23.1" customHeight="1">
      <c r="A31" s="29">
        <v>26</v>
      </c>
      <c r="B31" s="29" t="s">
        <v>354</v>
      </c>
      <c r="C31" s="29">
        <v>11027</v>
      </c>
      <c r="D31" s="29">
        <v>1</v>
      </c>
      <c r="E31" s="29">
        <v>0</v>
      </c>
      <c r="F31" s="29">
        <v>200</v>
      </c>
      <c r="G31" s="29">
        <v>200</v>
      </c>
      <c r="H31" s="29">
        <v>200</v>
      </c>
      <c r="I31" s="29">
        <v>0</v>
      </c>
      <c r="J31" s="34">
        <v>3</v>
      </c>
      <c r="K31" s="31"/>
      <c r="L31" s="29" t="s">
        <v>354</v>
      </c>
    </row>
    <row r="32" spans="1:12" ht="23.1" customHeight="1">
      <c r="A32" s="29">
        <v>26</v>
      </c>
      <c r="B32" s="29" t="s">
        <v>356</v>
      </c>
      <c r="C32" s="29">
        <v>11214</v>
      </c>
      <c r="D32" s="29">
        <v>1</v>
      </c>
      <c r="E32" s="29">
        <v>0</v>
      </c>
      <c r="F32" s="29">
        <v>80</v>
      </c>
      <c r="G32" s="29">
        <v>80</v>
      </c>
      <c r="H32" s="29">
        <v>80</v>
      </c>
      <c r="I32" s="29">
        <v>0</v>
      </c>
      <c r="J32" s="34">
        <v>3</v>
      </c>
      <c r="K32" s="31"/>
      <c r="L32" s="29" t="s">
        <v>356</v>
      </c>
    </row>
    <row r="33" spans="1:12" ht="23.1" customHeight="1">
      <c r="A33" s="29">
        <v>26</v>
      </c>
      <c r="B33" s="29" t="s">
        <v>357</v>
      </c>
      <c r="C33" s="29">
        <v>11231</v>
      </c>
      <c r="D33" s="29">
        <v>1</v>
      </c>
      <c r="E33" s="29">
        <v>0</v>
      </c>
      <c r="F33" s="29">
        <v>250</v>
      </c>
      <c r="G33" s="29">
        <v>250</v>
      </c>
      <c r="H33" s="29">
        <v>250</v>
      </c>
      <c r="I33" s="29">
        <v>0</v>
      </c>
      <c r="J33" s="34">
        <v>3</v>
      </c>
      <c r="K33" s="31"/>
      <c r="L33" s="29" t="s">
        <v>357</v>
      </c>
    </row>
    <row r="34" spans="1:12" ht="23.1" customHeight="1">
      <c r="A34" s="29">
        <v>28</v>
      </c>
      <c r="B34" s="29" t="s">
        <v>104</v>
      </c>
      <c r="C34" s="29">
        <v>12028</v>
      </c>
      <c r="D34" s="29">
        <v>2</v>
      </c>
      <c r="E34" s="29">
        <v>0</v>
      </c>
      <c r="F34" s="29">
        <v>234</v>
      </c>
      <c r="G34" s="29">
        <v>234</v>
      </c>
      <c r="H34" s="29">
        <v>234</v>
      </c>
      <c r="I34" s="29">
        <v>0</v>
      </c>
      <c r="J34" s="34">
        <v>1</v>
      </c>
      <c r="K34" s="31"/>
      <c r="L34" s="29" t="s">
        <v>104</v>
      </c>
    </row>
    <row r="35" spans="1:12" ht="23.1" customHeight="1">
      <c r="A35" s="29">
        <v>29</v>
      </c>
      <c r="B35" s="29" t="s">
        <v>359</v>
      </c>
      <c r="C35" s="29">
        <v>12029</v>
      </c>
      <c r="D35" s="29">
        <v>2</v>
      </c>
      <c r="E35" s="29">
        <v>0</v>
      </c>
      <c r="F35" s="29">
        <v>250</v>
      </c>
      <c r="G35" s="29">
        <v>250</v>
      </c>
      <c r="H35" s="29">
        <v>250</v>
      </c>
      <c r="I35" s="29">
        <v>250</v>
      </c>
      <c r="J35" s="34">
        <v>1</v>
      </c>
      <c r="K35" s="31"/>
      <c r="L35" s="29" t="s">
        <v>359</v>
      </c>
    </row>
    <row r="36" spans="1:12" ht="23.1" customHeight="1">
      <c r="A36" s="29">
        <v>31</v>
      </c>
      <c r="B36" s="29" t="s">
        <v>108</v>
      </c>
      <c r="C36" s="29">
        <v>12031</v>
      </c>
      <c r="D36" s="29">
        <v>2</v>
      </c>
      <c r="E36" s="29">
        <v>0</v>
      </c>
      <c r="F36" s="29">
        <v>467</v>
      </c>
      <c r="G36" s="29">
        <v>467</v>
      </c>
      <c r="H36" s="29">
        <v>467</v>
      </c>
      <c r="I36" s="29">
        <v>0</v>
      </c>
      <c r="J36" s="34">
        <v>1</v>
      </c>
      <c r="K36" s="31"/>
      <c r="L36" s="29" t="s">
        <v>108</v>
      </c>
    </row>
    <row r="37" spans="1:12" ht="23.1" customHeight="1">
      <c r="A37" s="29">
        <v>32</v>
      </c>
      <c r="B37" s="29" t="s">
        <v>1209</v>
      </c>
      <c r="C37" s="29">
        <v>12032</v>
      </c>
      <c r="D37" s="29">
        <v>2</v>
      </c>
      <c r="E37" s="29">
        <v>0</v>
      </c>
      <c r="F37" s="29">
        <v>156</v>
      </c>
      <c r="G37" s="29">
        <v>156</v>
      </c>
      <c r="H37" s="29">
        <v>156</v>
      </c>
      <c r="I37" s="29">
        <v>0</v>
      </c>
      <c r="J37" s="34">
        <v>1</v>
      </c>
      <c r="K37" s="31"/>
      <c r="L37" s="29" t="s">
        <v>1209</v>
      </c>
    </row>
    <row r="38" spans="1:12" ht="23.1" customHeight="1">
      <c r="A38" s="29">
        <v>37</v>
      </c>
      <c r="B38" s="29" t="s">
        <v>117</v>
      </c>
      <c r="C38" s="29">
        <v>14009</v>
      </c>
      <c r="D38" s="29">
        <v>3</v>
      </c>
      <c r="E38" s="29">
        <v>0</v>
      </c>
      <c r="F38" s="29">
        <v>15</v>
      </c>
      <c r="G38" s="29">
        <v>15</v>
      </c>
      <c r="H38" s="29">
        <v>15</v>
      </c>
      <c r="I38" s="29">
        <v>0</v>
      </c>
      <c r="J38" s="34">
        <v>4</v>
      </c>
      <c r="K38" s="31"/>
      <c r="L38" s="29" t="s">
        <v>117</v>
      </c>
    </row>
    <row r="39" spans="1:12" ht="23.1" customHeight="1">
      <c r="A39" s="29">
        <v>38</v>
      </c>
      <c r="B39" s="29" t="s">
        <v>118</v>
      </c>
      <c r="C39" s="29">
        <v>14011</v>
      </c>
      <c r="D39" s="29">
        <v>3</v>
      </c>
      <c r="E39" s="29">
        <v>0</v>
      </c>
      <c r="F39" s="29">
        <v>18</v>
      </c>
      <c r="G39" s="29">
        <v>18</v>
      </c>
      <c r="H39" s="29">
        <v>18</v>
      </c>
      <c r="I39" s="29">
        <v>0</v>
      </c>
      <c r="J39" s="34">
        <v>4</v>
      </c>
      <c r="K39" s="31"/>
      <c r="L39" s="29" t="s">
        <v>118</v>
      </c>
    </row>
    <row r="40" spans="1:12" ht="23.1" customHeight="1">
      <c r="A40" s="29">
        <v>39</v>
      </c>
      <c r="B40" s="29" t="s">
        <v>119</v>
      </c>
      <c r="C40" s="29">
        <v>14013</v>
      </c>
      <c r="D40" s="29">
        <v>3</v>
      </c>
      <c r="E40" s="29">
        <v>0</v>
      </c>
      <c r="F40" s="29">
        <v>45</v>
      </c>
      <c r="G40" s="29">
        <v>45</v>
      </c>
      <c r="H40" s="29">
        <v>45</v>
      </c>
      <c r="I40" s="29">
        <v>0</v>
      </c>
      <c r="J40" s="34">
        <v>3</v>
      </c>
      <c r="K40" s="31"/>
      <c r="L40" s="29" t="s">
        <v>119</v>
      </c>
    </row>
    <row r="41" spans="1:12" ht="23.1" customHeight="1">
      <c r="A41" s="29">
        <v>40</v>
      </c>
      <c r="B41" s="29" t="s">
        <v>120</v>
      </c>
      <c r="C41" s="29">
        <v>14015</v>
      </c>
      <c r="D41" s="29">
        <v>3</v>
      </c>
      <c r="E41" s="29">
        <v>0</v>
      </c>
      <c r="F41" s="29">
        <v>30</v>
      </c>
      <c r="G41" s="29">
        <v>30</v>
      </c>
      <c r="H41" s="29">
        <v>30</v>
      </c>
      <c r="I41" s="29">
        <v>0</v>
      </c>
      <c r="J41" s="34">
        <v>3</v>
      </c>
      <c r="K41" s="31"/>
      <c r="L41" s="29" t="s">
        <v>120</v>
      </c>
    </row>
    <row r="42" spans="1:12" ht="23.1" customHeight="1">
      <c r="A42" s="29">
        <v>44</v>
      </c>
      <c r="B42" s="29" t="s">
        <v>121</v>
      </c>
      <c r="C42" s="29">
        <v>14020</v>
      </c>
      <c r="D42" s="29">
        <v>3</v>
      </c>
      <c r="E42" s="29">
        <v>0</v>
      </c>
      <c r="F42" s="29">
        <v>40</v>
      </c>
      <c r="G42" s="29">
        <v>40</v>
      </c>
      <c r="H42" s="29">
        <v>40</v>
      </c>
      <c r="I42" s="29">
        <v>0</v>
      </c>
      <c r="J42" s="34">
        <v>3</v>
      </c>
      <c r="K42" s="31"/>
      <c r="L42" s="29" t="s">
        <v>121</v>
      </c>
    </row>
    <row r="43" spans="1:12" ht="23.1" customHeight="1">
      <c r="A43" s="29">
        <v>48</v>
      </c>
      <c r="B43" s="29" t="s">
        <v>122</v>
      </c>
      <c r="C43" s="29">
        <v>14024</v>
      </c>
      <c r="D43" s="29">
        <v>3</v>
      </c>
      <c r="E43" s="29">
        <v>0</v>
      </c>
      <c r="F43" s="29">
        <v>75</v>
      </c>
      <c r="G43" s="29">
        <v>75</v>
      </c>
      <c r="H43" s="29">
        <v>75</v>
      </c>
      <c r="I43" s="29">
        <v>0</v>
      </c>
      <c r="J43" s="34">
        <v>2</v>
      </c>
      <c r="K43" s="31"/>
      <c r="L43" s="29" t="s">
        <v>122</v>
      </c>
    </row>
    <row r="44" spans="1:12" ht="23.1" customHeight="1">
      <c r="A44" s="29">
        <v>49</v>
      </c>
      <c r="B44" s="29" t="s">
        <v>1210</v>
      </c>
      <c r="C44" s="29">
        <v>14025</v>
      </c>
      <c r="D44" s="29">
        <v>3</v>
      </c>
      <c r="E44" s="29">
        <v>0</v>
      </c>
      <c r="F44" s="29">
        <v>100</v>
      </c>
      <c r="G44" s="29">
        <v>100</v>
      </c>
      <c r="H44" s="29">
        <v>100</v>
      </c>
      <c r="I44" s="29">
        <v>0</v>
      </c>
      <c r="J44" s="34">
        <v>2</v>
      </c>
      <c r="K44" s="31"/>
      <c r="L44" s="29" t="s">
        <v>1210</v>
      </c>
    </row>
    <row r="45" spans="1:12" ht="23.1" customHeight="1">
      <c r="A45" s="29">
        <v>49</v>
      </c>
      <c r="B45" s="29" t="s">
        <v>86</v>
      </c>
      <c r="C45" s="29">
        <v>14235</v>
      </c>
      <c r="D45" s="29">
        <v>3</v>
      </c>
      <c r="E45" s="29">
        <v>0</v>
      </c>
      <c r="F45" s="29">
        <v>38</v>
      </c>
      <c r="G45" s="29">
        <v>38</v>
      </c>
      <c r="H45" s="29">
        <v>38</v>
      </c>
      <c r="I45" s="29">
        <v>0</v>
      </c>
      <c r="J45" s="34">
        <v>2</v>
      </c>
      <c r="K45" s="31"/>
      <c r="L45" s="29" t="s">
        <v>86</v>
      </c>
    </row>
    <row r="46" spans="1:12" ht="23.1" customHeight="1">
      <c r="A46" s="29">
        <v>49</v>
      </c>
      <c r="B46" s="29" t="s">
        <v>98</v>
      </c>
      <c r="C46" s="29">
        <v>14090</v>
      </c>
      <c r="D46" s="29">
        <v>3</v>
      </c>
      <c r="E46" s="29">
        <v>0</v>
      </c>
      <c r="F46" s="29">
        <v>63</v>
      </c>
      <c r="G46" s="29">
        <v>63</v>
      </c>
      <c r="H46" s="29">
        <v>63</v>
      </c>
      <c r="I46" s="29">
        <v>0</v>
      </c>
      <c r="J46" s="34">
        <v>2</v>
      </c>
      <c r="K46" s="31"/>
      <c r="L46" s="29" t="s">
        <v>98</v>
      </c>
    </row>
    <row r="47" spans="1:12" ht="23.1" customHeight="1">
      <c r="A47" s="29">
        <v>50</v>
      </c>
      <c r="B47" s="29" t="s">
        <v>128</v>
      </c>
      <c r="C47" s="29">
        <v>15033</v>
      </c>
      <c r="D47" s="29">
        <v>4</v>
      </c>
      <c r="E47" s="29">
        <v>0</v>
      </c>
      <c r="F47" s="29">
        <v>1</v>
      </c>
      <c r="G47" s="29">
        <v>100000</v>
      </c>
      <c r="H47" s="29">
        <v>100000</v>
      </c>
      <c r="I47" s="29">
        <v>100000</v>
      </c>
      <c r="J47" s="34">
        <v>1</v>
      </c>
      <c r="K47" s="31"/>
      <c r="L47" s="29" t="s">
        <v>128</v>
      </c>
    </row>
    <row r="48" spans="1:12" ht="23.1" customHeight="1">
      <c r="A48" s="29">
        <v>51</v>
      </c>
      <c r="B48" s="29" t="s">
        <v>131</v>
      </c>
      <c r="C48" s="29">
        <v>15034</v>
      </c>
      <c r="D48" s="29">
        <v>4</v>
      </c>
      <c r="E48" s="29">
        <v>0</v>
      </c>
      <c r="F48" s="29">
        <v>5</v>
      </c>
      <c r="G48" s="29">
        <v>100000</v>
      </c>
      <c r="H48" s="29">
        <v>100000</v>
      </c>
      <c r="I48" s="29">
        <v>100000</v>
      </c>
      <c r="J48" s="34">
        <v>1</v>
      </c>
      <c r="K48" s="31"/>
      <c r="L48" s="29" t="s">
        <v>131</v>
      </c>
    </row>
    <row r="49" spans="1:12" ht="23.1" customHeight="1">
      <c r="A49" s="29">
        <v>52</v>
      </c>
      <c r="B49" s="29" t="s">
        <v>134</v>
      </c>
      <c r="C49" s="29">
        <v>15035</v>
      </c>
      <c r="D49" s="29">
        <v>4</v>
      </c>
      <c r="E49" s="29">
        <v>0</v>
      </c>
      <c r="F49" s="29">
        <v>10</v>
      </c>
      <c r="G49" s="29">
        <v>100000</v>
      </c>
      <c r="H49" s="29">
        <v>100000</v>
      </c>
      <c r="I49" s="29">
        <v>100000</v>
      </c>
      <c r="J49" s="34">
        <v>1</v>
      </c>
      <c r="K49" s="31"/>
      <c r="L49" s="29" t="s">
        <v>134</v>
      </c>
    </row>
    <row r="50" spans="1:12" ht="23.1" customHeight="1">
      <c r="A50" s="29">
        <v>53</v>
      </c>
      <c r="B50" s="29" t="s">
        <v>137</v>
      </c>
      <c r="C50" s="29">
        <v>15036</v>
      </c>
      <c r="D50" s="29">
        <v>4</v>
      </c>
      <c r="E50" s="29">
        <v>0</v>
      </c>
      <c r="F50" s="29">
        <v>40</v>
      </c>
      <c r="G50" s="29">
        <v>100000</v>
      </c>
      <c r="H50" s="29">
        <v>100000</v>
      </c>
      <c r="I50" s="29">
        <v>100000</v>
      </c>
      <c r="J50" s="34">
        <v>1</v>
      </c>
      <c r="K50" s="31"/>
      <c r="L50" s="29" t="s">
        <v>137</v>
      </c>
    </row>
    <row r="51" spans="1:12" ht="23.1" customHeight="1">
      <c r="A51" s="29">
        <v>54</v>
      </c>
      <c r="B51" s="29" t="s">
        <v>140</v>
      </c>
      <c r="C51" s="29">
        <v>15037</v>
      </c>
      <c r="D51" s="29">
        <v>4</v>
      </c>
      <c r="E51" s="29">
        <v>0</v>
      </c>
      <c r="F51" s="29">
        <v>100</v>
      </c>
      <c r="G51" s="29">
        <v>100000</v>
      </c>
      <c r="H51" s="29">
        <v>100000</v>
      </c>
      <c r="I51" s="29">
        <v>100000</v>
      </c>
      <c r="J51" s="34">
        <v>1</v>
      </c>
      <c r="K51" s="31"/>
      <c r="L51" s="29" t="s">
        <v>140</v>
      </c>
    </row>
    <row r="52" spans="1:12" ht="23.1" customHeight="1">
      <c r="A52" s="29">
        <v>55</v>
      </c>
      <c r="B52" s="29" t="s">
        <v>143</v>
      </c>
      <c r="C52" s="29">
        <v>15038</v>
      </c>
      <c r="D52" s="29">
        <v>4</v>
      </c>
      <c r="E52" s="29">
        <v>0</v>
      </c>
      <c r="F52" s="29">
        <v>200</v>
      </c>
      <c r="G52" s="29">
        <v>100000</v>
      </c>
      <c r="H52" s="29">
        <v>100000</v>
      </c>
      <c r="I52" s="29">
        <v>100000</v>
      </c>
      <c r="J52" s="34">
        <v>1</v>
      </c>
      <c r="K52" s="31"/>
      <c r="L52" s="29" t="s">
        <v>143</v>
      </c>
    </row>
    <row r="53" spans="1:12" ht="23.1" customHeight="1">
      <c r="A53" s="29">
        <v>56</v>
      </c>
      <c r="B53" s="29" t="s">
        <v>146</v>
      </c>
      <c r="C53" s="29">
        <v>15039</v>
      </c>
      <c r="D53" s="29">
        <v>4</v>
      </c>
      <c r="E53" s="29">
        <v>0</v>
      </c>
      <c r="F53" s="29">
        <v>300</v>
      </c>
      <c r="G53" s="29">
        <v>100000</v>
      </c>
      <c r="H53" s="29">
        <v>100000</v>
      </c>
      <c r="I53" s="29">
        <v>100000</v>
      </c>
      <c r="J53" s="34">
        <v>1</v>
      </c>
      <c r="K53" s="31"/>
      <c r="L53" s="29" t="s">
        <v>146</v>
      </c>
    </row>
    <row r="54" spans="1:12" ht="23.1" customHeight="1">
      <c r="A54" s="29">
        <v>57</v>
      </c>
      <c r="B54" s="29" t="s">
        <v>176</v>
      </c>
      <c r="C54" s="29">
        <v>16040</v>
      </c>
      <c r="D54" s="29">
        <v>5</v>
      </c>
      <c r="E54" s="29">
        <v>0</v>
      </c>
      <c r="F54" s="29">
        <v>0</v>
      </c>
      <c r="G54" s="29">
        <v>100</v>
      </c>
      <c r="H54" s="29">
        <v>1000</v>
      </c>
      <c r="I54" s="29">
        <v>100</v>
      </c>
      <c r="J54" s="34">
        <v>1</v>
      </c>
      <c r="K54" s="31"/>
      <c r="L54" s="29" t="s">
        <v>176</v>
      </c>
    </row>
    <row r="55" spans="1:12" ht="23.1" customHeight="1">
      <c r="A55" s="29">
        <v>63</v>
      </c>
      <c r="B55" s="29" t="s">
        <v>179</v>
      </c>
      <c r="C55" s="29">
        <v>22041</v>
      </c>
      <c r="D55" s="29">
        <v>6</v>
      </c>
      <c r="E55" s="29">
        <v>0</v>
      </c>
      <c r="F55" s="29">
        <v>0</v>
      </c>
      <c r="G55" s="29">
        <v>0</v>
      </c>
      <c r="H55" s="29">
        <v>0</v>
      </c>
      <c r="I55" s="29">
        <v>1</v>
      </c>
      <c r="J55" s="34">
        <v>1</v>
      </c>
      <c r="K55" s="31"/>
      <c r="L55" s="29" t="s">
        <v>179</v>
      </c>
    </row>
    <row r="56" spans="1:12" ht="23.1" customHeight="1">
      <c r="A56" s="29">
        <v>64</v>
      </c>
      <c r="B56" s="29" t="s">
        <v>181</v>
      </c>
      <c r="C56" s="29">
        <v>23042</v>
      </c>
      <c r="D56" s="29">
        <v>7</v>
      </c>
      <c r="E56" s="29">
        <v>0</v>
      </c>
      <c r="F56" s="29">
        <v>0</v>
      </c>
      <c r="G56" s="29">
        <v>0</v>
      </c>
      <c r="H56" s="29">
        <v>0</v>
      </c>
      <c r="I56" s="29">
        <v>1</v>
      </c>
      <c r="J56" s="34">
        <v>1</v>
      </c>
      <c r="K56" s="31"/>
      <c r="L56" s="29" t="s">
        <v>181</v>
      </c>
    </row>
    <row r="57" spans="1:12" ht="23.1" customHeight="1">
      <c r="A57" s="29">
        <v>115</v>
      </c>
      <c r="B57" s="29" t="s">
        <v>273</v>
      </c>
      <c r="C57" s="29">
        <v>37083</v>
      </c>
      <c r="D57" s="29">
        <v>21</v>
      </c>
      <c r="E57" s="29" t="s">
        <v>274</v>
      </c>
      <c r="F57" s="29">
        <v>0</v>
      </c>
      <c r="G57" s="29">
        <v>40</v>
      </c>
      <c r="H57" s="29">
        <v>40</v>
      </c>
      <c r="I57" s="29">
        <v>0</v>
      </c>
      <c r="J57" s="35">
        <v>0</v>
      </c>
      <c r="K57" s="29"/>
      <c r="L57" s="29" t="s">
        <v>273</v>
      </c>
    </row>
    <row r="58" spans="1:12" ht="23.1" customHeight="1">
      <c r="A58" s="29">
        <v>116</v>
      </c>
      <c r="B58" s="29" t="s">
        <v>273</v>
      </c>
      <c r="C58" s="29">
        <v>37084</v>
      </c>
      <c r="D58" s="29">
        <v>21</v>
      </c>
      <c r="E58" s="29" t="s">
        <v>275</v>
      </c>
      <c r="F58" s="29">
        <v>0</v>
      </c>
      <c r="G58" s="29">
        <v>100</v>
      </c>
      <c r="H58" s="29">
        <v>100</v>
      </c>
      <c r="I58" s="29">
        <v>0</v>
      </c>
      <c r="J58" s="35">
        <v>0</v>
      </c>
      <c r="K58" s="29"/>
      <c r="L58" s="29" t="s">
        <v>273</v>
      </c>
    </row>
  </sheetData>
  <phoneticPr fontId="42" type="noConversion"/>
  <pageMargins left="0.75" right="0.75" top="1" bottom="1" header="0.5" footer="0.5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E7"/>
  <sheetViews>
    <sheetView workbookViewId="0">
      <selection activeCell="C26" sqref="C26"/>
    </sheetView>
  </sheetViews>
  <sheetFormatPr defaultColWidth="9" defaultRowHeight="23.1" customHeight="1"/>
  <sheetData>
    <row r="1" spans="1:5" ht="23.1" customHeight="1">
      <c r="A1" s="24" t="s">
        <v>429</v>
      </c>
      <c r="B1" s="24" t="s">
        <v>430</v>
      </c>
      <c r="C1" s="24" t="s">
        <v>31</v>
      </c>
      <c r="D1" s="24" t="s">
        <v>431</v>
      </c>
      <c r="E1" s="24" t="s">
        <v>32</v>
      </c>
    </row>
    <row r="2" spans="1:5" ht="23.1" customHeight="1">
      <c r="A2" s="24" t="s">
        <v>39</v>
      </c>
      <c r="B2" s="24" t="s">
        <v>39</v>
      </c>
      <c r="C2" s="24" t="s">
        <v>39</v>
      </c>
      <c r="D2" s="24" t="s">
        <v>39</v>
      </c>
      <c r="E2" s="24" t="s">
        <v>39</v>
      </c>
    </row>
    <row r="3" spans="1:5" ht="23.1" customHeight="1">
      <c r="A3" s="24" t="s">
        <v>1110</v>
      </c>
      <c r="B3" s="24" t="s">
        <v>442</v>
      </c>
      <c r="C3" s="24" t="s">
        <v>443</v>
      </c>
      <c r="D3" s="24" t="s">
        <v>442</v>
      </c>
      <c r="E3" s="24" t="s">
        <v>443</v>
      </c>
    </row>
    <row r="4" spans="1:5" ht="23.1" customHeight="1">
      <c r="A4" s="24">
        <v>44101</v>
      </c>
      <c r="B4" s="24">
        <v>37083</v>
      </c>
      <c r="C4" s="24">
        <v>10000</v>
      </c>
      <c r="D4" s="24">
        <v>37084</v>
      </c>
      <c r="E4" s="24">
        <v>0</v>
      </c>
    </row>
    <row r="5" spans="1:5" ht="23.1" customHeight="1">
      <c r="A5" s="24">
        <v>44102</v>
      </c>
      <c r="B5" s="24">
        <v>37083</v>
      </c>
      <c r="C5" s="24">
        <v>0</v>
      </c>
      <c r="D5" s="24">
        <v>37084</v>
      </c>
      <c r="E5" s="24">
        <v>10000</v>
      </c>
    </row>
    <row r="6" spans="1:5" ht="23.1" customHeight="1">
      <c r="A6" s="24">
        <v>44103</v>
      </c>
      <c r="B6" s="24">
        <v>37083</v>
      </c>
      <c r="C6" s="24">
        <v>0</v>
      </c>
      <c r="D6" s="24">
        <v>37084</v>
      </c>
      <c r="E6" s="24">
        <v>10000</v>
      </c>
    </row>
    <row r="7" spans="1:5" ht="23.1" customHeight="1">
      <c r="A7" s="24">
        <v>44104</v>
      </c>
      <c r="B7" s="24">
        <v>37083</v>
      </c>
      <c r="C7" s="24">
        <v>10000</v>
      </c>
      <c r="D7" s="24">
        <v>37084</v>
      </c>
      <c r="E7" s="24">
        <v>0</v>
      </c>
    </row>
  </sheetData>
  <phoneticPr fontId="42" type="noConversion"/>
  <pageMargins left="0.75" right="0.75" top="1" bottom="1" header="0.5" footer="0.5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K7"/>
  <sheetViews>
    <sheetView workbookViewId="0">
      <selection activeCell="T9" sqref="A7:T9"/>
    </sheetView>
  </sheetViews>
  <sheetFormatPr defaultColWidth="11.09765625" defaultRowHeight="23.1" customHeight="1"/>
  <cols>
    <col min="1" max="1" width="8" customWidth="1"/>
    <col min="2" max="2" width="10.09765625" customWidth="1"/>
    <col min="3" max="3" width="8.19921875" customWidth="1"/>
    <col min="4" max="4" width="6.3984375" customWidth="1"/>
    <col min="5" max="5" width="8.19921875" customWidth="1"/>
    <col min="6" max="6" width="6.3984375" customWidth="1"/>
    <col min="7" max="7" width="8.19921875" customWidth="1"/>
    <col min="8" max="8" width="6.3984375" customWidth="1"/>
    <col min="9" max="9" width="8.19921875" customWidth="1"/>
    <col min="10" max="10" width="6.3984375" customWidth="1"/>
    <col min="11" max="11" width="10.09765625" customWidth="1"/>
    <col min="12" max="12" width="8.19921875" customWidth="1"/>
    <col min="13" max="13" width="6.3984375" customWidth="1"/>
    <col min="14" max="14" width="8.19921875" customWidth="1"/>
    <col min="15" max="15" width="6.3984375" customWidth="1"/>
    <col min="16" max="16" width="8.19921875" customWidth="1"/>
    <col min="17" max="17" width="6.3984375" customWidth="1"/>
    <col min="18" max="18" width="8.19921875" customWidth="1"/>
    <col min="19" max="19" width="6.3984375" customWidth="1"/>
    <col min="20" max="20" width="10.09765625" customWidth="1"/>
    <col min="21" max="21" width="8.19921875" customWidth="1"/>
    <col min="22" max="22" width="6.3984375" customWidth="1"/>
    <col min="23" max="23" width="8.19921875" customWidth="1"/>
    <col min="24" max="24" width="6.3984375" customWidth="1"/>
    <col min="25" max="25" width="8.19921875" customWidth="1"/>
    <col min="26" max="26" width="6.3984375" customWidth="1"/>
    <col min="27" max="27" width="8.19921875" customWidth="1"/>
    <col min="28" max="28" width="6.3984375" customWidth="1"/>
    <col min="29" max="29" width="10.09765625" customWidth="1"/>
    <col min="30" max="30" width="8.19921875" customWidth="1"/>
    <col min="31" max="31" width="6.3984375" customWidth="1"/>
    <col min="32" max="32" width="8.19921875" customWidth="1"/>
    <col min="33" max="33" width="6.3984375" customWidth="1"/>
    <col min="34" max="34" width="8.19921875" customWidth="1"/>
    <col min="35" max="35" width="6.3984375" customWidth="1"/>
    <col min="36" max="36" width="8.19921875" customWidth="1"/>
    <col min="37" max="37" width="6.3984375" customWidth="1"/>
  </cols>
  <sheetData>
    <row r="1" spans="1:37" ht="23.1" customHeight="1">
      <c r="A1" s="24" t="s">
        <v>429</v>
      </c>
      <c r="B1" s="24" t="s">
        <v>1211</v>
      </c>
      <c r="C1" s="24" t="s">
        <v>1182</v>
      </c>
      <c r="D1" s="24" t="s">
        <v>31</v>
      </c>
      <c r="E1" s="24" t="s">
        <v>1185</v>
      </c>
      <c r="F1" s="24" t="s">
        <v>32</v>
      </c>
      <c r="G1" s="24" t="s">
        <v>1187</v>
      </c>
      <c r="H1" s="24" t="s">
        <v>433</v>
      </c>
      <c r="I1" s="24" t="s">
        <v>1189</v>
      </c>
      <c r="J1" s="24" t="s">
        <v>435</v>
      </c>
      <c r="K1" s="28" t="s">
        <v>1211</v>
      </c>
      <c r="L1" s="24" t="s">
        <v>1182</v>
      </c>
      <c r="M1" s="24" t="s">
        <v>31</v>
      </c>
      <c r="N1" s="24" t="s">
        <v>1185</v>
      </c>
      <c r="O1" s="24" t="s">
        <v>32</v>
      </c>
      <c r="P1" s="24" t="s">
        <v>1187</v>
      </c>
      <c r="Q1" s="24" t="s">
        <v>433</v>
      </c>
      <c r="R1" s="24" t="s">
        <v>1189</v>
      </c>
      <c r="S1" s="24" t="s">
        <v>435</v>
      </c>
      <c r="T1" s="28" t="s">
        <v>1211</v>
      </c>
      <c r="U1" s="24" t="s">
        <v>1182</v>
      </c>
      <c r="V1" s="24" t="s">
        <v>31</v>
      </c>
      <c r="W1" s="24" t="s">
        <v>1185</v>
      </c>
      <c r="X1" s="24" t="s">
        <v>32</v>
      </c>
      <c r="Y1" s="24" t="s">
        <v>1187</v>
      </c>
      <c r="Z1" s="24" t="s">
        <v>433</v>
      </c>
      <c r="AA1" s="24" t="s">
        <v>1189</v>
      </c>
      <c r="AB1" s="24" t="s">
        <v>435</v>
      </c>
      <c r="AC1" s="28" t="s">
        <v>1211</v>
      </c>
      <c r="AD1" s="24" t="s">
        <v>1182</v>
      </c>
      <c r="AE1" s="24" t="s">
        <v>31</v>
      </c>
      <c r="AF1" s="24" t="s">
        <v>1185</v>
      </c>
      <c r="AG1" s="24" t="s">
        <v>32</v>
      </c>
      <c r="AH1" s="24" t="s">
        <v>1187</v>
      </c>
      <c r="AI1" s="24" t="s">
        <v>433</v>
      </c>
      <c r="AJ1" s="24" t="s">
        <v>1189</v>
      </c>
      <c r="AK1" s="24" t="s">
        <v>435</v>
      </c>
    </row>
    <row r="2" spans="1:37" ht="23.1" customHeight="1">
      <c r="A2" s="24" t="s">
        <v>39</v>
      </c>
      <c r="B2" s="24" t="s">
        <v>39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  <c r="I2" s="24" t="s">
        <v>39</v>
      </c>
      <c r="J2" s="24" t="s">
        <v>39</v>
      </c>
      <c r="K2" s="28" t="s">
        <v>39</v>
      </c>
      <c r="L2" s="24" t="s">
        <v>39</v>
      </c>
      <c r="M2" s="24" t="s">
        <v>39</v>
      </c>
      <c r="N2" s="24" t="s">
        <v>39</v>
      </c>
      <c r="O2" s="24" t="s">
        <v>39</v>
      </c>
      <c r="P2" s="24" t="s">
        <v>39</v>
      </c>
      <c r="Q2" s="24" t="s">
        <v>39</v>
      </c>
      <c r="R2" s="24" t="s">
        <v>39</v>
      </c>
      <c r="S2" s="24" t="s">
        <v>39</v>
      </c>
      <c r="T2" s="28" t="s">
        <v>39</v>
      </c>
      <c r="U2" s="24" t="s">
        <v>39</v>
      </c>
      <c r="V2" s="24" t="s">
        <v>39</v>
      </c>
      <c r="W2" s="24" t="s">
        <v>39</v>
      </c>
      <c r="X2" s="24" t="s">
        <v>39</v>
      </c>
      <c r="Y2" s="24" t="s">
        <v>39</v>
      </c>
      <c r="Z2" s="24" t="s">
        <v>39</v>
      </c>
      <c r="AA2" s="24" t="s">
        <v>39</v>
      </c>
      <c r="AB2" s="24" t="s">
        <v>39</v>
      </c>
      <c r="AC2" s="28" t="s">
        <v>39</v>
      </c>
      <c r="AD2" s="24" t="s">
        <v>39</v>
      </c>
      <c r="AE2" s="24" t="s">
        <v>39</v>
      </c>
      <c r="AF2" s="24" t="s">
        <v>39</v>
      </c>
      <c r="AG2" s="24" t="s">
        <v>39</v>
      </c>
      <c r="AH2" s="24" t="s">
        <v>39</v>
      </c>
      <c r="AI2" s="24" t="s">
        <v>39</v>
      </c>
      <c r="AJ2" s="24" t="s">
        <v>39</v>
      </c>
      <c r="AK2" s="24" t="s">
        <v>39</v>
      </c>
    </row>
    <row r="3" spans="1:37" ht="23.1" customHeight="1">
      <c r="A3" s="24" t="s">
        <v>1110</v>
      </c>
      <c r="B3" s="24" t="s">
        <v>1212</v>
      </c>
      <c r="C3" s="24" t="s">
        <v>1193</v>
      </c>
      <c r="D3" s="24" t="s">
        <v>443</v>
      </c>
      <c r="E3" s="24" t="s">
        <v>1193</v>
      </c>
      <c r="F3" s="24" t="s">
        <v>443</v>
      </c>
      <c r="G3" s="24" t="s">
        <v>1193</v>
      </c>
      <c r="H3" s="24" t="s">
        <v>443</v>
      </c>
      <c r="I3" s="24" t="s">
        <v>1193</v>
      </c>
      <c r="J3" s="24" t="s">
        <v>443</v>
      </c>
      <c r="K3" s="28" t="s">
        <v>1212</v>
      </c>
      <c r="L3" s="24" t="s">
        <v>1193</v>
      </c>
      <c r="M3" s="24" t="s">
        <v>443</v>
      </c>
      <c r="N3" s="24" t="s">
        <v>1193</v>
      </c>
      <c r="O3" s="24" t="s">
        <v>443</v>
      </c>
      <c r="P3" s="24" t="s">
        <v>1193</v>
      </c>
      <c r="Q3" s="24" t="s">
        <v>443</v>
      </c>
      <c r="R3" s="24" t="s">
        <v>1193</v>
      </c>
      <c r="S3" s="24" t="s">
        <v>443</v>
      </c>
      <c r="T3" s="28" t="s">
        <v>1212</v>
      </c>
      <c r="U3" s="24" t="s">
        <v>1193</v>
      </c>
      <c r="V3" s="24" t="s">
        <v>443</v>
      </c>
      <c r="W3" s="24" t="s">
        <v>1193</v>
      </c>
      <c r="X3" s="24" t="s">
        <v>443</v>
      </c>
      <c r="Y3" s="24" t="s">
        <v>1193</v>
      </c>
      <c r="Z3" s="24" t="s">
        <v>443</v>
      </c>
      <c r="AA3" s="24" t="s">
        <v>1193</v>
      </c>
      <c r="AB3" s="24" t="s">
        <v>443</v>
      </c>
      <c r="AC3" s="28" t="s">
        <v>1212</v>
      </c>
      <c r="AD3" s="24" t="s">
        <v>1193</v>
      </c>
      <c r="AE3" s="24" t="s">
        <v>443</v>
      </c>
      <c r="AF3" s="24" t="s">
        <v>1193</v>
      </c>
      <c r="AG3" s="24" t="s">
        <v>443</v>
      </c>
      <c r="AH3" s="24" t="s">
        <v>1193</v>
      </c>
      <c r="AI3" s="24" t="s">
        <v>443</v>
      </c>
      <c r="AJ3" s="24" t="s">
        <v>1193</v>
      </c>
      <c r="AK3" s="24" t="s">
        <v>443</v>
      </c>
    </row>
    <row r="4" spans="1:37" ht="23.1" customHeight="1">
      <c r="A4" s="24">
        <v>44101</v>
      </c>
      <c r="B4" s="24">
        <v>2500</v>
      </c>
      <c r="C4" s="26">
        <v>1</v>
      </c>
      <c r="D4" s="24">
        <v>5000</v>
      </c>
      <c r="E4" s="24">
        <v>2</v>
      </c>
      <c r="F4" s="24">
        <v>5000</v>
      </c>
      <c r="G4" s="27">
        <v>3</v>
      </c>
      <c r="H4" s="24">
        <v>0</v>
      </c>
      <c r="I4" s="26">
        <v>5</v>
      </c>
      <c r="J4" s="24">
        <v>0</v>
      </c>
      <c r="K4" s="28">
        <v>5000</v>
      </c>
      <c r="L4" s="26">
        <v>1</v>
      </c>
      <c r="M4" s="24">
        <v>4000</v>
      </c>
      <c r="N4" s="24">
        <v>2</v>
      </c>
      <c r="O4" s="24">
        <v>5000</v>
      </c>
      <c r="P4" s="27">
        <v>3</v>
      </c>
      <c r="Q4" s="24">
        <v>1000</v>
      </c>
      <c r="R4" s="26">
        <v>5</v>
      </c>
      <c r="S4" s="24">
        <v>0</v>
      </c>
      <c r="T4" s="28">
        <v>7500</v>
      </c>
      <c r="U4" s="26">
        <v>1</v>
      </c>
      <c r="V4" s="24">
        <v>3000</v>
      </c>
      <c r="W4" s="24">
        <v>2</v>
      </c>
      <c r="X4" s="24">
        <v>4200</v>
      </c>
      <c r="Y4" s="27">
        <v>3</v>
      </c>
      <c r="Z4" s="24">
        <v>2500</v>
      </c>
      <c r="AA4" s="26">
        <v>5</v>
      </c>
      <c r="AB4" s="24">
        <v>300</v>
      </c>
      <c r="AC4" s="28">
        <v>10000</v>
      </c>
      <c r="AD4" s="26">
        <v>1</v>
      </c>
      <c r="AE4" s="24">
        <v>3000</v>
      </c>
      <c r="AF4" s="24">
        <v>2</v>
      </c>
      <c r="AG4" s="24">
        <v>3500</v>
      </c>
      <c r="AH4" s="27">
        <v>3</v>
      </c>
      <c r="AI4" s="24">
        <v>2500</v>
      </c>
      <c r="AJ4" s="26">
        <v>5</v>
      </c>
      <c r="AK4" s="24">
        <v>1000</v>
      </c>
    </row>
    <row r="5" spans="1:37" ht="23.1" customHeight="1">
      <c r="A5" s="24">
        <v>44102</v>
      </c>
      <c r="B5" s="24">
        <v>2500</v>
      </c>
      <c r="C5" s="26">
        <v>1</v>
      </c>
      <c r="D5" s="24">
        <v>5000</v>
      </c>
      <c r="E5" s="24">
        <v>2</v>
      </c>
      <c r="F5" s="24">
        <v>5000</v>
      </c>
      <c r="G5" s="27">
        <v>3</v>
      </c>
      <c r="H5" s="24">
        <v>0</v>
      </c>
      <c r="I5" s="26">
        <v>5</v>
      </c>
      <c r="J5" s="24">
        <v>0</v>
      </c>
      <c r="K5" s="28">
        <v>5000</v>
      </c>
      <c r="L5" s="26">
        <v>1</v>
      </c>
      <c r="M5" s="24">
        <v>4000</v>
      </c>
      <c r="N5" s="24">
        <v>2</v>
      </c>
      <c r="O5" s="24">
        <v>5000</v>
      </c>
      <c r="P5" s="27">
        <v>3</v>
      </c>
      <c r="Q5" s="24">
        <v>1000</v>
      </c>
      <c r="R5" s="26">
        <v>5</v>
      </c>
      <c r="S5" s="24">
        <v>0</v>
      </c>
      <c r="T5" s="28">
        <v>7500</v>
      </c>
      <c r="U5" s="26">
        <v>1</v>
      </c>
      <c r="V5" s="24">
        <v>3000</v>
      </c>
      <c r="W5" s="24">
        <v>2</v>
      </c>
      <c r="X5" s="24">
        <v>4200</v>
      </c>
      <c r="Y5" s="27">
        <v>3</v>
      </c>
      <c r="Z5" s="24">
        <v>2500</v>
      </c>
      <c r="AA5" s="26">
        <v>5</v>
      </c>
      <c r="AB5" s="24">
        <v>300</v>
      </c>
      <c r="AC5" s="28">
        <v>10000</v>
      </c>
      <c r="AD5" s="26">
        <v>1</v>
      </c>
      <c r="AE5" s="24">
        <v>3000</v>
      </c>
      <c r="AF5" s="24">
        <v>2</v>
      </c>
      <c r="AG5" s="24">
        <v>3500</v>
      </c>
      <c r="AH5" s="27">
        <v>3</v>
      </c>
      <c r="AI5" s="24">
        <v>2500</v>
      </c>
      <c r="AJ5" s="26">
        <v>5</v>
      </c>
      <c r="AK5" s="24">
        <v>1000</v>
      </c>
    </row>
    <row r="6" spans="1:37" ht="23.1" customHeight="1">
      <c r="A6" s="24">
        <v>44103</v>
      </c>
      <c r="B6" s="24">
        <v>2500</v>
      </c>
      <c r="C6" s="26">
        <v>1</v>
      </c>
      <c r="D6" s="24">
        <v>5000</v>
      </c>
      <c r="E6" s="24">
        <v>2</v>
      </c>
      <c r="F6" s="24">
        <v>5000</v>
      </c>
      <c r="G6" s="27">
        <v>3</v>
      </c>
      <c r="H6" s="24">
        <v>0</v>
      </c>
      <c r="I6" s="26">
        <v>5</v>
      </c>
      <c r="J6" s="24">
        <v>0</v>
      </c>
      <c r="K6" s="28">
        <v>5000</v>
      </c>
      <c r="L6" s="26">
        <v>1</v>
      </c>
      <c r="M6" s="24">
        <v>4000</v>
      </c>
      <c r="N6" s="24">
        <v>2</v>
      </c>
      <c r="O6" s="24">
        <v>5000</v>
      </c>
      <c r="P6" s="27">
        <v>3</v>
      </c>
      <c r="Q6" s="24">
        <v>1000</v>
      </c>
      <c r="R6" s="26">
        <v>5</v>
      </c>
      <c r="S6" s="24">
        <v>0</v>
      </c>
      <c r="T6" s="28">
        <v>7500</v>
      </c>
      <c r="U6" s="26">
        <v>1</v>
      </c>
      <c r="V6" s="24">
        <v>3000</v>
      </c>
      <c r="W6" s="24">
        <v>2</v>
      </c>
      <c r="X6" s="24">
        <v>4200</v>
      </c>
      <c r="Y6" s="27">
        <v>3</v>
      </c>
      <c r="Z6" s="24">
        <v>2500</v>
      </c>
      <c r="AA6" s="26">
        <v>5</v>
      </c>
      <c r="AB6" s="24">
        <v>300</v>
      </c>
      <c r="AC6" s="28">
        <v>10000</v>
      </c>
      <c r="AD6" s="26">
        <v>1</v>
      </c>
      <c r="AE6" s="24">
        <v>3000</v>
      </c>
      <c r="AF6" s="24">
        <v>2</v>
      </c>
      <c r="AG6" s="24">
        <v>3500</v>
      </c>
      <c r="AH6" s="27">
        <v>3</v>
      </c>
      <c r="AI6" s="24">
        <v>2500</v>
      </c>
      <c r="AJ6" s="26">
        <v>5</v>
      </c>
      <c r="AK6" s="24">
        <v>1000</v>
      </c>
    </row>
    <row r="7" spans="1:37" ht="23.1" customHeight="1">
      <c r="A7" s="24">
        <v>44104</v>
      </c>
      <c r="B7" s="24">
        <v>2500</v>
      </c>
      <c r="C7" s="26">
        <v>1</v>
      </c>
      <c r="D7" s="24">
        <v>5000</v>
      </c>
      <c r="E7" s="24">
        <v>2</v>
      </c>
      <c r="F7" s="24">
        <v>5000</v>
      </c>
      <c r="G7" s="27">
        <v>3</v>
      </c>
      <c r="H7" s="24">
        <v>0</v>
      </c>
      <c r="I7" s="26">
        <v>5</v>
      </c>
      <c r="J7" s="24">
        <v>0</v>
      </c>
      <c r="K7" s="28">
        <v>5000</v>
      </c>
      <c r="L7" s="26">
        <v>1</v>
      </c>
      <c r="M7" s="24">
        <v>4000</v>
      </c>
      <c r="N7" s="24">
        <v>2</v>
      </c>
      <c r="O7" s="24">
        <v>5000</v>
      </c>
      <c r="P7" s="27">
        <v>3</v>
      </c>
      <c r="Q7" s="24">
        <v>1000</v>
      </c>
      <c r="R7" s="26">
        <v>5</v>
      </c>
      <c r="S7" s="24">
        <v>0</v>
      </c>
      <c r="T7" s="28">
        <v>7500</v>
      </c>
      <c r="U7" s="26">
        <v>1</v>
      </c>
      <c r="V7" s="24">
        <v>3000</v>
      </c>
      <c r="W7" s="24">
        <v>2</v>
      </c>
      <c r="X7" s="24">
        <v>4200</v>
      </c>
      <c r="Y7" s="27">
        <v>3</v>
      </c>
      <c r="Z7" s="24">
        <v>2500</v>
      </c>
      <c r="AA7" s="26">
        <v>5</v>
      </c>
      <c r="AB7" s="24">
        <v>300</v>
      </c>
      <c r="AC7" s="28">
        <v>10000</v>
      </c>
      <c r="AD7" s="26">
        <v>1</v>
      </c>
      <c r="AE7" s="24">
        <v>3000</v>
      </c>
      <c r="AF7" s="24">
        <v>2</v>
      </c>
      <c r="AG7" s="24">
        <v>3500</v>
      </c>
      <c r="AH7" s="27">
        <v>3</v>
      </c>
      <c r="AI7" s="24">
        <v>2500</v>
      </c>
      <c r="AJ7" s="26">
        <v>5</v>
      </c>
      <c r="AK7" s="24">
        <v>1000</v>
      </c>
    </row>
  </sheetData>
  <phoneticPr fontId="42" type="noConversion"/>
  <pageMargins left="0.69930555555555596" right="0.69930555555555596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K7"/>
  <sheetViews>
    <sheetView workbookViewId="0">
      <selection activeCell="F22" sqref="F22"/>
    </sheetView>
  </sheetViews>
  <sheetFormatPr defaultColWidth="8.796875" defaultRowHeight="15"/>
  <cols>
    <col min="2" max="2" width="57.3984375" customWidth="1"/>
  </cols>
  <sheetData>
    <row r="1" spans="1:11" ht="18">
      <c r="A1" s="24" t="s">
        <v>429</v>
      </c>
      <c r="B1" s="24" t="s">
        <v>1213</v>
      </c>
      <c r="C1" s="24" t="s">
        <v>831</v>
      </c>
      <c r="D1" s="24" t="s">
        <v>1182</v>
      </c>
      <c r="E1" s="24" t="s">
        <v>31</v>
      </c>
      <c r="F1" s="24" t="s">
        <v>1185</v>
      </c>
      <c r="G1" s="24" t="s">
        <v>32</v>
      </c>
      <c r="H1" s="24" t="s">
        <v>1187</v>
      </c>
      <c r="I1" s="24" t="s">
        <v>433</v>
      </c>
      <c r="J1" s="24" t="s">
        <v>1189</v>
      </c>
      <c r="K1" s="24" t="s">
        <v>435</v>
      </c>
    </row>
    <row r="2" spans="1:11" ht="18">
      <c r="A2" s="24" t="s">
        <v>39</v>
      </c>
      <c r="B2" s="24" t="s">
        <v>40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  <c r="I2" s="24" t="s">
        <v>39</v>
      </c>
      <c r="J2" s="24" t="s">
        <v>39</v>
      </c>
      <c r="K2" s="24" t="s">
        <v>39</v>
      </c>
    </row>
    <row r="3" spans="1:11" ht="54">
      <c r="A3" s="24" t="s">
        <v>1110</v>
      </c>
      <c r="B3" s="24" t="s">
        <v>1214</v>
      </c>
      <c r="C3" s="24" t="s">
        <v>1215</v>
      </c>
      <c r="D3" s="24" t="s">
        <v>1193</v>
      </c>
      <c r="E3" s="24" t="s">
        <v>443</v>
      </c>
      <c r="F3" s="24" t="s">
        <v>1193</v>
      </c>
      <c r="G3" s="24" t="s">
        <v>443</v>
      </c>
      <c r="H3" s="24" t="s">
        <v>1193</v>
      </c>
      <c r="I3" s="24" t="s">
        <v>443</v>
      </c>
      <c r="J3" s="24" t="s">
        <v>1193</v>
      </c>
      <c r="K3" s="24" t="s">
        <v>443</v>
      </c>
    </row>
    <row r="4" spans="1:11" ht="36">
      <c r="A4" s="24">
        <v>44101</v>
      </c>
      <c r="B4" s="24" t="s">
        <v>1216</v>
      </c>
      <c r="C4" s="24">
        <v>700</v>
      </c>
      <c r="D4" s="26">
        <v>2</v>
      </c>
      <c r="E4" s="24">
        <v>3000</v>
      </c>
      <c r="F4" s="24">
        <v>3</v>
      </c>
      <c r="G4" s="24">
        <v>3000</v>
      </c>
      <c r="H4" s="27">
        <v>4</v>
      </c>
      <c r="I4" s="24">
        <v>2000</v>
      </c>
      <c r="J4" s="26">
        <v>5</v>
      </c>
      <c r="K4" s="24">
        <v>2000</v>
      </c>
    </row>
    <row r="5" spans="1:11" ht="36">
      <c r="A5" s="24">
        <v>44102</v>
      </c>
      <c r="B5" s="24" t="s">
        <v>1217</v>
      </c>
      <c r="C5" s="24">
        <v>700</v>
      </c>
      <c r="D5" s="26">
        <v>2</v>
      </c>
      <c r="E5" s="24">
        <v>3000</v>
      </c>
      <c r="F5" s="24">
        <v>3</v>
      </c>
      <c r="G5" s="24">
        <v>3000</v>
      </c>
      <c r="H5" s="27">
        <v>4</v>
      </c>
      <c r="I5" s="24">
        <v>2000</v>
      </c>
      <c r="J5" s="26">
        <v>5</v>
      </c>
      <c r="K5" s="24">
        <v>2000</v>
      </c>
    </row>
    <row r="6" spans="1:11" ht="36">
      <c r="A6" s="24">
        <v>44103</v>
      </c>
      <c r="B6" s="24" t="s">
        <v>1218</v>
      </c>
      <c r="C6" s="24">
        <v>700</v>
      </c>
      <c r="D6" s="26">
        <v>2</v>
      </c>
      <c r="E6" s="24">
        <v>3000</v>
      </c>
      <c r="F6" s="24">
        <v>3</v>
      </c>
      <c r="G6" s="24">
        <v>3000</v>
      </c>
      <c r="H6" s="27">
        <v>4</v>
      </c>
      <c r="I6" s="24">
        <v>2000</v>
      </c>
      <c r="J6" s="26">
        <v>5</v>
      </c>
      <c r="K6" s="24">
        <v>2000</v>
      </c>
    </row>
    <row r="7" spans="1:11" ht="18">
      <c r="A7" s="24">
        <v>44104</v>
      </c>
      <c r="B7" s="24" t="s">
        <v>1219</v>
      </c>
      <c r="C7" s="24">
        <v>700</v>
      </c>
      <c r="D7" s="26">
        <v>2</v>
      </c>
      <c r="E7" s="24">
        <v>3000</v>
      </c>
      <c r="F7" s="24">
        <v>3</v>
      </c>
      <c r="G7" s="24">
        <v>3000</v>
      </c>
      <c r="H7" s="27">
        <v>4</v>
      </c>
      <c r="I7" s="24">
        <v>2000</v>
      </c>
      <c r="J7" s="26">
        <v>5</v>
      </c>
      <c r="K7" s="24">
        <v>2000</v>
      </c>
    </row>
  </sheetData>
  <phoneticPr fontId="42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Q7"/>
  <sheetViews>
    <sheetView workbookViewId="0">
      <selection activeCell="I14" sqref="I14"/>
    </sheetView>
  </sheetViews>
  <sheetFormatPr defaultColWidth="8.796875" defaultRowHeight="15"/>
  <sheetData>
    <row r="1" spans="1:17" ht="18">
      <c r="A1" s="24" t="s">
        <v>429</v>
      </c>
      <c r="B1" s="24" t="s">
        <v>429</v>
      </c>
      <c r="C1" s="24" t="s">
        <v>429</v>
      </c>
      <c r="D1" s="24" t="s">
        <v>429</v>
      </c>
      <c r="E1" s="24" t="s">
        <v>429</v>
      </c>
      <c r="F1" s="24" t="s">
        <v>429</v>
      </c>
      <c r="G1" s="24" t="s">
        <v>429</v>
      </c>
      <c r="H1" s="24" t="s">
        <v>429</v>
      </c>
      <c r="I1" s="24" t="s">
        <v>429</v>
      </c>
      <c r="J1" s="24" t="s">
        <v>429</v>
      </c>
      <c r="K1" s="24" t="s">
        <v>429</v>
      </c>
      <c r="L1" s="24" t="s">
        <v>429</v>
      </c>
      <c r="M1" s="24" t="s">
        <v>429</v>
      </c>
      <c r="N1" s="24" t="s">
        <v>429</v>
      </c>
      <c r="O1" s="24" t="s">
        <v>429</v>
      </c>
      <c r="P1" s="24" t="s">
        <v>429</v>
      </c>
      <c r="Q1" s="24" t="s">
        <v>429</v>
      </c>
    </row>
    <row r="2" spans="1:17" ht="18">
      <c r="A2" s="24" t="s">
        <v>39</v>
      </c>
      <c r="B2" s="24" t="s">
        <v>39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  <c r="I2" s="24" t="s">
        <v>39</v>
      </c>
      <c r="J2" s="24" t="s">
        <v>39</v>
      </c>
      <c r="K2" s="24" t="s">
        <v>39</v>
      </c>
      <c r="L2" s="24" t="s">
        <v>39</v>
      </c>
      <c r="M2" s="24" t="s">
        <v>39</v>
      </c>
      <c r="N2" s="24" t="s">
        <v>39</v>
      </c>
      <c r="O2" s="24" t="s">
        <v>39</v>
      </c>
      <c r="P2" s="24" t="s">
        <v>39</v>
      </c>
      <c r="Q2" s="24" t="s">
        <v>39</v>
      </c>
    </row>
    <row r="3" spans="1:17" ht="18">
      <c r="A3" s="24" t="s">
        <v>1110</v>
      </c>
      <c r="B3" s="9" t="s">
        <v>45</v>
      </c>
      <c r="C3" s="9" t="s">
        <v>860</v>
      </c>
      <c r="D3" s="9" t="s">
        <v>45</v>
      </c>
      <c r="E3" s="9" t="s">
        <v>860</v>
      </c>
      <c r="F3" s="9" t="s">
        <v>45</v>
      </c>
      <c r="G3" s="9" t="s">
        <v>860</v>
      </c>
      <c r="H3" s="9" t="s">
        <v>45</v>
      </c>
      <c r="I3" s="9" t="s">
        <v>860</v>
      </c>
      <c r="J3" s="9" t="s">
        <v>45</v>
      </c>
      <c r="K3" s="9" t="s">
        <v>860</v>
      </c>
      <c r="L3" s="9" t="s">
        <v>45</v>
      </c>
      <c r="M3" s="9" t="s">
        <v>860</v>
      </c>
      <c r="N3" s="9" t="s">
        <v>45</v>
      </c>
      <c r="O3" s="9" t="s">
        <v>860</v>
      </c>
      <c r="P3" s="9" t="s">
        <v>45</v>
      </c>
      <c r="Q3" s="9" t="s">
        <v>860</v>
      </c>
    </row>
    <row r="4" spans="1:17" ht="18">
      <c r="A4" s="24">
        <v>44101</v>
      </c>
      <c r="B4" s="9">
        <v>14009</v>
      </c>
      <c r="C4" s="9">
        <v>2000</v>
      </c>
      <c r="D4" s="9">
        <v>14011</v>
      </c>
      <c r="E4" s="9">
        <v>2000</v>
      </c>
      <c r="F4" s="9">
        <v>14013</v>
      </c>
      <c r="G4" s="9">
        <v>2000</v>
      </c>
      <c r="H4" s="9">
        <v>14015</v>
      </c>
      <c r="I4" s="9">
        <v>2000</v>
      </c>
      <c r="J4" s="9">
        <v>14020</v>
      </c>
      <c r="K4" s="9">
        <v>2000</v>
      </c>
      <c r="L4" s="9">
        <v>14024</v>
      </c>
      <c r="M4" s="9">
        <v>0</v>
      </c>
      <c r="N4" s="9">
        <v>14090</v>
      </c>
      <c r="O4" s="9">
        <v>0</v>
      </c>
      <c r="P4" s="9">
        <v>14235</v>
      </c>
      <c r="Q4" s="9">
        <v>0</v>
      </c>
    </row>
    <row r="5" spans="1:17" ht="18">
      <c r="A5" s="24">
        <v>44102</v>
      </c>
      <c r="B5" s="9">
        <v>14009</v>
      </c>
      <c r="C5" s="9">
        <v>0</v>
      </c>
      <c r="D5" s="9">
        <v>14011</v>
      </c>
      <c r="E5" s="9">
        <v>2000</v>
      </c>
      <c r="F5" s="9">
        <v>14013</v>
      </c>
      <c r="G5" s="9">
        <v>2000</v>
      </c>
      <c r="H5" s="9">
        <v>14015</v>
      </c>
      <c r="I5" s="9">
        <v>2000</v>
      </c>
      <c r="J5" s="9">
        <v>14020</v>
      </c>
      <c r="K5" s="9">
        <v>2000</v>
      </c>
      <c r="L5" s="9">
        <v>14024</v>
      </c>
      <c r="M5" s="9">
        <v>0</v>
      </c>
      <c r="N5" s="9">
        <v>14090</v>
      </c>
      <c r="O5" s="9">
        <v>2000</v>
      </c>
      <c r="P5" s="9">
        <v>14235</v>
      </c>
      <c r="Q5" s="9">
        <v>0</v>
      </c>
    </row>
    <row r="6" spans="1:17" ht="18">
      <c r="A6" s="24">
        <v>44103</v>
      </c>
      <c r="B6" s="9">
        <v>14009</v>
      </c>
      <c r="C6" s="9">
        <v>0</v>
      </c>
      <c r="D6" s="9">
        <v>14011</v>
      </c>
      <c r="E6" s="9">
        <v>0</v>
      </c>
      <c r="F6" s="9">
        <v>14013</v>
      </c>
      <c r="G6" s="9">
        <v>2000</v>
      </c>
      <c r="H6" s="9">
        <v>14015</v>
      </c>
      <c r="I6" s="9">
        <v>2000</v>
      </c>
      <c r="J6" s="9">
        <v>14020</v>
      </c>
      <c r="K6" s="9">
        <v>0</v>
      </c>
      <c r="L6" s="9">
        <v>14024</v>
      </c>
      <c r="M6" s="9">
        <v>2000</v>
      </c>
      <c r="N6" s="9">
        <v>14090</v>
      </c>
      <c r="O6" s="9">
        <v>2000</v>
      </c>
      <c r="P6" s="9">
        <v>14235</v>
      </c>
      <c r="Q6" s="9">
        <v>2000</v>
      </c>
    </row>
    <row r="7" spans="1:17" ht="18">
      <c r="A7" s="24">
        <v>44104</v>
      </c>
      <c r="B7" s="9">
        <v>14009</v>
      </c>
      <c r="C7" s="9">
        <v>2500</v>
      </c>
      <c r="D7" s="9">
        <v>14011</v>
      </c>
      <c r="E7" s="9">
        <v>2500</v>
      </c>
      <c r="F7" s="9">
        <v>14013</v>
      </c>
      <c r="G7" s="9">
        <v>0</v>
      </c>
      <c r="H7" s="9">
        <v>14015</v>
      </c>
      <c r="I7" s="9">
        <v>2500</v>
      </c>
      <c r="J7" s="9">
        <v>14020</v>
      </c>
      <c r="K7" s="9">
        <v>2500</v>
      </c>
      <c r="L7" s="9">
        <v>14024</v>
      </c>
      <c r="M7" s="9">
        <v>0</v>
      </c>
      <c r="N7" s="9">
        <v>14090</v>
      </c>
      <c r="O7" s="9">
        <v>0</v>
      </c>
      <c r="P7" s="9">
        <v>14235</v>
      </c>
      <c r="Q7" s="9">
        <v>0</v>
      </c>
    </row>
  </sheetData>
  <phoneticPr fontId="42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I6"/>
  <sheetViews>
    <sheetView workbookViewId="0">
      <selection activeCell="C14" sqref="C14"/>
    </sheetView>
  </sheetViews>
  <sheetFormatPr defaultColWidth="11.09765625" defaultRowHeight="23.1" customHeight="1"/>
  <cols>
    <col min="2" max="2" width="14.8984375" customWidth="1"/>
    <col min="3" max="3" width="15.69921875" customWidth="1"/>
    <col min="4" max="4" width="30.3984375" customWidth="1"/>
  </cols>
  <sheetData>
    <row r="1" spans="1:9" ht="23.1" customHeight="1">
      <c r="A1" s="24" t="s">
        <v>1220</v>
      </c>
      <c r="B1" s="24" t="s">
        <v>1221</v>
      </c>
      <c r="C1" s="24" t="s">
        <v>1222</v>
      </c>
      <c r="D1" s="24" t="s">
        <v>1223</v>
      </c>
      <c r="E1" s="24" t="s">
        <v>1224</v>
      </c>
      <c r="F1" s="24" t="s">
        <v>1225</v>
      </c>
      <c r="G1" s="24" t="s">
        <v>368</v>
      </c>
      <c r="H1" s="24" t="s">
        <v>1226</v>
      </c>
    </row>
    <row r="2" spans="1:9" ht="23.1" customHeight="1">
      <c r="A2" s="24" t="s">
        <v>39</v>
      </c>
      <c r="B2" s="24" t="s">
        <v>1227</v>
      </c>
      <c r="C2" s="24" t="s">
        <v>39</v>
      </c>
      <c r="D2" s="24" t="s">
        <v>39</v>
      </c>
      <c r="E2" s="24" t="s">
        <v>39</v>
      </c>
      <c r="F2" s="24" t="s">
        <v>39</v>
      </c>
      <c r="G2" s="24" t="s">
        <v>39</v>
      </c>
      <c r="H2" s="24" t="s">
        <v>39</v>
      </c>
    </row>
    <row r="3" spans="1:9" ht="23.1" customHeight="1">
      <c r="A3" s="24" t="s">
        <v>1228</v>
      </c>
      <c r="B3" s="25" t="s">
        <v>1229</v>
      </c>
      <c r="C3" s="25" t="s">
        <v>1230</v>
      </c>
      <c r="D3" s="25" t="s">
        <v>1231</v>
      </c>
      <c r="E3" s="25" t="s">
        <v>1232</v>
      </c>
      <c r="F3" s="25" t="s">
        <v>1233</v>
      </c>
      <c r="G3" s="25" t="s">
        <v>1234</v>
      </c>
      <c r="H3" s="25" t="s">
        <v>1235</v>
      </c>
    </row>
    <row r="4" spans="1:9" ht="23.1" customHeight="1">
      <c r="A4" s="24">
        <v>10000</v>
      </c>
      <c r="B4" s="25" t="s">
        <v>1236</v>
      </c>
      <c r="C4" s="24" t="s">
        <v>1038</v>
      </c>
      <c r="D4" s="24">
        <v>1</v>
      </c>
      <c r="E4" s="24">
        <v>0</v>
      </c>
      <c r="F4" s="24">
        <v>0</v>
      </c>
      <c r="G4" s="24">
        <v>0</v>
      </c>
      <c r="H4" s="24">
        <v>1.3</v>
      </c>
      <c r="I4" s="17" t="s">
        <v>1237</v>
      </c>
    </row>
    <row r="5" spans="1:9" ht="23.1" customHeight="1">
      <c r="A5" s="24">
        <v>10001</v>
      </c>
      <c r="B5" s="25" t="s">
        <v>1236</v>
      </c>
      <c r="C5" s="24" t="s">
        <v>1236</v>
      </c>
      <c r="D5" s="24">
        <v>0</v>
      </c>
      <c r="E5" s="24">
        <v>1</v>
      </c>
      <c r="F5" s="24">
        <v>0</v>
      </c>
      <c r="G5" s="24">
        <v>20</v>
      </c>
      <c r="H5" s="24">
        <v>1.3</v>
      </c>
      <c r="I5" s="17" t="s">
        <v>1238</v>
      </c>
    </row>
    <row r="6" spans="1:9" ht="23.1" customHeight="1">
      <c r="A6" s="24">
        <v>10002</v>
      </c>
      <c r="B6" s="25" t="s">
        <v>1236</v>
      </c>
      <c r="C6" s="24" t="s">
        <v>1239</v>
      </c>
      <c r="D6" s="24">
        <v>0</v>
      </c>
      <c r="E6" s="24">
        <v>0</v>
      </c>
      <c r="F6" s="24">
        <v>1</v>
      </c>
      <c r="G6" s="24">
        <v>15</v>
      </c>
      <c r="H6" s="24">
        <v>1.3</v>
      </c>
      <c r="I6" s="17" t="s">
        <v>1240</v>
      </c>
    </row>
  </sheetData>
  <phoneticPr fontId="42" type="noConversion"/>
  <pageMargins left="0.75" right="0.75" top="1" bottom="1" header="0.5" footer="0.5"/>
  <pageSetup paperSize="9" orientation="portrait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R22"/>
  <sheetViews>
    <sheetView zoomScale="120" zoomScaleNormal="120" workbookViewId="0">
      <selection activeCell="C9" sqref="C9"/>
    </sheetView>
  </sheetViews>
  <sheetFormatPr defaultColWidth="9" defaultRowHeight="15"/>
  <cols>
    <col min="1" max="3" width="9" style="22"/>
    <col min="4" max="6" width="12.19921875" style="22" customWidth="1"/>
    <col min="7" max="16384" width="9" style="22"/>
  </cols>
  <sheetData>
    <row r="1" spans="1:18" ht="18">
      <c r="A1" s="7" t="s">
        <v>429</v>
      </c>
      <c r="B1" s="7" t="s">
        <v>367</v>
      </c>
      <c r="C1" s="7" t="s">
        <v>430</v>
      </c>
      <c r="D1" s="7" t="s">
        <v>31</v>
      </c>
      <c r="E1" s="7" t="s">
        <v>431</v>
      </c>
      <c r="F1" s="7" t="s">
        <v>32</v>
      </c>
      <c r="G1" s="7" t="s">
        <v>432</v>
      </c>
      <c r="H1" s="7" t="s">
        <v>433</v>
      </c>
      <c r="I1" s="7" t="s">
        <v>434</v>
      </c>
      <c r="J1" s="7" t="s">
        <v>435</v>
      </c>
      <c r="K1" s="7" t="s">
        <v>436</v>
      </c>
      <c r="L1" s="7" t="s">
        <v>437</v>
      </c>
      <c r="M1" s="7" t="s">
        <v>438</v>
      </c>
      <c r="N1" s="7" t="s">
        <v>439</v>
      </c>
      <c r="O1" s="7" t="s">
        <v>1241</v>
      </c>
      <c r="P1" s="7" t="s">
        <v>1242</v>
      </c>
      <c r="Q1" s="7" t="s">
        <v>1243</v>
      </c>
      <c r="R1" s="7" t="s">
        <v>1244</v>
      </c>
    </row>
    <row r="2" spans="1:18" ht="18">
      <c r="A2" s="7" t="s">
        <v>39</v>
      </c>
      <c r="B2" s="7" t="s">
        <v>39</v>
      </c>
      <c r="C2" s="7" t="s">
        <v>39</v>
      </c>
      <c r="D2" s="7" t="s">
        <v>39</v>
      </c>
      <c r="E2" s="7" t="s">
        <v>39</v>
      </c>
      <c r="F2" s="7" t="s">
        <v>39</v>
      </c>
      <c r="G2" s="7" t="s">
        <v>39</v>
      </c>
      <c r="H2" s="7" t="s">
        <v>39</v>
      </c>
      <c r="I2" s="7" t="s">
        <v>39</v>
      </c>
      <c r="J2" s="7" t="s">
        <v>39</v>
      </c>
      <c r="K2" s="7" t="s">
        <v>39</v>
      </c>
      <c r="L2" s="7" t="s">
        <v>39</v>
      </c>
      <c r="M2" s="7" t="s">
        <v>39</v>
      </c>
      <c r="N2" s="7" t="s">
        <v>39</v>
      </c>
      <c r="O2" s="7" t="s">
        <v>39</v>
      </c>
      <c r="P2" s="7" t="s">
        <v>39</v>
      </c>
      <c r="Q2" s="7" t="s">
        <v>39</v>
      </c>
      <c r="R2" s="7" t="s">
        <v>39</v>
      </c>
    </row>
    <row r="3" spans="1:18" ht="18">
      <c r="A3" s="7" t="s">
        <v>440</v>
      </c>
      <c r="B3" s="7" t="s">
        <v>441</v>
      </c>
      <c r="C3" s="7" t="s">
        <v>442</v>
      </c>
      <c r="D3" s="7" t="s">
        <v>443</v>
      </c>
      <c r="E3" s="7" t="s">
        <v>442</v>
      </c>
      <c r="F3" s="7" t="s">
        <v>443</v>
      </c>
      <c r="G3" s="7" t="s">
        <v>442</v>
      </c>
      <c r="H3" s="7" t="s">
        <v>443</v>
      </c>
      <c r="I3" s="7" t="s">
        <v>442</v>
      </c>
      <c r="J3" s="7" t="s">
        <v>443</v>
      </c>
      <c r="K3" s="7" t="s">
        <v>442</v>
      </c>
      <c r="L3" s="7" t="s">
        <v>443</v>
      </c>
      <c r="M3" s="7" t="s">
        <v>442</v>
      </c>
      <c r="N3" s="7" t="s">
        <v>443</v>
      </c>
      <c r="O3" s="7" t="s">
        <v>442</v>
      </c>
      <c r="P3" s="7" t="s">
        <v>443</v>
      </c>
      <c r="Q3" s="7" t="s">
        <v>442</v>
      </c>
      <c r="R3" s="7" t="s">
        <v>443</v>
      </c>
    </row>
    <row r="4" spans="1:18" ht="18">
      <c r="A4" s="7">
        <v>44411</v>
      </c>
      <c r="B4" s="7">
        <v>60</v>
      </c>
      <c r="C4" s="7">
        <v>76217</v>
      </c>
      <c r="D4" s="7">
        <v>2500</v>
      </c>
      <c r="E4" s="7">
        <v>76218</v>
      </c>
      <c r="F4" s="7">
        <v>2000</v>
      </c>
      <c r="G4" s="7">
        <v>76223</v>
      </c>
      <c r="H4" s="7">
        <v>1800</v>
      </c>
      <c r="I4" s="7">
        <v>76219</v>
      </c>
      <c r="J4" s="7">
        <v>1500</v>
      </c>
      <c r="K4" s="7">
        <v>76221</v>
      </c>
      <c r="L4" s="7">
        <v>1200</v>
      </c>
      <c r="M4" s="7">
        <v>76224</v>
      </c>
      <c r="N4" s="7">
        <v>1000</v>
      </c>
      <c r="O4" s="7"/>
      <c r="P4" s="7"/>
      <c r="Q4" s="7"/>
      <c r="R4" s="7"/>
    </row>
    <row r="5" spans="1:18" ht="18">
      <c r="A5" s="7">
        <v>44412</v>
      </c>
      <c r="B5" s="7">
        <v>60</v>
      </c>
      <c r="C5" s="7">
        <v>76217</v>
      </c>
      <c r="D5" s="7">
        <v>2500</v>
      </c>
      <c r="E5" s="7">
        <v>76218</v>
      </c>
      <c r="F5" s="7">
        <v>2000</v>
      </c>
      <c r="G5" s="7">
        <v>76223</v>
      </c>
      <c r="H5" s="7">
        <v>1800</v>
      </c>
      <c r="I5" s="7">
        <v>76219</v>
      </c>
      <c r="J5" s="7">
        <v>1500</v>
      </c>
      <c r="K5" s="7">
        <v>76221</v>
      </c>
      <c r="L5" s="7">
        <v>1200</v>
      </c>
      <c r="M5" s="7">
        <v>76224</v>
      </c>
      <c r="N5" s="7">
        <v>1000</v>
      </c>
      <c r="O5" s="7"/>
      <c r="P5" s="7"/>
      <c r="Q5" s="7"/>
      <c r="R5" s="7"/>
    </row>
    <row r="6" spans="1:18" ht="18">
      <c r="A6" s="7">
        <v>44413</v>
      </c>
      <c r="B6" s="7">
        <v>60</v>
      </c>
      <c r="C6" s="7">
        <v>76217</v>
      </c>
      <c r="D6" s="7">
        <v>2500</v>
      </c>
      <c r="E6" s="7">
        <v>76218</v>
      </c>
      <c r="F6" s="7">
        <v>2000</v>
      </c>
      <c r="G6" s="7">
        <v>76223</v>
      </c>
      <c r="H6" s="7">
        <v>1800</v>
      </c>
      <c r="I6" s="7">
        <v>76219</v>
      </c>
      <c r="J6" s="7">
        <v>1200</v>
      </c>
      <c r="K6" s="7">
        <v>76224</v>
      </c>
      <c r="L6" s="7">
        <v>1200</v>
      </c>
      <c r="M6" s="7">
        <v>76225</v>
      </c>
      <c r="N6" s="7">
        <v>800</v>
      </c>
      <c r="O6" s="7">
        <v>76226</v>
      </c>
      <c r="P6" s="7">
        <v>500</v>
      </c>
      <c r="Q6" s="7"/>
      <c r="R6" s="7"/>
    </row>
    <row r="7" spans="1:18" ht="18">
      <c r="A7" s="7">
        <v>44414</v>
      </c>
      <c r="B7" s="7">
        <v>60</v>
      </c>
      <c r="C7" s="7">
        <v>76220</v>
      </c>
      <c r="D7" s="7">
        <v>2500</v>
      </c>
      <c r="E7" s="7">
        <v>76223</v>
      </c>
      <c r="F7" s="7">
        <v>2000</v>
      </c>
      <c r="G7" s="7">
        <v>76222</v>
      </c>
      <c r="H7" s="7">
        <v>1600</v>
      </c>
      <c r="I7" s="7">
        <v>76224</v>
      </c>
      <c r="J7" s="7">
        <v>1300</v>
      </c>
      <c r="K7" s="7">
        <v>76225</v>
      </c>
      <c r="L7" s="7">
        <v>1000</v>
      </c>
      <c r="M7" s="7">
        <v>76226</v>
      </c>
      <c r="N7" s="7">
        <v>800</v>
      </c>
      <c r="O7" s="7">
        <v>76227</v>
      </c>
      <c r="P7" s="7">
        <v>800</v>
      </c>
      <c r="Q7" s="7"/>
      <c r="R7" s="7"/>
    </row>
    <row r="8" spans="1:18" ht="18">
      <c r="A8" s="7">
        <v>44415</v>
      </c>
      <c r="B8" s="7">
        <v>60</v>
      </c>
      <c r="C8" s="7">
        <v>76220</v>
      </c>
      <c r="D8" s="7">
        <v>2500</v>
      </c>
      <c r="E8" s="7">
        <v>76223</v>
      </c>
      <c r="F8" s="7">
        <v>2000</v>
      </c>
      <c r="G8" s="7">
        <v>76222</v>
      </c>
      <c r="H8" s="7">
        <v>1600</v>
      </c>
      <c r="I8" s="7">
        <v>76224</v>
      </c>
      <c r="J8" s="7">
        <v>1300</v>
      </c>
      <c r="K8" s="7">
        <v>76225</v>
      </c>
      <c r="L8" s="7">
        <v>1000</v>
      </c>
      <c r="M8" s="7">
        <v>76226</v>
      </c>
      <c r="N8" s="7">
        <v>800</v>
      </c>
      <c r="O8" s="7">
        <v>76227</v>
      </c>
      <c r="P8" s="7">
        <v>800</v>
      </c>
      <c r="Q8" s="7"/>
      <c r="R8" s="7"/>
    </row>
    <row r="9" spans="1:18" s="21" customFormat="1" ht="18">
      <c r="A9" s="7">
        <v>44501</v>
      </c>
      <c r="B9" s="7">
        <v>60</v>
      </c>
      <c r="C9" s="7">
        <v>76217</v>
      </c>
      <c r="D9" s="7">
        <v>2200</v>
      </c>
      <c r="E9" s="7">
        <v>76218</v>
      </c>
      <c r="F9" s="7">
        <v>2000</v>
      </c>
      <c r="G9" s="7">
        <v>76223</v>
      </c>
      <c r="H9" s="7">
        <v>1500</v>
      </c>
      <c r="I9" s="7">
        <v>76219</v>
      </c>
      <c r="J9" s="7">
        <v>1200</v>
      </c>
      <c r="K9" s="7">
        <v>76221</v>
      </c>
      <c r="L9" s="7">
        <v>900</v>
      </c>
      <c r="M9" s="7">
        <v>76224</v>
      </c>
      <c r="N9" s="7">
        <v>800</v>
      </c>
      <c r="O9" s="7">
        <v>76225</v>
      </c>
      <c r="P9" s="7">
        <v>800</v>
      </c>
      <c r="Q9" s="7">
        <v>76226</v>
      </c>
      <c r="R9" s="7">
        <v>600</v>
      </c>
    </row>
    <row r="13" spans="1:18">
      <c r="D13" s="23"/>
      <c r="E13" s="23"/>
    </row>
    <row r="14" spans="1:18">
      <c r="D14" s="23"/>
      <c r="E14" s="23"/>
    </row>
    <row r="15" spans="1:18">
      <c r="D15" s="23"/>
      <c r="E15" s="23"/>
    </row>
    <row r="16" spans="1:18">
      <c r="D16" s="23"/>
      <c r="E16" s="23"/>
    </row>
    <row r="17" spans="4:5">
      <c r="D17" s="23"/>
      <c r="E17" s="23"/>
    </row>
    <row r="18" spans="4:5">
      <c r="D18" s="23"/>
      <c r="E18" s="23"/>
    </row>
    <row r="19" spans="4:5">
      <c r="D19" s="23"/>
      <c r="E19" s="23"/>
    </row>
    <row r="20" spans="4:5">
      <c r="D20" s="23"/>
      <c r="E20" s="23"/>
    </row>
    <row r="22" spans="4:5">
      <c r="D22" s="23"/>
      <c r="E22" s="23"/>
    </row>
  </sheetData>
  <phoneticPr fontId="42" type="noConversion"/>
  <pageMargins left="0.75" right="0.75" top="1" bottom="1" header="0.51180555555555596" footer="0.51180555555555596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W88"/>
  <sheetViews>
    <sheetView workbookViewId="0">
      <selection activeCell="S4" sqref="S4"/>
    </sheetView>
  </sheetViews>
  <sheetFormatPr defaultColWidth="8.796875" defaultRowHeight="21.95" customHeight="1"/>
  <cols>
    <col min="19" max="19" width="12" customWidth="1"/>
    <col min="20" max="20" width="22.69921875" customWidth="1"/>
    <col min="21" max="22" width="45.296875" customWidth="1"/>
  </cols>
  <sheetData>
    <row r="1" spans="1:23" ht="21.95" customHeight="1">
      <c r="A1" s="7" t="s">
        <v>1245</v>
      </c>
      <c r="B1" s="7" t="s">
        <v>1246</v>
      </c>
      <c r="C1" s="7" t="s">
        <v>1247</v>
      </c>
      <c r="D1" s="7" t="s">
        <v>1248</v>
      </c>
      <c r="E1" s="7" t="s">
        <v>1249</v>
      </c>
      <c r="F1" s="7" t="s">
        <v>1246</v>
      </c>
      <c r="G1" s="7" t="s">
        <v>1247</v>
      </c>
      <c r="H1" s="7" t="s">
        <v>1248</v>
      </c>
      <c r="I1" s="7" t="s">
        <v>1249</v>
      </c>
      <c r="J1" s="7" t="s">
        <v>1246</v>
      </c>
      <c r="K1" s="7" t="s">
        <v>1247</v>
      </c>
      <c r="L1" s="7" t="s">
        <v>1248</v>
      </c>
      <c r="M1" s="7" t="s">
        <v>1249</v>
      </c>
      <c r="N1" s="7" t="s">
        <v>1246</v>
      </c>
      <c r="O1" s="7" t="s">
        <v>1247</v>
      </c>
      <c r="P1" s="7" t="s">
        <v>1248</v>
      </c>
      <c r="Q1" s="7" t="s">
        <v>1249</v>
      </c>
      <c r="S1" s="8" t="s">
        <v>1246</v>
      </c>
      <c r="T1" s="9" t="s">
        <v>1250</v>
      </c>
      <c r="U1" s="9" t="s">
        <v>1251</v>
      </c>
      <c r="V1" s="9" t="s">
        <v>1251</v>
      </c>
    </row>
    <row r="2" spans="1:23" ht="21.95" customHeight="1">
      <c r="A2" s="7" t="s">
        <v>39</v>
      </c>
      <c r="B2" s="7" t="s">
        <v>39</v>
      </c>
      <c r="C2" s="7" t="s">
        <v>39</v>
      </c>
      <c r="D2" s="7" t="s">
        <v>39</v>
      </c>
      <c r="E2" s="7" t="s">
        <v>39</v>
      </c>
      <c r="F2" s="7" t="s">
        <v>39</v>
      </c>
      <c r="G2" s="7" t="s">
        <v>39</v>
      </c>
      <c r="H2" s="7" t="s">
        <v>39</v>
      </c>
      <c r="I2" s="7" t="s">
        <v>39</v>
      </c>
      <c r="J2" s="7" t="s">
        <v>39</v>
      </c>
      <c r="K2" s="7" t="s">
        <v>39</v>
      </c>
      <c r="L2" s="7" t="s">
        <v>39</v>
      </c>
      <c r="M2" s="7" t="s">
        <v>39</v>
      </c>
      <c r="N2" s="7" t="s">
        <v>39</v>
      </c>
      <c r="O2" s="7" t="s">
        <v>39</v>
      </c>
      <c r="P2" s="7" t="s">
        <v>39</v>
      </c>
      <c r="Q2" s="7" t="s">
        <v>39</v>
      </c>
      <c r="S2" s="8" t="s">
        <v>39</v>
      </c>
      <c r="T2" s="9" t="s">
        <v>1005</v>
      </c>
      <c r="U2" s="9" t="s">
        <v>40</v>
      </c>
      <c r="V2" s="9" t="s">
        <v>40</v>
      </c>
    </row>
    <row r="3" spans="1:23" ht="21.95" customHeight="1">
      <c r="A3" s="7" t="s">
        <v>1252</v>
      </c>
      <c r="B3" s="7" t="s">
        <v>1253</v>
      </c>
      <c r="C3" s="7" t="s">
        <v>1254</v>
      </c>
      <c r="D3" s="7" t="s">
        <v>1255</v>
      </c>
      <c r="E3" s="7" t="s">
        <v>1256</v>
      </c>
      <c r="F3" s="7" t="s">
        <v>1253</v>
      </c>
      <c r="G3" s="7" t="s">
        <v>1254</v>
      </c>
      <c r="H3" s="7" t="s">
        <v>1255</v>
      </c>
      <c r="I3" s="7" t="s">
        <v>1256</v>
      </c>
      <c r="J3" s="7" t="s">
        <v>1253</v>
      </c>
      <c r="K3" s="7" t="s">
        <v>1254</v>
      </c>
      <c r="L3" s="7" t="s">
        <v>1255</v>
      </c>
      <c r="M3" s="7" t="s">
        <v>1256</v>
      </c>
      <c r="N3" s="7" t="s">
        <v>1253</v>
      </c>
      <c r="O3" s="7" t="s">
        <v>1254</v>
      </c>
      <c r="P3" s="7" t="s">
        <v>1255</v>
      </c>
      <c r="Q3" s="7" t="s">
        <v>1256</v>
      </c>
      <c r="S3" s="10" t="s">
        <v>1257</v>
      </c>
      <c r="T3" s="11" t="s">
        <v>1258</v>
      </c>
      <c r="U3" s="15" t="s">
        <v>1259</v>
      </c>
      <c r="V3" s="15" t="s">
        <v>1260</v>
      </c>
    </row>
    <row r="4" spans="1:23" ht="21.95" customHeight="1">
      <c r="A4" s="7">
        <v>10</v>
      </c>
      <c r="B4" s="7">
        <v>1</v>
      </c>
      <c r="C4" s="7">
        <v>0</v>
      </c>
      <c r="D4" s="7">
        <v>0</v>
      </c>
      <c r="E4" s="7">
        <v>0</v>
      </c>
      <c r="F4" s="7">
        <v>2</v>
      </c>
      <c r="G4" s="7">
        <v>1</v>
      </c>
      <c r="H4" s="7">
        <v>1</v>
      </c>
      <c r="I4" s="7">
        <v>50</v>
      </c>
      <c r="J4" s="7">
        <v>3</v>
      </c>
      <c r="K4" s="7">
        <v>0</v>
      </c>
      <c r="L4" s="7">
        <v>0</v>
      </c>
      <c r="M4" s="7">
        <v>0</v>
      </c>
      <c r="N4" s="7">
        <v>4</v>
      </c>
      <c r="O4" s="7">
        <v>1</v>
      </c>
      <c r="P4" s="7">
        <v>1</v>
      </c>
      <c r="Q4" s="7">
        <v>800</v>
      </c>
      <c r="S4" s="8">
        <v>1</v>
      </c>
      <c r="T4" s="12" t="s">
        <v>1261</v>
      </c>
      <c r="U4" s="16" t="s">
        <v>1262</v>
      </c>
      <c r="V4" s="9" t="s">
        <v>1262</v>
      </c>
      <c r="W4" s="17" t="s">
        <v>577</v>
      </c>
    </row>
    <row r="5" spans="1:23" ht="21.95" customHeight="1">
      <c r="A5" s="7">
        <v>15</v>
      </c>
      <c r="B5" s="7">
        <v>1</v>
      </c>
      <c r="C5" s="7">
        <v>0</v>
      </c>
      <c r="D5" s="7">
        <v>0</v>
      </c>
      <c r="E5" s="7">
        <v>0</v>
      </c>
      <c r="F5" s="7">
        <v>2</v>
      </c>
      <c r="G5" s="7">
        <v>1</v>
      </c>
      <c r="H5" s="7">
        <v>1</v>
      </c>
      <c r="I5" s="7">
        <v>50</v>
      </c>
      <c r="J5" s="7">
        <v>3</v>
      </c>
      <c r="K5" s="7">
        <v>0</v>
      </c>
      <c r="L5" s="7">
        <v>0</v>
      </c>
      <c r="M5" s="7">
        <v>0</v>
      </c>
      <c r="N5" s="7">
        <v>4</v>
      </c>
      <c r="O5" s="7">
        <v>1</v>
      </c>
      <c r="P5" s="7">
        <v>1</v>
      </c>
      <c r="Q5" s="7">
        <v>800</v>
      </c>
      <c r="S5" s="13">
        <v>2</v>
      </c>
      <c r="T5" s="9" t="s">
        <v>1263</v>
      </c>
      <c r="U5" s="18" t="s">
        <v>1264</v>
      </c>
      <c r="V5" s="19" t="s">
        <v>1264</v>
      </c>
      <c r="W5" s="17" t="s">
        <v>1265</v>
      </c>
    </row>
    <row r="6" spans="1:23" ht="21.95" customHeight="1">
      <c r="A6" s="7">
        <v>20</v>
      </c>
      <c r="B6" s="7">
        <v>1</v>
      </c>
      <c r="C6" s="7">
        <v>0</v>
      </c>
      <c r="D6" s="7">
        <v>0</v>
      </c>
      <c r="E6" s="7">
        <v>0</v>
      </c>
      <c r="F6" s="7">
        <v>2</v>
      </c>
      <c r="G6" s="7">
        <v>1</v>
      </c>
      <c r="H6" s="7">
        <v>1</v>
      </c>
      <c r="I6" s="7">
        <v>60</v>
      </c>
      <c r="J6" s="7">
        <v>3</v>
      </c>
      <c r="K6" s="7">
        <v>0</v>
      </c>
      <c r="L6" s="7">
        <v>0</v>
      </c>
      <c r="M6" s="7">
        <v>0</v>
      </c>
      <c r="N6" s="7">
        <v>4</v>
      </c>
      <c r="O6" s="7">
        <v>1</v>
      </c>
      <c r="P6" s="7">
        <v>1</v>
      </c>
      <c r="Q6" s="7">
        <v>800</v>
      </c>
      <c r="S6" s="14">
        <v>3</v>
      </c>
      <c r="T6" s="9" t="s">
        <v>1263</v>
      </c>
      <c r="U6" s="9" t="s">
        <v>1266</v>
      </c>
      <c r="V6" s="9" t="s">
        <v>1267</v>
      </c>
      <c r="W6" s="17" t="s">
        <v>1268</v>
      </c>
    </row>
    <row r="7" spans="1:23" ht="21.95" customHeight="1">
      <c r="A7" s="7">
        <v>25</v>
      </c>
      <c r="B7" s="7">
        <v>1</v>
      </c>
      <c r="C7" s="7">
        <v>0</v>
      </c>
      <c r="D7" s="7">
        <v>0</v>
      </c>
      <c r="E7" s="7">
        <v>0</v>
      </c>
      <c r="F7" s="7">
        <v>2</v>
      </c>
      <c r="G7" s="7">
        <v>1</v>
      </c>
      <c r="H7" s="7">
        <v>1</v>
      </c>
      <c r="I7" s="7">
        <v>60</v>
      </c>
      <c r="J7" s="7">
        <v>3</v>
      </c>
      <c r="K7" s="7">
        <v>0</v>
      </c>
      <c r="L7" s="7">
        <v>0</v>
      </c>
      <c r="M7" s="7">
        <v>0</v>
      </c>
      <c r="N7" s="7">
        <v>4</v>
      </c>
      <c r="O7" s="7">
        <v>1</v>
      </c>
      <c r="P7" s="7">
        <v>1</v>
      </c>
      <c r="Q7" s="7">
        <v>800</v>
      </c>
      <c r="S7" s="13">
        <v>4</v>
      </c>
      <c r="T7" s="9" t="s">
        <v>1269</v>
      </c>
      <c r="U7" s="18" t="s">
        <v>1270</v>
      </c>
      <c r="V7" s="18" t="s">
        <v>1270</v>
      </c>
      <c r="W7" s="20" t="s">
        <v>1271</v>
      </c>
    </row>
    <row r="8" spans="1:23" ht="21.95" customHeight="1">
      <c r="A8" s="7">
        <v>30</v>
      </c>
      <c r="B8" s="7">
        <v>1</v>
      </c>
      <c r="C8" s="7">
        <v>0</v>
      </c>
      <c r="D8" s="7">
        <v>0</v>
      </c>
      <c r="E8" s="7">
        <v>0</v>
      </c>
      <c r="F8" s="7">
        <v>2</v>
      </c>
      <c r="G8" s="7">
        <v>1</v>
      </c>
      <c r="H8" s="7">
        <v>1</v>
      </c>
      <c r="I8" s="7">
        <v>70</v>
      </c>
      <c r="J8" s="7">
        <v>3</v>
      </c>
      <c r="K8" s="7">
        <v>0</v>
      </c>
      <c r="L8" s="7">
        <v>0</v>
      </c>
      <c r="M8" s="7">
        <v>0</v>
      </c>
      <c r="N8" s="7">
        <v>4</v>
      </c>
      <c r="O8" s="7">
        <v>1</v>
      </c>
      <c r="P8" s="7">
        <v>1</v>
      </c>
      <c r="Q8" s="7">
        <v>800</v>
      </c>
    </row>
    <row r="9" spans="1:23" ht="21.95" customHeight="1">
      <c r="A9" s="7">
        <v>40</v>
      </c>
      <c r="B9" s="7">
        <v>1</v>
      </c>
      <c r="C9" s="7">
        <v>0</v>
      </c>
      <c r="D9" s="7">
        <v>0</v>
      </c>
      <c r="E9" s="7">
        <v>0</v>
      </c>
      <c r="F9" s="7">
        <v>2</v>
      </c>
      <c r="G9" s="7">
        <v>1</v>
      </c>
      <c r="H9" s="7">
        <v>1</v>
      </c>
      <c r="I9" s="7">
        <v>70</v>
      </c>
      <c r="J9" s="7">
        <v>3</v>
      </c>
      <c r="K9" s="7">
        <v>0</v>
      </c>
      <c r="L9" s="7">
        <v>0</v>
      </c>
      <c r="M9" s="7">
        <v>0</v>
      </c>
      <c r="N9" s="7">
        <v>4</v>
      </c>
      <c r="O9" s="7">
        <v>1</v>
      </c>
      <c r="P9" s="7">
        <v>1</v>
      </c>
      <c r="Q9" s="7">
        <v>800</v>
      </c>
    </row>
    <row r="10" spans="1:23" ht="21.95" customHeight="1">
      <c r="A10" s="7">
        <v>50</v>
      </c>
      <c r="B10" s="7">
        <v>1</v>
      </c>
      <c r="C10" s="7">
        <v>0</v>
      </c>
      <c r="D10" s="7">
        <v>0</v>
      </c>
      <c r="E10" s="7">
        <v>0</v>
      </c>
      <c r="F10" s="7">
        <v>2</v>
      </c>
      <c r="G10" s="7">
        <v>1</v>
      </c>
      <c r="H10" s="7">
        <v>1</v>
      </c>
      <c r="I10" s="7">
        <v>80</v>
      </c>
      <c r="J10" s="7">
        <v>3</v>
      </c>
      <c r="K10" s="7">
        <v>0</v>
      </c>
      <c r="L10" s="7">
        <v>0</v>
      </c>
      <c r="M10" s="7">
        <v>0</v>
      </c>
      <c r="N10" s="7">
        <v>4</v>
      </c>
      <c r="O10" s="7">
        <v>1</v>
      </c>
      <c r="P10" s="7">
        <v>1</v>
      </c>
      <c r="Q10" s="7">
        <v>800</v>
      </c>
    </row>
    <row r="11" spans="1:23" ht="21.95" customHeight="1">
      <c r="A11" s="7">
        <v>60</v>
      </c>
      <c r="B11" s="7">
        <v>1</v>
      </c>
      <c r="C11" s="7">
        <v>0</v>
      </c>
      <c r="D11" s="7">
        <v>0</v>
      </c>
      <c r="E11" s="7">
        <v>0</v>
      </c>
      <c r="F11" s="7">
        <v>2</v>
      </c>
      <c r="G11" s="7">
        <v>1</v>
      </c>
      <c r="H11" s="7">
        <v>1</v>
      </c>
      <c r="I11" s="7">
        <v>80</v>
      </c>
      <c r="J11" s="7">
        <v>3</v>
      </c>
      <c r="K11" s="7">
        <v>0</v>
      </c>
      <c r="L11" s="7">
        <v>0</v>
      </c>
      <c r="M11" s="7">
        <v>0</v>
      </c>
      <c r="N11" s="7">
        <v>4</v>
      </c>
      <c r="O11" s="7">
        <v>1</v>
      </c>
      <c r="P11" s="7">
        <v>1</v>
      </c>
      <c r="Q11" s="7">
        <v>800</v>
      </c>
    </row>
    <row r="12" spans="1:23" ht="21.95" customHeight="1">
      <c r="A12" s="7">
        <v>70</v>
      </c>
      <c r="B12" s="7">
        <v>1</v>
      </c>
      <c r="C12" s="7">
        <v>0</v>
      </c>
      <c r="D12" s="7">
        <v>0</v>
      </c>
      <c r="E12" s="7">
        <v>0</v>
      </c>
      <c r="F12" s="7">
        <v>2</v>
      </c>
      <c r="G12" s="7">
        <v>1</v>
      </c>
      <c r="H12" s="7">
        <v>1</v>
      </c>
      <c r="I12" s="7">
        <v>90</v>
      </c>
      <c r="J12" s="7">
        <v>3</v>
      </c>
      <c r="K12" s="7">
        <v>0</v>
      </c>
      <c r="L12" s="7">
        <v>0</v>
      </c>
      <c r="M12" s="7">
        <v>0</v>
      </c>
      <c r="N12" s="7">
        <v>4</v>
      </c>
      <c r="O12" s="7">
        <v>1</v>
      </c>
      <c r="P12" s="7">
        <v>1</v>
      </c>
      <c r="Q12" s="7">
        <v>800</v>
      </c>
    </row>
    <row r="13" spans="1:23" ht="21.95" customHeight="1">
      <c r="A13" s="7">
        <v>80</v>
      </c>
      <c r="B13" s="7">
        <v>1</v>
      </c>
      <c r="C13" s="7">
        <v>0</v>
      </c>
      <c r="D13" s="7">
        <v>0</v>
      </c>
      <c r="E13" s="7">
        <v>0</v>
      </c>
      <c r="F13" s="7">
        <v>2</v>
      </c>
      <c r="G13" s="7">
        <v>1</v>
      </c>
      <c r="H13" s="7">
        <v>1</v>
      </c>
      <c r="I13" s="7">
        <v>90</v>
      </c>
      <c r="J13" s="7">
        <v>3</v>
      </c>
      <c r="K13" s="7">
        <v>0</v>
      </c>
      <c r="L13" s="7">
        <v>0</v>
      </c>
      <c r="M13" s="7">
        <v>0</v>
      </c>
      <c r="N13" s="7">
        <v>4</v>
      </c>
      <c r="O13" s="7">
        <v>1</v>
      </c>
      <c r="P13" s="7">
        <v>1</v>
      </c>
      <c r="Q13" s="7">
        <v>800</v>
      </c>
    </row>
    <row r="14" spans="1:23" ht="21.95" customHeight="1">
      <c r="A14" s="7">
        <v>90</v>
      </c>
      <c r="B14" s="7">
        <v>1</v>
      </c>
      <c r="C14" s="7">
        <v>0</v>
      </c>
      <c r="D14" s="7">
        <v>0</v>
      </c>
      <c r="E14" s="7">
        <v>0</v>
      </c>
      <c r="F14" s="7">
        <v>2</v>
      </c>
      <c r="G14" s="7">
        <v>1</v>
      </c>
      <c r="H14" s="7">
        <v>1</v>
      </c>
      <c r="I14" s="7">
        <v>100</v>
      </c>
      <c r="J14" s="7">
        <v>3</v>
      </c>
      <c r="K14" s="7">
        <v>0</v>
      </c>
      <c r="L14" s="7">
        <v>0</v>
      </c>
      <c r="M14" s="7">
        <v>0</v>
      </c>
      <c r="N14" s="7">
        <v>4</v>
      </c>
      <c r="O14" s="7">
        <v>1</v>
      </c>
      <c r="P14" s="7">
        <v>2</v>
      </c>
      <c r="Q14" s="7">
        <v>800</v>
      </c>
    </row>
    <row r="15" spans="1:23" ht="21.95" customHeight="1">
      <c r="A15" s="7">
        <v>100</v>
      </c>
      <c r="B15" s="7">
        <v>1</v>
      </c>
      <c r="C15" s="7">
        <v>1</v>
      </c>
      <c r="D15" s="7">
        <v>1</v>
      </c>
      <c r="E15" s="7">
        <v>5280</v>
      </c>
      <c r="F15" s="7">
        <v>2</v>
      </c>
      <c r="G15" s="7">
        <v>1</v>
      </c>
      <c r="H15" s="7">
        <v>1</v>
      </c>
      <c r="I15" s="7">
        <v>100</v>
      </c>
      <c r="J15" s="7">
        <v>3</v>
      </c>
      <c r="K15" s="7">
        <v>0</v>
      </c>
      <c r="L15" s="7">
        <v>0</v>
      </c>
      <c r="M15" s="7">
        <v>0</v>
      </c>
      <c r="N15" s="7">
        <v>4</v>
      </c>
      <c r="O15" s="7">
        <v>1</v>
      </c>
      <c r="P15" s="7">
        <v>2</v>
      </c>
      <c r="Q15" s="7">
        <v>800</v>
      </c>
    </row>
    <row r="16" spans="1:23" ht="21.95" customHeight="1">
      <c r="A16" s="7">
        <v>150</v>
      </c>
      <c r="B16" s="7">
        <v>1</v>
      </c>
      <c r="C16" s="7">
        <v>1</v>
      </c>
      <c r="D16" s="7">
        <v>1</v>
      </c>
      <c r="E16" s="7">
        <v>5280</v>
      </c>
      <c r="F16" s="7">
        <v>2</v>
      </c>
      <c r="G16" s="7">
        <v>1</v>
      </c>
      <c r="H16" s="7">
        <v>1</v>
      </c>
      <c r="I16" s="7">
        <v>110</v>
      </c>
      <c r="J16" s="7">
        <v>3</v>
      </c>
      <c r="K16" s="7">
        <v>0</v>
      </c>
      <c r="L16" s="7">
        <v>0</v>
      </c>
      <c r="M16" s="7">
        <v>0</v>
      </c>
      <c r="N16" s="7">
        <v>4</v>
      </c>
      <c r="O16" s="7">
        <v>1</v>
      </c>
      <c r="P16" s="7">
        <v>3</v>
      </c>
      <c r="Q16" s="7">
        <v>800</v>
      </c>
    </row>
    <row r="17" spans="1:17" ht="21.95" customHeight="1">
      <c r="A17" s="7">
        <v>200</v>
      </c>
      <c r="B17" s="7">
        <v>1</v>
      </c>
      <c r="C17" s="7">
        <v>1</v>
      </c>
      <c r="D17" s="7">
        <v>2</v>
      </c>
      <c r="E17" s="7">
        <v>4800</v>
      </c>
      <c r="F17" s="7">
        <v>2</v>
      </c>
      <c r="G17" s="7">
        <v>1</v>
      </c>
      <c r="H17" s="7">
        <v>1</v>
      </c>
      <c r="I17" s="7">
        <v>110</v>
      </c>
      <c r="J17" s="7">
        <v>3</v>
      </c>
      <c r="K17" s="7">
        <v>0</v>
      </c>
      <c r="L17" s="7">
        <v>0</v>
      </c>
      <c r="M17" s="7">
        <v>0</v>
      </c>
      <c r="N17" s="7">
        <v>4</v>
      </c>
      <c r="O17" s="7">
        <v>1</v>
      </c>
      <c r="P17" s="7">
        <v>3</v>
      </c>
      <c r="Q17" s="7">
        <v>800</v>
      </c>
    </row>
    <row r="18" spans="1:17" ht="21.95" customHeight="1">
      <c r="A18" s="7">
        <v>250</v>
      </c>
      <c r="B18" s="7">
        <v>1</v>
      </c>
      <c r="C18" s="7">
        <v>1</v>
      </c>
      <c r="D18" s="7">
        <v>1</v>
      </c>
      <c r="E18" s="7">
        <v>2400</v>
      </c>
      <c r="F18" s="7">
        <v>2</v>
      </c>
      <c r="G18" s="7">
        <v>1</v>
      </c>
      <c r="H18" s="7">
        <v>1</v>
      </c>
      <c r="I18" s="7">
        <v>120</v>
      </c>
      <c r="J18" s="7">
        <v>3</v>
      </c>
      <c r="K18" s="7">
        <v>0</v>
      </c>
      <c r="L18" s="7">
        <v>0</v>
      </c>
      <c r="M18" s="7">
        <v>0</v>
      </c>
      <c r="N18" s="7">
        <v>4</v>
      </c>
      <c r="O18" s="7">
        <v>1</v>
      </c>
      <c r="P18" s="7">
        <v>4</v>
      </c>
      <c r="Q18" s="7">
        <v>800</v>
      </c>
    </row>
    <row r="19" spans="1:17" ht="21.95" customHeight="1">
      <c r="A19" s="7">
        <v>300</v>
      </c>
      <c r="B19" s="7">
        <v>1</v>
      </c>
      <c r="C19" s="7">
        <v>1</v>
      </c>
      <c r="D19" s="7">
        <v>2</v>
      </c>
      <c r="E19" s="7">
        <v>2160</v>
      </c>
      <c r="F19" s="7">
        <v>2</v>
      </c>
      <c r="G19" s="7">
        <v>1</v>
      </c>
      <c r="H19" s="7">
        <v>1</v>
      </c>
      <c r="I19" s="7">
        <v>120</v>
      </c>
      <c r="J19" s="7">
        <v>3</v>
      </c>
      <c r="K19" s="7">
        <v>0</v>
      </c>
      <c r="L19" s="7">
        <v>0</v>
      </c>
      <c r="M19" s="7">
        <v>0</v>
      </c>
      <c r="N19" s="7">
        <v>4</v>
      </c>
      <c r="O19" s="7">
        <v>1</v>
      </c>
      <c r="P19" s="7">
        <v>4</v>
      </c>
      <c r="Q19" s="7">
        <v>800</v>
      </c>
    </row>
    <row r="20" spans="1:17" ht="21.95" customHeight="1">
      <c r="A20" s="7">
        <v>350</v>
      </c>
      <c r="B20" s="7">
        <v>1</v>
      </c>
      <c r="C20" s="7">
        <v>1</v>
      </c>
      <c r="D20" s="7">
        <v>2</v>
      </c>
      <c r="E20" s="7">
        <v>1920</v>
      </c>
      <c r="F20" s="7">
        <v>2</v>
      </c>
      <c r="G20" s="7">
        <v>1</v>
      </c>
      <c r="H20" s="7">
        <v>1</v>
      </c>
      <c r="I20" s="7">
        <v>130</v>
      </c>
      <c r="J20" s="7">
        <v>3</v>
      </c>
      <c r="K20" s="7">
        <v>0</v>
      </c>
      <c r="L20" s="7">
        <v>0</v>
      </c>
      <c r="M20" s="7">
        <v>0</v>
      </c>
      <c r="N20" s="7">
        <v>4</v>
      </c>
      <c r="O20" s="7">
        <v>2</v>
      </c>
      <c r="P20" s="7">
        <v>5</v>
      </c>
      <c r="Q20" s="7">
        <v>800</v>
      </c>
    </row>
    <row r="21" spans="1:17" ht="21.95" customHeight="1">
      <c r="A21" s="7">
        <v>400</v>
      </c>
      <c r="B21" s="7">
        <v>1</v>
      </c>
      <c r="C21" s="7">
        <v>1</v>
      </c>
      <c r="D21" s="7">
        <v>2</v>
      </c>
      <c r="E21" s="7">
        <v>1680</v>
      </c>
      <c r="F21" s="7">
        <v>2</v>
      </c>
      <c r="G21" s="7">
        <v>1</v>
      </c>
      <c r="H21" s="7">
        <v>1</v>
      </c>
      <c r="I21" s="7">
        <v>130</v>
      </c>
      <c r="J21" s="7">
        <v>3</v>
      </c>
      <c r="K21" s="7">
        <v>0</v>
      </c>
      <c r="L21" s="7">
        <v>0</v>
      </c>
      <c r="M21" s="7">
        <v>0</v>
      </c>
      <c r="N21" s="7">
        <v>4</v>
      </c>
      <c r="O21" s="7">
        <v>2</v>
      </c>
      <c r="P21" s="7">
        <v>5</v>
      </c>
      <c r="Q21" s="7">
        <v>800</v>
      </c>
    </row>
    <row r="22" spans="1:17" ht="21.95" customHeight="1">
      <c r="A22" s="7">
        <v>450</v>
      </c>
      <c r="B22" s="7">
        <v>1</v>
      </c>
      <c r="C22" s="7">
        <v>1</v>
      </c>
      <c r="D22" s="7">
        <v>2</v>
      </c>
      <c r="E22" s="7">
        <v>1440</v>
      </c>
      <c r="F22" s="7">
        <v>2</v>
      </c>
      <c r="G22" s="7">
        <v>1</v>
      </c>
      <c r="H22" s="7">
        <v>1</v>
      </c>
      <c r="I22" s="7">
        <v>140</v>
      </c>
      <c r="J22" s="7">
        <v>3</v>
      </c>
      <c r="K22" s="7">
        <v>0</v>
      </c>
      <c r="L22" s="7">
        <v>0</v>
      </c>
      <c r="M22" s="7">
        <v>0</v>
      </c>
      <c r="N22" s="7">
        <v>4</v>
      </c>
      <c r="O22" s="7">
        <v>3</v>
      </c>
      <c r="P22" s="7">
        <v>5</v>
      </c>
      <c r="Q22" s="7">
        <v>800</v>
      </c>
    </row>
    <row r="23" spans="1:17" ht="21.95" customHeight="1">
      <c r="A23" s="7">
        <v>500</v>
      </c>
      <c r="B23" s="7">
        <v>1</v>
      </c>
      <c r="C23" s="7">
        <v>1</v>
      </c>
      <c r="D23" s="7">
        <v>2</v>
      </c>
      <c r="E23" s="7">
        <v>1200</v>
      </c>
      <c r="F23" s="7">
        <v>2</v>
      </c>
      <c r="G23" s="7">
        <v>1</v>
      </c>
      <c r="H23" s="7">
        <v>1</v>
      </c>
      <c r="I23" s="7">
        <v>140</v>
      </c>
      <c r="J23" s="7">
        <v>3</v>
      </c>
      <c r="K23" s="7">
        <v>0</v>
      </c>
      <c r="L23" s="7">
        <v>0</v>
      </c>
      <c r="M23" s="7">
        <v>0</v>
      </c>
      <c r="N23" s="7">
        <v>4</v>
      </c>
      <c r="O23" s="7">
        <v>3</v>
      </c>
      <c r="P23" s="7">
        <v>5</v>
      </c>
      <c r="Q23" s="7">
        <v>800</v>
      </c>
    </row>
    <row r="24" spans="1:17" ht="21.95" customHeight="1">
      <c r="A24" s="7">
        <v>600</v>
      </c>
      <c r="B24" s="7">
        <v>1</v>
      </c>
      <c r="C24" s="7">
        <v>1</v>
      </c>
      <c r="D24" s="7">
        <v>2</v>
      </c>
      <c r="E24" s="7">
        <v>1200</v>
      </c>
      <c r="F24" s="7">
        <v>2</v>
      </c>
      <c r="G24" s="7">
        <v>1</v>
      </c>
      <c r="H24" s="7">
        <v>1</v>
      </c>
      <c r="I24" s="7">
        <v>150</v>
      </c>
      <c r="J24" s="7">
        <v>3</v>
      </c>
      <c r="K24" s="7">
        <v>0</v>
      </c>
      <c r="L24" s="7">
        <v>0</v>
      </c>
      <c r="M24" s="7">
        <v>0</v>
      </c>
      <c r="N24" s="7">
        <v>4</v>
      </c>
      <c r="O24" s="7">
        <v>3</v>
      </c>
      <c r="P24" s="7">
        <v>6</v>
      </c>
      <c r="Q24" s="7">
        <v>800</v>
      </c>
    </row>
    <row r="25" spans="1:17" ht="21.95" customHeight="1">
      <c r="A25" s="7">
        <v>700</v>
      </c>
      <c r="B25" s="7">
        <v>1</v>
      </c>
      <c r="C25" s="7">
        <v>1</v>
      </c>
      <c r="D25" s="7">
        <v>2</v>
      </c>
      <c r="E25" s="7">
        <v>1200</v>
      </c>
      <c r="F25" s="7">
        <v>2</v>
      </c>
      <c r="G25" s="7">
        <v>1</v>
      </c>
      <c r="H25" s="7">
        <v>1</v>
      </c>
      <c r="I25" s="7">
        <v>150</v>
      </c>
      <c r="J25" s="7">
        <v>3</v>
      </c>
      <c r="K25" s="7">
        <v>0</v>
      </c>
      <c r="L25" s="7">
        <v>0</v>
      </c>
      <c r="M25" s="7">
        <v>0</v>
      </c>
      <c r="N25" s="7">
        <v>4</v>
      </c>
      <c r="O25" s="7">
        <v>3</v>
      </c>
      <c r="P25" s="7">
        <v>6</v>
      </c>
      <c r="Q25" s="7">
        <v>800</v>
      </c>
    </row>
    <row r="26" spans="1:17" ht="21.95" customHeight="1">
      <c r="A26" s="7">
        <v>800</v>
      </c>
      <c r="B26" s="7">
        <v>1</v>
      </c>
      <c r="C26" s="7">
        <v>1</v>
      </c>
      <c r="D26" s="7">
        <v>3</v>
      </c>
      <c r="E26" s="7">
        <v>1200</v>
      </c>
      <c r="F26" s="7">
        <v>2</v>
      </c>
      <c r="G26" s="7">
        <v>1</v>
      </c>
      <c r="H26" s="7">
        <v>1</v>
      </c>
      <c r="I26" s="7">
        <v>160</v>
      </c>
      <c r="J26" s="7">
        <v>3</v>
      </c>
      <c r="K26" s="7">
        <v>0</v>
      </c>
      <c r="L26" s="7">
        <v>0</v>
      </c>
      <c r="M26" s="7">
        <v>0</v>
      </c>
      <c r="N26" s="7">
        <v>4</v>
      </c>
      <c r="O26" s="7">
        <v>3</v>
      </c>
      <c r="P26" s="7">
        <v>7</v>
      </c>
      <c r="Q26" s="7">
        <v>800</v>
      </c>
    </row>
    <row r="27" spans="1:17" ht="21.95" customHeight="1">
      <c r="A27" s="7">
        <v>900</v>
      </c>
      <c r="B27" s="7">
        <v>1</v>
      </c>
      <c r="C27" s="7">
        <v>2</v>
      </c>
      <c r="D27" s="7">
        <v>3</v>
      </c>
      <c r="E27" s="7">
        <v>1200</v>
      </c>
      <c r="F27" s="7">
        <v>2</v>
      </c>
      <c r="G27" s="7">
        <v>1</v>
      </c>
      <c r="H27" s="7">
        <v>1</v>
      </c>
      <c r="I27" s="7">
        <v>160</v>
      </c>
      <c r="J27" s="7">
        <v>3</v>
      </c>
      <c r="K27" s="7">
        <v>0</v>
      </c>
      <c r="L27" s="7">
        <v>0</v>
      </c>
      <c r="M27" s="7">
        <v>0</v>
      </c>
      <c r="N27" s="7">
        <v>4</v>
      </c>
      <c r="O27" s="7">
        <v>4</v>
      </c>
      <c r="P27" s="7">
        <v>8</v>
      </c>
      <c r="Q27" s="7">
        <v>800</v>
      </c>
    </row>
    <row r="28" spans="1:17" ht="21.95" customHeight="1">
      <c r="A28" s="7">
        <v>1000</v>
      </c>
      <c r="B28" s="7">
        <v>1</v>
      </c>
      <c r="C28" s="7">
        <v>2</v>
      </c>
      <c r="D28" s="7">
        <v>3</v>
      </c>
      <c r="E28" s="7">
        <v>1200</v>
      </c>
      <c r="F28" s="7">
        <v>2</v>
      </c>
      <c r="G28" s="7">
        <v>1</v>
      </c>
      <c r="H28" s="7">
        <v>1</v>
      </c>
      <c r="I28" s="7">
        <v>160</v>
      </c>
      <c r="J28" s="7">
        <v>3</v>
      </c>
      <c r="K28" s="7">
        <v>0</v>
      </c>
      <c r="L28" s="7">
        <v>0</v>
      </c>
      <c r="M28" s="7">
        <v>0</v>
      </c>
      <c r="N28" s="7">
        <v>4</v>
      </c>
      <c r="O28" s="7">
        <v>5</v>
      </c>
      <c r="P28" s="7">
        <v>10</v>
      </c>
      <c r="Q28" s="7">
        <v>800</v>
      </c>
    </row>
    <row r="29" spans="1:17" ht="21.95" customHeight="1">
      <c r="A29" s="7">
        <v>1500</v>
      </c>
      <c r="B29" s="7">
        <v>1</v>
      </c>
      <c r="C29" s="7">
        <v>2</v>
      </c>
      <c r="D29" s="7">
        <v>4</v>
      </c>
      <c r="E29" s="7">
        <v>1200</v>
      </c>
      <c r="F29" s="7">
        <v>2</v>
      </c>
      <c r="G29" s="7">
        <v>1</v>
      </c>
      <c r="H29" s="7">
        <v>1</v>
      </c>
      <c r="I29" s="7">
        <v>160</v>
      </c>
      <c r="J29" s="7">
        <v>3</v>
      </c>
      <c r="K29" s="7">
        <v>0</v>
      </c>
      <c r="L29" s="7">
        <v>0</v>
      </c>
      <c r="M29" s="7">
        <v>0</v>
      </c>
      <c r="N29" s="7">
        <v>4</v>
      </c>
      <c r="O29" s="7">
        <v>5</v>
      </c>
      <c r="P29" s="7">
        <v>15</v>
      </c>
      <c r="Q29" s="7">
        <v>800</v>
      </c>
    </row>
    <row r="30" spans="1:17" ht="21.95" customHeight="1">
      <c r="A30" s="7">
        <v>2000</v>
      </c>
      <c r="B30" s="7">
        <v>1</v>
      </c>
      <c r="C30" s="7">
        <v>2</v>
      </c>
      <c r="D30" s="7">
        <v>4</v>
      </c>
      <c r="E30" s="7">
        <v>1200</v>
      </c>
      <c r="F30" s="7">
        <v>2</v>
      </c>
      <c r="G30" s="7">
        <v>1</v>
      </c>
      <c r="H30" s="7">
        <v>1</v>
      </c>
      <c r="I30" s="7">
        <v>160</v>
      </c>
      <c r="J30" s="7">
        <v>3</v>
      </c>
      <c r="K30" s="7">
        <v>0</v>
      </c>
      <c r="L30" s="7">
        <v>0</v>
      </c>
      <c r="M30" s="7">
        <v>0</v>
      </c>
      <c r="N30" s="7">
        <v>4</v>
      </c>
      <c r="O30" s="7">
        <v>6</v>
      </c>
      <c r="P30" s="7">
        <v>18</v>
      </c>
      <c r="Q30" s="7">
        <v>800</v>
      </c>
    </row>
    <row r="31" spans="1:17" ht="21.95" customHeight="1">
      <c r="A31" s="7">
        <v>2500</v>
      </c>
      <c r="B31" s="7">
        <v>1</v>
      </c>
      <c r="C31" s="7">
        <v>3</v>
      </c>
      <c r="D31" s="7">
        <v>5</v>
      </c>
      <c r="E31" s="7">
        <v>1200</v>
      </c>
      <c r="F31" s="7">
        <v>2</v>
      </c>
      <c r="G31" s="7">
        <v>1</v>
      </c>
      <c r="H31" s="7">
        <v>1</v>
      </c>
      <c r="I31" s="7">
        <v>160</v>
      </c>
      <c r="J31" s="7">
        <v>3</v>
      </c>
      <c r="K31" s="7">
        <v>0</v>
      </c>
      <c r="L31" s="7">
        <v>0</v>
      </c>
      <c r="M31" s="7">
        <v>0</v>
      </c>
      <c r="N31" s="7">
        <v>4</v>
      </c>
      <c r="O31" s="7">
        <v>6</v>
      </c>
      <c r="P31" s="7">
        <v>18</v>
      </c>
      <c r="Q31" s="7">
        <v>800</v>
      </c>
    </row>
    <row r="32" spans="1:17" ht="21.95" customHeight="1">
      <c r="A32" s="7">
        <v>3000</v>
      </c>
      <c r="B32" s="7">
        <v>1</v>
      </c>
      <c r="C32" s="7">
        <v>3</v>
      </c>
      <c r="D32" s="7">
        <v>5</v>
      </c>
      <c r="E32" s="7">
        <v>1200</v>
      </c>
      <c r="F32" s="7">
        <v>2</v>
      </c>
      <c r="G32" s="7">
        <v>1</v>
      </c>
      <c r="H32" s="7">
        <v>1</v>
      </c>
      <c r="I32" s="7">
        <v>160</v>
      </c>
      <c r="J32" s="7">
        <v>3</v>
      </c>
      <c r="K32" s="7">
        <v>0</v>
      </c>
      <c r="L32" s="7">
        <v>0</v>
      </c>
      <c r="M32" s="7">
        <v>0</v>
      </c>
      <c r="N32" s="7">
        <v>4</v>
      </c>
      <c r="O32" s="7">
        <v>8</v>
      </c>
      <c r="P32" s="7">
        <v>20</v>
      </c>
      <c r="Q32" s="7">
        <v>800</v>
      </c>
    </row>
    <row r="33" spans="1:17" ht="21.95" customHeight="1">
      <c r="A33" s="7">
        <v>3500</v>
      </c>
      <c r="B33" s="7">
        <v>1</v>
      </c>
      <c r="C33" s="7">
        <v>3</v>
      </c>
      <c r="D33" s="7">
        <v>6</v>
      </c>
      <c r="E33" s="7">
        <v>1200</v>
      </c>
      <c r="F33" s="7">
        <v>2</v>
      </c>
      <c r="G33" s="7">
        <v>1</v>
      </c>
      <c r="H33" s="7">
        <v>1</v>
      </c>
      <c r="I33" s="7">
        <v>160</v>
      </c>
      <c r="J33" s="7">
        <v>3</v>
      </c>
      <c r="K33" s="7">
        <v>0</v>
      </c>
      <c r="L33" s="7">
        <v>0</v>
      </c>
      <c r="M33" s="7">
        <v>0</v>
      </c>
      <c r="N33" s="7">
        <v>4</v>
      </c>
      <c r="O33" s="7">
        <v>8</v>
      </c>
      <c r="P33" s="7">
        <v>20</v>
      </c>
      <c r="Q33" s="7">
        <v>800</v>
      </c>
    </row>
    <row r="34" spans="1:17" ht="21.95" customHeight="1">
      <c r="A34" s="7">
        <v>4000</v>
      </c>
      <c r="B34" s="7">
        <v>1</v>
      </c>
      <c r="C34" s="7">
        <v>3</v>
      </c>
      <c r="D34" s="7">
        <v>6</v>
      </c>
      <c r="E34" s="7">
        <v>1200</v>
      </c>
      <c r="F34" s="7">
        <v>2</v>
      </c>
      <c r="G34" s="7">
        <v>1</v>
      </c>
      <c r="H34" s="7">
        <v>1</v>
      </c>
      <c r="I34" s="7">
        <v>160</v>
      </c>
      <c r="J34" s="7">
        <v>3</v>
      </c>
      <c r="K34" s="7">
        <v>0</v>
      </c>
      <c r="L34" s="7">
        <v>0</v>
      </c>
      <c r="M34" s="7">
        <v>0</v>
      </c>
      <c r="N34" s="7">
        <v>4</v>
      </c>
      <c r="O34" s="7">
        <v>10</v>
      </c>
      <c r="P34" s="7">
        <v>25</v>
      </c>
      <c r="Q34" s="7">
        <v>800</v>
      </c>
    </row>
    <row r="35" spans="1:17" ht="21.95" customHeight="1">
      <c r="A35" s="7">
        <v>4500</v>
      </c>
      <c r="B35" s="7">
        <v>1</v>
      </c>
      <c r="C35" s="7">
        <v>4</v>
      </c>
      <c r="D35" s="7">
        <v>7</v>
      </c>
      <c r="E35" s="7">
        <v>1200</v>
      </c>
      <c r="F35" s="7">
        <v>2</v>
      </c>
      <c r="G35" s="7">
        <v>1</v>
      </c>
      <c r="H35" s="7">
        <v>1</v>
      </c>
      <c r="I35" s="7">
        <v>160</v>
      </c>
      <c r="J35" s="7">
        <v>3</v>
      </c>
      <c r="K35" s="7">
        <v>0</v>
      </c>
      <c r="L35" s="7">
        <v>0</v>
      </c>
      <c r="M35" s="7">
        <v>0</v>
      </c>
      <c r="N35" s="7">
        <v>4</v>
      </c>
      <c r="O35" s="7">
        <v>10</v>
      </c>
      <c r="P35" s="7">
        <v>25</v>
      </c>
      <c r="Q35" s="7">
        <v>800</v>
      </c>
    </row>
    <row r="36" spans="1:17" ht="21.95" customHeight="1">
      <c r="A36" s="7">
        <v>5000</v>
      </c>
      <c r="B36" s="7">
        <v>1</v>
      </c>
      <c r="C36" s="7">
        <v>4</v>
      </c>
      <c r="D36" s="7">
        <v>7</v>
      </c>
      <c r="E36" s="7">
        <v>1200</v>
      </c>
      <c r="F36" s="7">
        <v>2</v>
      </c>
      <c r="G36" s="7">
        <v>1</v>
      </c>
      <c r="H36" s="7">
        <v>1</v>
      </c>
      <c r="I36" s="7">
        <v>160</v>
      </c>
      <c r="J36" s="7">
        <v>3</v>
      </c>
      <c r="K36" s="7">
        <v>0</v>
      </c>
      <c r="L36" s="7">
        <v>0</v>
      </c>
      <c r="M36" s="7">
        <v>0</v>
      </c>
      <c r="N36" s="7">
        <v>4</v>
      </c>
      <c r="O36" s="7">
        <v>10</v>
      </c>
      <c r="P36" s="7">
        <v>30</v>
      </c>
      <c r="Q36" s="7">
        <v>800</v>
      </c>
    </row>
    <row r="37" spans="1:17" ht="21.95" customHeight="1">
      <c r="A37" s="7">
        <v>6000</v>
      </c>
      <c r="B37" s="7">
        <v>1</v>
      </c>
      <c r="C37" s="7">
        <v>4</v>
      </c>
      <c r="D37" s="7">
        <v>7</v>
      </c>
      <c r="E37" s="7">
        <v>1200</v>
      </c>
      <c r="F37" s="7">
        <v>2</v>
      </c>
      <c r="G37" s="7">
        <v>1</v>
      </c>
      <c r="H37" s="7">
        <v>1</v>
      </c>
      <c r="I37" s="7">
        <v>160</v>
      </c>
      <c r="J37" s="7">
        <v>3</v>
      </c>
      <c r="K37" s="7">
        <v>0</v>
      </c>
      <c r="L37" s="7">
        <v>0</v>
      </c>
      <c r="M37" s="7">
        <v>0</v>
      </c>
      <c r="N37" s="7">
        <v>4</v>
      </c>
      <c r="O37" s="7">
        <v>10</v>
      </c>
      <c r="P37" s="7">
        <v>30</v>
      </c>
      <c r="Q37" s="7">
        <v>800</v>
      </c>
    </row>
    <row r="38" spans="1:17" ht="21.95" customHeight="1">
      <c r="A38" s="7">
        <v>7000</v>
      </c>
      <c r="B38" s="7">
        <v>1</v>
      </c>
      <c r="C38" s="7">
        <v>4</v>
      </c>
      <c r="D38" s="7">
        <v>8</v>
      </c>
      <c r="E38" s="7">
        <v>1200</v>
      </c>
      <c r="F38" s="7">
        <v>2</v>
      </c>
      <c r="G38" s="7">
        <v>1</v>
      </c>
      <c r="H38" s="7">
        <v>1</v>
      </c>
      <c r="I38" s="7">
        <v>160</v>
      </c>
      <c r="J38" s="7">
        <v>3</v>
      </c>
      <c r="K38" s="7">
        <v>0</v>
      </c>
      <c r="L38" s="7">
        <v>0</v>
      </c>
      <c r="M38" s="7">
        <v>0</v>
      </c>
      <c r="N38" s="7">
        <v>4</v>
      </c>
      <c r="O38" s="7">
        <v>15</v>
      </c>
      <c r="P38" s="7">
        <v>30</v>
      </c>
      <c r="Q38" s="7">
        <v>800</v>
      </c>
    </row>
    <row r="39" spans="1:17" ht="21.95" customHeight="1">
      <c r="A39" s="7">
        <v>8000</v>
      </c>
      <c r="B39" s="7">
        <v>1</v>
      </c>
      <c r="C39" s="7">
        <v>4</v>
      </c>
      <c r="D39" s="7">
        <v>8</v>
      </c>
      <c r="E39" s="7">
        <v>1200</v>
      </c>
      <c r="F39" s="7">
        <v>2</v>
      </c>
      <c r="G39" s="7">
        <v>1</v>
      </c>
      <c r="H39" s="7">
        <v>1</v>
      </c>
      <c r="I39" s="7">
        <v>160</v>
      </c>
      <c r="J39" s="7">
        <v>3</v>
      </c>
      <c r="K39" s="7">
        <v>0</v>
      </c>
      <c r="L39" s="7">
        <v>0</v>
      </c>
      <c r="M39" s="7">
        <v>0</v>
      </c>
      <c r="N39" s="7">
        <v>4</v>
      </c>
      <c r="O39" s="7">
        <v>15</v>
      </c>
      <c r="P39" s="7">
        <v>35</v>
      </c>
      <c r="Q39" s="7">
        <v>800</v>
      </c>
    </row>
    <row r="40" spans="1:17" ht="21.95" customHeight="1">
      <c r="A40" s="7">
        <v>9000</v>
      </c>
      <c r="B40" s="7">
        <v>1</v>
      </c>
      <c r="C40" s="7">
        <v>5</v>
      </c>
      <c r="D40" s="7">
        <v>9</v>
      </c>
      <c r="E40" s="7">
        <v>1200</v>
      </c>
      <c r="F40" s="7">
        <v>2</v>
      </c>
      <c r="G40" s="7">
        <v>1</v>
      </c>
      <c r="H40" s="7">
        <v>1</v>
      </c>
      <c r="I40" s="7">
        <v>160</v>
      </c>
      <c r="J40" s="7">
        <v>3</v>
      </c>
      <c r="K40" s="7">
        <v>0</v>
      </c>
      <c r="L40" s="7">
        <v>0</v>
      </c>
      <c r="M40" s="7">
        <v>0</v>
      </c>
      <c r="N40" s="7">
        <v>4</v>
      </c>
      <c r="O40" s="7">
        <v>15</v>
      </c>
      <c r="P40" s="7">
        <v>38</v>
      </c>
      <c r="Q40" s="7">
        <v>800</v>
      </c>
    </row>
    <row r="41" spans="1:17" ht="21.95" customHeight="1">
      <c r="A41" s="7">
        <v>10000</v>
      </c>
      <c r="B41" s="7">
        <v>1</v>
      </c>
      <c r="C41" s="7">
        <v>6</v>
      </c>
      <c r="D41" s="7">
        <v>11</v>
      </c>
      <c r="E41" s="7">
        <v>1200</v>
      </c>
      <c r="F41" s="7">
        <v>2</v>
      </c>
      <c r="G41" s="7">
        <v>1</v>
      </c>
      <c r="H41" s="7">
        <v>1</v>
      </c>
      <c r="I41" s="7">
        <v>160</v>
      </c>
      <c r="J41" s="7">
        <v>3</v>
      </c>
      <c r="K41" s="7">
        <v>1</v>
      </c>
      <c r="L41" s="7">
        <v>1</v>
      </c>
      <c r="M41" s="7">
        <v>1600</v>
      </c>
      <c r="N41" s="7">
        <v>4</v>
      </c>
      <c r="O41" s="7">
        <v>16</v>
      </c>
      <c r="P41" s="7">
        <v>40</v>
      </c>
      <c r="Q41" s="7">
        <v>800</v>
      </c>
    </row>
    <row r="42" spans="1:17" ht="21.95" customHeight="1">
      <c r="A42" s="7">
        <v>15000</v>
      </c>
      <c r="B42" s="7">
        <v>1</v>
      </c>
      <c r="C42" s="7">
        <v>9</v>
      </c>
      <c r="D42" s="7">
        <v>17</v>
      </c>
      <c r="E42" s="7">
        <v>960</v>
      </c>
      <c r="F42" s="7">
        <v>2</v>
      </c>
      <c r="G42" s="7">
        <v>1</v>
      </c>
      <c r="H42" s="7">
        <v>1</v>
      </c>
      <c r="I42" s="7">
        <v>160</v>
      </c>
      <c r="J42" s="7">
        <v>3</v>
      </c>
      <c r="K42" s="7">
        <v>1</v>
      </c>
      <c r="L42" s="7">
        <v>1</v>
      </c>
      <c r="M42" s="7">
        <v>1600</v>
      </c>
      <c r="N42" s="7">
        <v>4</v>
      </c>
      <c r="O42" s="7">
        <v>18</v>
      </c>
      <c r="P42" s="7">
        <v>41</v>
      </c>
      <c r="Q42" s="7">
        <v>800</v>
      </c>
    </row>
    <row r="43" spans="1:17" ht="21.95" customHeight="1">
      <c r="A43" s="7">
        <v>20000</v>
      </c>
      <c r="B43" s="7">
        <v>1</v>
      </c>
      <c r="C43" s="7">
        <v>11</v>
      </c>
      <c r="D43" s="7">
        <v>20</v>
      </c>
      <c r="E43" s="7">
        <v>720</v>
      </c>
      <c r="F43" s="7">
        <v>2</v>
      </c>
      <c r="G43" s="7">
        <v>1</v>
      </c>
      <c r="H43" s="7">
        <v>1</v>
      </c>
      <c r="I43" s="7">
        <v>160</v>
      </c>
      <c r="J43" s="7">
        <v>3</v>
      </c>
      <c r="K43" s="7">
        <v>1</v>
      </c>
      <c r="L43" s="7">
        <v>1</v>
      </c>
      <c r="M43" s="7">
        <v>1600</v>
      </c>
      <c r="N43" s="7">
        <v>4</v>
      </c>
      <c r="O43" s="7">
        <v>20</v>
      </c>
      <c r="P43" s="7">
        <v>42</v>
      </c>
      <c r="Q43" s="7">
        <v>800</v>
      </c>
    </row>
    <row r="44" spans="1:17" ht="21.95" customHeight="1">
      <c r="A44" s="7">
        <v>25000</v>
      </c>
      <c r="B44" s="7">
        <v>1</v>
      </c>
      <c r="C44" s="7">
        <v>14</v>
      </c>
      <c r="D44" s="7">
        <v>26</v>
      </c>
      <c r="E44" s="7">
        <v>720</v>
      </c>
      <c r="F44" s="7">
        <v>2</v>
      </c>
      <c r="G44" s="7">
        <v>1</v>
      </c>
      <c r="H44" s="7">
        <v>1</v>
      </c>
      <c r="I44" s="7">
        <v>160</v>
      </c>
      <c r="J44" s="7">
        <v>3</v>
      </c>
      <c r="K44" s="7">
        <v>1</v>
      </c>
      <c r="L44" s="7">
        <v>1</v>
      </c>
      <c r="M44" s="7">
        <v>1600</v>
      </c>
      <c r="N44" s="7">
        <v>4</v>
      </c>
      <c r="O44" s="7">
        <v>20</v>
      </c>
      <c r="P44" s="7">
        <v>45</v>
      </c>
      <c r="Q44" s="7">
        <v>800</v>
      </c>
    </row>
    <row r="45" spans="1:17" ht="21.95" customHeight="1">
      <c r="A45" s="7">
        <v>30000</v>
      </c>
      <c r="B45" s="7">
        <v>1</v>
      </c>
      <c r="C45" s="7">
        <v>18</v>
      </c>
      <c r="D45" s="7">
        <v>33</v>
      </c>
      <c r="E45" s="7">
        <v>720</v>
      </c>
      <c r="F45" s="7">
        <v>2</v>
      </c>
      <c r="G45" s="7">
        <v>1</v>
      </c>
      <c r="H45" s="7">
        <v>1</v>
      </c>
      <c r="I45" s="7">
        <v>160</v>
      </c>
      <c r="J45" s="7">
        <v>3</v>
      </c>
      <c r="K45" s="7">
        <v>1</v>
      </c>
      <c r="L45" s="7">
        <v>1</v>
      </c>
      <c r="M45" s="7">
        <v>1600</v>
      </c>
      <c r="N45" s="7">
        <v>4</v>
      </c>
      <c r="O45" s="7">
        <v>20</v>
      </c>
      <c r="P45" s="7">
        <v>48</v>
      </c>
      <c r="Q45" s="7">
        <v>800</v>
      </c>
    </row>
    <row r="46" spans="1:17" ht="21.95" customHeight="1">
      <c r="A46" s="7">
        <v>35000</v>
      </c>
      <c r="B46" s="7">
        <v>1</v>
      </c>
      <c r="C46" s="7">
        <v>18</v>
      </c>
      <c r="D46" s="7">
        <v>33</v>
      </c>
      <c r="E46" s="7">
        <v>480</v>
      </c>
      <c r="F46" s="7">
        <v>2</v>
      </c>
      <c r="G46" s="7">
        <v>1</v>
      </c>
      <c r="H46" s="7">
        <v>1</v>
      </c>
      <c r="I46" s="7">
        <v>160</v>
      </c>
      <c r="J46" s="7">
        <v>3</v>
      </c>
      <c r="K46" s="7">
        <v>1</v>
      </c>
      <c r="L46" s="7">
        <v>1</v>
      </c>
      <c r="M46" s="7">
        <v>1600</v>
      </c>
      <c r="N46" s="7">
        <v>4</v>
      </c>
      <c r="O46" s="7">
        <v>22</v>
      </c>
      <c r="P46" s="7">
        <v>50</v>
      </c>
      <c r="Q46" s="7">
        <v>800</v>
      </c>
    </row>
    <row r="47" spans="1:17" ht="21.95" customHeight="1">
      <c r="A47" s="7">
        <v>40000</v>
      </c>
      <c r="B47" s="7">
        <v>1</v>
      </c>
      <c r="C47" s="7">
        <v>23</v>
      </c>
      <c r="D47" s="7">
        <v>43</v>
      </c>
      <c r="E47" s="7">
        <v>480</v>
      </c>
      <c r="F47" s="7">
        <v>2</v>
      </c>
      <c r="G47" s="7">
        <v>1</v>
      </c>
      <c r="H47" s="7">
        <v>1</v>
      </c>
      <c r="I47" s="7">
        <v>160</v>
      </c>
      <c r="J47" s="7">
        <v>3</v>
      </c>
      <c r="K47" s="7">
        <v>1</v>
      </c>
      <c r="L47" s="7">
        <v>1</v>
      </c>
      <c r="M47" s="7">
        <v>1600</v>
      </c>
      <c r="N47" s="7">
        <v>4</v>
      </c>
      <c r="O47" s="7">
        <v>26</v>
      </c>
      <c r="P47" s="7">
        <v>52</v>
      </c>
      <c r="Q47" s="7">
        <v>800</v>
      </c>
    </row>
    <row r="48" spans="1:17" ht="21.95" customHeight="1">
      <c r="A48" s="7">
        <v>45000</v>
      </c>
      <c r="B48" s="7">
        <v>1</v>
      </c>
      <c r="C48" s="7">
        <v>29</v>
      </c>
      <c r="D48" s="7">
        <v>54</v>
      </c>
      <c r="E48" s="7">
        <v>480</v>
      </c>
      <c r="F48" s="7">
        <v>2</v>
      </c>
      <c r="G48" s="7">
        <v>1</v>
      </c>
      <c r="H48" s="7">
        <v>1</v>
      </c>
      <c r="I48" s="7">
        <v>160</v>
      </c>
      <c r="J48" s="7">
        <v>3</v>
      </c>
      <c r="K48" s="7">
        <v>1</v>
      </c>
      <c r="L48" s="7">
        <v>1</v>
      </c>
      <c r="M48" s="7">
        <v>1600</v>
      </c>
      <c r="N48" s="7">
        <v>4</v>
      </c>
      <c r="O48" s="7">
        <v>27</v>
      </c>
      <c r="P48" s="7">
        <v>53</v>
      </c>
      <c r="Q48" s="7">
        <v>800</v>
      </c>
    </row>
    <row r="49" spans="1:17" ht="21.95" customHeight="1">
      <c r="A49" s="7">
        <v>50000</v>
      </c>
      <c r="B49" s="7">
        <v>1</v>
      </c>
      <c r="C49" s="7">
        <v>35</v>
      </c>
      <c r="D49" s="7">
        <v>65</v>
      </c>
      <c r="E49" s="7">
        <v>480</v>
      </c>
      <c r="F49" s="7">
        <v>2</v>
      </c>
      <c r="G49" s="7">
        <v>1</v>
      </c>
      <c r="H49" s="7">
        <v>1</v>
      </c>
      <c r="I49" s="7">
        <v>160</v>
      </c>
      <c r="J49" s="7">
        <v>3</v>
      </c>
      <c r="K49" s="7">
        <v>1</v>
      </c>
      <c r="L49" s="7">
        <v>1</v>
      </c>
      <c r="M49" s="7">
        <v>1600</v>
      </c>
      <c r="N49" s="7">
        <v>4</v>
      </c>
      <c r="O49" s="7">
        <v>30</v>
      </c>
      <c r="P49" s="7">
        <v>54</v>
      </c>
      <c r="Q49" s="7">
        <v>800</v>
      </c>
    </row>
    <row r="50" spans="1:17" ht="21.95" customHeight="1">
      <c r="A50" s="7">
        <v>60000</v>
      </c>
      <c r="B50" s="7">
        <v>1</v>
      </c>
      <c r="C50" s="7">
        <v>41</v>
      </c>
      <c r="D50" s="7">
        <v>76</v>
      </c>
      <c r="E50" s="7">
        <v>480</v>
      </c>
      <c r="F50" s="7">
        <v>2</v>
      </c>
      <c r="G50" s="7">
        <v>1</v>
      </c>
      <c r="H50" s="7">
        <v>1</v>
      </c>
      <c r="I50" s="7">
        <v>160</v>
      </c>
      <c r="J50" s="7">
        <v>3</v>
      </c>
      <c r="K50" s="7">
        <v>1</v>
      </c>
      <c r="L50" s="7">
        <v>1</v>
      </c>
      <c r="M50" s="7">
        <v>1600</v>
      </c>
      <c r="N50" s="7">
        <v>4</v>
      </c>
      <c r="O50" s="7">
        <v>30</v>
      </c>
      <c r="P50" s="7">
        <v>58</v>
      </c>
      <c r="Q50" s="7">
        <v>800</v>
      </c>
    </row>
    <row r="51" spans="1:17" ht="21.95" customHeight="1">
      <c r="A51" s="7">
        <v>70000</v>
      </c>
      <c r="B51" s="7">
        <v>1</v>
      </c>
      <c r="C51" s="7">
        <v>47</v>
      </c>
      <c r="D51" s="7">
        <v>87</v>
      </c>
      <c r="E51" s="7">
        <v>480</v>
      </c>
      <c r="F51" s="7">
        <v>2</v>
      </c>
      <c r="G51" s="7">
        <v>1</v>
      </c>
      <c r="H51" s="7">
        <v>1</v>
      </c>
      <c r="I51" s="7">
        <v>160</v>
      </c>
      <c r="J51" s="7">
        <v>3</v>
      </c>
      <c r="K51" s="7">
        <v>1</v>
      </c>
      <c r="L51" s="7">
        <v>1</v>
      </c>
      <c r="M51" s="7">
        <v>1600</v>
      </c>
      <c r="N51" s="7">
        <v>4</v>
      </c>
      <c r="O51" s="7">
        <v>32</v>
      </c>
      <c r="P51" s="7">
        <v>60</v>
      </c>
      <c r="Q51" s="7">
        <v>800</v>
      </c>
    </row>
    <row r="52" spans="1:17" ht="21.95" customHeight="1">
      <c r="A52" s="7">
        <v>80000</v>
      </c>
      <c r="B52" s="7">
        <v>1</v>
      </c>
      <c r="C52" s="7">
        <v>53</v>
      </c>
      <c r="D52" s="7">
        <v>98</v>
      </c>
      <c r="E52" s="7">
        <v>480</v>
      </c>
      <c r="F52" s="7">
        <v>2</v>
      </c>
      <c r="G52" s="7">
        <v>1</v>
      </c>
      <c r="H52" s="7">
        <v>1</v>
      </c>
      <c r="I52" s="7">
        <v>160</v>
      </c>
      <c r="J52" s="7">
        <v>3</v>
      </c>
      <c r="K52" s="7">
        <v>1</v>
      </c>
      <c r="L52" s="7">
        <v>1</v>
      </c>
      <c r="M52" s="7">
        <v>1600</v>
      </c>
      <c r="N52" s="7">
        <v>4</v>
      </c>
      <c r="O52" s="7">
        <v>36</v>
      </c>
      <c r="P52" s="7">
        <v>60</v>
      </c>
      <c r="Q52" s="7">
        <v>800</v>
      </c>
    </row>
    <row r="53" spans="1:17" ht="21.95" customHeight="1">
      <c r="A53" s="7">
        <v>90000</v>
      </c>
      <c r="B53" s="7">
        <v>1</v>
      </c>
      <c r="C53" s="7">
        <v>58</v>
      </c>
      <c r="D53" s="7">
        <v>108</v>
      </c>
      <c r="E53" s="7">
        <v>480</v>
      </c>
      <c r="F53" s="7">
        <v>2</v>
      </c>
      <c r="G53" s="7">
        <v>1</v>
      </c>
      <c r="H53" s="7">
        <v>1</v>
      </c>
      <c r="I53" s="7">
        <v>160</v>
      </c>
      <c r="J53" s="7">
        <v>3</v>
      </c>
      <c r="K53" s="7">
        <v>1</v>
      </c>
      <c r="L53" s="7">
        <v>1</v>
      </c>
      <c r="M53" s="7">
        <v>1600</v>
      </c>
      <c r="N53" s="7">
        <v>4</v>
      </c>
      <c r="O53" s="7">
        <v>38</v>
      </c>
      <c r="P53" s="7">
        <v>62</v>
      </c>
      <c r="Q53" s="7">
        <v>800</v>
      </c>
    </row>
    <row r="54" spans="1:17" ht="21.95" customHeight="1">
      <c r="A54" s="7">
        <v>100000</v>
      </c>
      <c r="B54" s="7">
        <v>1</v>
      </c>
      <c r="C54" s="7">
        <v>70</v>
      </c>
      <c r="D54" s="7">
        <v>130</v>
      </c>
      <c r="E54" s="7">
        <v>480</v>
      </c>
      <c r="F54" s="7">
        <v>2</v>
      </c>
      <c r="G54" s="7">
        <v>1</v>
      </c>
      <c r="H54" s="7">
        <v>1</v>
      </c>
      <c r="I54" s="7">
        <v>160</v>
      </c>
      <c r="J54" s="7">
        <v>3</v>
      </c>
      <c r="K54" s="7">
        <v>1</v>
      </c>
      <c r="L54" s="7">
        <v>1</v>
      </c>
      <c r="M54" s="7">
        <v>1600</v>
      </c>
      <c r="N54" s="7">
        <v>4</v>
      </c>
      <c r="O54" s="7">
        <v>38</v>
      </c>
      <c r="P54" s="7">
        <v>62</v>
      </c>
      <c r="Q54" s="7">
        <v>800</v>
      </c>
    </row>
    <row r="55" spans="1:17" ht="21.95" customHeight="1">
      <c r="A55" s="7">
        <v>120</v>
      </c>
      <c r="B55" s="7">
        <v>1</v>
      </c>
      <c r="C55" s="7">
        <v>1</v>
      </c>
      <c r="D55" s="7">
        <v>1</v>
      </c>
      <c r="E55" s="7">
        <v>5280</v>
      </c>
      <c r="F55" s="7">
        <v>2</v>
      </c>
      <c r="G55" s="7">
        <v>1</v>
      </c>
      <c r="H55" s="7">
        <v>1</v>
      </c>
      <c r="I55" s="7">
        <v>100</v>
      </c>
      <c r="J55" s="7">
        <v>3</v>
      </c>
      <c r="K55" s="7">
        <v>1</v>
      </c>
      <c r="L55" s="7">
        <v>1</v>
      </c>
      <c r="M55" s="7">
        <v>0</v>
      </c>
      <c r="N55" s="7">
        <v>4</v>
      </c>
      <c r="O55" s="7">
        <v>1</v>
      </c>
      <c r="P55" s="7">
        <v>2</v>
      </c>
      <c r="Q55" s="7">
        <v>800</v>
      </c>
    </row>
    <row r="56" spans="1:17" ht="21.95" customHeight="1">
      <c r="A56" s="7">
        <v>140</v>
      </c>
      <c r="B56" s="7">
        <v>1</v>
      </c>
      <c r="C56" s="7">
        <v>1</v>
      </c>
      <c r="D56" s="7">
        <v>1</v>
      </c>
      <c r="E56" s="7">
        <v>5280</v>
      </c>
      <c r="F56" s="7">
        <v>2</v>
      </c>
      <c r="G56" s="7">
        <v>1</v>
      </c>
      <c r="H56" s="7">
        <v>1</v>
      </c>
      <c r="I56" s="7">
        <v>105</v>
      </c>
      <c r="J56" s="7">
        <v>3</v>
      </c>
      <c r="K56" s="7">
        <v>1</v>
      </c>
      <c r="L56" s="7">
        <v>1</v>
      </c>
      <c r="M56" s="7">
        <v>0</v>
      </c>
      <c r="N56" s="7">
        <v>4</v>
      </c>
      <c r="O56" s="7">
        <v>1</v>
      </c>
      <c r="P56" s="7">
        <v>2</v>
      </c>
      <c r="Q56" s="7">
        <v>800</v>
      </c>
    </row>
    <row r="57" spans="1:17" ht="21.95" customHeight="1">
      <c r="A57" s="7">
        <v>160</v>
      </c>
      <c r="B57" s="7">
        <v>1</v>
      </c>
      <c r="C57" s="7">
        <v>1</v>
      </c>
      <c r="D57" s="7">
        <v>1</v>
      </c>
      <c r="E57" s="7">
        <v>5040</v>
      </c>
      <c r="F57" s="7">
        <v>2</v>
      </c>
      <c r="G57" s="7">
        <v>1</v>
      </c>
      <c r="H57" s="7">
        <v>1</v>
      </c>
      <c r="I57" s="7">
        <v>110</v>
      </c>
      <c r="J57" s="7">
        <v>3</v>
      </c>
      <c r="K57" s="7">
        <v>1</v>
      </c>
      <c r="L57" s="7">
        <v>1</v>
      </c>
      <c r="M57" s="7">
        <v>0</v>
      </c>
      <c r="N57" s="7">
        <v>4</v>
      </c>
      <c r="O57" s="7">
        <v>1</v>
      </c>
      <c r="P57" s="7">
        <v>3</v>
      </c>
      <c r="Q57" s="7">
        <v>800</v>
      </c>
    </row>
    <row r="58" spans="1:17" ht="21.95" customHeight="1">
      <c r="A58" s="7">
        <v>180</v>
      </c>
      <c r="B58" s="7">
        <v>1</v>
      </c>
      <c r="C58" s="7">
        <v>1</v>
      </c>
      <c r="D58" s="7">
        <v>1</v>
      </c>
      <c r="E58" s="7">
        <v>5040</v>
      </c>
      <c r="F58" s="7">
        <v>2</v>
      </c>
      <c r="G58" s="7">
        <v>1</v>
      </c>
      <c r="H58" s="7">
        <v>1</v>
      </c>
      <c r="I58" s="7">
        <v>110</v>
      </c>
      <c r="J58" s="7">
        <v>3</v>
      </c>
      <c r="K58" s="7">
        <v>1</v>
      </c>
      <c r="L58" s="7">
        <v>1</v>
      </c>
      <c r="M58" s="7">
        <v>0</v>
      </c>
      <c r="N58" s="7">
        <v>4</v>
      </c>
      <c r="O58" s="7">
        <v>1</v>
      </c>
      <c r="P58" s="7">
        <v>3</v>
      </c>
      <c r="Q58" s="7">
        <v>800</v>
      </c>
    </row>
    <row r="59" spans="1:17" ht="21.95" customHeight="1">
      <c r="A59" s="7">
        <v>240</v>
      </c>
      <c r="B59" s="7">
        <v>1</v>
      </c>
      <c r="C59" s="7">
        <v>1</v>
      </c>
      <c r="D59" s="7">
        <v>1</v>
      </c>
      <c r="E59" s="7">
        <v>3600</v>
      </c>
      <c r="F59" s="7">
        <v>2</v>
      </c>
      <c r="G59" s="7">
        <v>1</v>
      </c>
      <c r="H59" s="7">
        <v>1</v>
      </c>
      <c r="I59" s="7">
        <v>115</v>
      </c>
      <c r="J59" s="7">
        <v>3</v>
      </c>
      <c r="K59" s="7">
        <v>1</v>
      </c>
      <c r="L59" s="7">
        <v>1</v>
      </c>
      <c r="M59" s="7">
        <v>0</v>
      </c>
      <c r="N59" s="7">
        <v>4</v>
      </c>
      <c r="O59" s="7">
        <v>1</v>
      </c>
      <c r="P59" s="7">
        <v>3</v>
      </c>
      <c r="Q59" s="7">
        <v>800</v>
      </c>
    </row>
    <row r="60" spans="1:17" ht="21.95" customHeight="1">
      <c r="A60" s="7">
        <v>280</v>
      </c>
      <c r="B60" s="7">
        <v>1</v>
      </c>
      <c r="C60" s="7">
        <v>1</v>
      </c>
      <c r="D60" s="7">
        <v>1</v>
      </c>
      <c r="E60" s="7">
        <v>2280</v>
      </c>
      <c r="F60" s="7">
        <v>2</v>
      </c>
      <c r="G60" s="7">
        <v>1</v>
      </c>
      <c r="H60" s="7">
        <v>1</v>
      </c>
      <c r="I60" s="7">
        <v>120</v>
      </c>
      <c r="J60" s="7">
        <v>3</v>
      </c>
      <c r="K60" s="7">
        <v>1</v>
      </c>
      <c r="L60" s="7">
        <v>1</v>
      </c>
      <c r="M60" s="7">
        <v>0</v>
      </c>
      <c r="N60" s="7">
        <v>4</v>
      </c>
      <c r="O60" s="7">
        <v>1</v>
      </c>
      <c r="P60" s="7">
        <v>4</v>
      </c>
      <c r="Q60" s="7">
        <v>800</v>
      </c>
    </row>
    <row r="61" spans="1:17" ht="21.95" customHeight="1">
      <c r="A61" s="7">
        <v>320</v>
      </c>
      <c r="B61" s="7">
        <v>1</v>
      </c>
      <c r="C61" s="7">
        <v>1</v>
      </c>
      <c r="D61" s="7">
        <v>2</v>
      </c>
      <c r="E61" s="7">
        <v>2040</v>
      </c>
      <c r="F61" s="7">
        <v>2</v>
      </c>
      <c r="G61" s="7">
        <v>1</v>
      </c>
      <c r="H61" s="7">
        <v>1</v>
      </c>
      <c r="I61" s="7">
        <v>125</v>
      </c>
      <c r="J61" s="7">
        <v>3</v>
      </c>
      <c r="K61" s="7">
        <v>1</v>
      </c>
      <c r="L61" s="7">
        <v>1</v>
      </c>
      <c r="M61" s="7">
        <v>0</v>
      </c>
      <c r="N61" s="7">
        <v>4</v>
      </c>
      <c r="O61" s="7">
        <v>1</v>
      </c>
      <c r="P61" s="7">
        <v>4</v>
      </c>
      <c r="Q61" s="7">
        <v>800</v>
      </c>
    </row>
    <row r="62" spans="1:17" ht="21.95" customHeight="1">
      <c r="A62" s="7">
        <v>360</v>
      </c>
      <c r="B62" s="7">
        <v>1</v>
      </c>
      <c r="C62" s="7">
        <v>1</v>
      </c>
      <c r="D62" s="7">
        <v>2</v>
      </c>
      <c r="E62" s="7">
        <v>1800</v>
      </c>
      <c r="F62" s="7">
        <v>2</v>
      </c>
      <c r="G62" s="7">
        <v>1</v>
      </c>
      <c r="H62" s="7">
        <v>1</v>
      </c>
      <c r="I62" s="7">
        <v>130</v>
      </c>
      <c r="J62" s="7">
        <v>3</v>
      </c>
      <c r="K62" s="7">
        <v>1</v>
      </c>
      <c r="L62" s="7">
        <v>1</v>
      </c>
      <c r="M62" s="7">
        <v>0</v>
      </c>
      <c r="N62" s="7">
        <v>4</v>
      </c>
      <c r="O62" s="7">
        <v>2</v>
      </c>
      <c r="P62" s="7">
        <v>5</v>
      </c>
      <c r="Q62" s="7">
        <v>800</v>
      </c>
    </row>
    <row r="63" spans="1:17" ht="21.95" customHeight="1">
      <c r="A63" s="7">
        <v>1200</v>
      </c>
      <c r="B63" s="7">
        <v>1</v>
      </c>
      <c r="C63" s="7">
        <v>2</v>
      </c>
      <c r="D63" s="7">
        <v>3</v>
      </c>
      <c r="E63" s="7">
        <v>1200</v>
      </c>
      <c r="F63" s="7">
        <v>2</v>
      </c>
      <c r="G63" s="7">
        <v>1</v>
      </c>
      <c r="H63" s="7">
        <v>1</v>
      </c>
      <c r="I63" s="7">
        <v>160</v>
      </c>
      <c r="J63" s="7">
        <v>3</v>
      </c>
      <c r="K63" s="7">
        <v>1</v>
      </c>
      <c r="L63" s="7">
        <v>1</v>
      </c>
      <c r="M63" s="7">
        <v>0</v>
      </c>
      <c r="N63" s="7">
        <v>4</v>
      </c>
      <c r="O63" s="7">
        <v>4</v>
      </c>
      <c r="P63" s="7">
        <v>9</v>
      </c>
      <c r="Q63" s="7">
        <v>800</v>
      </c>
    </row>
    <row r="64" spans="1:17" ht="21.95" customHeight="1">
      <c r="A64" s="7">
        <v>1400</v>
      </c>
      <c r="B64" s="7">
        <v>1</v>
      </c>
      <c r="C64" s="7">
        <v>2</v>
      </c>
      <c r="D64" s="7">
        <v>3</v>
      </c>
      <c r="E64" s="7">
        <v>1200</v>
      </c>
      <c r="F64" s="7">
        <v>2</v>
      </c>
      <c r="G64" s="7">
        <v>1</v>
      </c>
      <c r="H64" s="7">
        <v>1</v>
      </c>
      <c r="I64" s="7">
        <v>160</v>
      </c>
      <c r="J64" s="7">
        <v>3</v>
      </c>
      <c r="K64" s="7">
        <v>1</v>
      </c>
      <c r="L64" s="7">
        <v>1</v>
      </c>
      <c r="M64" s="7">
        <v>0</v>
      </c>
      <c r="N64" s="7">
        <v>4</v>
      </c>
      <c r="O64" s="7">
        <v>5</v>
      </c>
      <c r="P64" s="7">
        <v>12</v>
      </c>
      <c r="Q64" s="7">
        <v>800</v>
      </c>
    </row>
    <row r="65" spans="1:17" ht="21.95" customHeight="1">
      <c r="A65" s="7">
        <v>1600</v>
      </c>
      <c r="B65" s="7">
        <v>1</v>
      </c>
      <c r="C65" s="7">
        <v>2</v>
      </c>
      <c r="D65" s="7">
        <v>4</v>
      </c>
      <c r="E65" s="7">
        <v>1200</v>
      </c>
      <c r="F65" s="7">
        <v>2</v>
      </c>
      <c r="G65" s="7">
        <v>1</v>
      </c>
      <c r="H65" s="7">
        <v>1</v>
      </c>
      <c r="I65" s="7">
        <v>160</v>
      </c>
      <c r="J65" s="7">
        <v>3</v>
      </c>
      <c r="K65" s="7">
        <v>1</v>
      </c>
      <c r="L65" s="7">
        <v>1</v>
      </c>
      <c r="M65" s="7">
        <v>0</v>
      </c>
      <c r="N65" s="7">
        <v>4</v>
      </c>
      <c r="O65" s="7">
        <v>5</v>
      </c>
      <c r="P65" s="7">
        <v>16</v>
      </c>
      <c r="Q65" s="7">
        <v>800</v>
      </c>
    </row>
    <row r="66" spans="1:17" ht="21.95" customHeight="1">
      <c r="A66" s="7">
        <v>1800</v>
      </c>
      <c r="B66" s="7">
        <v>1</v>
      </c>
      <c r="C66" s="7">
        <v>2</v>
      </c>
      <c r="D66" s="7">
        <v>4</v>
      </c>
      <c r="E66" s="7">
        <v>1200</v>
      </c>
      <c r="F66" s="7">
        <v>2</v>
      </c>
      <c r="G66" s="7">
        <v>1</v>
      </c>
      <c r="H66" s="7">
        <v>1</v>
      </c>
      <c r="I66" s="7">
        <v>160</v>
      </c>
      <c r="J66" s="7">
        <v>3</v>
      </c>
      <c r="K66" s="7">
        <v>1</v>
      </c>
      <c r="L66" s="7">
        <v>1</v>
      </c>
      <c r="M66" s="7">
        <v>0</v>
      </c>
      <c r="N66" s="7">
        <v>4</v>
      </c>
      <c r="O66" s="7">
        <v>5</v>
      </c>
      <c r="P66" s="7">
        <v>16</v>
      </c>
      <c r="Q66" s="7">
        <v>800</v>
      </c>
    </row>
    <row r="67" spans="1:17" ht="21.95" customHeight="1">
      <c r="A67" s="7">
        <v>2400</v>
      </c>
      <c r="B67" s="7">
        <v>1</v>
      </c>
      <c r="C67" s="7">
        <v>2</v>
      </c>
      <c r="D67" s="7">
        <v>4</v>
      </c>
      <c r="E67" s="7">
        <v>1200</v>
      </c>
      <c r="F67" s="7">
        <v>2</v>
      </c>
      <c r="G67" s="7">
        <v>1</v>
      </c>
      <c r="H67" s="7">
        <v>1</v>
      </c>
      <c r="I67" s="7">
        <v>160</v>
      </c>
      <c r="J67" s="7">
        <v>3</v>
      </c>
      <c r="K67" s="7">
        <v>1</v>
      </c>
      <c r="L67" s="7">
        <v>1</v>
      </c>
      <c r="M67" s="7">
        <v>0</v>
      </c>
      <c r="N67" s="7">
        <v>4</v>
      </c>
      <c r="O67" s="7">
        <v>6</v>
      </c>
      <c r="P67" s="7">
        <v>18</v>
      </c>
      <c r="Q67" s="7">
        <v>800</v>
      </c>
    </row>
    <row r="68" spans="1:17" ht="21.95" customHeight="1">
      <c r="A68" s="7">
        <v>2800</v>
      </c>
      <c r="B68" s="7">
        <v>1</v>
      </c>
      <c r="C68" s="7">
        <v>3</v>
      </c>
      <c r="D68" s="7">
        <v>5</v>
      </c>
      <c r="E68" s="7">
        <v>1200</v>
      </c>
      <c r="F68" s="7">
        <v>2</v>
      </c>
      <c r="G68" s="7">
        <v>1</v>
      </c>
      <c r="H68" s="7">
        <v>1</v>
      </c>
      <c r="I68" s="7">
        <v>160</v>
      </c>
      <c r="J68" s="7">
        <v>3</v>
      </c>
      <c r="K68" s="7">
        <v>1</v>
      </c>
      <c r="L68" s="7">
        <v>1</v>
      </c>
      <c r="M68" s="7">
        <v>0</v>
      </c>
      <c r="N68" s="7">
        <v>4</v>
      </c>
      <c r="O68" s="7">
        <v>7</v>
      </c>
      <c r="P68" s="7">
        <v>19</v>
      </c>
      <c r="Q68" s="7">
        <v>800</v>
      </c>
    </row>
    <row r="69" spans="1:17" ht="21.95" customHeight="1">
      <c r="A69" s="7">
        <v>3200</v>
      </c>
      <c r="B69" s="7">
        <v>1</v>
      </c>
      <c r="C69" s="7">
        <v>3</v>
      </c>
      <c r="D69" s="7">
        <v>5</v>
      </c>
      <c r="E69" s="7">
        <v>1200</v>
      </c>
      <c r="F69" s="7">
        <v>2</v>
      </c>
      <c r="G69" s="7">
        <v>1</v>
      </c>
      <c r="H69" s="7">
        <v>1</v>
      </c>
      <c r="I69" s="7">
        <v>160</v>
      </c>
      <c r="J69" s="7">
        <v>3</v>
      </c>
      <c r="K69" s="7">
        <v>1</v>
      </c>
      <c r="L69" s="7">
        <v>1</v>
      </c>
      <c r="M69" s="7">
        <v>0</v>
      </c>
      <c r="N69" s="7">
        <v>4</v>
      </c>
      <c r="O69" s="7">
        <v>8</v>
      </c>
      <c r="P69" s="7">
        <v>20</v>
      </c>
      <c r="Q69" s="7">
        <v>800</v>
      </c>
    </row>
    <row r="70" spans="1:17" ht="21.95" customHeight="1">
      <c r="A70" s="7">
        <v>3600</v>
      </c>
      <c r="B70" s="7">
        <v>1</v>
      </c>
      <c r="C70" s="7">
        <v>3</v>
      </c>
      <c r="D70" s="7">
        <v>6</v>
      </c>
      <c r="E70" s="7">
        <v>1200</v>
      </c>
      <c r="F70" s="7">
        <v>2</v>
      </c>
      <c r="G70" s="7">
        <v>1</v>
      </c>
      <c r="H70" s="7">
        <v>1</v>
      </c>
      <c r="I70" s="7">
        <v>160</v>
      </c>
      <c r="J70" s="7">
        <v>3</v>
      </c>
      <c r="K70" s="7">
        <v>1</v>
      </c>
      <c r="L70" s="7">
        <v>1</v>
      </c>
      <c r="M70" s="7">
        <v>0</v>
      </c>
      <c r="N70" s="7">
        <v>4</v>
      </c>
      <c r="O70" s="7">
        <v>9</v>
      </c>
      <c r="P70" s="7">
        <v>22</v>
      </c>
      <c r="Q70" s="7">
        <v>800</v>
      </c>
    </row>
    <row r="71" spans="1:17" ht="21.95" customHeight="1">
      <c r="A71" s="7">
        <v>12000</v>
      </c>
      <c r="B71" s="7">
        <v>1</v>
      </c>
      <c r="C71" s="7">
        <v>5</v>
      </c>
      <c r="D71" s="7">
        <v>10</v>
      </c>
      <c r="E71" s="7">
        <v>1200</v>
      </c>
      <c r="F71" s="7">
        <v>2</v>
      </c>
      <c r="G71" s="7">
        <v>1</v>
      </c>
      <c r="H71" s="7">
        <v>1</v>
      </c>
      <c r="I71" s="7">
        <v>160</v>
      </c>
      <c r="J71" s="7">
        <v>3</v>
      </c>
      <c r="K71" s="7">
        <v>1</v>
      </c>
      <c r="L71" s="7">
        <v>1</v>
      </c>
      <c r="M71" s="7">
        <v>800</v>
      </c>
      <c r="N71" s="7">
        <v>4</v>
      </c>
      <c r="O71" s="7">
        <v>15</v>
      </c>
      <c r="P71" s="7">
        <v>39</v>
      </c>
      <c r="Q71" s="7">
        <v>800</v>
      </c>
    </row>
    <row r="72" spans="1:17" ht="21.95" customHeight="1">
      <c r="A72" s="7">
        <v>14000</v>
      </c>
      <c r="B72" s="7">
        <v>1</v>
      </c>
      <c r="C72" s="7">
        <v>7</v>
      </c>
      <c r="D72" s="7">
        <v>14</v>
      </c>
      <c r="E72" s="7">
        <v>1080</v>
      </c>
      <c r="F72" s="7">
        <v>2</v>
      </c>
      <c r="G72" s="7">
        <v>1</v>
      </c>
      <c r="H72" s="7">
        <v>1</v>
      </c>
      <c r="I72" s="7">
        <v>160</v>
      </c>
      <c r="J72" s="7">
        <v>3</v>
      </c>
      <c r="K72" s="7">
        <v>1</v>
      </c>
      <c r="L72" s="7">
        <v>1</v>
      </c>
      <c r="M72" s="7">
        <v>1600</v>
      </c>
      <c r="N72" s="7">
        <v>4</v>
      </c>
      <c r="O72" s="7">
        <v>17</v>
      </c>
      <c r="P72" s="7">
        <v>40</v>
      </c>
      <c r="Q72" s="7">
        <v>800</v>
      </c>
    </row>
    <row r="73" spans="1:17" ht="21.95" customHeight="1">
      <c r="A73" s="7">
        <v>16000</v>
      </c>
      <c r="B73" s="7">
        <v>1</v>
      </c>
      <c r="C73" s="7">
        <v>10</v>
      </c>
      <c r="D73" s="7">
        <v>18</v>
      </c>
      <c r="E73" s="7">
        <v>840</v>
      </c>
      <c r="F73" s="7">
        <v>2</v>
      </c>
      <c r="G73" s="7">
        <v>1</v>
      </c>
      <c r="H73" s="7">
        <v>1</v>
      </c>
      <c r="I73" s="7">
        <v>160</v>
      </c>
      <c r="J73" s="7">
        <v>3</v>
      </c>
      <c r="K73" s="7">
        <v>1</v>
      </c>
      <c r="L73" s="7">
        <v>1</v>
      </c>
      <c r="M73" s="7">
        <v>1600</v>
      </c>
      <c r="N73" s="7">
        <v>4</v>
      </c>
      <c r="O73" s="7">
        <v>19</v>
      </c>
      <c r="P73" s="7">
        <v>41</v>
      </c>
      <c r="Q73" s="7">
        <v>800</v>
      </c>
    </row>
    <row r="74" spans="1:17" ht="21.95" customHeight="1">
      <c r="A74" s="7">
        <v>18000</v>
      </c>
      <c r="B74" s="7">
        <v>1</v>
      </c>
      <c r="C74" s="7">
        <v>10</v>
      </c>
      <c r="D74" s="7">
        <v>18</v>
      </c>
      <c r="E74" s="7">
        <v>840</v>
      </c>
      <c r="F74" s="7">
        <v>2</v>
      </c>
      <c r="G74" s="7">
        <v>1</v>
      </c>
      <c r="H74" s="7">
        <v>1</v>
      </c>
      <c r="I74" s="7">
        <v>160</v>
      </c>
      <c r="J74" s="7">
        <v>3</v>
      </c>
      <c r="K74" s="7">
        <v>1</v>
      </c>
      <c r="L74" s="7">
        <v>1</v>
      </c>
      <c r="M74" s="7">
        <v>1600</v>
      </c>
      <c r="N74" s="7">
        <v>4</v>
      </c>
      <c r="O74" s="7">
        <v>19</v>
      </c>
      <c r="P74" s="7">
        <v>41</v>
      </c>
      <c r="Q74" s="7">
        <v>800</v>
      </c>
    </row>
    <row r="75" spans="1:17" ht="21.95" customHeight="1">
      <c r="A75" s="7">
        <v>24000</v>
      </c>
      <c r="B75" s="7">
        <v>1</v>
      </c>
      <c r="C75" s="7">
        <v>12</v>
      </c>
      <c r="D75" s="7">
        <v>23</v>
      </c>
      <c r="E75" s="7">
        <v>720</v>
      </c>
      <c r="F75" s="7">
        <v>2</v>
      </c>
      <c r="G75" s="7">
        <v>1</v>
      </c>
      <c r="H75" s="7">
        <v>1</v>
      </c>
      <c r="I75" s="7">
        <v>160</v>
      </c>
      <c r="J75" s="7">
        <v>3</v>
      </c>
      <c r="K75" s="7">
        <v>1</v>
      </c>
      <c r="L75" s="7">
        <v>1</v>
      </c>
      <c r="M75" s="7">
        <v>1600</v>
      </c>
      <c r="N75" s="7">
        <v>4</v>
      </c>
      <c r="O75" s="7">
        <v>20</v>
      </c>
      <c r="P75" s="7">
        <v>43</v>
      </c>
      <c r="Q75" s="7">
        <v>800</v>
      </c>
    </row>
    <row r="76" spans="1:17" ht="21.95" customHeight="1">
      <c r="A76" s="7">
        <v>28000</v>
      </c>
      <c r="B76" s="7">
        <v>1</v>
      </c>
      <c r="C76" s="7">
        <v>16</v>
      </c>
      <c r="D76" s="7">
        <v>29</v>
      </c>
      <c r="E76" s="7">
        <v>720</v>
      </c>
      <c r="F76" s="7">
        <v>2</v>
      </c>
      <c r="G76" s="7">
        <v>1</v>
      </c>
      <c r="H76" s="7">
        <v>1</v>
      </c>
      <c r="I76" s="7">
        <v>160</v>
      </c>
      <c r="J76" s="7">
        <v>3</v>
      </c>
      <c r="K76" s="7">
        <v>1</v>
      </c>
      <c r="L76" s="7">
        <v>1</v>
      </c>
      <c r="M76" s="7">
        <v>1600</v>
      </c>
      <c r="N76" s="7">
        <v>4</v>
      </c>
      <c r="O76" s="7">
        <v>20</v>
      </c>
      <c r="P76" s="7">
        <v>46</v>
      </c>
      <c r="Q76" s="7">
        <v>800</v>
      </c>
    </row>
    <row r="77" spans="1:17" ht="21.95" customHeight="1">
      <c r="A77" s="7">
        <v>32000</v>
      </c>
      <c r="B77" s="7">
        <v>1</v>
      </c>
      <c r="C77" s="7">
        <v>18</v>
      </c>
      <c r="D77" s="7">
        <v>33</v>
      </c>
      <c r="E77" s="7">
        <v>600</v>
      </c>
      <c r="F77" s="7">
        <v>2</v>
      </c>
      <c r="G77" s="7">
        <v>1</v>
      </c>
      <c r="H77" s="7">
        <v>1</v>
      </c>
      <c r="I77" s="7">
        <v>160</v>
      </c>
      <c r="J77" s="7">
        <v>3</v>
      </c>
      <c r="K77" s="7">
        <v>1</v>
      </c>
      <c r="L77" s="7">
        <v>1</v>
      </c>
      <c r="M77" s="7">
        <v>1600</v>
      </c>
      <c r="N77" s="7">
        <v>4</v>
      </c>
      <c r="O77" s="7">
        <v>21</v>
      </c>
      <c r="P77" s="7">
        <v>49</v>
      </c>
      <c r="Q77" s="7">
        <v>800</v>
      </c>
    </row>
    <row r="78" spans="1:17" ht="21.95" customHeight="1">
      <c r="A78" s="7">
        <v>36000</v>
      </c>
      <c r="B78" s="7">
        <v>1</v>
      </c>
      <c r="C78" s="7">
        <v>20</v>
      </c>
      <c r="D78" s="7">
        <v>38</v>
      </c>
      <c r="E78" s="7">
        <v>480</v>
      </c>
      <c r="F78" s="7">
        <v>2</v>
      </c>
      <c r="G78" s="7">
        <v>1</v>
      </c>
      <c r="H78" s="7">
        <v>1</v>
      </c>
      <c r="I78" s="7">
        <v>160</v>
      </c>
      <c r="J78" s="7">
        <v>3</v>
      </c>
      <c r="K78" s="7">
        <v>1</v>
      </c>
      <c r="L78" s="7">
        <v>1</v>
      </c>
      <c r="M78" s="7">
        <v>1600</v>
      </c>
      <c r="N78" s="7">
        <v>4</v>
      </c>
      <c r="O78" s="7">
        <v>24</v>
      </c>
      <c r="P78" s="7">
        <v>51</v>
      </c>
      <c r="Q78" s="7">
        <v>800</v>
      </c>
    </row>
    <row r="79" spans="1:17" ht="21.95" customHeight="1">
      <c r="A79" s="7">
        <v>120000</v>
      </c>
      <c r="B79" s="7">
        <v>1</v>
      </c>
      <c r="C79" s="7">
        <v>64</v>
      </c>
      <c r="D79" s="7">
        <v>119</v>
      </c>
      <c r="E79" s="7">
        <v>480</v>
      </c>
      <c r="F79" s="7">
        <v>2</v>
      </c>
      <c r="G79" s="7">
        <v>1</v>
      </c>
      <c r="H79" s="7">
        <v>1</v>
      </c>
      <c r="I79" s="7">
        <v>160</v>
      </c>
      <c r="J79" s="7">
        <v>3</v>
      </c>
      <c r="K79" s="7">
        <v>1</v>
      </c>
      <c r="L79" s="7">
        <v>1</v>
      </c>
      <c r="M79" s="7">
        <v>1600</v>
      </c>
      <c r="N79" s="7">
        <v>4</v>
      </c>
      <c r="O79" s="7">
        <v>38</v>
      </c>
      <c r="P79" s="7">
        <v>62</v>
      </c>
      <c r="Q79" s="7">
        <v>800</v>
      </c>
    </row>
    <row r="80" spans="1:17" ht="21.95" customHeight="1">
      <c r="A80" s="7">
        <v>140000</v>
      </c>
      <c r="B80" s="7">
        <v>1</v>
      </c>
      <c r="C80" s="7">
        <v>64</v>
      </c>
      <c r="D80" s="7">
        <v>119</v>
      </c>
      <c r="E80" s="7">
        <v>480</v>
      </c>
      <c r="F80" s="7">
        <v>2</v>
      </c>
      <c r="G80" s="7">
        <v>1</v>
      </c>
      <c r="H80" s="7">
        <v>1</v>
      </c>
      <c r="I80" s="7">
        <v>160</v>
      </c>
      <c r="J80" s="7">
        <v>3</v>
      </c>
      <c r="K80" s="7">
        <v>1</v>
      </c>
      <c r="L80" s="7">
        <v>1</v>
      </c>
      <c r="M80" s="7">
        <v>1600</v>
      </c>
      <c r="N80" s="7">
        <v>4</v>
      </c>
      <c r="O80" s="7">
        <v>38</v>
      </c>
      <c r="P80" s="7">
        <v>62</v>
      </c>
      <c r="Q80" s="7">
        <v>800</v>
      </c>
    </row>
    <row r="81" spans="1:17" ht="21.95" customHeight="1">
      <c r="A81" s="7">
        <v>160000</v>
      </c>
      <c r="B81" s="7">
        <v>1</v>
      </c>
      <c r="C81" s="7">
        <v>64</v>
      </c>
      <c r="D81" s="7">
        <v>119</v>
      </c>
      <c r="E81" s="7">
        <v>480</v>
      </c>
      <c r="F81" s="7">
        <v>2</v>
      </c>
      <c r="G81" s="7">
        <v>1</v>
      </c>
      <c r="H81" s="7">
        <v>1</v>
      </c>
      <c r="I81" s="7">
        <v>160</v>
      </c>
      <c r="J81" s="7">
        <v>3</v>
      </c>
      <c r="K81" s="7">
        <v>1</v>
      </c>
      <c r="L81" s="7">
        <v>1</v>
      </c>
      <c r="M81" s="7">
        <v>1600</v>
      </c>
      <c r="N81" s="7">
        <v>4</v>
      </c>
      <c r="O81" s="7">
        <v>38</v>
      </c>
      <c r="P81" s="7">
        <v>62</v>
      </c>
      <c r="Q81" s="7">
        <v>800</v>
      </c>
    </row>
    <row r="82" spans="1:17" ht="21.95" customHeight="1">
      <c r="A82" s="7">
        <v>180000</v>
      </c>
      <c r="B82" s="7">
        <v>1</v>
      </c>
      <c r="C82" s="7">
        <v>64</v>
      </c>
      <c r="D82" s="7">
        <v>119</v>
      </c>
      <c r="E82" s="7">
        <v>480</v>
      </c>
      <c r="F82" s="7">
        <v>2</v>
      </c>
      <c r="G82" s="7">
        <v>1</v>
      </c>
      <c r="H82" s="7">
        <v>1</v>
      </c>
      <c r="I82" s="7">
        <v>160</v>
      </c>
      <c r="J82" s="7">
        <v>3</v>
      </c>
      <c r="K82" s="7">
        <v>1</v>
      </c>
      <c r="L82" s="7">
        <v>1</v>
      </c>
      <c r="M82" s="7">
        <v>1600</v>
      </c>
      <c r="N82" s="7">
        <v>4</v>
      </c>
      <c r="O82" s="7">
        <v>38</v>
      </c>
      <c r="P82" s="7">
        <v>62</v>
      </c>
      <c r="Q82" s="7">
        <v>800</v>
      </c>
    </row>
    <row r="83" spans="1:17" ht="21.95" customHeight="1">
      <c r="A83" s="7">
        <v>200000</v>
      </c>
      <c r="B83" s="7">
        <v>1</v>
      </c>
      <c r="C83" s="7">
        <v>64</v>
      </c>
      <c r="D83" s="7">
        <v>119</v>
      </c>
      <c r="E83" s="7">
        <v>480</v>
      </c>
      <c r="F83" s="7">
        <v>2</v>
      </c>
      <c r="G83" s="7">
        <v>1</v>
      </c>
      <c r="H83" s="7">
        <v>1</v>
      </c>
      <c r="I83" s="7">
        <v>160</v>
      </c>
      <c r="J83" s="7">
        <v>3</v>
      </c>
      <c r="K83" s="7">
        <v>1</v>
      </c>
      <c r="L83" s="7">
        <v>1</v>
      </c>
      <c r="M83" s="7">
        <v>1600</v>
      </c>
      <c r="N83" s="7">
        <v>4</v>
      </c>
      <c r="O83" s="7">
        <v>38</v>
      </c>
      <c r="P83" s="7">
        <v>62</v>
      </c>
      <c r="Q83" s="7">
        <v>800</v>
      </c>
    </row>
    <row r="84" spans="1:17" ht="21.95" customHeight="1">
      <c r="A84" s="7">
        <v>240000</v>
      </c>
      <c r="B84" s="7">
        <v>1</v>
      </c>
      <c r="C84" s="7">
        <v>64</v>
      </c>
      <c r="D84" s="7">
        <v>119</v>
      </c>
      <c r="E84" s="7">
        <v>480</v>
      </c>
      <c r="F84" s="7">
        <v>2</v>
      </c>
      <c r="G84" s="7">
        <v>1</v>
      </c>
      <c r="H84" s="7">
        <v>1</v>
      </c>
      <c r="I84" s="7">
        <v>160</v>
      </c>
      <c r="J84" s="7">
        <v>3</v>
      </c>
      <c r="K84" s="7">
        <v>1</v>
      </c>
      <c r="L84" s="7">
        <v>1</v>
      </c>
      <c r="M84" s="7">
        <v>1600</v>
      </c>
      <c r="N84" s="7">
        <v>4</v>
      </c>
      <c r="O84" s="7">
        <v>38</v>
      </c>
      <c r="P84" s="7">
        <v>62</v>
      </c>
      <c r="Q84" s="7">
        <v>800</v>
      </c>
    </row>
    <row r="85" spans="1:17" ht="21.95" customHeight="1">
      <c r="A85" s="7">
        <v>280000</v>
      </c>
      <c r="B85" s="7">
        <v>1</v>
      </c>
      <c r="C85" s="7">
        <v>64</v>
      </c>
      <c r="D85" s="7">
        <v>119</v>
      </c>
      <c r="E85" s="7">
        <v>480</v>
      </c>
      <c r="F85" s="7">
        <v>2</v>
      </c>
      <c r="G85" s="7">
        <v>1</v>
      </c>
      <c r="H85" s="7">
        <v>1</v>
      </c>
      <c r="I85" s="7">
        <v>160</v>
      </c>
      <c r="J85" s="7">
        <v>3</v>
      </c>
      <c r="K85" s="7">
        <v>1</v>
      </c>
      <c r="L85" s="7">
        <v>1</v>
      </c>
      <c r="M85" s="7">
        <v>1600</v>
      </c>
      <c r="N85" s="7">
        <v>4</v>
      </c>
      <c r="O85" s="7">
        <v>38</v>
      </c>
      <c r="P85" s="7">
        <v>62</v>
      </c>
      <c r="Q85" s="7">
        <v>800</v>
      </c>
    </row>
    <row r="86" spans="1:17" ht="21.95" customHeight="1">
      <c r="A86" s="7">
        <v>320000</v>
      </c>
      <c r="B86" s="7">
        <v>1</v>
      </c>
      <c r="C86" s="7">
        <v>64</v>
      </c>
      <c r="D86" s="7">
        <v>119</v>
      </c>
      <c r="E86" s="7">
        <v>480</v>
      </c>
      <c r="F86" s="7">
        <v>2</v>
      </c>
      <c r="G86" s="7">
        <v>1</v>
      </c>
      <c r="H86" s="7">
        <v>1</v>
      </c>
      <c r="I86" s="7">
        <v>160</v>
      </c>
      <c r="J86" s="7">
        <v>3</v>
      </c>
      <c r="K86" s="7">
        <v>1</v>
      </c>
      <c r="L86" s="7">
        <v>1</v>
      </c>
      <c r="M86" s="7">
        <v>1600</v>
      </c>
      <c r="N86" s="7">
        <v>4</v>
      </c>
      <c r="O86" s="7">
        <v>38</v>
      </c>
      <c r="P86" s="7">
        <v>62</v>
      </c>
      <c r="Q86" s="7">
        <v>800</v>
      </c>
    </row>
    <row r="87" spans="1:17" ht="21.95" customHeight="1">
      <c r="A87" s="7">
        <v>360000</v>
      </c>
      <c r="B87" s="7">
        <v>1</v>
      </c>
      <c r="C87" s="7">
        <v>64</v>
      </c>
      <c r="D87" s="7">
        <v>119</v>
      </c>
      <c r="E87" s="7">
        <v>480</v>
      </c>
      <c r="F87" s="7">
        <v>2</v>
      </c>
      <c r="G87" s="7">
        <v>1</v>
      </c>
      <c r="H87" s="7">
        <v>1</v>
      </c>
      <c r="I87" s="7">
        <v>160</v>
      </c>
      <c r="J87" s="7">
        <v>3</v>
      </c>
      <c r="K87" s="7">
        <v>1</v>
      </c>
      <c r="L87" s="7">
        <v>1</v>
      </c>
      <c r="M87" s="7">
        <v>1600</v>
      </c>
      <c r="N87" s="7">
        <v>4</v>
      </c>
      <c r="O87" s="7">
        <v>38</v>
      </c>
      <c r="P87" s="7">
        <v>62</v>
      </c>
      <c r="Q87" s="7">
        <v>800</v>
      </c>
    </row>
    <row r="88" spans="1:17" ht="21.95" customHeight="1">
      <c r="A88" s="7">
        <v>400000</v>
      </c>
      <c r="B88" s="7">
        <v>1</v>
      </c>
      <c r="C88" s="7">
        <v>64</v>
      </c>
      <c r="D88" s="7">
        <v>119</v>
      </c>
      <c r="E88" s="7">
        <v>480</v>
      </c>
      <c r="F88" s="7">
        <v>2</v>
      </c>
      <c r="G88" s="7">
        <v>1</v>
      </c>
      <c r="H88" s="7">
        <v>1</v>
      </c>
      <c r="I88" s="7">
        <v>160</v>
      </c>
      <c r="J88" s="7">
        <v>3</v>
      </c>
      <c r="K88" s="7">
        <v>1</v>
      </c>
      <c r="L88" s="7">
        <v>1</v>
      </c>
      <c r="M88" s="7">
        <v>1600</v>
      </c>
      <c r="N88" s="7">
        <v>4</v>
      </c>
      <c r="O88" s="7">
        <v>38</v>
      </c>
      <c r="P88" s="7">
        <v>62</v>
      </c>
      <c r="Q88" s="7">
        <v>800</v>
      </c>
    </row>
  </sheetData>
  <phoneticPr fontId="42" type="noConversion"/>
  <pageMargins left="0.75" right="0.75" top="1" bottom="1" header="0.51180555555555596" footer="0.51180555555555596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P14"/>
  <sheetViews>
    <sheetView workbookViewId="0">
      <selection activeCell="D18" sqref="D18"/>
    </sheetView>
  </sheetViews>
  <sheetFormatPr defaultColWidth="9" defaultRowHeight="15"/>
  <cols>
    <col min="1" max="1" width="8.796875" style="1"/>
    <col min="2" max="2" width="16.3984375" style="1" customWidth="1"/>
    <col min="3" max="3" width="14.3984375" style="1" customWidth="1"/>
    <col min="4" max="4" width="12.796875" style="1" customWidth="1"/>
    <col min="5" max="5" width="13.3984375" style="1" customWidth="1"/>
    <col min="6" max="6" width="12.796875" style="1" customWidth="1"/>
    <col min="7" max="7" width="16" style="1" customWidth="1"/>
    <col min="8" max="8" width="10.5" style="1" customWidth="1"/>
    <col min="9" max="9" width="12.296875" style="1" customWidth="1"/>
    <col min="10" max="10" width="12.796875" style="1" customWidth="1"/>
    <col min="11" max="11" width="9.796875" style="1" customWidth="1"/>
    <col min="12" max="12" width="13.3984375" style="1" customWidth="1"/>
    <col min="13" max="13" width="12.3984375" style="1" customWidth="1"/>
    <col min="14" max="14" width="10.59765625" style="1" customWidth="1"/>
    <col min="15" max="15" width="10.09765625" style="1" customWidth="1"/>
    <col min="16" max="16" width="11.8984375" style="1" customWidth="1"/>
    <col min="17" max="16380" width="8.796875" style="1"/>
    <col min="16381" max="16384" width="9" style="1"/>
  </cols>
  <sheetData>
    <row r="1" spans="1:16">
      <c r="A1" s="2" t="s">
        <v>1272</v>
      </c>
      <c r="B1" s="2" t="s">
        <v>1273</v>
      </c>
      <c r="C1" s="2" t="s">
        <v>1274</v>
      </c>
      <c r="D1" s="2" t="s">
        <v>1275</v>
      </c>
      <c r="E1" s="2" t="s">
        <v>1276</v>
      </c>
      <c r="F1" s="2" t="s">
        <v>1277</v>
      </c>
      <c r="G1" s="2" t="s">
        <v>1278</v>
      </c>
      <c r="H1" s="2" t="s">
        <v>447</v>
      </c>
      <c r="I1" s="2" t="s">
        <v>1279</v>
      </c>
      <c r="J1" s="2" t="s">
        <v>1280</v>
      </c>
      <c r="K1" s="2" t="s">
        <v>1281</v>
      </c>
      <c r="L1" s="2" t="s">
        <v>1127</v>
      </c>
      <c r="M1" s="2" t="s">
        <v>1281</v>
      </c>
      <c r="N1" s="2" t="s">
        <v>1127</v>
      </c>
      <c r="O1" s="2" t="s">
        <v>1281</v>
      </c>
      <c r="P1" s="2" t="s">
        <v>1127</v>
      </c>
    </row>
    <row r="2" spans="1:16">
      <c r="A2" s="2" t="s">
        <v>39</v>
      </c>
      <c r="B2" s="2" t="s">
        <v>40</v>
      </c>
      <c r="C2" s="2" t="s">
        <v>40</v>
      </c>
      <c r="D2" s="2" t="s">
        <v>39</v>
      </c>
      <c r="E2" s="2" t="s">
        <v>39</v>
      </c>
      <c r="F2" s="2" t="s">
        <v>39</v>
      </c>
      <c r="G2" s="2" t="s">
        <v>39</v>
      </c>
      <c r="H2" s="2" t="s">
        <v>40</v>
      </c>
      <c r="I2" s="2" t="s">
        <v>39</v>
      </c>
      <c r="J2" s="2" t="s">
        <v>39</v>
      </c>
      <c r="K2" s="2" t="s">
        <v>39</v>
      </c>
      <c r="L2" s="2" t="s">
        <v>39</v>
      </c>
      <c r="M2" s="2" t="s">
        <v>39</v>
      </c>
      <c r="N2" s="2" t="s">
        <v>39</v>
      </c>
      <c r="O2" s="2" t="s">
        <v>39</v>
      </c>
      <c r="P2" s="2" t="s">
        <v>39</v>
      </c>
    </row>
    <row r="3" spans="1:16">
      <c r="A3" s="2" t="s">
        <v>1282</v>
      </c>
      <c r="B3" s="3" t="s">
        <v>1283</v>
      </c>
      <c r="C3" s="2" t="s">
        <v>1284</v>
      </c>
      <c r="D3" s="4" t="s">
        <v>1285</v>
      </c>
      <c r="E3" s="4" t="s">
        <v>1286</v>
      </c>
      <c r="F3" s="2" t="s">
        <v>1287</v>
      </c>
      <c r="G3" s="3" t="s">
        <v>1288</v>
      </c>
      <c r="H3" s="2" t="s">
        <v>462</v>
      </c>
      <c r="I3" s="2" t="s">
        <v>1289</v>
      </c>
      <c r="J3" s="2" t="s">
        <v>1290</v>
      </c>
      <c r="K3" s="6" t="s">
        <v>1291</v>
      </c>
      <c r="L3" s="6" t="s">
        <v>1292</v>
      </c>
      <c r="M3" s="6" t="s">
        <v>1293</v>
      </c>
      <c r="N3" s="6" t="s">
        <v>1294</v>
      </c>
      <c r="O3" s="6" t="s">
        <v>1295</v>
      </c>
      <c r="P3" s="6" t="s">
        <v>1296</v>
      </c>
    </row>
    <row r="4" spans="1:16">
      <c r="A4" s="2">
        <v>70501</v>
      </c>
      <c r="B4" s="2" t="s">
        <v>1297</v>
      </c>
      <c r="C4" s="2" t="s">
        <v>1298</v>
      </c>
      <c r="D4" s="2">
        <v>10</v>
      </c>
      <c r="E4" s="2">
        <v>9000</v>
      </c>
      <c r="F4" s="5">
        <v>0</v>
      </c>
      <c r="G4" s="2">
        <v>60</v>
      </c>
      <c r="H4" s="2" t="s">
        <v>478</v>
      </c>
      <c r="I4" s="2">
        <v>1520</v>
      </c>
      <c r="J4" s="2">
        <v>980</v>
      </c>
      <c r="K4" s="6">
        <v>101</v>
      </c>
      <c r="L4" s="6">
        <v>4800000</v>
      </c>
      <c r="M4" s="6">
        <v>1137</v>
      </c>
      <c r="N4" s="6">
        <v>1000</v>
      </c>
      <c r="O4" s="6">
        <v>14120</v>
      </c>
      <c r="P4" s="6">
        <v>20</v>
      </c>
    </row>
    <row r="5" spans="1:16">
      <c r="A5" s="2">
        <v>70502</v>
      </c>
      <c r="B5" s="2" t="s">
        <v>1299</v>
      </c>
      <c r="C5" s="2" t="s">
        <v>1300</v>
      </c>
      <c r="D5" s="2">
        <v>10000</v>
      </c>
      <c r="E5" s="2">
        <v>10000</v>
      </c>
      <c r="F5" s="2">
        <v>30000</v>
      </c>
      <c r="G5" s="2">
        <v>60</v>
      </c>
      <c r="H5" s="2" t="s">
        <v>478</v>
      </c>
      <c r="I5" s="2">
        <v>7000</v>
      </c>
      <c r="J5" s="2">
        <v>3280</v>
      </c>
      <c r="K5" s="6">
        <v>101</v>
      </c>
      <c r="L5" s="6">
        <v>32800000</v>
      </c>
      <c r="M5" s="5">
        <v>0</v>
      </c>
      <c r="N5" s="5">
        <v>0</v>
      </c>
      <c r="O5" s="6">
        <v>14120</v>
      </c>
      <c r="P5" s="6">
        <v>20</v>
      </c>
    </row>
    <row r="6" spans="1:16">
      <c r="A6" s="2">
        <v>70503</v>
      </c>
      <c r="B6" s="2" t="s">
        <v>1299</v>
      </c>
      <c r="C6" s="2" t="s">
        <v>1301</v>
      </c>
      <c r="D6" s="2">
        <v>15000</v>
      </c>
      <c r="E6" s="2">
        <v>15000</v>
      </c>
      <c r="F6" s="2">
        <v>30000</v>
      </c>
      <c r="G6" s="2">
        <v>60</v>
      </c>
      <c r="H6" s="2" t="s">
        <v>478</v>
      </c>
      <c r="I6" s="2">
        <v>6500</v>
      </c>
      <c r="J6" s="2">
        <v>3000</v>
      </c>
      <c r="K6" s="6">
        <v>101</v>
      </c>
      <c r="L6" s="6">
        <v>30000000</v>
      </c>
      <c r="M6" s="5">
        <v>0</v>
      </c>
      <c r="N6" s="5">
        <v>0</v>
      </c>
      <c r="O6" s="6">
        <v>14120</v>
      </c>
      <c r="P6" s="6">
        <v>20</v>
      </c>
    </row>
    <row r="7" spans="1:16">
      <c r="A7" s="2">
        <v>70504</v>
      </c>
      <c r="B7" s="2" t="s">
        <v>1299</v>
      </c>
      <c r="C7" s="2" t="s">
        <v>1302</v>
      </c>
      <c r="D7" s="2">
        <v>20000</v>
      </c>
      <c r="E7" s="2">
        <v>20000</v>
      </c>
      <c r="F7" s="2">
        <v>30000</v>
      </c>
      <c r="G7" s="2">
        <v>60</v>
      </c>
      <c r="H7" s="2" t="s">
        <v>478</v>
      </c>
      <c r="I7" s="2">
        <v>5500</v>
      </c>
      <c r="J7" s="2">
        <v>2600</v>
      </c>
      <c r="K7" s="6">
        <v>101</v>
      </c>
      <c r="L7" s="6">
        <v>26000000</v>
      </c>
      <c r="M7" s="5">
        <v>0</v>
      </c>
      <c r="N7" s="5">
        <v>0</v>
      </c>
      <c r="O7" s="6">
        <v>14120</v>
      </c>
      <c r="P7" s="6">
        <v>20</v>
      </c>
    </row>
    <row r="8" spans="1:16">
      <c r="A8" s="2">
        <v>70505</v>
      </c>
      <c r="B8" s="2" t="s">
        <v>1299</v>
      </c>
      <c r="C8" s="2" t="s">
        <v>1303</v>
      </c>
      <c r="D8" s="2">
        <v>25000</v>
      </c>
      <c r="E8" s="2">
        <v>25000</v>
      </c>
      <c r="F8" s="2">
        <v>30000</v>
      </c>
      <c r="G8" s="2">
        <v>60</v>
      </c>
      <c r="H8" s="2" t="s">
        <v>478</v>
      </c>
      <c r="I8" s="2">
        <v>3200</v>
      </c>
      <c r="J8" s="2">
        <v>1500</v>
      </c>
      <c r="K8" s="6">
        <v>101</v>
      </c>
      <c r="L8" s="6">
        <v>15000000</v>
      </c>
      <c r="M8" s="5">
        <v>0</v>
      </c>
      <c r="N8" s="5">
        <v>0</v>
      </c>
      <c r="O8" s="6">
        <v>14120</v>
      </c>
      <c r="P8" s="6">
        <v>20</v>
      </c>
    </row>
    <row r="9" spans="1:16">
      <c r="A9" s="2">
        <v>70506</v>
      </c>
      <c r="B9" s="2" t="s">
        <v>1299</v>
      </c>
      <c r="C9" s="2" t="s">
        <v>1304</v>
      </c>
      <c r="D9" s="2">
        <v>30000</v>
      </c>
      <c r="E9" s="2">
        <v>30000</v>
      </c>
      <c r="F9" s="2">
        <v>70000</v>
      </c>
      <c r="G9" s="2">
        <v>60</v>
      </c>
      <c r="H9" s="2" t="s">
        <v>478</v>
      </c>
      <c r="I9" s="2">
        <v>38880</v>
      </c>
      <c r="J9" s="2">
        <v>6480</v>
      </c>
      <c r="K9" s="6">
        <v>101</v>
      </c>
      <c r="L9" s="6">
        <v>64800000</v>
      </c>
      <c r="M9" s="5">
        <v>0</v>
      </c>
      <c r="N9" s="5">
        <v>0</v>
      </c>
      <c r="O9" s="6">
        <v>14120</v>
      </c>
      <c r="P9" s="6">
        <v>20</v>
      </c>
    </row>
    <row r="10" spans="1:16">
      <c r="A10" s="2">
        <v>70507</v>
      </c>
      <c r="B10" s="2" t="s">
        <v>1299</v>
      </c>
      <c r="C10" s="2" t="s">
        <v>1305</v>
      </c>
      <c r="D10" s="2">
        <v>35000</v>
      </c>
      <c r="E10" s="2">
        <v>35000</v>
      </c>
      <c r="F10" s="2">
        <v>70000</v>
      </c>
      <c r="G10" s="2">
        <v>60</v>
      </c>
      <c r="H10" s="2" t="s">
        <v>478</v>
      </c>
      <c r="I10" s="2">
        <v>36000</v>
      </c>
      <c r="J10" s="2">
        <v>6000</v>
      </c>
      <c r="K10" s="6">
        <v>101</v>
      </c>
      <c r="L10" s="6">
        <v>60000000</v>
      </c>
      <c r="M10" s="5">
        <v>0</v>
      </c>
      <c r="N10" s="5">
        <v>0</v>
      </c>
      <c r="O10" s="6">
        <v>14120</v>
      </c>
      <c r="P10" s="6">
        <v>20</v>
      </c>
    </row>
    <row r="11" spans="1:16">
      <c r="A11" s="2">
        <v>70508</v>
      </c>
      <c r="B11" s="2" t="s">
        <v>1299</v>
      </c>
      <c r="C11" s="2" t="s">
        <v>1306</v>
      </c>
      <c r="D11" s="2">
        <v>40000</v>
      </c>
      <c r="E11" s="2">
        <v>40000</v>
      </c>
      <c r="F11" s="2">
        <v>70000</v>
      </c>
      <c r="G11" s="2">
        <v>60</v>
      </c>
      <c r="H11" s="2" t="s">
        <v>478</v>
      </c>
      <c r="I11" s="2">
        <v>32000</v>
      </c>
      <c r="J11" s="2">
        <v>5000</v>
      </c>
      <c r="K11" s="6">
        <v>101</v>
      </c>
      <c r="L11" s="6">
        <v>50000000</v>
      </c>
      <c r="M11" s="5">
        <v>0</v>
      </c>
      <c r="N11" s="5">
        <v>0</v>
      </c>
      <c r="O11" s="6">
        <v>14120</v>
      </c>
      <c r="P11" s="6">
        <v>20</v>
      </c>
    </row>
    <row r="12" spans="1:16">
      <c r="A12" s="2">
        <v>70509</v>
      </c>
      <c r="B12" s="2" t="s">
        <v>1299</v>
      </c>
      <c r="C12" s="2" t="s">
        <v>1307</v>
      </c>
      <c r="D12" s="2">
        <v>45000</v>
      </c>
      <c r="E12" s="2">
        <v>45000</v>
      </c>
      <c r="F12" s="2">
        <v>70000</v>
      </c>
      <c r="G12" s="2">
        <v>60</v>
      </c>
      <c r="H12" s="2" t="s">
        <v>478</v>
      </c>
      <c r="I12" s="2">
        <v>25000</v>
      </c>
      <c r="J12" s="2">
        <v>3500</v>
      </c>
      <c r="K12" s="6">
        <v>101</v>
      </c>
      <c r="L12" s="6">
        <v>35000000</v>
      </c>
      <c r="M12" s="5">
        <v>0</v>
      </c>
      <c r="N12" s="5">
        <v>0</v>
      </c>
      <c r="O12" s="6">
        <v>14120</v>
      </c>
      <c r="P12" s="6">
        <v>20</v>
      </c>
    </row>
    <row r="13" spans="1:16">
      <c r="A13" s="2">
        <v>70510</v>
      </c>
      <c r="B13" s="2" t="s">
        <v>1299</v>
      </c>
      <c r="C13" s="2" t="s">
        <v>1308</v>
      </c>
      <c r="D13" s="2">
        <v>50000</v>
      </c>
      <c r="E13" s="2">
        <v>50000</v>
      </c>
      <c r="F13" s="2">
        <v>70000</v>
      </c>
      <c r="G13" s="2">
        <v>60</v>
      </c>
      <c r="H13" s="2" t="s">
        <v>478</v>
      </c>
      <c r="I13" s="2">
        <v>18000</v>
      </c>
      <c r="J13" s="2">
        <v>1600</v>
      </c>
      <c r="K13" s="6">
        <v>101</v>
      </c>
      <c r="L13" s="6">
        <v>16000000</v>
      </c>
      <c r="M13" s="5">
        <v>0</v>
      </c>
      <c r="N13" s="5">
        <v>0</v>
      </c>
      <c r="O13" s="6">
        <v>14120</v>
      </c>
      <c r="P13" s="6">
        <v>20</v>
      </c>
    </row>
    <row r="14" spans="1:16">
      <c r="A14" s="2">
        <v>70511</v>
      </c>
      <c r="B14" s="2" t="s">
        <v>1299</v>
      </c>
      <c r="C14" s="2" t="s">
        <v>1309</v>
      </c>
      <c r="D14" s="2">
        <v>60000</v>
      </c>
      <c r="E14" s="2">
        <v>60000</v>
      </c>
      <c r="F14" s="2">
        <v>70000</v>
      </c>
      <c r="G14" s="2">
        <v>60</v>
      </c>
      <c r="H14" s="2" t="s">
        <v>478</v>
      </c>
      <c r="I14" s="2">
        <v>10000</v>
      </c>
      <c r="J14" s="2">
        <v>980</v>
      </c>
      <c r="K14" s="6">
        <v>101</v>
      </c>
      <c r="L14" s="6">
        <v>9800000</v>
      </c>
      <c r="M14" s="5">
        <v>0</v>
      </c>
      <c r="N14" s="5">
        <v>0</v>
      </c>
      <c r="O14" s="6">
        <v>14120</v>
      </c>
      <c r="P14" s="6">
        <v>20</v>
      </c>
    </row>
  </sheetData>
  <phoneticPr fontId="42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ID</vt:lpstr>
      <vt:lpstr>Fish</vt:lpstr>
      <vt:lpstr>SkillGrade</vt:lpstr>
      <vt:lpstr>SkillStar</vt:lpstr>
      <vt:lpstr>TerrorFish</vt:lpstr>
      <vt:lpstr>LevelFunds</vt:lpstr>
      <vt:lpstr>LevelFunds_25794</vt:lpstr>
      <vt:lpstr>SuperBossExchange</vt:lpstr>
      <vt:lpstr>SuperBossMinigame</vt:lpstr>
      <vt:lpstr>SuperBossCommon</vt:lpstr>
      <vt:lpstr>SuperBossDrop</vt:lpstr>
      <vt:lpstr>Gun</vt:lpstr>
      <vt:lpstr>GunSkin</vt:lpstr>
      <vt:lpstr>GunLevel</vt:lpstr>
      <vt:lpstr>Weapon</vt:lpstr>
      <vt:lpstr>WeaponPowerRate</vt:lpstr>
      <vt:lpstr>WeaponStageCount</vt:lpstr>
      <vt:lpstr>LevelPrizeWheel</vt:lpstr>
      <vt:lpstr>TimePointMatchSkill</vt:lpstr>
      <vt:lpstr>AutofillFish</vt:lpstr>
      <vt:lpstr>TideTask</vt:lpstr>
      <vt:lpstr>MultipleFish</vt:lpstr>
      <vt:lpstr>BossFish</vt:lpstr>
      <vt:lpstr>BossMultiple</vt:lpstr>
      <vt:lpstr>MatchFish</vt:lpstr>
      <vt:lpstr>MatchBufferFish</vt:lpstr>
      <vt:lpstr>MatchMultipleFish</vt:lpstr>
      <vt:lpstr>FixedMultipleFish</vt:lpstr>
      <vt:lpstr>RandomMultipleFish</vt:lpstr>
      <vt:lpstr>PlayerBuffer</vt:lpstr>
      <vt:lpstr>PlatterFish</vt:lpstr>
      <vt:lpstr>CatchDrop</vt:lpstr>
      <vt:lpstr>LevelGift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caokai</dc:creator>
  <cp:lastModifiedBy>lingyun</cp:lastModifiedBy>
  <dcterms:created xsi:type="dcterms:W3CDTF">2018-03-13T19:36:00Z</dcterms:created>
  <dcterms:modified xsi:type="dcterms:W3CDTF">2020-08-29T09:47:04Z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2052-2.5.0.4070</vt:lpwstr>
  </property>
</Properties>
</file>