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16600" tabRatio="932" firstSheet="1" activeTab="7"/>
  </bookViews>
  <sheets>
    <sheet name="LevelFunds" sheetId="161" r:id="rId1"/>
    <sheet name="LevelFunds_25794" sheetId="162" r:id="rId2"/>
    <sheet name="ID" sheetId="1" r:id="rId3"/>
    <sheet name="Fish" sheetId="152" r:id="rId4"/>
    <sheet name="SkillGrade" sheetId="153" r:id="rId5"/>
    <sheet name="SkillStar" sheetId="154" r:id="rId6"/>
    <sheet name="StarAbility" sheetId="155" r:id="rId7"/>
    <sheet name="SuperBossExchange" sheetId="151" r:id="rId8"/>
    <sheet name="SuperBossMinigame" sheetId="149" r:id="rId9"/>
    <sheet name="SuperBossCommon" sheetId="150" r:id="rId10"/>
    <sheet name="Gun" sheetId="156" r:id="rId11"/>
    <sheet name="GunSkin" sheetId="157" r:id="rId12"/>
    <sheet name="GunLevel" sheetId="158" r:id="rId13"/>
    <sheet name="Weapon" sheetId="160" r:id="rId14"/>
    <sheet name="SuperBossPower" sheetId="159" r:id="rId15"/>
  </sheets>
  <calcPr calcId="144525" concurrentCalc="0"/>
</workbook>
</file>

<file path=xl/comments1.xml><?xml version="1.0" encoding="utf-8"?>
<comments xmlns="http://schemas.openxmlformats.org/spreadsheetml/2006/main">
  <authors>
    <author>tugame</author>
  </authors>
  <commentList>
    <comment ref="B1" authorId="0">
      <text>
        <r>
          <rPr>
            <b/>
            <sz val="9"/>
            <rFont val="方正书宋_GBK"/>
            <charset val="134"/>
          </rPr>
          <t>tugame:</t>
        </r>
        <r>
          <rPr>
            <sz val="9"/>
            <rFont val="方正书宋_GBK"/>
            <charset val="134"/>
          </rPr>
          <t xml:space="preserve">
若要修改鱼名，复制对应的ID，去multiLangText.xlsx表中查找并修改</t>
        </r>
      </text>
    </comment>
    <comment ref="R1" authorId="0">
      <text>
        <r>
          <rPr>
            <sz val="16"/>
            <color rgb="FF000000"/>
            <rFont val="方正书宋_GBK"/>
            <charset val="134"/>
          </rPr>
          <t>用于计算补足子弹威力</t>
        </r>
        <r>
          <rPr>
            <sz val="9"/>
            <color rgb="FF000000"/>
            <rFont val="方正书宋_GBK"/>
            <charset val="13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Microsoft Office 用户</author>
  </authors>
  <commentList>
    <comment ref="B3" authorId="0">
      <text>
        <r>
          <rPr>
            <b/>
            <sz val="11"/>
            <rFont val="黑体"/>
            <charset val="134"/>
          </rPr>
          <t>0:无具体数值
1:数字
2:百分比</t>
        </r>
      </text>
    </comment>
  </commentList>
</comments>
</file>

<file path=xl/comments3.xml><?xml version="1.0" encoding="utf-8"?>
<comments xmlns="http://schemas.openxmlformats.org/spreadsheetml/2006/main">
  <authors>
    <author>tugame</author>
  </authors>
  <commentList>
    <comment ref="E3" authorId="0">
      <text>
        <r>
          <rPr>
            <sz val="18"/>
            <rFont val="方正书宋_GBK"/>
            <charset val="0"/>
          </rPr>
          <t>box,octopus,queen,dragon</t>
        </r>
      </text>
    </comment>
  </commentList>
</comments>
</file>

<file path=xl/comments4.xml><?xml version="1.0" encoding="utf-8"?>
<comments xmlns="http://schemas.openxmlformats.org/spreadsheetml/2006/main">
  <authors>
    <author>Microsoft Office 用户</author>
  </authors>
  <commentList>
    <comment ref="E3" authorId="0">
      <text>
        <r>
          <rPr>
            <b/>
            <sz val="11"/>
            <rFont val="MS PGothic"/>
            <charset val="128"/>
          </rPr>
          <t>0：无限制
1：VIP等级
2：称号ID
3：火炮等级</t>
        </r>
      </text>
    </comment>
    <comment ref="G3" authorId="0">
      <text>
        <r>
          <rPr>
            <b/>
            <sz val="11"/>
            <rFont val="MS PGothic"/>
            <charset val="128"/>
          </rPr>
          <t>0：无限制
1：VIP等级
2：称号ID
3：火炮等级</t>
        </r>
      </text>
    </comment>
  </commentList>
</comments>
</file>

<file path=xl/sharedStrings.xml><?xml version="1.0" encoding="utf-8"?>
<sst xmlns="http://schemas.openxmlformats.org/spreadsheetml/2006/main" count="878">
  <si>
    <t>canBuyIdx</t>
  </si>
  <si>
    <t>idx</t>
  </si>
  <si>
    <t>product_id</t>
  </si>
  <si>
    <t>type</t>
  </si>
  <si>
    <t>name</t>
  </si>
  <si>
    <t>buy_type</t>
  </si>
  <si>
    <t>price_direct</t>
  </si>
  <si>
    <t>price_diamond</t>
  </si>
  <si>
    <t>other_buyType</t>
  </si>
  <si>
    <t>des</t>
  </si>
  <si>
    <t>level</t>
  </si>
  <si>
    <t>free_rewards</t>
  </si>
  <si>
    <t>recharge_bonus</t>
  </si>
  <si>
    <t>paid_rewards</t>
  </si>
  <si>
    <t>str</t>
  </si>
  <si>
    <t>int</t>
  </si>
  <si>
    <t>可购买索引</t>
  </si>
  <si>
    <t>索引</t>
  </si>
  <si>
    <t>商品id</t>
  </si>
  <si>
    <t>类型</t>
  </si>
  <si>
    <t>基金名字</t>
  </si>
  <si>
    <t>购买方式</t>
  </si>
  <si>
    <t>价格/元</t>
  </si>
  <si>
    <t>钻石价格</t>
  </si>
  <si>
    <t>其他购买方式</t>
  </si>
  <si>
    <t>标题宣传语</t>
  </si>
  <si>
    <t>要求火炮倍率</t>
  </si>
  <si>
    <t>商品索引</t>
  </si>
  <si>
    <t>免费奖励</t>
  </si>
  <si>
    <t>免费奖励数量</t>
  </si>
  <si>
    <t>充值奖池</t>
  </si>
  <si>
    <t>基金奖励</t>
  </si>
  <si>
    <t>基金奖励数量</t>
  </si>
  <si>
    <t>[1,2,3,4,6]</t>
  </si>
  <si>
    <t>TY0044F00300001</t>
  </si>
  <si>
    <t>ID_CONFIG_LEVEL_FUNDS_NAME_QIHANG</t>
  </si>
  <si>
    <t>direct</t>
  </si>
  <si>
    <t>{"voucher": 30}</t>
  </si>
  <si>
    <r>
      <rPr>
        <sz val="14"/>
        <color rgb="FF000000"/>
        <rFont val="华文宋体"/>
        <charset val="134"/>
      </rPr>
      <t>30,</t>
    </r>
    <r>
      <rPr>
        <sz val="14"/>
        <color rgb="FF000000"/>
        <rFont val="Tahoma"/>
        <charset val="134"/>
      </rPr>
      <t>100</t>
    </r>
    <r>
      <rPr>
        <sz val="14"/>
        <color rgb="FF000000"/>
        <rFont val="华文宋体"/>
        <charset val="134"/>
      </rPr>
      <t>万</t>
    </r>
  </si>
  <si>
    <t>火舌加农炮技能卡</t>
  </si>
  <si>
    <t>[{"name":1147,"count":1}]</t>
  </si>
  <si>
    <t>40000金币</t>
  </si>
  <si>
    <t>[{"name":101,"count":40000}]</t>
  </si>
  <si>
    <t>TY0044F01980001</t>
  </si>
  <si>
    <t>ID_CONFIG_LEVEL_FUNDS_NAME_ADVANCED</t>
  </si>
  <si>
    <t>{"voucher": 198}</t>
  </si>
  <si>
    <r>
      <rPr>
        <sz val="14"/>
        <color rgb="FF000000"/>
        <rFont val="华文宋体"/>
        <charset val="134"/>
      </rPr>
      <t>198,</t>
    </r>
    <r>
      <rPr>
        <sz val="14"/>
        <color rgb="FF000000"/>
        <rFont val="Tahoma"/>
        <charset val="134"/>
      </rPr>
      <t>600</t>
    </r>
    <r>
      <rPr>
        <sz val="14"/>
        <color rgb="FF000000"/>
        <rFont val="华文宋体"/>
        <charset val="134"/>
      </rPr>
      <t>万</t>
    </r>
  </si>
  <si>
    <t>金币</t>
  </si>
  <si>
    <t>[{"name":101,"count":2500}]</t>
  </si>
  <si>
    <t>50000金币</t>
  </si>
  <si>
    <t>[{"name":101,"count":50000}]</t>
  </si>
  <si>
    <t>TY0044F03280001</t>
  </si>
  <si>
    <t>ID_CONFIG_LEVEL_FUNDS_NAME_TALENT</t>
  </si>
  <si>
    <t>{"voucher": 328}</t>
  </si>
  <si>
    <r>
      <rPr>
        <sz val="14"/>
        <color rgb="FF000000"/>
        <rFont val="华文宋体"/>
        <charset val="134"/>
      </rPr>
      <t>328,</t>
    </r>
    <r>
      <rPr>
        <sz val="14"/>
        <color rgb="FF000000"/>
        <rFont val="Tahoma"/>
        <charset val="134"/>
      </rPr>
      <t>1000</t>
    </r>
    <r>
      <rPr>
        <sz val="14"/>
        <color rgb="FF000000"/>
        <rFont val="华文宋体"/>
        <charset val="134"/>
      </rPr>
      <t>万</t>
    </r>
  </si>
  <si>
    <t>[{"name":101,"count":3000}]</t>
  </si>
  <si>
    <t>[{"name":101,"count":60000}]</t>
  </si>
  <si>
    <t>TY0044F06480001</t>
  </si>
  <si>
    <t>ID_CONFIG_LEVEL_FUNDS_NAME_REGAL</t>
  </si>
  <si>
    <t>{"voucher": 648}</t>
  </si>
  <si>
    <r>
      <rPr>
        <sz val="14"/>
        <color rgb="FF000000"/>
        <rFont val="华文宋体"/>
        <charset val="134"/>
      </rPr>
      <t>648,</t>
    </r>
    <r>
      <rPr>
        <sz val="14"/>
        <color rgb="FF000000"/>
        <rFont val="Tahoma"/>
        <charset val="134"/>
      </rPr>
      <t>2000</t>
    </r>
    <r>
      <rPr>
        <sz val="14"/>
        <color rgb="FF000000"/>
        <rFont val="华文宋体"/>
        <charset val="134"/>
      </rPr>
      <t>万</t>
    </r>
  </si>
  <si>
    <t>[{"name":101,"count":4000}]</t>
  </si>
  <si>
    <t>[{"name":101,"count":70000}]</t>
  </si>
  <si>
    <t>TY0044F03280002</t>
  </si>
  <si>
    <r>
      <rPr>
        <sz val="14"/>
        <color rgb="FF000000"/>
        <rFont val="华文宋体"/>
        <charset val="134"/>
      </rPr>
      <t>328,</t>
    </r>
    <r>
      <rPr>
        <sz val="14"/>
        <color rgb="FF000000"/>
        <rFont val="Tahoma"/>
        <charset val="134"/>
      </rPr>
      <t>1100</t>
    </r>
    <r>
      <rPr>
        <sz val="14"/>
        <color rgb="FF000000"/>
        <rFont val="华文宋体"/>
        <charset val="134"/>
      </rPr>
      <t>万</t>
    </r>
  </si>
  <si>
    <t>合金飞弹升星卡</t>
  </si>
  <si>
    <t>[{"name": 1155,"count":200}]</t>
  </si>
  <si>
    <t>[{"name":101,"count":80000}]</t>
  </si>
  <si>
    <t>TY0044F06480002</t>
  </si>
  <si>
    <t>ID_CONFIG_LEVEL_FUNDS_NAME_KING</t>
  </si>
  <si>
    <r>
      <rPr>
        <sz val="14"/>
        <color rgb="FF000000"/>
        <rFont val="华文宋体"/>
        <charset val="134"/>
      </rPr>
      <t>648,</t>
    </r>
    <r>
      <rPr>
        <sz val="14"/>
        <color rgb="FF000000"/>
        <rFont val="Tahoma"/>
        <charset val="134"/>
      </rPr>
      <t>2500</t>
    </r>
    <r>
      <rPr>
        <sz val="14"/>
        <color rgb="FF000000"/>
        <rFont val="华文宋体"/>
        <charset val="134"/>
      </rPr>
      <t>万</t>
    </r>
  </si>
  <si>
    <t>[{"name":101,"count":5000}]</t>
  </si>
  <si>
    <t>[{"name":101,"count":90000}]</t>
  </si>
  <si>
    <t>TY0044F03280003</t>
  </si>
  <si>
    <r>
      <rPr>
        <sz val="14"/>
        <color rgb="FF000000"/>
        <rFont val="华文宋体"/>
        <charset val="134"/>
      </rPr>
      <t>328,</t>
    </r>
    <r>
      <rPr>
        <sz val="14"/>
        <color rgb="FF000000"/>
        <rFont val="Tahoma"/>
        <charset val="134"/>
      </rPr>
      <t>1300</t>
    </r>
    <r>
      <rPr>
        <sz val="14"/>
        <color rgb="FF000000"/>
        <rFont val="华文宋体"/>
        <charset val="134"/>
      </rPr>
      <t>万</t>
    </r>
  </si>
  <si>
    <t>海星</t>
  </si>
  <si>
    <t>[{"name": 3106,"count":50,"des":"比赛门票"}]</t>
  </si>
  <si>
    <t>[{"name":101,"count":100000}]</t>
  </si>
  <si>
    <t>[{"name":101,"count":8000}]</t>
  </si>
  <si>
    <t>[{"name":101,"count":120000}]</t>
  </si>
  <si>
    <t>50钻石满减券</t>
  </si>
  <si>
    <t>[{"name": 13560,"count":1}]</t>
  </si>
  <si>
    <t>[{"name":101,"count":150000}]</t>
  </si>
  <si>
    <t>[{"name":101,"count":10000}]</t>
  </si>
  <si>
    <t>[{"name":101,"count":180000}]</t>
  </si>
  <si>
    <t>汇能弹技能卡</t>
  </si>
  <si>
    <t>[{"name": 1150,"count":15,"des":"稀有技能"}]</t>
  </si>
  <si>
    <t>[{"name":101,"count":200000}]</t>
  </si>
  <si>
    <t>[{"name":101,"count":15000}]</t>
  </si>
  <si>
    <t>[{"name":101,"count":800000}]</t>
  </si>
  <si>
    <t>冷却</t>
  </si>
  <si>
    <t>[{"name":1408,"count":15}]</t>
  </si>
  <si>
    <t>[{"name":101,"count":1000000}]</t>
  </si>
  <si>
    <t>[{"name":101,"count":20000}]</t>
  </si>
  <si>
    <t>[{"name":101,"count":1200000}]</t>
  </si>
  <si>
    <t>炎龙</t>
  </si>
  <si>
    <t>[{"name": 1166,"count":72,"des":"强力炮台"}]</t>
  </si>
  <si>
    <t>[{"name":101,"count":1500000}]</t>
  </si>
  <si>
    <t>[{"name":101,"count":25000}]</t>
  </si>
  <si>
    <t>[{"name":101,"count":2000000}]</t>
  </si>
  <si>
    <t>[{"name": 3106,"count":200,"des":"比赛门票"}]</t>
  </si>
  <si>
    <t>[{"name":101,"count":30000}]</t>
  </si>
  <si>
    <t>[{"name":101,"count":1800000}]</t>
  </si>
  <si>
    <t>120钻石满减券</t>
  </si>
  <si>
    <t>[{"name": 13561,"count":1}]</t>
  </si>
  <si>
    <t>[{"name":101,"count":2100000}]</t>
  </si>
  <si>
    <t>[{"name":101,"count":2400000}]</t>
  </si>
  <si>
    <t>激光炮技能卡</t>
  </si>
  <si>
    <t>[{"name": 1152,"count":25,"des":"稀有技能"}]</t>
  </si>
  <si>
    <t>[{"name":101,"count":3000000}]</t>
  </si>
  <si>
    <t>激光炮升星卡</t>
  </si>
  <si>
    <t>[{"name": 1162,"count":200}]</t>
  </si>
  <si>
    <t>[{"name":101,"count":3500000}]</t>
  </si>
  <si>
    <t>[{"name":101,"count":4000000}]</t>
  </si>
  <si>
    <t>魅影</t>
  </si>
  <si>
    <t>[{"name": 1167,"count":72}]</t>
  </si>
  <si>
    <t>[{"name":101,"count":5000000}]</t>
  </si>
  <si>
    <t>[{"name":101,"count":6000000}]</t>
  </si>
  <si>
    <t>[{"name":101,"count":2200000}]</t>
  </si>
  <si>
    <t>[{"name":101,"count":2500000}]</t>
  </si>
  <si>
    <t>230满减券</t>
  </si>
  <si>
    <t>[{"name": 13562,"count":1}]</t>
  </si>
  <si>
    <t>红宝石</t>
  </si>
  <si>
    <t>[{"name": 13543,"count":200}]</t>
  </si>
  <si>
    <t>暮刃</t>
  </si>
  <si>
    <t>[{"name": 1290,"count":72,"des":"技能双倍！"}]</t>
  </si>
  <si>
    <t>[{"name":101,"count":7000000}]</t>
  </si>
  <si>
    <t>xianlai.h5</t>
  </si>
  <si>
    <t>[{"name": 13543,"count":20}]</t>
  </si>
  <si>
    <t>[{"name": 13543,"count":100}]</t>
  </si>
  <si>
    <t>光辉</t>
  </si>
  <si>
    <t>[{"name": 1289,"count":72}]</t>
  </si>
  <si>
    <t>名称</t>
  </si>
  <si>
    <t>货币ID</t>
  </si>
  <si>
    <t>首位</t>
  </si>
  <si>
    <t>二位</t>
  </si>
  <si>
    <t>三位</t>
  </si>
  <si>
    <t>后2位</t>
  </si>
  <si>
    <t>鱼</t>
  </si>
  <si>
    <t>编号</t>
  </si>
  <si>
    <t>钻石</t>
  </si>
  <si>
    <t>武器</t>
  </si>
  <si>
    <t>奖券</t>
  </si>
  <si>
    <t>宝箱</t>
  </si>
  <si>
    <t>星级</t>
  </si>
  <si>
    <t>类别</t>
  </si>
  <si>
    <t>掉落</t>
  </si>
  <si>
    <t>技能</t>
  </si>
  <si>
    <t>任务</t>
  </si>
  <si>
    <t>所属房间</t>
  </si>
  <si>
    <t>礼包</t>
  </si>
  <si>
    <t>称号</t>
  </si>
  <si>
    <t>比赛*</t>
  </si>
  <si>
    <t>商品</t>
  </si>
  <si>
    <t>表情</t>
  </si>
  <si>
    <t>index</t>
  </si>
  <si>
    <t>fish_name</t>
  </si>
  <si>
    <t>fish_id</t>
  </si>
  <si>
    <t>fish_type</t>
  </si>
  <si>
    <t>item_id</t>
  </si>
  <si>
    <t>score</t>
  </si>
  <si>
    <t>min_count</t>
  </si>
  <si>
    <t>max_count</t>
  </si>
  <si>
    <t>probb1</t>
  </si>
  <si>
    <t>probb2</t>
  </si>
  <si>
    <t>fish_hp</t>
  </si>
  <si>
    <t>fish_value</t>
  </si>
  <si>
    <t>desc</t>
  </si>
  <si>
    <t>weaponId</t>
  </si>
  <si>
    <t>prizeWheel_val</t>
  </si>
  <si>
    <t>trigger_rate</t>
  </si>
  <si>
    <t>catch_value</t>
  </si>
  <si>
    <t>string</t>
  </si>
  <si>
    <t>float</t>
  </si>
  <si>
    <r>
      <rPr>
        <sz val="12"/>
        <color indexed="8"/>
        <rFont val="Verdana"/>
        <charset val="134"/>
      </rPr>
      <t>i</t>
    </r>
    <r>
      <rPr>
        <sz val="12"/>
        <color indexed="8"/>
        <rFont val="Verdana"/>
        <charset val="134"/>
      </rPr>
      <t>nt</t>
    </r>
  </si>
  <si>
    <t>鱼类型索引</t>
  </si>
  <si>
    <r>
      <rPr>
        <sz val="14"/>
        <color rgb="FF000000"/>
        <rFont val="华文宋体"/>
        <charset val="134"/>
      </rPr>
      <t>鱼名</t>
    </r>
    <r>
      <rPr>
        <sz val="14"/>
        <color rgb="FF000000"/>
        <rFont val="Tahoma"/>
        <charset val="134"/>
      </rPr>
      <t>ID</t>
    </r>
  </si>
  <si>
    <t>鱼种名</t>
  </si>
  <si>
    <t>鱼种ID</t>
  </si>
  <si>
    <t>鱼种类别</t>
  </si>
  <si>
    <t>捕获必掉道具ID</t>
  </si>
  <si>
    <t>分值</t>
  </si>
  <si>
    <t>掉落最小值</t>
  </si>
  <si>
    <t>掉落最大值</t>
  </si>
  <si>
    <t>无HP时概率基数</t>
  </si>
  <si>
    <t>有HP时概率基数</t>
  </si>
  <si>
    <t>生命</t>
  </si>
  <si>
    <t>实际价值</t>
  </si>
  <si>
    <t>描述</t>
  </si>
  <si>
    <t>武器Id</t>
  </si>
  <si>
    <t>积攒价值</t>
  </si>
  <si>
    <t>触发几率(10000)</t>
  </si>
  <si>
    <t>价值</t>
  </si>
  <si>
    <t>ID_CONFIG_FISH_NAME_11001</t>
  </si>
  <si>
    <t>小黄鱼</t>
  </si>
  <si>
    <t>ID_CONFIG_FISH_NAME_11002</t>
  </si>
  <si>
    <t>金枪鱼</t>
  </si>
  <si>
    <t>ID_CONFIG_FISH_NAME_11003</t>
  </si>
  <si>
    <t>小丑鱼</t>
  </si>
  <si>
    <t>ID_CONFIG_FISH_NAME_11004</t>
  </si>
  <si>
    <t>天使鱼</t>
  </si>
  <si>
    <t>ID_CONFIG_FISH_NAME_11005</t>
  </si>
  <si>
    <t>蓝藻鱼</t>
  </si>
  <si>
    <t>ID_CONFIG_FISH_NAME_11006</t>
  </si>
  <si>
    <t>红鹦鹉鱼</t>
  </si>
  <si>
    <t>ID_CONFIG_FISH_NAME_11007</t>
  </si>
  <si>
    <t>月光鱼</t>
  </si>
  <si>
    <t>ID_CONFIG_FISH_NAME_11008</t>
  </si>
  <si>
    <t>小飞鱼</t>
  </si>
  <si>
    <t>ID_CONFIG_FISH_NAME_11009</t>
  </si>
  <si>
    <t>孔雀鱼</t>
  </si>
  <si>
    <t>ID_CONFIG_FISH_NAME_11085</t>
  </si>
  <si>
    <t>红杉鱼</t>
  </si>
  <si>
    <t>ID_CONFIG_FISH_NAME_11086</t>
  </si>
  <si>
    <t>针鱼</t>
  </si>
  <si>
    <t>ID_CONFIG_FISH_NAME_11010</t>
  </si>
  <si>
    <t>海龟</t>
  </si>
  <si>
    <t>ID_CONFIG_FISH_NAME_11011</t>
  </si>
  <si>
    <t>河豚</t>
  </si>
  <si>
    <t>ID_CONFIG_FISH_NAME_11012</t>
  </si>
  <si>
    <t>水母</t>
  </si>
  <si>
    <t>ID_CONFIG_FISH_NAME_11013</t>
  </si>
  <si>
    <t>蝙蝠鱼</t>
  </si>
  <si>
    <t>ID_CONFIG_FISH_NAME_11014</t>
  </si>
  <si>
    <t>螃蟹</t>
  </si>
  <si>
    <t>ID_CONFIG_FISH_NAME_11087</t>
  </si>
  <si>
    <t>比目鱼</t>
  </si>
  <si>
    <t>ID_CONFIG_FISH_NAME_11015</t>
  </si>
  <si>
    <t>狮子鱼</t>
  </si>
  <si>
    <t>ID_CONFIG_FISH_NAME_11016</t>
  </si>
  <si>
    <t>灯笼鱼</t>
  </si>
  <si>
    <t>ID_CONFIG_FISH_NAME_11017</t>
  </si>
  <si>
    <t>剑鱼</t>
  </si>
  <si>
    <t>ID_CONFIG_FISH_NAME_11088</t>
  </si>
  <si>
    <t>松江鲈</t>
  </si>
  <si>
    <t>ID_CONFIG_FISH_NAME_11019</t>
  </si>
  <si>
    <t>亲嘴鱼</t>
  </si>
  <si>
    <t>ID_CONFIG_FISH_NAME_11018</t>
  </si>
  <si>
    <t>黄金龟</t>
  </si>
  <si>
    <t>ID_CONFIG_FISH_NAME_11092</t>
  </si>
  <si>
    <t>黄金水母</t>
  </si>
  <si>
    <t>ID_CONFIG_FISH_NAME_11020</t>
  </si>
  <si>
    <t>海豚</t>
  </si>
  <si>
    <t>ID_CONFIG_FISH_NAME_11089</t>
  </si>
  <si>
    <t>企鹅</t>
  </si>
  <si>
    <t>ID_CONFIG_FISH_NAME_11021</t>
  </si>
  <si>
    <t>金蝙蝠鱼</t>
  </si>
  <si>
    <t>ID_CONFIG_FISH_NAME_11022</t>
  </si>
  <si>
    <t>海豹</t>
  </si>
  <si>
    <t>ID_CONFIG_FISH_NAME_11023</t>
  </si>
  <si>
    <t>黄金蟹</t>
  </si>
  <si>
    <t>ID_CONFIG_FISH_NAME_11091</t>
  </si>
  <si>
    <t>河马</t>
  </si>
  <si>
    <t>ID_CONFIG_FISH_NAME_11024</t>
  </si>
  <si>
    <t>双髻鲨</t>
  </si>
  <si>
    <t>ID_CONFIG_FISH_NAME_11090</t>
  </si>
  <si>
    <t>鳄鱼</t>
  </si>
  <si>
    <t>ID_CONFIG_FISH_NAME_11025</t>
  </si>
  <si>
    <t>大白鲨</t>
  </si>
  <si>
    <t>ID_CONFIG_FISH_NAME_11026</t>
  </si>
  <si>
    <t>黄金双髻鲨</t>
  </si>
  <si>
    <t>ID_CONFIG_FISH_NAME_11093</t>
  </si>
  <si>
    <t>荧光红杉鱼</t>
  </si>
  <si>
    <t>ID_CONFIG_FISH_NAME_11094</t>
  </si>
  <si>
    <t>荧光针鱼</t>
  </si>
  <si>
    <t>ID_CONFIG_FISH_NAME_11095</t>
  </si>
  <si>
    <t>荧光比目鱼</t>
  </si>
  <si>
    <t>ID_CONFIG_FISH_NAME_11096</t>
  </si>
  <si>
    <t>荧光松江鲈</t>
  </si>
  <si>
    <t>ID_CONFIG_FISH_NAME_11097</t>
  </si>
  <si>
    <t>荧光企鹅</t>
  </si>
  <si>
    <t>ID_CONFIG_FISH_NAME_11098</t>
  </si>
  <si>
    <t>荧光鳄鱼</t>
  </si>
  <si>
    <t>ID_CONFIG_FISH_NAME_11099</t>
  </si>
  <si>
    <t>荧光河马</t>
  </si>
  <si>
    <t>ID_CONFIG_FISH_NAME_12027</t>
  </si>
  <si>
    <t>黄金白鲨</t>
  </si>
  <si>
    <t>ID_CONFIG_FISH_NAME_12028</t>
  </si>
  <si>
    <t>冰龙宝宝</t>
  </si>
  <si>
    <t>ID_CONFIG_FISH_NAME_12029</t>
  </si>
  <si>
    <t>美人鱼</t>
  </si>
  <si>
    <t>ID_CONFIG_FISH_NAME_12030</t>
  </si>
  <si>
    <t>海龙兽</t>
  </si>
  <si>
    <t>ID_CONFIG_FISH_NAME_12032</t>
  </si>
  <si>
    <t>章鱼王</t>
  </si>
  <si>
    <t>ID_CONFIG_FISH_NAME_25031</t>
  </si>
  <si>
    <t>小龙女</t>
  </si>
  <si>
    <t>加强美人鱼</t>
  </si>
  <si>
    <t>加强小龙女</t>
  </si>
  <si>
    <t>加强章鱼王</t>
  </si>
  <si>
    <t>倍率月光鱼</t>
  </si>
  <si>
    <t>倍率孔雀鱼</t>
  </si>
  <si>
    <t>倍率河豚</t>
  </si>
  <si>
    <t>倍率蝙蝠鱼</t>
  </si>
  <si>
    <t>倍率狮子鱼</t>
  </si>
  <si>
    <t>倍率灯笼鱼</t>
  </si>
  <si>
    <t>倍率剑鱼</t>
  </si>
  <si>
    <t>倍率亲嘴鱼</t>
  </si>
  <si>
    <t>倍率海豚</t>
  </si>
  <si>
    <t>倍率金蝙蝠鱼</t>
  </si>
  <si>
    <t>倍率海豹</t>
  </si>
  <si>
    <t>倍率黄金蟹</t>
  </si>
  <si>
    <t>倍率双髻鲨</t>
  </si>
  <si>
    <t>倍率大白鲨</t>
  </si>
  <si>
    <t>倍率红杉鱼</t>
  </si>
  <si>
    <t>倍率针鱼</t>
  </si>
  <si>
    <t>倍率比目鱼</t>
  </si>
  <si>
    <t>倍率松江鲈</t>
  </si>
  <si>
    <t>倍率企鹅</t>
  </si>
  <si>
    <t>倍率鳄鱼</t>
  </si>
  <si>
    <t>倍率河马</t>
  </si>
  <si>
    <t>ID_CONFIG_FISH_NAME_15033</t>
  </si>
  <si>
    <t>0.01奖券</t>
  </si>
  <si>
    <t>奖券x1</t>
  </si>
  <si>
    <t>ID_CONFIG_FISH_NAME_15034</t>
  </si>
  <si>
    <t>0.05奖券</t>
  </si>
  <si>
    <t>奖券x5</t>
  </si>
  <si>
    <t>ID_CONFIG_FISH_NAME_15035</t>
  </si>
  <si>
    <t>0.10奖券</t>
  </si>
  <si>
    <t>奖券x10</t>
  </si>
  <si>
    <t>ID_CONFIG_FISH_NAME_15036</t>
  </si>
  <si>
    <t>0.40奖券</t>
  </si>
  <si>
    <t>奖券x40</t>
  </si>
  <si>
    <t>ID_CONFIG_FISH_NAME_15037</t>
  </si>
  <si>
    <t>1.00奖券</t>
  </si>
  <si>
    <t>奖券x100</t>
  </si>
  <si>
    <t>ID_CONFIG_FISH_NAME_15038</t>
  </si>
  <si>
    <t>2.00奖券</t>
  </si>
  <si>
    <t>奖券x200</t>
  </si>
  <si>
    <t>ID_CONFIG_FISH_NAME_15039</t>
  </si>
  <si>
    <t>3.00奖券</t>
  </si>
  <si>
    <t>奖券x300</t>
  </si>
  <si>
    <t>ID_CONFIG_FISH_NAME_15055</t>
  </si>
  <si>
    <t>10.00奖券</t>
  </si>
  <si>
    <t>奖券x1000</t>
  </si>
  <si>
    <t>ID_CONFIG_FISH_NAME_15056</t>
  </si>
  <si>
    <t>20.00奖券</t>
  </si>
  <si>
    <t>奖券x2000</t>
  </si>
  <si>
    <t>ID_CONFIG_FISH_NAME_15057</t>
  </si>
  <si>
    <t>50.00奖券</t>
  </si>
  <si>
    <t>奖券x5000</t>
  </si>
  <si>
    <t>ID_CONFIG_FISH_NAME_15058</t>
  </si>
  <si>
    <t>100.00奖券</t>
  </si>
  <si>
    <t>奖券x10000</t>
  </si>
  <si>
    <t>ID_CONFIG_FISH_NAME_15081</t>
  </si>
  <si>
    <t>5.00奖券</t>
  </si>
  <si>
    <t>奖券x500</t>
  </si>
  <si>
    <t>ID_CONFIG_FISH_NAME_15082</t>
  </si>
  <si>
    <t>30.00奖券</t>
  </si>
  <si>
    <t>奖券x3000</t>
  </si>
  <si>
    <t>ID_CONFIG_FISH_NAME_16040</t>
  </si>
  <si>
    <t>炸弹鱼</t>
  </si>
  <si>
    <t>炸弹鱼v1</t>
  </si>
  <si>
    <t>炸弹鱼v2</t>
  </si>
  <si>
    <t>炸弹鱼v3</t>
  </si>
  <si>
    <t>炸弹鱼v4</t>
  </si>
  <si>
    <t>炸弹鱼v5</t>
  </si>
  <si>
    <t>炸弹鱼v6</t>
  </si>
  <si>
    <t>ID_CONFIG_FISH_NAME_22041</t>
  </si>
  <si>
    <t>冰锥</t>
  </si>
  <si>
    <t>ID_CONFIG_FISH_NAME_23042</t>
  </si>
  <si>
    <t>捕鱼机器人</t>
  </si>
  <si>
    <t>白银招财珠美人鱼</t>
  </si>
  <si>
    <t>白银招财珠冰龙</t>
  </si>
  <si>
    <t>白银招财珠海龙兽</t>
  </si>
  <si>
    <t>黄金招财珠海龙兽</t>
  </si>
  <si>
    <t>黄金招财珠小龙女</t>
  </si>
  <si>
    <t>黄金招财珠章鱼王</t>
  </si>
  <si>
    <t>加强黄金招财珠美人鱼</t>
  </si>
  <si>
    <t>ID_CONFIG_FISH_NAME_26043</t>
  </si>
  <si>
    <t>金币宝箱</t>
  </si>
  <si>
    <t>随机金币宝箱</t>
  </si>
  <si>
    <t>ID_CONFIG_FISH_NAME_27044</t>
  </si>
  <si>
    <t>1奖券</t>
  </si>
  <si>
    <t>1元微信红包</t>
  </si>
  <si>
    <t>ID_CONFIG_FISH_NAME_27080</t>
  </si>
  <si>
    <t>5奖券</t>
  </si>
  <si>
    <t>5元微信红包</t>
  </si>
  <si>
    <t>ID_CONFIG_FISH_NAME_27046</t>
  </si>
  <si>
    <t>10奖券</t>
  </si>
  <si>
    <t>10元微信红包</t>
  </si>
  <si>
    <t>ID_CONFIG_FISH_NAME_27047</t>
  </si>
  <si>
    <t>20奖券</t>
  </si>
  <si>
    <t>20元微信红包</t>
  </si>
  <si>
    <t>ID_CONFIG_FISH_NAME_27048</t>
  </si>
  <si>
    <t>50奖券</t>
  </si>
  <si>
    <t>50元微信红包</t>
  </si>
  <si>
    <t>ID_CONFIG_FISH_NAME_27049</t>
  </si>
  <si>
    <t>100奖券</t>
  </si>
  <si>
    <t>100元微信红包</t>
  </si>
  <si>
    <t>ID_CONFIG_FISH_NAME_28050</t>
  </si>
  <si>
    <t>海螺x1</t>
  </si>
  <si>
    <t>ID_CONFIG_FISH_NAME_28051</t>
  </si>
  <si>
    <t>海螺x3</t>
  </si>
  <si>
    <t>ID_CONFIG_FISH_NAME_28052</t>
  </si>
  <si>
    <t>海螺x10</t>
  </si>
  <si>
    <t>ID_CONFIG_FISH_NAME_28053</t>
  </si>
  <si>
    <t>海螺x30</t>
  </si>
  <si>
    <t>ID_CONFIG_FISH_NAME_28070</t>
  </si>
  <si>
    <t>海螺x100</t>
  </si>
  <si>
    <t>ID_CONFIG_FISH_NAME_28071</t>
  </si>
  <si>
    <t>海螺x300</t>
  </si>
  <si>
    <t>ID_CONFIG_FISH_NAME_28072</t>
  </si>
  <si>
    <t>海螺x400</t>
  </si>
  <si>
    <t>ID_CONFIG_FISH_NAME_28073</t>
  </si>
  <si>
    <t>海螺x1000</t>
  </si>
  <si>
    <t>ID_CONFIG_FISH_NAME_29054</t>
  </si>
  <si>
    <t>随机奖品</t>
  </si>
  <si>
    <t>随机奖品鱼-场次1</t>
  </si>
  <si>
    <t>随机奖品鱼-场次2</t>
  </si>
  <si>
    <t>随机奖品鱼-场次3</t>
  </si>
  <si>
    <t>随机奖品鱼-场次4</t>
  </si>
  <si>
    <t>ID_CONFIG_FISH_NAME_30059</t>
  </si>
  <si>
    <t>10元话费卡</t>
  </si>
  <si>
    <t>话费x10</t>
  </si>
  <si>
    <t>ID_CONFIG_FISH_NAME_30060</t>
  </si>
  <si>
    <t>30元话费卡</t>
  </si>
  <si>
    <t>话费x30</t>
  </si>
  <si>
    <t>ID_CONFIG_FISH_NAME_30061</t>
  </si>
  <si>
    <t>100元话费卡</t>
  </si>
  <si>
    <t>话费x100</t>
  </si>
  <si>
    <t>ID_CONFIG_FISH_NAME_31062</t>
  </si>
  <si>
    <t>100元京东卡</t>
  </si>
  <si>
    <t>京东卡x100</t>
  </si>
  <si>
    <t>ID_CONFIG_FISH_NAME_32063</t>
  </si>
  <si>
    <t>海星x1</t>
  </si>
  <si>
    <t>ID_CONFIG_FISH_NAME_32064</t>
  </si>
  <si>
    <t>海星x5</t>
  </si>
  <si>
    <t>ID_CONFIG_FISH_NAME_32065</t>
  </si>
  <si>
    <t>海星x20</t>
  </si>
  <si>
    <t>ID_CONFIG_FISH_NAME_32066</t>
  </si>
  <si>
    <t>海星x50</t>
  </si>
  <si>
    <t>ID_CONFIG_FISH_NAME_33074</t>
  </si>
  <si>
    <t>金钱鱼</t>
  </si>
  <si>
    <t>招财模式金钱鱼</t>
  </si>
  <si>
    <t>ID_CONFIG_FISH_NAME_33075</t>
  </si>
  <si>
    <t>绿鳍鱼</t>
  </si>
  <si>
    <t>招财模式绿鳍鱼</t>
  </si>
  <si>
    <t>ID_CONFIG_FISH_NAME_33076</t>
  </si>
  <si>
    <t>鸭嘴兽</t>
  </si>
  <si>
    <t>招财模式鸭嘴兽</t>
  </si>
  <si>
    <t>ID_CONFIG_FISH_NAME_34077</t>
  </si>
  <si>
    <t>黄金海马</t>
  </si>
  <si>
    <t>招财模式黄金海马(倍率鱼)</t>
  </si>
  <si>
    <t>ID_CONFIG_FISH_NAME_35027</t>
  </si>
  <si>
    <t>青铜招财珠黄金白鲨</t>
  </si>
  <si>
    <t>青铜招财珠海龙兽</t>
  </si>
  <si>
    <t>青铜招财珠小龙女</t>
  </si>
  <si>
    <t>招财模式小龙女(Boss)</t>
  </si>
  <si>
    <t>ID_CONFIG_FISH_NAME_36078</t>
  </si>
  <si>
    <t>海妖</t>
  </si>
  <si>
    <t>招财模式海妖(Boss)</t>
  </si>
  <si>
    <t>ID_CONFIG_FISH_NAME_37083</t>
  </si>
  <si>
    <t>Buff鱼</t>
  </si>
  <si>
    <t>[10000,10002]</t>
  </si>
  <si>
    <t>[10000,10001]</t>
  </si>
  <si>
    <t>荧光鱼河马</t>
  </si>
  <si>
    <t>加强黄金招财珠小龙女</t>
  </si>
  <si>
    <t>加强黄金招财珠章鱼王</t>
  </si>
  <si>
    <t>随机奖品鱼-场次5</t>
  </si>
  <si>
    <t>ID_CONFIG_FISH_NAME_50101</t>
  </si>
  <si>
    <t>随机分享宝箱鱼</t>
  </si>
  <si>
    <t>ID_CONFIG_FISH_NAME_55102</t>
  </si>
  <si>
    <t>彩虹小丑鱼</t>
  </si>
  <si>
    <t>彩虹小丑鱼1</t>
  </si>
  <si>
    <t>彩虹小丑鱼2</t>
  </si>
  <si>
    <t>ID_CONFIG_FISH_NAME_55103</t>
  </si>
  <si>
    <t>彩虹月光鱼</t>
  </si>
  <si>
    <t>彩虹月光鱼1</t>
  </si>
  <si>
    <t>彩虹月光鱼2</t>
  </si>
  <si>
    <t>ID_CONFIG_FISH_NAME_56104</t>
  </si>
  <si>
    <t>彩虹孔雀鱼</t>
  </si>
  <si>
    <t>彩虹孔雀鱼1</t>
  </si>
  <si>
    <t>彩虹孔雀鱼2</t>
  </si>
  <si>
    <t>ID_CONFIG_FISH_NAME_55105</t>
  </si>
  <si>
    <t>彩虹海龟</t>
  </si>
  <si>
    <t>彩虹海龟1</t>
  </si>
  <si>
    <t>彩虹海龟2</t>
  </si>
  <si>
    <t>ID_CONFIG_FISH_NAME_55106</t>
  </si>
  <si>
    <t>彩虹狮子鱼</t>
  </si>
  <si>
    <t>彩虹狮子鱼1</t>
  </si>
  <si>
    <t>彩虹狮子鱼2</t>
  </si>
  <si>
    <t>ID_CONFIG_FISH_NAME_55107</t>
  </si>
  <si>
    <t>彩虹金蝙蝠鱼</t>
  </si>
  <si>
    <t>彩虹金蝙蝠鱼1</t>
  </si>
  <si>
    <t>彩虹金蝙蝠鱼2</t>
  </si>
  <si>
    <t>ID_CONFIG_FISH_NAME_55108</t>
  </si>
  <si>
    <t>彩虹双髻鲨</t>
  </si>
  <si>
    <t>彩虹双髻鲨1</t>
  </si>
  <si>
    <t>彩虹双髻鲨2</t>
  </si>
  <si>
    <t>新手场章鱼王</t>
  </si>
  <si>
    <t>ID_CONFIG_FISH_NAME_58109</t>
  </si>
  <si>
    <t>分享宝箱鱼</t>
  </si>
  <si>
    <t>1倍场分享宝箱鱼</t>
  </si>
  <si>
    <t>10倍场分享宝箱鱼</t>
  </si>
  <si>
    <t>50倍场分享宝箱鱼</t>
  </si>
  <si>
    <t>200倍场分享宝箱鱼</t>
  </si>
  <si>
    <t>500倍场分享宝箱鱼</t>
  </si>
  <si>
    <t>分享奖券鱼</t>
  </si>
  <si>
    <t>全渔场分享奖券鱼奖券x10</t>
  </si>
  <si>
    <t>ID_CONFIG_FISH_NAME_15115</t>
  </si>
  <si>
    <t>0.20奖券</t>
  </si>
  <si>
    <t>奖券x20</t>
  </si>
  <si>
    <t>ID_CONFIG_FISH_NAME_28116</t>
  </si>
  <si>
    <t>海螺x800</t>
  </si>
  <si>
    <t>ID_CONFIG_FISH_NAME_28117</t>
  </si>
  <si>
    <t>海螺x3000</t>
  </si>
  <si>
    <t>ID_CONFIG_FISH_NAME_60118</t>
  </si>
  <si>
    <t>电鳗</t>
  </si>
  <si>
    <t>电鳗1</t>
  </si>
  <si>
    <t>电鳗2</t>
  </si>
  <si>
    <t>电鳗3</t>
  </si>
  <si>
    <t>电鳗4</t>
  </si>
  <si>
    <t>电鳗5</t>
  </si>
  <si>
    <t>ID_CONFIG_FISH_NAME_65119</t>
  </si>
  <si>
    <t>钻头鱼</t>
  </si>
  <si>
    <t>钻头1</t>
  </si>
  <si>
    <t>钻头2</t>
  </si>
  <si>
    <t>钻头3</t>
  </si>
  <si>
    <t>钻头4</t>
  </si>
  <si>
    <t>钻头5</t>
  </si>
  <si>
    <t>青铜招财珠冰龙宝宝</t>
  </si>
  <si>
    <t>ID_CONFIG_FISH_NAME_55120</t>
  </si>
  <si>
    <t>彩虹红杉鱼</t>
  </si>
  <si>
    <t>彩虹红杉鱼1</t>
  </si>
  <si>
    <t>彩虹红杉鱼2</t>
  </si>
  <si>
    <t>ID_CONFIG_FISH_NAME_55121</t>
  </si>
  <si>
    <t>彩虹针鱼</t>
  </si>
  <si>
    <t>彩虹针鱼1</t>
  </si>
  <si>
    <t>彩虹针鱼2</t>
  </si>
  <si>
    <t>ID_CONFIG_FISH_NAME_70122</t>
  </si>
  <si>
    <t>波塞冬</t>
  </si>
  <si>
    <t>海皇来袭模式波塞冬</t>
  </si>
  <si>
    <t>ID_CONFIG_FISH_NAME_71201</t>
  </si>
  <si>
    <t>宝箱宝宝</t>
  </si>
  <si>
    <t>超级BOSS</t>
  </si>
  <si>
    <t>ID_CONFIG_FISH_NAME_71202</t>
  </si>
  <si>
    <t>宝箱妈妈</t>
  </si>
  <si>
    <t>ID_CONFIG_FISH_NAME_71203</t>
  </si>
  <si>
    <t>宝箱爸爸</t>
  </si>
  <si>
    <t>ID_CONFIG_FISH_NAME_73204</t>
  </si>
  <si>
    <t>章鱼腿</t>
  </si>
  <si>
    <t>ID_CONFIG_FISH_NAME_73205</t>
  </si>
  <si>
    <t xml:space="preserve">章鱼腿&amp;钻戒 </t>
  </si>
  <si>
    <t>ID_CONFIG_FISH_NAME_73206</t>
  </si>
  <si>
    <t>章鱼腿&amp;皇冠</t>
  </si>
  <si>
    <t>ID_CONFIG_FISH_NAME_74207</t>
  </si>
  <si>
    <t>龙女王</t>
  </si>
  <si>
    <t>ID_CONFIG_FISH_NAME_75208</t>
  </si>
  <si>
    <t>大冰龙</t>
  </si>
  <si>
    <t>ID_CONFIG_FISH_NAME_75209</t>
  </si>
  <si>
    <t>龙蛋</t>
  </si>
  <si>
    <t>ID_CONFIG_FISH_NAME_75210</t>
  </si>
  <si>
    <t>小龙</t>
  </si>
  <si>
    <t>ID_CONFIG_FISH_NAME_11211</t>
  </si>
  <si>
    <t>骷髅鲨</t>
  </si>
  <si>
    <t>ID_CONFIG_FISH_NAME_11212</t>
  </si>
  <si>
    <t>黄金鲨鱼</t>
  </si>
  <si>
    <t>ID_CONFIG_FISH_NAME_12213</t>
  </si>
  <si>
    <t>独角鲸</t>
  </si>
  <si>
    <t>ID_CONFIG_FISH_NAME_11214</t>
  </si>
  <si>
    <t>金河豚</t>
  </si>
  <si>
    <r>
      <rPr>
        <sz val="14"/>
        <color rgb="FF000000"/>
        <rFont val="Tahoma"/>
        <charset val="134"/>
      </rPr>
      <t>0.05</t>
    </r>
    <r>
      <rPr>
        <sz val="14"/>
        <color rgb="FF000000"/>
        <rFont val="宋体"/>
        <charset val="134"/>
      </rPr>
      <t>奖券</t>
    </r>
  </si>
  <si>
    <t>新手场红包券</t>
  </si>
  <si>
    <r>
      <rPr>
        <sz val="14"/>
        <color rgb="FF000000"/>
        <rFont val="Tahoma"/>
        <charset val="134"/>
      </rPr>
      <t>0.1</t>
    </r>
    <r>
      <rPr>
        <sz val="14"/>
        <color rgb="FF000000"/>
        <rFont val="宋体"/>
        <charset val="134"/>
      </rPr>
      <t>奖券</t>
    </r>
  </si>
  <si>
    <r>
      <rPr>
        <sz val="14"/>
        <color rgb="FF000000"/>
        <rFont val="Tahoma"/>
        <charset val="134"/>
      </rPr>
      <t>10</t>
    </r>
    <r>
      <rPr>
        <sz val="14"/>
        <color rgb="FF000000"/>
        <rFont val="宋体"/>
        <charset val="134"/>
      </rPr>
      <t>倍场红包券</t>
    </r>
  </si>
  <si>
    <r>
      <rPr>
        <sz val="14"/>
        <color rgb="FF000000"/>
        <rFont val="Tahoma"/>
        <charset val="134"/>
      </rPr>
      <t>0.4</t>
    </r>
    <r>
      <rPr>
        <sz val="14"/>
        <color rgb="FF000000"/>
        <rFont val="宋体"/>
        <charset val="134"/>
      </rPr>
      <t>奖券</t>
    </r>
  </si>
  <si>
    <r>
      <rPr>
        <sz val="14"/>
        <color rgb="FF000000"/>
        <rFont val="Tahoma"/>
        <charset val="134"/>
      </rPr>
      <t>50</t>
    </r>
    <r>
      <rPr>
        <sz val="14"/>
        <color rgb="FF000000"/>
        <rFont val="宋体"/>
        <charset val="134"/>
      </rPr>
      <t>倍场红包券</t>
    </r>
  </si>
  <si>
    <r>
      <rPr>
        <sz val="14"/>
        <color rgb="FF000000"/>
        <rFont val="Tahoma"/>
        <charset val="134"/>
      </rPr>
      <t>1</t>
    </r>
    <r>
      <rPr>
        <sz val="14"/>
        <color rgb="FF000000"/>
        <rFont val="宋体"/>
        <charset val="134"/>
      </rPr>
      <t>奖券</t>
    </r>
  </si>
  <si>
    <r>
      <rPr>
        <sz val="14"/>
        <color rgb="FF000000"/>
        <rFont val="Tahoma"/>
        <charset val="134"/>
      </rPr>
      <t>200</t>
    </r>
    <r>
      <rPr>
        <sz val="14"/>
        <color rgb="FF000000"/>
        <rFont val="宋体"/>
        <charset val="134"/>
      </rPr>
      <t>倍场红包券</t>
    </r>
  </si>
  <si>
    <t>白银招财珠章鱼王(召唤券)</t>
  </si>
  <si>
    <t>黄金招财珠美人鱼(召唤券)</t>
  </si>
  <si>
    <t>skill_name</t>
  </si>
  <si>
    <t>skill_id</t>
  </si>
  <si>
    <t>skill_level</t>
  </si>
  <si>
    <t>cost</t>
  </si>
  <si>
    <t>power</t>
  </si>
  <si>
    <t>HP</t>
  </si>
  <si>
    <t>impale</t>
  </si>
  <si>
    <t>bullet</t>
  </si>
  <si>
    <t>interval</t>
  </si>
  <si>
    <t>duration</t>
  </si>
  <si>
    <t>cool_down</t>
  </si>
  <si>
    <t>weapon_id</t>
  </si>
  <si>
    <t>double</t>
  </si>
  <si>
    <t>isReturn</t>
  </si>
  <si>
    <t>技能名</t>
  </si>
  <si>
    <t>技能ID</t>
  </si>
  <si>
    <t>技能等级</t>
  </si>
  <si>
    <t>消耗子弹</t>
  </si>
  <si>
    <t>单发威力</t>
  </si>
  <si>
    <t>贯穿力</t>
  </si>
  <si>
    <t>技能子弹数</t>
  </si>
  <si>
    <t>每发间隔时间</t>
  </si>
  <si>
    <t>效果时间</t>
  </si>
  <si>
    <t>冷却时间</t>
  </si>
  <si>
    <t>对应武器</t>
  </si>
  <si>
    <t>双倍皮肤炮ID</t>
  </si>
  <si>
    <t>打空是否返还子弹</t>
  </si>
  <si>
    <t>合金飞弹</t>
  </si>
  <si>
    <t>[1290]</t>
  </si>
  <si>
    <t>火蛇加农炮</t>
  </si>
  <si>
    <t>榴弹炮</t>
  </si>
  <si>
    <t>汇能弹</t>
  </si>
  <si>
    <t>激光炮</t>
  </si>
  <si>
    <t>猎鱼机甲</t>
  </si>
  <si>
    <t>格林机关枪</t>
  </si>
  <si>
    <t>ability_type</t>
  </si>
  <si>
    <t>value_type</t>
  </si>
  <si>
    <t>value</t>
  </si>
  <si>
    <t>技能星级</t>
  </si>
  <si>
    <t>提升能力类型</t>
  </si>
  <si>
    <t>数值类型</t>
  </si>
  <si>
    <t>数值</t>
  </si>
  <si>
    <t>skill_ability_type</t>
  </si>
  <si>
    <t>skill_ability_desc</t>
  </si>
  <si>
    <t>技能能力类型</t>
  </si>
  <si>
    <t>技能能力描述</t>
  </si>
  <si>
    <t>冷却时间减少[var]秒</t>
  </si>
  <si>
    <t>威力提高[var]%</t>
  </si>
  <si>
    <t>使召唤出的鱼在[var]秒内无法被其他玩家捕获</t>
  </si>
  <si>
    <t>无法被其他玩家捕获的时间增加[var]秒</t>
  </si>
  <si>
    <t>产生冰锥的数量增加[var]</t>
  </si>
  <si>
    <t>子弹总数量增加[var]发</t>
  </si>
  <si>
    <t>机器人耐久提高[var]%</t>
  </si>
  <si>
    <t>提高对远距离鱼的威力</t>
  </si>
  <si>
    <t>冰锥HP在[var]%以上受到致命伤害时HP最低为1</t>
  </si>
  <si>
    <t>被贯穿的鱼必被捕获</t>
  </si>
  <si>
    <t>爆炸范围变大[var]%</t>
  </si>
  <si>
    <t>子弹飞行时间减少[var]%</t>
  </si>
  <si>
    <t>喷射距离提升[var]%</t>
  </si>
  <si>
    <t>连续发炮的时间间隔减少[var]%</t>
  </si>
  <si>
    <t>冻结范围变大[var]%</t>
  </si>
  <si>
    <t>提高[var]%炮弹飞行速度</t>
  </si>
  <si>
    <t>反弹次数增加[var]次</t>
  </si>
  <si>
    <t>有效范围变大[var]%</t>
  </si>
  <si>
    <t>魔法球的飞行速度提高[var]%</t>
  </si>
  <si>
    <t>激光炮范围变宽[var]%</t>
  </si>
  <si>
    <t>蓄力时间减少[var]%</t>
  </si>
  <si>
    <t xml:space="preserve"> 机器人射出的子弹可反弹[var]次</t>
  </si>
  <si>
    <t>机器人射出的子弹速度提高[var]%</t>
  </si>
  <si>
    <t>机器人自爆时的范围增加[var]%</t>
  </si>
  <si>
    <t>每天可在最高[var]倍下免费使用1次</t>
  </si>
  <si>
    <t>mode</t>
  </si>
  <si>
    <t>currencyList</t>
  </si>
  <si>
    <t>id</t>
  </si>
  <si>
    <t>exchangeTimes</t>
  </si>
  <si>
    <t>costTypeCount</t>
  </si>
  <si>
    <t>costItem1</t>
  </si>
  <si>
    <t>costItem3</t>
  </si>
  <si>
    <t>listCount</t>
  </si>
  <si>
    <t>gainItem1</t>
  </si>
  <si>
    <t>gainItem2</t>
  </si>
  <si>
    <t>gainItem3</t>
  </si>
  <si>
    <t>gainItem4</t>
  </si>
  <si>
    <t>gainItem5</t>
  </si>
  <si>
    <t>gainItem6</t>
  </si>
  <si>
    <t>金币0/金环1</t>
  </si>
  <si>
    <t>货币列表</t>
  </si>
  <si>
    <t>兑换的唯一标识</t>
  </si>
  <si>
    <t>兑换次数</t>
  </si>
  <si>
    <t>消耗类型数量</t>
  </si>
  <si>
    <t>消耗物品</t>
  </si>
  <si>
    <t>兑换列表数量</t>
  </si>
  <si>
    <t>兑换物品</t>
  </si>
  <si>
    <t>box</t>
  </si>
  <si>
    <t>[101, 1402]</t>
  </si>
  <si>
    <t>{"name":1402, "count": 12}</t>
  </si>
  <si>
    <r>
      <rPr>
        <sz val="12"/>
        <color rgb="FF000000"/>
        <rFont val="Verdana"/>
        <charset val="134"/>
      </rPr>
      <t>{"name":101, "minCount": 10000</t>
    </r>
    <r>
      <rPr>
        <b/>
        <sz val="12"/>
        <color rgb="FF000000"/>
        <rFont val="Verdana"/>
        <charset val="134"/>
      </rPr>
      <t>, "maxCount": 10000</t>
    </r>
    <r>
      <rPr>
        <sz val="12"/>
        <color rgb="FF000000"/>
        <rFont val="Verdana"/>
        <charset val="134"/>
      </rPr>
      <t>}</t>
    </r>
  </si>
  <si>
    <t>octopus</t>
  </si>
  <si>
    <t>{"name":1402, "count": 35}</t>
  </si>
  <si>
    <r>
      <rPr>
        <sz val="12"/>
        <color rgb="FF000000"/>
        <rFont val="Verdana"/>
        <charset val="134"/>
      </rPr>
      <t>{"name":101, "minCount": 30000</t>
    </r>
    <r>
      <rPr>
        <b/>
        <sz val="12"/>
        <color rgb="FF000000"/>
        <rFont val="Verdana"/>
        <charset val="134"/>
      </rPr>
      <t>, "maxCount": 30000</t>
    </r>
    <r>
      <rPr>
        <sz val="12"/>
        <color rgb="FF000000"/>
        <rFont val="Verdana"/>
        <charset val="134"/>
      </rPr>
      <t>}</t>
    </r>
  </si>
  <si>
    <t>queen</t>
  </si>
  <si>
    <t>[101, 13761]</t>
  </si>
  <si>
    <t>{"name":1402, "count": 115}</t>
  </si>
  <si>
    <r>
      <rPr>
        <sz val="12"/>
        <color rgb="FF000000"/>
        <rFont val="Verdana"/>
        <charset val="134"/>
      </rPr>
      <t>{"name":101, "minCount": 100000</t>
    </r>
    <r>
      <rPr>
        <b/>
        <sz val="12"/>
        <color rgb="FF000000"/>
        <rFont val="Verdana"/>
        <charset val="134"/>
      </rPr>
      <t>, "maxCount": 100000</t>
    </r>
    <r>
      <rPr>
        <sz val="12"/>
        <color rgb="FF000000"/>
        <rFont val="Verdana"/>
        <charset val="134"/>
      </rPr>
      <t>}</t>
    </r>
  </si>
  <si>
    <t>{"name":1402, "count": 230}</t>
  </si>
  <si>
    <r>
      <rPr>
        <sz val="12"/>
        <color rgb="FF000000"/>
        <rFont val="Verdana"/>
        <charset val="134"/>
      </rPr>
      <t>{"name":101, "minCount": 200000</t>
    </r>
    <r>
      <rPr>
        <b/>
        <sz val="12"/>
        <color rgb="FF000000"/>
        <rFont val="Verdana"/>
        <charset val="134"/>
      </rPr>
      <t>, "maxCount": 200000</t>
    </r>
    <r>
      <rPr>
        <sz val="12"/>
        <color rgb="FF000000"/>
        <rFont val="Verdana"/>
        <charset val="134"/>
      </rPr>
      <t>}</t>
    </r>
  </si>
  <si>
    <t>{"name":1402, "count": 500}</t>
  </si>
  <si>
    <r>
      <rPr>
        <sz val="12"/>
        <color rgb="FF000000"/>
        <rFont val="Verdana"/>
        <charset val="134"/>
      </rPr>
      <t>{"name":101, "minCount": 500000</t>
    </r>
    <r>
      <rPr>
        <b/>
        <sz val="12"/>
        <color rgb="FF000000"/>
        <rFont val="Verdana"/>
        <charset val="134"/>
      </rPr>
      <t>, "maxCount": 500000</t>
    </r>
    <r>
      <rPr>
        <sz val="12"/>
        <color rgb="FF000000"/>
        <rFont val="Verdana"/>
        <charset val="134"/>
      </rPr>
      <t>}</t>
    </r>
  </si>
  <si>
    <t>{"name":1402, "count": 2500}</t>
  </si>
  <si>
    <r>
      <rPr>
        <sz val="12"/>
        <color rgb="FF000000"/>
        <rFont val="Verdana"/>
        <charset val="134"/>
      </rPr>
      <t>{"name":1194, "minCount": 5</t>
    </r>
    <r>
      <rPr>
        <b/>
        <sz val="12"/>
        <color rgb="FF000000"/>
        <rFont val="Verdana"/>
        <charset val="134"/>
      </rPr>
      <t>, "maxCount": 5</t>
    </r>
    <r>
      <rPr>
        <sz val="12"/>
        <color rgb="FF000000"/>
        <rFont val="Verdana"/>
        <charset val="134"/>
      </rPr>
      <t>}</t>
    </r>
  </si>
  <si>
    <r>
      <rPr>
        <sz val="12"/>
        <color rgb="FF000000"/>
        <rFont val="Verdana"/>
        <charset val="134"/>
      </rPr>
      <t>{"name":101, "minCount": 0</t>
    </r>
    <r>
      <rPr>
        <b/>
        <sz val="12"/>
        <color rgb="FF000000"/>
        <rFont val="Verdana"/>
        <charset val="134"/>
      </rPr>
      <t>, "maxCount": 20000</t>
    </r>
    <r>
      <rPr>
        <sz val="12"/>
        <color rgb="FF000000"/>
        <rFont val="Verdana"/>
        <charset val="134"/>
      </rPr>
      <t>}</t>
    </r>
  </si>
  <si>
    <r>
      <rPr>
        <sz val="12"/>
        <color rgb="FF000000"/>
        <rFont val="Verdana"/>
        <charset val="134"/>
      </rPr>
      <t>{"name":101, "minCount": 0</t>
    </r>
    <r>
      <rPr>
        <b/>
        <sz val="12"/>
        <color rgb="FF000000"/>
        <rFont val="Verdana"/>
        <charset val="134"/>
      </rPr>
      <t>, "maxCount": 60000</t>
    </r>
    <r>
      <rPr>
        <sz val="12"/>
        <color rgb="FF000000"/>
        <rFont val="Verdana"/>
        <charset val="134"/>
      </rPr>
      <t>}</t>
    </r>
  </si>
  <si>
    <r>
      <rPr>
        <sz val="12"/>
        <color rgb="FF000000"/>
        <rFont val="Verdana"/>
        <charset val="134"/>
      </rPr>
      <t>{"name":101, "minCount": 0</t>
    </r>
    <r>
      <rPr>
        <b/>
        <sz val="12"/>
        <color rgb="FF000000"/>
        <rFont val="Verdana"/>
        <charset val="134"/>
      </rPr>
      <t>, "maxCount": 200000</t>
    </r>
    <r>
      <rPr>
        <sz val="12"/>
        <color rgb="FF000000"/>
        <rFont val="Verdana"/>
        <charset val="134"/>
      </rPr>
      <t>}</t>
    </r>
  </si>
  <si>
    <r>
      <rPr>
        <sz val="12"/>
        <color rgb="FF000000"/>
        <rFont val="Verdana"/>
        <charset val="134"/>
      </rPr>
      <t>{"name":101, "minCount": 0</t>
    </r>
    <r>
      <rPr>
        <b/>
        <sz val="12"/>
        <color rgb="FF000000"/>
        <rFont val="Verdana"/>
        <charset val="134"/>
      </rPr>
      <t>, "maxCount": 400000</t>
    </r>
    <r>
      <rPr>
        <sz val="12"/>
        <color rgb="FF000000"/>
        <rFont val="Verdana"/>
        <charset val="134"/>
      </rPr>
      <t>}</t>
    </r>
  </si>
  <si>
    <r>
      <rPr>
        <sz val="12"/>
        <color rgb="FF000000"/>
        <rFont val="Verdana"/>
        <charset val="134"/>
      </rPr>
      <t>{"name":101, "minCount": 0</t>
    </r>
    <r>
      <rPr>
        <b/>
        <sz val="12"/>
        <color rgb="FF000000"/>
        <rFont val="Verdana"/>
        <charset val="134"/>
      </rPr>
      <t>, "maxCount": 1000000</t>
    </r>
    <r>
      <rPr>
        <sz val="12"/>
        <color rgb="FF000000"/>
        <rFont val="Verdana"/>
        <charset val="134"/>
      </rPr>
      <t>}</t>
    </r>
  </si>
  <si>
    <r>
      <rPr>
        <sz val="12"/>
        <color rgb="FF000000"/>
        <rFont val="Verdana"/>
        <charset val="134"/>
      </rPr>
      <t>{"name":1194, "minCount": 0</t>
    </r>
    <r>
      <rPr>
        <b/>
        <sz val="12"/>
        <color rgb="FF000000"/>
        <rFont val="Verdana"/>
        <charset val="134"/>
      </rPr>
      <t>, "maxCount": 10</t>
    </r>
    <r>
      <rPr>
        <sz val="12"/>
        <color rgb="FF000000"/>
        <rFont val="Verdana"/>
        <charset val="134"/>
      </rPr>
      <t>}</t>
    </r>
  </si>
  <si>
    <t>{"name":13758, "count": 1}</t>
  </si>
  <si>
    <t>{"name":13759, "count": 2}</t>
  </si>
  <si>
    <t>{"name":13760, "count": 3}</t>
  </si>
  <si>
    <t>{"name":13764, "count": 2}</t>
  </si>
  <si>
    <t>{"name":13765, "count": 10}</t>
  </si>
  <si>
    <t>{"name":14114, "count": 5}</t>
  </si>
  <si>
    <t>{"name":14114, "count": 2}</t>
  </si>
  <si>
    <t>{"name":13761, "count": 1}</t>
  </si>
  <si>
    <t>{"name":13761, "count": 2}</t>
  </si>
  <si>
    <t>{"name":13761, "count": 3}</t>
  </si>
  <si>
    <t>{"name":13761, "count": 4}</t>
  </si>
  <si>
    <t>{"name":13761, "count": 5}</t>
  </si>
  <si>
    <t>{"name":13761, "count": 6}</t>
  </si>
  <si>
    <t>{"name":13761, "count": 7}</t>
  </si>
  <si>
    <t>maxTimes</t>
  </si>
  <si>
    <t>costItem</t>
  </si>
  <si>
    <t>rewardItem</t>
  </si>
  <si>
    <t>最大次数</t>
  </si>
  <si>
    <t>[{"name":1402, "count": 2}]</t>
  </si>
  <si>
    <r>
      <rPr>
        <sz val="12"/>
        <color rgb="FF000000"/>
        <rFont val="Verdana"/>
        <charset val="134"/>
      </rPr>
      <t>[{"name":101, "count": 10000, "probb": 100}</t>
    </r>
    <r>
      <rPr>
        <sz val="12"/>
        <color rgb="FF000000"/>
        <rFont val="华文宋体"/>
        <charset val="134"/>
      </rPr>
      <t>,</t>
    </r>
    <r>
      <rPr>
        <sz val="12"/>
        <color rgb="FF000000"/>
        <rFont val="Verdana"/>
        <charset val="134"/>
      </rPr>
      <t xml:space="preserve"> {"name":101, "count": 20000, "probb": 100}</t>
    </r>
    <r>
      <rPr>
        <sz val="12"/>
        <color rgb="FF000000"/>
        <rFont val="华文宋体"/>
        <charset val="134"/>
      </rPr>
      <t>,</t>
    </r>
    <r>
      <rPr>
        <sz val="12"/>
        <color rgb="FF000000"/>
        <rFont val="Verdana"/>
        <charset val="134"/>
      </rPr>
      <t xml:space="preserve"> {"name":101, "count": 30000, "probb": 100}]</t>
    </r>
  </si>
  <si>
    <t>[{"name":1402, "count": 4}]</t>
  </si>
  <si>
    <t>[{"name":1402, "count": 6}]</t>
  </si>
  <si>
    <t>[{"name":1402, "count": 8}]</t>
  </si>
  <si>
    <t>[{"name":1402, "count": 10}]</t>
  </si>
  <si>
    <t>[{"name":1402, "count": 12}]</t>
  </si>
  <si>
    <t>[{"name":13758, "count": 1}]</t>
  </si>
  <si>
    <r>
      <rPr>
        <sz val="12"/>
        <color rgb="FF000000"/>
        <rFont val="Verdana"/>
        <charset val="134"/>
      </rPr>
      <t>[{"name":101, "count": 10000, "probb": 100}</t>
    </r>
    <r>
      <rPr>
        <sz val="12"/>
        <color rgb="FF000000"/>
        <rFont val="华文宋体"/>
        <charset val="134"/>
      </rPr>
      <t>,</t>
    </r>
    <r>
      <rPr>
        <sz val="12"/>
        <color rgb="FF000000"/>
        <rFont val="Verdana"/>
        <charset val="134"/>
      </rPr>
      <t xml:space="preserve"> {"name":101, "count": 20000, "probb": 100}</t>
    </r>
    <r>
      <rPr>
        <sz val="12"/>
        <color rgb="FF000000"/>
        <rFont val="华文宋体"/>
        <charset val="134"/>
      </rPr>
      <t>,</t>
    </r>
    <r>
      <rPr>
        <sz val="12"/>
        <color rgb="FF000000"/>
        <rFont val="Verdana"/>
        <charset val="134"/>
      </rPr>
      <t xml:space="preserve"> {"name":101, "count": 30000, "probb": 100},
{"name":101, "count": 50000, "probb": 100}, {"name":101, "count": 70000, "probb": 100}, {"name":101, "count": 90000, "probb": 100}]</t>
    </r>
  </si>
  <si>
    <t>[{"name":13759, "count": 1}]</t>
  </si>
  <si>
    <t>[{"name":13760, "count": 1}]</t>
  </si>
  <si>
    <t>[{"name":13758, "count": 1},{"name":13759, "count": 1}]</t>
  </si>
  <si>
    <t>[{"name":13758, "count": 1},{"name":13760, "count": 1}]</t>
  </si>
  <si>
    <t>[{"name":13759, "count": 1},{"name":13760, "count": 1}]</t>
  </si>
  <si>
    <t>[{"name":13758, "count": 1},{"name":13759, "count": 1},{"name":13760, "count": 1}]</t>
  </si>
  <si>
    <t>[{"name":13761, "count": 100}]</t>
  </si>
  <si>
    <t>[{"name":13761, "count": 80}]</t>
  </si>
  <si>
    <t>[{"name":13761, "count": 60}]</t>
  </si>
  <si>
    <t>[{"name":13761, "count": 40}]</t>
  </si>
  <si>
    <t>[{"name":13761, "count": 20}]</t>
  </si>
  <si>
    <t>roomId</t>
  </si>
  <si>
    <t>tabs</t>
  </si>
  <si>
    <t>poolPct</t>
  </si>
  <si>
    <t>nextDayPoolPct</t>
  </si>
  <si>
    <t>rule</t>
  </si>
  <si>
    <t>房间id</t>
  </si>
  <si>
    <r>
      <rPr>
        <sz val="12"/>
        <color rgb="FF000000"/>
        <rFont val="Verdana"/>
        <charset val="134"/>
      </rPr>
      <t>tab</t>
    </r>
    <r>
      <rPr>
        <sz val="12"/>
        <color rgb="FF000000"/>
        <rFont val="华文宋体"/>
        <charset val="134"/>
      </rPr>
      <t>数据</t>
    </r>
  </si>
  <si>
    <t>奖池占房间奖池比例</t>
  </si>
  <si>
    <t>第二天奖池占房间奖池比例</t>
  </si>
  <si>
    <t>规则</t>
  </si>
  <si>
    <r>
      <rPr>
        <sz val="12"/>
        <color rgb="FF000000"/>
        <rFont val="Verdana"/>
        <charset val="134"/>
      </rPr>
      <t>[{"title":"</t>
    </r>
    <r>
      <rPr>
        <sz val="12"/>
        <color rgb="FF000000"/>
        <rFont val="华文宋体"/>
        <charset val="134"/>
      </rPr>
      <t>ID_SUPERBOSS_GAME_MINIGAME:44411</t>
    </r>
    <r>
      <rPr>
        <sz val="12"/>
        <color rgb="FF000000"/>
        <rFont val="Verdana"/>
        <charset val="134"/>
      </rPr>
      <t>", "data": "minigame"}, {"title":"</t>
    </r>
    <r>
      <rPr>
        <sz val="12"/>
        <color rgb="FF000000"/>
        <rFont val="华文宋体"/>
        <charset val="134"/>
      </rPr>
      <t>ID_SUPERBOSS_GAME_EXCHANGE:44411</t>
    </r>
    <r>
      <rPr>
        <sz val="12"/>
        <color rgb="FF000000"/>
        <rFont val="Verdana"/>
        <charset val="134"/>
      </rPr>
      <t>", "data": "convert"}, {"title":"</t>
    </r>
    <r>
      <rPr>
        <sz val="12"/>
        <color rgb="FF000000"/>
        <rFont val="华文宋体"/>
        <charset val="134"/>
      </rPr>
      <t>ID_SUPERBOSS_RANK</t>
    </r>
    <r>
      <rPr>
        <sz val="12"/>
        <color rgb="FF000000"/>
        <rFont val="Verdana"/>
        <charset val="134"/>
      </rPr>
      <t>", "data": "rank", "param": 33}, {"title":"ID_LAST_SUPERBOSS_RANK", "data": "lastrank", "param": 34}]</t>
    </r>
  </si>
  <si>
    <t>{"game":"ID_SUPERBOSS_RULE:44411"}</t>
  </si>
  <si>
    <r>
      <rPr>
        <sz val="12"/>
        <color rgb="FF000000"/>
        <rFont val="Verdana"/>
        <charset val="134"/>
      </rPr>
      <t>[{"title":"</t>
    </r>
    <r>
      <rPr>
        <sz val="12"/>
        <color rgb="FF000000"/>
        <rFont val="华文宋体"/>
        <charset val="134"/>
      </rPr>
      <t>ID_SUPERBOSS_GAME_MINIGAME:44412</t>
    </r>
    <r>
      <rPr>
        <sz val="12"/>
        <color rgb="FF000000"/>
        <rFont val="Verdana"/>
        <charset val="134"/>
      </rPr>
      <t>", "data": "minigame"}, {"title":"</t>
    </r>
    <r>
      <rPr>
        <sz val="12"/>
        <color rgb="FF000000"/>
        <rFont val="华文宋体"/>
        <charset val="134"/>
      </rPr>
      <t>ID_SUPERBOSS_GAME_EXCHANGE:44412</t>
    </r>
    <r>
      <rPr>
        <sz val="12"/>
        <color rgb="FF000000"/>
        <rFont val="Verdana"/>
        <charset val="134"/>
      </rPr>
      <t>", "data": "convert"}, {"title":"</t>
    </r>
    <r>
      <rPr>
        <sz val="12"/>
        <color rgb="FF000000"/>
        <rFont val="华文宋体"/>
        <charset val="134"/>
      </rPr>
      <t>ID_SUPERBOSS_RANK</t>
    </r>
    <r>
      <rPr>
        <sz val="12"/>
        <color rgb="FF000000"/>
        <rFont val="Verdana"/>
        <charset val="134"/>
      </rPr>
      <t>", "data": "rank", "param": 35}, {"title":"ID_LAST_SUPERBOSS_RANK", "data": "lastrank", "param": 36}]</t>
    </r>
  </si>
  <si>
    <t>{"game":"ID_SUPERBOSS_RULE:44412"}</t>
  </si>
  <si>
    <r>
      <rPr>
        <sz val="12"/>
        <color rgb="FF000000"/>
        <rFont val="Verdana"/>
        <charset val="134"/>
      </rPr>
      <t>[{"title":"</t>
    </r>
    <r>
      <rPr>
        <sz val="12"/>
        <color rgb="FF000000"/>
        <rFont val="华文宋体"/>
        <charset val="134"/>
      </rPr>
      <t>ID_SUPERBOSS_GAME_MINIGAME:44413</t>
    </r>
    <r>
      <rPr>
        <sz val="12"/>
        <color rgb="FF000000"/>
        <rFont val="Verdana"/>
        <charset val="134"/>
      </rPr>
      <t>", "data": "minigame"}, {"title":"</t>
    </r>
    <r>
      <rPr>
        <sz val="12"/>
        <color rgb="FF000000"/>
        <rFont val="华文宋体"/>
        <charset val="134"/>
      </rPr>
      <t>ID_SUPERBOSS_GAME_EXCHANGE:44413</t>
    </r>
    <r>
      <rPr>
        <sz val="12"/>
        <color rgb="FF000000"/>
        <rFont val="Verdana"/>
        <charset val="134"/>
      </rPr>
      <t>", "data": "convert"}, {"title":"</t>
    </r>
    <r>
      <rPr>
        <sz val="12"/>
        <color rgb="FF000000"/>
        <rFont val="华文宋体"/>
        <charset val="134"/>
      </rPr>
      <t>ID_SUPERBOSS_RANK</t>
    </r>
    <r>
      <rPr>
        <sz val="12"/>
        <color rgb="FF000000"/>
        <rFont val="Verdana"/>
        <charset val="134"/>
      </rPr>
      <t>", "data": "rank", "param": 37}, {"title":"ID_LAST_SUPERBOSS_RANK", "data": "lastrank", "param": 38}]</t>
    </r>
  </si>
  <si>
    <t>{"game":"ID_SUPERBOSS_RULE:44413"}</t>
  </si>
  <si>
    <t>gunskin_name</t>
  </si>
  <si>
    <t>gunskin_id</t>
  </si>
  <si>
    <t>gunskin_level</t>
  </si>
  <si>
    <t>multiple</t>
  </si>
  <si>
    <t>unlock_type</t>
  </si>
  <si>
    <t>unlock_value</t>
  </si>
  <si>
    <t>equip_type</t>
  </si>
  <si>
    <t>equip_value</t>
  </si>
  <si>
    <t>exp</t>
  </si>
  <si>
    <t>sum_exp</t>
  </si>
  <si>
    <t>effect_addition</t>
  </si>
  <si>
    <t>effect_type</t>
  </si>
  <si>
    <t>probb</t>
  </si>
  <si>
    <t>unlock_desc</t>
  </si>
  <si>
    <t>equip_desc</t>
  </si>
  <si>
    <t xml:space="preserve">unit_price </t>
  </si>
  <si>
    <t>skins</t>
  </si>
  <si>
    <t>odds</t>
  </si>
  <si>
    <t>arr</t>
  </si>
  <si>
    <t>皮肤炮名</t>
  </si>
  <si>
    <t>皮肤炮ID</t>
  </si>
  <si>
    <t>皮肤炮等级</t>
  </si>
  <si>
    <t>消耗&amp;奖励倍率</t>
  </si>
  <si>
    <t>解锁条件</t>
  </si>
  <si>
    <r>
      <rPr>
        <sz val="14"/>
        <color rgb="FF000000"/>
        <rFont val="华文宋体"/>
        <charset val="134"/>
      </rPr>
      <t>条件数值</t>
    </r>
    <r>
      <rPr>
        <sz val="14"/>
        <color rgb="FF000000"/>
        <rFont val="Tahoma"/>
        <charset val="134"/>
      </rPr>
      <t>(</t>
    </r>
    <r>
      <rPr>
        <sz val="14"/>
        <color rgb="FF000000"/>
        <rFont val="华文宋体"/>
        <charset val="134"/>
      </rPr>
      <t>火炮倍率</t>
    </r>
    <r>
      <rPr>
        <sz val="14"/>
        <color rgb="FF000000"/>
        <rFont val="Tahoma"/>
        <charset val="134"/>
      </rPr>
      <t>)</t>
    </r>
  </si>
  <si>
    <t>装备条件</t>
  </si>
  <si>
    <t>所需经验</t>
  </si>
  <si>
    <t>累计经验</t>
  </si>
  <si>
    <t>熟练效果加成</t>
  </si>
  <si>
    <t>效果类型</t>
  </si>
  <si>
    <t>触发概率</t>
  </si>
  <si>
    <t>单价</t>
  </si>
  <si>
    <t>对应皮肤的Id</t>
  </si>
  <si>
    <t>概率系数</t>
  </si>
  <si>
    <t>出现概率</t>
  </si>
  <si>
    <t>ID_CONFIG_GUN_NAME_1</t>
  </si>
  <si>
    <t>[0,1366,-1]</t>
  </si>
  <si>
    <t>ID_CONFIG_GUN_NAME_2</t>
  </si>
  <si>
    <t>ID_CONFIG_LEVEL_UNLOCK_MULTIPLE</t>
  </si>
  <si>
    <t>ID_CONFIG_LEVEL_EQUIP_MULTIPLE</t>
  </si>
  <si>
    <t>[1352,1395,-1]</t>
  </si>
  <si>
    <t>ID_CONFIG_GUN_NAME_3</t>
  </si>
  <si>
    <t>[1353,1472,-1]</t>
  </si>
  <si>
    <t>ID_CONFIG_GUN_NAME_4</t>
  </si>
  <si>
    <t>[1354,1473,-1]</t>
  </si>
  <si>
    <t>ID_CONFIG_GUN_NAME_5</t>
  </si>
  <si>
    <t>[1355,1476,-1]</t>
  </si>
  <si>
    <t>ID_CONFIG_GUN_NAME_6</t>
  </si>
  <si>
    <t>[1356,1478,-1]</t>
  </si>
  <si>
    <t>ID_CONFIG_GUN_NAME_7</t>
  </si>
  <si>
    <t>[1357,-1,-1]</t>
  </si>
  <si>
    <t>skinId</t>
  </si>
  <si>
    <t>gunId</t>
  </si>
  <si>
    <t>kindId</t>
  </si>
  <si>
    <t>consumeCount</t>
  </si>
  <si>
    <t>皮肤ID</t>
  </si>
  <si>
    <t>对应的火炮ID</t>
  </si>
  <si>
    <t>消耗物品ID</t>
  </si>
  <si>
    <t>合成需要消耗碎片数</t>
  </si>
  <si>
    <t>gunLevel</t>
  </si>
  <si>
    <t>num</t>
  </si>
  <si>
    <t>rate</t>
  </si>
  <si>
    <t>weight</t>
  </si>
  <si>
    <t>fireInterval</t>
  </si>
  <si>
    <t>unlockMultiple</t>
  </si>
  <si>
    <t>levelAddition</t>
  </si>
  <si>
    <t>levelValue</t>
  </si>
  <si>
    <t>千炮火炮</t>
  </si>
  <si>
    <t>所需道具ID</t>
  </si>
  <si>
    <t>所需数量</t>
  </si>
  <si>
    <r>
      <rPr>
        <sz val="14"/>
        <color rgb="FF000000"/>
        <rFont val="宋体-简"/>
        <charset val="134"/>
      </rPr>
      <t>所需道具</t>
    </r>
    <r>
      <rPr>
        <sz val="14"/>
        <color rgb="FF000000"/>
        <rFont val="Helvetica"/>
        <charset val="134"/>
      </rPr>
      <t>ID</t>
    </r>
  </si>
  <si>
    <t>成功率</t>
  </si>
  <si>
    <r>
      <rPr>
        <sz val="14"/>
        <color rgb="FF000000"/>
        <rFont val="宋体-简"/>
        <charset val="134"/>
      </rPr>
      <t>100%升级成功率所需道具</t>
    </r>
    <r>
      <rPr>
        <sz val="14"/>
        <color rgb="FF000000"/>
        <rFont val="Helvetica"/>
        <charset val="134"/>
      </rPr>
      <t>ID</t>
    </r>
  </si>
  <si>
    <r>
      <rPr>
        <sz val="14"/>
        <color rgb="FF000000"/>
        <rFont val="宋体-简"/>
        <charset val="134"/>
      </rPr>
      <t>升级失败返还道具</t>
    </r>
    <r>
      <rPr>
        <sz val="14"/>
        <color rgb="FF000000"/>
        <rFont val="Helvetica"/>
        <charset val="134"/>
      </rPr>
      <t>ID</t>
    </r>
  </si>
  <si>
    <t>返还数量</t>
  </si>
  <si>
    <t>权重</t>
  </si>
  <si>
    <t>开火间隔</t>
  </si>
  <si>
    <t>解锁倍率</t>
  </si>
  <si>
    <t>大奖赛等级加成</t>
  </si>
  <si>
    <t>倍率</t>
  </si>
  <si>
    <t>weapon_name</t>
  </si>
  <si>
    <t>weapon_cost</t>
  </si>
  <si>
    <t>weapon_power</t>
  </si>
  <si>
    <t>match_addition</t>
  </si>
  <si>
    <t>cooldown</t>
  </si>
  <si>
    <t>bullet_speed</t>
  </si>
  <si>
    <t>net_size</t>
  </si>
  <si>
    <t>weapon_icon</t>
  </si>
  <si>
    <t>bullet_animation</t>
  </si>
  <si>
    <t>explosion_animation</t>
  </si>
  <si>
    <t>weapon_power_ratio</t>
  </si>
  <si>
    <t>武器索引</t>
  </si>
  <si>
    <t>武器名</t>
  </si>
  <si>
    <t>武器ID</t>
  </si>
  <si>
    <t>武器威力</t>
  </si>
  <si>
    <t>炮等级对比赛的加成</t>
  </si>
  <si>
    <t>发射间隔</t>
  </si>
  <si>
    <t>弹失速度</t>
  </si>
  <si>
    <t>渔网大小</t>
  </si>
  <si>
    <t>武器图标</t>
  </si>
  <si>
    <t>子弹动画</t>
  </si>
  <si>
    <t>爆炸动画</t>
  </si>
  <si>
    <t>威力系数</t>
  </si>
  <si>
    <t>bullet01</t>
  </si>
  <si>
    <t>合金飞弹技能</t>
  </si>
  <si>
    <t>魔术炮技能</t>
  </si>
  <si>
    <t>火蛇加农炮技能</t>
  </si>
  <si>
    <t>极冻炮技能</t>
  </si>
  <si>
    <t>榴弹炮技能</t>
  </si>
  <si>
    <t>汇能弹技能</t>
  </si>
  <si>
    <t>欺诈水晶技能</t>
  </si>
  <si>
    <t>激光炮技能</t>
  </si>
  <si>
    <t>猎鱼机甲技能</t>
  </si>
  <si>
    <t>格林机关枪技能</t>
  </si>
  <si>
    <t>捕鱼机器人爆炸</t>
  </si>
  <si>
    <r>
      <rPr>
        <sz val="14"/>
        <color indexed="8"/>
        <rFont val="Tahoma"/>
        <charset val="134"/>
      </rPr>
      <t>电鳗</t>
    </r>
    <r>
      <rPr>
        <sz val="14"/>
        <color indexed="8"/>
        <rFont val="Tahoma"/>
        <charset val="134"/>
      </rPr>
      <t>1</t>
    </r>
  </si>
  <si>
    <r>
      <rPr>
        <sz val="14"/>
        <color indexed="8"/>
        <rFont val="Tahoma"/>
        <charset val="134"/>
      </rPr>
      <t>电鳗</t>
    </r>
    <r>
      <rPr>
        <sz val="14"/>
        <color indexed="8"/>
        <rFont val="Tahoma"/>
        <charset val="134"/>
      </rPr>
      <t>2</t>
    </r>
  </si>
  <si>
    <r>
      <rPr>
        <sz val="14"/>
        <color indexed="8"/>
        <rFont val="Tahoma"/>
        <charset val="134"/>
      </rPr>
      <t>电鳗</t>
    </r>
    <r>
      <rPr>
        <sz val="14"/>
        <color indexed="8"/>
        <rFont val="Tahoma"/>
        <charset val="134"/>
      </rPr>
      <t>3</t>
    </r>
  </si>
  <si>
    <r>
      <rPr>
        <sz val="14"/>
        <color indexed="8"/>
        <rFont val="Tahoma"/>
        <charset val="134"/>
      </rPr>
      <t>电鳗</t>
    </r>
    <r>
      <rPr>
        <sz val="14"/>
        <color indexed="8"/>
        <rFont val="Tahoma"/>
        <charset val="134"/>
      </rPr>
      <t>4</t>
    </r>
  </si>
  <si>
    <r>
      <rPr>
        <sz val="14"/>
        <color indexed="8"/>
        <rFont val="Tahoma"/>
        <charset val="134"/>
      </rPr>
      <t>电鳗</t>
    </r>
    <r>
      <rPr>
        <sz val="14"/>
        <color indexed="8"/>
        <rFont val="Tahoma"/>
        <charset val="134"/>
      </rPr>
      <t>5</t>
    </r>
  </si>
  <si>
    <r>
      <rPr>
        <sz val="14"/>
        <color rgb="FF000000"/>
        <rFont val="宋体-简"/>
        <charset val="134"/>
      </rPr>
      <t>钻头</t>
    </r>
    <r>
      <rPr>
        <sz val="14"/>
        <color rgb="FF000000"/>
        <rFont val="Tahoma"/>
        <charset val="134"/>
      </rPr>
      <t>1</t>
    </r>
  </si>
  <si>
    <r>
      <rPr>
        <sz val="14"/>
        <color rgb="FF000000"/>
        <rFont val="宋体-简"/>
        <charset val="134"/>
      </rPr>
      <t>钻头</t>
    </r>
    <r>
      <rPr>
        <sz val="14"/>
        <color rgb="FF000000"/>
        <rFont val="Tahoma"/>
        <charset val="134"/>
      </rPr>
      <t>2</t>
    </r>
  </si>
  <si>
    <r>
      <rPr>
        <sz val="14"/>
        <color rgb="FF000000"/>
        <rFont val="宋体-简"/>
        <charset val="134"/>
      </rPr>
      <t>钻头</t>
    </r>
    <r>
      <rPr>
        <sz val="14"/>
        <color rgb="FF000000"/>
        <rFont val="Tahoma"/>
        <charset val="134"/>
      </rPr>
      <t>3</t>
    </r>
  </si>
  <si>
    <r>
      <rPr>
        <sz val="14"/>
        <color rgb="FF000000"/>
        <rFont val="宋体-简"/>
        <charset val="134"/>
      </rPr>
      <t>钻头</t>
    </r>
    <r>
      <rPr>
        <sz val="14"/>
        <color rgb="FF000000"/>
        <rFont val="Tahoma"/>
        <charset val="134"/>
      </rPr>
      <t>4</t>
    </r>
  </si>
  <si>
    <r>
      <rPr>
        <sz val="14"/>
        <color rgb="FF000000"/>
        <rFont val="宋体-简"/>
        <charset val="134"/>
      </rPr>
      <t>钻头</t>
    </r>
    <r>
      <rPr>
        <sz val="14"/>
        <color rgb="FF000000"/>
        <rFont val="Tahoma"/>
        <charset val="134"/>
      </rPr>
      <t>5</t>
    </r>
  </si>
  <si>
    <t>fishType</t>
  </si>
  <si>
    <t>countPct</t>
  </si>
  <si>
    <t>basePower</t>
  </si>
  <si>
    <t>minPower</t>
  </si>
  <si>
    <t>maxPower</t>
  </si>
  <si>
    <t>狂暴次数百分比</t>
  </si>
  <si>
    <t>基础威力</t>
  </si>
  <si>
    <t>威力区间</t>
  </si>
  <si>
    <t>威力倍率MIN</t>
  </si>
  <si>
    <t>威力倍率MAX</t>
  </si>
  <si>
    <t>[0,0,25,25,25,25]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</si>
</sst>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176" formatCode="0.00_);[Red]\(0.00\)"/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</numFmts>
  <fonts count="38">
    <font>
      <sz val="12"/>
      <color indexed="8"/>
      <name val="Verdana"/>
      <charset val="134"/>
    </font>
    <font>
      <sz val="11"/>
      <color theme="1"/>
      <name val="Helvetica"/>
      <charset val="134"/>
      <scheme val="minor"/>
    </font>
    <font>
      <sz val="14"/>
      <color indexed="8"/>
      <name val="Tahoma"/>
      <charset val="134"/>
    </font>
    <font>
      <sz val="14"/>
      <color indexed="8"/>
      <name val="宋体"/>
      <charset val="134"/>
    </font>
    <font>
      <sz val="14"/>
      <color rgb="FF000000"/>
      <name val="宋体-简"/>
      <charset val="134"/>
    </font>
    <font>
      <sz val="14"/>
      <color indexed="8"/>
      <name val="Helvetica"/>
      <charset val="134"/>
    </font>
    <font>
      <sz val="14"/>
      <color rgb="FF000000"/>
      <name val="华文宋体"/>
      <charset val="134"/>
    </font>
    <font>
      <sz val="12"/>
      <color rgb="FF000000"/>
      <name val="华文宋体"/>
      <charset val="134"/>
    </font>
    <font>
      <sz val="14"/>
      <color rgb="FF000000"/>
      <name val="Tahoma"/>
      <charset val="134"/>
    </font>
    <font>
      <sz val="14"/>
      <color rgb="FF000000"/>
      <name val="Helvetica"/>
      <charset val="134"/>
    </font>
    <font>
      <sz val="14"/>
      <color theme="1"/>
      <name val="Tahoma"/>
      <charset val="134"/>
    </font>
    <font>
      <sz val="12"/>
      <color rgb="FF000000"/>
      <name val="Verdana"/>
      <charset val="134"/>
    </font>
    <font>
      <sz val="12"/>
      <color theme="1"/>
      <name val="Helvetica"/>
      <charset val="134"/>
      <scheme val="minor"/>
    </font>
    <font>
      <sz val="14"/>
      <color rgb="FFFF0000"/>
      <name val="Tahoma"/>
      <charset val="134"/>
    </font>
    <font>
      <sz val="14"/>
      <color indexed="8"/>
      <name val="Verdana"/>
      <charset val="134"/>
    </font>
    <font>
      <sz val="14"/>
      <color indexed="8"/>
      <name val="Microsoft YaHei"/>
      <charset val="134"/>
    </font>
    <font>
      <sz val="14"/>
      <color rgb="FF000000"/>
      <name val="Microsoft YaHei UI"/>
      <charset val="134"/>
    </font>
    <font>
      <sz val="11"/>
      <color rgb="FFFA7D00"/>
      <name val="Helvetica"/>
      <charset val="0"/>
      <scheme val="minor"/>
    </font>
    <font>
      <b/>
      <sz val="11"/>
      <color theme="3"/>
      <name val="Helvetica"/>
      <charset val="134"/>
      <scheme val="minor"/>
    </font>
    <font>
      <sz val="11"/>
      <color theme="1"/>
      <name val="Helvetica"/>
      <charset val="0"/>
      <scheme val="minor"/>
    </font>
    <font>
      <sz val="11"/>
      <color theme="0"/>
      <name val="Helvetica"/>
      <charset val="0"/>
      <scheme val="minor"/>
    </font>
    <font>
      <b/>
      <sz val="13"/>
      <color theme="3"/>
      <name val="Helvetica"/>
      <charset val="134"/>
      <scheme val="minor"/>
    </font>
    <font>
      <u/>
      <sz val="11"/>
      <color rgb="FF0000FF"/>
      <name val="Helvetica"/>
      <charset val="0"/>
      <scheme val="minor"/>
    </font>
    <font>
      <u/>
      <sz val="11"/>
      <color rgb="FF800080"/>
      <name val="Helvetica"/>
      <charset val="0"/>
      <scheme val="minor"/>
    </font>
    <font>
      <b/>
      <sz val="11"/>
      <color rgb="FFFFFFFF"/>
      <name val="Helvetica"/>
      <charset val="0"/>
      <scheme val="minor"/>
    </font>
    <font>
      <sz val="11"/>
      <color rgb="FF9C0006"/>
      <name val="Helvetica"/>
      <charset val="0"/>
      <scheme val="minor"/>
    </font>
    <font>
      <b/>
      <sz val="11"/>
      <color theme="1"/>
      <name val="Helvetica"/>
      <charset val="0"/>
      <scheme val="minor"/>
    </font>
    <font>
      <b/>
      <sz val="11"/>
      <color rgb="FF3F3F3F"/>
      <name val="Helvetica"/>
      <charset val="0"/>
      <scheme val="minor"/>
    </font>
    <font>
      <sz val="11"/>
      <color rgb="FF9C6500"/>
      <name val="Helvetica"/>
      <charset val="0"/>
      <scheme val="minor"/>
    </font>
    <font>
      <b/>
      <sz val="11"/>
      <color rgb="FFFA7D00"/>
      <name val="Helvetica"/>
      <charset val="0"/>
      <scheme val="minor"/>
    </font>
    <font>
      <sz val="11"/>
      <color rgb="FF3F3F76"/>
      <name val="Helvetica"/>
      <charset val="0"/>
      <scheme val="minor"/>
    </font>
    <font>
      <i/>
      <sz val="11"/>
      <color rgb="FF7F7F7F"/>
      <name val="Helvetica"/>
      <charset val="0"/>
      <scheme val="minor"/>
    </font>
    <font>
      <sz val="11"/>
      <color rgb="FF006100"/>
      <name val="Helvetica"/>
      <charset val="0"/>
      <scheme val="minor"/>
    </font>
    <font>
      <b/>
      <sz val="15"/>
      <color theme="3"/>
      <name val="Helvetica"/>
      <charset val="134"/>
      <scheme val="minor"/>
    </font>
    <font>
      <sz val="11"/>
      <color rgb="FFFF0000"/>
      <name val="Helvetica"/>
      <charset val="0"/>
      <scheme val="minor"/>
    </font>
    <font>
      <b/>
      <sz val="18"/>
      <color theme="3"/>
      <name val="Helvetica"/>
      <charset val="134"/>
      <scheme val="minor"/>
    </font>
    <font>
      <b/>
      <sz val="12"/>
      <color rgb="FF000000"/>
      <name val="Verdana"/>
      <charset val="134"/>
    </font>
    <font>
      <sz val="14"/>
      <color rgb="FF000000"/>
      <name val="宋体"/>
      <charset val="134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340800195319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4" tint="0.799340800195319"/>
        <bgColor indexed="64"/>
      </patternFill>
    </fill>
    <fill>
      <patternFill patternType="solid">
        <fgColor theme="5" tint="0.799340800195319"/>
        <bgColor indexed="64"/>
      </patternFill>
    </fill>
    <fill>
      <patternFill patternType="solid">
        <fgColor rgb="FFFCF5D6"/>
        <bgColor rgb="FF000000"/>
      </patternFill>
    </fill>
    <fill>
      <patternFill patternType="solid">
        <fgColor rgb="FFFFD5D2"/>
        <bgColor rgb="FF000000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8"/>
      </left>
      <right style="thin">
        <color indexed="8"/>
      </right>
      <top style="thin">
        <color rgb="FF000000"/>
      </top>
      <bottom style="thin">
        <color rgb="FF000000"/>
      </bottom>
      <diagonal/>
    </border>
    <border>
      <left style="thin">
        <color indexed="8"/>
      </left>
      <right style="thin">
        <color indexed="8"/>
      </right>
      <top style="thin">
        <color rgb="FF000000"/>
      </top>
      <bottom style="thin">
        <color indexed="8"/>
      </bottom>
      <diagonal/>
    </border>
    <border>
      <left style="thin">
        <color indexed="8"/>
      </left>
      <right style="thin">
        <color rgb="FF000000"/>
      </right>
      <top style="thin">
        <color indexed="8"/>
      </top>
      <bottom style="thin">
        <color indexed="8"/>
      </bottom>
      <diagonal/>
    </border>
    <border>
      <left/>
      <right/>
      <top style="thin">
        <color rgb="FF000000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6">
    <xf numFmtId="0" fontId="0" fillId="0" borderId="0" applyNumberFormat="0" applyFill="0" applyBorder="0" applyProtection="0">
      <alignment vertical="top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0" fillId="0" borderId="0" applyNumberFormat="0" applyFill="0" applyBorder="0" applyProtection="0">
      <alignment vertical="top" wrapText="1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20" fillId="35" borderId="0" applyNumberFormat="0" applyBorder="0" applyAlignment="0" applyProtection="0">
      <alignment vertical="center"/>
    </xf>
    <xf numFmtId="0" fontId="19" fillId="40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30" fillId="29" borderId="24" applyNumberFormat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44" fontId="12" fillId="0" borderId="0" applyFont="0" applyFill="0" applyBorder="0" applyAlignment="0" applyProtection="0">
      <alignment vertical="center"/>
    </xf>
    <xf numFmtId="0" fontId="20" fillId="4" borderId="0" applyNumberFormat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" fillId="0" borderId="0">
      <alignment vertical="center"/>
    </xf>
    <xf numFmtId="0" fontId="20" fillId="39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9" fillId="23" borderId="24" applyNumberFormat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28" fillId="24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19" fillId="37" borderId="0" applyNumberFormat="0" applyBorder="0" applyAlignment="0" applyProtection="0">
      <alignment vertical="center"/>
    </xf>
    <xf numFmtId="0" fontId="26" fillId="0" borderId="22" applyNumberFormat="0" applyFill="0" applyAlignment="0" applyProtection="0">
      <alignment vertical="center"/>
    </xf>
    <xf numFmtId="0" fontId="1" fillId="0" borderId="0">
      <alignment vertical="center"/>
    </xf>
    <xf numFmtId="0" fontId="25" fillId="22" borderId="0" applyNumberFormat="0" applyBorder="0" applyAlignment="0" applyProtection="0">
      <alignment vertical="center"/>
    </xf>
    <xf numFmtId="0" fontId="1" fillId="0" borderId="0"/>
    <xf numFmtId="0" fontId="24" fillId="21" borderId="21" applyNumberFormat="0" applyAlignment="0" applyProtection="0">
      <alignment vertical="center"/>
    </xf>
    <xf numFmtId="0" fontId="27" fillId="23" borderId="23" applyNumberFormat="0" applyAlignment="0" applyProtection="0">
      <alignment vertical="center"/>
    </xf>
    <xf numFmtId="0" fontId="33" fillId="0" borderId="19" applyNumberFormat="0" applyFill="0" applyAlignment="0" applyProtection="0">
      <alignment vertical="center"/>
    </xf>
    <xf numFmtId="0" fontId="1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42" fontId="12" fillId="0" borderId="0" applyFont="0" applyFill="0" applyBorder="0" applyAlignment="0" applyProtection="0">
      <alignment vertical="center"/>
    </xf>
    <xf numFmtId="0" fontId="0" fillId="0" borderId="0" applyNumberFormat="0" applyFill="0" applyBorder="0" applyProtection="0">
      <alignment vertical="top" wrapText="1"/>
    </xf>
    <xf numFmtId="0" fontId="19" fillId="17" borderId="0" applyNumberFormat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12" fillId="16" borderId="20" applyNumberFormat="0" applyFont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21" fillId="0" borderId="19" applyNumberFormat="0" applyFill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8" fillId="0" borderId="18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0" borderId="17" applyNumberFormat="0" applyFill="0" applyAlignment="0" applyProtection="0">
      <alignment vertical="center"/>
    </xf>
  </cellStyleXfs>
  <cellXfs count="101">
    <xf numFmtId="0" fontId="0" fillId="0" borderId="0" xfId="0" applyFont="1" applyAlignment="1">
      <alignment vertical="top" wrapText="1"/>
    </xf>
    <xf numFmtId="0" fontId="0" fillId="0" borderId="1" xfId="0" applyFont="1" applyBorder="1" applyAlignment="1">
      <alignment horizontal="center" vertical="center" wrapText="1"/>
    </xf>
    <xf numFmtId="0" fontId="1" fillId="0" borderId="1" xfId="0" applyNumberFormat="1" applyFont="1" applyFill="1" applyBorder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Alignment="1">
      <alignment vertical="top" wrapText="1"/>
    </xf>
    <xf numFmtId="0" fontId="2" fillId="0" borderId="2" xfId="0" applyNumberFormat="1" applyFont="1" applyBorder="1" applyAlignment="1">
      <alignment horizontal="center" vertical="center" wrapText="1"/>
    </xf>
    <xf numFmtId="0" fontId="1" fillId="0" borderId="1" xfId="0" applyNumberFormat="1" applyFont="1" applyFill="1" applyBorder="1" applyAlignment="1" applyProtection="1"/>
    <xf numFmtId="0" fontId="2" fillId="0" borderId="2" xfId="0" applyNumberFormat="1" applyFont="1" applyBorder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 wrapText="1"/>
    </xf>
    <xf numFmtId="1" fontId="2" fillId="0" borderId="2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 wrapText="1"/>
    </xf>
    <xf numFmtId="0" fontId="4" fillId="2" borderId="3" xfId="7" applyNumberFormat="1" applyFont="1" applyFill="1" applyBorder="1" applyAlignment="1">
      <alignment horizontal="center" vertical="center" wrapText="1"/>
    </xf>
    <xf numFmtId="0" fontId="2" fillId="0" borderId="2" xfId="7" applyNumberFormat="1" applyFont="1" applyBorder="1" applyAlignment="1">
      <alignment horizontal="center" vertical="center" wrapText="1"/>
    </xf>
    <xf numFmtId="0" fontId="2" fillId="2" borderId="2" xfId="7" applyNumberFormat="1" applyFont="1" applyFill="1" applyBorder="1" applyAlignment="1">
      <alignment horizontal="center" vertical="center" wrapText="1"/>
    </xf>
    <xf numFmtId="0" fontId="5" fillId="0" borderId="2" xfId="0" applyNumberFormat="1" applyFont="1" applyBorder="1" applyAlignment="1">
      <alignment horizontal="center" vertical="center" wrapText="1"/>
    </xf>
    <xf numFmtId="0" fontId="6" fillId="0" borderId="2" xfId="0" applyNumberFormat="1" applyFont="1" applyBorder="1" applyAlignment="1">
      <alignment horizontal="center" vertical="center" wrapText="1"/>
    </xf>
    <xf numFmtId="0" fontId="4" fillId="0" borderId="2" xfId="0" applyNumberFormat="1" applyFont="1" applyBorder="1" applyAlignment="1">
      <alignment horizontal="center" vertical="center" wrapText="1"/>
    </xf>
    <xf numFmtId="0" fontId="5" fillId="3" borderId="2" xfId="0" applyNumberFormat="1" applyFont="1" applyFill="1" applyBorder="1" applyAlignment="1">
      <alignment horizontal="center" vertical="center" wrapText="1"/>
    </xf>
    <xf numFmtId="0" fontId="4" fillId="3" borderId="2" xfId="0" applyNumberFormat="1" applyFont="1" applyFill="1" applyBorder="1" applyAlignment="1">
      <alignment horizontal="center" vertical="center" wrapText="1"/>
    </xf>
    <xf numFmtId="0" fontId="5" fillId="4" borderId="2" xfId="0" applyNumberFormat="1" applyFont="1" applyFill="1" applyBorder="1" applyAlignment="1">
      <alignment horizontal="center" vertical="center" wrapText="1"/>
    </xf>
    <xf numFmtId="0" fontId="4" fillId="4" borderId="2" xfId="0" applyNumberFormat="1" applyFont="1" applyFill="1" applyBorder="1" applyAlignment="1">
      <alignment horizontal="center" vertical="center" wrapText="1"/>
    </xf>
    <xf numFmtId="0" fontId="5" fillId="5" borderId="2" xfId="0" applyNumberFormat="1" applyFont="1" applyFill="1" applyBorder="1" applyAlignment="1">
      <alignment horizontal="center" vertical="center" wrapText="1"/>
    </xf>
    <xf numFmtId="0" fontId="4" fillId="5" borderId="2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vertical="top" wrapText="1"/>
    </xf>
    <xf numFmtId="0" fontId="1" fillId="0" borderId="1" xfId="0" applyNumberFormat="1" applyFont="1" applyFill="1" applyBorder="1" applyAlignment="1" applyProtection="1">
      <alignment horizontal="center"/>
    </xf>
    <xf numFmtId="0" fontId="1" fillId="6" borderId="1" xfId="0" applyNumberFormat="1" applyFont="1" applyFill="1" applyBorder="1" applyAlignment="1" applyProtection="1">
      <alignment horizontal="center"/>
    </xf>
    <xf numFmtId="0" fontId="8" fillId="0" borderId="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176" fontId="8" fillId="0" borderId="6" xfId="0" applyNumberFormat="1" applyFont="1" applyBorder="1" applyAlignment="1">
      <alignment horizontal="center" vertical="center" wrapText="1"/>
    </xf>
    <xf numFmtId="176" fontId="8" fillId="0" borderId="4" xfId="0" applyNumberFormat="1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 wrapText="1"/>
    </xf>
    <xf numFmtId="0" fontId="10" fillId="9" borderId="6" xfId="0" applyFont="1" applyFill="1" applyBorder="1" applyAlignment="1">
      <alignment horizontal="center" vertical="center" wrapText="1"/>
    </xf>
    <xf numFmtId="0" fontId="8" fillId="10" borderId="6" xfId="0" applyFont="1" applyFill="1" applyBorder="1" applyAlignment="1">
      <alignment horizontal="center" vertical="center" wrapText="1"/>
    </xf>
    <xf numFmtId="0" fontId="8" fillId="11" borderId="6" xfId="0" applyFont="1" applyFill="1" applyBorder="1" applyAlignment="1">
      <alignment horizontal="center" vertical="center" wrapText="1"/>
    </xf>
    <xf numFmtId="0" fontId="8" fillId="12" borderId="4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3" fillId="0" borderId="2" xfId="0" applyNumberFormat="1" applyFont="1" applyBorder="1" applyAlignment="1">
      <alignment horizontal="center" vertical="center"/>
    </xf>
    <xf numFmtId="0" fontId="8" fillId="0" borderId="2" xfId="0" applyNumberFormat="1" applyFont="1" applyBorder="1" applyAlignment="1">
      <alignment horizontal="center" vertical="center" wrapText="1"/>
    </xf>
    <xf numFmtId="0" fontId="0" fillId="0" borderId="0" xfId="53" applyNumberFormat="1">
      <alignment vertical="top" wrapText="1"/>
    </xf>
    <xf numFmtId="0" fontId="0" fillId="0" borderId="0" xfId="53" applyNumberFormat="1" applyAlignment="1">
      <alignment horizontal="center" vertical="top" wrapText="1"/>
    </xf>
    <xf numFmtId="0" fontId="0" fillId="0" borderId="0" xfId="53">
      <alignment vertical="top" wrapText="1"/>
    </xf>
    <xf numFmtId="0" fontId="2" fillId="0" borderId="2" xfId="42" applyFont="1" applyBorder="1" applyAlignment="1">
      <alignment horizontal="center" vertical="center" wrapText="1"/>
    </xf>
    <xf numFmtId="0" fontId="6" fillId="0" borderId="2" xfId="42" applyFont="1" applyBorder="1" applyAlignment="1">
      <alignment horizontal="center" vertical="center" wrapText="1"/>
    </xf>
    <xf numFmtId="0" fontId="12" fillId="0" borderId="8" xfId="53" applyNumberFormat="1" applyFont="1" applyFill="1" applyBorder="1" applyAlignment="1" applyProtection="1">
      <alignment horizontal="center" vertical="center"/>
    </xf>
    <xf numFmtId="0" fontId="12" fillId="0" borderId="9" xfId="53" applyNumberFormat="1" applyFont="1" applyFill="1" applyBorder="1" applyAlignment="1" applyProtection="1">
      <alignment horizontal="center" vertical="center"/>
    </xf>
    <xf numFmtId="0" fontId="3" fillId="0" borderId="2" xfId="42" applyFont="1" applyBorder="1" applyAlignment="1">
      <alignment horizontal="center" vertical="center" wrapText="1"/>
    </xf>
    <xf numFmtId="0" fontId="2" fillId="0" borderId="10" xfId="42" applyFont="1" applyBorder="1" applyAlignment="1">
      <alignment horizontal="center" vertical="center" wrapText="1"/>
    </xf>
    <xf numFmtId="0" fontId="2" fillId="0" borderId="11" xfId="42" applyFont="1" applyBorder="1" applyAlignment="1">
      <alignment horizontal="center" vertical="center" wrapText="1"/>
    </xf>
    <xf numFmtId="0" fontId="2" fillId="0" borderId="3" xfId="42" applyFont="1" applyBorder="1" applyAlignment="1">
      <alignment horizontal="center" vertical="center" wrapText="1"/>
    </xf>
    <xf numFmtId="0" fontId="2" fillId="0" borderId="1" xfId="42" applyFont="1" applyBorder="1" applyAlignment="1">
      <alignment horizontal="center" vertical="center" wrapText="1"/>
    </xf>
    <xf numFmtId="0" fontId="0" fillId="0" borderId="1" xfId="53" applyNumberFormat="1" applyBorder="1" applyAlignment="1">
      <alignment horizontal="center" vertical="top" wrapText="1"/>
    </xf>
    <xf numFmtId="0" fontId="3" fillId="0" borderId="3" xfId="42" applyFont="1" applyBorder="1" applyAlignment="1">
      <alignment horizontal="center" vertical="center" wrapText="1"/>
    </xf>
    <xf numFmtId="0" fontId="10" fillId="0" borderId="1" xfId="42" applyFont="1" applyBorder="1" applyAlignment="1">
      <alignment horizontal="center" vertical="center" wrapText="1"/>
    </xf>
    <xf numFmtId="0" fontId="0" fillId="0" borderId="1" xfId="53" applyNumberFormat="1" applyBorder="1">
      <alignment vertical="top" wrapText="1"/>
    </xf>
    <xf numFmtId="0" fontId="3" fillId="0" borderId="1" xfId="42" applyFont="1" applyBorder="1" applyAlignment="1">
      <alignment horizontal="center" vertical="center" wrapText="1"/>
    </xf>
    <xf numFmtId="0" fontId="2" fillId="0" borderId="12" xfId="42" applyFont="1" applyBorder="1" applyAlignment="1">
      <alignment horizontal="center" vertical="center" wrapText="1"/>
    </xf>
    <xf numFmtId="0" fontId="10" fillId="0" borderId="1" xfId="11" applyFont="1" applyBorder="1" applyAlignment="1">
      <alignment horizontal="center" vertical="center" wrapText="1"/>
    </xf>
    <xf numFmtId="0" fontId="12" fillId="0" borderId="13" xfId="53" applyNumberFormat="1" applyFont="1" applyFill="1" applyBorder="1" applyAlignment="1" applyProtection="1">
      <alignment horizontal="center" vertical="center"/>
    </xf>
    <xf numFmtId="0" fontId="2" fillId="2" borderId="2" xfId="42" applyFont="1" applyFill="1" applyBorder="1" applyAlignment="1">
      <alignment horizontal="center" vertical="center" wrapText="1"/>
    </xf>
    <xf numFmtId="0" fontId="13" fillId="0" borderId="3" xfId="42" applyFont="1" applyBorder="1" applyAlignment="1">
      <alignment horizontal="center" vertical="center" wrapText="1"/>
    </xf>
    <xf numFmtId="0" fontId="2" fillId="0" borderId="1" xfId="53" applyNumberFormat="1" applyFont="1" applyBorder="1" applyAlignment="1">
      <alignment horizontal="center" vertical="center" wrapText="1"/>
    </xf>
    <xf numFmtId="0" fontId="11" fillId="0" borderId="1" xfId="53" applyFont="1" applyBorder="1">
      <alignment vertical="top" wrapText="1"/>
    </xf>
    <xf numFmtId="0" fontId="11" fillId="0" borderId="0" xfId="53" applyFont="1">
      <alignment vertical="top" wrapText="1"/>
    </xf>
    <xf numFmtId="0" fontId="4" fillId="0" borderId="2" xfId="42" applyFont="1" applyBorder="1" applyAlignment="1">
      <alignment horizontal="center" vertical="center" wrapText="1"/>
    </xf>
    <xf numFmtId="0" fontId="2" fillId="0" borderId="2" xfId="53" applyNumberFormat="1" applyFont="1" applyBorder="1" applyAlignment="1">
      <alignment horizontal="center" vertical="center" wrapText="1"/>
    </xf>
    <xf numFmtId="0" fontId="4" fillId="0" borderId="1" xfId="42" applyFont="1" applyBorder="1" applyAlignment="1">
      <alignment horizontal="center" vertical="center" wrapText="1"/>
    </xf>
    <xf numFmtId="0" fontId="2" fillId="2" borderId="3" xfId="42" applyFont="1" applyFill="1" applyBorder="1" applyAlignment="1">
      <alignment horizontal="center" vertical="center" wrapText="1"/>
    </xf>
    <xf numFmtId="0" fontId="2" fillId="2" borderId="1" xfId="42" applyFont="1" applyFill="1" applyBorder="1" applyAlignment="1">
      <alignment horizontal="center" vertical="center" wrapText="1"/>
    </xf>
    <xf numFmtId="0" fontId="2" fillId="0" borderId="14" xfId="42" applyFont="1" applyBorder="1" applyAlignment="1">
      <alignment horizontal="center" vertical="center" wrapText="1"/>
    </xf>
    <xf numFmtId="0" fontId="2" fillId="0" borderId="15" xfId="42" applyFont="1" applyBorder="1" applyAlignment="1">
      <alignment horizontal="center" vertical="center" wrapText="1"/>
    </xf>
    <xf numFmtId="0" fontId="8" fillId="0" borderId="2" xfId="42" applyFont="1" applyBorder="1" applyAlignment="1">
      <alignment horizontal="center" vertical="center" wrapText="1"/>
    </xf>
    <xf numFmtId="0" fontId="2" fillId="0" borderId="2" xfId="53" applyNumberFormat="1" applyFont="1" applyBorder="1" applyAlignment="1">
      <alignment horizontal="center" vertical="center"/>
    </xf>
    <xf numFmtId="0" fontId="14" fillId="0" borderId="0" xfId="0" applyNumberFormat="1" applyFont="1" applyAlignment="1">
      <alignment vertical="top" wrapText="1"/>
    </xf>
    <xf numFmtId="0" fontId="14" fillId="0" borderId="0" xfId="0" applyFont="1" applyAlignment="1">
      <alignment vertical="top" wrapText="1"/>
    </xf>
    <xf numFmtId="0" fontId="15" fillId="0" borderId="16" xfId="0" applyNumberFormat="1" applyFont="1" applyBorder="1" applyAlignment="1">
      <alignment horizontal="center"/>
    </xf>
    <xf numFmtId="1" fontId="2" fillId="0" borderId="16" xfId="0" applyNumberFormat="1" applyFont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 wrapText="1"/>
    </xf>
    <xf numFmtId="0" fontId="6" fillId="0" borderId="1" xfId="0" applyNumberFormat="1" applyFont="1" applyFill="1" applyBorder="1" applyAlignment="1" applyProtection="1">
      <alignment horizontal="center" vertical="center" wrapText="1"/>
    </xf>
    <xf numFmtId="0" fontId="2" fillId="5" borderId="1" xfId="0" applyNumberFormat="1" applyFont="1" applyFill="1" applyBorder="1" applyAlignment="1" applyProtection="1">
      <alignment horizontal="center" vertical="center" wrapText="1"/>
    </xf>
    <xf numFmtId="0" fontId="6" fillId="5" borderId="1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center" vertical="center" wrapText="1"/>
    </xf>
    <xf numFmtId="0" fontId="16" fillId="5" borderId="1" xfId="0" applyNumberFormat="1" applyFont="1" applyFill="1" applyBorder="1" applyAlignment="1" applyProtection="1">
      <alignment horizontal="center" vertical="center" wrapText="1"/>
    </xf>
    <xf numFmtId="0" fontId="2" fillId="7" borderId="1" xfId="0" applyNumberFormat="1" applyFont="1" applyFill="1" applyBorder="1" applyAlignment="1" applyProtection="1">
      <alignment horizontal="center" vertical="center" wrapText="1"/>
    </xf>
    <xf numFmtId="0" fontId="8" fillId="7" borderId="1" xfId="0" applyNumberFormat="1" applyFont="1" applyFill="1" applyBorder="1" applyAlignment="1" applyProtection="1">
      <alignment horizontal="center" vertical="center" wrapText="1"/>
    </xf>
    <xf numFmtId="0" fontId="2" fillId="13" borderId="1" xfId="0" applyNumberFormat="1" applyFont="1" applyFill="1" applyBorder="1" applyAlignment="1" applyProtection="1">
      <alignment horizontal="center" vertical="center" wrapText="1"/>
    </xf>
    <xf numFmtId="0" fontId="8" fillId="13" borderId="1" xfId="0" applyNumberFormat="1" applyFont="1" applyFill="1" applyBorder="1" applyAlignment="1" applyProtection="1">
      <alignment horizontal="center" vertical="center" wrapText="1"/>
    </xf>
    <xf numFmtId="0" fontId="16" fillId="13" borderId="1" xfId="0" applyNumberFormat="1" applyFont="1" applyFill="1" applyBorder="1" applyAlignment="1" applyProtection="1">
      <alignment horizontal="center" vertical="center" wrapText="1"/>
    </xf>
    <xf numFmtId="0" fontId="2" fillId="6" borderId="1" xfId="0" applyNumberFormat="1" applyFont="1" applyFill="1" applyBorder="1" applyAlignment="1" applyProtection="1">
      <alignment horizontal="center" vertical="center" wrapText="1"/>
    </xf>
    <xf numFmtId="0" fontId="2" fillId="9" borderId="1" xfId="0" applyNumberFormat="1" applyFont="1" applyFill="1" applyBorder="1" applyAlignment="1" applyProtection="1">
      <alignment horizontal="center" vertical="center" wrapText="1"/>
    </xf>
    <xf numFmtId="0" fontId="16" fillId="6" borderId="1" xfId="0" applyNumberFormat="1" applyFont="1" applyFill="1" applyBorder="1" applyAlignment="1" applyProtection="1">
      <alignment horizontal="center" vertical="center" wrapText="1"/>
    </xf>
    <xf numFmtId="0" fontId="8" fillId="6" borderId="1" xfId="0" applyNumberFormat="1" applyFont="1" applyFill="1" applyBorder="1" applyAlignment="1" applyProtection="1">
      <alignment horizontal="center" vertical="center" wrapText="1"/>
    </xf>
    <xf numFmtId="0" fontId="8" fillId="9" borderId="1" xfId="0" applyNumberFormat="1" applyFont="1" applyFill="1" applyBorder="1" applyAlignment="1" applyProtection="1">
      <alignment horizontal="center" vertical="center" wrapText="1"/>
    </xf>
  </cellXfs>
  <cellStyles count="76">
    <cellStyle name="常规" xfId="0" builtinId="0"/>
    <cellStyle name="常规 10 2 2 2 2" xfId="1"/>
    <cellStyle name="常规 10 2 2 2 2 2" xfId="2"/>
    <cellStyle name="常规 11" xfId="3"/>
    <cellStyle name="常规 12" xfId="4"/>
    <cellStyle name="常规 13" xfId="5"/>
    <cellStyle name="常规 3 2" xfId="6"/>
    <cellStyle name="常规 4" xfId="7"/>
    <cellStyle name="常规 4 2" xfId="8"/>
    <cellStyle name="常规 4 3 2" xfId="9"/>
    <cellStyle name="常规 4 3 2 3" xfId="10"/>
    <cellStyle name="常规 4 3 2 4" xfId="11"/>
    <cellStyle name="常规 5" xfId="12"/>
    <cellStyle name="常规 5 2" xfId="13"/>
    <cellStyle name="常规 6" xfId="14"/>
    <cellStyle name="常规 9 2" xfId="15"/>
    <cellStyle name="常规 9 2 2" xfId="16"/>
    <cellStyle name="常规 9 2 3" xfId="17"/>
    <cellStyle name="常规 2 2 2 3" xfId="18"/>
    <cellStyle name="60% - 强调文字颜色 6" xfId="19" builtinId="52"/>
    <cellStyle name="20% - 强调文字颜色 4" xfId="20" builtinId="42"/>
    <cellStyle name="强调文字颜色 4" xfId="21" builtinId="41"/>
    <cellStyle name="输入" xfId="22" builtinId="20"/>
    <cellStyle name="40% - 强调文字颜色 3" xfId="23" builtinId="39"/>
    <cellStyle name="20% - 强调文字颜色 3" xfId="24" builtinId="38"/>
    <cellStyle name="货币" xfId="25" builtinId="4"/>
    <cellStyle name="强调文字颜色 3" xfId="26" builtinId="37"/>
    <cellStyle name="百分比" xfId="27" builtinId="5"/>
    <cellStyle name="60% - 强调文字颜色 2" xfId="28" builtinId="36"/>
    <cellStyle name="常规 2 2 2 2" xfId="29"/>
    <cellStyle name="60% - 强调文字颜色 5" xfId="30" builtinId="48"/>
    <cellStyle name="强调文字颜色 2" xfId="31" builtinId="33"/>
    <cellStyle name="60% - 强调文字颜色 1" xfId="32" builtinId="32"/>
    <cellStyle name="60% - 强调文字颜色 4" xfId="33" builtinId="44"/>
    <cellStyle name="计算" xfId="34" builtinId="22"/>
    <cellStyle name="强调文字颜色 1" xfId="35" builtinId="29"/>
    <cellStyle name="常规 4 3 2 2" xfId="36"/>
    <cellStyle name="适中" xfId="37" builtinId="28"/>
    <cellStyle name="20% - 强调文字颜色 5" xfId="38" builtinId="46"/>
    <cellStyle name="好" xfId="39" builtinId="26"/>
    <cellStyle name="20% - 强调文字颜色 1" xfId="40" builtinId="30"/>
    <cellStyle name="汇总" xfId="41" builtinId="25"/>
    <cellStyle name="常规 4 3 2 2 3" xfId="42"/>
    <cellStyle name="差" xfId="43" builtinId="27"/>
    <cellStyle name="常规 9 2 2 2" xfId="44"/>
    <cellStyle name="检查单元格" xfId="45" builtinId="23"/>
    <cellStyle name="输出" xfId="46" builtinId="21"/>
    <cellStyle name="标题 1" xfId="47" builtinId="16"/>
    <cellStyle name="常规 2 2 2" xfId="48"/>
    <cellStyle name="解释性文本" xfId="49" builtinId="53"/>
    <cellStyle name="20% - 强调文字颜色 2" xfId="50" builtinId="34"/>
    <cellStyle name="标题 4" xfId="51" builtinId="19"/>
    <cellStyle name="货币[0]" xfId="52" builtinId="7"/>
    <cellStyle name="常规 2 2" xfId="53"/>
    <cellStyle name="40% - 强调文字颜色 4" xfId="54" builtinId="43"/>
    <cellStyle name="千位分隔" xfId="55" builtinId="3"/>
    <cellStyle name="常规 2 2 2 2 2" xfId="56"/>
    <cellStyle name="已访问的超链接" xfId="57" builtinId="9"/>
    <cellStyle name="标题" xfId="58" builtinId="15"/>
    <cellStyle name="40% - 强调文字颜色 2" xfId="59" builtinId="35"/>
    <cellStyle name="警告文本" xfId="60" builtinId="11"/>
    <cellStyle name="60% - 强调文字颜色 3" xfId="61" builtinId="40"/>
    <cellStyle name="注释" xfId="62" builtinId="10"/>
    <cellStyle name="20% - 强调文字颜色 6" xfId="63" builtinId="50"/>
    <cellStyle name="强调文字颜色 5" xfId="64" builtinId="45"/>
    <cellStyle name="40% - 强调文字颜色 6" xfId="65" builtinId="51"/>
    <cellStyle name="超链接" xfId="66" builtinId="8"/>
    <cellStyle name="千位分隔[0]" xfId="67" builtinId="6"/>
    <cellStyle name="标题 2" xfId="68" builtinId="17"/>
    <cellStyle name="40% - 强调文字颜色 5" xfId="69" builtinId="47"/>
    <cellStyle name="常规 4 3 2 2 2" xfId="70"/>
    <cellStyle name="标题 3" xfId="71" builtinId="18"/>
    <cellStyle name="强调文字颜色 6" xfId="72" builtinId="49"/>
    <cellStyle name="40% - 强调文字颜色 1" xfId="73" builtinId="31"/>
    <cellStyle name="常规 3" xfId="74"/>
    <cellStyle name="链接单元格" xfId="75" builtinId="24"/>
  </cellStyles>
  <dxfs count="1">
    <dxf>
      <fill>
        <patternFill patternType="solid">
          <bgColor theme="5" tint="0.396649067659536"/>
        </patternFill>
      </fill>
    </dxf>
  </dxfs>
  <tableStyles count="0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AAAAAA"/>
      <rgbColor rgb="00FF0000"/>
      <rgbColor rgb="00000000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8" Type="http://schemas.openxmlformats.org/officeDocument/2006/relationships/sharedStrings" Target="sharedStrings.xml"/><Relationship Id="rId17" Type="http://schemas.openxmlformats.org/officeDocument/2006/relationships/styles" Target="styles.xml"/><Relationship Id="rId16" Type="http://schemas.openxmlformats.org/officeDocument/2006/relationships/theme" Target="theme/theme1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404040"/>
      </a:dk2>
      <a:lt2>
        <a:srgbClr val="BFBFBF"/>
      </a:lt2>
      <a:accent1>
        <a:srgbClr val="499BC9"/>
      </a:accent1>
      <a:accent2>
        <a:srgbClr val="6EC038"/>
      </a:accent2>
      <a:accent3>
        <a:srgbClr val="F1D130"/>
      </a:accent3>
      <a:accent4>
        <a:srgbClr val="FFA93A"/>
      </a:accent4>
      <a:accent5>
        <a:srgbClr val="FF2D21"/>
      </a:accent5>
      <a:accent6>
        <a:srgbClr val="6C2085"/>
      </a:accent6>
      <a:hlink>
        <a:srgbClr val="0000FF"/>
      </a:hlink>
      <a:folHlink>
        <a:srgbClr val="FF00FF"/>
      </a:folHlink>
    </a:clrScheme>
    <a:fontScheme name="Blank">
      <a:majorFont>
        <a:latin typeface="Helvetica"/>
        <a:ea typeface="Helvetica"/>
        <a:cs typeface="Helvetica"/>
      </a:majorFont>
      <a:minorFont>
        <a:latin typeface="Helvetica"/>
        <a:ea typeface="Helvetica"/>
        <a:cs typeface="Helvetic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 rotWithShape="1">
          <a:blip xmlns:r="http://schemas.openxmlformats.org/officeDocument/2006/relationships" r:embed="rId1"/>
          <a:srcRect/>
          <a:tile tx="0" ty="0" sx="100000" sy="100000" flip="none" algn="tl"/>
        </a:blipFill>
        <a:ln w="12700" cap="flat">
          <a:noFill/>
          <a:miter lim="400000"/>
        </a:ln>
        <a:effectLst>
          <a:outerShdw blurRad="38100" dist="25400" dir="5400000" rotWithShape="0">
            <a:srgbClr val="000000">
              <a:alpha val="50000"/>
            </a:srgbClr>
          </a:outerShdw>
        </a:effectLst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4572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6350" cap="flat">
          <a:solidFill>
            <a:srgbClr val="000000"/>
          </a:solidFill>
          <a:prstDash val="solid"/>
          <a:miter lim="400000"/>
        </a:ln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S44"/>
  <sheetViews>
    <sheetView workbookViewId="0">
      <selection activeCell="M5" sqref="M5"/>
    </sheetView>
  </sheetViews>
  <sheetFormatPr defaultColWidth="8.875" defaultRowHeight="15.2"/>
  <cols>
    <col min="1" max="1" width="10.5" customWidth="1"/>
    <col min="4" max="4" width="18.625" customWidth="1"/>
    <col min="8" max="8" width="11.875" customWidth="1"/>
    <col min="9" max="9" width="14.5" customWidth="1"/>
    <col min="10" max="10" width="15.125" customWidth="1"/>
    <col min="11" max="11" width="9.875" customWidth="1"/>
    <col min="13" max="13" width="12.6052631578947" customWidth="1"/>
    <col min="14" max="14" width="8.5" customWidth="1"/>
    <col min="15" max="15" width="27.125" customWidth="1"/>
    <col min="16" max="16" width="42" customWidth="1"/>
    <col min="17" max="17" width="14" customWidth="1"/>
    <col min="19" max="19" width="31.125" customWidth="1"/>
  </cols>
  <sheetData>
    <row r="1" ht="18" spans="1:19">
      <c r="A1" s="1" t="s">
        <v>0</v>
      </c>
      <c r="C1" s="85" t="s">
        <v>1</v>
      </c>
      <c r="D1" s="85" t="s">
        <v>2</v>
      </c>
      <c r="E1" s="85" t="s">
        <v>3</v>
      </c>
      <c r="F1" s="85" t="s">
        <v>4</v>
      </c>
      <c r="G1" s="85" t="s">
        <v>5</v>
      </c>
      <c r="H1" s="85" t="s">
        <v>6</v>
      </c>
      <c r="I1" s="85" t="s">
        <v>7</v>
      </c>
      <c r="J1" s="85" t="s">
        <v>8</v>
      </c>
      <c r="K1" s="85" t="s">
        <v>9</v>
      </c>
      <c r="M1" s="85" t="s">
        <v>10</v>
      </c>
      <c r="N1" s="85" t="s">
        <v>1</v>
      </c>
      <c r="O1" s="85" t="s">
        <v>9</v>
      </c>
      <c r="P1" s="85" t="s">
        <v>11</v>
      </c>
      <c r="Q1" s="85" t="s">
        <v>12</v>
      </c>
      <c r="R1" s="85" t="s">
        <v>9</v>
      </c>
      <c r="S1" s="85" t="s">
        <v>13</v>
      </c>
    </row>
    <row r="2" ht="18" spans="1:19">
      <c r="A2" s="1" t="s">
        <v>14</v>
      </c>
      <c r="C2" s="85" t="s">
        <v>15</v>
      </c>
      <c r="D2" s="85" t="s">
        <v>14</v>
      </c>
      <c r="E2" s="85" t="s">
        <v>15</v>
      </c>
      <c r="F2" s="85" t="s">
        <v>14</v>
      </c>
      <c r="G2" s="85" t="s">
        <v>14</v>
      </c>
      <c r="H2" s="85" t="s">
        <v>15</v>
      </c>
      <c r="I2" s="85" t="s">
        <v>15</v>
      </c>
      <c r="J2" s="85" t="s">
        <v>14</v>
      </c>
      <c r="K2" s="85" t="s">
        <v>14</v>
      </c>
      <c r="M2" s="85" t="s">
        <v>15</v>
      </c>
      <c r="N2" s="85" t="s">
        <v>15</v>
      </c>
      <c r="O2" s="85" t="s">
        <v>14</v>
      </c>
      <c r="P2" s="85" t="s">
        <v>14</v>
      </c>
      <c r="Q2" s="85" t="s">
        <v>15</v>
      </c>
      <c r="R2" s="85" t="s">
        <v>14</v>
      </c>
      <c r="S2" s="85" t="s">
        <v>14</v>
      </c>
    </row>
    <row r="3" ht="18" spans="1:19">
      <c r="A3" s="43" t="s">
        <v>16</v>
      </c>
      <c r="C3" s="85" t="s">
        <v>17</v>
      </c>
      <c r="D3" s="85" t="s">
        <v>18</v>
      </c>
      <c r="E3" s="85" t="s">
        <v>19</v>
      </c>
      <c r="F3" s="85" t="s">
        <v>20</v>
      </c>
      <c r="G3" s="85" t="s">
        <v>21</v>
      </c>
      <c r="H3" s="85" t="s">
        <v>22</v>
      </c>
      <c r="I3" s="85" t="s">
        <v>23</v>
      </c>
      <c r="J3" s="85" t="s">
        <v>24</v>
      </c>
      <c r="K3" s="85" t="s">
        <v>25</v>
      </c>
      <c r="M3" s="86" t="s">
        <v>26</v>
      </c>
      <c r="N3" s="86" t="s">
        <v>27</v>
      </c>
      <c r="O3" s="85" t="s">
        <v>28</v>
      </c>
      <c r="P3" s="85" t="s">
        <v>29</v>
      </c>
      <c r="Q3" s="85" t="s">
        <v>30</v>
      </c>
      <c r="R3" s="85" t="s">
        <v>31</v>
      </c>
      <c r="S3" s="85" t="s">
        <v>32</v>
      </c>
    </row>
    <row r="4" ht="88" spans="1:19">
      <c r="A4" s="1" t="s">
        <v>33</v>
      </c>
      <c r="C4" s="85">
        <v>1</v>
      </c>
      <c r="D4" s="85" t="s">
        <v>34</v>
      </c>
      <c r="E4" s="85">
        <v>1</v>
      </c>
      <c r="F4" s="85" t="s">
        <v>35</v>
      </c>
      <c r="G4" s="85" t="s">
        <v>36</v>
      </c>
      <c r="H4" s="85">
        <v>30</v>
      </c>
      <c r="I4" s="85">
        <v>300</v>
      </c>
      <c r="J4" s="85" t="s">
        <v>37</v>
      </c>
      <c r="K4" s="86" t="s">
        <v>38</v>
      </c>
      <c r="M4" s="87">
        <v>10</v>
      </c>
      <c r="N4" s="87">
        <v>1</v>
      </c>
      <c r="O4" s="87" t="s">
        <v>39</v>
      </c>
      <c r="P4" s="87" t="s">
        <v>40</v>
      </c>
      <c r="Q4" s="87">
        <v>0</v>
      </c>
      <c r="R4" s="88" t="s">
        <v>41</v>
      </c>
      <c r="S4" s="87" t="s">
        <v>42</v>
      </c>
    </row>
    <row r="5" ht="88" spans="3:19">
      <c r="C5" s="85">
        <v>2</v>
      </c>
      <c r="D5" s="85" t="s">
        <v>43</v>
      </c>
      <c r="E5" s="85">
        <v>2</v>
      </c>
      <c r="F5" s="85" t="s">
        <v>44</v>
      </c>
      <c r="G5" s="85" t="s">
        <v>36</v>
      </c>
      <c r="H5" s="85">
        <v>198</v>
      </c>
      <c r="I5" s="85">
        <v>1980</v>
      </c>
      <c r="J5" s="85" t="s">
        <v>45</v>
      </c>
      <c r="K5" s="86" t="s">
        <v>46</v>
      </c>
      <c r="M5" s="87">
        <v>11</v>
      </c>
      <c r="N5" s="87">
        <v>1</v>
      </c>
      <c r="O5" s="88" t="s">
        <v>47</v>
      </c>
      <c r="P5" s="87" t="s">
        <v>48</v>
      </c>
      <c r="Q5" s="87">
        <v>0</v>
      </c>
      <c r="R5" s="88" t="s">
        <v>49</v>
      </c>
      <c r="S5" s="87" t="s">
        <v>50</v>
      </c>
    </row>
    <row r="6" ht="88" spans="3:19">
      <c r="C6" s="85">
        <v>3</v>
      </c>
      <c r="D6" s="85" t="s">
        <v>51</v>
      </c>
      <c r="E6" s="85">
        <v>3</v>
      </c>
      <c r="F6" s="85" t="s">
        <v>52</v>
      </c>
      <c r="G6" s="85" t="s">
        <v>36</v>
      </c>
      <c r="H6" s="85">
        <v>328</v>
      </c>
      <c r="I6" s="85">
        <v>3280</v>
      </c>
      <c r="J6" s="85" t="s">
        <v>53</v>
      </c>
      <c r="K6" s="86" t="s">
        <v>54</v>
      </c>
      <c r="M6" s="87">
        <v>12</v>
      </c>
      <c r="N6" s="87">
        <v>1</v>
      </c>
      <c r="O6" s="88" t="s">
        <v>47</v>
      </c>
      <c r="P6" s="87" t="s">
        <v>55</v>
      </c>
      <c r="Q6" s="87">
        <v>0</v>
      </c>
      <c r="R6" s="87" t="s">
        <v>47</v>
      </c>
      <c r="S6" s="87" t="s">
        <v>56</v>
      </c>
    </row>
    <row r="7" ht="88" spans="3:19">
      <c r="C7" s="85">
        <v>4</v>
      </c>
      <c r="D7" s="85" t="s">
        <v>57</v>
      </c>
      <c r="E7" s="85">
        <v>4</v>
      </c>
      <c r="F7" s="85" t="s">
        <v>58</v>
      </c>
      <c r="G7" s="85" t="s">
        <v>36</v>
      </c>
      <c r="H7" s="85">
        <v>648</v>
      </c>
      <c r="I7" s="85">
        <v>6480</v>
      </c>
      <c r="J7" s="85" t="s">
        <v>59</v>
      </c>
      <c r="K7" s="86" t="s">
        <v>60</v>
      </c>
      <c r="M7" s="87">
        <v>13</v>
      </c>
      <c r="N7" s="87">
        <v>1</v>
      </c>
      <c r="O7" s="87" t="s">
        <v>47</v>
      </c>
      <c r="P7" s="87" t="s">
        <v>61</v>
      </c>
      <c r="Q7" s="87">
        <v>0</v>
      </c>
      <c r="R7" s="87" t="s">
        <v>47</v>
      </c>
      <c r="S7" s="87" t="s">
        <v>62</v>
      </c>
    </row>
    <row r="8" ht="88" spans="3:19">
      <c r="C8" s="85">
        <v>5</v>
      </c>
      <c r="D8" s="85" t="s">
        <v>63</v>
      </c>
      <c r="E8" s="85">
        <v>4</v>
      </c>
      <c r="F8" s="85" t="s">
        <v>58</v>
      </c>
      <c r="G8" s="85" t="s">
        <v>36</v>
      </c>
      <c r="H8" s="85">
        <v>328</v>
      </c>
      <c r="I8" s="85">
        <v>3280</v>
      </c>
      <c r="J8" s="85" t="s">
        <v>53</v>
      </c>
      <c r="K8" s="86" t="s">
        <v>64</v>
      </c>
      <c r="M8" s="87">
        <v>14</v>
      </c>
      <c r="N8" s="87">
        <v>1</v>
      </c>
      <c r="O8" s="87" t="s">
        <v>65</v>
      </c>
      <c r="P8" s="87" t="s">
        <v>66</v>
      </c>
      <c r="Q8" s="87">
        <v>0</v>
      </c>
      <c r="R8" s="87" t="s">
        <v>47</v>
      </c>
      <c r="S8" s="87" t="s">
        <v>67</v>
      </c>
    </row>
    <row r="9" ht="88" spans="3:19">
      <c r="C9" s="85">
        <v>6</v>
      </c>
      <c r="D9" s="85" t="s">
        <v>68</v>
      </c>
      <c r="E9" s="85">
        <v>5</v>
      </c>
      <c r="F9" s="85" t="s">
        <v>69</v>
      </c>
      <c r="G9" s="85" t="s">
        <v>36</v>
      </c>
      <c r="H9" s="85">
        <v>648</v>
      </c>
      <c r="I9" s="85">
        <v>6480</v>
      </c>
      <c r="J9" s="85" t="s">
        <v>59</v>
      </c>
      <c r="K9" s="86" t="s">
        <v>70</v>
      </c>
      <c r="M9" s="87">
        <v>15</v>
      </c>
      <c r="N9" s="87">
        <v>1</v>
      </c>
      <c r="O9" s="87" t="s">
        <v>47</v>
      </c>
      <c r="P9" s="87" t="s">
        <v>71</v>
      </c>
      <c r="Q9" s="87">
        <v>0</v>
      </c>
      <c r="R9" s="87" t="s">
        <v>47</v>
      </c>
      <c r="S9" s="87" t="s">
        <v>72</v>
      </c>
    </row>
    <row r="10" ht="88" spans="3:19">
      <c r="C10" s="85">
        <v>7</v>
      </c>
      <c r="D10" s="85" t="s">
        <v>73</v>
      </c>
      <c r="E10" s="85">
        <v>5</v>
      </c>
      <c r="F10" s="85" t="s">
        <v>69</v>
      </c>
      <c r="G10" s="85" t="s">
        <v>36</v>
      </c>
      <c r="H10" s="85">
        <v>328</v>
      </c>
      <c r="I10" s="85">
        <v>3280</v>
      </c>
      <c r="J10" s="85" t="s">
        <v>53</v>
      </c>
      <c r="K10" s="86" t="s">
        <v>74</v>
      </c>
      <c r="M10" s="87">
        <v>16</v>
      </c>
      <c r="N10" s="87">
        <v>1</v>
      </c>
      <c r="O10" s="87" t="s">
        <v>75</v>
      </c>
      <c r="P10" s="89" t="s">
        <v>76</v>
      </c>
      <c r="Q10" s="87">
        <v>15000</v>
      </c>
      <c r="R10" s="87" t="s">
        <v>47</v>
      </c>
      <c r="S10" s="87" t="s">
        <v>77</v>
      </c>
    </row>
    <row r="11" ht="18" spans="13:19">
      <c r="M11" s="87">
        <v>17</v>
      </c>
      <c r="N11" s="87">
        <v>1</v>
      </c>
      <c r="O11" s="87" t="s">
        <v>47</v>
      </c>
      <c r="P11" s="87" t="s">
        <v>78</v>
      </c>
      <c r="Q11" s="87">
        <v>0</v>
      </c>
      <c r="R11" s="87" t="s">
        <v>47</v>
      </c>
      <c r="S11" s="87" t="s">
        <v>79</v>
      </c>
    </row>
    <row r="12" ht="18" spans="13:19">
      <c r="M12" s="87">
        <v>18</v>
      </c>
      <c r="N12" s="87">
        <v>1</v>
      </c>
      <c r="O12" s="87" t="s">
        <v>80</v>
      </c>
      <c r="P12" s="87" t="s">
        <v>81</v>
      </c>
      <c r="Q12" s="87">
        <v>15000</v>
      </c>
      <c r="R12" s="87" t="s">
        <v>47</v>
      </c>
      <c r="S12" s="87" t="s">
        <v>82</v>
      </c>
    </row>
    <row r="13" ht="18" spans="13:19">
      <c r="M13" s="87">
        <v>19</v>
      </c>
      <c r="N13" s="87">
        <v>1</v>
      </c>
      <c r="O13" s="87" t="s">
        <v>47</v>
      </c>
      <c r="P13" s="87" t="s">
        <v>83</v>
      </c>
      <c r="Q13" s="87">
        <v>0</v>
      </c>
      <c r="R13" s="87" t="s">
        <v>47</v>
      </c>
      <c r="S13" s="87" t="s">
        <v>84</v>
      </c>
    </row>
    <row r="14" ht="18" spans="13:19">
      <c r="M14" s="87">
        <v>20</v>
      </c>
      <c r="N14" s="87">
        <v>1</v>
      </c>
      <c r="O14" s="87" t="s">
        <v>85</v>
      </c>
      <c r="P14" s="89" t="s">
        <v>86</v>
      </c>
      <c r="Q14" s="87">
        <v>15000</v>
      </c>
      <c r="R14" s="87" t="s">
        <v>47</v>
      </c>
      <c r="S14" s="87" t="s">
        <v>87</v>
      </c>
    </row>
    <row r="15" ht="18" spans="13:19">
      <c r="M15" s="91">
        <v>21</v>
      </c>
      <c r="N15" s="91">
        <v>2</v>
      </c>
      <c r="O15" s="91" t="s">
        <v>47</v>
      </c>
      <c r="P15" s="91" t="s">
        <v>88</v>
      </c>
      <c r="Q15" s="91">
        <v>0</v>
      </c>
      <c r="R15" s="91" t="s">
        <v>47</v>
      </c>
      <c r="S15" s="91" t="s">
        <v>89</v>
      </c>
    </row>
    <row r="16" ht="18" spans="13:19">
      <c r="M16" s="91">
        <v>22</v>
      </c>
      <c r="N16" s="91">
        <v>2</v>
      </c>
      <c r="O16" s="91" t="s">
        <v>90</v>
      </c>
      <c r="P16" s="91" t="s">
        <v>91</v>
      </c>
      <c r="Q16" s="91">
        <v>20000</v>
      </c>
      <c r="R16" s="91" t="s">
        <v>47</v>
      </c>
      <c r="S16" s="91" t="s">
        <v>92</v>
      </c>
    </row>
    <row r="17" ht="18" spans="13:19">
      <c r="M17" s="91">
        <v>23</v>
      </c>
      <c r="N17" s="91">
        <v>2</v>
      </c>
      <c r="O17" s="91" t="s">
        <v>47</v>
      </c>
      <c r="P17" s="91" t="s">
        <v>93</v>
      </c>
      <c r="Q17" s="91">
        <v>0</v>
      </c>
      <c r="R17" s="91" t="s">
        <v>47</v>
      </c>
      <c r="S17" s="91" t="s">
        <v>94</v>
      </c>
    </row>
    <row r="18" ht="18" spans="13:19">
      <c r="M18" s="91">
        <v>24</v>
      </c>
      <c r="N18" s="91">
        <v>2</v>
      </c>
      <c r="O18" s="91" t="s">
        <v>95</v>
      </c>
      <c r="P18" s="92" t="s">
        <v>96</v>
      </c>
      <c r="Q18" s="91">
        <v>20000</v>
      </c>
      <c r="R18" s="91" t="s">
        <v>47</v>
      </c>
      <c r="S18" s="91" t="s">
        <v>97</v>
      </c>
    </row>
    <row r="19" ht="18" spans="13:19">
      <c r="M19" s="91">
        <v>25</v>
      </c>
      <c r="N19" s="91">
        <v>2</v>
      </c>
      <c r="O19" s="91" t="s">
        <v>47</v>
      </c>
      <c r="P19" s="91" t="s">
        <v>98</v>
      </c>
      <c r="Q19" s="91">
        <v>0</v>
      </c>
      <c r="R19" s="91" t="s">
        <v>47</v>
      </c>
      <c r="S19" s="91" t="s">
        <v>99</v>
      </c>
    </row>
    <row r="20" ht="18" spans="13:19">
      <c r="M20" s="93">
        <v>26</v>
      </c>
      <c r="N20" s="93">
        <v>3</v>
      </c>
      <c r="O20" s="93" t="s">
        <v>75</v>
      </c>
      <c r="P20" s="94" t="s">
        <v>100</v>
      </c>
      <c r="Q20" s="93">
        <v>30000</v>
      </c>
      <c r="R20" s="93" t="s">
        <v>47</v>
      </c>
      <c r="S20" s="93" t="s">
        <v>97</v>
      </c>
    </row>
    <row r="21" ht="18" spans="13:19">
      <c r="M21" s="93">
        <v>27</v>
      </c>
      <c r="N21" s="93">
        <v>3</v>
      </c>
      <c r="O21" s="93" t="s">
        <v>47</v>
      </c>
      <c r="P21" s="93" t="s">
        <v>101</v>
      </c>
      <c r="Q21" s="93">
        <v>0</v>
      </c>
      <c r="R21" s="93" t="s">
        <v>47</v>
      </c>
      <c r="S21" s="93" t="s">
        <v>102</v>
      </c>
    </row>
    <row r="22" ht="18" spans="13:19">
      <c r="M22" s="93">
        <v>28</v>
      </c>
      <c r="N22" s="93">
        <v>3</v>
      </c>
      <c r="O22" s="93" t="s">
        <v>103</v>
      </c>
      <c r="P22" s="93" t="s">
        <v>104</v>
      </c>
      <c r="Q22" s="93">
        <v>30000</v>
      </c>
      <c r="R22" s="93" t="s">
        <v>47</v>
      </c>
      <c r="S22" s="93" t="s">
        <v>105</v>
      </c>
    </row>
    <row r="23" ht="18" spans="13:19">
      <c r="M23" s="93">
        <v>29</v>
      </c>
      <c r="N23" s="93">
        <v>3</v>
      </c>
      <c r="O23" s="93" t="s">
        <v>47</v>
      </c>
      <c r="P23" s="93" t="s">
        <v>42</v>
      </c>
      <c r="Q23" s="93">
        <v>0</v>
      </c>
      <c r="R23" s="93" t="s">
        <v>47</v>
      </c>
      <c r="S23" s="93" t="s">
        <v>106</v>
      </c>
    </row>
    <row r="24" ht="18" spans="13:19">
      <c r="M24" s="93">
        <v>30</v>
      </c>
      <c r="N24" s="93">
        <v>3</v>
      </c>
      <c r="O24" s="93" t="s">
        <v>107</v>
      </c>
      <c r="P24" s="94" t="s">
        <v>108</v>
      </c>
      <c r="Q24" s="93">
        <v>30000</v>
      </c>
      <c r="R24" s="93" t="s">
        <v>47</v>
      </c>
      <c r="S24" s="93" t="s">
        <v>109</v>
      </c>
    </row>
    <row r="25" ht="18" spans="13:19">
      <c r="M25" s="96">
        <v>31</v>
      </c>
      <c r="N25" s="96">
        <v>4</v>
      </c>
      <c r="O25" s="96" t="s">
        <v>47</v>
      </c>
      <c r="P25" s="96" t="s">
        <v>50</v>
      </c>
      <c r="Q25" s="96">
        <v>0</v>
      </c>
      <c r="R25" s="96" t="s">
        <v>47</v>
      </c>
      <c r="S25" s="96" t="s">
        <v>109</v>
      </c>
    </row>
    <row r="26" ht="18" spans="13:19">
      <c r="M26" s="96">
        <v>32</v>
      </c>
      <c r="N26" s="96">
        <v>4</v>
      </c>
      <c r="O26" s="96" t="s">
        <v>110</v>
      </c>
      <c r="P26" s="96" t="s">
        <v>111</v>
      </c>
      <c r="Q26" s="96">
        <v>40000</v>
      </c>
      <c r="R26" s="96" t="s">
        <v>47</v>
      </c>
      <c r="S26" s="96" t="s">
        <v>112</v>
      </c>
    </row>
    <row r="27" ht="18" spans="13:19">
      <c r="M27" s="96">
        <v>33</v>
      </c>
      <c r="N27" s="96">
        <v>4</v>
      </c>
      <c r="O27" s="96" t="s">
        <v>47</v>
      </c>
      <c r="P27" s="96" t="s">
        <v>56</v>
      </c>
      <c r="Q27" s="96">
        <v>0</v>
      </c>
      <c r="R27" s="96" t="s">
        <v>47</v>
      </c>
      <c r="S27" s="96" t="s">
        <v>113</v>
      </c>
    </row>
    <row r="28" ht="18" spans="13:19">
      <c r="M28" s="96">
        <v>34</v>
      </c>
      <c r="N28" s="96">
        <v>4</v>
      </c>
      <c r="O28" s="96" t="s">
        <v>114</v>
      </c>
      <c r="P28" s="96" t="s">
        <v>115</v>
      </c>
      <c r="Q28" s="96">
        <v>40000</v>
      </c>
      <c r="R28" s="96" t="s">
        <v>47</v>
      </c>
      <c r="S28" s="96" t="s">
        <v>116</v>
      </c>
    </row>
    <row r="29" ht="18" spans="13:19">
      <c r="M29" s="96">
        <v>35</v>
      </c>
      <c r="N29" s="96">
        <v>4</v>
      </c>
      <c r="O29" s="96" t="s">
        <v>47</v>
      </c>
      <c r="P29" s="96" t="s">
        <v>67</v>
      </c>
      <c r="Q29" s="96">
        <v>0</v>
      </c>
      <c r="R29" s="96" t="s">
        <v>47</v>
      </c>
      <c r="S29" s="96" t="s">
        <v>117</v>
      </c>
    </row>
    <row r="30" ht="18" spans="13:19">
      <c r="M30" s="97">
        <v>31</v>
      </c>
      <c r="N30" s="97">
        <v>5</v>
      </c>
      <c r="O30" s="97" t="s">
        <v>47</v>
      </c>
      <c r="P30" s="97" t="s">
        <v>50</v>
      </c>
      <c r="Q30" s="97">
        <v>0</v>
      </c>
      <c r="R30" s="97" t="s">
        <v>47</v>
      </c>
      <c r="S30" s="97" t="s">
        <v>102</v>
      </c>
    </row>
    <row r="31" ht="18" spans="13:19">
      <c r="M31" s="97">
        <v>32</v>
      </c>
      <c r="N31" s="97">
        <v>5</v>
      </c>
      <c r="O31" s="97" t="s">
        <v>110</v>
      </c>
      <c r="P31" s="97" t="s">
        <v>111</v>
      </c>
      <c r="Q31" s="97">
        <v>40000</v>
      </c>
      <c r="R31" s="97" t="s">
        <v>47</v>
      </c>
      <c r="S31" s="97" t="s">
        <v>99</v>
      </c>
    </row>
    <row r="32" ht="18" spans="13:19">
      <c r="M32" s="97">
        <v>33</v>
      </c>
      <c r="N32" s="97">
        <v>5</v>
      </c>
      <c r="O32" s="97" t="s">
        <v>47</v>
      </c>
      <c r="P32" s="97" t="s">
        <v>56</v>
      </c>
      <c r="Q32" s="97">
        <v>0</v>
      </c>
      <c r="R32" s="97" t="s">
        <v>47</v>
      </c>
      <c r="S32" s="97" t="s">
        <v>118</v>
      </c>
    </row>
    <row r="33" ht="18" spans="13:19">
      <c r="M33" s="97">
        <v>34</v>
      </c>
      <c r="N33" s="97">
        <v>5</v>
      </c>
      <c r="O33" s="97" t="s">
        <v>114</v>
      </c>
      <c r="P33" s="97" t="s">
        <v>115</v>
      </c>
      <c r="Q33" s="97">
        <v>40000</v>
      </c>
      <c r="R33" s="97" t="s">
        <v>47</v>
      </c>
      <c r="S33" s="97" t="s">
        <v>119</v>
      </c>
    </row>
    <row r="34" ht="18" spans="13:19">
      <c r="M34" s="97">
        <v>35</v>
      </c>
      <c r="N34" s="97">
        <v>5</v>
      </c>
      <c r="O34" s="97" t="s">
        <v>47</v>
      </c>
      <c r="P34" s="97" t="s">
        <v>67</v>
      </c>
      <c r="Q34" s="97">
        <v>0</v>
      </c>
      <c r="R34" s="97" t="s">
        <v>47</v>
      </c>
      <c r="S34" s="97" t="s">
        <v>109</v>
      </c>
    </row>
    <row r="35" ht="18" spans="13:19">
      <c r="M35" s="96">
        <v>36</v>
      </c>
      <c r="N35" s="96">
        <v>6</v>
      </c>
      <c r="O35" s="96" t="s">
        <v>120</v>
      </c>
      <c r="P35" s="96" t="s">
        <v>121</v>
      </c>
      <c r="Q35" s="96">
        <v>50000</v>
      </c>
      <c r="R35" s="96" t="s">
        <v>47</v>
      </c>
      <c r="S35" s="96" t="s">
        <v>112</v>
      </c>
    </row>
    <row r="36" ht="18" spans="13:19">
      <c r="M36" s="96">
        <v>37</v>
      </c>
      <c r="N36" s="96">
        <v>6</v>
      </c>
      <c r="O36" s="96" t="s">
        <v>47</v>
      </c>
      <c r="P36" s="96" t="s">
        <v>77</v>
      </c>
      <c r="Q36" s="96">
        <v>0</v>
      </c>
      <c r="R36" s="96" t="s">
        <v>47</v>
      </c>
      <c r="S36" s="96" t="s">
        <v>113</v>
      </c>
    </row>
    <row r="37" ht="18" spans="13:19">
      <c r="M37" s="96">
        <v>38</v>
      </c>
      <c r="N37" s="96">
        <v>6</v>
      </c>
      <c r="O37" s="96" t="s">
        <v>122</v>
      </c>
      <c r="P37" s="96" t="s">
        <v>123</v>
      </c>
      <c r="Q37" s="96">
        <v>50000</v>
      </c>
      <c r="R37" s="96" t="s">
        <v>47</v>
      </c>
      <c r="S37" s="96" t="s">
        <v>116</v>
      </c>
    </row>
    <row r="38" ht="18" spans="13:19">
      <c r="M38" s="96">
        <v>39</v>
      </c>
      <c r="N38" s="96">
        <v>6</v>
      </c>
      <c r="O38" s="96" t="s">
        <v>47</v>
      </c>
      <c r="P38" s="96" t="s">
        <v>87</v>
      </c>
      <c r="Q38" s="96">
        <v>0</v>
      </c>
      <c r="R38" s="96" t="s">
        <v>47</v>
      </c>
      <c r="S38" s="96" t="s">
        <v>117</v>
      </c>
    </row>
    <row r="39" ht="18" spans="13:19">
      <c r="M39" s="96">
        <v>40</v>
      </c>
      <c r="N39" s="96">
        <v>6</v>
      </c>
      <c r="O39" s="96" t="s">
        <v>124</v>
      </c>
      <c r="P39" s="99" t="s">
        <v>125</v>
      </c>
      <c r="Q39" s="96">
        <v>100000</v>
      </c>
      <c r="R39" s="96" t="s">
        <v>47</v>
      </c>
      <c r="S39" s="96" t="s">
        <v>126</v>
      </c>
    </row>
    <row r="40" ht="18" spans="13:19">
      <c r="M40" s="97">
        <v>36</v>
      </c>
      <c r="N40" s="97">
        <v>7</v>
      </c>
      <c r="O40" s="97" t="s">
        <v>120</v>
      </c>
      <c r="P40" s="97" t="s">
        <v>121</v>
      </c>
      <c r="Q40" s="97">
        <v>50000</v>
      </c>
      <c r="R40" s="97" t="s">
        <v>47</v>
      </c>
      <c r="S40" s="97" t="s">
        <v>99</v>
      </c>
    </row>
    <row r="41" ht="18" spans="13:19">
      <c r="M41" s="97">
        <v>37</v>
      </c>
      <c r="N41" s="97">
        <v>7</v>
      </c>
      <c r="O41" s="97" t="s">
        <v>47</v>
      </c>
      <c r="P41" s="97" t="s">
        <v>77</v>
      </c>
      <c r="Q41" s="97">
        <v>0</v>
      </c>
      <c r="R41" s="97" t="s">
        <v>47</v>
      </c>
      <c r="S41" s="97" t="s">
        <v>118</v>
      </c>
    </row>
    <row r="42" ht="18" spans="13:19">
      <c r="M42" s="97">
        <v>38</v>
      </c>
      <c r="N42" s="97">
        <v>7</v>
      </c>
      <c r="O42" s="97" t="s">
        <v>122</v>
      </c>
      <c r="P42" s="97" t="s">
        <v>123</v>
      </c>
      <c r="Q42" s="97">
        <v>50000</v>
      </c>
      <c r="R42" s="97" t="s">
        <v>47</v>
      </c>
      <c r="S42" s="97" t="s">
        <v>106</v>
      </c>
    </row>
    <row r="43" ht="18" spans="13:19">
      <c r="M43" s="97">
        <v>39</v>
      </c>
      <c r="N43" s="97">
        <v>7</v>
      </c>
      <c r="O43" s="97" t="s">
        <v>47</v>
      </c>
      <c r="P43" s="97" t="s">
        <v>87</v>
      </c>
      <c r="Q43" s="97">
        <v>0</v>
      </c>
      <c r="R43" s="97" t="s">
        <v>47</v>
      </c>
      <c r="S43" s="97" t="s">
        <v>109</v>
      </c>
    </row>
    <row r="44" ht="18" spans="13:19">
      <c r="M44" s="97">
        <v>40</v>
      </c>
      <c r="N44" s="97">
        <v>7</v>
      </c>
      <c r="O44" s="97" t="s">
        <v>124</v>
      </c>
      <c r="P44" s="100" t="s">
        <v>125</v>
      </c>
      <c r="Q44" s="97">
        <v>100000</v>
      </c>
      <c r="R44" s="97" t="s">
        <v>47</v>
      </c>
      <c r="S44" s="97" t="s">
        <v>112</v>
      </c>
    </row>
  </sheetData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S44"/>
  <sheetViews>
    <sheetView workbookViewId="0">
      <selection activeCell="M3" sqref="M3"/>
    </sheetView>
  </sheetViews>
  <sheetFormatPr defaultColWidth="8.875" defaultRowHeight="15.2"/>
  <cols>
    <col min="1" max="1" width="10.5" customWidth="1"/>
    <col min="4" max="4" width="18.625" customWidth="1"/>
    <col min="8" max="8" width="11.875" customWidth="1"/>
    <col min="9" max="9" width="14.5" customWidth="1"/>
    <col min="10" max="10" width="15.125" customWidth="1"/>
    <col min="11" max="11" width="11.375" customWidth="1"/>
    <col min="13" max="13" width="12.6052631578947" customWidth="1"/>
    <col min="14" max="14" width="8.5" customWidth="1"/>
    <col min="15" max="15" width="27.125" customWidth="1"/>
    <col min="16" max="16" width="42" customWidth="1"/>
    <col min="17" max="17" width="14" customWidth="1"/>
    <col min="19" max="19" width="31.125" customWidth="1"/>
  </cols>
  <sheetData>
    <row r="1" ht="18" spans="1:19">
      <c r="A1" s="1" t="s">
        <v>0</v>
      </c>
      <c r="C1" s="85" t="s">
        <v>1</v>
      </c>
      <c r="D1" s="85" t="s">
        <v>2</v>
      </c>
      <c r="E1" s="85" t="s">
        <v>3</v>
      </c>
      <c r="F1" s="85" t="s">
        <v>4</v>
      </c>
      <c r="G1" s="85" t="s">
        <v>5</v>
      </c>
      <c r="H1" s="85" t="s">
        <v>6</v>
      </c>
      <c r="I1" s="85" t="s">
        <v>7</v>
      </c>
      <c r="J1" s="85" t="s">
        <v>8</v>
      </c>
      <c r="K1" s="85" t="s">
        <v>9</v>
      </c>
      <c r="M1" s="85" t="s">
        <v>10</v>
      </c>
      <c r="N1" s="85" t="s">
        <v>1</v>
      </c>
      <c r="O1" s="85" t="s">
        <v>9</v>
      </c>
      <c r="P1" s="85" t="s">
        <v>11</v>
      </c>
      <c r="Q1" s="85" t="s">
        <v>12</v>
      </c>
      <c r="R1" s="85" t="s">
        <v>9</v>
      </c>
      <c r="S1" s="85" t="s">
        <v>13</v>
      </c>
    </row>
    <row r="2" ht="18" spans="1:19">
      <c r="A2" s="1" t="s">
        <v>14</v>
      </c>
      <c r="C2" s="85" t="s">
        <v>15</v>
      </c>
      <c r="D2" s="85" t="s">
        <v>14</v>
      </c>
      <c r="E2" s="85" t="s">
        <v>15</v>
      </c>
      <c r="F2" s="85" t="s">
        <v>14</v>
      </c>
      <c r="G2" s="85" t="s">
        <v>14</v>
      </c>
      <c r="H2" s="85" t="s">
        <v>15</v>
      </c>
      <c r="I2" s="85" t="s">
        <v>15</v>
      </c>
      <c r="J2" s="85" t="s">
        <v>14</v>
      </c>
      <c r="K2" s="85" t="s">
        <v>14</v>
      </c>
      <c r="M2" s="85" t="s">
        <v>15</v>
      </c>
      <c r="N2" s="85" t="s">
        <v>15</v>
      </c>
      <c r="O2" s="85" t="s">
        <v>14</v>
      </c>
      <c r="P2" s="85" t="s">
        <v>14</v>
      </c>
      <c r="Q2" s="85" t="s">
        <v>15</v>
      </c>
      <c r="R2" s="85" t="s">
        <v>14</v>
      </c>
      <c r="S2" s="85" t="s">
        <v>14</v>
      </c>
    </row>
    <row r="3" ht="18" spans="1:19">
      <c r="A3" s="43" t="s">
        <v>16</v>
      </c>
      <c r="C3" s="85" t="s">
        <v>17</v>
      </c>
      <c r="D3" s="85" t="s">
        <v>18</v>
      </c>
      <c r="E3" s="85" t="s">
        <v>19</v>
      </c>
      <c r="F3" s="85" t="s">
        <v>20</v>
      </c>
      <c r="G3" s="85" t="s">
        <v>21</v>
      </c>
      <c r="H3" s="85" t="s">
        <v>22</v>
      </c>
      <c r="I3" s="85" t="s">
        <v>23</v>
      </c>
      <c r="J3" s="85" t="s">
        <v>24</v>
      </c>
      <c r="K3" s="85" t="s">
        <v>25</v>
      </c>
      <c r="M3" s="86" t="s">
        <v>26</v>
      </c>
      <c r="N3" s="86" t="s">
        <v>27</v>
      </c>
      <c r="O3" s="85" t="s">
        <v>28</v>
      </c>
      <c r="P3" s="85" t="s">
        <v>29</v>
      </c>
      <c r="Q3" s="85" t="s">
        <v>30</v>
      </c>
      <c r="R3" s="85" t="s">
        <v>31</v>
      </c>
      <c r="S3" s="85" t="s">
        <v>32</v>
      </c>
    </row>
    <row r="4" ht="88" spans="1:19">
      <c r="A4" s="1" t="s">
        <v>33</v>
      </c>
      <c r="C4" s="85">
        <v>1</v>
      </c>
      <c r="D4" s="85" t="s">
        <v>34</v>
      </c>
      <c r="E4" s="85">
        <v>1</v>
      </c>
      <c r="F4" s="85" t="s">
        <v>35</v>
      </c>
      <c r="G4" s="85" t="s">
        <v>127</v>
      </c>
      <c r="H4" s="85">
        <v>30</v>
      </c>
      <c r="I4" s="85">
        <v>300</v>
      </c>
      <c r="J4" s="85" t="s">
        <v>37</v>
      </c>
      <c r="K4" s="86" t="s">
        <v>38</v>
      </c>
      <c r="M4" s="87">
        <v>10</v>
      </c>
      <c r="N4" s="87">
        <v>1</v>
      </c>
      <c r="O4" s="87" t="s">
        <v>39</v>
      </c>
      <c r="P4" s="87" t="s">
        <v>40</v>
      </c>
      <c r="Q4" s="87">
        <v>0</v>
      </c>
      <c r="R4" s="88" t="s">
        <v>41</v>
      </c>
      <c r="S4" s="87" t="s">
        <v>42</v>
      </c>
    </row>
    <row r="5" ht="88" spans="3:19">
      <c r="C5" s="85">
        <v>2</v>
      </c>
      <c r="D5" s="85" t="s">
        <v>43</v>
      </c>
      <c r="E5" s="85">
        <v>2</v>
      </c>
      <c r="F5" s="85" t="s">
        <v>44</v>
      </c>
      <c r="G5" s="85" t="s">
        <v>127</v>
      </c>
      <c r="H5" s="85">
        <v>198</v>
      </c>
      <c r="I5" s="85">
        <v>1980</v>
      </c>
      <c r="J5" s="85" t="s">
        <v>45</v>
      </c>
      <c r="K5" s="86" t="s">
        <v>46</v>
      </c>
      <c r="M5" s="87">
        <v>11</v>
      </c>
      <c r="N5" s="87">
        <v>1</v>
      </c>
      <c r="O5" s="88" t="s">
        <v>47</v>
      </c>
      <c r="P5" s="87" t="s">
        <v>48</v>
      </c>
      <c r="Q5" s="87">
        <v>0</v>
      </c>
      <c r="R5" s="88" t="s">
        <v>49</v>
      </c>
      <c r="S5" s="87" t="s">
        <v>50</v>
      </c>
    </row>
    <row r="6" ht="88" spans="3:19">
      <c r="C6" s="85">
        <v>3</v>
      </c>
      <c r="D6" s="85" t="s">
        <v>51</v>
      </c>
      <c r="E6" s="85">
        <v>3</v>
      </c>
      <c r="F6" s="85" t="s">
        <v>52</v>
      </c>
      <c r="G6" s="85" t="s">
        <v>127</v>
      </c>
      <c r="H6" s="85">
        <v>328</v>
      </c>
      <c r="I6" s="85">
        <v>3280</v>
      </c>
      <c r="J6" s="85" t="s">
        <v>53</v>
      </c>
      <c r="K6" s="86" t="s">
        <v>54</v>
      </c>
      <c r="M6" s="87">
        <v>12</v>
      </c>
      <c r="N6" s="87">
        <v>1</v>
      </c>
      <c r="O6" s="88" t="s">
        <v>47</v>
      </c>
      <c r="P6" s="87" t="s">
        <v>55</v>
      </c>
      <c r="Q6" s="87">
        <v>0</v>
      </c>
      <c r="R6" s="87" t="s">
        <v>47</v>
      </c>
      <c r="S6" s="87" t="s">
        <v>56</v>
      </c>
    </row>
    <row r="7" ht="88" spans="3:19">
      <c r="C7" s="85">
        <v>4</v>
      </c>
      <c r="D7" s="85" t="s">
        <v>57</v>
      </c>
      <c r="E7" s="85">
        <v>4</v>
      </c>
      <c r="F7" s="85" t="s">
        <v>58</v>
      </c>
      <c r="G7" s="85" t="s">
        <v>127</v>
      </c>
      <c r="H7" s="85">
        <v>648</v>
      </c>
      <c r="I7" s="85">
        <v>6480</v>
      </c>
      <c r="J7" s="85" t="s">
        <v>59</v>
      </c>
      <c r="K7" s="86" t="s">
        <v>60</v>
      </c>
      <c r="M7" s="87">
        <v>13</v>
      </c>
      <c r="N7" s="87">
        <v>1</v>
      </c>
      <c r="O7" s="87" t="s">
        <v>47</v>
      </c>
      <c r="P7" s="87" t="s">
        <v>61</v>
      </c>
      <c r="Q7" s="87">
        <v>0</v>
      </c>
      <c r="R7" s="87" t="s">
        <v>47</v>
      </c>
      <c r="S7" s="87" t="s">
        <v>62</v>
      </c>
    </row>
    <row r="8" ht="88" spans="3:19">
      <c r="C8" s="85">
        <v>5</v>
      </c>
      <c r="D8" s="85" t="s">
        <v>63</v>
      </c>
      <c r="E8" s="85">
        <v>4</v>
      </c>
      <c r="F8" s="85" t="s">
        <v>58</v>
      </c>
      <c r="G8" s="85" t="s">
        <v>127</v>
      </c>
      <c r="H8" s="85">
        <v>328</v>
      </c>
      <c r="I8" s="85">
        <v>3280</v>
      </c>
      <c r="J8" s="85" t="s">
        <v>53</v>
      </c>
      <c r="K8" s="86" t="s">
        <v>64</v>
      </c>
      <c r="M8" s="87">
        <v>14</v>
      </c>
      <c r="N8" s="87">
        <v>1</v>
      </c>
      <c r="O8" s="87" t="s">
        <v>65</v>
      </c>
      <c r="P8" s="87" t="s">
        <v>66</v>
      </c>
      <c r="Q8" s="87">
        <v>0</v>
      </c>
      <c r="R8" s="87" t="s">
        <v>47</v>
      </c>
      <c r="S8" s="87" t="s">
        <v>67</v>
      </c>
    </row>
    <row r="9" ht="88" spans="3:19">
      <c r="C9" s="85">
        <v>6</v>
      </c>
      <c r="D9" s="85" t="s">
        <v>68</v>
      </c>
      <c r="E9" s="85">
        <v>5</v>
      </c>
      <c r="F9" s="85" t="s">
        <v>69</v>
      </c>
      <c r="G9" s="85" t="s">
        <v>127</v>
      </c>
      <c r="H9" s="85">
        <v>648</v>
      </c>
      <c r="I9" s="85">
        <v>6480</v>
      </c>
      <c r="J9" s="85" t="s">
        <v>59</v>
      </c>
      <c r="K9" s="86" t="s">
        <v>70</v>
      </c>
      <c r="M9" s="87">
        <v>15</v>
      </c>
      <c r="N9" s="87">
        <v>1</v>
      </c>
      <c r="O9" s="87" t="s">
        <v>47</v>
      </c>
      <c r="P9" s="87" t="s">
        <v>71</v>
      </c>
      <c r="Q9" s="87">
        <v>0</v>
      </c>
      <c r="R9" s="87" t="s">
        <v>47</v>
      </c>
      <c r="S9" s="87" t="s">
        <v>72</v>
      </c>
    </row>
    <row r="10" ht="88" spans="3:19">
      <c r="C10" s="85">
        <v>7</v>
      </c>
      <c r="D10" s="85" t="s">
        <v>73</v>
      </c>
      <c r="E10" s="85">
        <v>5</v>
      </c>
      <c r="F10" s="85" t="s">
        <v>69</v>
      </c>
      <c r="G10" s="85" t="s">
        <v>127</v>
      </c>
      <c r="H10" s="85">
        <v>328</v>
      </c>
      <c r="I10" s="85">
        <v>3280</v>
      </c>
      <c r="J10" s="85" t="s">
        <v>53</v>
      </c>
      <c r="K10" s="86" t="s">
        <v>74</v>
      </c>
      <c r="M10" s="87">
        <v>16</v>
      </c>
      <c r="N10" s="87">
        <v>1</v>
      </c>
      <c r="O10" s="87" t="s">
        <v>75</v>
      </c>
      <c r="P10" s="89" t="s">
        <v>76</v>
      </c>
      <c r="Q10" s="87">
        <v>15000</v>
      </c>
      <c r="R10" s="87" t="s">
        <v>47</v>
      </c>
      <c r="S10" s="87" t="s">
        <v>77</v>
      </c>
    </row>
    <row r="11" ht="18" spans="13:19">
      <c r="M11" s="87">
        <v>17</v>
      </c>
      <c r="N11" s="87">
        <v>1</v>
      </c>
      <c r="O11" s="87" t="s">
        <v>47</v>
      </c>
      <c r="P11" s="87" t="s">
        <v>78</v>
      </c>
      <c r="Q11" s="87">
        <v>0</v>
      </c>
      <c r="R11" s="87" t="s">
        <v>47</v>
      </c>
      <c r="S11" s="87" t="s">
        <v>79</v>
      </c>
    </row>
    <row r="12" ht="21" spans="13:19">
      <c r="M12" s="87">
        <v>18</v>
      </c>
      <c r="N12" s="87">
        <v>1</v>
      </c>
      <c r="O12" s="90" t="s">
        <v>122</v>
      </c>
      <c r="P12" s="87" t="s">
        <v>128</v>
      </c>
      <c r="Q12" s="87">
        <v>15000</v>
      </c>
      <c r="R12" s="87" t="s">
        <v>47</v>
      </c>
      <c r="S12" s="87" t="s">
        <v>82</v>
      </c>
    </row>
    <row r="13" ht="18" spans="13:19">
      <c r="M13" s="87">
        <v>19</v>
      </c>
      <c r="N13" s="87">
        <v>1</v>
      </c>
      <c r="O13" s="87" t="s">
        <v>47</v>
      </c>
      <c r="P13" s="87" t="s">
        <v>83</v>
      </c>
      <c r="Q13" s="87">
        <v>0</v>
      </c>
      <c r="R13" s="87" t="s">
        <v>47</v>
      </c>
      <c r="S13" s="87" t="s">
        <v>84</v>
      </c>
    </row>
    <row r="14" ht="18" spans="13:19">
      <c r="M14" s="87">
        <v>20</v>
      </c>
      <c r="N14" s="87">
        <v>1</v>
      </c>
      <c r="O14" s="87" t="s">
        <v>85</v>
      </c>
      <c r="P14" s="89" t="s">
        <v>86</v>
      </c>
      <c r="Q14" s="87">
        <v>15000</v>
      </c>
      <c r="R14" s="87" t="s">
        <v>47</v>
      </c>
      <c r="S14" s="87" t="s">
        <v>87</v>
      </c>
    </row>
    <row r="15" ht="18" spans="13:19">
      <c r="M15" s="91">
        <v>21</v>
      </c>
      <c r="N15" s="91">
        <v>2</v>
      </c>
      <c r="O15" s="91" t="s">
        <v>47</v>
      </c>
      <c r="P15" s="91" t="s">
        <v>88</v>
      </c>
      <c r="Q15" s="91">
        <v>0</v>
      </c>
      <c r="R15" s="91" t="s">
        <v>47</v>
      </c>
      <c r="S15" s="91" t="s">
        <v>89</v>
      </c>
    </row>
    <row r="16" ht="18" spans="13:19">
      <c r="M16" s="91">
        <v>22</v>
      </c>
      <c r="N16" s="91">
        <v>2</v>
      </c>
      <c r="O16" s="91" t="s">
        <v>90</v>
      </c>
      <c r="P16" s="91" t="s">
        <v>91</v>
      </c>
      <c r="Q16" s="91">
        <v>20000</v>
      </c>
      <c r="R16" s="91" t="s">
        <v>47</v>
      </c>
      <c r="S16" s="91" t="s">
        <v>92</v>
      </c>
    </row>
    <row r="17" ht="18" spans="13:19">
      <c r="M17" s="91">
        <v>23</v>
      </c>
      <c r="N17" s="91">
        <v>2</v>
      </c>
      <c r="O17" s="91" t="s">
        <v>47</v>
      </c>
      <c r="P17" s="91" t="s">
        <v>93</v>
      </c>
      <c r="Q17" s="91">
        <v>0</v>
      </c>
      <c r="R17" s="91" t="s">
        <v>47</v>
      </c>
      <c r="S17" s="91" t="s">
        <v>94</v>
      </c>
    </row>
    <row r="18" ht="18" spans="13:19">
      <c r="M18" s="91">
        <v>24</v>
      </c>
      <c r="N18" s="91">
        <v>2</v>
      </c>
      <c r="O18" s="91" t="s">
        <v>95</v>
      </c>
      <c r="P18" s="92" t="s">
        <v>96</v>
      </c>
      <c r="Q18" s="91">
        <v>20000</v>
      </c>
      <c r="R18" s="91" t="s">
        <v>47</v>
      </c>
      <c r="S18" s="91" t="s">
        <v>97</v>
      </c>
    </row>
    <row r="19" ht="18" spans="13:19">
      <c r="M19" s="91">
        <v>25</v>
      </c>
      <c r="N19" s="91">
        <v>2</v>
      </c>
      <c r="O19" s="91" t="s">
        <v>47</v>
      </c>
      <c r="P19" s="91" t="s">
        <v>98</v>
      </c>
      <c r="Q19" s="91">
        <v>0</v>
      </c>
      <c r="R19" s="91" t="s">
        <v>47</v>
      </c>
      <c r="S19" s="91" t="s">
        <v>99</v>
      </c>
    </row>
    <row r="20" ht="18" spans="13:19">
      <c r="M20" s="93">
        <v>26</v>
      </c>
      <c r="N20" s="93">
        <v>3</v>
      </c>
      <c r="O20" s="93" t="s">
        <v>75</v>
      </c>
      <c r="P20" s="94" t="s">
        <v>100</v>
      </c>
      <c r="Q20" s="93">
        <v>30000</v>
      </c>
      <c r="R20" s="93" t="s">
        <v>47</v>
      </c>
      <c r="S20" s="93" t="s">
        <v>97</v>
      </c>
    </row>
    <row r="21" ht="18" spans="13:19">
      <c r="M21" s="93">
        <v>27</v>
      </c>
      <c r="N21" s="93">
        <v>3</v>
      </c>
      <c r="O21" s="93" t="s">
        <v>47</v>
      </c>
      <c r="P21" s="93" t="s">
        <v>101</v>
      </c>
      <c r="Q21" s="93">
        <v>0</v>
      </c>
      <c r="R21" s="93" t="s">
        <v>47</v>
      </c>
      <c r="S21" s="93" t="s">
        <v>102</v>
      </c>
    </row>
    <row r="22" ht="21" spans="13:19">
      <c r="M22" s="93">
        <v>28</v>
      </c>
      <c r="N22" s="93">
        <v>3</v>
      </c>
      <c r="O22" s="95" t="s">
        <v>122</v>
      </c>
      <c r="P22" s="93" t="s">
        <v>129</v>
      </c>
      <c r="Q22" s="93">
        <v>30000</v>
      </c>
      <c r="R22" s="93" t="s">
        <v>47</v>
      </c>
      <c r="S22" s="93" t="s">
        <v>105</v>
      </c>
    </row>
    <row r="23" ht="18" spans="13:19">
      <c r="M23" s="93">
        <v>29</v>
      </c>
      <c r="N23" s="93">
        <v>3</v>
      </c>
      <c r="O23" s="93" t="s">
        <v>47</v>
      </c>
      <c r="P23" s="93" t="s">
        <v>42</v>
      </c>
      <c r="Q23" s="93">
        <v>0</v>
      </c>
      <c r="R23" s="93" t="s">
        <v>47</v>
      </c>
      <c r="S23" s="93" t="s">
        <v>106</v>
      </c>
    </row>
    <row r="24" ht="18" spans="13:19">
      <c r="M24" s="93">
        <v>30</v>
      </c>
      <c r="N24" s="93">
        <v>3</v>
      </c>
      <c r="O24" s="93" t="s">
        <v>107</v>
      </c>
      <c r="P24" s="94" t="s">
        <v>108</v>
      </c>
      <c r="Q24" s="93">
        <v>30000</v>
      </c>
      <c r="R24" s="93" t="s">
        <v>47</v>
      </c>
      <c r="S24" s="93" t="s">
        <v>109</v>
      </c>
    </row>
    <row r="25" ht="18" spans="13:19">
      <c r="M25" s="96">
        <v>31</v>
      </c>
      <c r="N25" s="96">
        <v>4</v>
      </c>
      <c r="O25" s="96" t="s">
        <v>47</v>
      </c>
      <c r="P25" s="96" t="s">
        <v>50</v>
      </c>
      <c r="Q25" s="96">
        <v>0</v>
      </c>
      <c r="R25" s="96" t="s">
        <v>47</v>
      </c>
      <c r="S25" s="96" t="s">
        <v>109</v>
      </c>
    </row>
    <row r="26" ht="18" spans="13:19">
      <c r="M26" s="96">
        <v>32</v>
      </c>
      <c r="N26" s="96">
        <v>4</v>
      </c>
      <c r="O26" s="96" t="s">
        <v>110</v>
      </c>
      <c r="P26" s="96" t="s">
        <v>111</v>
      </c>
      <c r="Q26" s="96">
        <v>40000</v>
      </c>
      <c r="R26" s="96" t="s">
        <v>47</v>
      </c>
      <c r="S26" s="96" t="s">
        <v>112</v>
      </c>
    </row>
    <row r="27" ht="18" spans="13:19">
      <c r="M27" s="96">
        <v>33</v>
      </c>
      <c r="N27" s="96">
        <v>4</v>
      </c>
      <c r="O27" s="96" t="s">
        <v>47</v>
      </c>
      <c r="P27" s="96" t="s">
        <v>56</v>
      </c>
      <c r="Q27" s="96">
        <v>0</v>
      </c>
      <c r="R27" s="96" t="s">
        <v>47</v>
      </c>
      <c r="S27" s="96" t="s">
        <v>113</v>
      </c>
    </row>
    <row r="28" ht="18" spans="13:19">
      <c r="M28" s="96">
        <v>34</v>
      </c>
      <c r="N28" s="96">
        <v>4</v>
      </c>
      <c r="O28" s="96" t="s">
        <v>114</v>
      </c>
      <c r="P28" s="96" t="s">
        <v>115</v>
      </c>
      <c r="Q28" s="96">
        <v>40000</v>
      </c>
      <c r="R28" s="96" t="s">
        <v>47</v>
      </c>
      <c r="S28" s="96" t="s">
        <v>116</v>
      </c>
    </row>
    <row r="29" ht="18" spans="13:19">
      <c r="M29" s="96">
        <v>35</v>
      </c>
      <c r="N29" s="96">
        <v>4</v>
      </c>
      <c r="O29" s="96" t="s">
        <v>47</v>
      </c>
      <c r="P29" s="96" t="s">
        <v>67</v>
      </c>
      <c r="Q29" s="96">
        <v>0</v>
      </c>
      <c r="R29" s="96" t="s">
        <v>47</v>
      </c>
      <c r="S29" s="96" t="s">
        <v>117</v>
      </c>
    </row>
    <row r="30" ht="18" spans="13:19">
      <c r="M30" s="97">
        <v>31</v>
      </c>
      <c r="N30" s="97">
        <v>5</v>
      </c>
      <c r="O30" s="97" t="s">
        <v>47</v>
      </c>
      <c r="P30" s="97" t="s">
        <v>50</v>
      </c>
      <c r="Q30" s="97">
        <v>0</v>
      </c>
      <c r="R30" s="97" t="s">
        <v>47</v>
      </c>
      <c r="S30" s="97" t="s">
        <v>102</v>
      </c>
    </row>
    <row r="31" ht="18" spans="13:19">
      <c r="M31" s="97">
        <v>32</v>
      </c>
      <c r="N31" s="97">
        <v>5</v>
      </c>
      <c r="O31" s="97" t="s">
        <v>110</v>
      </c>
      <c r="P31" s="97" t="s">
        <v>111</v>
      </c>
      <c r="Q31" s="97">
        <v>40000</v>
      </c>
      <c r="R31" s="97" t="s">
        <v>47</v>
      </c>
      <c r="S31" s="97" t="s">
        <v>99</v>
      </c>
    </row>
    <row r="32" ht="18" spans="13:19">
      <c r="M32" s="97">
        <v>33</v>
      </c>
      <c r="N32" s="97">
        <v>5</v>
      </c>
      <c r="O32" s="97" t="s">
        <v>47</v>
      </c>
      <c r="P32" s="97" t="s">
        <v>56</v>
      </c>
      <c r="Q32" s="97">
        <v>0</v>
      </c>
      <c r="R32" s="97" t="s">
        <v>47</v>
      </c>
      <c r="S32" s="97" t="s">
        <v>118</v>
      </c>
    </row>
    <row r="33" ht="18" spans="13:19">
      <c r="M33" s="97">
        <v>34</v>
      </c>
      <c r="N33" s="97">
        <v>5</v>
      </c>
      <c r="O33" s="97" t="s">
        <v>114</v>
      </c>
      <c r="P33" s="97" t="s">
        <v>115</v>
      </c>
      <c r="Q33" s="97">
        <v>40000</v>
      </c>
      <c r="R33" s="97" t="s">
        <v>47</v>
      </c>
      <c r="S33" s="97" t="s">
        <v>119</v>
      </c>
    </row>
    <row r="34" ht="18" spans="13:19">
      <c r="M34" s="97">
        <v>35</v>
      </c>
      <c r="N34" s="97">
        <v>5</v>
      </c>
      <c r="O34" s="97" t="s">
        <v>47</v>
      </c>
      <c r="P34" s="97" t="s">
        <v>67</v>
      </c>
      <c r="Q34" s="97">
        <v>0</v>
      </c>
      <c r="R34" s="97" t="s">
        <v>47</v>
      </c>
      <c r="S34" s="97" t="s">
        <v>109</v>
      </c>
    </row>
    <row r="35" ht="21" spans="13:19">
      <c r="M35" s="96">
        <v>36</v>
      </c>
      <c r="N35" s="96">
        <v>6</v>
      </c>
      <c r="O35" s="98" t="s">
        <v>130</v>
      </c>
      <c r="P35" s="96" t="s">
        <v>131</v>
      </c>
      <c r="Q35" s="96">
        <v>50000</v>
      </c>
      <c r="R35" s="96" t="s">
        <v>47</v>
      </c>
      <c r="S35" s="96" t="s">
        <v>112</v>
      </c>
    </row>
    <row r="36" ht="18" spans="13:19">
      <c r="M36" s="96">
        <v>37</v>
      </c>
      <c r="N36" s="96">
        <v>6</v>
      </c>
      <c r="O36" s="96" t="s">
        <v>47</v>
      </c>
      <c r="P36" s="96" t="s">
        <v>77</v>
      </c>
      <c r="Q36" s="96">
        <v>0</v>
      </c>
      <c r="R36" s="96" t="s">
        <v>47</v>
      </c>
      <c r="S36" s="96" t="s">
        <v>113</v>
      </c>
    </row>
    <row r="37" ht="18" spans="13:19">
      <c r="M37" s="96">
        <v>38</v>
      </c>
      <c r="N37" s="96">
        <v>6</v>
      </c>
      <c r="O37" s="96" t="s">
        <v>122</v>
      </c>
      <c r="P37" s="96" t="s">
        <v>123</v>
      </c>
      <c r="Q37" s="96">
        <v>50000</v>
      </c>
      <c r="R37" s="96" t="s">
        <v>47</v>
      </c>
      <c r="S37" s="96" t="s">
        <v>116</v>
      </c>
    </row>
    <row r="38" ht="18" spans="13:19">
      <c r="M38" s="96">
        <v>39</v>
      </c>
      <c r="N38" s="96">
        <v>6</v>
      </c>
      <c r="O38" s="96" t="s">
        <v>47</v>
      </c>
      <c r="P38" s="96" t="s">
        <v>87</v>
      </c>
      <c r="Q38" s="96">
        <v>0</v>
      </c>
      <c r="R38" s="96" t="s">
        <v>47</v>
      </c>
      <c r="S38" s="96" t="s">
        <v>117</v>
      </c>
    </row>
    <row r="39" ht="18" spans="13:19">
      <c r="M39" s="96">
        <v>40</v>
      </c>
      <c r="N39" s="96">
        <v>6</v>
      </c>
      <c r="O39" s="96" t="s">
        <v>124</v>
      </c>
      <c r="P39" s="99" t="s">
        <v>125</v>
      </c>
      <c r="Q39" s="96">
        <v>100000</v>
      </c>
      <c r="R39" s="96" t="s">
        <v>47</v>
      </c>
      <c r="S39" s="96" t="s">
        <v>126</v>
      </c>
    </row>
    <row r="40" ht="18" spans="13:19">
      <c r="M40" s="97">
        <v>36</v>
      </c>
      <c r="N40" s="97">
        <v>7</v>
      </c>
      <c r="O40" s="97" t="s">
        <v>130</v>
      </c>
      <c r="P40" s="97" t="s">
        <v>131</v>
      </c>
      <c r="Q40" s="97">
        <v>50000</v>
      </c>
      <c r="R40" s="97" t="s">
        <v>47</v>
      </c>
      <c r="S40" s="97" t="s">
        <v>99</v>
      </c>
    </row>
    <row r="41" ht="18" spans="13:19">
      <c r="M41" s="97">
        <v>37</v>
      </c>
      <c r="N41" s="97">
        <v>7</v>
      </c>
      <c r="O41" s="97" t="s">
        <v>47</v>
      </c>
      <c r="P41" s="97" t="s">
        <v>77</v>
      </c>
      <c r="Q41" s="97">
        <v>0</v>
      </c>
      <c r="R41" s="97" t="s">
        <v>47</v>
      </c>
      <c r="S41" s="97" t="s">
        <v>118</v>
      </c>
    </row>
    <row r="42" ht="18" spans="13:19">
      <c r="M42" s="97">
        <v>38</v>
      </c>
      <c r="N42" s="97">
        <v>7</v>
      </c>
      <c r="O42" s="97" t="s">
        <v>122</v>
      </c>
      <c r="P42" s="97" t="s">
        <v>123</v>
      </c>
      <c r="Q42" s="97">
        <v>50000</v>
      </c>
      <c r="R42" s="97" t="s">
        <v>47</v>
      </c>
      <c r="S42" s="97" t="s">
        <v>106</v>
      </c>
    </row>
    <row r="43" ht="18" spans="13:19">
      <c r="M43" s="97">
        <v>39</v>
      </c>
      <c r="N43" s="97">
        <v>7</v>
      </c>
      <c r="O43" s="97" t="s">
        <v>47</v>
      </c>
      <c r="P43" s="97" t="s">
        <v>87</v>
      </c>
      <c r="Q43" s="97">
        <v>0</v>
      </c>
      <c r="R43" s="97" t="s">
        <v>47</v>
      </c>
      <c r="S43" s="97" t="s">
        <v>109</v>
      </c>
    </row>
    <row r="44" ht="18" spans="13:19">
      <c r="M44" s="97">
        <v>40</v>
      </c>
      <c r="N44" s="97">
        <v>7</v>
      </c>
      <c r="O44" s="97" t="s">
        <v>124</v>
      </c>
      <c r="P44" s="100" t="s">
        <v>125</v>
      </c>
      <c r="Q44" s="97">
        <v>100000</v>
      </c>
      <c r="R44" s="97" t="s">
        <v>47</v>
      </c>
      <c r="S44" s="97" t="s">
        <v>112</v>
      </c>
    </row>
  </sheetData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13"/>
  <sheetViews>
    <sheetView showGridLines="0" workbookViewId="0">
      <selection activeCell="C6" sqref="C6"/>
    </sheetView>
  </sheetViews>
  <sheetFormatPr defaultColWidth="6.59868421052632" defaultRowHeight="23.1" customHeight="1" outlineLevelCol="7"/>
  <cols>
    <col min="1" max="1" width="9.59868421052632" style="81" customWidth="1"/>
    <col min="2" max="2" width="6.59868421052632" style="81" customWidth="1"/>
    <col min="3" max="3" width="9.59868421052632" style="81" customWidth="1"/>
    <col min="4" max="4" width="9.5" style="81" customWidth="1"/>
    <col min="5" max="6" width="6.59868421052632" style="81" customWidth="1"/>
    <col min="7" max="7" width="9.69736842105263" style="81" customWidth="1"/>
    <col min="8" max="256" width="6.59868421052632" style="81" customWidth="1"/>
    <col min="257" max="16384" width="6.59868421052632" style="82"/>
  </cols>
  <sheetData>
    <row r="1" customHeight="1" spans="1:8">
      <c r="A1" s="83" t="s">
        <v>132</v>
      </c>
      <c r="B1" s="84"/>
      <c r="C1" s="84"/>
      <c r="D1" s="84"/>
      <c r="E1" s="84"/>
      <c r="F1" s="84"/>
      <c r="G1" s="83" t="s">
        <v>133</v>
      </c>
      <c r="H1" s="84"/>
    </row>
    <row r="2" customHeight="1" spans="1:8">
      <c r="A2" s="84"/>
      <c r="B2" s="83" t="s">
        <v>134</v>
      </c>
      <c r="C2" s="83" t="s">
        <v>135</v>
      </c>
      <c r="D2" s="83" t="s">
        <v>136</v>
      </c>
      <c r="E2" s="83" t="s">
        <v>137</v>
      </c>
      <c r="F2" s="84"/>
      <c r="G2" s="83" t="s">
        <v>47</v>
      </c>
      <c r="H2" s="83">
        <v>101</v>
      </c>
    </row>
    <row r="3" customHeight="1" spans="1:8">
      <c r="A3" s="83" t="s">
        <v>138</v>
      </c>
      <c r="B3" s="83">
        <v>1</v>
      </c>
      <c r="C3" s="83" t="s">
        <v>19</v>
      </c>
      <c r="D3" s="83"/>
      <c r="E3" s="83" t="s">
        <v>139</v>
      </c>
      <c r="F3" s="84"/>
      <c r="G3" s="83" t="s">
        <v>140</v>
      </c>
      <c r="H3" s="83">
        <v>102</v>
      </c>
    </row>
    <row r="4" customHeight="1" spans="1:8">
      <c r="A4" s="83" t="s">
        <v>141</v>
      </c>
      <c r="B4" s="83">
        <v>2</v>
      </c>
      <c r="C4" s="83" t="s">
        <v>19</v>
      </c>
      <c r="D4" s="83"/>
      <c r="E4" s="83" t="s">
        <v>139</v>
      </c>
      <c r="F4" s="84"/>
      <c r="G4" s="83" t="s">
        <v>142</v>
      </c>
      <c r="H4" s="83">
        <v>103</v>
      </c>
    </row>
    <row r="5" customHeight="1" spans="1:8">
      <c r="A5" s="83" t="s">
        <v>143</v>
      </c>
      <c r="B5" s="83">
        <v>3</v>
      </c>
      <c r="C5" s="83" t="s">
        <v>144</v>
      </c>
      <c r="D5" s="83" t="s">
        <v>145</v>
      </c>
      <c r="E5" s="83" t="s">
        <v>139</v>
      </c>
      <c r="F5" s="84"/>
      <c r="G5" s="83"/>
      <c r="H5" s="83"/>
    </row>
    <row r="6" customHeight="1" spans="1:8">
      <c r="A6" s="83" t="s">
        <v>146</v>
      </c>
      <c r="B6" s="83">
        <v>4</v>
      </c>
      <c r="C6" s="83" t="s">
        <v>19</v>
      </c>
      <c r="D6" s="83"/>
      <c r="E6" s="83" t="s">
        <v>139</v>
      </c>
      <c r="F6" s="84"/>
      <c r="G6" s="83"/>
      <c r="H6" s="83"/>
    </row>
    <row r="7" customHeight="1" spans="1:8">
      <c r="A7" s="83" t="s">
        <v>147</v>
      </c>
      <c r="B7" s="83">
        <v>5</v>
      </c>
      <c r="C7" s="83" t="s">
        <v>19</v>
      </c>
      <c r="D7" s="83"/>
      <c r="E7" s="83" t="s">
        <v>139</v>
      </c>
      <c r="F7" s="84"/>
      <c r="G7" s="84"/>
      <c r="H7" s="84"/>
    </row>
    <row r="8" customHeight="1" spans="1:8">
      <c r="A8" s="83" t="s">
        <v>148</v>
      </c>
      <c r="B8" s="83">
        <v>6</v>
      </c>
      <c r="C8" s="83" t="s">
        <v>19</v>
      </c>
      <c r="D8" s="83" t="s">
        <v>149</v>
      </c>
      <c r="E8" s="83" t="s">
        <v>139</v>
      </c>
      <c r="F8" s="84"/>
      <c r="G8" s="84"/>
      <c r="H8" s="84"/>
    </row>
    <row r="9" customHeight="1" spans="1:8">
      <c r="A9" s="83" t="s">
        <v>150</v>
      </c>
      <c r="B9" s="83">
        <v>7</v>
      </c>
      <c r="C9" s="83" t="s">
        <v>19</v>
      </c>
      <c r="D9" s="83"/>
      <c r="E9" s="83" t="s">
        <v>139</v>
      </c>
      <c r="F9" s="84"/>
      <c r="G9" s="84"/>
      <c r="H9" s="84"/>
    </row>
    <row r="10" customHeight="1" spans="1:8">
      <c r="A10" s="83" t="s">
        <v>151</v>
      </c>
      <c r="B10" s="83">
        <v>8</v>
      </c>
      <c r="C10" s="83" t="s">
        <v>19</v>
      </c>
      <c r="D10" s="83"/>
      <c r="E10" s="83" t="s">
        <v>139</v>
      </c>
      <c r="F10" s="84"/>
      <c r="G10" s="84"/>
      <c r="H10" s="84"/>
    </row>
    <row r="11" customHeight="1" spans="1:8">
      <c r="A11" s="83" t="s">
        <v>152</v>
      </c>
      <c r="B11" s="83">
        <v>9</v>
      </c>
      <c r="C11" s="83"/>
      <c r="D11" s="83"/>
      <c r="E11" s="83" t="s">
        <v>139</v>
      </c>
      <c r="F11" s="84"/>
      <c r="G11" s="84"/>
      <c r="H11" s="84"/>
    </row>
    <row r="12" customHeight="1" spans="1:8">
      <c r="A12" s="83" t="s">
        <v>153</v>
      </c>
      <c r="B12" s="83">
        <v>10</v>
      </c>
      <c r="C12" s="83" t="s">
        <v>19</v>
      </c>
      <c r="D12" s="83"/>
      <c r="E12" s="83" t="s">
        <v>139</v>
      </c>
      <c r="F12" s="84"/>
      <c r="G12" s="84"/>
      <c r="H12" s="84"/>
    </row>
    <row r="13" customHeight="1" spans="1:8">
      <c r="A13" s="83" t="s">
        <v>154</v>
      </c>
      <c r="B13" s="83">
        <v>11</v>
      </c>
      <c r="C13" s="83" t="s">
        <v>19</v>
      </c>
      <c r="D13" s="83"/>
      <c r="E13" s="83" t="s">
        <v>139</v>
      </c>
      <c r="F13" s="84"/>
      <c r="G13" s="84"/>
      <c r="H13" s="84"/>
    </row>
  </sheetData>
  <pageMargins left="0.75" right="0.75" top="1" bottom="1" header="0.5" footer="0.5"/>
  <pageSetup paperSize="1" orientation="portrait"/>
  <headerFooter>
    <oddFooter>&amp;L&amp;"Helvetica,Regular"&amp;12&amp;K000000	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IX219"/>
  <sheetViews>
    <sheetView showGridLines="0" zoomScale="90" zoomScaleNormal="90" workbookViewId="0">
      <pane ySplit="3" topLeftCell="A188" activePane="bottomLeft" state="frozen"/>
      <selection/>
      <selection pane="bottomLeft" activeCell="D202" sqref="D202"/>
    </sheetView>
  </sheetViews>
  <sheetFormatPr defaultColWidth="6.59868421052632" defaultRowHeight="23.1" customHeight="1"/>
  <cols>
    <col min="1" max="1" width="13.6973684210526" style="47" customWidth="1"/>
    <col min="2" max="2" width="28.6973684210526" style="47" customWidth="1"/>
    <col min="3" max="3" width="26.5" style="47" customWidth="1"/>
    <col min="4" max="4" width="11.0986842105263" style="47" customWidth="1"/>
    <col min="5" max="5" width="12.0986842105263" style="47" customWidth="1"/>
    <col min="6" max="6" width="14.0986842105263" style="47" customWidth="1"/>
    <col min="7" max="7" width="9.5" style="47" customWidth="1"/>
    <col min="8" max="9" width="9.90131578947368" style="47" customWidth="1"/>
    <col min="10" max="10" width="15.0986842105263" style="47" customWidth="1"/>
    <col min="11" max="11" width="15.9013157894737" style="47" customWidth="1"/>
    <col min="12" max="13" width="10" style="47" customWidth="1"/>
    <col min="14" max="14" width="26.5" style="47" customWidth="1"/>
    <col min="15" max="15" width="9.40131578947368" style="47" customWidth="1"/>
    <col min="16" max="16" width="12.6973684210526" style="48" customWidth="1"/>
    <col min="17" max="17" width="14.6973684210526" style="48" customWidth="1"/>
    <col min="18" max="18" width="10.0986842105263" style="48" customWidth="1"/>
    <col min="19" max="258" width="6.59868421052632" style="47" customWidth="1"/>
    <col min="259" max="16384" width="6.59868421052632" style="49"/>
  </cols>
  <sheetData>
    <row r="1" customHeight="1" spans="1:18">
      <c r="A1" s="50" t="s">
        <v>155</v>
      </c>
      <c r="B1" s="50" t="s">
        <v>156</v>
      </c>
      <c r="C1" s="50" t="s">
        <v>156</v>
      </c>
      <c r="D1" s="50" t="s">
        <v>157</v>
      </c>
      <c r="E1" s="50" t="s">
        <v>158</v>
      </c>
      <c r="F1" s="50" t="s">
        <v>159</v>
      </c>
      <c r="G1" s="50" t="s">
        <v>160</v>
      </c>
      <c r="H1" s="50" t="s">
        <v>161</v>
      </c>
      <c r="I1" s="50" t="s">
        <v>162</v>
      </c>
      <c r="J1" s="50" t="s">
        <v>163</v>
      </c>
      <c r="K1" s="50" t="s">
        <v>164</v>
      </c>
      <c r="L1" s="50" t="s">
        <v>165</v>
      </c>
      <c r="M1" s="57" t="s">
        <v>166</v>
      </c>
      <c r="N1" s="58" t="s">
        <v>167</v>
      </c>
      <c r="O1" s="58" t="s">
        <v>168</v>
      </c>
      <c r="P1" s="59" t="s">
        <v>169</v>
      </c>
      <c r="Q1" s="59" t="s">
        <v>170</v>
      </c>
      <c r="R1" s="59" t="s">
        <v>171</v>
      </c>
    </row>
    <row r="2" customHeight="1" spans="1:18">
      <c r="A2" s="50" t="s">
        <v>15</v>
      </c>
      <c r="B2" s="50" t="s">
        <v>172</v>
      </c>
      <c r="C2" s="50" t="s">
        <v>172</v>
      </c>
      <c r="D2" s="50" t="s">
        <v>15</v>
      </c>
      <c r="E2" s="50" t="s">
        <v>15</v>
      </c>
      <c r="F2" s="50" t="s">
        <v>15</v>
      </c>
      <c r="G2" s="50" t="s">
        <v>15</v>
      </c>
      <c r="H2" s="50" t="s">
        <v>15</v>
      </c>
      <c r="I2" s="50" t="s">
        <v>15</v>
      </c>
      <c r="J2" s="50" t="s">
        <v>173</v>
      </c>
      <c r="K2" s="50" t="s">
        <v>173</v>
      </c>
      <c r="L2" s="50" t="s">
        <v>15</v>
      </c>
      <c r="M2" s="57" t="s">
        <v>15</v>
      </c>
      <c r="N2" s="58" t="s">
        <v>172</v>
      </c>
      <c r="O2" s="58" t="s">
        <v>15</v>
      </c>
      <c r="P2" s="59" t="s">
        <v>15</v>
      </c>
      <c r="Q2" s="59" t="s">
        <v>15</v>
      </c>
      <c r="R2" s="59" t="s">
        <v>174</v>
      </c>
    </row>
    <row r="3" customHeight="1" spans="1:18">
      <c r="A3" s="50" t="s">
        <v>175</v>
      </c>
      <c r="B3" s="51" t="s">
        <v>176</v>
      </c>
      <c r="C3" s="50" t="s">
        <v>177</v>
      </c>
      <c r="D3" s="50" t="s">
        <v>178</v>
      </c>
      <c r="E3" s="50" t="s">
        <v>179</v>
      </c>
      <c r="F3" s="50" t="s">
        <v>180</v>
      </c>
      <c r="G3" s="50" t="s">
        <v>181</v>
      </c>
      <c r="H3" s="51" t="s">
        <v>182</v>
      </c>
      <c r="I3" s="51" t="s">
        <v>183</v>
      </c>
      <c r="J3" s="50" t="s">
        <v>184</v>
      </c>
      <c r="K3" s="50" t="s">
        <v>185</v>
      </c>
      <c r="L3" s="50" t="s">
        <v>186</v>
      </c>
      <c r="M3" s="60" t="s">
        <v>187</v>
      </c>
      <c r="N3" s="58" t="s">
        <v>188</v>
      </c>
      <c r="O3" s="58" t="s">
        <v>189</v>
      </c>
      <c r="P3" s="61" t="s">
        <v>190</v>
      </c>
      <c r="Q3" s="61" t="s">
        <v>191</v>
      </c>
      <c r="R3" s="64" t="s">
        <v>192</v>
      </c>
    </row>
    <row r="4" customHeight="1" spans="1:18">
      <c r="A4" s="50">
        <v>1</v>
      </c>
      <c r="B4" s="50" t="s">
        <v>193</v>
      </c>
      <c r="C4" s="50" t="s">
        <v>194</v>
      </c>
      <c r="D4" s="50">
        <v>11001</v>
      </c>
      <c r="E4" s="50">
        <v>1</v>
      </c>
      <c r="F4" s="50">
        <v>101</v>
      </c>
      <c r="G4" s="50">
        <v>4</v>
      </c>
      <c r="H4" s="50">
        <v>0</v>
      </c>
      <c r="I4" s="50">
        <v>0</v>
      </c>
      <c r="J4" s="50">
        <v>4</v>
      </c>
      <c r="K4" s="50">
        <v>4</v>
      </c>
      <c r="L4" s="50">
        <v>0</v>
      </c>
      <c r="M4" s="57">
        <v>4</v>
      </c>
      <c r="N4" s="58" t="s">
        <v>194</v>
      </c>
      <c r="O4" s="62"/>
      <c r="P4" s="57">
        <v>0</v>
      </c>
      <c r="Q4" s="57">
        <v>0</v>
      </c>
      <c r="R4" s="64">
        <f t="shared" ref="R4:R35" si="0">M4</f>
        <v>4</v>
      </c>
    </row>
    <row r="5" customHeight="1" spans="1:18">
      <c r="A5" s="50">
        <v>2</v>
      </c>
      <c r="B5" s="50" t="s">
        <v>195</v>
      </c>
      <c r="C5" s="50" t="s">
        <v>196</v>
      </c>
      <c r="D5" s="50">
        <v>11002</v>
      </c>
      <c r="E5" s="50">
        <v>1</v>
      </c>
      <c r="F5" s="50">
        <v>101</v>
      </c>
      <c r="G5" s="50">
        <v>6</v>
      </c>
      <c r="H5" s="50">
        <v>0</v>
      </c>
      <c r="I5" s="50">
        <v>0</v>
      </c>
      <c r="J5" s="50">
        <v>6</v>
      </c>
      <c r="K5" s="50">
        <v>6</v>
      </c>
      <c r="L5" s="50">
        <v>0</v>
      </c>
      <c r="M5" s="57">
        <v>6</v>
      </c>
      <c r="N5" s="58" t="s">
        <v>196</v>
      </c>
      <c r="O5" s="62"/>
      <c r="P5" s="57">
        <v>0</v>
      </c>
      <c r="Q5" s="57">
        <v>0</v>
      </c>
      <c r="R5" s="64">
        <f t="shared" si="0"/>
        <v>6</v>
      </c>
    </row>
    <row r="6" customHeight="1" spans="1:18">
      <c r="A6" s="50">
        <v>3</v>
      </c>
      <c r="B6" s="50" t="s">
        <v>197</v>
      </c>
      <c r="C6" s="50" t="s">
        <v>198</v>
      </c>
      <c r="D6" s="50">
        <v>11003</v>
      </c>
      <c r="E6" s="50">
        <v>1</v>
      </c>
      <c r="F6" s="50">
        <v>101</v>
      </c>
      <c r="G6" s="50">
        <v>8</v>
      </c>
      <c r="H6" s="50">
        <v>0</v>
      </c>
      <c r="I6" s="50">
        <v>0</v>
      </c>
      <c r="J6" s="50">
        <v>8</v>
      </c>
      <c r="K6" s="50">
        <v>8</v>
      </c>
      <c r="L6" s="50">
        <v>0</v>
      </c>
      <c r="M6" s="57">
        <v>8</v>
      </c>
      <c r="N6" s="58" t="s">
        <v>198</v>
      </c>
      <c r="O6" s="62"/>
      <c r="P6" s="57">
        <v>0</v>
      </c>
      <c r="Q6" s="57">
        <v>0</v>
      </c>
      <c r="R6" s="64">
        <f t="shared" si="0"/>
        <v>8</v>
      </c>
    </row>
    <row r="7" customHeight="1" spans="1:18">
      <c r="A7" s="50">
        <v>4</v>
      </c>
      <c r="B7" s="50" t="s">
        <v>199</v>
      </c>
      <c r="C7" s="50" t="s">
        <v>200</v>
      </c>
      <c r="D7" s="50">
        <v>11004</v>
      </c>
      <c r="E7" s="50">
        <v>1</v>
      </c>
      <c r="F7" s="50">
        <v>101</v>
      </c>
      <c r="G7" s="50">
        <v>10</v>
      </c>
      <c r="H7" s="50">
        <v>0</v>
      </c>
      <c r="I7" s="50">
        <v>0</v>
      </c>
      <c r="J7" s="50">
        <v>10</v>
      </c>
      <c r="K7" s="50">
        <v>10</v>
      </c>
      <c r="L7" s="50">
        <v>0</v>
      </c>
      <c r="M7" s="57">
        <v>10</v>
      </c>
      <c r="N7" s="58" t="s">
        <v>200</v>
      </c>
      <c r="O7" s="62"/>
      <c r="P7" s="57">
        <v>0</v>
      </c>
      <c r="Q7" s="57">
        <v>0</v>
      </c>
      <c r="R7" s="64">
        <f t="shared" si="0"/>
        <v>10</v>
      </c>
    </row>
    <row r="8" customHeight="1" spans="1:18">
      <c r="A8" s="50">
        <v>5</v>
      </c>
      <c r="B8" s="50" t="s">
        <v>201</v>
      </c>
      <c r="C8" s="50" t="s">
        <v>202</v>
      </c>
      <c r="D8" s="50">
        <v>11005</v>
      </c>
      <c r="E8" s="50">
        <v>1</v>
      </c>
      <c r="F8" s="50">
        <v>101</v>
      </c>
      <c r="G8" s="50">
        <v>15</v>
      </c>
      <c r="H8" s="50">
        <v>0</v>
      </c>
      <c r="I8" s="50">
        <v>0</v>
      </c>
      <c r="J8" s="50">
        <v>15</v>
      </c>
      <c r="K8" s="50">
        <v>15</v>
      </c>
      <c r="L8" s="50">
        <v>0</v>
      </c>
      <c r="M8" s="57">
        <v>15</v>
      </c>
      <c r="N8" s="58" t="s">
        <v>202</v>
      </c>
      <c r="O8" s="62"/>
      <c r="P8" s="57">
        <v>0</v>
      </c>
      <c r="Q8" s="57">
        <v>0</v>
      </c>
      <c r="R8" s="64">
        <f t="shared" si="0"/>
        <v>15</v>
      </c>
    </row>
    <row r="9" customHeight="1" spans="1:18">
      <c r="A9" s="50">
        <v>6</v>
      </c>
      <c r="B9" s="52" t="s">
        <v>203</v>
      </c>
      <c r="C9" s="50" t="s">
        <v>204</v>
      </c>
      <c r="D9" s="50">
        <v>11006</v>
      </c>
      <c r="E9" s="50">
        <v>1</v>
      </c>
      <c r="F9" s="50">
        <v>101</v>
      </c>
      <c r="G9" s="50">
        <v>20</v>
      </c>
      <c r="H9" s="50">
        <v>0</v>
      </c>
      <c r="I9" s="50">
        <v>0</v>
      </c>
      <c r="J9" s="50">
        <v>20</v>
      </c>
      <c r="K9" s="50">
        <v>20</v>
      </c>
      <c r="L9" s="50">
        <v>0</v>
      </c>
      <c r="M9" s="57">
        <v>20</v>
      </c>
      <c r="N9" s="58" t="s">
        <v>204</v>
      </c>
      <c r="O9" s="62"/>
      <c r="P9" s="57">
        <v>0</v>
      </c>
      <c r="Q9" s="57">
        <v>0</v>
      </c>
      <c r="R9" s="64">
        <f t="shared" si="0"/>
        <v>20</v>
      </c>
    </row>
    <row r="10" customHeight="1" spans="1:18">
      <c r="A10" s="50">
        <v>7</v>
      </c>
      <c r="B10" s="53" t="s">
        <v>205</v>
      </c>
      <c r="C10" s="50" t="s">
        <v>206</v>
      </c>
      <c r="D10" s="50">
        <v>11007</v>
      </c>
      <c r="E10" s="50">
        <v>1</v>
      </c>
      <c r="F10" s="50">
        <v>101</v>
      </c>
      <c r="G10" s="50">
        <v>30</v>
      </c>
      <c r="H10" s="50">
        <v>0</v>
      </c>
      <c r="I10" s="50">
        <v>0</v>
      </c>
      <c r="J10" s="50">
        <v>30</v>
      </c>
      <c r="K10" s="50">
        <v>30</v>
      </c>
      <c r="L10" s="50">
        <v>0</v>
      </c>
      <c r="M10" s="57">
        <v>31</v>
      </c>
      <c r="N10" s="58" t="s">
        <v>206</v>
      </c>
      <c r="O10" s="62"/>
      <c r="P10" s="57">
        <v>100</v>
      </c>
      <c r="Q10" s="57">
        <v>100</v>
      </c>
      <c r="R10" s="64">
        <f t="shared" si="0"/>
        <v>31</v>
      </c>
    </row>
    <row r="11" customHeight="1" spans="1:18">
      <c r="A11" s="50">
        <v>8</v>
      </c>
      <c r="B11" s="53" t="s">
        <v>207</v>
      </c>
      <c r="C11" s="50" t="s">
        <v>208</v>
      </c>
      <c r="D11" s="50">
        <v>11008</v>
      </c>
      <c r="E11" s="50">
        <v>1</v>
      </c>
      <c r="F11" s="50">
        <v>101</v>
      </c>
      <c r="G11" s="50">
        <v>40</v>
      </c>
      <c r="H11" s="50">
        <v>0</v>
      </c>
      <c r="I11" s="50">
        <v>0</v>
      </c>
      <c r="J11" s="50">
        <v>40</v>
      </c>
      <c r="K11" s="50">
        <v>40</v>
      </c>
      <c r="L11" s="50">
        <v>0</v>
      </c>
      <c r="M11" s="57">
        <v>41</v>
      </c>
      <c r="N11" s="58" t="s">
        <v>208</v>
      </c>
      <c r="O11" s="62"/>
      <c r="P11" s="57">
        <v>100</v>
      </c>
      <c r="Q11" s="57">
        <v>100</v>
      </c>
      <c r="R11" s="64">
        <f t="shared" si="0"/>
        <v>41</v>
      </c>
    </row>
    <row r="12" customHeight="1" spans="1:18">
      <c r="A12" s="50">
        <v>9</v>
      </c>
      <c r="B12" s="53" t="s">
        <v>209</v>
      </c>
      <c r="C12" s="50" t="s">
        <v>210</v>
      </c>
      <c r="D12" s="50">
        <v>11009</v>
      </c>
      <c r="E12" s="50">
        <v>1</v>
      </c>
      <c r="F12" s="50">
        <v>101</v>
      </c>
      <c r="G12" s="50">
        <v>60</v>
      </c>
      <c r="H12" s="50">
        <v>0</v>
      </c>
      <c r="I12" s="50">
        <v>0</v>
      </c>
      <c r="J12" s="50">
        <v>60</v>
      </c>
      <c r="K12" s="50">
        <v>60</v>
      </c>
      <c r="L12" s="50">
        <v>0</v>
      </c>
      <c r="M12" s="57">
        <v>61</v>
      </c>
      <c r="N12" s="58" t="s">
        <v>210</v>
      </c>
      <c r="O12" s="62"/>
      <c r="P12" s="57">
        <v>100</v>
      </c>
      <c r="Q12" s="57">
        <v>100</v>
      </c>
      <c r="R12" s="64">
        <f t="shared" si="0"/>
        <v>61</v>
      </c>
    </row>
    <row r="13" customHeight="1" spans="1:18">
      <c r="A13" s="50">
        <v>10</v>
      </c>
      <c r="B13" s="53" t="s">
        <v>211</v>
      </c>
      <c r="C13" s="50" t="s">
        <v>212</v>
      </c>
      <c r="D13" s="50">
        <v>11085</v>
      </c>
      <c r="E13" s="50">
        <v>1</v>
      </c>
      <c r="F13" s="50">
        <v>101</v>
      </c>
      <c r="G13" s="50">
        <v>40</v>
      </c>
      <c r="H13" s="50">
        <v>0</v>
      </c>
      <c r="I13" s="50">
        <v>0</v>
      </c>
      <c r="J13" s="50">
        <v>40</v>
      </c>
      <c r="K13" s="50">
        <v>40</v>
      </c>
      <c r="L13" s="50">
        <v>0</v>
      </c>
      <c r="M13" s="57">
        <v>41</v>
      </c>
      <c r="N13" s="58" t="s">
        <v>212</v>
      </c>
      <c r="O13" s="62"/>
      <c r="P13" s="57">
        <v>100</v>
      </c>
      <c r="Q13" s="57">
        <v>100</v>
      </c>
      <c r="R13" s="64">
        <f t="shared" si="0"/>
        <v>41</v>
      </c>
    </row>
    <row r="14" customHeight="1" spans="1:18">
      <c r="A14" s="50">
        <v>11</v>
      </c>
      <c r="B14" s="53" t="s">
        <v>213</v>
      </c>
      <c r="C14" s="50" t="s">
        <v>214</v>
      </c>
      <c r="D14" s="50">
        <v>11086</v>
      </c>
      <c r="E14" s="50">
        <v>1</v>
      </c>
      <c r="F14" s="50">
        <v>101</v>
      </c>
      <c r="G14" s="50">
        <v>60</v>
      </c>
      <c r="H14" s="50">
        <v>0</v>
      </c>
      <c r="I14" s="50">
        <v>0</v>
      </c>
      <c r="J14" s="50">
        <v>60</v>
      </c>
      <c r="K14" s="50">
        <v>60</v>
      </c>
      <c r="L14" s="50">
        <v>0</v>
      </c>
      <c r="M14" s="57">
        <v>61</v>
      </c>
      <c r="N14" s="58" t="s">
        <v>214</v>
      </c>
      <c r="O14" s="62"/>
      <c r="P14" s="57">
        <v>100</v>
      </c>
      <c r="Q14" s="57">
        <v>100</v>
      </c>
      <c r="R14" s="64">
        <f t="shared" si="0"/>
        <v>61</v>
      </c>
    </row>
    <row r="15" customHeight="1" spans="1:18">
      <c r="A15" s="50">
        <v>12</v>
      </c>
      <c r="B15" s="53" t="s">
        <v>215</v>
      </c>
      <c r="C15" s="50" t="s">
        <v>216</v>
      </c>
      <c r="D15" s="50">
        <v>11010</v>
      </c>
      <c r="E15" s="50">
        <v>1</v>
      </c>
      <c r="F15" s="50">
        <v>101</v>
      </c>
      <c r="G15" s="50">
        <v>80</v>
      </c>
      <c r="H15" s="50">
        <v>0</v>
      </c>
      <c r="I15" s="50">
        <v>0</v>
      </c>
      <c r="J15" s="50">
        <v>80</v>
      </c>
      <c r="K15" s="50">
        <v>80</v>
      </c>
      <c r="L15" s="50">
        <v>0</v>
      </c>
      <c r="M15" s="57">
        <v>82</v>
      </c>
      <c r="N15" s="58" t="s">
        <v>216</v>
      </c>
      <c r="O15" s="62"/>
      <c r="P15" s="57">
        <v>100</v>
      </c>
      <c r="Q15" s="57">
        <v>200</v>
      </c>
      <c r="R15" s="64">
        <f t="shared" si="0"/>
        <v>82</v>
      </c>
    </row>
    <row r="16" customHeight="1" spans="1:18">
      <c r="A16" s="50">
        <v>13</v>
      </c>
      <c r="B16" s="53" t="s">
        <v>217</v>
      </c>
      <c r="C16" s="50" t="s">
        <v>218</v>
      </c>
      <c r="D16" s="50">
        <v>11011</v>
      </c>
      <c r="E16" s="50">
        <v>1</v>
      </c>
      <c r="F16" s="50">
        <v>101</v>
      </c>
      <c r="G16" s="50">
        <v>100</v>
      </c>
      <c r="H16" s="50">
        <v>0</v>
      </c>
      <c r="I16" s="50">
        <v>0</v>
      </c>
      <c r="J16" s="50">
        <v>100</v>
      </c>
      <c r="K16" s="50">
        <v>100</v>
      </c>
      <c r="L16" s="50">
        <v>0</v>
      </c>
      <c r="M16" s="57">
        <v>102</v>
      </c>
      <c r="N16" s="58" t="s">
        <v>218</v>
      </c>
      <c r="O16" s="62"/>
      <c r="P16" s="57">
        <v>100</v>
      </c>
      <c r="Q16" s="57">
        <v>200</v>
      </c>
      <c r="R16" s="64">
        <f t="shared" si="0"/>
        <v>102</v>
      </c>
    </row>
    <row r="17" customHeight="1" spans="1:18">
      <c r="A17" s="50">
        <v>14</v>
      </c>
      <c r="B17" s="53" t="s">
        <v>219</v>
      </c>
      <c r="C17" s="50" t="s">
        <v>220</v>
      </c>
      <c r="D17" s="50">
        <v>11012</v>
      </c>
      <c r="E17" s="50">
        <v>1</v>
      </c>
      <c r="F17" s="50">
        <v>101</v>
      </c>
      <c r="G17" s="50">
        <v>120</v>
      </c>
      <c r="H17" s="50">
        <v>0</v>
      </c>
      <c r="I17" s="50">
        <v>0</v>
      </c>
      <c r="J17" s="50">
        <v>120</v>
      </c>
      <c r="K17" s="50">
        <v>120</v>
      </c>
      <c r="L17" s="50">
        <v>0</v>
      </c>
      <c r="M17" s="57">
        <v>123</v>
      </c>
      <c r="N17" s="58" t="s">
        <v>220</v>
      </c>
      <c r="O17" s="62"/>
      <c r="P17" s="57">
        <v>100</v>
      </c>
      <c r="Q17" s="57">
        <v>300</v>
      </c>
      <c r="R17" s="64">
        <f t="shared" si="0"/>
        <v>123</v>
      </c>
    </row>
    <row r="18" customHeight="1" spans="1:18">
      <c r="A18" s="50">
        <v>15</v>
      </c>
      <c r="B18" s="53" t="s">
        <v>221</v>
      </c>
      <c r="C18" s="50" t="s">
        <v>222</v>
      </c>
      <c r="D18" s="50">
        <v>11013</v>
      </c>
      <c r="E18" s="50">
        <v>1</v>
      </c>
      <c r="F18" s="50">
        <v>101</v>
      </c>
      <c r="G18" s="50">
        <v>140</v>
      </c>
      <c r="H18" s="50">
        <v>0</v>
      </c>
      <c r="I18" s="50">
        <v>0</v>
      </c>
      <c r="J18" s="50">
        <v>140</v>
      </c>
      <c r="K18" s="50">
        <v>140</v>
      </c>
      <c r="L18" s="50">
        <v>0</v>
      </c>
      <c r="M18" s="57">
        <v>143</v>
      </c>
      <c r="N18" s="58" t="s">
        <v>222</v>
      </c>
      <c r="O18" s="62"/>
      <c r="P18" s="57">
        <v>100</v>
      </c>
      <c r="Q18" s="57">
        <v>300</v>
      </c>
      <c r="R18" s="64">
        <f t="shared" si="0"/>
        <v>143</v>
      </c>
    </row>
    <row r="19" customHeight="1" spans="1:18">
      <c r="A19" s="50">
        <v>16</v>
      </c>
      <c r="B19" s="53" t="s">
        <v>223</v>
      </c>
      <c r="C19" s="50" t="s">
        <v>224</v>
      </c>
      <c r="D19" s="50">
        <v>11014</v>
      </c>
      <c r="E19" s="50">
        <v>1</v>
      </c>
      <c r="F19" s="50">
        <v>101</v>
      </c>
      <c r="G19" s="50">
        <v>160</v>
      </c>
      <c r="H19" s="50">
        <v>0</v>
      </c>
      <c r="I19" s="50">
        <v>0</v>
      </c>
      <c r="J19" s="50">
        <v>160</v>
      </c>
      <c r="K19" s="50">
        <v>160</v>
      </c>
      <c r="L19" s="50">
        <v>0</v>
      </c>
      <c r="M19" s="57">
        <v>164</v>
      </c>
      <c r="N19" s="58" t="s">
        <v>224</v>
      </c>
      <c r="O19" s="62"/>
      <c r="P19" s="57">
        <v>100</v>
      </c>
      <c r="Q19" s="57">
        <v>400</v>
      </c>
      <c r="R19" s="64">
        <f t="shared" si="0"/>
        <v>164</v>
      </c>
    </row>
    <row r="20" customHeight="1" spans="1:18">
      <c r="A20" s="50">
        <v>17</v>
      </c>
      <c r="B20" s="53" t="s">
        <v>225</v>
      </c>
      <c r="C20" s="50" t="s">
        <v>226</v>
      </c>
      <c r="D20" s="50">
        <v>11087</v>
      </c>
      <c r="E20" s="50">
        <v>1</v>
      </c>
      <c r="F20" s="50">
        <v>101</v>
      </c>
      <c r="G20" s="50">
        <v>180</v>
      </c>
      <c r="H20" s="50">
        <v>0</v>
      </c>
      <c r="I20" s="50">
        <v>0</v>
      </c>
      <c r="J20" s="50">
        <v>180</v>
      </c>
      <c r="K20" s="50">
        <v>180</v>
      </c>
      <c r="L20" s="50">
        <v>0</v>
      </c>
      <c r="M20" s="57">
        <v>184</v>
      </c>
      <c r="N20" s="58" t="s">
        <v>226</v>
      </c>
      <c r="O20" s="62"/>
      <c r="P20" s="57">
        <v>100</v>
      </c>
      <c r="Q20" s="57">
        <v>400</v>
      </c>
      <c r="R20" s="64">
        <f t="shared" si="0"/>
        <v>184</v>
      </c>
    </row>
    <row r="21" customHeight="1" spans="1:18">
      <c r="A21" s="50">
        <v>18</v>
      </c>
      <c r="B21" s="53" t="s">
        <v>227</v>
      </c>
      <c r="C21" s="50" t="s">
        <v>228</v>
      </c>
      <c r="D21" s="50">
        <v>11015</v>
      </c>
      <c r="E21" s="50">
        <v>1</v>
      </c>
      <c r="F21" s="50">
        <v>101</v>
      </c>
      <c r="G21" s="50">
        <v>200</v>
      </c>
      <c r="H21" s="50">
        <v>0</v>
      </c>
      <c r="I21" s="50">
        <v>0</v>
      </c>
      <c r="J21" s="50">
        <v>200</v>
      </c>
      <c r="K21" s="50">
        <v>200</v>
      </c>
      <c r="L21" s="50">
        <v>0</v>
      </c>
      <c r="M21" s="57">
        <v>205</v>
      </c>
      <c r="N21" s="58" t="s">
        <v>228</v>
      </c>
      <c r="O21" s="62"/>
      <c r="P21" s="57">
        <v>100</v>
      </c>
      <c r="Q21" s="57">
        <v>500</v>
      </c>
      <c r="R21" s="64">
        <f t="shared" si="0"/>
        <v>205</v>
      </c>
    </row>
    <row r="22" customHeight="1" spans="1:18">
      <c r="A22" s="50">
        <v>19</v>
      </c>
      <c r="B22" s="53" t="s">
        <v>229</v>
      </c>
      <c r="C22" s="50" t="s">
        <v>230</v>
      </c>
      <c r="D22" s="50">
        <v>11016</v>
      </c>
      <c r="E22" s="50">
        <v>1</v>
      </c>
      <c r="F22" s="50">
        <v>101</v>
      </c>
      <c r="G22" s="50">
        <v>240</v>
      </c>
      <c r="H22" s="50">
        <v>0</v>
      </c>
      <c r="I22" s="50">
        <v>0</v>
      </c>
      <c r="J22" s="50">
        <v>240</v>
      </c>
      <c r="K22" s="50">
        <v>240</v>
      </c>
      <c r="L22" s="50">
        <v>0</v>
      </c>
      <c r="M22" s="57">
        <v>246</v>
      </c>
      <c r="N22" s="58" t="s">
        <v>230</v>
      </c>
      <c r="O22" s="62"/>
      <c r="P22" s="57">
        <v>100</v>
      </c>
      <c r="Q22" s="57">
        <v>600</v>
      </c>
      <c r="R22" s="64">
        <f t="shared" si="0"/>
        <v>246</v>
      </c>
    </row>
    <row r="23" customHeight="1" spans="1:18">
      <c r="A23" s="50">
        <v>20</v>
      </c>
      <c r="B23" s="53" t="s">
        <v>231</v>
      </c>
      <c r="C23" s="50" t="s">
        <v>232</v>
      </c>
      <c r="D23" s="50">
        <v>11017</v>
      </c>
      <c r="E23" s="50">
        <v>1</v>
      </c>
      <c r="F23" s="50">
        <v>101</v>
      </c>
      <c r="G23" s="50">
        <v>280</v>
      </c>
      <c r="H23" s="50">
        <v>0</v>
      </c>
      <c r="I23" s="50">
        <v>0</v>
      </c>
      <c r="J23" s="50">
        <v>280</v>
      </c>
      <c r="K23" s="50">
        <v>280</v>
      </c>
      <c r="L23" s="50">
        <v>0</v>
      </c>
      <c r="M23" s="57">
        <v>287</v>
      </c>
      <c r="N23" s="58" t="s">
        <v>232</v>
      </c>
      <c r="O23" s="62"/>
      <c r="P23" s="57">
        <v>100</v>
      </c>
      <c r="Q23" s="57">
        <v>700</v>
      </c>
      <c r="R23" s="64">
        <f t="shared" si="0"/>
        <v>287</v>
      </c>
    </row>
    <row r="24" customHeight="1" spans="1:18">
      <c r="A24" s="50">
        <v>21</v>
      </c>
      <c r="B24" s="53" t="s">
        <v>233</v>
      </c>
      <c r="C24" s="50" t="s">
        <v>234</v>
      </c>
      <c r="D24" s="50">
        <v>11088</v>
      </c>
      <c r="E24" s="50">
        <v>1</v>
      </c>
      <c r="F24" s="50">
        <v>101</v>
      </c>
      <c r="G24" s="50">
        <v>320</v>
      </c>
      <c r="H24" s="50">
        <v>0</v>
      </c>
      <c r="I24" s="50">
        <v>0</v>
      </c>
      <c r="J24" s="50">
        <v>320</v>
      </c>
      <c r="K24" s="50">
        <v>320</v>
      </c>
      <c r="L24" s="50">
        <v>0</v>
      </c>
      <c r="M24" s="57">
        <v>328</v>
      </c>
      <c r="N24" s="58" t="s">
        <v>234</v>
      </c>
      <c r="O24" s="62"/>
      <c r="P24" s="57">
        <v>100</v>
      </c>
      <c r="Q24" s="57">
        <v>800</v>
      </c>
      <c r="R24" s="64">
        <f t="shared" si="0"/>
        <v>328</v>
      </c>
    </row>
    <row r="25" customHeight="1" spans="1:18">
      <c r="A25" s="50">
        <v>22</v>
      </c>
      <c r="B25" s="53" t="s">
        <v>235</v>
      </c>
      <c r="C25" s="54" t="s">
        <v>236</v>
      </c>
      <c r="D25" s="50">
        <v>11019</v>
      </c>
      <c r="E25" s="50">
        <v>1</v>
      </c>
      <c r="F25" s="50">
        <v>101</v>
      </c>
      <c r="G25" s="50">
        <v>360</v>
      </c>
      <c r="H25" s="50">
        <v>0</v>
      </c>
      <c r="I25" s="50">
        <v>0</v>
      </c>
      <c r="J25" s="50">
        <v>360</v>
      </c>
      <c r="K25" s="50">
        <v>360</v>
      </c>
      <c r="L25" s="50">
        <v>0</v>
      </c>
      <c r="M25" s="57">
        <v>369</v>
      </c>
      <c r="N25" s="63" t="s">
        <v>236</v>
      </c>
      <c r="O25" s="62"/>
      <c r="P25" s="57">
        <v>100</v>
      </c>
      <c r="Q25" s="57">
        <v>900</v>
      </c>
      <c r="R25" s="64">
        <f t="shared" si="0"/>
        <v>369</v>
      </c>
    </row>
    <row r="26" customHeight="1" spans="1:18">
      <c r="A26" s="50">
        <v>23</v>
      </c>
      <c r="B26" s="53" t="s">
        <v>237</v>
      </c>
      <c r="C26" s="50" t="s">
        <v>238</v>
      </c>
      <c r="D26" s="50">
        <v>11018</v>
      </c>
      <c r="E26" s="50">
        <v>1</v>
      </c>
      <c r="F26" s="50">
        <v>101</v>
      </c>
      <c r="G26" s="50">
        <v>400</v>
      </c>
      <c r="H26" s="50">
        <v>0</v>
      </c>
      <c r="I26" s="50">
        <v>0</v>
      </c>
      <c r="J26" s="50">
        <v>400</v>
      </c>
      <c r="K26" s="50">
        <v>400</v>
      </c>
      <c r="L26" s="50">
        <v>0</v>
      </c>
      <c r="M26" s="57">
        <v>410</v>
      </c>
      <c r="N26" s="58" t="s">
        <v>238</v>
      </c>
      <c r="O26" s="62"/>
      <c r="P26" s="61">
        <v>100</v>
      </c>
      <c r="Q26" s="65">
        <v>1000</v>
      </c>
      <c r="R26" s="64">
        <f t="shared" si="0"/>
        <v>410</v>
      </c>
    </row>
    <row r="27" customHeight="1" spans="1:18">
      <c r="A27" s="50">
        <v>24</v>
      </c>
      <c r="B27" s="53" t="s">
        <v>239</v>
      </c>
      <c r="C27" s="50" t="s">
        <v>240</v>
      </c>
      <c r="D27" s="50">
        <v>11092</v>
      </c>
      <c r="E27" s="50">
        <v>1</v>
      </c>
      <c r="F27" s="50">
        <v>101</v>
      </c>
      <c r="G27" s="50">
        <v>450</v>
      </c>
      <c r="H27" s="50">
        <v>0</v>
      </c>
      <c r="I27" s="50">
        <v>0</v>
      </c>
      <c r="J27" s="50">
        <v>450</v>
      </c>
      <c r="K27" s="50">
        <v>450</v>
      </c>
      <c r="L27" s="50">
        <v>0</v>
      </c>
      <c r="M27" s="57">
        <v>461</v>
      </c>
      <c r="N27" s="58" t="s">
        <v>240</v>
      </c>
      <c r="O27" s="62"/>
      <c r="P27" s="61">
        <v>100</v>
      </c>
      <c r="Q27" s="65">
        <v>1100</v>
      </c>
      <c r="R27" s="64">
        <f t="shared" si="0"/>
        <v>461</v>
      </c>
    </row>
    <row r="28" customHeight="1" spans="1:18">
      <c r="A28" s="50">
        <v>25</v>
      </c>
      <c r="B28" s="53" t="s">
        <v>241</v>
      </c>
      <c r="C28" s="50" t="s">
        <v>242</v>
      </c>
      <c r="D28" s="50">
        <v>11020</v>
      </c>
      <c r="E28" s="50">
        <v>1</v>
      </c>
      <c r="F28" s="50">
        <v>101</v>
      </c>
      <c r="G28" s="50">
        <v>500</v>
      </c>
      <c r="H28" s="50">
        <v>0</v>
      </c>
      <c r="I28" s="50">
        <v>0</v>
      </c>
      <c r="J28" s="50">
        <v>500</v>
      </c>
      <c r="K28" s="50">
        <v>500</v>
      </c>
      <c r="L28" s="50">
        <v>0</v>
      </c>
      <c r="M28" s="57">
        <v>512</v>
      </c>
      <c r="N28" s="58" t="s">
        <v>242</v>
      </c>
      <c r="O28" s="62"/>
      <c r="P28" s="61">
        <v>100</v>
      </c>
      <c r="Q28" s="65">
        <v>1200</v>
      </c>
      <c r="R28" s="64">
        <f t="shared" si="0"/>
        <v>512</v>
      </c>
    </row>
    <row r="29" customHeight="1" spans="1:18">
      <c r="A29" s="50">
        <v>26</v>
      </c>
      <c r="B29" s="53" t="s">
        <v>243</v>
      </c>
      <c r="C29" s="54" t="s">
        <v>244</v>
      </c>
      <c r="D29" s="50">
        <v>11089</v>
      </c>
      <c r="E29" s="50">
        <v>1</v>
      </c>
      <c r="F29" s="50">
        <v>101</v>
      </c>
      <c r="G29" s="50">
        <v>550</v>
      </c>
      <c r="H29" s="50">
        <v>0</v>
      </c>
      <c r="I29" s="50">
        <v>0</v>
      </c>
      <c r="J29" s="50">
        <v>550</v>
      </c>
      <c r="K29" s="50">
        <v>550</v>
      </c>
      <c r="L29" s="50">
        <v>0</v>
      </c>
      <c r="M29" s="57">
        <v>563</v>
      </c>
      <c r="N29" s="63" t="s">
        <v>244</v>
      </c>
      <c r="O29" s="62"/>
      <c r="P29" s="61">
        <v>100</v>
      </c>
      <c r="Q29" s="65">
        <v>1300</v>
      </c>
      <c r="R29" s="64">
        <f t="shared" si="0"/>
        <v>563</v>
      </c>
    </row>
    <row r="30" customHeight="1" spans="1:18">
      <c r="A30" s="50">
        <v>27</v>
      </c>
      <c r="B30" s="53" t="s">
        <v>245</v>
      </c>
      <c r="C30" s="50" t="s">
        <v>246</v>
      </c>
      <c r="D30" s="50">
        <v>11021</v>
      </c>
      <c r="E30" s="50">
        <v>1</v>
      </c>
      <c r="F30" s="50">
        <v>101</v>
      </c>
      <c r="G30" s="50">
        <v>600</v>
      </c>
      <c r="H30" s="50">
        <v>0</v>
      </c>
      <c r="I30" s="50">
        <v>0</v>
      </c>
      <c r="J30" s="50">
        <v>600</v>
      </c>
      <c r="K30" s="50">
        <v>600</v>
      </c>
      <c r="L30" s="50">
        <v>0</v>
      </c>
      <c r="M30" s="57">
        <v>615</v>
      </c>
      <c r="N30" s="58" t="s">
        <v>246</v>
      </c>
      <c r="O30" s="62"/>
      <c r="P30" s="61">
        <v>100</v>
      </c>
      <c r="Q30" s="65">
        <v>1500</v>
      </c>
      <c r="R30" s="64">
        <f t="shared" si="0"/>
        <v>615</v>
      </c>
    </row>
    <row r="31" customHeight="1" spans="1:18">
      <c r="A31" s="50">
        <v>28</v>
      </c>
      <c r="B31" s="53" t="s">
        <v>247</v>
      </c>
      <c r="C31" s="54" t="s">
        <v>248</v>
      </c>
      <c r="D31" s="50">
        <v>11022</v>
      </c>
      <c r="E31" s="50">
        <v>1</v>
      </c>
      <c r="F31" s="50">
        <v>101</v>
      </c>
      <c r="G31" s="50">
        <v>650</v>
      </c>
      <c r="H31" s="50">
        <v>0</v>
      </c>
      <c r="I31" s="50">
        <v>0</v>
      </c>
      <c r="J31" s="50">
        <v>650</v>
      </c>
      <c r="K31" s="50">
        <v>650</v>
      </c>
      <c r="L31" s="50">
        <v>0</v>
      </c>
      <c r="M31" s="57">
        <v>666</v>
      </c>
      <c r="N31" s="63" t="s">
        <v>248</v>
      </c>
      <c r="O31" s="62"/>
      <c r="P31" s="61">
        <v>100</v>
      </c>
      <c r="Q31" s="65">
        <v>1600</v>
      </c>
      <c r="R31" s="64">
        <f t="shared" si="0"/>
        <v>666</v>
      </c>
    </row>
    <row r="32" customHeight="1" spans="1:18">
      <c r="A32" s="50">
        <v>29</v>
      </c>
      <c r="B32" s="53" t="s">
        <v>249</v>
      </c>
      <c r="C32" s="50" t="s">
        <v>250</v>
      </c>
      <c r="D32" s="50">
        <v>11023</v>
      </c>
      <c r="E32" s="50">
        <v>1</v>
      </c>
      <c r="F32" s="50">
        <v>101</v>
      </c>
      <c r="G32" s="50">
        <v>700</v>
      </c>
      <c r="H32" s="50">
        <v>0</v>
      </c>
      <c r="I32" s="50">
        <v>0</v>
      </c>
      <c r="J32" s="50">
        <v>700</v>
      </c>
      <c r="K32" s="50">
        <v>700</v>
      </c>
      <c r="L32" s="50">
        <v>0</v>
      </c>
      <c r="M32" s="57">
        <v>717</v>
      </c>
      <c r="N32" s="58" t="s">
        <v>250</v>
      </c>
      <c r="O32" s="62"/>
      <c r="P32" s="61">
        <v>100</v>
      </c>
      <c r="Q32" s="65">
        <v>1700</v>
      </c>
      <c r="R32" s="64">
        <f t="shared" si="0"/>
        <v>717</v>
      </c>
    </row>
    <row r="33" customHeight="1" spans="1:18">
      <c r="A33" s="50">
        <v>30</v>
      </c>
      <c r="B33" s="53" t="s">
        <v>251</v>
      </c>
      <c r="C33" s="50" t="s">
        <v>252</v>
      </c>
      <c r="D33" s="50">
        <v>11091</v>
      </c>
      <c r="E33" s="50">
        <v>1</v>
      </c>
      <c r="F33" s="50">
        <v>101</v>
      </c>
      <c r="G33" s="50">
        <v>800</v>
      </c>
      <c r="H33" s="50">
        <v>0</v>
      </c>
      <c r="I33" s="50">
        <v>0</v>
      </c>
      <c r="J33" s="50">
        <v>800</v>
      </c>
      <c r="K33" s="50">
        <v>800</v>
      </c>
      <c r="L33" s="50">
        <v>0</v>
      </c>
      <c r="M33" s="57">
        <v>820</v>
      </c>
      <c r="N33" s="58" t="s">
        <v>252</v>
      </c>
      <c r="O33" s="62"/>
      <c r="P33" s="61">
        <v>100</v>
      </c>
      <c r="Q33" s="65">
        <v>2000</v>
      </c>
      <c r="R33" s="64">
        <f t="shared" si="0"/>
        <v>820</v>
      </c>
    </row>
    <row r="34" customHeight="1" spans="1:18">
      <c r="A34" s="50">
        <v>31</v>
      </c>
      <c r="B34" s="53" t="s">
        <v>253</v>
      </c>
      <c r="C34" s="50" t="s">
        <v>254</v>
      </c>
      <c r="D34" s="50">
        <v>11024</v>
      </c>
      <c r="E34" s="50">
        <v>1</v>
      </c>
      <c r="F34" s="50">
        <v>101</v>
      </c>
      <c r="G34" s="50">
        <v>1000</v>
      </c>
      <c r="H34" s="50">
        <v>0</v>
      </c>
      <c r="I34" s="50">
        <v>0</v>
      </c>
      <c r="J34" s="50">
        <v>1000</v>
      </c>
      <c r="K34" s="50">
        <v>1000</v>
      </c>
      <c r="L34" s="50">
        <v>0</v>
      </c>
      <c r="M34" s="57">
        <v>1025</v>
      </c>
      <c r="N34" s="58" t="s">
        <v>254</v>
      </c>
      <c r="O34" s="62"/>
      <c r="P34" s="61">
        <v>100</v>
      </c>
      <c r="Q34" s="65">
        <v>2500</v>
      </c>
      <c r="R34" s="64">
        <f t="shared" si="0"/>
        <v>1025</v>
      </c>
    </row>
    <row r="35" customHeight="1" spans="1:18">
      <c r="A35" s="50">
        <v>32</v>
      </c>
      <c r="B35" s="53" t="s">
        <v>255</v>
      </c>
      <c r="C35" s="50" t="s">
        <v>256</v>
      </c>
      <c r="D35" s="50">
        <v>11090</v>
      </c>
      <c r="E35" s="50">
        <v>1</v>
      </c>
      <c r="F35" s="50">
        <v>101</v>
      </c>
      <c r="G35" s="50">
        <v>900</v>
      </c>
      <c r="H35" s="50">
        <v>0</v>
      </c>
      <c r="I35" s="50">
        <v>0</v>
      </c>
      <c r="J35" s="50">
        <v>900</v>
      </c>
      <c r="K35" s="50">
        <v>900</v>
      </c>
      <c r="L35" s="50">
        <v>0</v>
      </c>
      <c r="M35" s="57">
        <v>922</v>
      </c>
      <c r="N35" s="58" t="s">
        <v>256</v>
      </c>
      <c r="O35" s="62"/>
      <c r="P35" s="61">
        <v>100</v>
      </c>
      <c r="Q35" s="65">
        <v>2200</v>
      </c>
      <c r="R35" s="64">
        <f t="shared" si="0"/>
        <v>922</v>
      </c>
    </row>
    <row r="36" customHeight="1" spans="1:18">
      <c r="A36" s="50">
        <v>33</v>
      </c>
      <c r="B36" s="53" t="s">
        <v>257</v>
      </c>
      <c r="C36" s="50" t="s">
        <v>258</v>
      </c>
      <c r="D36" s="50">
        <v>11025</v>
      </c>
      <c r="E36" s="50">
        <v>1</v>
      </c>
      <c r="F36" s="50">
        <v>101</v>
      </c>
      <c r="G36" s="50">
        <v>1200</v>
      </c>
      <c r="H36" s="50">
        <v>0</v>
      </c>
      <c r="I36" s="50">
        <v>0</v>
      </c>
      <c r="J36" s="50">
        <v>1200</v>
      </c>
      <c r="K36" s="50">
        <v>1200</v>
      </c>
      <c r="L36" s="50">
        <v>0</v>
      </c>
      <c r="M36" s="57">
        <v>1230</v>
      </c>
      <c r="N36" s="58" t="s">
        <v>258</v>
      </c>
      <c r="O36" s="62"/>
      <c r="P36" s="61">
        <v>100</v>
      </c>
      <c r="Q36" s="65">
        <v>3000</v>
      </c>
      <c r="R36" s="64">
        <f t="shared" ref="R36:R67" si="1">M36</f>
        <v>1230</v>
      </c>
    </row>
    <row r="37" customHeight="1" spans="1:18">
      <c r="A37" s="50">
        <v>34</v>
      </c>
      <c r="B37" s="53" t="s">
        <v>259</v>
      </c>
      <c r="C37" s="50" t="s">
        <v>260</v>
      </c>
      <c r="D37" s="50">
        <v>11026</v>
      </c>
      <c r="E37" s="50">
        <v>1</v>
      </c>
      <c r="F37" s="50">
        <v>101</v>
      </c>
      <c r="G37" s="50">
        <v>1600</v>
      </c>
      <c r="H37" s="50">
        <v>0</v>
      </c>
      <c r="I37" s="50">
        <v>0</v>
      </c>
      <c r="J37" s="50">
        <v>1600</v>
      </c>
      <c r="K37" s="50">
        <v>1600</v>
      </c>
      <c r="L37" s="50">
        <v>0</v>
      </c>
      <c r="M37" s="57">
        <v>1640</v>
      </c>
      <c r="N37" s="58" t="s">
        <v>260</v>
      </c>
      <c r="O37" s="62"/>
      <c r="P37" s="61">
        <v>100</v>
      </c>
      <c r="Q37" s="65">
        <v>4000</v>
      </c>
      <c r="R37" s="64">
        <f t="shared" si="1"/>
        <v>1640</v>
      </c>
    </row>
    <row r="38" customHeight="1" spans="1:18">
      <c r="A38" s="50">
        <v>35</v>
      </c>
      <c r="B38" s="53" t="s">
        <v>261</v>
      </c>
      <c r="C38" s="50" t="s">
        <v>262</v>
      </c>
      <c r="D38" s="50">
        <v>11093</v>
      </c>
      <c r="E38" s="50">
        <v>1</v>
      </c>
      <c r="F38" s="50">
        <v>101</v>
      </c>
      <c r="G38" s="50">
        <v>55</v>
      </c>
      <c r="H38" s="50">
        <v>0</v>
      </c>
      <c r="I38" s="50">
        <v>0</v>
      </c>
      <c r="J38" s="50">
        <v>55</v>
      </c>
      <c r="K38" s="50">
        <v>55</v>
      </c>
      <c r="L38" s="50">
        <v>0</v>
      </c>
      <c r="M38" s="57">
        <f t="shared" ref="M38:M53" si="2">J38</f>
        <v>55</v>
      </c>
      <c r="N38" s="58" t="s">
        <v>262</v>
      </c>
      <c r="O38" s="62"/>
      <c r="P38" s="61">
        <v>0</v>
      </c>
      <c r="Q38" s="65">
        <v>0</v>
      </c>
      <c r="R38" s="64">
        <f t="shared" si="1"/>
        <v>55</v>
      </c>
    </row>
    <row r="39" customHeight="1" spans="1:18">
      <c r="A39" s="50">
        <v>36</v>
      </c>
      <c r="B39" s="53" t="s">
        <v>263</v>
      </c>
      <c r="C39" s="50" t="s">
        <v>264</v>
      </c>
      <c r="D39" s="50">
        <v>11094</v>
      </c>
      <c r="E39" s="50">
        <v>1</v>
      </c>
      <c r="F39" s="50">
        <v>101</v>
      </c>
      <c r="G39" s="50">
        <v>80</v>
      </c>
      <c r="H39" s="50">
        <v>0</v>
      </c>
      <c r="I39" s="50">
        <v>0</v>
      </c>
      <c r="J39" s="50">
        <v>80</v>
      </c>
      <c r="K39" s="50">
        <v>80</v>
      </c>
      <c r="L39" s="50">
        <v>0</v>
      </c>
      <c r="M39" s="57">
        <f t="shared" si="2"/>
        <v>80</v>
      </c>
      <c r="N39" s="58" t="s">
        <v>264</v>
      </c>
      <c r="O39" s="62"/>
      <c r="P39" s="61">
        <v>0</v>
      </c>
      <c r="Q39" s="65">
        <v>0</v>
      </c>
      <c r="R39" s="64">
        <f t="shared" si="1"/>
        <v>80</v>
      </c>
    </row>
    <row r="40" customHeight="1" spans="1:18">
      <c r="A40" s="50">
        <v>37</v>
      </c>
      <c r="B40" s="53" t="s">
        <v>265</v>
      </c>
      <c r="C40" s="50" t="s">
        <v>266</v>
      </c>
      <c r="D40" s="50">
        <v>11095</v>
      </c>
      <c r="E40" s="50">
        <v>1</v>
      </c>
      <c r="F40" s="50">
        <v>101</v>
      </c>
      <c r="G40" s="50">
        <v>220</v>
      </c>
      <c r="H40" s="50">
        <v>0</v>
      </c>
      <c r="I40" s="50">
        <v>0</v>
      </c>
      <c r="J40" s="50">
        <v>220</v>
      </c>
      <c r="K40" s="50">
        <v>220</v>
      </c>
      <c r="L40" s="50">
        <v>0</v>
      </c>
      <c r="M40" s="57">
        <f t="shared" si="2"/>
        <v>220</v>
      </c>
      <c r="N40" s="58" t="s">
        <v>266</v>
      </c>
      <c r="O40" s="62"/>
      <c r="P40" s="61">
        <v>0</v>
      </c>
      <c r="Q40" s="65">
        <v>0</v>
      </c>
      <c r="R40" s="64">
        <f t="shared" si="1"/>
        <v>220</v>
      </c>
    </row>
    <row r="41" customHeight="1" spans="1:18">
      <c r="A41" s="50">
        <v>38</v>
      </c>
      <c r="B41" s="53" t="s">
        <v>267</v>
      </c>
      <c r="C41" s="50" t="s">
        <v>268</v>
      </c>
      <c r="D41" s="50">
        <v>11096</v>
      </c>
      <c r="E41" s="50">
        <v>1</v>
      </c>
      <c r="F41" s="50">
        <v>101</v>
      </c>
      <c r="G41" s="50">
        <v>350</v>
      </c>
      <c r="H41" s="50">
        <v>0</v>
      </c>
      <c r="I41" s="50">
        <v>0</v>
      </c>
      <c r="J41" s="50">
        <v>350</v>
      </c>
      <c r="K41" s="50">
        <v>350</v>
      </c>
      <c r="L41" s="50">
        <v>0</v>
      </c>
      <c r="M41" s="57">
        <f t="shared" si="2"/>
        <v>350</v>
      </c>
      <c r="N41" s="58" t="s">
        <v>268</v>
      </c>
      <c r="O41" s="62"/>
      <c r="P41" s="61">
        <v>0</v>
      </c>
      <c r="Q41" s="65">
        <v>0</v>
      </c>
      <c r="R41" s="64">
        <f t="shared" si="1"/>
        <v>350</v>
      </c>
    </row>
    <row r="42" customHeight="1" spans="1:18">
      <c r="A42" s="50">
        <v>39</v>
      </c>
      <c r="B42" s="53" t="s">
        <v>269</v>
      </c>
      <c r="C42" s="54" t="s">
        <v>270</v>
      </c>
      <c r="D42" s="50">
        <v>11097</v>
      </c>
      <c r="E42" s="50">
        <v>1</v>
      </c>
      <c r="F42" s="50">
        <v>101</v>
      </c>
      <c r="G42" s="50">
        <v>550</v>
      </c>
      <c r="H42" s="50">
        <v>0</v>
      </c>
      <c r="I42" s="50">
        <v>0</v>
      </c>
      <c r="J42" s="50">
        <v>550</v>
      </c>
      <c r="K42" s="50">
        <v>550</v>
      </c>
      <c r="L42" s="50">
        <v>0</v>
      </c>
      <c r="M42" s="57">
        <f t="shared" si="2"/>
        <v>550</v>
      </c>
      <c r="N42" s="63" t="s">
        <v>270</v>
      </c>
      <c r="O42" s="62"/>
      <c r="P42" s="61">
        <v>0</v>
      </c>
      <c r="Q42" s="65">
        <v>0</v>
      </c>
      <c r="R42" s="64">
        <f t="shared" si="1"/>
        <v>550</v>
      </c>
    </row>
    <row r="43" customHeight="1" spans="1:18">
      <c r="A43" s="50">
        <v>40</v>
      </c>
      <c r="B43" s="53" t="s">
        <v>271</v>
      </c>
      <c r="C43" s="50" t="s">
        <v>272</v>
      </c>
      <c r="D43" s="50">
        <v>11098</v>
      </c>
      <c r="E43" s="50">
        <v>1</v>
      </c>
      <c r="F43" s="50">
        <v>101</v>
      </c>
      <c r="G43" s="50">
        <v>900</v>
      </c>
      <c r="H43" s="50">
        <v>0</v>
      </c>
      <c r="I43" s="50">
        <v>0</v>
      </c>
      <c r="J43" s="50">
        <v>900</v>
      </c>
      <c r="K43" s="50">
        <v>900</v>
      </c>
      <c r="L43" s="50">
        <v>0</v>
      </c>
      <c r="M43" s="57">
        <f t="shared" si="2"/>
        <v>900</v>
      </c>
      <c r="N43" s="58" t="s">
        <v>272</v>
      </c>
      <c r="O43" s="62"/>
      <c r="P43" s="61">
        <v>0</v>
      </c>
      <c r="Q43" s="65">
        <v>0</v>
      </c>
      <c r="R43" s="64">
        <f t="shared" si="1"/>
        <v>900</v>
      </c>
    </row>
    <row r="44" customHeight="1" spans="1:18">
      <c r="A44" s="50">
        <v>41</v>
      </c>
      <c r="B44" s="53" t="s">
        <v>273</v>
      </c>
      <c r="C44" s="50" t="s">
        <v>274</v>
      </c>
      <c r="D44" s="50">
        <v>11099</v>
      </c>
      <c r="E44" s="50">
        <v>1</v>
      </c>
      <c r="F44" s="50">
        <v>101</v>
      </c>
      <c r="G44" s="50">
        <v>800</v>
      </c>
      <c r="H44" s="50">
        <v>0</v>
      </c>
      <c r="I44" s="50">
        <v>0</v>
      </c>
      <c r="J44" s="50">
        <v>800</v>
      </c>
      <c r="K44" s="50">
        <v>800</v>
      </c>
      <c r="L44" s="50">
        <v>0</v>
      </c>
      <c r="M44" s="57">
        <f t="shared" si="2"/>
        <v>800</v>
      </c>
      <c r="N44" s="58" t="s">
        <v>274</v>
      </c>
      <c r="O44" s="62"/>
      <c r="P44" s="61">
        <v>0</v>
      </c>
      <c r="Q44" s="65">
        <v>0</v>
      </c>
      <c r="R44" s="64">
        <f t="shared" si="1"/>
        <v>800</v>
      </c>
    </row>
    <row r="45" customHeight="1" spans="1:18">
      <c r="A45" s="50">
        <v>42</v>
      </c>
      <c r="B45" s="53" t="s">
        <v>275</v>
      </c>
      <c r="C45" s="50" t="s">
        <v>276</v>
      </c>
      <c r="D45" s="50">
        <v>12027</v>
      </c>
      <c r="E45" s="50">
        <v>2</v>
      </c>
      <c r="F45" s="50">
        <v>101</v>
      </c>
      <c r="G45" s="50">
        <v>1600</v>
      </c>
      <c r="H45" s="50">
        <v>0</v>
      </c>
      <c r="I45" s="50">
        <v>0</v>
      </c>
      <c r="J45" s="50">
        <v>1600</v>
      </c>
      <c r="K45" s="50">
        <v>1600</v>
      </c>
      <c r="L45" s="50">
        <v>1600</v>
      </c>
      <c r="M45" s="57">
        <f t="shared" si="2"/>
        <v>1600</v>
      </c>
      <c r="N45" s="58" t="s">
        <v>276</v>
      </c>
      <c r="O45" s="62"/>
      <c r="P45" s="61">
        <v>0</v>
      </c>
      <c r="Q45" s="65">
        <v>0</v>
      </c>
      <c r="R45" s="64">
        <f t="shared" si="1"/>
        <v>1600</v>
      </c>
    </row>
    <row r="46" customHeight="1" spans="1:18">
      <c r="A46" s="50">
        <v>43</v>
      </c>
      <c r="B46" s="53" t="s">
        <v>277</v>
      </c>
      <c r="C46" s="50" t="s">
        <v>278</v>
      </c>
      <c r="D46" s="50">
        <v>12028</v>
      </c>
      <c r="E46" s="50">
        <v>2</v>
      </c>
      <c r="F46" s="50">
        <v>101</v>
      </c>
      <c r="G46" s="50">
        <v>2500</v>
      </c>
      <c r="H46" s="50">
        <v>0</v>
      </c>
      <c r="I46" s="50">
        <v>0</v>
      </c>
      <c r="J46" s="50">
        <v>2500</v>
      </c>
      <c r="K46" s="50">
        <v>2500</v>
      </c>
      <c r="L46" s="50">
        <v>2500</v>
      </c>
      <c r="M46" s="57">
        <f t="shared" si="2"/>
        <v>2500</v>
      </c>
      <c r="N46" s="58" t="s">
        <v>278</v>
      </c>
      <c r="O46" s="62"/>
      <c r="P46" s="61">
        <v>0</v>
      </c>
      <c r="Q46" s="65">
        <v>0</v>
      </c>
      <c r="R46" s="64">
        <f t="shared" si="1"/>
        <v>2500</v>
      </c>
    </row>
    <row r="47" customHeight="1" spans="1:18">
      <c r="A47" s="50">
        <v>44</v>
      </c>
      <c r="B47" s="53" t="s">
        <v>279</v>
      </c>
      <c r="C47" s="50" t="s">
        <v>280</v>
      </c>
      <c r="D47" s="50">
        <v>12029</v>
      </c>
      <c r="E47" s="50">
        <v>2</v>
      </c>
      <c r="F47" s="50">
        <v>101</v>
      </c>
      <c r="G47" s="50">
        <v>3000</v>
      </c>
      <c r="H47" s="50">
        <v>0</v>
      </c>
      <c r="I47" s="50">
        <v>0</v>
      </c>
      <c r="J47" s="50">
        <v>3000</v>
      </c>
      <c r="K47" s="50">
        <v>3000</v>
      </c>
      <c r="L47" s="50">
        <v>3000</v>
      </c>
      <c r="M47" s="57">
        <f t="shared" si="2"/>
        <v>3000</v>
      </c>
      <c r="N47" s="58" t="s">
        <v>280</v>
      </c>
      <c r="O47" s="62"/>
      <c r="P47" s="61">
        <v>0</v>
      </c>
      <c r="Q47" s="65">
        <v>0</v>
      </c>
      <c r="R47" s="64">
        <f t="shared" si="1"/>
        <v>3000</v>
      </c>
    </row>
    <row r="48" customHeight="1" spans="1:18">
      <c r="A48" s="50">
        <v>45</v>
      </c>
      <c r="B48" s="53" t="s">
        <v>281</v>
      </c>
      <c r="C48" s="50" t="s">
        <v>282</v>
      </c>
      <c r="D48" s="50">
        <v>12030</v>
      </c>
      <c r="E48" s="50">
        <v>2</v>
      </c>
      <c r="F48" s="50">
        <v>101</v>
      </c>
      <c r="G48" s="50">
        <v>4000</v>
      </c>
      <c r="H48" s="50">
        <v>0</v>
      </c>
      <c r="I48" s="50">
        <v>0</v>
      </c>
      <c r="J48" s="50">
        <v>4000</v>
      </c>
      <c r="K48" s="50">
        <v>4000</v>
      </c>
      <c r="L48" s="50">
        <v>4000</v>
      </c>
      <c r="M48" s="57">
        <f t="shared" si="2"/>
        <v>4000</v>
      </c>
      <c r="N48" s="58" t="s">
        <v>282</v>
      </c>
      <c r="O48" s="62"/>
      <c r="P48" s="61">
        <v>0</v>
      </c>
      <c r="Q48" s="65">
        <v>0</v>
      </c>
      <c r="R48" s="64">
        <f t="shared" si="1"/>
        <v>4000</v>
      </c>
    </row>
    <row r="49" customHeight="1" spans="1:18">
      <c r="A49" s="50">
        <v>46</v>
      </c>
      <c r="B49" s="53" t="s">
        <v>283</v>
      </c>
      <c r="C49" s="50" t="s">
        <v>284</v>
      </c>
      <c r="D49" s="50">
        <v>12032</v>
      </c>
      <c r="E49" s="50">
        <v>2</v>
      </c>
      <c r="F49" s="50">
        <v>101</v>
      </c>
      <c r="G49" s="50">
        <v>5000</v>
      </c>
      <c r="H49" s="50">
        <v>0</v>
      </c>
      <c r="I49" s="50">
        <v>0</v>
      </c>
      <c r="J49" s="50">
        <v>5000</v>
      </c>
      <c r="K49" s="50">
        <v>5000</v>
      </c>
      <c r="L49" s="50">
        <v>5000</v>
      </c>
      <c r="M49" s="57">
        <f t="shared" si="2"/>
        <v>5000</v>
      </c>
      <c r="N49" s="58" t="s">
        <v>284</v>
      </c>
      <c r="O49" s="62"/>
      <c r="P49" s="61">
        <v>0</v>
      </c>
      <c r="Q49" s="65">
        <v>0</v>
      </c>
      <c r="R49" s="64">
        <f t="shared" si="1"/>
        <v>5000</v>
      </c>
    </row>
    <row r="50" customHeight="1" spans="1:18">
      <c r="A50" s="50">
        <v>47</v>
      </c>
      <c r="B50" s="53" t="s">
        <v>285</v>
      </c>
      <c r="C50" s="50" t="s">
        <v>286</v>
      </c>
      <c r="D50" s="50">
        <v>12031</v>
      </c>
      <c r="E50" s="50">
        <v>2</v>
      </c>
      <c r="F50" s="50">
        <v>101</v>
      </c>
      <c r="G50" s="50">
        <v>6000</v>
      </c>
      <c r="H50" s="50">
        <v>0</v>
      </c>
      <c r="I50" s="50">
        <v>0</v>
      </c>
      <c r="J50" s="50">
        <v>6000</v>
      </c>
      <c r="K50" s="50">
        <v>6000</v>
      </c>
      <c r="L50" s="50">
        <v>6000</v>
      </c>
      <c r="M50" s="57">
        <f t="shared" si="2"/>
        <v>6000</v>
      </c>
      <c r="N50" s="58" t="s">
        <v>286</v>
      </c>
      <c r="O50" s="62"/>
      <c r="P50" s="61">
        <v>0</v>
      </c>
      <c r="Q50" s="65">
        <v>0</v>
      </c>
      <c r="R50" s="64">
        <f t="shared" si="1"/>
        <v>6000</v>
      </c>
    </row>
    <row r="51" customHeight="1" spans="1:18">
      <c r="A51" s="50">
        <v>48</v>
      </c>
      <c r="B51" s="53" t="s">
        <v>279</v>
      </c>
      <c r="C51" s="50" t="s">
        <v>280</v>
      </c>
      <c r="D51" s="50">
        <v>13029</v>
      </c>
      <c r="E51" s="50">
        <v>2</v>
      </c>
      <c r="F51" s="50">
        <v>101</v>
      </c>
      <c r="G51" s="50">
        <v>6666</v>
      </c>
      <c r="H51" s="50">
        <v>0</v>
      </c>
      <c r="I51" s="50">
        <v>0</v>
      </c>
      <c r="J51" s="50">
        <v>6666</v>
      </c>
      <c r="K51" s="50">
        <v>6666</v>
      </c>
      <c r="L51" s="50">
        <v>6666</v>
      </c>
      <c r="M51" s="57">
        <f t="shared" si="2"/>
        <v>6666</v>
      </c>
      <c r="N51" s="58" t="s">
        <v>287</v>
      </c>
      <c r="O51" s="62"/>
      <c r="P51" s="61">
        <v>0</v>
      </c>
      <c r="Q51" s="65">
        <v>0</v>
      </c>
      <c r="R51" s="64">
        <f t="shared" si="1"/>
        <v>6666</v>
      </c>
    </row>
    <row r="52" customHeight="1" spans="1:18">
      <c r="A52" s="50">
        <v>49</v>
      </c>
      <c r="B52" s="55" t="s">
        <v>285</v>
      </c>
      <c r="C52" s="50" t="s">
        <v>286</v>
      </c>
      <c r="D52" s="50">
        <v>13031</v>
      </c>
      <c r="E52" s="50">
        <v>2</v>
      </c>
      <c r="F52" s="50">
        <v>101</v>
      </c>
      <c r="G52" s="50">
        <v>8888</v>
      </c>
      <c r="H52" s="50">
        <v>0</v>
      </c>
      <c r="I52" s="50">
        <v>0</v>
      </c>
      <c r="J52" s="50">
        <v>8888</v>
      </c>
      <c r="K52" s="50">
        <v>8888</v>
      </c>
      <c r="L52" s="50">
        <v>8888</v>
      </c>
      <c r="M52" s="57">
        <f t="shared" si="2"/>
        <v>8888</v>
      </c>
      <c r="N52" s="58" t="s">
        <v>288</v>
      </c>
      <c r="O52" s="62"/>
      <c r="P52" s="61">
        <v>0</v>
      </c>
      <c r="Q52" s="65">
        <v>0</v>
      </c>
      <c r="R52" s="64">
        <f t="shared" si="1"/>
        <v>8888</v>
      </c>
    </row>
    <row r="53" customHeight="1" spans="1:18">
      <c r="A53" s="50">
        <v>50</v>
      </c>
      <c r="B53" s="56" t="s">
        <v>283</v>
      </c>
      <c r="C53" s="50" t="s">
        <v>284</v>
      </c>
      <c r="D53" s="50">
        <v>13032</v>
      </c>
      <c r="E53" s="50">
        <v>2</v>
      </c>
      <c r="F53" s="50">
        <v>101</v>
      </c>
      <c r="G53" s="50">
        <v>9999</v>
      </c>
      <c r="H53" s="50">
        <v>0</v>
      </c>
      <c r="I53" s="50">
        <v>0</v>
      </c>
      <c r="J53" s="50">
        <v>9999</v>
      </c>
      <c r="K53" s="50">
        <v>9999</v>
      </c>
      <c r="L53" s="50">
        <v>9999</v>
      </c>
      <c r="M53" s="57">
        <f t="shared" si="2"/>
        <v>9999</v>
      </c>
      <c r="N53" s="58" t="s">
        <v>289</v>
      </c>
      <c r="O53" s="62"/>
      <c r="P53" s="61">
        <v>0</v>
      </c>
      <c r="Q53" s="65">
        <v>0</v>
      </c>
      <c r="R53" s="64">
        <f t="shared" si="1"/>
        <v>9999</v>
      </c>
    </row>
    <row r="54" customHeight="1" spans="1:18">
      <c r="A54" s="50">
        <v>51</v>
      </c>
      <c r="B54" s="50" t="s">
        <v>205</v>
      </c>
      <c r="C54" s="50" t="s">
        <v>206</v>
      </c>
      <c r="D54" s="50">
        <v>14007</v>
      </c>
      <c r="E54" s="50">
        <v>3</v>
      </c>
      <c r="F54" s="50">
        <v>101</v>
      </c>
      <c r="G54" s="50">
        <v>30</v>
      </c>
      <c r="H54" s="50">
        <v>0</v>
      </c>
      <c r="I54" s="50">
        <v>0</v>
      </c>
      <c r="J54" s="50">
        <f t="shared" ref="J54:J74" si="3">G54*5</f>
        <v>150</v>
      </c>
      <c r="K54" s="50">
        <f t="shared" ref="K54:K74" si="4">J54</f>
        <v>150</v>
      </c>
      <c r="L54" s="50">
        <v>0</v>
      </c>
      <c r="M54" s="57">
        <v>156</v>
      </c>
      <c r="N54" s="58" t="s">
        <v>290</v>
      </c>
      <c r="O54" s="62"/>
      <c r="P54" s="61">
        <v>50</v>
      </c>
      <c r="Q54" s="65">
        <v>1000</v>
      </c>
      <c r="R54" s="64">
        <f t="shared" si="1"/>
        <v>156</v>
      </c>
    </row>
    <row r="55" customHeight="1" spans="1:18">
      <c r="A55" s="50">
        <v>52</v>
      </c>
      <c r="B55" s="50" t="s">
        <v>209</v>
      </c>
      <c r="C55" s="50" t="s">
        <v>210</v>
      </c>
      <c r="D55" s="50">
        <v>14009</v>
      </c>
      <c r="E55" s="50">
        <v>3</v>
      </c>
      <c r="F55" s="50">
        <v>101</v>
      </c>
      <c r="G55" s="50">
        <v>60</v>
      </c>
      <c r="H55" s="50">
        <v>0</v>
      </c>
      <c r="I55" s="50">
        <v>0</v>
      </c>
      <c r="J55" s="50">
        <f t="shared" si="3"/>
        <v>300</v>
      </c>
      <c r="K55" s="50">
        <f t="shared" si="4"/>
        <v>300</v>
      </c>
      <c r="L55" s="50">
        <v>0</v>
      </c>
      <c r="M55" s="57">
        <v>310</v>
      </c>
      <c r="N55" s="58" t="s">
        <v>291</v>
      </c>
      <c r="O55" s="62"/>
      <c r="P55" s="61">
        <v>90</v>
      </c>
      <c r="Q55" s="65">
        <v>1000</v>
      </c>
      <c r="R55" s="64">
        <f t="shared" si="1"/>
        <v>310</v>
      </c>
    </row>
    <row r="56" customHeight="1" spans="1:18">
      <c r="A56" s="50">
        <v>53</v>
      </c>
      <c r="B56" s="50" t="s">
        <v>217</v>
      </c>
      <c r="C56" s="50" t="s">
        <v>218</v>
      </c>
      <c r="D56" s="50">
        <v>14011</v>
      </c>
      <c r="E56" s="50">
        <v>3</v>
      </c>
      <c r="F56" s="50">
        <v>101</v>
      </c>
      <c r="G56" s="50">
        <v>100</v>
      </c>
      <c r="H56" s="50">
        <v>0</v>
      </c>
      <c r="I56" s="50">
        <v>0</v>
      </c>
      <c r="J56" s="50">
        <f t="shared" si="3"/>
        <v>500</v>
      </c>
      <c r="K56" s="50">
        <f t="shared" si="4"/>
        <v>500</v>
      </c>
      <c r="L56" s="50">
        <v>0</v>
      </c>
      <c r="M56" s="57">
        <v>516</v>
      </c>
      <c r="N56" s="58" t="s">
        <v>292</v>
      </c>
      <c r="O56" s="62"/>
      <c r="P56" s="61">
        <v>150</v>
      </c>
      <c r="Q56" s="65">
        <v>1000</v>
      </c>
      <c r="R56" s="64">
        <f t="shared" si="1"/>
        <v>516</v>
      </c>
    </row>
    <row r="57" customHeight="1" spans="1:18">
      <c r="A57" s="50">
        <v>54</v>
      </c>
      <c r="B57" s="50" t="s">
        <v>221</v>
      </c>
      <c r="C57" s="50" t="s">
        <v>222</v>
      </c>
      <c r="D57" s="50">
        <v>14013</v>
      </c>
      <c r="E57" s="50">
        <v>3</v>
      </c>
      <c r="F57" s="50">
        <v>101</v>
      </c>
      <c r="G57" s="50">
        <v>140</v>
      </c>
      <c r="H57" s="50">
        <v>0</v>
      </c>
      <c r="I57" s="50">
        <v>0</v>
      </c>
      <c r="J57" s="50">
        <f t="shared" si="3"/>
        <v>700</v>
      </c>
      <c r="K57" s="50">
        <f t="shared" si="4"/>
        <v>700</v>
      </c>
      <c r="L57" s="50">
        <v>0</v>
      </c>
      <c r="M57" s="57">
        <v>722</v>
      </c>
      <c r="N57" s="58" t="s">
        <v>293</v>
      </c>
      <c r="O57" s="62"/>
      <c r="P57" s="61">
        <v>210</v>
      </c>
      <c r="Q57" s="65">
        <v>1000</v>
      </c>
      <c r="R57" s="64">
        <f t="shared" si="1"/>
        <v>722</v>
      </c>
    </row>
    <row r="58" customHeight="1" spans="1:18">
      <c r="A58" s="50">
        <v>55</v>
      </c>
      <c r="B58" s="50" t="s">
        <v>227</v>
      </c>
      <c r="C58" s="50" t="s">
        <v>228</v>
      </c>
      <c r="D58" s="50">
        <v>14015</v>
      </c>
      <c r="E58" s="50">
        <v>3</v>
      </c>
      <c r="F58" s="50">
        <v>101</v>
      </c>
      <c r="G58" s="50">
        <v>200</v>
      </c>
      <c r="H58" s="50">
        <v>0</v>
      </c>
      <c r="I58" s="50">
        <v>0</v>
      </c>
      <c r="J58" s="50">
        <f t="shared" si="3"/>
        <v>1000</v>
      </c>
      <c r="K58" s="50">
        <f t="shared" si="4"/>
        <v>1000</v>
      </c>
      <c r="L58" s="50">
        <v>0</v>
      </c>
      <c r="M58" s="57">
        <v>1031</v>
      </c>
      <c r="N58" s="58" t="s">
        <v>294</v>
      </c>
      <c r="O58" s="62"/>
      <c r="P58" s="61">
        <v>300</v>
      </c>
      <c r="Q58" s="65">
        <v>1000</v>
      </c>
      <c r="R58" s="64">
        <f t="shared" si="1"/>
        <v>1031</v>
      </c>
    </row>
    <row r="59" customHeight="1" spans="1:18">
      <c r="A59" s="50">
        <v>56</v>
      </c>
      <c r="B59" s="50" t="s">
        <v>229</v>
      </c>
      <c r="C59" s="50" t="s">
        <v>230</v>
      </c>
      <c r="D59" s="50">
        <v>14016</v>
      </c>
      <c r="E59" s="50">
        <v>3</v>
      </c>
      <c r="F59" s="50">
        <v>101</v>
      </c>
      <c r="G59" s="50">
        <v>240</v>
      </c>
      <c r="H59" s="50">
        <v>0</v>
      </c>
      <c r="I59" s="50">
        <v>0</v>
      </c>
      <c r="J59" s="50">
        <f t="shared" si="3"/>
        <v>1200</v>
      </c>
      <c r="K59" s="50">
        <f t="shared" si="4"/>
        <v>1200</v>
      </c>
      <c r="L59" s="50">
        <v>0</v>
      </c>
      <c r="M59" s="57">
        <v>1237</v>
      </c>
      <c r="N59" s="58" t="s">
        <v>295</v>
      </c>
      <c r="O59" s="62"/>
      <c r="P59" s="61">
        <v>180</v>
      </c>
      <c r="Q59" s="65">
        <v>2000</v>
      </c>
      <c r="R59" s="64">
        <f t="shared" si="1"/>
        <v>1237</v>
      </c>
    </row>
    <row r="60" customHeight="1" spans="1:18">
      <c r="A60" s="50">
        <v>57</v>
      </c>
      <c r="B60" s="50" t="s">
        <v>231</v>
      </c>
      <c r="C60" s="50" t="s">
        <v>232</v>
      </c>
      <c r="D60" s="50">
        <v>14017</v>
      </c>
      <c r="E60" s="50">
        <v>3</v>
      </c>
      <c r="F60" s="50">
        <v>101</v>
      </c>
      <c r="G60" s="50">
        <v>280</v>
      </c>
      <c r="H60" s="50">
        <v>0</v>
      </c>
      <c r="I60" s="50">
        <v>0</v>
      </c>
      <c r="J60" s="50">
        <f t="shared" si="3"/>
        <v>1400</v>
      </c>
      <c r="K60" s="50">
        <f t="shared" si="4"/>
        <v>1400</v>
      </c>
      <c r="L60" s="50">
        <v>0</v>
      </c>
      <c r="M60" s="57">
        <v>1443</v>
      </c>
      <c r="N60" s="58" t="s">
        <v>296</v>
      </c>
      <c r="O60" s="62"/>
      <c r="P60" s="61">
        <v>210</v>
      </c>
      <c r="Q60" s="65">
        <v>2000</v>
      </c>
      <c r="R60" s="64">
        <f t="shared" si="1"/>
        <v>1443</v>
      </c>
    </row>
    <row r="61" customHeight="1" spans="1:18">
      <c r="A61" s="50">
        <v>58</v>
      </c>
      <c r="B61" s="50" t="s">
        <v>235</v>
      </c>
      <c r="C61" s="54" t="s">
        <v>236</v>
      </c>
      <c r="D61" s="50">
        <v>14019</v>
      </c>
      <c r="E61" s="50">
        <v>3</v>
      </c>
      <c r="F61" s="50">
        <v>101</v>
      </c>
      <c r="G61" s="50">
        <v>360</v>
      </c>
      <c r="H61" s="50">
        <v>0</v>
      </c>
      <c r="I61" s="50">
        <v>0</v>
      </c>
      <c r="J61" s="50">
        <f t="shared" si="3"/>
        <v>1800</v>
      </c>
      <c r="K61" s="50">
        <f t="shared" si="4"/>
        <v>1800</v>
      </c>
      <c r="L61" s="50">
        <v>0</v>
      </c>
      <c r="M61" s="57">
        <v>1857</v>
      </c>
      <c r="N61" s="63" t="s">
        <v>297</v>
      </c>
      <c r="O61" s="62"/>
      <c r="P61" s="61">
        <v>180</v>
      </c>
      <c r="Q61" s="65">
        <v>3000</v>
      </c>
      <c r="R61" s="64">
        <f t="shared" si="1"/>
        <v>1857</v>
      </c>
    </row>
    <row r="62" customHeight="1" spans="1:18">
      <c r="A62" s="50">
        <v>59</v>
      </c>
      <c r="B62" s="50" t="s">
        <v>241</v>
      </c>
      <c r="C62" s="50" t="s">
        <v>242</v>
      </c>
      <c r="D62" s="50">
        <v>14020</v>
      </c>
      <c r="E62" s="50">
        <v>3</v>
      </c>
      <c r="F62" s="50">
        <v>101</v>
      </c>
      <c r="G62" s="50">
        <v>500</v>
      </c>
      <c r="H62" s="50">
        <v>0</v>
      </c>
      <c r="I62" s="50">
        <v>0</v>
      </c>
      <c r="J62" s="50">
        <f t="shared" si="3"/>
        <v>2500</v>
      </c>
      <c r="K62" s="50">
        <f t="shared" si="4"/>
        <v>2500</v>
      </c>
      <c r="L62" s="50">
        <v>0</v>
      </c>
      <c r="M62" s="57">
        <v>2579</v>
      </c>
      <c r="N62" s="58" t="s">
        <v>298</v>
      </c>
      <c r="O62" s="62"/>
      <c r="P62" s="61">
        <v>190</v>
      </c>
      <c r="Q62" s="65">
        <v>4000</v>
      </c>
      <c r="R62" s="64">
        <f t="shared" si="1"/>
        <v>2579</v>
      </c>
    </row>
    <row r="63" customHeight="1" spans="1:18">
      <c r="A63" s="50">
        <v>60</v>
      </c>
      <c r="B63" s="50" t="s">
        <v>245</v>
      </c>
      <c r="C63" s="50" t="s">
        <v>246</v>
      </c>
      <c r="D63" s="50">
        <v>14021</v>
      </c>
      <c r="E63" s="50">
        <v>3</v>
      </c>
      <c r="F63" s="50">
        <v>101</v>
      </c>
      <c r="G63" s="50">
        <v>600</v>
      </c>
      <c r="H63" s="50">
        <v>0</v>
      </c>
      <c r="I63" s="50">
        <v>0</v>
      </c>
      <c r="J63" s="50">
        <f t="shared" si="3"/>
        <v>3000</v>
      </c>
      <c r="K63" s="50">
        <f t="shared" si="4"/>
        <v>3000</v>
      </c>
      <c r="L63" s="50">
        <v>0</v>
      </c>
      <c r="M63" s="57">
        <v>3093</v>
      </c>
      <c r="N63" s="58" t="s">
        <v>299</v>
      </c>
      <c r="O63" s="62"/>
      <c r="P63" s="61">
        <v>200</v>
      </c>
      <c r="Q63" s="65">
        <v>4500</v>
      </c>
      <c r="R63" s="64">
        <f t="shared" si="1"/>
        <v>3093</v>
      </c>
    </row>
    <row r="64" customHeight="1" spans="1:18">
      <c r="A64" s="50">
        <v>61</v>
      </c>
      <c r="B64" s="50" t="s">
        <v>247</v>
      </c>
      <c r="C64" s="54" t="s">
        <v>248</v>
      </c>
      <c r="D64" s="50">
        <v>14022</v>
      </c>
      <c r="E64" s="50">
        <v>3</v>
      </c>
      <c r="F64" s="50">
        <v>101</v>
      </c>
      <c r="G64" s="50">
        <v>650</v>
      </c>
      <c r="H64" s="50">
        <v>0</v>
      </c>
      <c r="I64" s="50">
        <v>0</v>
      </c>
      <c r="J64" s="50">
        <f t="shared" si="3"/>
        <v>3250</v>
      </c>
      <c r="K64" s="50">
        <f t="shared" si="4"/>
        <v>3250</v>
      </c>
      <c r="L64" s="50">
        <v>0</v>
      </c>
      <c r="M64" s="57">
        <v>3353</v>
      </c>
      <c r="N64" s="63" t="s">
        <v>300</v>
      </c>
      <c r="O64" s="62"/>
      <c r="P64" s="61">
        <v>200</v>
      </c>
      <c r="Q64" s="65">
        <v>5000</v>
      </c>
      <c r="R64" s="64">
        <f t="shared" si="1"/>
        <v>3353</v>
      </c>
    </row>
    <row r="65" customHeight="1" spans="1:18">
      <c r="A65" s="50">
        <v>62</v>
      </c>
      <c r="B65" s="50" t="s">
        <v>249</v>
      </c>
      <c r="C65" s="50" t="s">
        <v>250</v>
      </c>
      <c r="D65" s="50">
        <v>14023</v>
      </c>
      <c r="E65" s="50">
        <v>3</v>
      </c>
      <c r="F65" s="50">
        <v>101</v>
      </c>
      <c r="G65" s="50">
        <v>700</v>
      </c>
      <c r="H65" s="50">
        <v>0</v>
      </c>
      <c r="I65" s="50">
        <v>0</v>
      </c>
      <c r="J65" s="50">
        <f t="shared" si="3"/>
        <v>3500</v>
      </c>
      <c r="K65" s="50">
        <f t="shared" si="4"/>
        <v>3500</v>
      </c>
      <c r="L65" s="50">
        <v>0</v>
      </c>
      <c r="M65" s="57">
        <v>3613</v>
      </c>
      <c r="N65" s="58" t="s">
        <v>301</v>
      </c>
      <c r="O65" s="62"/>
      <c r="P65" s="61">
        <v>200</v>
      </c>
      <c r="Q65" s="65">
        <v>5500</v>
      </c>
      <c r="R65" s="64">
        <f t="shared" si="1"/>
        <v>3613</v>
      </c>
    </row>
    <row r="66" customHeight="1" spans="1:18">
      <c r="A66" s="50">
        <v>63</v>
      </c>
      <c r="B66" s="50" t="s">
        <v>253</v>
      </c>
      <c r="C66" s="50" t="s">
        <v>254</v>
      </c>
      <c r="D66" s="50">
        <v>14024</v>
      </c>
      <c r="E66" s="50">
        <v>3</v>
      </c>
      <c r="F66" s="50">
        <v>101</v>
      </c>
      <c r="G66" s="50">
        <v>1000</v>
      </c>
      <c r="H66" s="50">
        <v>0</v>
      </c>
      <c r="I66" s="50">
        <v>0</v>
      </c>
      <c r="J66" s="50">
        <f t="shared" si="3"/>
        <v>5000</v>
      </c>
      <c r="K66" s="50">
        <f t="shared" si="4"/>
        <v>5000</v>
      </c>
      <c r="L66" s="50">
        <v>0</v>
      </c>
      <c r="M66" s="57">
        <v>5166</v>
      </c>
      <c r="N66" s="58" t="s">
        <v>302</v>
      </c>
      <c r="O66" s="62"/>
      <c r="P66" s="61">
        <v>200</v>
      </c>
      <c r="Q66" s="65">
        <v>8000</v>
      </c>
      <c r="R66" s="64">
        <f t="shared" si="1"/>
        <v>5166</v>
      </c>
    </row>
    <row r="67" customHeight="1" spans="1:18">
      <c r="A67" s="50">
        <v>64</v>
      </c>
      <c r="B67" s="50" t="s">
        <v>257</v>
      </c>
      <c r="C67" s="50" t="s">
        <v>258</v>
      </c>
      <c r="D67" s="50">
        <v>14025</v>
      </c>
      <c r="E67" s="50">
        <v>3</v>
      </c>
      <c r="F67" s="50">
        <v>101</v>
      </c>
      <c r="G67" s="50">
        <v>1200</v>
      </c>
      <c r="H67" s="50">
        <v>0</v>
      </c>
      <c r="I67" s="50">
        <v>0</v>
      </c>
      <c r="J67" s="50">
        <f t="shared" si="3"/>
        <v>6000</v>
      </c>
      <c r="K67" s="50">
        <f t="shared" si="4"/>
        <v>6000</v>
      </c>
      <c r="L67" s="50">
        <v>0</v>
      </c>
      <c r="M67" s="57">
        <v>6206</v>
      </c>
      <c r="N67" s="58" t="s">
        <v>303</v>
      </c>
      <c r="O67" s="62"/>
      <c r="P67" s="61">
        <v>200</v>
      </c>
      <c r="Q67" s="65">
        <v>10000</v>
      </c>
      <c r="R67" s="64">
        <f t="shared" si="1"/>
        <v>6206</v>
      </c>
    </row>
    <row r="68" customHeight="1" spans="1:18">
      <c r="A68" s="50">
        <v>65</v>
      </c>
      <c r="B68" s="50" t="s">
        <v>211</v>
      </c>
      <c r="C68" s="50" t="s">
        <v>212</v>
      </c>
      <c r="D68" s="50">
        <v>14085</v>
      </c>
      <c r="E68" s="50">
        <v>3</v>
      </c>
      <c r="F68" s="50">
        <v>101</v>
      </c>
      <c r="G68" s="50">
        <v>40</v>
      </c>
      <c r="H68" s="50">
        <v>0</v>
      </c>
      <c r="I68" s="50">
        <v>0</v>
      </c>
      <c r="J68" s="50">
        <f t="shared" si="3"/>
        <v>200</v>
      </c>
      <c r="K68" s="50">
        <f t="shared" si="4"/>
        <v>200</v>
      </c>
      <c r="L68" s="50">
        <v>0</v>
      </c>
      <c r="M68" s="57">
        <v>207</v>
      </c>
      <c r="N68" s="58" t="s">
        <v>304</v>
      </c>
      <c r="O68" s="62"/>
      <c r="P68" s="61">
        <v>200</v>
      </c>
      <c r="Q68" s="65">
        <v>300</v>
      </c>
      <c r="R68" s="64">
        <f t="shared" ref="R68:R87" si="5">M68</f>
        <v>207</v>
      </c>
    </row>
    <row r="69" customHeight="1" spans="1:18">
      <c r="A69" s="50">
        <v>66</v>
      </c>
      <c r="B69" s="50" t="s">
        <v>213</v>
      </c>
      <c r="C69" s="50" t="s">
        <v>214</v>
      </c>
      <c r="D69" s="50">
        <v>14086</v>
      </c>
      <c r="E69" s="50">
        <v>3</v>
      </c>
      <c r="F69" s="50">
        <v>101</v>
      </c>
      <c r="G69" s="50">
        <v>60</v>
      </c>
      <c r="H69" s="50">
        <v>0</v>
      </c>
      <c r="I69" s="50">
        <v>0</v>
      </c>
      <c r="J69" s="50">
        <f t="shared" si="3"/>
        <v>300</v>
      </c>
      <c r="K69" s="50">
        <f t="shared" si="4"/>
        <v>300</v>
      </c>
      <c r="L69" s="50">
        <v>0</v>
      </c>
      <c r="M69" s="57">
        <v>310</v>
      </c>
      <c r="N69" s="58" t="s">
        <v>305</v>
      </c>
      <c r="O69" s="62"/>
      <c r="P69" s="61">
        <v>180</v>
      </c>
      <c r="Q69" s="65">
        <v>500</v>
      </c>
      <c r="R69" s="64">
        <f t="shared" si="5"/>
        <v>310</v>
      </c>
    </row>
    <row r="70" customHeight="1" spans="1:18">
      <c r="A70" s="50">
        <v>67</v>
      </c>
      <c r="B70" s="50" t="s">
        <v>225</v>
      </c>
      <c r="C70" s="50" t="s">
        <v>226</v>
      </c>
      <c r="D70" s="50">
        <v>14087</v>
      </c>
      <c r="E70" s="50">
        <v>3</v>
      </c>
      <c r="F70" s="50">
        <v>101</v>
      </c>
      <c r="G70" s="50">
        <v>180</v>
      </c>
      <c r="H70" s="50">
        <v>0</v>
      </c>
      <c r="I70" s="50">
        <v>0</v>
      </c>
      <c r="J70" s="50">
        <f t="shared" si="3"/>
        <v>900</v>
      </c>
      <c r="K70" s="50">
        <f t="shared" si="4"/>
        <v>900</v>
      </c>
      <c r="L70" s="50">
        <v>0</v>
      </c>
      <c r="M70" s="57">
        <v>930</v>
      </c>
      <c r="N70" s="58" t="s">
        <v>306</v>
      </c>
      <c r="O70" s="62"/>
      <c r="P70" s="61">
        <v>180</v>
      </c>
      <c r="Q70" s="65">
        <v>1500</v>
      </c>
      <c r="R70" s="64">
        <f t="shared" si="5"/>
        <v>930</v>
      </c>
    </row>
    <row r="71" customHeight="1" spans="1:18">
      <c r="A71" s="50">
        <v>68</v>
      </c>
      <c r="B71" s="50" t="s">
        <v>233</v>
      </c>
      <c r="C71" s="50" t="s">
        <v>234</v>
      </c>
      <c r="D71" s="50">
        <v>14088</v>
      </c>
      <c r="E71" s="50">
        <v>3</v>
      </c>
      <c r="F71" s="50">
        <v>101</v>
      </c>
      <c r="G71" s="50">
        <v>320</v>
      </c>
      <c r="H71" s="50">
        <v>0</v>
      </c>
      <c r="I71" s="50">
        <v>0</v>
      </c>
      <c r="J71" s="50">
        <f t="shared" si="3"/>
        <v>1600</v>
      </c>
      <c r="K71" s="50">
        <f t="shared" si="4"/>
        <v>1600</v>
      </c>
      <c r="L71" s="50">
        <v>0</v>
      </c>
      <c r="M71" s="57">
        <v>1656</v>
      </c>
      <c r="N71" s="58" t="s">
        <v>307</v>
      </c>
      <c r="O71" s="62"/>
      <c r="P71" s="61">
        <v>200</v>
      </c>
      <c r="Q71" s="65">
        <v>2500</v>
      </c>
      <c r="R71" s="64">
        <f t="shared" si="5"/>
        <v>1656</v>
      </c>
    </row>
    <row r="72" customHeight="1" spans="1:18">
      <c r="A72" s="50">
        <v>69</v>
      </c>
      <c r="B72" s="50" t="s">
        <v>243</v>
      </c>
      <c r="C72" s="54" t="s">
        <v>244</v>
      </c>
      <c r="D72" s="50">
        <v>14089</v>
      </c>
      <c r="E72" s="50">
        <v>3</v>
      </c>
      <c r="F72" s="50">
        <v>101</v>
      </c>
      <c r="G72" s="50">
        <v>550</v>
      </c>
      <c r="H72" s="50">
        <v>0</v>
      </c>
      <c r="I72" s="50">
        <v>0</v>
      </c>
      <c r="J72" s="50">
        <f t="shared" si="3"/>
        <v>2750</v>
      </c>
      <c r="K72" s="50">
        <f t="shared" si="4"/>
        <v>2750</v>
      </c>
      <c r="L72" s="50">
        <v>0</v>
      </c>
      <c r="M72" s="57">
        <v>2837</v>
      </c>
      <c r="N72" s="63" t="s">
        <v>308</v>
      </c>
      <c r="O72" s="62"/>
      <c r="P72" s="61">
        <v>180</v>
      </c>
      <c r="Q72" s="65">
        <v>4500</v>
      </c>
      <c r="R72" s="64">
        <f t="shared" si="5"/>
        <v>2837</v>
      </c>
    </row>
    <row r="73" customHeight="1" spans="1:18">
      <c r="A73" s="50">
        <v>70</v>
      </c>
      <c r="B73" s="50" t="s">
        <v>255</v>
      </c>
      <c r="C73" s="50" t="s">
        <v>256</v>
      </c>
      <c r="D73" s="50">
        <v>14090</v>
      </c>
      <c r="E73" s="50">
        <v>3</v>
      </c>
      <c r="F73" s="50">
        <v>101</v>
      </c>
      <c r="G73" s="50">
        <v>900</v>
      </c>
      <c r="H73" s="50">
        <v>0</v>
      </c>
      <c r="I73" s="50">
        <v>0</v>
      </c>
      <c r="J73" s="50">
        <f t="shared" si="3"/>
        <v>4500</v>
      </c>
      <c r="K73" s="50">
        <f t="shared" si="4"/>
        <v>4500</v>
      </c>
      <c r="L73" s="50">
        <v>0</v>
      </c>
      <c r="M73" s="57">
        <v>4650</v>
      </c>
      <c r="N73" s="58" t="s">
        <v>309</v>
      </c>
      <c r="O73" s="62"/>
      <c r="P73" s="61">
        <v>180</v>
      </c>
      <c r="Q73" s="65">
        <v>8000</v>
      </c>
      <c r="R73" s="64">
        <f t="shared" si="5"/>
        <v>4650</v>
      </c>
    </row>
    <row r="74" customHeight="1" spans="1:18">
      <c r="A74" s="50">
        <v>71</v>
      </c>
      <c r="B74" s="50" t="s">
        <v>251</v>
      </c>
      <c r="C74" s="50" t="s">
        <v>252</v>
      </c>
      <c r="D74" s="50">
        <v>14091</v>
      </c>
      <c r="E74" s="50">
        <v>3</v>
      </c>
      <c r="F74" s="50">
        <v>101</v>
      </c>
      <c r="G74" s="50">
        <v>800</v>
      </c>
      <c r="H74" s="50">
        <v>0</v>
      </c>
      <c r="I74" s="50">
        <v>0</v>
      </c>
      <c r="J74" s="50">
        <f t="shared" si="3"/>
        <v>4000</v>
      </c>
      <c r="K74" s="50">
        <f t="shared" si="4"/>
        <v>4000</v>
      </c>
      <c r="L74" s="50">
        <v>0</v>
      </c>
      <c r="M74" s="57">
        <v>4132</v>
      </c>
      <c r="N74" s="58" t="s">
        <v>310</v>
      </c>
      <c r="O74" s="62"/>
      <c r="P74" s="61">
        <v>180</v>
      </c>
      <c r="Q74" s="65">
        <v>7000</v>
      </c>
      <c r="R74" s="64">
        <f t="shared" si="5"/>
        <v>4132</v>
      </c>
    </row>
    <row r="75" customHeight="1" spans="1:18">
      <c r="A75" s="50">
        <v>72</v>
      </c>
      <c r="B75" s="50" t="s">
        <v>311</v>
      </c>
      <c r="C75" s="50" t="s">
        <v>312</v>
      </c>
      <c r="D75" s="50">
        <v>15033</v>
      </c>
      <c r="E75" s="50">
        <v>4</v>
      </c>
      <c r="F75" s="50">
        <v>103</v>
      </c>
      <c r="G75" s="50">
        <v>1</v>
      </c>
      <c r="H75" s="50">
        <v>0</v>
      </c>
      <c r="I75" s="50">
        <v>0</v>
      </c>
      <c r="J75" s="50">
        <v>350</v>
      </c>
      <c r="K75" s="50">
        <v>350</v>
      </c>
      <c r="L75" s="50">
        <v>0</v>
      </c>
      <c r="M75" s="68">
        <f t="shared" ref="M75:M87" si="6">J75</f>
        <v>350</v>
      </c>
      <c r="N75" s="58" t="s">
        <v>313</v>
      </c>
      <c r="O75" s="62"/>
      <c r="P75" s="61">
        <v>0</v>
      </c>
      <c r="Q75" s="65">
        <v>0</v>
      </c>
      <c r="R75" s="64">
        <f t="shared" si="5"/>
        <v>350</v>
      </c>
    </row>
    <row r="76" customHeight="1" spans="1:18">
      <c r="A76" s="50">
        <v>73</v>
      </c>
      <c r="B76" s="50" t="s">
        <v>314</v>
      </c>
      <c r="C76" s="50" t="s">
        <v>315</v>
      </c>
      <c r="D76" s="50">
        <v>15034</v>
      </c>
      <c r="E76" s="50">
        <v>4</v>
      </c>
      <c r="F76" s="50">
        <v>103</v>
      </c>
      <c r="G76" s="50">
        <v>5</v>
      </c>
      <c r="H76" s="50">
        <v>0</v>
      </c>
      <c r="I76" s="50">
        <v>0</v>
      </c>
      <c r="J76" s="50">
        <v>2000</v>
      </c>
      <c r="K76" s="50">
        <v>2000</v>
      </c>
      <c r="L76" s="50">
        <v>0</v>
      </c>
      <c r="M76" s="68">
        <f t="shared" si="6"/>
        <v>2000</v>
      </c>
      <c r="N76" s="58" t="s">
        <v>316</v>
      </c>
      <c r="O76" s="62"/>
      <c r="P76" s="61">
        <v>0</v>
      </c>
      <c r="Q76" s="65">
        <v>0</v>
      </c>
      <c r="R76" s="64">
        <f t="shared" si="5"/>
        <v>2000</v>
      </c>
    </row>
    <row r="77" customHeight="1" spans="1:18">
      <c r="A77" s="50">
        <v>74</v>
      </c>
      <c r="B77" s="52" t="s">
        <v>317</v>
      </c>
      <c r="C77" s="50" t="s">
        <v>318</v>
      </c>
      <c r="D77" s="50">
        <v>15035</v>
      </c>
      <c r="E77" s="50">
        <v>4</v>
      </c>
      <c r="F77" s="50">
        <v>103</v>
      </c>
      <c r="G77" s="50">
        <v>10</v>
      </c>
      <c r="H77" s="50">
        <v>0</v>
      </c>
      <c r="I77" s="50">
        <v>0</v>
      </c>
      <c r="J77" s="50">
        <v>12000</v>
      </c>
      <c r="K77" s="50">
        <f t="shared" ref="K77:K87" si="7">J77</f>
        <v>12000</v>
      </c>
      <c r="L77" s="50">
        <v>0</v>
      </c>
      <c r="M77" s="68">
        <f t="shared" si="6"/>
        <v>12000</v>
      </c>
      <c r="N77" s="58" t="s">
        <v>319</v>
      </c>
      <c r="O77" s="62"/>
      <c r="P77" s="61">
        <v>0</v>
      </c>
      <c r="Q77" s="65">
        <v>0</v>
      </c>
      <c r="R77" s="64">
        <f t="shared" si="5"/>
        <v>12000</v>
      </c>
    </row>
    <row r="78" customHeight="1" spans="1:18">
      <c r="A78" s="50">
        <v>75</v>
      </c>
      <c r="B78" s="53" t="s">
        <v>320</v>
      </c>
      <c r="C78" s="50" t="s">
        <v>321</v>
      </c>
      <c r="D78" s="50">
        <v>15036</v>
      </c>
      <c r="E78" s="50">
        <v>4</v>
      </c>
      <c r="F78" s="50">
        <v>103</v>
      </c>
      <c r="G78" s="50">
        <v>40</v>
      </c>
      <c r="H78" s="50">
        <v>0</v>
      </c>
      <c r="I78" s="50">
        <v>0</v>
      </c>
      <c r="J78" s="50">
        <v>48000</v>
      </c>
      <c r="K78" s="50">
        <f t="shared" si="7"/>
        <v>48000</v>
      </c>
      <c r="L78" s="50">
        <v>0</v>
      </c>
      <c r="M78" s="68">
        <f t="shared" si="6"/>
        <v>48000</v>
      </c>
      <c r="N78" s="58" t="s">
        <v>322</v>
      </c>
      <c r="O78" s="62"/>
      <c r="P78" s="61">
        <v>0</v>
      </c>
      <c r="Q78" s="65">
        <v>0</v>
      </c>
      <c r="R78" s="64">
        <f t="shared" si="5"/>
        <v>48000</v>
      </c>
    </row>
    <row r="79" customHeight="1" spans="1:18">
      <c r="A79" s="50">
        <v>76</v>
      </c>
      <c r="B79" s="53" t="s">
        <v>323</v>
      </c>
      <c r="C79" s="50" t="s">
        <v>324</v>
      </c>
      <c r="D79" s="50">
        <v>15037</v>
      </c>
      <c r="E79" s="50">
        <v>4</v>
      </c>
      <c r="F79" s="50">
        <v>103</v>
      </c>
      <c r="G79" s="50">
        <v>100</v>
      </c>
      <c r="H79" s="50">
        <v>0</v>
      </c>
      <c r="I79" s="50">
        <v>0</v>
      </c>
      <c r="J79" s="50">
        <v>120000</v>
      </c>
      <c r="K79" s="50">
        <f t="shared" si="7"/>
        <v>120000</v>
      </c>
      <c r="L79" s="50">
        <v>0</v>
      </c>
      <c r="M79" s="68">
        <f t="shared" si="6"/>
        <v>120000</v>
      </c>
      <c r="N79" s="58" t="s">
        <v>325</v>
      </c>
      <c r="O79" s="62"/>
      <c r="P79" s="61">
        <v>0</v>
      </c>
      <c r="Q79" s="65">
        <v>0</v>
      </c>
      <c r="R79" s="64">
        <f t="shared" si="5"/>
        <v>120000</v>
      </c>
    </row>
    <row r="80" customHeight="1" spans="1:18">
      <c r="A80" s="50">
        <v>77</v>
      </c>
      <c r="B80" s="53" t="s">
        <v>326</v>
      </c>
      <c r="C80" s="50" t="s">
        <v>327</v>
      </c>
      <c r="D80" s="50">
        <v>15038</v>
      </c>
      <c r="E80" s="50">
        <v>4</v>
      </c>
      <c r="F80" s="50">
        <v>103</v>
      </c>
      <c r="G80" s="50">
        <v>200</v>
      </c>
      <c r="H80" s="50">
        <v>0</v>
      </c>
      <c r="I80" s="50">
        <v>0</v>
      </c>
      <c r="J80" s="50">
        <v>240000</v>
      </c>
      <c r="K80" s="50">
        <f t="shared" si="7"/>
        <v>240000</v>
      </c>
      <c r="L80" s="50">
        <v>0</v>
      </c>
      <c r="M80" s="68">
        <f t="shared" si="6"/>
        <v>240000</v>
      </c>
      <c r="N80" s="58" t="s">
        <v>328</v>
      </c>
      <c r="O80" s="62"/>
      <c r="P80" s="61">
        <v>0</v>
      </c>
      <c r="Q80" s="65">
        <v>0</v>
      </c>
      <c r="R80" s="64">
        <f t="shared" si="5"/>
        <v>240000</v>
      </c>
    </row>
    <row r="81" customHeight="1" spans="1:18">
      <c r="A81" s="50">
        <v>78</v>
      </c>
      <c r="B81" s="53" t="s">
        <v>329</v>
      </c>
      <c r="C81" s="50" t="s">
        <v>330</v>
      </c>
      <c r="D81" s="50">
        <v>15039</v>
      </c>
      <c r="E81" s="50">
        <v>4</v>
      </c>
      <c r="F81" s="50">
        <v>103</v>
      </c>
      <c r="G81" s="50">
        <v>300</v>
      </c>
      <c r="H81" s="50">
        <v>0</v>
      </c>
      <c r="I81" s="50">
        <v>0</v>
      </c>
      <c r="J81" s="50">
        <v>360000</v>
      </c>
      <c r="K81" s="50">
        <f t="shared" si="7"/>
        <v>360000</v>
      </c>
      <c r="L81" s="50">
        <v>0</v>
      </c>
      <c r="M81" s="68">
        <f t="shared" si="6"/>
        <v>360000</v>
      </c>
      <c r="N81" s="58" t="s">
        <v>331</v>
      </c>
      <c r="O81" s="62"/>
      <c r="P81" s="61">
        <v>0</v>
      </c>
      <c r="Q81" s="65">
        <v>0</v>
      </c>
      <c r="R81" s="64">
        <f t="shared" si="5"/>
        <v>360000</v>
      </c>
    </row>
    <row r="82" customHeight="1" spans="1:18">
      <c r="A82" s="50">
        <v>79</v>
      </c>
      <c r="B82" s="53" t="s">
        <v>332</v>
      </c>
      <c r="C82" s="50" t="s">
        <v>333</v>
      </c>
      <c r="D82" s="50">
        <v>15055</v>
      </c>
      <c r="E82" s="50">
        <v>4</v>
      </c>
      <c r="F82" s="50">
        <v>103</v>
      </c>
      <c r="G82" s="50">
        <v>1000</v>
      </c>
      <c r="H82" s="50">
        <v>0</v>
      </c>
      <c r="I82" s="50">
        <v>0</v>
      </c>
      <c r="J82" s="50">
        <v>1200000</v>
      </c>
      <c r="K82" s="50">
        <f t="shared" si="7"/>
        <v>1200000</v>
      </c>
      <c r="L82" s="50">
        <v>0</v>
      </c>
      <c r="M82" s="68">
        <f t="shared" si="6"/>
        <v>1200000</v>
      </c>
      <c r="N82" s="58" t="s">
        <v>334</v>
      </c>
      <c r="O82" s="62"/>
      <c r="P82" s="61">
        <v>0</v>
      </c>
      <c r="Q82" s="65">
        <v>0</v>
      </c>
      <c r="R82" s="64">
        <f t="shared" si="5"/>
        <v>1200000</v>
      </c>
    </row>
    <row r="83" customHeight="1" spans="1:18">
      <c r="A83" s="50">
        <v>80</v>
      </c>
      <c r="B83" s="53" t="s">
        <v>335</v>
      </c>
      <c r="C83" s="50" t="s">
        <v>336</v>
      </c>
      <c r="D83" s="50">
        <v>15056</v>
      </c>
      <c r="E83" s="50">
        <v>4</v>
      </c>
      <c r="F83" s="50">
        <v>103</v>
      </c>
      <c r="G83" s="50">
        <v>2000</v>
      </c>
      <c r="H83" s="50">
        <v>0</v>
      </c>
      <c r="I83" s="50">
        <v>0</v>
      </c>
      <c r="J83" s="50">
        <v>2400000</v>
      </c>
      <c r="K83" s="50">
        <f t="shared" si="7"/>
        <v>2400000</v>
      </c>
      <c r="L83" s="50">
        <v>0</v>
      </c>
      <c r="M83" s="68">
        <f t="shared" si="6"/>
        <v>2400000</v>
      </c>
      <c r="N83" s="58" t="s">
        <v>337</v>
      </c>
      <c r="O83" s="62"/>
      <c r="P83" s="61">
        <v>0</v>
      </c>
      <c r="Q83" s="65">
        <v>0</v>
      </c>
      <c r="R83" s="64">
        <f t="shared" si="5"/>
        <v>2400000</v>
      </c>
    </row>
    <row r="84" customHeight="1" spans="1:18">
      <c r="A84" s="50">
        <v>81</v>
      </c>
      <c r="B84" s="53" t="s">
        <v>338</v>
      </c>
      <c r="C84" s="50" t="s">
        <v>339</v>
      </c>
      <c r="D84" s="50">
        <v>15057</v>
      </c>
      <c r="E84" s="50">
        <v>4</v>
      </c>
      <c r="F84" s="50">
        <v>103</v>
      </c>
      <c r="G84" s="50">
        <v>5000</v>
      </c>
      <c r="H84" s="50">
        <v>0</v>
      </c>
      <c r="I84" s="50">
        <v>0</v>
      </c>
      <c r="J84" s="50">
        <v>6000000</v>
      </c>
      <c r="K84" s="50">
        <f t="shared" si="7"/>
        <v>6000000</v>
      </c>
      <c r="L84" s="50">
        <v>0</v>
      </c>
      <c r="M84" s="68">
        <f t="shared" si="6"/>
        <v>6000000</v>
      </c>
      <c r="N84" s="58" t="s">
        <v>340</v>
      </c>
      <c r="O84" s="62"/>
      <c r="P84" s="61">
        <v>0</v>
      </c>
      <c r="Q84" s="65">
        <v>0</v>
      </c>
      <c r="R84" s="64">
        <f t="shared" si="5"/>
        <v>6000000</v>
      </c>
    </row>
    <row r="85" customHeight="1" spans="1:18">
      <c r="A85" s="50">
        <v>82</v>
      </c>
      <c r="B85" s="53" t="s">
        <v>341</v>
      </c>
      <c r="C85" s="50" t="s">
        <v>342</v>
      </c>
      <c r="D85" s="50">
        <v>15058</v>
      </c>
      <c r="E85" s="50">
        <v>4</v>
      </c>
      <c r="F85" s="50">
        <v>103</v>
      </c>
      <c r="G85" s="50">
        <v>10000</v>
      </c>
      <c r="H85" s="50">
        <v>0</v>
      </c>
      <c r="I85" s="50">
        <v>0</v>
      </c>
      <c r="J85" s="50">
        <v>12000000</v>
      </c>
      <c r="K85" s="50">
        <f t="shared" si="7"/>
        <v>12000000</v>
      </c>
      <c r="L85" s="50">
        <v>0</v>
      </c>
      <c r="M85" s="68">
        <f t="shared" si="6"/>
        <v>12000000</v>
      </c>
      <c r="N85" s="58" t="s">
        <v>343</v>
      </c>
      <c r="O85" s="62"/>
      <c r="P85" s="61">
        <v>0</v>
      </c>
      <c r="Q85" s="65">
        <v>0</v>
      </c>
      <c r="R85" s="64">
        <f t="shared" si="5"/>
        <v>12000000</v>
      </c>
    </row>
    <row r="86" customHeight="1" spans="1:18">
      <c r="A86" s="50">
        <v>83</v>
      </c>
      <c r="B86" s="53" t="s">
        <v>344</v>
      </c>
      <c r="C86" s="50" t="s">
        <v>345</v>
      </c>
      <c r="D86" s="50">
        <v>15081</v>
      </c>
      <c r="E86" s="50">
        <v>4</v>
      </c>
      <c r="F86" s="50">
        <v>103</v>
      </c>
      <c r="G86" s="50">
        <v>500</v>
      </c>
      <c r="H86" s="50">
        <v>0</v>
      </c>
      <c r="I86" s="50">
        <v>0</v>
      </c>
      <c r="J86" s="50">
        <v>600000</v>
      </c>
      <c r="K86" s="50">
        <f t="shared" si="7"/>
        <v>600000</v>
      </c>
      <c r="L86" s="50">
        <v>0</v>
      </c>
      <c r="M86" s="68">
        <f t="shared" si="6"/>
        <v>600000</v>
      </c>
      <c r="N86" s="58" t="s">
        <v>346</v>
      </c>
      <c r="O86" s="62"/>
      <c r="P86" s="61">
        <v>0</v>
      </c>
      <c r="Q86" s="65">
        <v>0</v>
      </c>
      <c r="R86" s="64">
        <f t="shared" si="5"/>
        <v>600000</v>
      </c>
    </row>
    <row r="87" customHeight="1" spans="1:18">
      <c r="A87" s="50">
        <v>84</v>
      </c>
      <c r="B87" s="66" t="s">
        <v>347</v>
      </c>
      <c r="C87" s="50" t="s">
        <v>348</v>
      </c>
      <c r="D87" s="50">
        <v>15082</v>
      </c>
      <c r="E87" s="50">
        <v>4</v>
      </c>
      <c r="F87" s="50">
        <v>103</v>
      </c>
      <c r="G87" s="50">
        <v>3000</v>
      </c>
      <c r="H87" s="50">
        <v>0</v>
      </c>
      <c r="I87" s="50">
        <v>0</v>
      </c>
      <c r="J87" s="50">
        <v>3600000</v>
      </c>
      <c r="K87" s="50">
        <f t="shared" si="7"/>
        <v>3600000</v>
      </c>
      <c r="L87" s="50">
        <v>0</v>
      </c>
      <c r="M87" s="68">
        <f t="shared" si="6"/>
        <v>3600000</v>
      </c>
      <c r="N87" s="58" t="s">
        <v>349</v>
      </c>
      <c r="O87" s="62"/>
      <c r="P87" s="61">
        <v>0</v>
      </c>
      <c r="Q87" s="65">
        <v>0</v>
      </c>
      <c r="R87" s="64">
        <f t="shared" si="5"/>
        <v>3600000</v>
      </c>
    </row>
    <row r="88" customHeight="1" spans="1:18">
      <c r="A88" s="50">
        <v>85</v>
      </c>
      <c r="B88" s="50" t="s">
        <v>350</v>
      </c>
      <c r="C88" s="54" t="s">
        <v>351</v>
      </c>
      <c r="D88" s="50">
        <v>16040</v>
      </c>
      <c r="E88" s="50">
        <v>5</v>
      </c>
      <c r="F88" s="50">
        <v>0</v>
      </c>
      <c r="G88" s="50">
        <v>0</v>
      </c>
      <c r="H88" s="50">
        <v>0</v>
      </c>
      <c r="I88" s="50">
        <v>0</v>
      </c>
      <c r="J88" s="50">
        <v>100</v>
      </c>
      <c r="K88" s="50">
        <v>1000</v>
      </c>
      <c r="L88" s="67">
        <v>100</v>
      </c>
      <c r="M88" s="57">
        <v>0</v>
      </c>
      <c r="N88" s="58" t="s">
        <v>352</v>
      </c>
      <c r="O88" s="69">
        <v>2401</v>
      </c>
      <c r="P88" s="61">
        <v>0</v>
      </c>
      <c r="Q88" s="65">
        <v>0</v>
      </c>
      <c r="R88" s="64">
        <f t="shared" ref="R88:R95" si="8">K88</f>
        <v>1000</v>
      </c>
    </row>
    <row r="89" customHeight="1" spans="1:18">
      <c r="A89" s="50">
        <v>86</v>
      </c>
      <c r="B89" s="50" t="s">
        <v>350</v>
      </c>
      <c r="C89" s="54" t="s">
        <v>351</v>
      </c>
      <c r="D89" s="50">
        <v>17040</v>
      </c>
      <c r="E89" s="50">
        <v>5</v>
      </c>
      <c r="F89" s="50">
        <v>0</v>
      </c>
      <c r="G89" s="50">
        <v>0</v>
      </c>
      <c r="H89" s="50">
        <v>0</v>
      </c>
      <c r="I89" s="50">
        <v>0</v>
      </c>
      <c r="J89" s="50">
        <v>150</v>
      </c>
      <c r="K89" s="50">
        <v>1500</v>
      </c>
      <c r="L89" s="67">
        <v>120</v>
      </c>
      <c r="M89" s="57">
        <v>0</v>
      </c>
      <c r="N89" s="58" t="s">
        <v>353</v>
      </c>
      <c r="O89" s="69">
        <v>2402</v>
      </c>
      <c r="P89" s="61">
        <v>0</v>
      </c>
      <c r="Q89" s="65">
        <v>0</v>
      </c>
      <c r="R89" s="64">
        <f t="shared" si="8"/>
        <v>1500</v>
      </c>
    </row>
    <row r="90" customHeight="1" spans="1:18">
      <c r="A90" s="50">
        <v>87</v>
      </c>
      <c r="B90" s="50" t="s">
        <v>350</v>
      </c>
      <c r="C90" s="54" t="s">
        <v>351</v>
      </c>
      <c r="D90" s="50">
        <v>18040</v>
      </c>
      <c r="E90" s="50">
        <v>5</v>
      </c>
      <c r="F90" s="50">
        <v>0</v>
      </c>
      <c r="G90" s="50">
        <v>0</v>
      </c>
      <c r="H90" s="50">
        <v>0</v>
      </c>
      <c r="I90" s="50">
        <v>0</v>
      </c>
      <c r="J90" s="50">
        <v>200</v>
      </c>
      <c r="K90" s="50">
        <v>2000</v>
      </c>
      <c r="L90" s="67">
        <v>140</v>
      </c>
      <c r="M90" s="57">
        <v>0</v>
      </c>
      <c r="N90" s="58" t="s">
        <v>354</v>
      </c>
      <c r="O90" s="69">
        <v>2403</v>
      </c>
      <c r="P90" s="61">
        <v>0</v>
      </c>
      <c r="Q90" s="65">
        <v>0</v>
      </c>
      <c r="R90" s="64">
        <f t="shared" si="8"/>
        <v>2000</v>
      </c>
    </row>
    <row r="91" customHeight="1" spans="1:18">
      <c r="A91" s="50">
        <v>88</v>
      </c>
      <c r="B91" s="50" t="s">
        <v>350</v>
      </c>
      <c r="C91" s="54" t="s">
        <v>351</v>
      </c>
      <c r="D91" s="50">
        <v>19040</v>
      </c>
      <c r="E91" s="50">
        <v>5</v>
      </c>
      <c r="F91" s="50">
        <v>0</v>
      </c>
      <c r="G91" s="50">
        <v>0</v>
      </c>
      <c r="H91" s="50">
        <v>0</v>
      </c>
      <c r="I91" s="50">
        <v>0</v>
      </c>
      <c r="J91" s="50">
        <v>250</v>
      </c>
      <c r="K91" s="50">
        <v>2500</v>
      </c>
      <c r="L91" s="67">
        <v>160</v>
      </c>
      <c r="M91" s="57">
        <v>0</v>
      </c>
      <c r="N91" s="58" t="s">
        <v>355</v>
      </c>
      <c r="O91" s="69">
        <v>2404</v>
      </c>
      <c r="P91" s="61">
        <v>0</v>
      </c>
      <c r="Q91" s="65">
        <v>0</v>
      </c>
      <c r="R91" s="64">
        <f t="shared" si="8"/>
        <v>2500</v>
      </c>
    </row>
    <row r="92" customHeight="1" spans="1:18">
      <c r="A92" s="50">
        <v>89</v>
      </c>
      <c r="B92" s="50" t="s">
        <v>350</v>
      </c>
      <c r="C92" s="54" t="s">
        <v>351</v>
      </c>
      <c r="D92" s="50">
        <v>20040</v>
      </c>
      <c r="E92" s="50">
        <v>5</v>
      </c>
      <c r="F92" s="50">
        <v>0</v>
      </c>
      <c r="G92" s="50">
        <v>0</v>
      </c>
      <c r="H92" s="50">
        <v>0</v>
      </c>
      <c r="I92" s="50">
        <v>0</v>
      </c>
      <c r="J92" s="50">
        <v>300</v>
      </c>
      <c r="K92" s="50">
        <v>3000</v>
      </c>
      <c r="L92" s="67">
        <v>180</v>
      </c>
      <c r="M92" s="57">
        <v>0</v>
      </c>
      <c r="N92" s="58" t="s">
        <v>356</v>
      </c>
      <c r="O92" s="69">
        <v>2405</v>
      </c>
      <c r="P92" s="61">
        <v>0</v>
      </c>
      <c r="Q92" s="65">
        <v>0</v>
      </c>
      <c r="R92" s="64">
        <f t="shared" si="8"/>
        <v>3000</v>
      </c>
    </row>
    <row r="93" customHeight="1" spans="1:18">
      <c r="A93" s="50">
        <v>90</v>
      </c>
      <c r="B93" s="50" t="s">
        <v>350</v>
      </c>
      <c r="C93" s="54" t="s">
        <v>351</v>
      </c>
      <c r="D93" s="50">
        <v>21040</v>
      </c>
      <c r="E93" s="50">
        <v>5</v>
      </c>
      <c r="F93" s="50">
        <v>0</v>
      </c>
      <c r="G93" s="50">
        <v>0</v>
      </c>
      <c r="H93" s="50">
        <v>0</v>
      </c>
      <c r="I93" s="50">
        <v>0</v>
      </c>
      <c r="J93" s="50">
        <v>300</v>
      </c>
      <c r="K93" s="50">
        <v>3000</v>
      </c>
      <c r="L93" s="67">
        <v>200</v>
      </c>
      <c r="M93" s="57">
        <v>0</v>
      </c>
      <c r="N93" s="58" t="s">
        <v>357</v>
      </c>
      <c r="O93" s="69">
        <v>2406</v>
      </c>
      <c r="P93" s="61">
        <v>0</v>
      </c>
      <c r="Q93" s="65">
        <v>0</v>
      </c>
      <c r="R93" s="64">
        <f t="shared" si="8"/>
        <v>3000</v>
      </c>
    </row>
    <row r="94" customHeight="1" spans="1:18">
      <c r="A94" s="50">
        <v>91</v>
      </c>
      <c r="B94" s="50" t="s">
        <v>358</v>
      </c>
      <c r="C94" s="50" t="s">
        <v>359</v>
      </c>
      <c r="D94" s="50">
        <v>22041</v>
      </c>
      <c r="E94" s="50">
        <v>6</v>
      </c>
      <c r="F94" s="50">
        <v>0</v>
      </c>
      <c r="G94" s="50">
        <v>0</v>
      </c>
      <c r="H94" s="50">
        <v>0</v>
      </c>
      <c r="I94" s="50">
        <v>0</v>
      </c>
      <c r="J94" s="50">
        <v>0</v>
      </c>
      <c r="K94" s="50">
        <v>0</v>
      </c>
      <c r="L94" s="50">
        <v>1</v>
      </c>
      <c r="M94" s="57">
        <v>0</v>
      </c>
      <c r="N94" s="58" t="s">
        <v>359</v>
      </c>
      <c r="O94" s="62"/>
      <c r="P94" s="61">
        <v>0</v>
      </c>
      <c r="Q94" s="65">
        <v>0</v>
      </c>
      <c r="R94" s="64">
        <f t="shared" si="8"/>
        <v>0</v>
      </c>
    </row>
    <row r="95" customHeight="1" spans="1:18">
      <c r="A95" s="50">
        <v>92</v>
      </c>
      <c r="B95" s="50" t="s">
        <v>360</v>
      </c>
      <c r="C95" s="50" t="s">
        <v>361</v>
      </c>
      <c r="D95" s="50">
        <v>23042</v>
      </c>
      <c r="E95" s="50">
        <v>7</v>
      </c>
      <c r="F95" s="50">
        <v>0</v>
      </c>
      <c r="G95" s="50">
        <v>0</v>
      </c>
      <c r="H95" s="50">
        <v>0</v>
      </c>
      <c r="I95" s="50">
        <v>0</v>
      </c>
      <c r="J95" s="50">
        <v>0</v>
      </c>
      <c r="K95" s="50">
        <v>0</v>
      </c>
      <c r="L95" s="50">
        <v>1</v>
      </c>
      <c r="M95" s="57">
        <v>0</v>
      </c>
      <c r="N95" s="58" t="s">
        <v>361</v>
      </c>
      <c r="O95" s="62"/>
      <c r="P95" s="61">
        <v>0</v>
      </c>
      <c r="Q95" s="65">
        <v>0</v>
      </c>
      <c r="R95" s="64">
        <f t="shared" si="8"/>
        <v>0</v>
      </c>
    </row>
    <row r="96" customHeight="1" spans="1:18">
      <c r="A96" s="50">
        <v>93</v>
      </c>
      <c r="B96" s="50" t="s">
        <v>279</v>
      </c>
      <c r="C96" s="50" t="s">
        <v>280</v>
      </c>
      <c r="D96" s="50">
        <v>24029</v>
      </c>
      <c r="E96" s="50">
        <v>8</v>
      </c>
      <c r="F96" s="50">
        <v>1193</v>
      </c>
      <c r="G96" s="50">
        <v>2</v>
      </c>
      <c r="H96" s="50">
        <v>0</v>
      </c>
      <c r="I96" s="50">
        <v>0</v>
      </c>
      <c r="J96" s="50">
        <f>4000*1.03</f>
        <v>4120</v>
      </c>
      <c r="K96" s="50">
        <f t="shared" ref="K96:K102" si="9">J96</f>
        <v>4120</v>
      </c>
      <c r="L96" s="50">
        <v>4000</v>
      </c>
      <c r="M96" s="57">
        <f t="shared" ref="M96:M102" si="10">L96</f>
        <v>4000</v>
      </c>
      <c r="N96" s="58" t="s">
        <v>362</v>
      </c>
      <c r="O96" s="62"/>
      <c r="P96" s="61">
        <v>0</v>
      </c>
      <c r="Q96" s="65">
        <v>0</v>
      </c>
      <c r="R96" s="64">
        <f t="shared" ref="R96:R102" si="11">M96</f>
        <v>4000</v>
      </c>
    </row>
    <row r="97" customHeight="1" spans="1:18">
      <c r="A97" s="50">
        <v>94</v>
      </c>
      <c r="B97" s="50" t="s">
        <v>277</v>
      </c>
      <c r="C97" s="50" t="s">
        <v>278</v>
      </c>
      <c r="D97" s="50">
        <v>24028</v>
      </c>
      <c r="E97" s="50">
        <v>8</v>
      </c>
      <c r="F97" s="50">
        <v>1193</v>
      </c>
      <c r="G97" s="50">
        <v>1</v>
      </c>
      <c r="H97" s="50">
        <v>0</v>
      </c>
      <c r="I97" s="50">
        <v>0</v>
      </c>
      <c r="J97" s="50">
        <f>2000*1.03</f>
        <v>2060</v>
      </c>
      <c r="K97" s="50">
        <f t="shared" si="9"/>
        <v>2060</v>
      </c>
      <c r="L97" s="50">
        <v>2000</v>
      </c>
      <c r="M97" s="57">
        <f t="shared" si="10"/>
        <v>2000</v>
      </c>
      <c r="N97" s="58" t="s">
        <v>363</v>
      </c>
      <c r="O97" s="62"/>
      <c r="P97" s="61">
        <v>0</v>
      </c>
      <c r="Q97" s="65">
        <v>0</v>
      </c>
      <c r="R97" s="64">
        <f t="shared" si="11"/>
        <v>2000</v>
      </c>
    </row>
    <row r="98" customHeight="1" spans="1:18">
      <c r="A98" s="50">
        <v>95</v>
      </c>
      <c r="B98" s="52" t="s">
        <v>281</v>
      </c>
      <c r="C98" s="50" t="s">
        <v>282</v>
      </c>
      <c r="D98" s="50">
        <v>24030</v>
      </c>
      <c r="E98" s="50">
        <v>8</v>
      </c>
      <c r="F98" s="50">
        <v>1193</v>
      </c>
      <c r="G98" s="50">
        <v>3</v>
      </c>
      <c r="H98" s="50">
        <v>0</v>
      </c>
      <c r="I98" s="50">
        <v>0</v>
      </c>
      <c r="J98" s="50">
        <f>6000*1.03</f>
        <v>6180</v>
      </c>
      <c r="K98" s="50">
        <f t="shared" si="9"/>
        <v>6180</v>
      </c>
      <c r="L98" s="50">
        <v>6000</v>
      </c>
      <c r="M98" s="57">
        <f t="shared" si="10"/>
        <v>6000</v>
      </c>
      <c r="N98" s="58" t="s">
        <v>364</v>
      </c>
      <c r="O98" s="62"/>
      <c r="P98" s="61">
        <v>0</v>
      </c>
      <c r="Q98" s="65">
        <v>0</v>
      </c>
      <c r="R98" s="64">
        <f t="shared" si="11"/>
        <v>6000</v>
      </c>
    </row>
    <row r="99" customHeight="1" spans="1:18">
      <c r="A99" s="50">
        <v>96</v>
      </c>
      <c r="B99" s="53" t="s">
        <v>281</v>
      </c>
      <c r="C99" s="50" t="s">
        <v>282</v>
      </c>
      <c r="D99" s="50">
        <v>25030</v>
      </c>
      <c r="E99" s="50">
        <v>9</v>
      </c>
      <c r="F99" s="50">
        <v>1194</v>
      </c>
      <c r="G99" s="50">
        <v>1</v>
      </c>
      <c r="H99" s="50">
        <v>0</v>
      </c>
      <c r="I99" s="50">
        <v>0</v>
      </c>
      <c r="J99" s="50">
        <f>2500*1.03</f>
        <v>2575</v>
      </c>
      <c r="K99" s="50">
        <f t="shared" si="9"/>
        <v>2575</v>
      </c>
      <c r="L99" s="50">
        <v>2500</v>
      </c>
      <c r="M99" s="57">
        <f t="shared" si="10"/>
        <v>2500</v>
      </c>
      <c r="N99" s="58" t="s">
        <v>365</v>
      </c>
      <c r="O99" s="62"/>
      <c r="P99" s="61">
        <v>0</v>
      </c>
      <c r="Q99" s="65">
        <v>0</v>
      </c>
      <c r="R99" s="64">
        <f t="shared" si="11"/>
        <v>2500</v>
      </c>
    </row>
    <row r="100" customHeight="1" spans="1:18">
      <c r="A100" s="50">
        <v>97</v>
      </c>
      <c r="B100" s="53" t="s">
        <v>285</v>
      </c>
      <c r="C100" s="50" t="s">
        <v>286</v>
      </c>
      <c r="D100" s="50">
        <v>25031</v>
      </c>
      <c r="E100" s="50">
        <v>9</v>
      </c>
      <c r="F100" s="50">
        <v>1194</v>
      </c>
      <c r="G100" s="50">
        <v>2</v>
      </c>
      <c r="H100" s="50">
        <v>0</v>
      </c>
      <c r="I100" s="50">
        <v>0</v>
      </c>
      <c r="J100" s="50">
        <f>5000*1.03</f>
        <v>5150</v>
      </c>
      <c r="K100" s="50">
        <f t="shared" si="9"/>
        <v>5150</v>
      </c>
      <c r="L100" s="50">
        <v>5000</v>
      </c>
      <c r="M100" s="57">
        <f t="shared" si="10"/>
        <v>5000</v>
      </c>
      <c r="N100" s="63" t="s">
        <v>366</v>
      </c>
      <c r="O100" s="62"/>
      <c r="P100" s="61">
        <v>0</v>
      </c>
      <c r="Q100" s="65">
        <v>0</v>
      </c>
      <c r="R100" s="64">
        <f t="shared" si="11"/>
        <v>5000</v>
      </c>
    </row>
    <row r="101" customHeight="1" spans="1:18">
      <c r="A101" s="50">
        <v>98</v>
      </c>
      <c r="B101" s="56" t="s">
        <v>283</v>
      </c>
      <c r="C101" s="50" t="s">
        <v>284</v>
      </c>
      <c r="D101" s="50">
        <v>25032</v>
      </c>
      <c r="E101" s="50">
        <v>9</v>
      </c>
      <c r="F101" s="50">
        <v>1194</v>
      </c>
      <c r="G101" s="50">
        <v>3</v>
      </c>
      <c r="H101" s="50">
        <v>0</v>
      </c>
      <c r="I101" s="50">
        <v>0</v>
      </c>
      <c r="J101" s="50">
        <f>7500*1.03</f>
        <v>7725</v>
      </c>
      <c r="K101" s="50">
        <f t="shared" si="9"/>
        <v>7725</v>
      </c>
      <c r="L101" s="50">
        <v>7500</v>
      </c>
      <c r="M101" s="57">
        <f t="shared" si="10"/>
        <v>7500</v>
      </c>
      <c r="N101" s="58" t="s">
        <v>367</v>
      </c>
      <c r="O101" s="62"/>
      <c r="P101" s="61">
        <v>0</v>
      </c>
      <c r="Q101" s="65">
        <v>0</v>
      </c>
      <c r="R101" s="64">
        <f t="shared" si="11"/>
        <v>7500</v>
      </c>
    </row>
    <row r="102" customHeight="1" spans="1:18">
      <c r="A102" s="50">
        <v>99</v>
      </c>
      <c r="B102" s="50" t="s">
        <v>279</v>
      </c>
      <c r="C102" s="50" t="s">
        <v>280</v>
      </c>
      <c r="D102" s="50">
        <v>25029</v>
      </c>
      <c r="E102" s="50">
        <v>9</v>
      </c>
      <c r="F102" s="50">
        <v>1194</v>
      </c>
      <c r="G102" s="50">
        <v>3</v>
      </c>
      <c r="H102" s="50">
        <v>0</v>
      </c>
      <c r="I102" s="50">
        <v>0</v>
      </c>
      <c r="J102" s="50">
        <f>3000*1.03</f>
        <v>3090</v>
      </c>
      <c r="K102" s="50">
        <f t="shared" si="9"/>
        <v>3090</v>
      </c>
      <c r="L102" s="50">
        <v>3000</v>
      </c>
      <c r="M102" s="57">
        <f t="shared" si="10"/>
        <v>3000</v>
      </c>
      <c r="N102" s="63" t="s">
        <v>368</v>
      </c>
      <c r="O102" s="62"/>
      <c r="P102" s="61">
        <v>0</v>
      </c>
      <c r="Q102" s="65">
        <v>0</v>
      </c>
      <c r="R102" s="64">
        <f t="shared" si="11"/>
        <v>3000</v>
      </c>
    </row>
    <row r="103" customHeight="1" spans="1:18">
      <c r="A103" s="50">
        <v>100</v>
      </c>
      <c r="B103" s="52" t="s">
        <v>369</v>
      </c>
      <c r="C103" s="50" t="s">
        <v>370</v>
      </c>
      <c r="D103" s="50">
        <v>26043</v>
      </c>
      <c r="E103" s="50">
        <v>10</v>
      </c>
      <c r="F103" s="50">
        <v>101</v>
      </c>
      <c r="G103" s="50">
        <v>1</v>
      </c>
      <c r="H103" s="50">
        <v>0</v>
      </c>
      <c r="I103" s="50">
        <v>0</v>
      </c>
      <c r="J103" s="50">
        <v>600</v>
      </c>
      <c r="K103" s="50">
        <v>3600</v>
      </c>
      <c r="L103" s="50">
        <v>0</v>
      </c>
      <c r="M103" s="57">
        <v>0</v>
      </c>
      <c r="N103" s="58" t="s">
        <v>371</v>
      </c>
      <c r="O103" s="62"/>
      <c r="P103" s="61">
        <v>0</v>
      </c>
      <c r="Q103" s="65">
        <v>0</v>
      </c>
      <c r="R103" s="64">
        <f>K103</f>
        <v>3600</v>
      </c>
    </row>
    <row r="104" customHeight="1" spans="1:18">
      <c r="A104" s="50">
        <v>101</v>
      </c>
      <c r="B104" s="53" t="s">
        <v>372</v>
      </c>
      <c r="C104" s="50" t="s">
        <v>373</v>
      </c>
      <c r="D104" s="50">
        <v>27044</v>
      </c>
      <c r="E104" s="50">
        <v>11</v>
      </c>
      <c r="F104" s="50">
        <v>2057</v>
      </c>
      <c r="G104" s="50">
        <v>1</v>
      </c>
      <c r="H104" s="50">
        <v>0</v>
      </c>
      <c r="I104" s="50">
        <v>0</v>
      </c>
      <c r="J104" s="50">
        <v>20600</v>
      </c>
      <c r="K104" s="50">
        <v>20600</v>
      </c>
      <c r="L104" s="50">
        <v>0</v>
      </c>
      <c r="M104" s="68">
        <f t="shared" ref="M104:M131" si="12">J104</f>
        <v>20600</v>
      </c>
      <c r="N104" s="58" t="s">
        <v>374</v>
      </c>
      <c r="O104" s="62"/>
      <c r="P104" s="61">
        <v>0</v>
      </c>
      <c r="Q104" s="65">
        <v>0</v>
      </c>
      <c r="R104" s="64">
        <f t="shared" ref="R104:R135" si="13">M104</f>
        <v>20600</v>
      </c>
    </row>
    <row r="105" customHeight="1" spans="1:18">
      <c r="A105" s="50">
        <v>102</v>
      </c>
      <c r="B105" s="53" t="s">
        <v>375</v>
      </c>
      <c r="C105" s="50" t="s">
        <v>376</v>
      </c>
      <c r="D105" s="50">
        <v>27045</v>
      </c>
      <c r="E105" s="50">
        <v>11</v>
      </c>
      <c r="F105" s="50">
        <v>2061</v>
      </c>
      <c r="G105" s="50">
        <v>1</v>
      </c>
      <c r="H105" s="50">
        <v>0</v>
      </c>
      <c r="I105" s="50">
        <v>0</v>
      </c>
      <c r="J105" s="50">
        <v>128750</v>
      </c>
      <c r="K105" s="50">
        <v>128750</v>
      </c>
      <c r="L105" s="50">
        <v>0</v>
      </c>
      <c r="M105" s="68">
        <f t="shared" si="12"/>
        <v>128750</v>
      </c>
      <c r="N105" s="58" t="s">
        <v>377</v>
      </c>
      <c r="O105" s="62"/>
      <c r="P105" s="61">
        <v>0</v>
      </c>
      <c r="Q105" s="65">
        <v>0</v>
      </c>
      <c r="R105" s="64">
        <f t="shared" si="13"/>
        <v>128750</v>
      </c>
    </row>
    <row r="106" customHeight="1" spans="1:18">
      <c r="A106" s="50">
        <v>103</v>
      </c>
      <c r="B106" s="53" t="s">
        <v>378</v>
      </c>
      <c r="C106" s="50" t="s">
        <v>379</v>
      </c>
      <c r="D106" s="50">
        <v>27046</v>
      </c>
      <c r="E106" s="50">
        <v>11</v>
      </c>
      <c r="F106" s="50">
        <v>2048</v>
      </c>
      <c r="G106" s="50">
        <v>1</v>
      </c>
      <c r="H106" s="50">
        <v>0</v>
      </c>
      <c r="I106" s="50">
        <v>0</v>
      </c>
      <c r="J106" s="50">
        <v>257500</v>
      </c>
      <c r="K106" s="50">
        <v>257500</v>
      </c>
      <c r="L106" s="50">
        <v>0</v>
      </c>
      <c r="M106" s="68">
        <f t="shared" si="12"/>
        <v>257500</v>
      </c>
      <c r="N106" s="58" t="s">
        <v>380</v>
      </c>
      <c r="O106" s="62"/>
      <c r="P106" s="61">
        <v>0</v>
      </c>
      <c r="Q106" s="65">
        <v>0</v>
      </c>
      <c r="R106" s="64">
        <f t="shared" si="13"/>
        <v>257500</v>
      </c>
    </row>
    <row r="107" customHeight="1" spans="1:18">
      <c r="A107" s="50">
        <v>104</v>
      </c>
      <c r="B107" s="53" t="s">
        <v>381</v>
      </c>
      <c r="C107" s="50" t="s">
        <v>382</v>
      </c>
      <c r="D107" s="50">
        <v>27047</v>
      </c>
      <c r="E107" s="50">
        <v>11</v>
      </c>
      <c r="F107" s="50">
        <v>2062</v>
      </c>
      <c r="G107" s="50">
        <v>1</v>
      </c>
      <c r="H107" s="50">
        <v>0</v>
      </c>
      <c r="I107" s="50">
        <v>0</v>
      </c>
      <c r="J107" s="50">
        <v>618000</v>
      </c>
      <c r="K107" s="50">
        <v>618000</v>
      </c>
      <c r="L107" s="50">
        <v>0</v>
      </c>
      <c r="M107" s="68">
        <f t="shared" si="12"/>
        <v>618000</v>
      </c>
      <c r="N107" s="58" t="s">
        <v>383</v>
      </c>
      <c r="O107" s="62"/>
      <c r="P107" s="61">
        <v>0</v>
      </c>
      <c r="Q107" s="65">
        <v>0</v>
      </c>
      <c r="R107" s="64">
        <f t="shared" si="13"/>
        <v>618000</v>
      </c>
    </row>
    <row r="108" customHeight="1" spans="1:18">
      <c r="A108" s="50">
        <v>105</v>
      </c>
      <c r="B108" s="53" t="s">
        <v>384</v>
      </c>
      <c r="C108" s="50" t="s">
        <v>385</v>
      </c>
      <c r="D108" s="50">
        <v>27048</v>
      </c>
      <c r="E108" s="50">
        <v>11</v>
      </c>
      <c r="F108" s="50">
        <v>2059</v>
      </c>
      <c r="G108" s="50">
        <v>1</v>
      </c>
      <c r="H108" s="50">
        <v>0</v>
      </c>
      <c r="I108" s="50">
        <v>0</v>
      </c>
      <c r="J108" s="50">
        <v>1545000</v>
      </c>
      <c r="K108" s="50">
        <v>1545000</v>
      </c>
      <c r="L108" s="50">
        <v>0</v>
      </c>
      <c r="M108" s="68">
        <f t="shared" si="12"/>
        <v>1545000</v>
      </c>
      <c r="N108" s="58" t="s">
        <v>386</v>
      </c>
      <c r="O108" s="62"/>
      <c r="P108" s="61">
        <v>0</v>
      </c>
      <c r="Q108" s="65">
        <v>0</v>
      </c>
      <c r="R108" s="64">
        <f t="shared" si="13"/>
        <v>1545000</v>
      </c>
    </row>
    <row r="109" customHeight="1" spans="1:18">
      <c r="A109" s="50">
        <v>106</v>
      </c>
      <c r="B109" s="53" t="s">
        <v>387</v>
      </c>
      <c r="C109" s="50" t="s">
        <v>388</v>
      </c>
      <c r="D109" s="50">
        <v>27049</v>
      </c>
      <c r="E109" s="50">
        <v>11</v>
      </c>
      <c r="F109" s="50">
        <v>2050</v>
      </c>
      <c r="G109" s="50">
        <v>1</v>
      </c>
      <c r="H109" s="50">
        <v>0</v>
      </c>
      <c r="I109" s="50">
        <v>0</v>
      </c>
      <c r="J109" s="50">
        <v>3090000</v>
      </c>
      <c r="K109" s="50">
        <v>3090000</v>
      </c>
      <c r="L109" s="50">
        <v>0</v>
      </c>
      <c r="M109" s="68">
        <f t="shared" si="12"/>
        <v>3090000</v>
      </c>
      <c r="N109" s="58" t="s">
        <v>389</v>
      </c>
      <c r="O109" s="62"/>
      <c r="P109" s="61">
        <v>0</v>
      </c>
      <c r="Q109" s="65">
        <v>0</v>
      </c>
      <c r="R109" s="64">
        <f t="shared" si="13"/>
        <v>3090000</v>
      </c>
    </row>
    <row r="110" customHeight="1" spans="1:18">
      <c r="A110" s="50">
        <v>107</v>
      </c>
      <c r="B110" s="53" t="s">
        <v>372</v>
      </c>
      <c r="C110" s="50" t="s">
        <v>373</v>
      </c>
      <c r="D110" s="50">
        <v>27079</v>
      </c>
      <c r="E110" s="50">
        <v>11</v>
      </c>
      <c r="F110" s="50">
        <v>2057</v>
      </c>
      <c r="G110" s="50">
        <v>1</v>
      </c>
      <c r="H110" s="50">
        <v>0</v>
      </c>
      <c r="I110" s="50">
        <v>0</v>
      </c>
      <c r="J110" s="50">
        <v>25750</v>
      </c>
      <c r="K110" s="50">
        <v>25750</v>
      </c>
      <c r="L110" s="50">
        <v>0</v>
      </c>
      <c r="M110" s="68">
        <f t="shared" si="12"/>
        <v>25750</v>
      </c>
      <c r="N110" s="58" t="s">
        <v>374</v>
      </c>
      <c r="O110" s="62"/>
      <c r="P110" s="61">
        <v>0</v>
      </c>
      <c r="Q110" s="65">
        <v>0</v>
      </c>
      <c r="R110" s="64">
        <f t="shared" si="13"/>
        <v>25750</v>
      </c>
    </row>
    <row r="111" customHeight="1" spans="1:18">
      <c r="A111" s="50">
        <v>108</v>
      </c>
      <c r="B111" s="53" t="s">
        <v>375</v>
      </c>
      <c r="C111" s="50" t="s">
        <v>376</v>
      </c>
      <c r="D111" s="50">
        <v>27080</v>
      </c>
      <c r="E111" s="50">
        <v>11</v>
      </c>
      <c r="F111" s="50">
        <v>2061</v>
      </c>
      <c r="G111" s="50">
        <v>1</v>
      </c>
      <c r="H111" s="50">
        <v>0</v>
      </c>
      <c r="I111" s="50">
        <v>0</v>
      </c>
      <c r="J111" s="50">
        <v>154500</v>
      </c>
      <c r="K111" s="50">
        <v>154500</v>
      </c>
      <c r="L111" s="50">
        <v>0</v>
      </c>
      <c r="M111" s="68">
        <f t="shared" si="12"/>
        <v>154500</v>
      </c>
      <c r="N111" s="58" t="s">
        <v>377</v>
      </c>
      <c r="O111" s="62"/>
      <c r="P111" s="61">
        <v>0</v>
      </c>
      <c r="Q111" s="65">
        <v>0</v>
      </c>
      <c r="R111" s="64">
        <f t="shared" si="13"/>
        <v>154500</v>
      </c>
    </row>
    <row r="112" customHeight="1" spans="1:258">
      <c r="A112" s="50">
        <v>109</v>
      </c>
      <c r="B112" s="53" t="s">
        <v>390</v>
      </c>
      <c r="C112" s="50" t="s">
        <v>391</v>
      </c>
      <c r="D112" s="50">
        <v>28050</v>
      </c>
      <c r="E112" s="50">
        <v>12</v>
      </c>
      <c r="F112" s="50">
        <v>1228</v>
      </c>
      <c r="G112" s="50">
        <v>1</v>
      </c>
      <c r="H112" s="50">
        <v>0</v>
      </c>
      <c r="I112" s="50">
        <v>0</v>
      </c>
      <c r="J112" s="50">
        <v>115</v>
      </c>
      <c r="K112" s="50">
        <v>115</v>
      </c>
      <c r="L112" s="50">
        <v>0</v>
      </c>
      <c r="M112" s="68">
        <f t="shared" si="12"/>
        <v>115</v>
      </c>
      <c r="N112" s="58" t="s">
        <v>391</v>
      </c>
      <c r="O112" s="70"/>
      <c r="P112" s="61">
        <v>0</v>
      </c>
      <c r="Q112" s="65">
        <v>0</v>
      </c>
      <c r="R112" s="64">
        <f t="shared" si="13"/>
        <v>115</v>
      </c>
      <c r="S112" s="71"/>
      <c r="T112" s="71"/>
      <c r="U112" s="71"/>
      <c r="V112" s="71"/>
      <c r="W112" s="71"/>
      <c r="X112" s="71"/>
      <c r="Y112" s="71"/>
      <c r="Z112" s="71"/>
      <c r="AA112" s="71"/>
      <c r="AB112" s="71"/>
      <c r="AC112" s="71"/>
      <c r="AD112" s="71"/>
      <c r="AE112" s="71"/>
      <c r="AF112" s="71"/>
      <c r="AG112" s="71"/>
      <c r="AH112" s="71"/>
      <c r="AI112" s="71"/>
      <c r="AJ112" s="71"/>
      <c r="AK112" s="71"/>
      <c r="AL112" s="71"/>
      <c r="AM112" s="71"/>
      <c r="AN112" s="71"/>
      <c r="AO112" s="71"/>
      <c r="AP112" s="71"/>
      <c r="AQ112" s="71"/>
      <c r="AR112" s="71"/>
      <c r="AS112" s="71"/>
      <c r="AT112" s="71"/>
      <c r="AU112" s="71"/>
      <c r="AV112" s="71"/>
      <c r="AW112" s="71"/>
      <c r="AX112" s="71"/>
      <c r="AY112" s="71"/>
      <c r="AZ112" s="71"/>
      <c r="BA112" s="71"/>
      <c r="BB112" s="71"/>
      <c r="BC112" s="71"/>
      <c r="BD112" s="71"/>
      <c r="BE112" s="71"/>
      <c r="BF112" s="71"/>
      <c r="BG112" s="71"/>
      <c r="BH112" s="71"/>
      <c r="BI112" s="71"/>
      <c r="BJ112" s="71"/>
      <c r="BK112" s="71"/>
      <c r="BL112" s="71"/>
      <c r="BM112" s="71"/>
      <c r="BN112" s="71"/>
      <c r="BO112" s="71"/>
      <c r="BP112" s="71"/>
      <c r="BQ112" s="71"/>
      <c r="BR112" s="71"/>
      <c r="BS112" s="71"/>
      <c r="BT112" s="71"/>
      <c r="BU112" s="71"/>
      <c r="BV112" s="71"/>
      <c r="BW112" s="71"/>
      <c r="BX112" s="71"/>
      <c r="BY112" s="71"/>
      <c r="BZ112" s="71"/>
      <c r="CA112" s="71"/>
      <c r="CB112" s="71"/>
      <c r="CC112" s="71"/>
      <c r="CD112" s="71"/>
      <c r="CE112" s="71"/>
      <c r="CF112" s="71"/>
      <c r="CG112" s="71"/>
      <c r="CH112" s="71"/>
      <c r="CI112" s="71"/>
      <c r="CJ112" s="71"/>
      <c r="CK112" s="71"/>
      <c r="CL112" s="71"/>
      <c r="CM112" s="71"/>
      <c r="CN112" s="71"/>
      <c r="CO112" s="71"/>
      <c r="CP112" s="71"/>
      <c r="CQ112" s="71"/>
      <c r="CR112" s="71"/>
      <c r="CS112" s="71"/>
      <c r="CT112" s="71"/>
      <c r="CU112" s="71"/>
      <c r="CV112" s="71"/>
      <c r="CW112" s="71"/>
      <c r="CX112" s="71"/>
      <c r="CY112" s="71"/>
      <c r="CZ112" s="71"/>
      <c r="DA112" s="71"/>
      <c r="DB112" s="71"/>
      <c r="DC112" s="71"/>
      <c r="DD112" s="71"/>
      <c r="DE112" s="71"/>
      <c r="DF112" s="71"/>
      <c r="DG112" s="71"/>
      <c r="DH112" s="71"/>
      <c r="DI112" s="71"/>
      <c r="DJ112" s="71"/>
      <c r="DK112" s="71"/>
      <c r="DL112" s="71"/>
      <c r="DM112" s="71"/>
      <c r="DN112" s="71"/>
      <c r="DO112" s="71"/>
      <c r="DP112" s="71"/>
      <c r="DQ112" s="71"/>
      <c r="DR112" s="71"/>
      <c r="DS112" s="71"/>
      <c r="DT112" s="71"/>
      <c r="DU112" s="71"/>
      <c r="DV112" s="71"/>
      <c r="DW112" s="71"/>
      <c r="DX112" s="71"/>
      <c r="DY112" s="71"/>
      <c r="DZ112" s="71"/>
      <c r="EA112" s="71"/>
      <c r="EB112" s="71"/>
      <c r="EC112" s="71"/>
      <c r="ED112" s="71"/>
      <c r="EE112" s="71"/>
      <c r="EF112" s="71"/>
      <c r="EG112" s="71"/>
      <c r="EH112" s="71"/>
      <c r="EI112" s="71"/>
      <c r="EJ112" s="71"/>
      <c r="EK112" s="71"/>
      <c r="EL112" s="71"/>
      <c r="EM112" s="71"/>
      <c r="EN112" s="71"/>
      <c r="EO112" s="71"/>
      <c r="EP112" s="71"/>
      <c r="EQ112" s="71"/>
      <c r="ER112" s="71"/>
      <c r="ES112" s="71"/>
      <c r="ET112" s="71"/>
      <c r="EU112" s="71"/>
      <c r="EV112" s="71"/>
      <c r="EW112" s="71"/>
      <c r="EX112" s="71"/>
      <c r="EY112" s="71"/>
      <c r="EZ112" s="71"/>
      <c r="FA112" s="71"/>
      <c r="FB112" s="71"/>
      <c r="FC112" s="71"/>
      <c r="FD112" s="71"/>
      <c r="FE112" s="71"/>
      <c r="FF112" s="71"/>
      <c r="FG112" s="71"/>
      <c r="FH112" s="71"/>
      <c r="FI112" s="71"/>
      <c r="FJ112" s="71"/>
      <c r="FK112" s="71"/>
      <c r="FL112" s="71"/>
      <c r="FM112" s="71"/>
      <c r="FN112" s="71"/>
      <c r="FO112" s="71"/>
      <c r="FP112" s="71"/>
      <c r="FQ112" s="71"/>
      <c r="FR112" s="71"/>
      <c r="FS112" s="71"/>
      <c r="FT112" s="71"/>
      <c r="FU112" s="71"/>
      <c r="FV112" s="71"/>
      <c r="FW112" s="71"/>
      <c r="FX112" s="71"/>
      <c r="FY112" s="71"/>
      <c r="FZ112" s="71"/>
      <c r="GA112" s="71"/>
      <c r="GB112" s="71"/>
      <c r="GC112" s="71"/>
      <c r="GD112" s="71"/>
      <c r="GE112" s="71"/>
      <c r="GF112" s="71"/>
      <c r="GG112" s="71"/>
      <c r="GH112" s="71"/>
      <c r="GI112" s="71"/>
      <c r="GJ112" s="71"/>
      <c r="GK112" s="71"/>
      <c r="GL112" s="71"/>
      <c r="GM112" s="71"/>
      <c r="GN112" s="71"/>
      <c r="GO112" s="71"/>
      <c r="GP112" s="71"/>
      <c r="GQ112" s="71"/>
      <c r="GR112" s="71"/>
      <c r="GS112" s="71"/>
      <c r="GT112" s="71"/>
      <c r="GU112" s="71"/>
      <c r="GV112" s="71"/>
      <c r="GW112" s="71"/>
      <c r="GX112" s="71"/>
      <c r="GY112" s="71"/>
      <c r="GZ112" s="71"/>
      <c r="HA112" s="71"/>
      <c r="HB112" s="71"/>
      <c r="HC112" s="71"/>
      <c r="HD112" s="71"/>
      <c r="HE112" s="71"/>
      <c r="HF112" s="71"/>
      <c r="HG112" s="71"/>
      <c r="HH112" s="71"/>
      <c r="HI112" s="71"/>
      <c r="HJ112" s="71"/>
      <c r="HK112" s="71"/>
      <c r="HL112" s="71"/>
      <c r="HM112" s="71"/>
      <c r="HN112" s="71"/>
      <c r="HO112" s="71"/>
      <c r="HP112" s="71"/>
      <c r="HQ112" s="71"/>
      <c r="HR112" s="71"/>
      <c r="HS112" s="71"/>
      <c r="HT112" s="71"/>
      <c r="HU112" s="71"/>
      <c r="HV112" s="71"/>
      <c r="HW112" s="71"/>
      <c r="HX112" s="71"/>
      <c r="HY112" s="71"/>
      <c r="HZ112" s="71"/>
      <c r="IA112" s="71"/>
      <c r="IB112" s="71"/>
      <c r="IC112" s="71"/>
      <c r="ID112" s="71"/>
      <c r="IE112" s="71"/>
      <c r="IF112" s="71"/>
      <c r="IG112" s="71"/>
      <c r="IH112" s="71"/>
      <c r="II112" s="71"/>
      <c r="IJ112" s="71"/>
      <c r="IK112" s="71"/>
      <c r="IL112" s="71"/>
      <c r="IM112" s="71"/>
      <c r="IN112" s="71"/>
      <c r="IO112" s="71"/>
      <c r="IP112" s="71"/>
      <c r="IQ112" s="71"/>
      <c r="IR112" s="71"/>
      <c r="IS112" s="71"/>
      <c r="IT112" s="71"/>
      <c r="IU112" s="71"/>
      <c r="IV112" s="71"/>
      <c r="IW112" s="71"/>
      <c r="IX112" s="71"/>
    </row>
    <row r="113" customHeight="1" spans="1:258">
      <c r="A113" s="50">
        <v>110</v>
      </c>
      <c r="B113" s="53" t="s">
        <v>392</v>
      </c>
      <c r="C113" s="50" t="s">
        <v>393</v>
      </c>
      <c r="D113" s="50">
        <v>28051</v>
      </c>
      <c r="E113" s="50">
        <v>12</v>
      </c>
      <c r="F113" s="50">
        <v>1228</v>
      </c>
      <c r="G113" s="50">
        <v>3</v>
      </c>
      <c r="H113" s="50">
        <v>0</v>
      </c>
      <c r="I113" s="50">
        <v>0</v>
      </c>
      <c r="J113" s="50">
        <v>345</v>
      </c>
      <c r="K113" s="50">
        <v>345</v>
      </c>
      <c r="L113" s="50">
        <v>0</v>
      </c>
      <c r="M113" s="68">
        <f t="shared" si="12"/>
        <v>345</v>
      </c>
      <c r="N113" s="58" t="s">
        <v>393</v>
      </c>
      <c r="O113" s="70"/>
      <c r="P113" s="61">
        <v>0</v>
      </c>
      <c r="Q113" s="65">
        <v>0</v>
      </c>
      <c r="R113" s="64">
        <f t="shared" si="13"/>
        <v>345</v>
      </c>
      <c r="S113" s="71"/>
      <c r="T113" s="71"/>
      <c r="U113" s="71"/>
      <c r="V113" s="71"/>
      <c r="W113" s="71"/>
      <c r="X113" s="71"/>
      <c r="Y113" s="71"/>
      <c r="Z113" s="71"/>
      <c r="AA113" s="71"/>
      <c r="AB113" s="71"/>
      <c r="AC113" s="71"/>
      <c r="AD113" s="71"/>
      <c r="AE113" s="71"/>
      <c r="AF113" s="71"/>
      <c r="AG113" s="71"/>
      <c r="AH113" s="71"/>
      <c r="AI113" s="71"/>
      <c r="AJ113" s="71"/>
      <c r="AK113" s="71"/>
      <c r="AL113" s="71"/>
      <c r="AM113" s="71"/>
      <c r="AN113" s="71"/>
      <c r="AO113" s="71"/>
      <c r="AP113" s="71"/>
      <c r="AQ113" s="71"/>
      <c r="AR113" s="71"/>
      <c r="AS113" s="71"/>
      <c r="AT113" s="71"/>
      <c r="AU113" s="71"/>
      <c r="AV113" s="71"/>
      <c r="AW113" s="71"/>
      <c r="AX113" s="71"/>
      <c r="AY113" s="71"/>
      <c r="AZ113" s="71"/>
      <c r="BA113" s="71"/>
      <c r="BB113" s="71"/>
      <c r="BC113" s="71"/>
      <c r="BD113" s="71"/>
      <c r="BE113" s="71"/>
      <c r="BF113" s="71"/>
      <c r="BG113" s="71"/>
      <c r="BH113" s="71"/>
      <c r="BI113" s="71"/>
      <c r="BJ113" s="71"/>
      <c r="BK113" s="71"/>
      <c r="BL113" s="71"/>
      <c r="BM113" s="71"/>
      <c r="BN113" s="71"/>
      <c r="BO113" s="71"/>
      <c r="BP113" s="71"/>
      <c r="BQ113" s="71"/>
      <c r="BR113" s="71"/>
      <c r="BS113" s="71"/>
      <c r="BT113" s="71"/>
      <c r="BU113" s="71"/>
      <c r="BV113" s="71"/>
      <c r="BW113" s="71"/>
      <c r="BX113" s="71"/>
      <c r="BY113" s="71"/>
      <c r="BZ113" s="71"/>
      <c r="CA113" s="71"/>
      <c r="CB113" s="71"/>
      <c r="CC113" s="71"/>
      <c r="CD113" s="71"/>
      <c r="CE113" s="71"/>
      <c r="CF113" s="71"/>
      <c r="CG113" s="71"/>
      <c r="CH113" s="71"/>
      <c r="CI113" s="71"/>
      <c r="CJ113" s="71"/>
      <c r="CK113" s="71"/>
      <c r="CL113" s="71"/>
      <c r="CM113" s="71"/>
      <c r="CN113" s="71"/>
      <c r="CO113" s="71"/>
      <c r="CP113" s="71"/>
      <c r="CQ113" s="71"/>
      <c r="CR113" s="71"/>
      <c r="CS113" s="71"/>
      <c r="CT113" s="71"/>
      <c r="CU113" s="71"/>
      <c r="CV113" s="71"/>
      <c r="CW113" s="71"/>
      <c r="CX113" s="71"/>
      <c r="CY113" s="71"/>
      <c r="CZ113" s="71"/>
      <c r="DA113" s="71"/>
      <c r="DB113" s="71"/>
      <c r="DC113" s="71"/>
      <c r="DD113" s="71"/>
      <c r="DE113" s="71"/>
      <c r="DF113" s="71"/>
      <c r="DG113" s="71"/>
      <c r="DH113" s="71"/>
      <c r="DI113" s="71"/>
      <c r="DJ113" s="71"/>
      <c r="DK113" s="71"/>
      <c r="DL113" s="71"/>
      <c r="DM113" s="71"/>
      <c r="DN113" s="71"/>
      <c r="DO113" s="71"/>
      <c r="DP113" s="71"/>
      <c r="DQ113" s="71"/>
      <c r="DR113" s="71"/>
      <c r="DS113" s="71"/>
      <c r="DT113" s="71"/>
      <c r="DU113" s="71"/>
      <c r="DV113" s="71"/>
      <c r="DW113" s="71"/>
      <c r="DX113" s="71"/>
      <c r="DY113" s="71"/>
      <c r="DZ113" s="71"/>
      <c r="EA113" s="71"/>
      <c r="EB113" s="71"/>
      <c r="EC113" s="71"/>
      <c r="ED113" s="71"/>
      <c r="EE113" s="71"/>
      <c r="EF113" s="71"/>
      <c r="EG113" s="71"/>
      <c r="EH113" s="71"/>
      <c r="EI113" s="71"/>
      <c r="EJ113" s="71"/>
      <c r="EK113" s="71"/>
      <c r="EL113" s="71"/>
      <c r="EM113" s="71"/>
      <c r="EN113" s="71"/>
      <c r="EO113" s="71"/>
      <c r="EP113" s="71"/>
      <c r="EQ113" s="71"/>
      <c r="ER113" s="71"/>
      <c r="ES113" s="71"/>
      <c r="ET113" s="71"/>
      <c r="EU113" s="71"/>
      <c r="EV113" s="71"/>
      <c r="EW113" s="71"/>
      <c r="EX113" s="71"/>
      <c r="EY113" s="71"/>
      <c r="EZ113" s="71"/>
      <c r="FA113" s="71"/>
      <c r="FB113" s="71"/>
      <c r="FC113" s="71"/>
      <c r="FD113" s="71"/>
      <c r="FE113" s="71"/>
      <c r="FF113" s="71"/>
      <c r="FG113" s="71"/>
      <c r="FH113" s="71"/>
      <c r="FI113" s="71"/>
      <c r="FJ113" s="71"/>
      <c r="FK113" s="71"/>
      <c r="FL113" s="71"/>
      <c r="FM113" s="71"/>
      <c r="FN113" s="71"/>
      <c r="FO113" s="71"/>
      <c r="FP113" s="71"/>
      <c r="FQ113" s="71"/>
      <c r="FR113" s="71"/>
      <c r="FS113" s="71"/>
      <c r="FT113" s="71"/>
      <c r="FU113" s="71"/>
      <c r="FV113" s="71"/>
      <c r="FW113" s="71"/>
      <c r="FX113" s="71"/>
      <c r="FY113" s="71"/>
      <c r="FZ113" s="71"/>
      <c r="GA113" s="71"/>
      <c r="GB113" s="71"/>
      <c r="GC113" s="71"/>
      <c r="GD113" s="71"/>
      <c r="GE113" s="71"/>
      <c r="GF113" s="71"/>
      <c r="GG113" s="71"/>
      <c r="GH113" s="71"/>
      <c r="GI113" s="71"/>
      <c r="GJ113" s="71"/>
      <c r="GK113" s="71"/>
      <c r="GL113" s="71"/>
      <c r="GM113" s="71"/>
      <c r="GN113" s="71"/>
      <c r="GO113" s="71"/>
      <c r="GP113" s="71"/>
      <c r="GQ113" s="71"/>
      <c r="GR113" s="71"/>
      <c r="GS113" s="71"/>
      <c r="GT113" s="71"/>
      <c r="GU113" s="71"/>
      <c r="GV113" s="71"/>
      <c r="GW113" s="71"/>
      <c r="GX113" s="71"/>
      <c r="GY113" s="71"/>
      <c r="GZ113" s="71"/>
      <c r="HA113" s="71"/>
      <c r="HB113" s="71"/>
      <c r="HC113" s="71"/>
      <c r="HD113" s="71"/>
      <c r="HE113" s="71"/>
      <c r="HF113" s="71"/>
      <c r="HG113" s="71"/>
      <c r="HH113" s="71"/>
      <c r="HI113" s="71"/>
      <c r="HJ113" s="71"/>
      <c r="HK113" s="71"/>
      <c r="HL113" s="71"/>
      <c r="HM113" s="71"/>
      <c r="HN113" s="71"/>
      <c r="HO113" s="71"/>
      <c r="HP113" s="71"/>
      <c r="HQ113" s="71"/>
      <c r="HR113" s="71"/>
      <c r="HS113" s="71"/>
      <c r="HT113" s="71"/>
      <c r="HU113" s="71"/>
      <c r="HV113" s="71"/>
      <c r="HW113" s="71"/>
      <c r="HX113" s="71"/>
      <c r="HY113" s="71"/>
      <c r="HZ113" s="71"/>
      <c r="IA113" s="71"/>
      <c r="IB113" s="71"/>
      <c r="IC113" s="71"/>
      <c r="ID113" s="71"/>
      <c r="IE113" s="71"/>
      <c r="IF113" s="71"/>
      <c r="IG113" s="71"/>
      <c r="IH113" s="71"/>
      <c r="II113" s="71"/>
      <c r="IJ113" s="71"/>
      <c r="IK113" s="71"/>
      <c r="IL113" s="71"/>
      <c r="IM113" s="71"/>
      <c r="IN113" s="71"/>
      <c r="IO113" s="71"/>
      <c r="IP113" s="71"/>
      <c r="IQ113" s="71"/>
      <c r="IR113" s="71"/>
      <c r="IS113" s="71"/>
      <c r="IT113" s="71"/>
      <c r="IU113" s="71"/>
      <c r="IV113" s="71"/>
      <c r="IW113" s="71"/>
      <c r="IX113" s="71"/>
    </row>
    <row r="114" customHeight="1" spans="1:18">
      <c r="A114" s="50">
        <v>111</v>
      </c>
      <c r="B114" s="53" t="s">
        <v>394</v>
      </c>
      <c r="C114" s="50" t="s">
        <v>395</v>
      </c>
      <c r="D114" s="50">
        <v>28052</v>
      </c>
      <c r="E114" s="50">
        <v>12</v>
      </c>
      <c r="F114" s="50">
        <v>1228</v>
      </c>
      <c r="G114" s="50">
        <v>10</v>
      </c>
      <c r="H114" s="50">
        <v>0</v>
      </c>
      <c r="I114" s="50">
        <v>0</v>
      </c>
      <c r="J114" s="50">
        <v>1150</v>
      </c>
      <c r="K114" s="50">
        <v>1150</v>
      </c>
      <c r="L114" s="50">
        <v>0</v>
      </c>
      <c r="M114" s="68">
        <f t="shared" si="12"/>
        <v>1150</v>
      </c>
      <c r="N114" s="58" t="s">
        <v>395</v>
      </c>
      <c r="O114" s="62"/>
      <c r="P114" s="61">
        <v>0</v>
      </c>
      <c r="Q114" s="65">
        <v>0</v>
      </c>
      <c r="R114" s="64">
        <f t="shared" si="13"/>
        <v>1150</v>
      </c>
    </row>
    <row r="115" customHeight="1" spans="1:18">
      <c r="A115" s="50">
        <v>112</v>
      </c>
      <c r="B115" s="53" t="s">
        <v>396</v>
      </c>
      <c r="C115" s="50" t="s">
        <v>397</v>
      </c>
      <c r="D115" s="50">
        <v>28053</v>
      </c>
      <c r="E115" s="50">
        <v>12</v>
      </c>
      <c r="F115" s="50">
        <v>1228</v>
      </c>
      <c r="G115" s="50">
        <v>30</v>
      </c>
      <c r="H115" s="50">
        <v>0</v>
      </c>
      <c r="I115" s="50">
        <v>0</v>
      </c>
      <c r="J115" s="50">
        <v>3450</v>
      </c>
      <c r="K115" s="50">
        <v>3450</v>
      </c>
      <c r="L115" s="50">
        <v>0</v>
      </c>
      <c r="M115" s="68">
        <f t="shared" si="12"/>
        <v>3450</v>
      </c>
      <c r="N115" s="58" t="s">
        <v>397</v>
      </c>
      <c r="O115" s="62"/>
      <c r="P115" s="61">
        <v>0</v>
      </c>
      <c r="Q115" s="65">
        <v>0</v>
      </c>
      <c r="R115" s="64">
        <f t="shared" si="13"/>
        <v>3450</v>
      </c>
    </row>
    <row r="116" customHeight="1" spans="1:18">
      <c r="A116" s="50">
        <v>113</v>
      </c>
      <c r="B116" s="53" t="s">
        <v>398</v>
      </c>
      <c r="C116" s="50" t="s">
        <v>399</v>
      </c>
      <c r="D116" s="50">
        <v>28070</v>
      </c>
      <c r="E116" s="50">
        <v>12</v>
      </c>
      <c r="F116" s="50">
        <v>1228</v>
      </c>
      <c r="G116" s="50">
        <v>100</v>
      </c>
      <c r="H116" s="50">
        <v>0</v>
      </c>
      <c r="I116" s="50">
        <v>0</v>
      </c>
      <c r="J116" s="50">
        <v>11500</v>
      </c>
      <c r="K116" s="50">
        <v>11500</v>
      </c>
      <c r="L116" s="50">
        <v>0</v>
      </c>
      <c r="M116" s="68">
        <f t="shared" si="12"/>
        <v>11500</v>
      </c>
      <c r="N116" s="58" t="s">
        <v>399</v>
      </c>
      <c r="O116" s="62"/>
      <c r="P116" s="61">
        <v>0</v>
      </c>
      <c r="Q116" s="65">
        <v>0</v>
      </c>
      <c r="R116" s="64">
        <f t="shared" si="13"/>
        <v>11500</v>
      </c>
    </row>
    <row r="117" customHeight="1" spans="1:18">
      <c r="A117" s="50">
        <v>114</v>
      </c>
      <c r="B117" s="53" t="s">
        <v>400</v>
      </c>
      <c r="C117" s="50" t="s">
        <v>401</v>
      </c>
      <c r="D117" s="50">
        <v>28071</v>
      </c>
      <c r="E117" s="50">
        <v>12</v>
      </c>
      <c r="F117" s="50">
        <v>1228</v>
      </c>
      <c r="G117" s="50">
        <v>300</v>
      </c>
      <c r="H117" s="50">
        <v>0</v>
      </c>
      <c r="I117" s="50">
        <v>0</v>
      </c>
      <c r="J117" s="50">
        <v>34500</v>
      </c>
      <c r="K117" s="50">
        <v>34500</v>
      </c>
      <c r="L117" s="50">
        <v>0</v>
      </c>
      <c r="M117" s="68">
        <f t="shared" si="12"/>
        <v>34500</v>
      </c>
      <c r="N117" s="58" t="s">
        <v>401</v>
      </c>
      <c r="O117" s="62"/>
      <c r="P117" s="61">
        <v>0</v>
      </c>
      <c r="Q117" s="65">
        <v>0</v>
      </c>
      <c r="R117" s="64">
        <f t="shared" si="13"/>
        <v>34500</v>
      </c>
    </row>
    <row r="118" customHeight="1" spans="1:18">
      <c r="A118" s="50">
        <v>115</v>
      </c>
      <c r="B118" s="53" t="s">
        <v>402</v>
      </c>
      <c r="C118" s="50" t="s">
        <v>403</v>
      </c>
      <c r="D118" s="50">
        <v>28072</v>
      </c>
      <c r="E118" s="50">
        <v>12</v>
      </c>
      <c r="F118" s="50">
        <v>1228</v>
      </c>
      <c r="G118" s="50">
        <v>400</v>
      </c>
      <c r="H118" s="50">
        <v>0</v>
      </c>
      <c r="I118" s="50">
        <v>0</v>
      </c>
      <c r="J118" s="50">
        <v>46000</v>
      </c>
      <c r="K118" s="50">
        <v>46000</v>
      </c>
      <c r="L118" s="50">
        <v>0</v>
      </c>
      <c r="M118" s="68">
        <f t="shared" si="12"/>
        <v>46000</v>
      </c>
      <c r="N118" s="58" t="s">
        <v>403</v>
      </c>
      <c r="O118" s="62"/>
      <c r="P118" s="61">
        <v>0</v>
      </c>
      <c r="Q118" s="65">
        <v>0</v>
      </c>
      <c r="R118" s="64">
        <f t="shared" si="13"/>
        <v>46000</v>
      </c>
    </row>
    <row r="119" customHeight="1" spans="1:18">
      <c r="A119" s="50">
        <v>116</v>
      </c>
      <c r="B119" s="53" t="s">
        <v>404</v>
      </c>
      <c r="C119" s="50" t="s">
        <v>405</v>
      </c>
      <c r="D119" s="50">
        <v>28073</v>
      </c>
      <c r="E119" s="50">
        <v>12</v>
      </c>
      <c r="F119" s="50">
        <v>1228</v>
      </c>
      <c r="G119" s="50">
        <v>1000</v>
      </c>
      <c r="H119" s="50">
        <v>0</v>
      </c>
      <c r="I119" s="50">
        <v>0</v>
      </c>
      <c r="J119" s="50">
        <v>115000</v>
      </c>
      <c r="K119" s="50">
        <v>115000</v>
      </c>
      <c r="L119" s="50">
        <v>0</v>
      </c>
      <c r="M119" s="68">
        <f t="shared" si="12"/>
        <v>115000</v>
      </c>
      <c r="N119" s="58" t="s">
        <v>405</v>
      </c>
      <c r="O119" s="62"/>
      <c r="P119" s="61">
        <v>0</v>
      </c>
      <c r="Q119" s="65">
        <v>0</v>
      </c>
      <c r="R119" s="64">
        <f t="shared" si="13"/>
        <v>115000</v>
      </c>
    </row>
    <row r="120" customHeight="1" spans="1:18">
      <c r="A120" s="50">
        <v>117</v>
      </c>
      <c r="B120" s="53" t="s">
        <v>406</v>
      </c>
      <c r="C120" s="50" t="s">
        <v>407</v>
      </c>
      <c r="D120" s="50">
        <v>29054</v>
      </c>
      <c r="E120" s="50">
        <v>13</v>
      </c>
      <c r="F120" s="50">
        <v>46001</v>
      </c>
      <c r="G120" s="50">
        <v>1</v>
      </c>
      <c r="H120" s="50">
        <v>0</v>
      </c>
      <c r="I120" s="50">
        <v>0</v>
      </c>
      <c r="J120" s="50">
        <v>350</v>
      </c>
      <c r="K120" s="50">
        <v>350</v>
      </c>
      <c r="L120" s="50">
        <v>0</v>
      </c>
      <c r="M120" s="68">
        <f t="shared" si="12"/>
        <v>350</v>
      </c>
      <c r="N120" s="58" t="s">
        <v>408</v>
      </c>
      <c r="O120" s="62"/>
      <c r="P120" s="61">
        <v>0</v>
      </c>
      <c r="Q120" s="65">
        <v>0</v>
      </c>
      <c r="R120" s="64">
        <f t="shared" si="13"/>
        <v>350</v>
      </c>
    </row>
    <row r="121" customHeight="1" spans="1:18">
      <c r="A121" s="50">
        <v>118</v>
      </c>
      <c r="B121" s="53" t="s">
        <v>406</v>
      </c>
      <c r="C121" s="50" t="s">
        <v>407</v>
      </c>
      <c r="D121" s="50">
        <v>29067</v>
      </c>
      <c r="E121" s="50">
        <v>13</v>
      </c>
      <c r="F121" s="50">
        <v>46002</v>
      </c>
      <c r="G121" s="50">
        <v>1</v>
      </c>
      <c r="H121" s="50">
        <v>0</v>
      </c>
      <c r="I121" s="50">
        <v>0</v>
      </c>
      <c r="J121" s="50">
        <v>15000</v>
      </c>
      <c r="K121" s="50">
        <v>15000</v>
      </c>
      <c r="L121" s="50">
        <v>0</v>
      </c>
      <c r="M121" s="68">
        <f t="shared" si="12"/>
        <v>15000</v>
      </c>
      <c r="N121" s="58" t="s">
        <v>409</v>
      </c>
      <c r="O121" s="62"/>
      <c r="P121" s="61">
        <v>0</v>
      </c>
      <c r="Q121" s="65">
        <v>0</v>
      </c>
      <c r="R121" s="64">
        <f t="shared" si="13"/>
        <v>15000</v>
      </c>
    </row>
    <row r="122" customHeight="1" spans="1:18">
      <c r="A122" s="50">
        <v>119</v>
      </c>
      <c r="B122" s="53" t="s">
        <v>406</v>
      </c>
      <c r="C122" s="50" t="s">
        <v>407</v>
      </c>
      <c r="D122" s="50">
        <v>29068</v>
      </c>
      <c r="E122" s="50">
        <v>13</v>
      </c>
      <c r="F122" s="50">
        <v>46003</v>
      </c>
      <c r="G122" s="50">
        <v>1</v>
      </c>
      <c r="H122" s="50">
        <v>0</v>
      </c>
      <c r="I122" s="50">
        <v>0</v>
      </c>
      <c r="J122" s="50">
        <v>160000</v>
      </c>
      <c r="K122" s="50">
        <v>160000</v>
      </c>
      <c r="L122" s="50">
        <v>0</v>
      </c>
      <c r="M122" s="68">
        <f t="shared" si="12"/>
        <v>160000</v>
      </c>
      <c r="N122" s="58" t="s">
        <v>410</v>
      </c>
      <c r="O122" s="62"/>
      <c r="P122" s="61">
        <v>0</v>
      </c>
      <c r="Q122" s="65">
        <v>0</v>
      </c>
      <c r="R122" s="64">
        <f t="shared" si="13"/>
        <v>160000</v>
      </c>
    </row>
    <row r="123" customHeight="1" spans="1:18">
      <c r="A123" s="50">
        <v>120</v>
      </c>
      <c r="B123" s="53" t="s">
        <v>406</v>
      </c>
      <c r="C123" s="50" t="s">
        <v>407</v>
      </c>
      <c r="D123" s="50">
        <v>29069</v>
      </c>
      <c r="E123" s="50">
        <v>13</v>
      </c>
      <c r="F123" s="50">
        <v>46004</v>
      </c>
      <c r="G123" s="50">
        <v>1</v>
      </c>
      <c r="H123" s="50">
        <v>0</v>
      </c>
      <c r="I123" s="50">
        <v>0</v>
      </c>
      <c r="J123" s="50">
        <v>1000000</v>
      </c>
      <c r="K123" s="50">
        <v>1000000</v>
      </c>
      <c r="L123" s="50">
        <v>0</v>
      </c>
      <c r="M123" s="68">
        <f t="shared" si="12"/>
        <v>1000000</v>
      </c>
      <c r="N123" s="58" t="s">
        <v>411</v>
      </c>
      <c r="O123" s="62"/>
      <c r="P123" s="61">
        <v>0</v>
      </c>
      <c r="Q123" s="65">
        <v>0</v>
      </c>
      <c r="R123" s="64">
        <f t="shared" si="13"/>
        <v>1000000</v>
      </c>
    </row>
    <row r="124" customHeight="1" spans="1:18">
      <c r="A124" s="50">
        <v>121</v>
      </c>
      <c r="B124" s="53" t="s">
        <v>412</v>
      </c>
      <c r="C124" s="50" t="s">
        <v>413</v>
      </c>
      <c r="D124" s="50">
        <v>30059</v>
      </c>
      <c r="E124" s="50">
        <v>14</v>
      </c>
      <c r="F124" s="50">
        <v>4141</v>
      </c>
      <c r="G124" s="50">
        <v>1</v>
      </c>
      <c r="H124" s="50">
        <v>0</v>
      </c>
      <c r="I124" s="50">
        <v>0</v>
      </c>
      <c r="J124" s="50">
        <v>1200000</v>
      </c>
      <c r="K124" s="50">
        <f>J124</f>
        <v>1200000</v>
      </c>
      <c r="L124" s="50">
        <v>0</v>
      </c>
      <c r="M124" s="68">
        <f t="shared" si="12"/>
        <v>1200000</v>
      </c>
      <c r="N124" s="58" t="s">
        <v>414</v>
      </c>
      <c r="O124" s="62"/>
      <c r="P124" s="61">
        <v>0</v>
      </c>
      <c r="Q124" s="65">
        <v>0</v>
      </c>
      <c r="R124" s="64">
        <f t="shared" si="13"/>
        <v>1200000</v>
      </c>
    </row>
    <row r="125" customHeight="1" spans="1:18">
      <c r="A125" s="50">
        <v>122</v>
      </c>
      <c r="B125" s="53" t="s">
        <v>415</v>
      </c>
      <c r="C125" s="50" t="s">
        <v>416</v>
      </c>
      <c r="D125" s="50">
        <v>30060</v>
      </c>
      <c r="E125" s="50">
        <v>14</v>
      </c>
      <c r="F125" s="50">
        <v>4142</v>
      </c>
      <c r="G125" s="50">
        <v>1</v>
      </c>
      <c r="H125" s="50">
        <v>0</v>
      </c>
      <c r="I125" s="50">
        <v>0</v>
      </c>
      <c r="J125" s="50">
        <v>3600000</v>
      </c>
      <c r="K125" s="50">
        <f>J125</f>
        <v>3600000</v>
      </c>
      <c r="L125" s="50">
        <v>0</v>
      </c>
      <c r="M125" s="68">
        <f t="shared" si="12"/>
        <v>3600000</v>
      </c>
      <c r="N125" s="58" t="s">
        <v>417</v>
      </c>
      <c r="O125" s="62"/>
      <c r="P125" s="61">
        <v>0</v>
      </c>
      <c r="Q125" s="65">
        <v>0</v>
      </c>
      <c r="R125" s="64">
        <f t="shared" si="13"/>
        <v>3600000</v>
      </c>
    </row>
    <row r="126" customHeight="1" spans="1:18">
      <c r="A126" s="50">
        <v>123</v>
      </c>
      <c r="B126" s="53" t="s">
        <v>418</v>
      </c>
      <c r="C126" s="50" t="s">
        <v>419</v>
      </c>
      <c r="D126" s="50">
        <v>30061</v>
      </c>
      <c r="E126" s="50">
        <v>14</v>
      </c>
      <c r="F126" s="50">
        <v>4144</v>
      </c>
      <c r="G126" s="50">
        <v>1</v>
      </c>
      <c r="H126" s="50">
        <v>0</v>
      </c>
      <c r="I126" s="50">
        <v>0</v>
      </c>
      <c r="J126" s="50">
        <v>12000000</v>
      </c>
      <c r="K126" s="50">
        <f>J126</f>
        <v>12000000</v>
      </c>
      <c r="L126" s="50">
        <v>0</v>
      </c>
      <c r="M126" s="68">
        <f t="shared" si="12"/>
        <v>12000000</v>
      </c>
      <c r="N126" s="58" t="s">
        <v>420</v>
      </c>
      <c r="O126" s="62"/>
      <c r="P126" s="61">
        <v>0</v>
      </c>
      <c r="Q126" s="65">
        <v>0</v>
      </c>
      <c r="R126" s="64">
        <f t="shared" si="13"/>
        <v>12000000</v>
      </c>
    </row>
    <row r="127" customHeight="1" spans="1:18">
      <c r="A127" s="50">
        <v>124</v>
      </c>
      <c r="B127" s="53" t="s">
        <v>421</v>
      </c>
      <c r="C127" s="50" t="s">
        <v>422</v>
      </c>
      <c r="D127" s="50">
        <v>31062</v>
      </c>
      <c r="E127" s="50">
        <v>15</v>
      </c>
      <c r="F127" s="50">
        <v>4233</v>
      </c>
      <c r="G127" s="50">
        <v>1</v>
      </c>
      <c r="H127" s="50">
        <v>0</v>
      </c>
      <c r="I127" s="50">
        <v>0</v>
      </c>
      <c r="J127" s="50">
        <v>12000000</v>
      </c>
      <c r="K127" s="50">
        <f>J127</f>
        <v>12000000</v>
      </c>
      <c r="L127" s="50">
        <v>0</v>
      </c>
      <c r="M127" s="68">
        <f t="shared" si="12"/>
        <v>12000000</v>
      </c>
      <c r="N127" s="58" t="s">
        <v>423</v>
      </c>
      <c r="O127" s="62"/>
      <c r="P127" s="61">
        <v>0</v>
      </c>
      <c r="Q127" s="65">
        <v>0</v>
      </c>
      <c r="R127" s="64">
        <f t="shared" si="13"/>
        <v>12000000</v>
      </c>
    </row>
    <row r="128" customHeight="1" spans="1:18">
      <c r="A128" s="50">
        <v>125</v>
      </c>
      <c r="B128" s="53" t="s">
        <v>424</v>
      </c>
      <c r="C128" s="50" t="s">
        <v>425</v>
      </c>
      <c r="D128" s="50">
        <v>32063</v>
      </c>
      <c r="E128" s="50">
        <v>16</v>
      </c>
      <c r="F128" s="50">
        <v>3106</v>
      </c>
      <c r="G128" s="50">
        <v>1</v>
      </c>
      <c r="H128" s="50">
        <v>0</v>
      </c>
      <c r="I128" s="50">
        <v>0</v>
      </c>
      <c r="J128" s="50">
        <v>300</v>
      </c>
      <c r="K128" s="50">
        <v>300</v>
      </c>
      <c r="L128" s="50">
        <v>0</v>
      </c>
      <c r="M128" s="68">
        <f t="shared" si="12"/>
        <v>300</v>
      </c>
      <c r="N128" s="58" t="s">
        <v>425</v>
      </c>
      <c r="O128" s="62"/>
      <c r="P128" s="61">
        <v>0</v>
      </c>
      <c r="Q128" s="65">
        <v>0</v>
      </c>
      <c r="R128" s="64">
        <f t="shared" si="13"/>
        <v>300</v>
      </c>
    </row>
    <row r="129" customHeight="1" spans="1:18">
      <c r="A129" s="50">
        <v>126</v>
      </c>
      <c r="B129" s="53" t="s">
        <v>426</v>
      </c>
      <c r="C129" s="50" t="s">
        <v>427</v>
      </c>
      <c r="D129" s="50">
        <v>32064</v>
      </c>
      <c r="E129" s="50">
        <v>16</v>
      </c>
      <c r="F129" s="50">
        <v>3106</v>
      </c>
      <c r="G129" s="50">
        <v>5</v>
      </c>
      <c r="H129" s="50">
        <v>0</v>
      </c>
      <c r="I129" s="50">
        <v>0</v>
      </c>
      <c r="J129" s="50">
        <v>7500</v>
      </c>
      <c r="K129" s="50">
        <v>7500</v>
      </c>
      <c r="L129" s="50">
        <v>0</v>
      </c>
      <c r="M129" s="68">
        <f t="shared" si="12"/>
        <v>7500</v>
      </c>
      <c r="N129" s="58" t="s">
        <v>427</v>
      </c>
      <c r="O129" s="62"/>
      <c r="P129" s="61">
        <v>0</v>
      </c>
      <c r="Q129" s="65">
        <v>0</v>
      </c>
      <c r="R129" s="64">
        <f t="shared" si="13"/>
        <v>7500</v>
      </c>
    </row>
    <row r="130" customHeight="1" spans="1:18">
      <c r="A130" s="50">
        <v>127</v>
      </c>
      <c r="B130" s="53" t="s">
        <v>428</v>
      </c>
      <c r="C130" s="50" t="s">
        <v>429</v>
      </c>
      <c r="D130" s="50">
        <v>32065</v>
      </c>
      <c r="E130" s="50">
        <v>16</v>
      </c>
      <c r="F130" s="50">
        <v>3106</v>
      </c>
      <c r="G130" s="50">
        <v>20</v>
      </c>
      <c r="H130" s="50">
        <v>0</v>
      </c>
      <c r="I130" s="50">
        <v>0</v>
      </c>
      <c r="J130" s="50">
        <v>30000</v>
      </c>
      <c r="K130" s="50">
        <v>30000</v>
      </c>
      <c r="L130" s="50">
        <v>0</v>
      </c>
      <c r="M130" s="68">
        <f t="shared" si="12"/>
        <v>30000</v>
      </c>
      <c r="N130" s="58" t="s">
        <v>429</v>
      </c>
      <c r="O130" s="62"/>
      <c r="P130" s="61">
        <v>0</v>
      </c>
      <c r="Q130" s="65">
        <v>0</v>
      </c>
      <c r="R130" s="64">
        <f t="shared" si="13"/>
        <v>30000</v>
      </c>
    </row>
    <row r="131" customHeight="1" spans="1:18">
      <c r="A131" s="50">
        <v>128</v>
      </c>
      <c r="B131" s="53" t="s">
        <v>430</v>
      </c>
      <c r="C131" s="50" t="s">
        <v>431</v>
      </c>
      <c r="D131" s="50">
        <v>32066</v>
      </c>
      <c r="E131" s="50">
        <v>16</v>
      </c>
      <c r="F131" s="50">
        <v>3106</v>
      </c>
      <c r="G131" s="50">
        <v>50</v>
      </c>
      <c r="H131" s="50">
        <v>0</v>
      </c>
      <c r="I131" s="50">
        <v>0</v>
      </c>
      <c r="J131" s="50">
        <v>100000</v>
      </c>
      <c r="K131" s="50">
        <v>100000</v>
      </c>
      <c r="L131" s="50">
        <v>0</v>
      </c>
      <c r="M131" s="68">
        <f t="shared" si="12"/>
        <v>100000</v>
      </c>
      <c r="N131" s="58" t="s">
        <v>431</v>
      </c>
      <c r="O131" s="62"/>
      <c r="P131" s="61">
        <v>0</v>
      </c>
      <c r="Q131" s="65">
        <v>0</v>
      </c>
      <c r="R131" s="64">
        <f t="shared" si="13"/>
        <v>100000</v>
      </c>
    </row>
    <row r="132" customHeight="1" spans="1:18">
      <c r="A132" s="50">
        <v>129</v>
      </c>
      <c r="B132" s="53" t="s">
        <v>432</v>
      </c>
      <c r="C132" s="50" t="s">
        <v>433</v>
      </c>
      <c r="D132" s="50">
        <v>33074</v>
      </c>
      <c r="E132" s="50">
        <v>17</v>
      </c>
      <c r="F132" s="50">
        <v>0</v>
      </c>
      <c r="G132" s="50">
        <v>2</v>
      </c>
      <c r="H132" s="50">
        <v>0</v>
      </c>
      <c r="I132" s="50">
        <v>0</v>
      </c>
      <c r="J132" s="50">
        <v>4800</v>
      </c>
      <c r="K132" s="50">
        <v>4800</v>
      </c>
      <c r="L132" s="50">
        <v>0</v>
      </c>
      <c r="M132" s="57">
        <v>0</v>
      </c>
      <c r="N132" s="58" t="s">
        <v>434</v>
      </c>
      <c r="O132" s="62"/>
      <c r="P132" s="61">
        <v>0</v>
      </c>
      <c r="Q132" s="65">
        <v>0</v>
      </c>
      <c r="R132" s="64">
        <f t="shared" si="13"/>
        <v>0</v>
      </c>
    </row>
    <row r="133" customHeight="1" spans="1:18">
      <c r="A133" s="50">
        <v>130</v>
      </c>
      <c r="B133" s="53" t="s">
        <v>435</v>
      </c>
      <c r="C133" s="50" t="s">
        <v>436</v>
      </c>
      <c r="D133" s="50">
        <v>33075</v>
      </c>
      <c r="E133" s="50">
        <v>17</v>
      </c>
      <c r="F133" s="50">
        <v>0</v>
      </c>
      <c r="G133" s="50">
        <v>3</v>
      </c>
      <c r="H133" s="50">
        <v>0</v>
      </c>
      <c r="I133" s="50">
        <v>0</v>
      </c>
      <c r="J133" s="50">
        <v>3200</v>
      </c>
      <c r="K133" s="50">
        <v>3200</v>
      </c>
      <c r="L133" s="50">
        <v>0</v>
      </c>
      <c r="M133" s="57">
        <v>0</v>
      </c>
      <c r="N133" s="58" t="s">
        <v>437</v>
      </c>
      <c r="O133" s="62"/>
      <c r="P133" s="61">
        <v>0</v>
      </c>
      <c r="Q133" s="65">
        <v>0</v>
      </c>
      <c r="R133" s="64">
        <f t="shared" si="13"/>
        <v>0</v>
      </c>
    </row>
    <row r="134" customHeight="1" spans="1:18">
      <c r="A134" s="50">
        <v>131</v>
      </c>
      <c r="B134" s="53" t="s">
        <v>438</v>
      </c>
      <c r="C134" s="50" t="s">
        <v>439</v>
      </c>
      <c r="D134" s="50">
        <v>33076</v>
      </c>
      <c r="E134" s="50">
        <v>17</v>
      </c>
      <c r="F134" s="50">
        <v>0</v>
      </c>
      <c r="G134" s="50">
        <v>4</v>
      </c>
      <c r="H134" s="50">
        <v>0</v>
      </c>
      <c r="I134" s="50">
        <v>0</v>
      </c>
      <c r="J134" s="50">
        <v>2400</v>
      </c>
      <c r="K134" s="50">
        <v>2400</v>
      </c>
      <c r="L134" s="50">
        <v>0</v>
      </c>
      <c r="M134" s="57">
        <v>0</v>
      </c>
      <c r="N134" s="58" t="s">
        <v>440</v>
      </c>
      <c r="O134" s="62"/>
      <c r="P134" s="61">
        <v>0</v>
      </c>
      <c r="Q134" s="65">
        <v>0</v>
      </c>
      <c r="R134" s="64">
        <f t="shared" si="13"/>
        <v>0</v>
      </c>
    </row>
    <row r="135" customHeight="1" spans="1:18">
      <c r="A135" s="50">
        <v>132</v>
      </c>
      <c r="B135" s="53" t="s">
        <v>441</v>
      </c>
      <c r="C135" s="50" t="s">
        <v>442</v>
      </c>
      <c r="D135" s="50">
        <v>34077</v>
      </c>
      <c r="E135" s="50">
        <v>18</v>
      </c>
      <c r="F135" s="50">
        <v>0</v>
      </c>
      <c r="G135" s="50">
        <v>1</v>
      </c>
      <c r="H135" s="50">
        <v>0</v>
      </c>
      <c r="I135" s="50">
        <v>0</v>
      </c>
      <c r="J135" s="50">
        <v>2000</v>
      </c>
      <c r="K135" s="50">
        <v>2000</v>
      </c>
      <c r="L135" s="50">
        <v>0</v>
      </c>
      <c r="M135" s="57">
        <v>0</v>
      </c>
      <c r="N135" s="58" t="s">
        <v>443</v>
      </c>
      <c r="O135" s="62"/>
      <c r="P135" s="61">
        <v>0</v>
      </c>
      <c r="Q135" s="65">
        <v>0</v>
      </c>
      <c r="R135" s="64">
        <f t="shared" si="13"/>
        <v>0</v>
      </c>
    </row>
    <row r="136" customHeight="1" spans="1:18">
      <c r="A136" s="50">
        <v>133</v>
      </c>
      <c r="B136" s="53" t="s">
        <v>444</v>
      </c>
      <c r="C136" s="50" t="s">
        <v>276</v>
      </c>
      <c r="D136" s="50">
        <v>35027</v>
      </c>
      <c r="E136" s="50">
        <v>19</v>
      </c>
      <c r="F136" s="50">
        <v>1301</v>
      </c>
      <c r="G136" s="50">
        <v>2</v>
      </c>
      <c r="H136" s="50">
        <v>0</v>
      </c>
      <c r="I136" s="50">
        <v>0</v>
      </c>
      <c r="J136" s="50">
        <f>2000*1.03</f>
        <v>2060</v>
      </c>
      <c r="K136" s="50">
        <f>J136</f>
        <v>2060</v>
      </c>
      <c r="L136" s="50">
        <v>2000</v>
      </c>
      <c r="M136" s="57">
        <f>L136</f>
        <v>2000</v>
      </c>
      <c r="N136" s="58" t="s">
        <v>445</v>
      </c>
      <c r="O136" s="62"/>
      <c r="P136" s="61">
        <v>0</v>
      </c>
      <c r="Q136" s="65">
        <v>0</v>
      </c>
      <c r="R136" s="64">
        <f t="shared" ref="R136:R169" si="14">M136</f>
        <v>2000</v>
      </c>
    </row>
    <row r="137" customHeight="1" spans="1:18">
      <c r="A137" s="50">
        <v>134</v>
      </c>
      <c r="B137" s="53" t="s">
        <v>281</v>
      </c>
      <c r="C137" s="50" t="s">
        <v>282</v>
      </c>
      <c r="D137" s="50">
        <v>35030</v>
      </c>
      <c r="E137" s="50">
        <v>19</v>
      </c>
      <c r="F137" s="50">
        <v>1301</v>
      </c>
      <c r="G137" s="50">
        <v>4</v>
      </c>
      <c r="H137" s="50">
        <v>0</v>
      </c>
      <c r="I137" s="50">
        <v>0</v>
      </c>
      <c r="J137" s="50">
        <f>4000*1.03</f>
        <v>4120</v>
      </c>
      <c r="K137" s="50">
        <f>J137</f>
        <v>4120</v>
      </c>
      <c r="L137" s="50">
        <v>4000</v>
      </c>
      <c r="M137" s="57">
        <f>L137</f>
        <v>4000</v>
      </c>
      <c r="N137" s="58" t="s">
        <v>446</v>
      </c>
      <c r="O137" s="62"/>
      <c r="P137" s="61">
        <v>0</v>
      </c>
      <c r="Q137" s="65">
        <v>0</v>
      </c>
      <c r="R137" s="64">
        <f t="shared" si="14"/>
        <v>4000</v>
      </c>
    </row>
    <row r="138" customHeight="1" spans="1:18">
      <c r="A138" s="50">
        <v>135</v>
      </c>
      <c r="B138" s="53" t="s">
        <v>285</v>
      </c>
      <c r="C138" s="50" t="s">
        <v>286</v>
      </c>
      <c r="D138" s="50">
        <v>35031</v>
      </c>
      <c r="E138" s="50">
        <v>19</v>
      </c>
      <c r="F138" s="50">
        <v>1301</v>
      </c>
      <c r="G138" s="50">
        <v>6</v>
      </c>
      <c r="H138" s="50">
        <v>0</v>
      </c>
      <c r="I138" s="50">
        <v>0</v>
      </c>
      <c r="J138" s="50">
        <f>6000*1.03</f>
        <v>6180</v>
      </c>
      <c r="K138" s="50">
        <f>J138</f>
        <v>6180</v>
      </c>
      <c r="L138" s="50">
        <v>6000</v>
      </c>
      <c r="M138" s="57">
        <f>L138</f>
        <v>6000</v>
      </c>
      <c r="N138" s="58" t="s">
        <v>447</v>
      </c>
      <c r="O138" s="62"/>
      <c r="P138" s="61">
        <v>0</v>
      </c>
      <c r="Q138" s="65">
        <v>0</v>
      </c>
      <c r="R138" s="64">
        <f t="shared" si="14"/>
        <v>6000</v>
      </c>
    </row>
    <row r="139" customHeight="1" spans="1:18">
      <c r="A139" s="50">
        <v>136</v>
      </c>
      <c r="B139" s="53" t="s">
        <v>285</v>
      </c>
      <c r="C139" s="50" t="s">
        <v>286</v>
      </c>
      <c r="D139" s="50">
        <v>36031</v>
      </c>
      <c r="E139" s="50">
        <v>20</v>
      </c>
      <c r="F139" s="50">
        <v>0</v>
      </c>
      <c r="G139" s="50">
        <v>10</v>
      </c>
      <c r="H139" s="50">
        <v>0</v>
      </c>
      <c r="I139" s="50">
        <v>0</v>
      </c>
      <c r="J139" s="50">
        <v>880</v>
      </c>
      <c r="K139" s="50">
        <v>880</v>
      </c>
      <c r="L139" s="50">
        <v>0</v>
      </c>
      <c r="M139" s="57">
        <v>0</v>
      </c>
      <c r="N139" s="58" t="s">
        <v>448</v>
      </c>
      <c r="O139" s="62"/>
      <c r="P139" s="61">
        <v>0</v>
      </c>
      <c r="Q139" s="65">
        <v>0</v>
      </c>
      <c r="R139" s="64">
        <f t="shared" si="14"/>
        <v>0</v>
      </c>
    </row>
    <row r="140" customHeight="1" spans="1:18">
      <c r="A140" s="50">
        <v>137</v>
      </c>
      <c r="B140" s="53" t="s">
        <v>449</v>
      </c>
      <c r="C140" s="50" t="s">
        <v>450</v>
      </c>
      <c r="D140" s="50">
        <v>36078</v>
      </c>
      <c r="E140" s="50">
        <v>20</v>
      </c>
      <c r="F140" s="50">
        <v>0</v>
      </c>
      <c r="G140" s="50">
        <v>20</v>
      </c>
      <c r="H140" s="50">
        <v>0</v>
      </c>
      <c r="I140" s="50">
        <v>0</v>
      </c>
      <c r="J140" s="50">
        <v>400</v>
      </c>
      <c r="K140" s="50">
        <v>400</v>
      </c>
      <c r="L140" s="50">
        <v>0</v>
      </c>
      <c r="M140" s="57">
        <v>0</v>
      </c>
      <c r="N140" s="58" t="s">
        <v>451</v>
      </c>
      <c r="O140" s="62"/>
      <c r="P140" s="61">
        <v>0</v>
      </c>
      <c r="Q140" s="65">
        <v>0</v>
      </c>
      <c r="R140" s="64">
        <f t="shared" si="14"/>
        <v>0</v>
      </c>
    </row>
    <row r="141" customHeight="1" spans="1:18">
      <c r="A141" s="50">
        <v>138</v>
      </c>
      <c r="B141" s="53" t="s">
        <v>452</v>
      </c>
      <c r="C141" s="50" t="s">
        <v>453</v>
      </c>
      <c r="D141" s="50">
        <v>37083</v>
      </c>
      <c r="E141" s="50">
        <v>21</v>
      </c>
      <c r="F141" s="50" t="s">
        <v>454</v>
      </c>
      <c r="G141" s="50">
        <v>0</v>
      </c>
      <c r="H141" s="50">
        <v>0</v>
      </c>
      <c r="I141" s="50">
        <v>0</v>
      </c>
      <c r="J141" s="50">
        <v>40</v>
      </c>
      <c r="K141" s="50">
        <v>40</v>
      </c>
      <c r="L141" s="50">
        <v>0</v>
      </c>
      <c r="M141" s="57">
        <v>0</v>
      </c>
      <c r="N141" s="58" t="s">
        <v>453</v>
      </c>
      <c r="O141" s="62"/>
      <c r="P141" s="61">
        <v>0</v>
      </c>
      <c r="Q141" s="65">
        <v>0</v>
      </c>
      <c r="R141" s="64">
        <f t="shared" si="14"/>
        <v>0</v>
      </c>
    </row>
    <row r="142" customHeight="1" spans="1:18">
      <c r="A142" s="50">
        <v>139</v>
      </c>
      <c r="B142" s="53" t="s">
        <v>452</v>
      </c>
      <c r="C142" s="50" t="s">
        <v>453</v>
      </c>
      <c r="D142" s="50">
        <v>37084</v>
      </c>
      <c r="E142" s="50">
        <v>21</v>
      </c>
      <c r="F142" s="50" t="s">
        <v>455</v>
      </c>
      <c r="G142" s="50">
        <v>0</v>
      </c>
      <c r="H142" s="50">
        <v>0</v>
      </c>
      <c r="I142" s="50">
        <v>0</v>
      </c>
      <c r="J142" s="50">
        <v>100</v>
      </c>
      <c r="K142" s="50">
        <v>100</v>
      </c>
      <c r="L142" s="50">
        <v>0</v>
      </c>
      <c r="M142" s="57">
        <v>0</v>
      </c>
      <c r="N142" s="58" t="s">
        <v>453</v>
      </c>
      <c r="O142" s="62"/>
      <c r="P142" s="61">
        <v>0</v>
      </c>
      <c r="Q142" s="65">
        <v>0</v>
      </c>
      <c r="R142" s="64">
        <f t="shared" si="14"/>
        <v>0</v>
      </c>
    </row>
    <row r="143" customHeight="1" spans="1:18">
      <c r="A143" s="50">
        <v>140</v>
      </c>
      <c r="B143" s="53" t="s">
        <v>251</v>
      </c>
      <c r="C143" s="50" t="s">
        <v>252</v>
      </c>
      <c r="D143" s="50">
        <v>40099</v>
      </c>
      <c r="E143" s="50">
        <v>22</v>
      </c>
      <c r="F143" s="73">
        <v>48001</v>
      </c>
      <c r="G143" s="50">
        <v>0</v>
      </c>
      <c r="H143" s="50">
        <v>0</v>
      </c>
      <c r="I143" s="50">
        <v>0</v>
      </c>
      <c r="J143" s="50">
        <v>200</v>
      </c>
      <c r="K143" s="50">
        <v>200</v>
      </c>
      <c r="L143" s="50">
        <v>0</v>
      </c>
      <c r="M143" s="57">
        <f>J143</f>
        <v>200</v>
      </c>
      <c r="N143" s="58" t="s">
        <v>456</v>
      </c>
      <c r="O143" s="62"/>
      <c r="P143" s="61">
        <v>0</v>
      </c>
      <c r="Q143" s="65">
        <v>0</v>
      </c>
      <c r="R143" s="64">
        <f t="shared" si="14"/>
        <v>200</v>
      </c>
    </row>
    <row r="144" customHeight="1" spans="1:18">
      <c r="A144" s="50">
        <v>141</v>
      </c>
      <c r="B144" s="53" t="s">
        <v>251</v>
      </c>
      <c r="C144" s="50" t="s">
        <v>252</v>
      </c>
      <c r="D144" s="50">
        <v>41099</v>
      </c>
      <c r="E144" s="50">
        <v>22</v>
      </c>
      <c r="F144" s="73">
        <v>48002</v>
      </c>
      <c r="G144" s="50">
        <v>0</v>
      </c>
      <c r="H144" s="50">
        <v>0</v>
      </c>
      <c r="I144" s="50">
        <v>0</v>
      </c>
      <c r="J144" s="50">
        <v>300</v>
      </c>
      <c r="K144" s="50">
        <v>300</v>
      </c>
      <c r="L144" s="50">
        <v>0</v>
      </c>
      <c r="M144" s="57">
        <f>J144</f>
        <v>300</v>
      </c>
      <c r="N144" s="58" t="s">
        <v>456</v>
      </c>
      <c r="O144" s="62"/>
      <c r="P144" s="61">
        <v>0</v>
      </c>
      <c r="Q144" s="65">
        <v>0</v>
      </c>
      <c r="R144" s="64">
        <f t="shared" si="14"/>
        <v>300</v>
      </c>
    </row>
    <row r="145" customHeight="1" spans="1:18">
      <c r="A145" s="50">
        <v>142</v>
      </c>
      <c r="B145" s="53" t="s">
        <v>251</v>
      </c>
      <c r="C145" s="50" t="s">
        <v>252</v>
      </c>
      <c r="D145" s="50">
        <v>42099</v>
      </c>
      <c r="E145" s="50">
        <v>22</v>
      </c>
      <c r="F145" s="73">
        <v>48003</v>
      </c>
      <c r="G145" s="50">
        <v>0</v>
      </c>
      <c r="H145" s="50">
        <v>0</v>
      </c>
      <c r="I145" s="50">
        <v>0</v>
      </c>
      <c r="J145" s="50">
        <v>600</v>
      </c>
      <c r="K145" s="50">
        <v>600</v>
      </c>
      <c r="L145" s="50">
        <v>0</v>
      </c>
      <c r="M145" s="57">
        <f>J145</f>
        <v>600</v>
      </c>
      <c r="N145" s="58" t="s">
        <v>456</v>
      </c>
      <c r="O145" s="62"/>
      <c r="P145" s="61">
        <v>0</v>
      </c>
      <c r="Q145" s="65">
        <v>0</v>
      </c>
      <c r="R145" s="64">
        <f t="shared" si="14"/>
        <v>600</v>
      </c>
    </row>
    <row r="146" customHeight="1" spans="1:18">
      <c r="A146" s="50">
        <v>143</v>
      </c>
      <c r="B146" s="53" t="s">
        <v>251</v>
      </c>
      <c r="C146" s="50" t="s">
        <v>252</v>
      </c>
      <c r="D146" s="50">
        <v>43099</v>
      </c>
      <c r="E146" s="50">
        <v>22</v>
      </c>
      <c r="F146" s="73">
        <v>48004</v>
      </c>
      <c r="G146" s="50">
        <v>0</v>
      </c>
      <c r="H146" s="50">
        <v>0</v>
      </c>
      <c r="I146" s="50">
        <v>0</v>
      </c>
      <c r="J146" s="50">
        <v>750</v>
      </c>
      <c r="K146" s="50">
        <v>750</v>
      </c>
      <c r="L146" s="50">
        <v>0</v>
      </c>
      <c r="M146" s="57">
        <f>J146</f>
        <v>750</v>
      </c>
      <c r="N146" s="58" t="s">
        <v>456</v>
      </c>
      <c r="O146" s="62"/>
      <c r="P146" s="61">
        <v>0</v>
      </c>
      <c r="Q146" s="65">
        <v>0</v>
      </c>
      <c r="R146" s="64">
        <f t="shared" si="14"/>
        <v>750</v>
      </c>
    </row>
    <row r="147" customHeight="1" spans="1:18">
      <c r="A147" s="50">
        <v>144</v>
      </c>
      <c r="B147" s="53" t="s">
        <v>251</v>
      </c>
      <c r="C147" s="50" t="s">
        <v>252</v>
      </c>
      <c r="D147" s="50">
        <v>44099</v>
      </c>
      <c r="E147" s="50">
        <v>22</v>
      </c>
      <c r="F147" s="73">
        <v>48005</v>
      </c>
      <c r="G147" s="50">
        <v>0</v>
      </c>
      <c r="H147" s="50">
        <v>0</v>
      </c>
      <c r="I147" s="50">
        <v>0</v>
      </c>
      <c r="J147" s="50">
        <v>600</v>
      </c>
      <c r="K147" s="50">
        <v>600</v>
      </c>
      <c r="L147" s="50">
        <v>0</v>
      </c>
      <c r="M147" s="57">
        <f>J147</f>
        <v>600</v>
      </c>
      <c r="N147" s="58" t="s">
        <v>456</v>
      </c>
      <c r="O147" s="62"/>
      <c r="P147" s="61">
        <v>0</v>
      </c>
      <c r="Q147" s="65">
        <v>0</v>
      </c>
      <c r="R147" s="64">
        <f t="shared" si="14"/>
        <v>600</v>
      </c>
    </row>
    <row r="148" customHeight="1" spans="1:18">
      <c r="A148" s="50">
        <v>145</v>
      </c>
      <c r="B148" s="53" t="s">
        <v>285</v>
      </c>
      <c r="C148" s="50" t="s">
        <v>286</v>
      </c>
      <c r="D148" s="50">
        <v>45031</v>
      </c>
      <c r="E148" s="50">
        <v>9</v>
      </c>
      <c r="F148" s="50">
        <v>1194</v>
      </c>
      <c r="G148" s="50">
        <v>6</v>
      </c>
      <c r="H148" s="50">
        <v>0</v>
      </c>
      <c r="I148" s="50">
        <v>0</v>
      </c>
      <c r="J148" s="50">
        <f>6000*1.03</f>
        <v>6180</v>
      </c>
      <c r="K148" s="50">
        <f>J148</f>
        <v>6180</v>
      </c>
      <c r="L148" s="50">
        <v>6000</v>
      </c>
      <c r="M148" s="57">
        <v>6000</v>
      </c>
      <c r="N148" s="58" t="s">
        <v>457</v>
      </c>
      <c r="O148" s="62"/>
      <c r="P148" s="61">
        <v>0</v>
      </c>
      <c r="Q148" s="65">
        <v>0</v>
      </c>
      <c r="R148" s="64">
        <f t="shared" si="14"/>
        <v>6000</v>
      </c>
    </row>
    <row r="149" customHeight="1" spans="1:18">
      <c r="A149" s="50">
        <v>146</v>
      </c>
      <c r="B149" s="53" t="s">
        <v>283</v>
      </c>
      <c r="C149" s="50" t="s">
        <v>284</v>
      </c>
      <c r="D149" s="50">
        <v>45032</v>
      </c>
      <c r="E149" s="50">
        <v>9</v>
      </c>
      <c r="F149" s="50">
        <v>1194</v>
      </c>
      <c r="G149" s="50">
        <v>9</v>
      </c>
      <c r="H149" s="50">
        <v>0</v>
      </c>
      <c r="I149" s="50">
        <v>0</v>
      </c>
      <c r="J149" s="50">
        <f>9000*1.03</f>
        <v>9270</v>
      </c>
      <c r="K149" s="50">
        <f>J149</f>
        <v>9270</v>
      </c>
      <c r="L149" s="50">
        <v>9000</v>
      </c>
      <c r="M149" s="57">
        <v>9000</v>
      </c>
      <c r="N149" s="58" t="s">
        <v>458</v>
      </c>
      <c r="O149" s="62"/>
      <c r="P149" s="61">
        <v>0</v>
      </c>
      <c r="Q149" s="65">
        <v>0</v>
      </c>
      <c r="R149" s="64">
        <f t="shared" si="14"/>
        <v>9000</v>
      </c>
    </row>
    <row r="150" customHeight="1" spans="1:18">
      <c r="A150" s="50">
        <v>147</v>
      </c>
      <c r="B150" s="53" t="s">
        <v>406</v>
      </c>
      <c r="C150" s="50" t="s">
        <v>407</v>
      </c>
      <c r="D150" s="50">
        <v>29100</v>
      </c>
      <c r="E150" s="50">
        <v>13</v>
      </c>
      <c r="F150" s="50">
        <v>46005</v>
      </c>
      <c r="G150" s="50">
        <v>1</v>
      </c>
      <c r="H150" s="50">
        <v>0</v>
      </c>
      <c r="I150" s="50">
        <v>0</v>
      </c>
      <c r="J150" s="50">
        <v>3000000</v>
      </c>
      <c r="K150" s="50">
        <v>3000000</v>
      </c>
      <c r="L150" s="50">
        <v>0</v>
      </c>
      <c r="M150" s="68">
        <f t="shared" ref="M150:M155" si="15">J150</f>
        <v>3000000</v>
      </c>
      <c r="N150" s="58" t="s">
        <v>459</v>
      </c>
      <c r="O150" s="62"/>
      <c r="P150" s="61">
        <v>0</v>
      </c>
      <c r="Q150" s="65">
        <v>0</v>
      </c>
      <c r="R150" s="64">
        <f t="shared" si="14"/>
        <v>3000000</v>
      </c>
    </row>
    <row r="151" customHeight="1" spans="1:18">
      <c r="A151" s="50">
        <v>148</v>
      </c>
      <c r="B151" s="53" t="s">
        <v>460</v>
      </c>
      <c r="C151" s="54" t="s">
        <v>461</v>
      </c>
      <c r="D151" s="50">
        <v>50101</v>
      </c>
      <c r="E151" s="50">
        <v>25</v>
      </c>
      <c r="F151" s="50">
        <v>0</v>
      </c>
      <c r="G151" s="50">
        <v>0</v>
      </c>
      <c r="H151" s="50">
        <v>0</v>
      </c>
      <c r="I151" s="50">
        <v>0</v>
      </c>
      <c r="J151" s="50">
        <v>60</v>
      </c>
      <c r="K151" s="50">
        <v>60</v>
      </c>
      <c r="L151" s="50">
        <v>0</v>
      </c>
      <c r="M151" s="57">
        <f t="shared" si="15"/>
        <v>60</v>
      </c>
      <c r="N151" s="58" t="s">
        <v>461</v>
      </c>
      <c r="O151" s="62"/>
      <c r="P151" s="61">
        <v>0</v>
      </c>
      <c r="Q151" s="65">
        <v>0</v>
      </c>
      <c r="R151" s="64">
        <f t="shared" si="14"/>
        <v>60</v>
      </c>
    </row>
    <row r="152" customHeight="1" spans="1:18">
      <c r="A152" s="50">
        <v>149</v>
      </c>
      <c r="B152" s="53" t="s">
        <v>460</v>
      </c>
      <c r="C152" s="50" t="s">
        <v>461</v>
      </c>
      <c r="D152" s="50">
        <v>51101</v>
      </c>
      <c r="E152" s="50">
        <v>25</v>
      </c>
      <c r="F152" s="50">
        <v>0</v>
      </c>
      <c r="G152" s="50">
        <v>0</v>
      </c>
      <c r="H152" s="50">
        <v>0</v>
      </c>
      <c r="I152" s="50">
        <v>0</v>
      </c>
      <c r="J152" s="50">
        <v>72</v>
      </c>
      <c r="K152" s="50">
        <v>72</v>
      </c>
      <c r="L152" s="50">
        <v>0</v>
      </c>
      <c r="M152" s="57">
        <f t="shared" si="15"/>
        <v>72</v>
      </c>
      <c r="N152" s="58" t="s">
        <v>461</v>
      </c>
      <c r="O152" s="62"/>
      <c r="P152" s="61">
        <v>0</v>
      </c>
      <c r="Q152" s="65">
        <v>0</v>
      </c>
      <c r="R152" s="64">
        <f t="shared" si="14"/>
        <v>72</v>
      </c>
    </row>
    <row r="153" customHeight="1" spans="1:18">
      <c r="A153" s="50">
        <v>150</v>
      </c>
      <c r="B153" s="53" t="s">
        <v>460</v>
      </c>
      <c r="C153" s="50" t="s">
        <v>461</v>
      </c>
      <c r="D153" s="50">
        <v>52101</v>
      </c>
      <c r="E153" s="50">
        <v>25</v>
      </c>
      <c r="F153" s="50">
        <v>0</v>
      </c>
      <c r="G153" s="50">
        <v>0</v>
      </c>
      <c r="H153" s="50">
        <v>0</v>
      </c>
      <c r="I153" s="50">
        <v>0</v>
      </c>
      <c r="J153" s="50">
        <v>90</v>
      </c>
      <c r="K153" s="50">
        <v>90</v>
      </c>
      <c r="L153" s="50">
        <v>0</v>
      </c>
      <c r="M153" s="57">
        <f t="shared" si="15"/>
        <v>90</v>
      </c>
      <c r="N153" s="58" t="s">
        <v>461</v>
      </c>
      <c r="O153" s="62"/>
      <c r="P153" s="61">
        <v>0</v>
      </c>
      <c r="Q153" s="65">
        <v>0</v>
      </c>
      <c r="R153" s="64">
        <f t="shared" si="14"/>
        <v>90</v>
      </c>
    </row>
    <row r="154" customHeight="1" spans="1:18">
      <c r="A154" s="50">
        <v>151</v>
      </c>
      <c r="B154" s="53" t="s">
        <v>460</v>
      </c>
      <c r="C154" s="50" t="s">
        <v>461</v>
      </c>
      <c r="D154" s="50">
        <v>53101</v>
      </c>
      <c r="E154" s="50">
        <v>25</v>
      </c>
      <c r="F154" s="50">
        <v>0</v>
      </c>
      <c r="G154" s="50">
        <v>0</v>
      </c>
      <c r="H154" s="50">
        <v>0</v>
      </c>
      <c r="I154" s="50">
        <v>0</v>
      </c>
      <c r="J154" s="50">
        <v>120</v>
      </c>
      <c r="K154" s="50">
        <v>120</v>
      </c>
      <c r="L154" s="50">
        <v>0</v>
      </c>
      <c r="M154" s="57">
        <f t="shared" si="15"/>
        <v>120</v>
      </c>
      <c r="N154" s="58" t="s">
        <v>461</v>
      </c>
      <c r="O154" s="62"/>
      <c r="P154" s="61">
        <v>0</v>
      </c>
      <c r="Q154" s="65">
        <v>0</v>
      </c>
      <c r="R154" s="64">
        <f t="shared" si="14"/>
        <v>120</v>
      </c>
    </row>
    <row r="155" customHeight="1" spans="1:18">
      <c r="A155" s="50">
        <v>152</v>
      </c>
      <c r="B155" s="53" t="s">
        <v>460</v>
      </c>
      <c r="C155" s="50" t="s">
        <v>461</v>
      </c>
      <c r="D155" s="50">
        <v>54101</v>
      </c>
      <c r="E155" s="50">
        <v>25</v>
      </c>
      <c r="F155" s="50">
        <v>0</v>
      </c>
      <c r="G155" s="50">
        <v>0</v>
      </c>
      <c r="H155" s="50">
        <v>0</v>
      </c>
      <c r="I155" s="50">
        <v>0</v>
      </c>
      <c r="J155" s="50">
        <v>120</v>
      </c>
      <c r="K155" s="50">
        <v>120</v>
      </c>
      <c r="L155" s="50">
        <v>0</v>
      </c>
      <c r="M155" s="57">
        <f t="shared" si="15"/>
        <v>120</v>
      </c>
      <c r="N155" s="58" t="s">
        <v>461</v>
      </c>
      <c r="O155" s="62"/>
      <c r="P155" s="61">
        <v>0</v>
      </c>
      <c r="Q155" s="65">
        <v>0</v>
      </c>
      <c r="R155" s="64">
        <f t="shared" si="14"/>
        <v>120</v>
      </c>
    </row>
    <row r="156" customHeight="1" spans="1:18">
      <c r="A156" s="50">
        <v>153</v>
      </c>
      <c r="B156" s="53" t="s">
        <v>462</v>
      </c>
      <c r="C156" s="50" t="s">
        <v>463</v>
      </c>
      <c r="D156" s="50">
        <v>55102</v>
      </c>
      <c r="E156" s="50">
        <v>26</v>
      </c>
      <c r="F156" s="50">
        <v>101</v>
      </c>
      <c r="G156" s="50">
        <v>20</v>
      </c>
      <c r="H156" s="50">
        <v>0</v>
      </c>
      <c r="I156" s="50">
        <v>0</v>
      </c>
      <c r="J156" s="50">
        <v>10</v>
      </c>
      <c r="K156" s="50">
        <v>40</v>
      </c>
      <c r="L156" s="50">
        <v>10</v>
      </c>
      <c r="M156" s="57">
        <v>40</v>
      </c>
      <c r="N156" s="74" t="s">
        <v>464</v>
      </c>
      <c r="O156" s="62"/>
      <c r="P156" s="61">
        <v>20</v>
      </c>
      <c r="Q156" s="65">
        <v>10000</v>
      </c>
      <c r="R156" s="64">
        <f t="shared" si="14"/>
        <v>40</v>
      </c>
    </row>
    <row r="157" customHeight="1" spans="1:18">
      <c r="A157" s="50">
        <v>154</v>
      </c>
      <c r="B157" s="53" t="s">
        <v>462</v>
      </c>
      <c r="C157" s="50" t="s">
        <v>463</v>
      </c>
      <c r="D157" s="50">
        <v>56102</v>
      </c>
      <c r="E157" s="50">
        <v>26</v>
      </c>
      <c r="F157" s="50">
        <v>101</v>
      </c>
      <c r="G157" s="50">
        <v>20</v>
      </c>
      <c r="H157" s="50">
        <v>0</v>
      </c>
      <c r="I157" s="50">
        <v>0</v>
      </c>
      <c r="J157" s="50">
        <v>20</v>
      </c>
      <c r="K157" s="50">
        <v>40</v>
      </c>
      <c r="L157" s="50">
        <v>10</v>
      </c>
      <c r="M157" s="57">
        <v>40</v>
      </c>
      <c r="N157" s="74" t="s">
        <v>465</v>
      </c>
      <c r="O157" s="62"/>
      <c r="P157" s="61">
        <v>20</v>
      </c>
      <c r="Q157" s="65">
        <v>10000</v>
      </c>
      <c r="R157" s="64">
        <f t="shared" si="14"/>
        <v>40</v>
      </c>
    </row>
    <row r="158" customHeight="1" spans="1:18">
      <c r="A158" s="50">
        <v>155</v>
      </c>
      <c r="B158" s="53" t="s">
        <v>466</v>
      </c>
      <c r="C158" s="72" t="s">
        <v>467</v>
      </c>
      <c r="D158" s="50">
        <v>55103</v>
      </c>
      <c r="E158" s="50">
        <v>26</v>
      </c>
      <c r="F158" s="50">
        <v>101</v>
      </c>
      <c r="G158" s="50">
        <v>50</v>
      </c>
      <c r="H158" s="50">
        <v>0</v>
      </c>
      <c r="I158" s="50">
        <v>0</v>
      </c>
      <c r="J158" s="50">
        <v>25</v>
      </c>
      <c r="K158" s="50">
        <v>100</v>
      </c>
      <c r="L158" s="50">
        <v>25</v>
      </c>
      <c r="M158" s="57">
        <v>100</v>
      </c>
      <c r="N158" s="74" t="s">
        <v>468</v>
      </c>
      <c r="O158" s="62"/>
      <c r="P158" s="61">
        <v>50</v>
      </c>
      <c r="Q158" s="65">
        <v>10000</v>
      </c>
      <c r="R158" s="64">
        <f t="shared" si="14"/>
        <v>100</v>
      </c>
    </row>
    <row r="159" customHeight="1" spans="1:18">
      <c r="A159" s="50">
        <v>156</v>
      </c>
      <c r="B159" s="53" t="s">
        <v>466</v>
      </c>
      <c r="C159" s="50" t="s">
        <v>467</v>
      </c>
      <c r="D159" s="50">
        <v>56103</v>
      </c>
      <c r="E159" s="50">
        <v>26</v>
      </c>
      <c r="F159" s="50">
        <v>101</v>
      </c>
      <c r="G159" s="50">
        <v>50</v>
      </c>
      <c r="H159" s="50">
        <v>0</v>
      </c>
      <c r="I159" s="50">
        <v>0</v>
      </c>
      <c r="J159" s="50">
        <v>50</v>
      </c>
      <c r="K159" s="50">
        <v>100</v>
      </c>
      <c r="L159" s="50">
        <v>25</v>
      </c>
      <c r="M159" s="57">
        <v>100</v>
      </c>
      <c r="N159" s="74" t="s">
        <v>469</v>
      </c>
      <c r="O159" s="62"/>
      <c r="P159" s="61">
        <v>50</v>
      </c>
      <c r="Q159" s="65">
        <v>10000</v>
      </c>
      <c r="R159" s="64">
        <f t="shared" si="14"/>
        <v>100</v>
      </c>
    </row>
    <row r="160" customHeight="1" spans="1:18">
      <c r="A160" s="50">
        <v>157</v>
      </c>
      <c r="B160" s="53" t="s">
        <v>470</v>
      </c>
      <c r="C160" s="50" t="s">
        <v>471</v>
      </c>
      <c r="D160" s="50">
        <v>55104</v>
      </c>
      <c r="E160" s="50">
        <v>26</v>
      </c>
      <c r="F160" s="50">
        <v>101</v>
      </c>
      <c r="G160" s="50">
        <v>90</v>
      </c>
      <c r="H160" s="50">
        <v>0</v>
      </c>
      <c r="I160" s="50">
        <v>0</v>
      </c>
      <c r="J160" s="50">
        <v>45</v>
      </c>
      <c r="K160" s="50">
        <v>180</v>
      </c>
      <c r="L160" s="50">
        <v>45</v>
      </c>
      <c r="M160" s="57">
        <v>180</v>
      </c>
      <c r="N160" s="74" t="s">
        <v>472</v>
      </c>
      <c r="O160" s="62"/>
      <c r="P160" s="61">
        <v>90</v>
      </c>
      <c r="Q160" s="65">
        <v>10000</v>
      </c>
      <c r="R160" s="64">
        <f t="shared" si="14"/>
        <v>180</v>
      </c>
    </row>
    <row r="161" customHeight="1" spans="1:18">
      <c r="A161" s="50">
        <v>158</v>
      </c>
      <c r="B161" s="53" t="s">
        <v>470</v>
      </c>
      <c r="C161" s="50" t="s">
        <v>471</v>
      </c>
      <c r="D161" s="50">
        <v>56104</v>
      </c>
      <c r="E161" s="50">
        <v>26</v>
      </c>
      <c r="F161" s="50">
        <v>101</v>
      </c>
      <c r="G161" s="50">
        <v>90</v>
      </c>
      <c r="H161" s="50">
        <v>0</v>
      </c>
      <c r="I161" s="50">
        <v>0</v>
      </c>
      <c r="J161" s="50">
        <v>90</v>
      </c>
      <c r="K161" s="50">
        <v>180</v>
      </c>
      <c r="L161" s="50">
        <v>45</v>
      </c>
      <c r="M161" s="57">
        <v>180</v>
      </c>
      <c r="N161" s="74" t="s">
        <v>473</v>
      </c>
      <c r="O161" s="62"/>
      <c r="P161" s="61">
        <v>90</v>
      </c>
      <c r="Q161" s="65">
        <v>10000</v>
      </c>
      <c r="R161" s="64">
        <f t="shared" si="14"/>
        <v>180</v>
      </c>
    </row>
    <row r="162" customHeight="1" spans="1:18">
      <c r="A162" s="50">
        <v>159</v>
      </c>
      <c r="B162" s="53" t="s">
        <v>474</v>
      </c>
      <c r="C162" s="72" t="s">
        <v>475</v>
      </c>
      <c r="D162" s="50">
        <v>55105</v>
      </c>
      <c r="E162" s="50">
        <v>26</v>
      </c>
      <c r="F162" s="50">
        <v>101</v>
      </c>
      <c r="G162" s="50">
        <v>150</v>
      </c>
      <c r="H162" s="50">
        <v>0</v>
      </c>
      <c r="I162" s="50">
        <v>0</v>
      </c>
      <c r="J162" s="50">
        <v>75</v>
      </c>
      <c r="K162" s="50">
        <v>300</v>
      </c>
      <c r="L162" s="50">
        <v>75</v>
      </c>
      <c r="M162" s="57">
        <v>300</v>
      </c>
      <c r="N162" s="74" t="s">
        <v>476</v>
      </c>
      <c r="O162" s="62"/>
      <c r="P162" s="61">
        <v>150</v>
      </c>
      <c r="Q162" s="65">
        <v>10000</v>
      </c>
      <c r="R162" s="64">
        <f t="shared" si="14"/>
        <v>300</v>
      </c>
    </row>
    <row r="163" customHeight="1" spans="1:18">
      <c r="A163" s="50">
        <v>160</v>
      </c>
      <c r="B163" s="53" t="s">
        <v>474</v>
      </c>
      <c r="C163" s="72" t="s">
        <v>475</v>
      </c>
      <c r="D163" s="50">
        <v>56105</v>
      </c>
      <c r="E163" s="50">
        <v>26</v>
      </c>
      <c r="F163" s="50">
        <v>101</v>
      </c>
      <c r="G163" s="50">
        <v>150</v>
      </c>
      <c r="H163" s="50">
        <v>0</v>
      </c>
      <c r="I163" s="50">
        <v>0</v>
      </c>
      <c r="J163" s="50">
        <v>150</v>
      </c>
      <c r="K163" s="50">
        <v>300</v>
      </c>
      <c r="L163" s="50">
        <v>75</v>
      </c>
      <c r="M163" s="57">
        <v>300</v>
      </c>
      <c r="N163" s="74" t="s">
        <v>477</v>
      </c>
      <c r="O163" s="62"/>
      <c r="P163" s="61">
        <v>150</v>
      </c>
      <c r="Q163" s="65">
        <v>10000</v>
      </c>
      <c r="R163" s="64">
        <f t="shared" si="14"/>
        <v>300</v>
      </c>
    </row>
    <row r="164" customHeight="1" spans="1:18">
      <c r="A164" s="50">
        <v>161</v>
      </c>
      <c r="B164" s="53" t="s">
        <v>478</v>
      </c>
      <c r="C164" s="72" t="s">
        <v>479</v>
      </c>
      <c r="D164" s="50">
        <v>55106</v>
      </c>
      <c r="E164" s="50">
        <v>26</v>
      </c>
      <c r="F164" s="50">
        <v>101</v>
      </c>
      <c r="G164" s="50">
        <v>400</v>
      </c>
      <c r="H164" s="50">
        <v>0</v>
      </c>
      <c r="I164" s="50">
        <v>0</v>
      </c>
      <c r="J164" s="50">
        <v>200</v>
      </c>
      <c r="K164" s="50">
        <v>800</v>
      </c>
      <c r="L164" s="50">
        <v>200</v>
      </c>
      <c r="M164" s="57">
        <v>800</v>
      </c>
      <c r="N164" s="74" t="s">
        <v>480</v>
      </c>
      <c r="O164" s="62"/>
      <c r="P164" s="61">
        <v>400</v>
      </c>
      <c r="Q164" s="65">
        <v>10000</v>
      </c>
      <c r="R164" s="64">
        <f t="shared" si="14"/>
        <v>800</v>
      </c>
    </row>
    <row r="165" customHeight="1" spans="1:18">
      <c r="A165" s="50">
        <v>162</v>
      </c>
      <c r="B165" s="53" t="s">
        <v>478</v>
      </c>
      <c r="C165" s="72" t="s">
        <v>479</v>
      </c>
      <c r="D165" s="50">
        <v>56106</v>
      </c>
      <c r="E165" s="50">
        <v>26</v>
      </c>
      <c r="F165" s="50">
        <v>101</v>
      </c>
      <c r="G165" s="50">
        <v>400</v>
      </c>
      <c r="H165" s="50">
        <v>0</v>
      </c>
      <c r="I165" s="50">
        <v>0</v>
      </c>
      <c r="J165" s="50">
        <v>400</v>
      </c>
      <c r="K165" s="50">
        <v>800</v>
      </c>
      <c r="L165" s="50">
        <v>200</v>
      </c>
      <c r="M165" s="57">
        <v>800</v>
      </c>
      <c r="N165" s="74" t="s">
        <v>481</v>
      </c>
      <c r="O165" s="62"/>
      <c r="P165" s="61">
        <v>400</v>
      </c>
      <c r="Q165" s="65">
        <v>10000</v>
      </c>
      <c r="R165" s="64">
        <f t="shared" si="14"/>
        <v>800</v>
      </c>
    </row>
    <row r="166" customHeight="1" spans="1:18">
      <c r="A166" s="50">
        <v>163</v>
      </c>
      <c r="B166" s="53" t="s">
        <v>482</v>
      </c>
      <c r="C166" s="72" t="s">
        <v>483</v>
      </c>
      <c r="D166" s="50">
        <v>55107</v>
      </c>
      <c r="E166" s="50">
        <v>26</v>
      </c>
      <c r="F166" s="50">
        <v>101</v>
      </c>
      <c r="G166" s="50">
        <v>1000</v>
      </c>
      <c r="H166" s="50">
        <v>0</v>
      </c>
      <c r="I166" s="50">
        <v>0</v>
      </c>
      <c r="J166" s="50">
        <v>500</v>
      </c>
      <c r="K166" s="50">
        <v>2000</v>
      </c>
      <c r="L166" s="50">
        <v>500</v>
      </c>
      <c r="M166" s="57">
        <v>2000</v>
      </c>
      <c r="N166" s="74" t="s">
        <v>484</v>
      </c>
      <c r="O166" s="62"/>
      <c r="P166" s="61">
        <v>1000</v>
      </c>
      <c r="Q166" s="65">
        <v>10000</v>
      </c>
      <c r="R166" s="64">
        <f t="shared" si="14"/>
        <v>2000</v>
      </c>
    </row>
    <row r="167" customHeight="1" spans="1:18">
      <c r="A167" s="50">
        <v>164</v>
      </c>
      <c r="B167" s="53" t="s">
        <v>482</v>
      </c>
      <c r="C167" s="72" t="s">
        <v>483</v>
      </c>
      <c r="D167" s="50">
        <v>56107</v>
      </c>
      <c r="E167" s="50">
        <v>26</v>
      </c>
      <c r="F167" s="50">
        <v>101</v>
      </c>
      <c r="G167" s="50">
        <v>1000</v>
      </c>
      <c r="H167" s="50">
        <v>0</v>
      </c>
      <c r="I167" s="50">
        <v>0</v>
      </c>
      <c r="J167" s="50">
        <v>1000</v>
      </c>
      <c r="K167" s="50">
        <v>2000</v>
      </c>
      <c r="L167" s="50">
        <v>500</v>
      </c>
      <c r="M167" s="57">
        <v>2000</v>
      </c>
      <c r="N167" s="74" t="s">
        <v>485</v>
      </c>
      <c r="O167" s="62"/>
      <c r="P167" s="61">
        <v>1000</v>
      </c>
      <c r="Q167" s="65">
        <v>10000</v>
      </c>
      <c r="R167" s="64">
        <f t="shared" si="14"/>
        <v>2000</v>
      </c>
    </row>
    <row r="168" customHeight="1" spans="1:18">
      <c r="A168" s="50">
        <v>165</v>
      </c>
      <c r="B168" s="53" t="s">
        <v>486</v>
      </c>
      <c r="C168" s="72" t="s">
        <v>487</v>
      </c>
      <c r="D168" s="50">
        <v>55108</v>
      </c>
      <c r="E168" s="50">
        <v>26</v>
      </c>
      <c r="F168" s="50">
        <v>101</v>
      </c>
      <c r="G168" s="50">
        <v>1500</v>
      </c>
      <c r="H168" s="50">
        <v>0</v>
      </c>
      <c r="I168" s="50">
        <v>0</v>
      </c>
      <c r="J168" s="50">
        <v>750</v>
      </c>
      <c r="K168" s="50">
        <v>3000</v>
      </c>
      <c r="L168" s="50">
        <v>750</v>
      </c>
      <c r="M168" s="57">
        <v>3000</v>
      </c>
      <c r="N168" s="74" t="s">
        <v>488</v>
      </c>
      <c r="O168" s="62"/>
      <c r="P168" s="61">
        <v>1500</v>
      </c>
      <c r="Q168" s="65">
        <v>10000</v>
      </c>
      <c r="R168" s="64">
        <f t="shared" si="14"/>
        <v>3000</v>
      </c>
    </row>
    <row r="169" customHeight="1" spans="1:18">
      <c r="A169" s="50">
        <v>166</v>
      </c>
      <c r="B169" s="53" t="s">
        <v>486</v>
      </c>
      <c r="C169" s="72" t="s">
        <v>487</v>
      </c>
      <c r="D169" s="50">
        <v>56108</v>
      </c>
      <c r="E169" s="50">
        <v>26</v>
      </c>
      <c r="F169" s="50">
        <v>101</v>
      </c>
      <c r="G169" s="50">
        <v>1500</v>
      </c>
      <c r="H169" s="50">
        <v>0</v>
      </c>
      <c r="I169" s="50">
        <v>0</v>
      </c>
      <c r="J169" s="50">
        <v>1500</v>
      </c>
      <c r="K169" s="50">
        <v>3000</v>
      </c>
      <c r="L169" s="50">
        <v>750</v>
      </c>
      <c r="M169" s="57">
        <v>3000</v>
      </c>
      <c r="N169" s="74" t="s">
        <v>489</v>
      </c>
      <c r="O169" s="62"/>
      <c r="P169" s="61">
        <v>1500</v>
      </c>
      <c r="Q169" s="65">
        <v>10000</v>
      </c>
      <c r="R169" s="64">
        <f t="shared" si="14"/>
        <v>3000</v>
      </c>
    </row>
    <row r="170" customHeight="1" spans="1:18">
      <c r="A170" s="50">
        <v>167</v>
      </c>
      <c r="B170" s="53" t="s">
        <v>283</v>
      </c>
      <c r="C170" s="50" t="s">
        <v>284</v>
      </c>
      <c r="D170" s="50">
        <v>57032</v>
      </c>
      <c r="E170" s="50">
        <v>2</v>
      </c>
      <c r="F170" s="50">
        <v>101</v>
      </c>
      <c r="G170" s="50">
        <v>5000</v>
      </c>
      <c r="H170" s="50">
        <v>0</v>
      </c>
      <c r="I170" s="50">
        <v>0</v>
      </c>
      <c r="J170" s="50">
        <v>5000</v>
      </c>
      <c r="K170" s="50">
        <v>60</v>
      </c>
      <c r="L170" s="50">
        <v>0</v>
      </c>
      <c r="M170" s="57">
        <v>0</v>
      </c>
      <c r="N170" s="74" t="s">
        <v>490</v>
      </c>
      <c r="O170" s="62"/>
      <c r="P170" s="61">
        <v>0</v>
      </c>
      <c r="Q170" s="65">
        <v>0</v>
      </c>
      <c r="R170" s="64">
        <f t="shared" ref="R170:R176" si="16">J170</f>
        <v>5000</v>
      </c>
    </row>
    <row r="171" customHeight="1" spans="1:18">
      <c r="A171" s="50">
        <v>168</v>
      </c>
      <c r="B171" s="53" t="s">
        <v>491</v>
      </c>
      <c r="C171" s="54" t="s">
        <v>492</v>
      </c>
      <c r="D171" s="50">
        <v>58109</v>
      </c>
      <c r="E171" s="50">
        <v>25</v>
      </c>
      <c r="F171" s="50">
        <v>0</v>
      </c>
      <c r="G171" s="50">
        <v>0</v>
      </c>
      <c r="H171" s="50">
        <v>0</v>
      </c>
      <c r="I171" s="50">
        <v>0</v>
      </c>
      <c r="J171" s="50">
        <v>100</v>
      </c>
      <c r="K171" s="50">
        <v>100</v>
      </c>
      <c r="L171" s="50">
        <v>0</v>
      </c>
      <c r="M171" s="57">
        <v>0</v>
      </c>
      <c r="N171" s="74" t="s">
        <v>493</v>
      </c>
      <c r="O171" s="62"/>
      <c r="P171" s="61">
        <v>0</v>
      </c>
      <c r="Q171" s="65">
        <v>0</v>
      </c>
      <c r="R171" s="64">
        <f t="shared" si="16"/>
        <v>100</v>
      </c>
    </row>
    <row r="172" customHeight="1" spans="1:18">
      <c r="A172" s="50">
        <v>169</v>
      </c>
      <c r="B172" s="53" t="s">
        <v>491</v>
      </c>
      <c r="C172" s="54" t="s">
        <v>492</v>
      </c>
      <c r="D172" s="50">
        <v>58110</v>
      </c>
      <c r="E172" s="50">
        <v>25</v>
      </c>
      <c r="F172" s="50">
        <v>0</v>
      </c>
      <c r="G172" s="50">
        <v>0</v>
      </c>
      <c r="H172" s="50">
        <v>0</v>
      </c>
      <c r="I172" s="50">
        <v>0</v>
      </c>
      <c r="J172" s="50">
        <v>100</v>
      </c>
      <c r="K172" s="50">
        <v>100</v>
      </c>
      <c r="L172" s="50">
        <v>0</v>
      </c>
      <c r="M172" s="57">
        <v>0</v>
      </c>
      <c r="N172" s="74" t="s">
        <v>494</v>
      </c>
      <c r="O172" s="62"/>
      <c r="P172" s="61">
        <v>0</v>
      </c>
      <c r="Q172" s="65">
        <v>0</v>
      </c>
      <c r="R172" s="64">
        <f t="shared" si="16"/>
        <v>100</v>
      </c>
    </row>
    <row r="173" customHeight="1" spans="1:18">
      <c r="A173" s="50">
        <v>170</v>
      </c>
      <c r="B173" s="53" t="s">
        <v>491</v>
      </c>
      <c r="C173" s="54" t="s">
        <v>492</v>
      </c>
      <c r="D173" s="50">
        <v>58111</v>
      </c>
      <c r="E173" s="50">
        <v>25</v>
      </c>
      <c r="F173" s="50">
        <v>0</v>
      </c>
      <c r="G173" s="50">
        <v>0</v>
      </c>
      <c r="H173" s="50">
        <v>0</v>
      </c>
      <c r="I173" s="50">
        <v>0</v>
      </c>
      <c r="J173" s="50">
        <v>100</v>
      </c>
      <c r="K173" s="50">
        <v>100</v>
      </c>
      <c r="L173" s="50">
        <v>0</v>
      </c>
      <c r="M173" s="57">
        <v>0</v>
      </c>
      <c r="N173" s="74" t="s">
        <v>495</v>
      </c>
      <c r="O173" s="62"/>
      <c r="P173" s="61">
        <v>0</v>
      </c>
      <c r="Q173" s="65">
        <v>0</v>
      </c>
      <c r="R173" s="64">
        <f t="shared" si="16"/>
        <v>100</v>
      </c>
    </row>
    <row r="174" customHeight="1" spans="1:18">
      <c r="A174" s="50">
        <v>171</v>
      </c>
      <c r="B174" s="53" t="s">
        <v>491</v>
      </c>
      <c r="C174" s="54" t="s">
        <v>492</v>
      </c>
      <c r="D174" s="50">
        <v>58112</v>
      </c>
      <c r="E174" s="50">
        <v>25</v>
      </c>
      <c r="F174" s="50">
        <v>0</v>
      </c>
      <c r="G174" s="50">
        <v>0</v>
      </c>
      <c r="H174" s="50">
        <v>0</v>
      </c>
      <c r="I174" s="50">
        <v>0</v>
      </c>
      <c r="J174" s="50">
        <v>100</v>
      </c>
      <c r="K174" s="50">
        <v>100</v>
      </c>
      <c r="L174" s="50">
        <v>0</v>
      </c>
      <c r="M174" s="57">
        <v>0</v>
      </c>
      <c r="N174" s="74" t="s">
        <v>496</v>
      </c>
      <c r="O174" s="62"/>
      <c r="P174" s="61">
        <v>0</v>
      </c>
      <c r="Q174" s="65">
        <v>0</v>
      </c>
      <c r="R174" s="64">
        <f t="shared" si="16"/>
        <v>100</v>
      </c>
    </row>
    <row r="175" customHeight="1" spans="1:18">
      <c r="A175" s="50">
        <v>172</v>
      </c>
      <c r="B175" s="53" t="s">
        <v>491</v>
      </c>
      <c r="C175" s="54" t="s">
        <v>492</v>
      </c>
      <c r="D175" s="50">
        <v>58113</v>
      </c>
      <c r="E175" s="50">
        <v>25</v>
      </c>
      <c r="F175" s="50">
        <v>0</v>
      </c>
      <c r="G175" s="50">
        <v>0</v>
      </c>
      <c r="H175" s="50">
        <v>0</v>
      </c>
      <c r="I175" s="50">
        <v>0</v>
      </c>
      <c r="J175" s="50">
        <v>100</v>
      </c>
      <c r="K175" s="50">
        <v>100</v>
      </c>
      <c r="L175" s="50">
        <v>0</v>
      </c>
      <c r="M175" s="57">
        <v>0</v>
      </c>
      <c r="N175" s="74" t="s">
        <v>497</v>
      </c>
      <c r="O175" s="62"/>
      <c r="P175" s="61">
        <v>0</v>
      </c>
      <c r="Q175" s="65">
        <v>0</v>
      </c>
      <c r="R175" s="64">
        <f t="shared" si="16"/>
        <v>100</v>
      </c>
    </row>
    <row r="176" customHeight="1" spans="1:18">
      <c r="A176" s="50">
        <v>173</v>
      </c>
      <c r="B176" s="53" t="s">
        <v>491</v>
      </c>
      <c r="C176" s="54" t="s">
        <v>498</v>
      </c>
      <c r="D176" s="50">
        <v>59114</v>
      </c>
      <c r="E176" s="50">
        <v>27</v>
      </c>
      <c r="F176" s="50">
        <v>0</v>
      </c>
      <c r="G176" s="50">
        <v>0</v>
      </c>
      <c r="H176" s="50">
        <v>0</v>
      </c>
      <c r="I176" s="50">
        <v>0</v>
      </c>
      <c r="J176" s="50">
        <v>100</v>
      </c>
      <c r="K176" s="50">
        <v>6000</v>
      </c>
      <c r="L176" s="50">
        <v>0</v>
      </c>
      <c r="M176" s="57">
        <v>0</v>
      </c>
      <c r="N176" s="74" t="s">
        <v>499</v>
      </c>
      <c r="O176" s="62"/>
      <c r="P176" s="61">
        <v>0</v>
      </c>
      <c r="Q176" s="65">
        <v>0</v>
      </c>
      <c r="R176" s="64">
        <f t="shared" si="16"/>
        <v>100</v>
      </c>
    </row>
    <row r="177" customHeight="1" spans="1:18">
      <c r="A177" s="50">
        <v>174</v>
      </c>
      <c r="B177" s="53" t="s">
        <v>500</v>
      </c>
      <c r="C177" s="50" t="s">
        <v>501</v>
      </c>
      <c r="D177" s="50">
        <v>15115</v>
      </c>
      <c r="E177" s="50">
        <v>4</v>
      </c>
      <c r="F177" s="50">
        <v>103</v>
      </c>
      <c r="G177" s="50">
        <v>20</v>
      </c>
      <c r="H177" s="50">
        <v>0</v>
      </c>
      <c r="I177" s="50">
        <v>0</v>
      </c>
      <c r="J177" s="50">
        <v>12000</v>
      </c>
      <c r="K177" s="50">
        <v>12000</v>
      </c>
      <c r="L177" s="50">
        <v>0</v>
      </c>
      <c r="M177" s="68">
        <f>J177</f>
        <v>12000</v>
      </c>
      <c r="N177" s="74" t="s">
        <v>502</v>
      </c>
      <c r="O177" s="62"/>
      <c r="P177" s="61">
        <v>0</v>
      </c>
      <c r="Q177" s="65">
        <v>0</v>
      </c>
      <c r="R177" s="64">
        <f>M177</f>
        <v>12000</v>
      </c>
    </row>
    <row r="178" customHeight="1" spans="1:18">
      <c r="A178" s="50">
        <v>175</v>
      </c>
      <c r="B178" s="53" t="s">
        <v>503</v>
      </c>
      <c r="C178" s="50" t="s">
        <v>504</v>
      </c>
      <c r="D178" s="50">
        <v>28116</v>
      </c>
      <c r="E178" s="50">
        <v>12</v>
      </c>
      <c r="F178" s="50">
        <v>1228</v>
      </c>
      <c r="G178" s="50">
        <v>800</v>
      </c>
      <c r="H178" s="50">
        <v>0</v>
      </c>
      <c r="I178" s="50">
        <v>0</v>
      </c>
      <c r="J178" s="50">
        <v>92000</v>
      </c>
      <c r="K178" s="50">
        <v>92000</v>
      </c>
      <c r="L178" s="50">
        <v>0</v>
      </c>
      <c r="M178" s="68">
        <f>J178</f>
        <v>92000</v>
      </c>
      <c r="N178" s="74" t="s">
        <v>504</v>
      </c>
      <c r="O178" s="62"/>
      <c r="P178" s="61">
        <v>0</v>
      </c>
      <c r="Q178" s="65">
        <v>0</v>
      </c>
      <c r="R178" s="64">
        <f>M178</f>
        <v>92000</v>
      </c>
    </row>
    <row r="179" customHeight="1" spans="1:18">
      <c r="A179" s="50">
        <v>176</v>
      </c>
      <c r="B179" s="53" t="s">
        <v>505</v>
      </c>
      <c r="C179" s="50" t="s">
        <v>506</v>
      </c>
      <c r="D179" s="50">
        <v>28117</v>
      </c>
      <c r="E179" s="50">
        <v>12</v>
      </c>
      <c r="F179" s="50">
        <v>1228</v>
      </c>
      <c r="G179" s="50">
        <v>3000</v>
      </c>
      <c r="H179" s="50">
        <v>0</v>
      </c>
      <c r="I179" s="50">
        <v>0</v>
      </c>
      <c r="J179" s="50">
        <v>345000</v>
      </c>
      <c r="K179" s="50">
        <v>345000</v>
      </c>
      <c r="L179" s="50">
        <v>0</v>
      </c>
      <c r="M179" s="68">
        <f>J179</f>
        <v>345000</v>
      </c>
      <c r="N179" s="74" t="s">
        <v>506</v>
      </c>
      <c r="O179" s="62"/>
      <c r="P179" s="61">
        <v>0</v>
      </c>
      <c r="Q179" s="65">
        <v>0</v>
      </c>
      <c r="R179" s="64">
        <f>M179</f>
        <v>345000</v>
      </c>
    </row>
    <row r="180" customHeight="1" spans="1:18">
      <c r="A180" s="50">
        <v>177</v>
      </c>
      <c r="B180" s="53" t="s">
        <v>507</v>
      </c>
      <c r="C180" s="50" t="s">
        <v>508</v>
      </c>
      <c r="D180" s="50">
        <v>60118</v>
      </c>
      <c r="E180" s="50">
        <v>28</v>
      </c>
      <c r="F180" s="50">
        <v>0</v>
      </c>
      <c r="G180" s="50">
        <v>0</v>
      </c>
      <c r="H180" s="50">
        <v>0</v>
      </c>
      <c r="I180" s="50">
        <v>0</v>
      </c>
      <c r="J180" s="67">
        <v>100</v>
      </c>
      <c r="K180" s="67">
        <v>600</v>
      </c>
      <c r="L180" s="67">
        <v>100</v>
      </c>
      <c r="M180" s="75">
        <v>0</v>
      </c>
      <c r="N180" s="74" t="s">
        <v>509</v>
      </c>
      <c r="O180" s="76">
        <v>2701</v>
      </c>
      <c r="P180" s="61">
        <v>0</v>
      </c>
      <c r="Q180" s="65">
        <v>0</v>
      </c>
      <c r="R180" s="64">
        <f t="shared" ref="R180:R189" si="17">K180</f>
        <v>600</v>
      </c>
    </row>
    <row r="181" customHeight="1" spans="1:18">
      <c r="A181" s="50">
        <v>178</v>
      </c>
      <c r="B181" s="53" t="s">
        <v>507</v>
      </c>
      <c r="C181" s="50" t="s">
        <v>508</v>
      </c>
      <c r="D181" s="50">
        <v>61118</v>
      </c>
      <c r="E181" s="50">
        <v>28</v>
      </c>
      <c r="F181" s="50">
        <v>0</v>
      </c>
      <c r="G181" s="50">
        <v>0</v>
      </c>
      <c r="H181" s="50">
        <v>0</v>
      </c>
      <c r="I181" s="50">
        <v>0</v>
      </c>
      <c r="J181" s="67">
        <v>150</v>
      </c>
      <c r="K181" s="67">
        <v>900</v>
      </c>
      <c r="L181" s="67">
        <v>120</v>
      </c>
      <c r="M181" s="75">
        <v>0</v>
      </c>
      <c r="N181" s="74" t="s">
        <v>510</v>
      </c>
      <c r="O181" s="76">
        <v>2702</v>
      </c>
      <c r="P181" s="61">
        <v>0</v>
      </c>
      <c r="Q181" s="65">
        <v>0</v>
      </c>
      <c r="R181" s="64">
        <f t="shared" si="17"/>
        <v>900</v>
      </c>
    </row>
    <row r="182" customHeight="1" spans="1:18">
      <c r="A182" s="50">
        <v>179</v>
      </c>
      <c r="B182" s="53" t="s">
        <v>507</v>
      </c>
      <c r="C182" s="50" t="s">
        <v>508</v>
      </c>
      <c r="D182" s="50">
        <v>62118</v>
      </c>
      <c r="E182" s="50">
        <v>28</v>
      </c>
      <c r="F182" s="50">
        <v>0</v>
      </c>
      <c r="G182" s="50">
        <v>0</v>
      </c>
      <c r="H182" s="50">
        <v>0</v>
      </c>
      <c r="I182" s="50">
        <v>0</v>
      </c>
      <c r="J182" s="67">
        <v>180</v>
      </c>
      <c r="K182" s="67">
        <v>1200</v>
      </c>
      <c r="L182" s="67">
        <v>140</v>
      </c>
      <c r="M182" s="75">
        <v>0</v>
      </c>
      <c r="N182" s="74" t="s">
        <v>511</v>
      </c>
      <c r="O182" s="76">
        <v>2703</v>
      </c>
      <c r="P182" s="61">
        <v>0</v>
      </c>
      <c r="Q182" s="65">
        <v>0</v>
      </c>
      <c r="R182" s="64">
        <f t="shared" si="17"/>
        <v>1200</v>
      </c>
    </row>
    <row r="183" customHeight="1" spans="1:18">
      <c r="A183" s="50">
        <v>180</v>
      </c>
      <c r="B183" s="53" t="s">
        <v>507</v>
      </c>
      <c r="C183" s="50" t="s">
        <v>508</v>
      </c>
      <c r="D183" s="50">
        <v>63118</v>
      </c>
      <c r="E183" s="50">
        <v>28</v>
      </c>
      <c r="F183" s="50">
        <v>0</v>
      </c>
      <c r="G183" s="50">
        <v>0</v>
      </c>
      <c r="H183" s="50">
        <v>0</v>
      </c>
      <c r="I183" s="50">
        <v>0</v>
      </c>
      <c r="J183" s="50">
        <v>200</v>
      </c>
      <c r="K183" s="50">
        <v>1500</v>
      </c>
      <c r="L183" s="67">
        <v>160</v>
      </c>
      <c r="M183" s="75">
        <v>0</v>
      </c>
      <c r="N183" s="74" t="s">
        <v>512</v>
      </c>
      <c r="O183" s="76">
        <v>2704</v>
      </c>
      <c r="P183" s="61">
        <v>0</v>
      </c>
      <c r="Q183" s="65">
        <v>0</v>
      </c>
      <c r="R183" s="64">
        <f t="shared" si="17"/>
        <v>1500</v>
      </c>
    </row>
    <row r="184" customHeight="1" spans="1:18">
      <c r="A184" s="50">
        <v>181</v>
      </c>
      <c r="B184" s="53" t="s">
        <v>507</v>
      </c>
      <c r="C184" s="50" t="s">
        <v>508</v>
      </c>
      <c r="D184" s="50">
        <v>64118</v>
      </c>
      <c r="E184" s="50">
        <v>28</v>
      </c>
      <c r="F184" s="50">
        <v>0</v>
      </c>
      <c r="G184" s="50">
        <v>0</v>
      </c>
      <c r="H184" s="50">
        <v>0</v>
      </c>
      <c r="I184" s="50">
        <v>0</v>
      </c>
      <c r="J184" s="50">
        <v>250</v>
      </c>
      <c r="K184" s="50">
        <v>1800</v>
      </c>
      <c r="L184" s="67">
        <v>180</v>
      </c>
      <c r="M184" s="75">
        <v>0</v>
      </c>
      <c r="N184" s="74" t="s">
        <v>513</v>
      </c>
      <c r="O184" s="76">
        <v>2705</v>
      </c>
      <c r="P184" s="61">
        <v>0</v>
      </c>
      <c r="Q184" s="65">
        <v>0</v>
      </c>
      <c r="R184" s="64">
        <f t="shared" si="17"/>
        <v>1800</v>
      </c>
    </row>
    <row r="185" customHeight="1" spans="1:18">
      <c r="A185" s="50">
        <v>182</v>
      </c>
      <c r="B185" s="53" t="s">
        <v>514</v>
      </c>
      <c r="C185" s="54" t="s">
        <v>515</v>
      </c>
      <c r="D185" s="50">
        <v>65119</v>
      </c>
      <c r="E185" s="67">
        <v>29</v>
      </c>
      <c r="F185" s="50">
        <v>0</v>
      </c>
      <c r="G185" s="50">
        <v>0</v>
      </c>
      <c r="H185" s="50">
        <v>0</v>
      </c>
      <c r="I185" s="50">
        <v>0</v>
      </c>
      <c r="J185" s="67">
        <v>280</v>
      </c>
      <c r="K185" s="67">
        <v>2800</v>
      </c>
      <c r="L185" s="67">
        <v>100</v>
      </c>
      <c r="M185" s="75">
        <v>0</v>
      </c>
      <c r="N185" s="74" t="s">
        <v>516</v>
      </c>
      <c r="O185" s="76">
        <v>2801</v>
      </c>
      <c r="P185" s="61">
        <v>0</v>
      </c>
      <c r="Q185" s="65">
        <v>0</v>
      </c>
      <c r="R185" s="64">
        <f t="shared" si="17"/>
        <v>2800</v>
      </c>
    </row>
    <row r="186" customHeight="1" spans="1:18">
      <c r="A186" s="50">
        <v>183</v>
      </c>
      <c r="B186" s="53" t="s">
        <v>514</v>
      </c>
      <c r="C186" s="54" t="s">
        <v>515</v>
      </c>
      <c r="D186" s="50">
        <v>66119</v>
      </c>
      <c r="E186" s="67">
        <v>29</v>
      </c>
      <c r="F186" s="50">
        <v>0</v>
      </c>
      <c r="G186" s="50">
        <v>0</v>
      </c>
      <c r="H186" s="50">
        <v>0</v>
      </c>
      <c r="I186" s="50">
        <v>0</v>
      </c>
      <c r="J186" s="67">
        <v>280</v>
      </c>
      <c r="K186" s="67">
        <v>2800</v>
      </c>
      <c r="L186" s="67">
        <v>120</v>
      </c>
      <c r="M186" s="75">
        <v>0</v>
      </c>
      <c r="N186" s="74" t="s">
        <v>517</v>
      </c>
      <c r="O186" s="76">
        <v>2802</v>
      </c>
      <c r="P186" s="61">
        <v>0</v>
      </c>
      <c r="Q186" s="65">
        <v>0</v>
      </c>
      <c r="R186" s="64">
        <f t="shared" si="17"/>
        <v>2800</v>
      </c>
    </row>
    <row r="187" customHeight="1" spans="1:18">
      <c r="A187" s="50">
        <v>184</v>
      </c>
      <c r="B187" s="53" t="s">
        <v>514</v>
      </c>
      <c r="C187" s="54" t="s">
        <v>515</v>
      </c>
      <c r="D187" s="50">
        <v>67119</v>
      </c>
      <c r="E187" s="67">
        <v>29</v>
      </c>
      <c r="F187" s="50">
        <v>0</v>
      </c>
      <c r="G187" s="50">
        <v>0</v>
      </c>
      <c r="H187" s="50">
        <v>0</v>
      </c>
      <c r="I187" s="50">
        <v>0</v>
      </c>
      <c r="J187" s="67">
        <v>280</v>
      </c>
      <c r="K187" s="67">
        <v>2800</v>
      </c>
      <c r="L187" s="67">
        <v>160</v>
      </c>
      <c r="M187" s="75">
        <v>0</v>
      </c>
      <c r="N187" s="74" t="s">
        <v>518</v>
      </c>
      <c r="O187" s="76">
        <v>2803</v>
      </c>
      <c r="P187" s="61">
        <v>0</v>
      </c>
      <c r="Q187" s="65">
        <v>0</v>
      </c>
      <c r="R187" s="64">
        <f t="shared" si="17"/>
        <v>2800</v>
      </c>
    </row>
    <row r="188" customHeight="1" spans="1:18">
      <c r="A188" s="50">
        <v>185</v>
      </c>
      <c r="B188" s="53" t="s">
        <v>514</v>
      </c>
      <c r="C188" s="54" t="s">
        <v>515</v>
      </c>
      <c r="D188" s="50">
        <v>68119</v>
      </c>
      <c r="E188" s="67">
        <v>29</v>
      </c>
      <c r="F188" s="50">
        <v>0</v>
      </c>
      <c r="G188" s="50">
        <v>0</v>
      </c>
      <c r="H188" s="50">
        <v>0</v>
      </c>
      <c r="I188" s="50">
        <v>0</v>
      </c>
      <c r="J188" s="50">
        <v>350</v>
      </c>
      <c r="K188" s="50">
        <v>3500</v>
      </c>
      <c r="L188" s="67">
        <v>200</v>
      </c>
      <c r="M188" s="75">
        <v>0</v>
      </c>
      <c r="N188" s="74" t="s">
        <v>519</v>
      </c>
      <c r="O188" s="76">
        <v>2804</v>
      </c>
      <c r="P188" s="61">
        <v>0</v>
      </c>
      <c r="Q188" s="65">
        <v>0</v>
      </c>
      <c r="R188" s="64">
        <f t="shared" si="17"/>
        <v>3500</v>
      </c>
    </row>
    <row r="189" customHeight="1" spans="1:18">
      <c r="A189" s="50">
        <v>186</v>
      </c>
      <c r="B189" s="53" t="s">
        <v>514</v>
      </c>
      <c r="C189" s="54" t="s">
        <v>515</v>
      </c>
      <c r="D189" s="50">
        <v>69119</v>
      </c>
      <c r="E189" s="67">
        <v>29</v>
      </c>
      <c r="F189" s="50">
        <v>0</v>
      </c>
      <c r="G189" s="50">
        <v>0</v>
      </c>
      <c r="H189" s="50">
        <v>0</v>
      </c>
      <c r="I189" s="50">
        <v>0</v>
      </c>
      <c r="J189" s="50">
        <v>420</v>
      </c>
      <c r="K189" s="50">
        <v>4200</v>
      </c>
      <c r="L189" s="67">
        <v>250</v>
      </c>
      <c r="M189" s="75">
        <v>0</v>
      </c>
      <c r="N189" s="74" t="s">
        <v>520</v>
      </c>
      <c r="O189" s="76">
        <v>2805</v>
      </c>
      <c r="P189" s="61">
        <v>0</v>
      </c>
      <c r="Q189" s="65">
        <v>0</v>
      </c>
      <c r="R189" s="64">
        <f t="shared" si="17"/>
        <v>4200</v>
      </c>
    </row>
    <row r="190" customHeight="1" spans="1:18">
      <c r="A190" s="50">
        <v>187</v>
      </c>
      <c r="B190" s="53" t="s">
        <v>277</v>
      </c>
      <c r="C190" s="50" t="s">
        <v>278</v>
      </c>
      <c r="D190" s="50">
        <v>35028</v>
      </c>
      <c r="E190" s="50">
        <v>19</v>
      </c>
      <c r="F190" s="50">
        <v>1301</v>
      </c>
      <c r="G190" s="50">
        <v>3</v>
      </c>
      <c r="H190" s="50">
        <v>0</v>
      </c>
      <c r="I190" s="50">
        <v>0</v>
      </c>
      <c r="J190" s="50">
        <f>3000*103%</f>
        <v>3090</v>
      </c>
      <c r="K190" s="50">
        <f>J190</f>
        <v>3090</v>
      </c>
      <c r="L190" s="50">
        <v>3000</v>
      </c>
      <c r="M190" s="57">
        <v>3000</v>
      </c>
      <c r="N190" s="74" t="s">
        <v>521</v>
      </c>
      <c r="O190" s="62"/>
      <c r="P190" s="61">
        <v>0</v>
      </c>
      <c r="Q190" s="65">
        <v>0</v>
      </c>
      <c r="R190" s="64">
        <f t="shared" ref="R190:R208" si="18">M190</f>
        <v>3000</v>
      </c>
    </row>
    <row r="191" customHeight="1" spans="1:18">
      <c r="A191" s="50">
        <v>188</v>
      </c>
      <c r="B191" s="53" t="s">
        <v>522</v>
      </c>
      <c r="C191" s="54" t="s">
        <v>523</v>
      </c>
      <c r="D191" s="50">
        <v>55120</v>
      </c>
      <c r="E191" s="50">
        <v>26</v>
      </c>
      <c r="F191" s="50">
        <v>101</v>
      </c>
      <c r="G191" s="50">
        <v>50</v>
      </c>
      <c r="H191" s="50">
        <v>0</v>
      </c>
      <c r="I191" s="50">
        <v>0</v>
      </c>
      <c r="J191" s="50">
        <v>25</v>
      </c>
      <c r="K191" s="50">
        <v>100</v>
      </c>
      <c r="L191" s="50">
        <v>25</v>
      </c>
      <c r="M191" s="57">
        <v>100</v>
      </c>
      <c r="N191" s="74" t="s">
        <v>524</v>
      </c>
      <c r="O191" s="62"/>
      <c r="P191" s="61">
        <v>50</v>
      </c>
      <c r="Q191" s="65">
        <v>10000</v>
      </c>
      <c r="R191" s="64">
        <f t="shared" si="18"/>
        <v>100</v>
      </c>
    </row>
    <row r="192" customHeight="1" spans="1:18">
      <c r="A192" s="50">
        <v>189</v>
      </c>
      <c r="B192" s="53" t="s">
        <v>522</v>
      </c>
      <c r="C192" s="54" t="s">
        <v>523</v>
      </c>
      <c r="D192" s="50">
        <v>56120</v>
      </c>
      <c r="E192" s="50">
        <v>26</v>
      </c>
      <c r="F192" s="50">
        <v>101</v>
      </c>
      <c r="G192" s="50">
        <v>50</v>
      </c>
      <c r="H192" s="50">
        <v>0</v>
      </c>
      <c r="I192" s="50">
        <v>0</v>
      </c>
      <c r="J192" s="50">
        <v>50</v>
      </c>
      <c r="K192" s="50">
        <v>100</v>
      </c>
      <c r="L192" s="50">
        <v>25</v>
      </c>
      <c r="M192" s="57">
        <v>100</v>
      </c>
      <c r="N192" s="74" t="s">
        <v>525</v>
      </c>
      <c r="O192" s="62"/>
      <c r="P192" s="61">
        <v>50</v>
      </c>
      <c r="Q192" s="65">
        <v>10000</v>
      </c>
      <c r="R192" s="64">
        <f t="shared" si="18"/>
        <v>100</v>
      </c>
    </row>
    <row r="193" customHeight="1" spans="1:18">
      <c r="A193" s="50">
        <v>190</v>
      </c>
      <c r="B193" s="53" t="s">
        <v>526</v>
      </c>
      <c r="C193" s="54" t="s">
        <v>527</v>
      </c>
      <c r="D193" s="50">
        <v>55121</v>
      </c>
      <c r="E193" s="50">
        <v>26</v>
      </c>
      <c r="F193" s="50">
        <v>101</v>
      </c>
      <c r="G193" s="50">
        <v>90</v>
      </c>
      <c r="H193" s="50">
        <v>0</v>
      </c>
      <c r="I193" s="50">
        <v>0</v>
      </c>
      <c r="J193" s="50">
        <v>45</v>
      </c>
      <c r="K193" s="50">
        <v>180</v>
      </c>
      <c r="L193" s="50">
        <v>45</v>
      </c>
      <c r="M193" s="57">
        <v>180</v>
      </c>
      <c r="N193" s="74" t="s">
        <v>528</v>
      </c>
      <c r="O193" s="62"/>
      <c r="P193" s="61">
        <v>90</v>
      </c>
      <c r="Q193" s="65">
        <v>10000</v>
      </c>
      <c r="R193" s="64">
        <f t="shared" si="18"/>
        <v>180</v>
      </c>
    </row>
    <row r="194" customHeight="1" spans="1:18">
      <c r="A194" s="50">
        <v>191</v>
      </c>
      <c r="B194" s="53" t="s">
        <v>526</v>
      </c>
      <c r="C194" s="54" t="s">
        <v>527</v>
      </c>
      <c r="D194" s="50">
        <v>56121</v>
      </c>
      <c r="E194" s="50">
        <v>26</v>
      </c>
      <c r="F194" s="50">
        <v>101</v>
      </c>
      <c r="G194" s="50">
        <v>90</v>
      </c>
      <c r="H194" s="50">
        <v>0</v>
      </c>
      <c r="I194" s="50">
        <v>0</v>
      </c>
      <c r="J194" s="50">
        <v>90</v>
      </c>
      <c r="K194" s="50">
        <v>180</v>
      </c>
      <c r="L194" s="50">
        <v>45</v>
      </c>
      <c r="M194" s="57">
        <v>180</v>
      </c>
      <c r="N194" s="74" t="s">
        <v>529</v>
      </c>
      <c r="O194" s="62"/>
      <c r="P194" s="61">
        <v>90</v>
      </c>
      <c r="Q194" s="65">
        <v>10000</v>
      </c>
      <c r="R194" s="64">
        <f t="shared" si="18"/>
        <v>180</v>
      </c>
    </row>
    <row r="195" customHeight="1" spans="1:18">
      <c r="A195" s="50">
        <v>192</v>
      </c>
      <c r="B195" s="53" t="s">
        <v>530</v>
      </c>
      <c r="C195" s="54" t="s">
        <v>531</v>
      </c>
      <c r="D195" s="50">
        <v>70122</v>
      </c>
      <c r="E195" s="50">
        <v>30</v>
      </c>
      <c r="F195" s="50">
        <v>0</v>
      </c>
      <c r="G195" s="50">
        <v>0</v>
      </c>
      <c r="H195" s="50">
        <v>0</v>
      </c>
      <c r="I195" s="50">
        <v>0</v>
      </c>
      <c r="J195" s="50">
        <v>0</v>
      </c>
      <c r="K195" s="50">
        <v>0</v>
      </c>
      <c r="L195" s="50">
        <v>0</v>
      </c>
      <c r="M195" s="57">
        <v>0</v>
      </c>
      <c r="N195" s="74" t="s">
        <v>532</v>
      </c>
      <c r="O195" s="62"/>
      <c r="P195" s="61">
        <v>0</v>
      </c>
      <c r="Q195" s="65">
        <v>0</v>
      </c>
      <c r="R195" s="64">
        <f t="shared" si="18"/>
        <v>0</v>
      </c>
    </row>
    <row r="196" customHeight="1" spans="1:18">
      <c r="A196" s="50">
        <v>193</v>
      </c>
      <c r="B196" s="53" t="s">
        <v>533</v>
      </c>
      <c r="C196" s="54" t="s">
        <v>534</v>
      </c>
      <c r="D196" s="50">
        <v>71201</v>
      </c>
      <c r="E196" s="50">
        <v>31</v>
      </c>
      <c r="F196" s="50">
        <v>13757</v>
      </c>
      <c r="G196" s="50">
        <v>10</v>
      </c>
      <c r="H196" s="50">
        <v>10</v>
      </c>
      <c r="I196" s="50">
        <v>10</v>
      </c>
      <c r="J196" s="50">
        <v>1000</v>
      </c>
      <c r="K196" s="50">
        <v>1000</v>
      </c>
      <c r="L196" s="50">
        <v>0</v>
      </c>
      <c r="M196" s="57">
        <v>1000</v>
      </c>
      <c r="N196" s="74" t="s">
        <v>535</v>
      </c>
      <c r="O196" s="62"/>
      <c r="P196" s="61">
        <v>0</v>
      </c>
      <c r="Q196" s="65">
        <v>0</v>
      </c>
      <c r="R196" s="64">
        <f t="shared" si="18"/>
        <v>1000</v>
      </c>
    </row>
    <row r="197" customHeight="1" spans="1:18">
      <c r="A197" s="50">
        <v>194</v>
      </c>
      <c r="B197" s="53" t="s">
        <v>536</v>
      </c>
      <c r="C197" s="54" t="s">
        <v>537</v>
      </c>
      <c r="D197" s="50">
        <v>71202</v>
      </c>
      <c r="E197" s="50">
        <v>31</v>
      </c>
      <c r="F197" s="50">
        <v>13757</v>
      </c>
      <c r="G197" s="50">
        <v>20</v>
      </c>
      <c r="H197" s="50">
        <v>20</v>
      </c>
      <c r="I197" s="50">
        <v>40</v>
      </c>
      <c r="J197" s="50">
        <v>3000</v>
      </c>
      <c r="K197" s="50">
        <v>3000</v>
      </c>
      <c r="L197" s="50">
        <v>0</v>
      </c>
      <c r="M197" s="57">
        <v>3000</v>
      </c>
      <c r="N197" s="57" t="s">
        <v>535</v>
      </c>
      <c r="O197" s="57"/>
      <c r="P197" s="57">
        <v>0</v>
      </c>
      <c r="Q197" s="57">
        <v>0</v>
      </c>
      <c r="R197" s="64">
        <f t="shared" si="18"/>
        <v>3000</v>
      </c>
    </row>
    <row r="198" customHeight="1" spans="1:18">
      <c r="A198" s="50">
        <v>195</v>
      </c>
      <c r="B198" s="53" t="s">
        <v>538</v>
      </c>
      <c r="C198" s="54" t="s">
        <v>539</v>
      </c>
      <c r="D198" s="50">
        <v>71203</v>
      </c>
      <c r="E198" s="50">
        <v>31</v>
      </c>
      <c r="F198" s="50">
        <v>13757</v>
      </c>
      <c r="G198" s="50">
        <v>40</v>
      </c>
      <c r="H198" s="50">
        <v>40</v>
      </c>
      <c r="I198" s="50">
        <v>60</v>
      </c>
      <c r="J198" s="50">
        <v>5000</v>
      </c>
      <c r="K198" s="50">
        <v>5000</v>
      </c>
      <c r="L198" s="50">
        <v>0</v>
      </c>
      <c r="M198" s="57">
        <v>5000</v>
      </c>
      <c r="N198" s="57" t="s">
        <v>535</v>
      </c>
      <c r="O198" s="57">
        <v>2901</v>
      </c>
      <c r="P198" s="57">
        <v>0</v>
      </c>
      <c r="Q198" s="57">
        <v>0</v>
      </c>
      <c r="R198" s="64">
        <f t="shared" si="18"/>
        <v>5000</v>
      </c>
    </row>
    <row r="199" customHeight="1" spans="1:18">
      <c r="A199" s="50">
        <v>196</v>
      </c>
      <c r="B199" s="53" t="s">
        <v>540</v>
      </c>
      <c r="C199" s="54" t="s">
        <v>541</v>
      </c>
      <c r="D199" s="50">
        <v>73204</v>
      </c>
      <c r="E199" s="50">
        <v>31</v>
      </c>
      <c r="F199" s="50">
        <v>13758</v>
      </c>
      <c r="G199" s="50">
        <v>10</v>
      </c>
      <c r="H199" s="50">
        <v>0</v>
      </c>
      <c r="I199" s="50">
        <v>0</v>
      </c>
      <c r="J199" s="50">
        <v>1000</v>
      </c>
      <c r="K199" s="50">
        <v>1000</v>
      </c>
      <c r="L199" s="50">
        <v>0</v>
      </c>
      <c r="M199" s="57">
        <v>1000</v>
      </c>
      <c r="N199" s="57" t="s">
        <v>535</v>
      </c>
      <c r="O199" s="57"/>
      <c r="P199" s="57">
        <v>0</v>
      </c>
      <c r="Q199" s="57">
        <v>0</v>
      </c>
      <c r="R199" s="64">
        <f t="shared" si="18"/>
        <v>1000</v>
      </c>
    </row>
    <row r="200" customHeight="1" spans="1:18">
      <c r="A200" s="50">
        <v>197</v>
      </c>
      <c r="B200" s="53" t="s">
        <v>542</v>
      </c>
      <c r="C200" s="54" t="s">
        <v>543</v>
      </c>
      <c r="D200" s="50">
        <v>73205</v>
      </c>
      <c r="E200" s="50">
        <v>31</v>
      </c>
      <c r="F200" s="50">
        <v>13759</v>
      </c>
      <c r="G200" s="50">
        <v>20</v>
      </c>
      <c r="H200" s="50">
        <v>0</v>
      </c>
      <c r="I200" s="50">
        <v>0</v>
      </c>
      <c r="J200" s="50">
        <v>3000</v>
      </c>
      <c r="K200" s="50">
        <v>3000</v>
      </c>
      <c r="L200" s="50">
        <v>0</v>
      </c>
      <c r="M200" s="57">
        <v>3000</v>
      </c>
      <c r="N200" s="57" t="s">
        <v>535</v>
      </c>
      <c r="O200" s="57"/>
      <c r="P200" s="57">
        <v>0</v>
      </c>
      <c r="Q200" s="57">
        <v>0</v>
      </c>
      <c r="R200" s="64">
        <f t="shared" si="18"/>
        <v>3000</v>
      </c>
    </row>
    <row r="201" customHeight="1" spans="1:18">
      <c r="A201" s="50">
        <v>198</v>
      </c>
      <c r="B201" s="53" t="s">
        <v>544</v>
      </c>
      <c r="C201" s="54" t="s">
        <v>545</v>
      </c>
      <c r="D201" s="50">
        <v>73206</v>
      </c>
      <c r="E201" s="50">
        <v>31</v>
      </c>
      <c r="F201" s="50">
        <v>13760</v>
      </c>
      <c r="G201" s="50">
        <v>40</v>
      </c>
      <c r="H201" s="50">
        <v>0</v>
      </c>
      <c r="I201" s="50">
        <v>0</v>
      </c>
      <c r="J201" s="50">
        <v>5000</v>
      </c>
      <c r="K201" s="50">
        <v>5000</v>
      </c>
      <c r="L201" s="50">
        <v>0</v>
      </c>
      <c r="M201" s="57">
        <v>5000</v>
      </c>
      <c r="N201" s="57" t="s">
        <v>535</v>
      </c>
      <c r="O201" s="57"/>
      <c r="P201" s="57">
        <v>0</v>
      </c>
      <c r="Q201" s="57">
        <v>0</v>
      </c>
      <c r="R201" s="64">
        <f t="shared" si="18"/>
        <v>5000</v>
      </c>
    </row>
    <row r="202" customHeight="1" spans="1:18">
      <c r="A202" s="50">
        <v>199</v>
      </c>
      <c r="B202" s="53" t="s">
        <v>546</v>
      </c>
      <c r="C202" s="54" t="s">
        <v>547</v>
      </c>
      <c r="D202" s="50">
        <v>74207</v>
      </c>
      <c r="E202" s="50">
        <v>31</v>
      </c>
      <c r="F202" s="50">
        <v>0</v>
      </c>
      <c r="G202" s="50">
        <v>0</v>
      </c>
      <c r="H202" s="50">
        <v>1</v>
      </c>
      <c r="I202" s="50">
        <v>1</v>
      </c>
      <c r="J202" s="50">
        <v>5000</v>
      </c>
      <c r="K202" s="50">
        <v>5000</v>
      </c>
      <c r="L202" s="50">
        <v>0</v>
      </c>
      <c r="M202" s="57">
        <v>5000</v>
      </c>
      <c r="N202" s="57" t="s">
        <v>535</v>
      </c>
      <c r="O202" s="57"/>
      <c r="P202" s="57">
        <v>0</v>
      </c>
      <c r="Q202" s="57">
        <v>0</v>
      </c>
      <c r="R202" s="64">
        <f t="shared" si="18"/>
        <v>5000</v>
      </c>
    </row>
    <row r="203" customHeight="1" spans="1:18">
      <c r="A203" s="50">
        <v>200</v>
      </c>
      <c r="B203" s="53" t="s">
        <v>548</v>
      </c>
      <c r="C203" s="54" t="s">
        <v>549</v>
      </c>
      <c r="D203" s="50">
        <v>75208</v>
      </c>
      <c r="E203" s="50">
        <v>31</v>
      </c>
      <c r="F203" s="50">
        <v>0</v>
      </c>
      <c r="G203" s="50">
        <v>0</v>
      </c>
      <c r="H203" s="50">
        <v>1</v>
      </c>
      <c r="I203" s="50">
        <v>1</v>
      </c>
      <c r="J203" s="50">
        <v>5000</v>
      </c>
      <c r="K203" s="50">
        <v>5000</v>
      </c>
      <c r="L203" s="50">
        <v>0</v>
      </c>
      <c r="M203" s="57">
        <v>5000</v>
      </c>
      <c r="N203" s="57" t="s">
        <v>535</v>
      </c>
      <c r="O203" s="57"/>
      <c r="P203" s="57">
        <v>0</v>
      </c>
      <c r="Q203" s="57">
        <v>0</v>
      </c>
      <c r="R203" s="64">
        <f t="shared" si="18"/>
        <v>5000</v>
      </c>
    </row>
    <row r="204" customHeight="1" spans="1:18">
      <c r="A204" s="50">
        <v>200</v>
      </c>
      <c r="B204" s="53" t="s">
        <v>550</v>
      </c>
      <c r="C204" s="54" t="s">
        <v>551</v>
      </c>
      <c r="D204" s="50">
        <v>75209</v>
      </c>
      <c r="E204" s="50">
        <v>31</v>
      </c>
      <c r="F204" s="50">
        <v>0</v>
      </c>
      <c r="G204" s="50">
        <v>0</v>
      </c>
      <c r="H204" s="50">
        <v>1</v>
      </c>
      <c r="I204" s="50">
        <v>1</v>
      </c>
      <c r="J204" s="50">
        <v>5000</v>
      </c>
      <c r="K204" s="50">
        <v>5000</v>
      </c>
      <c r="L204" s="50">
        <v>0</v>
      </c>
      <c r="M204" s="57">
        <v>5000</v>
      </c>
      <c r="N204" s="57" t="s">
        <v>535</v>
      </c>
      <c r="O204" s="57"/>
      <c r="P204" s="57">
        <v>0</v>
      </c>
      <c r="Q204" s="57">
        <v>0</v>
      </c>
      <c r="R204" s="64">
        <f t="shared" si="18"/>
        <v>5000</v>
      </c>
    </row>
    <row r="205" customHeight="1" spans="1:18">
      <c r="A205" s="50">
        <v>200</v>
      </c>
      <c r="B205" s="53" t="s">
        <v>552</v>
      </c>
      <c r="C205" s="54" t="s">
        <v>553</v>
      </c>
      <c r="D205" s="50">
        <v>75210</v>
      </c>
      <c r="E205" s="50">
        <v>31</v>
      </c>
      <c r="F205" s="50">
        <v>0</v>
      </c>
      <c r="G205" s="50">
        <v>0</v>
      </c>
      <c r="H205" s="50">
        <v>1</v>
      </c>
      <c r="I205" s="50">
        <v>1</v>
      </c>
      <c r="J205" s="50">
        <v>5000</v>
      </c>
      <c r="K205" s="50">
        <v>5000</v>
      </c>
      <c r="L205" s="50">
        <v>0</v>
      </c>
      <c r="M205" s="50">
        <v>5000</v>
      </c>
      <c r="N205" s="57" t="s">
        <v>535</v>
      </c>
      <c r="O205" s="57"/>
      <c r="P205" s="57">
        <v>0</v>
      </c>
      <c r="Q205" s="57">
        <v>0</v>
      </c>
      <c r="R205" s="64">
        <f t="shared" si="18"/>
        <v>5000</v>
      </c>
    </row>
    <row r="206" customHeight="1" spans="1:18">
      <c r="A206" s="77">
        <v>201</v>
      </c>
      <c r="B206" s="53" t="s">
        <v>257</v>
      </c>
      <c r="C206" s="50" t="s">
        <v>258</v>
      </c>
      <c r="D206" s="50">
        <v>72025</v>
      </c>
      <c r="E206" s="50">
        <v>1</v>
      </c>
      <c r="F206" s="50">
        <v>101</v>
      </c>
      <c r="G206" s="50">
        <v>1200</v>
      </c>
      <c r="H206" s="50">
        <v>0</v>
      </c>
      <c r="I206" s="50">
        <v>0</v>
      </c>
      <c r="J206" s="50">
        <v>2</v>
      </c>
      <c r="K206" s="50">
        <v>1200</v>
      </c>
      <c r="L206" s="50">
        <v>60</v>
      </c>
      <c r="M206" s="50">
        <v>1230</v>
      </c>
      <c r="N206" s="57" t="s">
        <v>258</v>
      </c>
      <c r="O206" s="57"/>
      <c r="P206" s="57">
        <v>100</v>
      </c>
      <c r="Q206" s="57">
        <v>3000</v>
      </c>
      <c r="R206" s="64">
        <f t="shared" ref="R206:R207" si="19">M206</f>
        <v>1230</v>
      </c>
    </row>
    <row r="207" customHeight="1" spans="1:18">
      <c r="A207" s="77">
        <v>201</v>
      </c>
      <c r="B207" s="53" t="s">
        <v>554</v>
      </c>
      <c r="C207" s="50" t="s">
        <v>555</v>
      </c>
      <c r="D207" s="50">
        <v>11211</v>
      </c>
      <c r="E207" s="50">
        <v>1</v>
      </c>
      <c r="F207" s="50">
        <v>101</v>
      </c>
      <c r="G207" s="50">
        <v>1200</v>
      </c>
      <c r="H207" s="50">
        <v>0</v>
      </c>
      <c r="I207" s="50">
        <v>0</v>
      </c>
      <c r="J207" s="50">
        <v>2</v>
      </c>
      <c r="K207" s="50">
        <v>1200</v>
      </c>
      <c r="L207" s="50">
        <v>60</v>
      </c>
      <c r="M207" s="50">
        <v>1230</v>
      </c>
      <c r="N207" s="57" t="s">
        <v>258</v>
      </c>
      <c r="O207" s="57"/>
      <c r="P207" s="57">
        <v>100</v>
      </c>
      <c r="Q207" s="57">
        <v>3000</v>
      </c>
      <c r="R207" s="64">
        <f t="shared" si="19"/>
        <v>1230</v>
      </c>
    </row>
    <row r="208" customHeight="1" spans="1:18">
      <c r="A208" s="77">
        <v>201</v>
      </c>
      <c r="B208" s="53" t="s">
        <v>556</v>
      </c>
      <c r="C208" s="50" t="s">
        <v>557</v>
      </c>
      <c r="D208" s="50">
        <v>11212</v>
      </c>
      <c r="E208" s="50">
        <v>1</v>
      </c>
      <c r="F208" s="50">
        <v>101</v>
      </c>
      <c r="G208" s="50">
        <v>1200</v>
      </c>
      <c r="H208" s="50">
        <v>0</v>
      </c>
      <c r="I208" s="50">
        <v>0</v>
      </c>
      <c r="J208" s="50">
        <v>2</v>
      </c>
      <c r="K208" s="50">
        <v>1200</v>
      </c>
      <c r="L208" s="50">
        <v>60</v>
      </c>
      <c r="M208" s="50">
        <v>1230</v>
      </c>
      <c r="N208" s="57" t="s">
        <v>258</v>
      </c>
      <c r="O208" s="57"/>
      <c r="P208" s="57">
        <v>100</v>
      </c>
      <c r="Q208" s="57">
        <v>3000</v>
      </c>
      <c r="R208" s="64">
        <f t="shared" si="18"/>
        <v>1230</v>
      </c>
    </row>
    <row r="209" customHeight="1" spans="1:18">
      <c r="A209" s="77">
        <v>201</v>
      </c>
      <c r="B209" s="53" t="s">
        <v>558</v>
      </c>
      <c r="C209" s="54" t="s">
        <v>559</v>
      </c>
      <c r="D209" s="50">
        <v>12213</v>
      </c>
      <c r="E209" s="50">
        <v>1</v>
      </c>
      <c r="F209" s="50">
        <v>101</v>
      </c>
      <c r="G209" s="50">
        <v>1200</v>
      </c>
      <c r="H209" s="50">
        <v>0</v>
      </c>
      <c r="I209" s="50">
        <v>0</v>
      </c>
      <c r="J209" s="50">
        <v>2</v>
      </c>
      <c r="K209" s="50">
        <v>1200</v>
      </c>
      <c r="L209" s="50">
        <v>60</v>
      </c>
      <c r="M209" s="50">
        <v>1230</v>
      </c>
      <c r="N209" s="57" t="s">
        <v>258</v>
      </c>
      <c r="O209" s="57"/>
      <c r="P209" s="57">
        <v>100</v>
      </c>
      <c r="Q209" s="57">
        <v>3000</v>
      </c>
      <c r="R209" s="64">
        <f t="shared" ref="R209:R210" si="20">M209</f>
        <v>1230</v>
      </c>
    </row>
    <row r="210" customHeight="1" spans="1:18">
      <c r="A210" s="77">
        <v>201</v>
      </c>
      <c r="B210" s="53" t="s">
        <v>560</v>
      </c>
      <c r="C210" s="54" t="s">
        <v>561</v>
      </c>
      <c r="D210" s="50">
        <v>11214</v>
      </c>
      <c r="E210" s="50">
        <v>1</v>
      </c>
      <c r="F210" s="50">
        <v>101</v>
      </c>
      <c r="G210" s="50">
        <v>1200</v>
      </c>
      <c r="H210" s="50">
        <v>0</v>
      </c>
      <c r="I210" s="50">
        <v>0</v>
      </c>
      <c r="J210" s="50">
        <v>2</v>
      </c>
      <c r="K210" s="50">
        <v>1200</v>
      </c>
      <c r="L210" s="50">
        <v>60</v>
      </c>
      <c r="M210" s="50">
        <v>1230</v>
      </c>
      <c r="N210" s="57" t="s">
        <v>258</v>
      </c>
      <c r="O210" s="57"/>
      <c r="P210" s="57">
        <v>100</v>
      </c>
      <c r="Q210" s="57">
        <v>3000</v>
      </c>
      <c r="R210" s="64">
        <f t="shared" si="20"/>
        <v>1230</v>
      </c>
    </row>
    <row r="211" customHeight="1" spans="1:18">
      <c r="A211" s="78">
        <v>202</v>
      </c>
      <c r="B211" s="53" t="s">
        <v>314</v>
      </c>
      <c r="C211" s="50" t="s">
        <v>562</v>
      </c>
      <c r="D211" s="50">
        <v>15123</v>
      </c>
      <c r="E211" s="50">
        <v>4</v>
      </c>
      <c r="F211" s="50">
        <v>103</v>
      </c>
      <c r="G211" s="50">
        <v>5</v>
      </c>
      <c r="H211" s="50">
        <v>0</v>
      </c>
      <c r="I211" s="50">
        <v>0</v>
      </c>
      <c r="J211" s="50">
        <v>50</v>
      </c>
      <c r="K211" s="50">
        <v>50</v>
      </c>
      <c r="L211" s="50">
        <v>0</v>
      </c>
      <c r="M211" s="50">
        <f>0.05*6*10000</f>
        <v>3000</v>
      </c>
      <c r="N211" s="57" t="s">
        <v>563</v>
      </c>
      <c r="O211" s="57"/>
      <c r="P211" s="57">
        <v>0</v>
      </c>
      <c r="Q211" s="57">
        <v>0</v>
      </c>
      <c r="R211" s="64">
        <v>0</v>
      </c>
    </row>
    <row r="212" customHeight="1" spans="1:18">
      <c r="A212" s="50">
        <v>203</v>
      </c>
      <c r="B212" s="53" t="s">
        <v>317</v>
      </c>
      <c r="C212" s="79" t="s">
        <v>564</v>
      </c>
      <c r="D212" s="50">
        <v>15124</v>
      </c>
      <c r="E212" s="50">
        <v>4</v>
      </c>
      <c r="F212" s="50">
        <v>103</v>
      </c>
      <c r="G212" s="50">
        <v>10</v>
      </c>
      <c r="H212" s="50">
        <v>0</v>
      </c>
      <c r="I212" s="50">
        <v>0</v>
      </c>
      <c r="J212" s="50">
        <v>2000</v>
      </c>
      <c r="K212" s="50">
        <v>2000</v>
      </c>
      <c r="L212" s="50">
        <v>0</v>
      </c>
      <c r="M212" s="50">
        <f>0.1*6*10000</f>
        <v>6000</v>
      </c>
      <c r="N212" s="57" t="s">
        <v>565</v>
      </c>
      <c r="O212" s="57"/>
      <c r="P212" s="57">
        <v>0</v>
      </c>
      <c r="Q212" s="57">
        <v>0</v>
      </c>
      <c r="R212" s="64">
        <v>0</v>
      </c>
    </row>
    <row r="213" customHeight="1" spans="1:18">
      <c r="A213" s="50">
        <v>204</v>
      </c>
      <c r="B213" s="53" t="s">
        <v>317</v>
      </c>
      <c r="C213" s="79" t="s">
        <v>564</v>
      </c>
      <c r="D213" s="50">
        <v>15125</v>
      </c>
      <c r="E213" s="50">
        <v>4</v>
      </c>
      <c r="F213" s="50">
        <v>103</v>
      </c>
      <c r="G213" s="50">
        <v>10</v>
      </c>
      <c r="H213" s="50">
        <v>0</v>
      </c>
      <c r="I213" s="50">
        <v>0</v>
      </c>
      <c r="J213" s="50">
        <v>3000</v>
      </c>
      <c r="K213" s="50">
        <v>3000</v>
      </c>
      <c r="L213" s="50">
        <v>0</v>
      </c>
      <c r="M213" s="50">
        <f>0.1*6*10000</f>
        <v>6000</v>
      </c>
      <c r="N213" s="57" t="s">
        <v>565</v>
      </c>
      <c r="O213" s="57"/>
      <c r="P213" s="57">
        <v>0</v>
      </c>
      <c r="Q213" s="57">
        <v>0</v>
      </c>
      <c r="R213" s="64">
        <v>0</v>
      </c>
    </row>
    <row r="214" customHeight="1" spans="1:18">
      <c r="A214" s="50">
        <v>205</v>
      </c>
      <c r="B214" s="53" t="s">
        <v>320</v>
      </c>
      <c r="C214" s="79" t="s">
        <v>566</v>
      </c>
      <c r="D214" s="50">
        <v>15126</v>
      </c>
      <c r="E214" s="50">
        <v>4</v>
      </c>
      <c r="F214" s="50">
        <v>103</v>
      </c>
      <c r="G214" s="50">
        <v>40</v>
      </c>
      <c r="H214" s="50">
        <v>0</v>
      </c>
      <c r="I214" s="50">
        <v>0</v>
      </c>
      <c r="J214" s="50">
        <v>16000</v>
      </c>
      <c r="K214" s="50">
        <v>16000</v>
      </c>
      <c r="L214" s="50">
        <v>0</v>
      </c>
      <c r="M214" s="50">
        <f>0.4*6*10000</f>
        <v>24000</v>
      </c>
      <c r="N214" s="57" t="s">
        <v>567</v>
      </c>
      <c r="O214" s="57"/>
      <c r="P214" s="57">
        <v>0</v>
      </c>
      <c r="Q214" s="57">
        <v>0</v>
      </c>
      <c r="R214" s="64">
        <v>0</v>
      </c>
    </row>
    <row r="215" customHeight="1" spans="1:18">
      <c r="A215" s="50">
        <v>206</v>
      </c>
      <c r="B215" s="53" t="s">
        <v>320</v>
      </c>
      <c r="C215" s="79" t="s">
        <v>566</v>
      </c>
      <c r="D215" s="50">
        <v>15127</v>
      </c>
      <c r="E215" s="50">
        <v>4</v>
      </c>
      <c r="F215" s="50">
        <v>103</v>
      </c>
      <c r="G215" s="50">
        <v>40</v>
      </c>
      <c r="H215" s="50">
        <v>0</v>
      </c>
      <c r="I215" s="50">
        <v>0</v>
      </c>
      <c r="J215" s="50">
        <v>20000</v>
      </c>
      <c r="K215" s="50">
        <v>20000</v>
      </c>
      <c r="L215" s="50">
        <v>0</v>
      </c>
      <c r="M215" s="50">
        <f>0.4*6*10000</f>
        <v>24000</v>
      </c>
      <c r="N215" s="57" t="s">
        <v>567</v>
      </c>
      <c r="O215" s="57"/>
      <c r="P215" s="57">
        <v>0</v>
      </c>
      <c r="Q215" s="57">
        <v>0</v>
      </c>
      <c r="R215" s="64">
        <v>0</v>
      </c>
    </row>
    <row r="216" customHeight="1" spans="1:18">
      <c r="A216" s="50">
        <v>207</v>
      </c>
      <c r="B216" s="53" t="s">
        <v>323</v>
      </c>
      <c r="C216" s="79" t="s">
        <v>568</v>
      </c>
      <c r="D216" s="50">
        <v>15128</v>
      </c>
      <c r="E216" s="50">
        <v>4</v>
      </c>
      <c r="F216" s="50">
        <v>103</v>
      </c>
      <c r="G216" s="50">
        <v>100</v>
      </c>
      <c r="H216" s="50">
        <v>0</v>
      </c>
      <c r="I216" s="50">
        <v>0</v>
      </c>
      <c r="J216" s="50">
        <v>50000</v>
      </c>
      <c r="K216" s="50">
        <v>50000</v>
      </c>
      <c r="L216" s="50">
        <v>0</v>
      </c>
      <c r="M216" s="50">
        <f>1*6*10000</f>
        <v>60000</v>
      </c>
      <c r="N216" s="57" t="s">
        <v>569</v>
      </c>
      <c r="O216" s="57"/>
      <c r="P216" s="57">
        <v>0</v>
      </c>
      <c r="Q216" s="57">
        <v>0</v>
      </c>
      <c r="R216" s="64">
        <v>0</v>
      </c>
    </row>
    <row r="217" customHeight="1" spans="1:18">
      <c r="A217" s="50">
        <v>208</v>
      </c>
      <c r="B217" s="53" t="s">
        <v>323</v>
      </c>
      <c r="C217" s="79" t="s">
        <v>568</v>
      </c>
      <c r="D217" s="50">
        <v>15129</v>
      </c>
      <c r="E217" s="50">
        <v>4</v>
      </c>
      <c r="F217" s="50">
        <v>103</v>
      </c>
      <c r="G217" s="50">
        <v>100</v>
      </c>
      <c r="H217" s="50">
        <v>0</v>
      </c>
      <c r="I217" s="50">
        <v>0</v>
      </c>
      <c r="J217" s="50">
        <v>60000</v>
      </c>
      <c r="K217" s="50">
        <v>60000</v>
      </c>
      <c r="L217" s="50">
        <v>0</v>
      </c>
      <c r="M217" s="50">
        <f>1*6*10000</f>
        <v>60000</v>
      </c>
      <c r="N217" s="57" t="s">
        <v>569</v>
      </c>
      <c r="O217" s="57"/>
      <c r="P217" s="57">
        <v>0</v>
      </c>
      <c r="Q217" s="57">
        <v>0</v>
      </c>
      <c r="R217" s="64">
        <v>0</v>
      </c>
    </row>
    <row r="218" customHeight="1" spans="1:18">
      <c r="A218" s="50">
        <v>209</v>
      </c>
      <c r="B218" s="53" t="s">
        <v>283</v>
      </c>
      <c r="C218" s="73" t="s">
        <v>284</v>
      </c>
      <c r="D218" s="73">
        <v>46032</v>
      </c>
      <c r="E218" s="73">
        <v>23</v>
      </c>
      <c r="F218" s="73">
        <v>1193</v>
      </c>
      <c r="G218" s="80">
        <v>5</v>
      </c>
      <c r="H218" s="50">
        <v>0</v>
      </c>
      <c r="I218" s="50">
        <v>0</v>
      </c>
      <c r="J218" s="50">
        <v>180</v>
      </c>
      <c r="K218" s="50">
        <v>0</v>
      </c>
      <c r="L218" s="50">
        <v>540</v>
      </c>
      <c r="M218" s="50">
        <f>J218</f>
        <v>180</v>
      </c>
      <c r="N218" s="57" t="s">
        <v>570</v>
      </c>
      <c r="O218" s="57"/>
      <c r="P218" s="57">
        <v>0</v>
      </c>
      <c r="Q218" s="57">
        <v>0</v>
      </c>
      <c r="R218" s="64">
        <v>0</v>
      </c>
    </row>
    <row r="219" customHeight="1" spans="1:18">
      <c r="A219" s="50">
        <v>210</v>
      </c>
      <c r="B219" s="53" t="s">
        <v>279</v>
      </c>
      <c r="C219" s="73" t="s">
        <v>280</v>
      </c>
      <c r="D219" s="73">
        <v>47029</v>
      </c>
      <c r="E219" s="73">
        <v>24</v>
      </c>
      <c r="F219" s="73">
        <v>1194</v>
      </c>
      <c r="G219" s="80">
        <v>4</v>
      </c>
      <c r="H219" s="50">
        <v>0</v>
      </c>
      <c r="I219" s="50">
        <v>0</v>
      </c>
      <c r="J219" s="50">
        <v>200</v>
      </c>
      <c r="K219" s="50">
        <v>0</v>
      </c>
      <c r="L219" s="50">
        <v>600</v>
      </c>
      <c r="M219" s="50">
        <f>J219</f>
        <v>200</v>
      </c>
      <c r="N219" s="57" t="s">
        <v>571</v>
      </c>
      <c r="O219" s="57"/>
      <c r="P219" s="57">
        <v>0</v>
      </c>
      <c r="Q219" s="57">
        <v>0</v>
      </c>
      <c r="R219" s="64">
        <v>0</v>
      </c>
    </row>
  </sheetData>
  <conditionalFormatting sqref="P3:Q3">
    <cfRule type="expression" dxfId="0" priority="1">
      <formula>P3&lt;&gt;AE3</formula>
    </cfRule>
  </conditionalFormatting>
  <conditionalFormatting sqref="P195">
    <cfRule type="expression" dxfId="0" priority="18">
      <formula>P195&lt;&gt;AE195</formula>
    </cfRule>
  </conditionalFormatting>
  <conditionalFormatting sqref="Q195">
    <cfRule type="expression" dxfId="0" priority="19">
      <formula>Q195&lt;&gt;AF195</formula>
    </cfRule>
  </conditionalFormatting>
  <conditionalFormatting sqref="P196">
    <cfRule type="expression" dxfId="0" priority="16">
      <formula>P196&lt;&gt;AE196</formula>
    </cfRule>
  </conditionalFormatting>
  <conditionalFormatting sqref="Q196">
    <cfRule type="expression" dxfId="0" priority="17">
      <formula>Q196&lt;&gt;AF196</formula>
    </cfRule>
  </conditionalFormatting>
  <conditionalFormatting sqref="P26:P194">
    <cfRule type="expression" dxfId="0" priority="24">
      <formula>P26&lt;&gt;AE26</formula>
    </cfRule>
  </conditionalFormatting>
  <conditionalFormatting sqref="Q26:Q194">
    <cfRule type="expression" dxfId="0" priority="25">
      <formula>Q26&lt;&gt;AF26</formula>
    </cfRule>
  </conditionalFormatting>
  <conditionalFormatting sqref="Q27 Q29 Q31 Q33 Q35 Q37">
    <cfRule type="expression" dxfId="0" priority="23">
      <formula>Q27&lt;&gt;AF27</formula>
    </cfRule>
  </conditionalFormatting>
  <pageMargins left="0.75" right="0.75" top="1" bottom="1" header="0.5" footer="0.5"/>
  <pageSetup paperSize="1" orientation="portrait"/>
  <headerFooter>
    <oddFooter>&amp;L&amp;"Helvetica,Regular"&amp;12&amp;K000000	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N178"/>
  <sheetViews>
    <sheetView workbookViewId="0">
      <pane xSplit="1" ySplit="3" topLeftCell="B6" activePane="bottomRight" state="frozen"/>
      <selection/>
      <selection pane="topRight"/>
      <selection pane="bottomLeft"/>
      <selection pane="bottomRight" activeCell="J6" sqref="J6"/>
    </sheetView>
  </sheetViews>
  <sheetFormatPr defaultColWidth="6.59868421052632" defaultRowHeight="18" customHeight="1"/>
  <cols>
    <col min="1" max="1" width="23.6973684210526" style="4" customWidth="1"/>
    <col min="2" max="2" width="10.6973684210526" style="4" customWidth="1"/>
    <col min="3" max="3" width="11.0986842105263" style="4" customWidth="1"/>
    <col min="4" max="4" width="9.40131578947368" style="4" customWidth="1"/>
    <col min="5" max="5" width="10.4013157894737" style="4" customWidth="1"/>
    <col min="6" max="6" width="7.59868421052632" style="4" customWidth="1"/>
    <col min="7" max="7" width="10.4013157894737" style="4" customWidth="1"/>
    <col min="8" max="8" width="12.0986842105263" style="4" customWidth="1"/>
    <col min="9" max="9" width="14" style="4" customWidth="1"/>
    <col min="10" max="11" width="12.0986842105263" style="4" customWidth="1"/>
    <col min="12" max="12" width="12.5" style="4" customWidth="1"/>
    <col min="13" max="13" width="14.6973684210526" style="4" customWidth="1"/>
    <col min="14" max="14" width="16.5" style="4" customWidth="1"/>
  </cols>
  <sheetData>
    <row r="1" ht="23.1" customHeight="1" spans="1:14">
      <c r="A1" s="5" t="s">
        <v>572</v>
      </c>
      <c r="B1" s="5" t="s">
        <v>573</v>
      </c>
      <c r="C1" s="5" t="s">
        <v>574</v>
      </c>
      <c r="D1" s="5" t="s">
        <v>575</v>
      </c>
      <c r="E1" s="5" t="s">
        <v>576</v>
      </c>
      <c r="F1" s="5" t="s">
        <v>577</v>
      </c>
      <c r="G1" s="5" t="s">
        <v>578</v>
      </c>
      <c r="H1" s="5" t="s">
        <v>579</v>
      </c>
      <c r="I1" s="5" t="s">
        <v>580</v>
      </c>
      <c r="J1" s="5" t="s">
        <v>581</v>
      </c>
      <c r="K1" s="5" t="s">
        <v>582</v>
      </c>
      <c r="L1" s="5" t="s">
        <v>583</v>
      </c>
      <c r="M1" s="5" t="s">
        <v>584</v>
      </c>
      <c r="N1" s="5" t="s">
        <v>585</v>
      </c>
    </row>
    <row r="2" ht="23.1" customHeight="1" spans="1:14">
      <c r="A2" s="5" t="s">
        <v>172</v>
      </c>
      <c r="B2" s="5" t="s">
        <v>15</v>
      </c>
      <c r="C2" s="5" t="s">
        <v>15</v>
      </c>
      <c r="D2" s="5" t="s">
        <v>15</v>
      </c>
      <c r="E2" s="5" t="s">
        <v>15</v>
      </c>
      <c r="F2" s="5" t="s">
        <v>15</v>
      </c>
      <c r="G2" s="5" t="s">
        <v>15</v>
      </c>
      <c r="H2" s="5" t="s">
        <v>15</v>
      </c>
      <c r="I2" s="5" t="s">
        <v>173</v>
      </c>
      <c r="J2" s="5" t="s">
        <v>173</v>
      </c>
      <c r="K2" s="5" t="s">
        <v>15</v>
      </c>
      <c r="L2" s="5" t="s">
        <v>15</v>
      </c>
      <c r="M2" s="5" t="s">
        <v>15</v>
      </c>
      <c r="N2" s="5" t="s">
        <v>15</v>
      </c>
    </row>
    <row r="3" ht="23.1" customHeight="1" spans="1:14">
      <c r="A3" s="5" t="s">
        <v>586</v>
      </c>
      <c r="B3" s="5" t="s">
        <v>587</v>
      </c>
      <c r="C3" s="5" t="s">
        <v>588</v>
      </c>
      <c r="D3" s="5" t="s">
        <v>589</v>
      </c>
      <c r="E3" s="5" t="s">
        <v>590</v>
      </c>
      <c r="F3" s="5" t="s">
        <v>577</v>
      </c>
      <c r="G3" s="5" t="s">
        <v>591</v>
      </c>
      <c r="H3" s="5" t="s">
        <v>592</v>
      </c>
      <c r="I3" s="5" t="s">
        <v>593</v>
      </c>
      <c r="J3" s="5" t="s">
        <v>594</v>
      </c>
      <c r="K3" s="5" t="s">
        <v>595</v>
      </c>
      <c r="L3" s="5" t="s">
        <v>596</v>
      </c>
      <c r="M3" s="5" t="s">
        <v>597</v>
      </c>
      <c r="N3" s="46" t="s">
        <v>598</v>
      </c>
    </row>
    <row r="4" ht="23.1" customHeight="1" spans="1:14">
      <c r="A4" s="46" t="s">
        <v>599</v>
      </c>
      <c r="B4" s="5">
        <v>5101</v>
      </c>
      <c r="C4" s="5">
        <v>1</v>
      </c>
      <c r="D4" s="5">
        <v>25</v>
      </c>
      <c r="E4" s="5">
        <v>25</v>
      </c>
      <c r="F4" s="5">
        <v>0</v>
      </c>
      <c r="G4" s="5">
        <v>0</v>
      </c>
      <c r="H4" s="5">
        <v>1</v>
      </c>
      <c r="I4" s="5">
        <v>1.2</v>
      </c>
      <c r="J4" s="5">
        <v>0</v>
      </c>
      <c r="K4" s="5">
        <v>45</v>
      </c>
      <c r="L4" s="5">
        <v>2201</v>
      </c>
      <c r="M4" s="5" t="s">
        <v>600</v>
      </c>
      <c r="N4" s="5">
        <v>0</v>
      </c>
    </row>
    <row r="5" ht="23.1" customHeight="1" spans="1:14">
      <c r="A5" s="46" t="s">
        <v>599</v>
      </c>
      <c r="B5" s="5">
        <v>5101</v>
      </c>
      <c r="C5" s="5">
        <v>2</v>
      </c>
      <c r="D5" s="5">
        <v>26</v>
      </c>
      <c r="E5" s="5">
        <v>26</v>
      </c>
      <c r="F5" s="5">
        <v>0</v>
      </c>
      <c r="G5" s="5">
        <v>0</v>
      </c>
      <c r="H5" s="5">
        <v>1</v>
      </c>
      <c r="I5" s="5">
        <v>1.2</v>
      </c>
      <c r="J5" s="5">
        <v>0</v>
      </c>
      <c r="K5" s="5">
        <v>45</v>
      </c>
      <c r="L5" s="5">
        <v>2201</v>
      </c>
      <c r="M5" s="5" t="s">
        <v>600</v>
      </c>
      <c r="N5" s="5">
        <v>0</v>
      </c>
    </row>
    <row r="6" ht="23.1" customHeight="1" spans="1:14">
      <c r="A6" s="46" t="s">
        <v>599</v>
      </c>
      <c r="B6" s="5">
        <v>5101</v>
      </c>
      <c r="C6" s="5">
        <v>3</v>
      </c>
      <c r="D6" s="5">
        <v>27</v>
      </c>
      <c r="E6" s="5">
        <v>27</v>
      </c>
      <c r="F6" s="5">
        <v>0</v>
      </c>
      <c r="G6" s="5">
        <v>0</v>
      </c>
      <c r="H6" s="5">
        <v>1</v>
      </c>
      <c r="I6" s="5">
        <v>1.2</v>
      </c>
      <c r="J6" s="5">
        <v>0</v>
      </c>
      <c r="K6" s="5">
        <v>45</v>
      </c>
      <c r="L6" s="5">
        <v>2201</v>
      </c>
      <c r="M6" s="5" t="s">
        <v>600</v>
      </c>
      <c r="N6" s="5">
        <v>0</v>
      </c>
    </row>
    <row r="7" ht="23.1" customHeight="1" spans="1:14">
      <c r="A7" s="46" t="s">
        <v>599</v>
      </c>
      <c r="B7" s="5">
        <v>5101</v>
      </c>
      <c r="C7" s="5">
        <v>4</v>
      </c>
      <c r="D7" s="5">
        <v>28</v>
      </c>
      <c r="E7" s="5">
        <v>28</v>
      </c>
      <c r="F7" s="5">
        <v>0</v>
      </c>
      <c r="G7" s="5">
        <v>0</v>
      </c>
      <c r="H7" s="5">
        <v>1</v>
      </c>
      <c r="I7" s="5">
        <v>1.2</v>
      </c>
      <c r="J7" s="5">
        <v>0</v>
      </c>
      <c r="K7" s="5">
        <v>45</v>
      </c>
      <c r="L7" s="5">
        <v>2201</v>
      </c>
      <c r="M7" s="5" t="s">
        <v>600</v>
      </c>
      <c r="N7" s="5">
        <v>0</v>
      </c>
    </row>
    <row r="8" ht="23.1" customHeight="1" spans="1:14">
      <c r="A8" s="46" t="s">
        <v>599</v>
      </c>
      <c r="B8" s="5">
        <v>5101</v>
      </c>
      <c r="C8" s="5">
        <v>5</v>
      </c>
      <c r="D8" s="5">
        <v>29</v>
      </c>
      <c r="E8" s="5">
        <v>29</v>
      </c>
      <c r="F8" s="5">
        <v>0</v>
      </c>
      <c r="G8" s="5">
        <v>0</v>
      </c>
      <c r="H8" s="5">
        <v>1</v>
      </c>
      <c r="I8" s="5">
        <v>1.2</v>
      </c>
      <c r="J8" s="5">
        <v>0</v>
      </c>
      <c r="K8" s="5">
        <v>45</v>
      </c>
      <c r="L8" s="5">
        <v>2201</v>
      </c>
      <c r="M8" s="5" t="s">
        <v>600</v>
      </c>
      <c r="N8" s="5">
        <v>0</v>
      </c>
    </row>
    <row r="9" ht="23.1" customHeight="1" spans="1:14">
      <c r="A9" s="46" t="s">
        <v>599</v>
      </c>
      <c r="B9" s="5">
        <v>5101</v>
      </c>
      <c r="C9" s="5">
        <v>6</v>
      </c>
      <c r="D9" s="5">
        <v>30</v>
      </c>
      <c r="E9" s="5">
        <v>30</v>
      </c>
      <c r="F9" s="5">
        <v>0</v>
      </c>
      <c r="G9" s="5">
        <v>0</v>
      </c>
      <c r="H9" s="5">
        <v>1</v>
      </c>
      <c r="I9" s="5">
        <v>1.2</v>
      </c>
      <c r="J9" s="5">
        <v>0</v>
      </c>
      <c r="K9" s="5">
        <v>45</v>
      </c>
      <c r="L9" s="5">
        <v>2201</v>
      </c>
      <c r="M9" s="5" t="s">
        <v>600</v>
      </c>
      <c r="N9" s="5">
        <v>0</v>
      </c>
    </row>
    <row r="10" ht="23.1" customHeight="1" spans="1:14">
      <c r="A10" s="46" t="s">
        <v>599</v>
      </c>
      <c r="B10" s="5">
        <v>5101</v>
      </c>
      <c r="C10" s="5">
        <v>7</v>
      </c>
      <c r="D10" s="5">
        <v>31</v>
      </c>
      <c r="E10" s="5">
        <v>31</v>
      </c>
      <c r="F10" s="5">
        <v>0</v>
      </c>
      <c r="G10" s="5">
        <v>0</v>
      </c>
      <c r="H10" s="5">
        <v>1</v>
      </c>
      <c r="I10" s="5">
        <v>1.2</v>
      </c>
      <c r="J10" s="5">
        <v>0</v>
      </c>
      <c r="K10" s="5">
        <v>45</v>
      </c>
      <c r="L10" s="5">
        <v>2201</v>
      </c>
      <c r="M10" s="5" t="s">
        <v>600</v>
      </c>
      <c r="N10" s="5">
        <v>0</v>
      </c>
    </row>
    <row r="11" ht="23.1" customHeight="1" spans="1:14">
      <c r="A11" s="46" t="s">
        <v>599</v>
      </c>
      <c r="B11" s="5">
        <v>5101</v>
      </c>
      <c r="C11" s="5">
        <v>8</v>
      </c>
      <c r="D11" s="5">
        <v>32</v>
      </c>
      <c r="E11" s="5">
        <v>32</v>
      </c>
      <c r="F11" s="5">
        <v>0</v>
      </c>
      <c r="G11" s="5">
        <v>0</v>
      </c>
      <c r="H11" s="5">
        <v>1</v>
      </c>
      <c r="I11" s="5">
        <v>1.2</v>
      </c>
      <c r="J11" s="5">
        <v>0</v>
      </c>
      <c r="K11" s="5">
        <v>45</v>
      </c>
      <c r="L11" s="5">
        <v>2201</v>
      </c>
      <c r="M11" s="5" t="s">
        <v>600</v>
      </c>
      <c r="N11" s="5">
        <v>0</v>
      </c>
    </row>
    <row r="12" ht="23.1" customHeight="1" spans="1:14">
      <c r="A12" s="46" t="s">
        <v>599</v>
      </c>
      <c r="B12" s="5">
        <v>5101</v>
      </c>
      <c r="C12" s="5">
        <v>9</v>
      </c>
      <c r="D12" s="5">
        <v>33</v>
      </c>
      <c r="E12" s="5">
        <v>33</v>
      </c>
      <c r="F12" s="5">
        <v>0</v>
      </c>
      <c r="G12" s="5">
        <v>0</v>
      </c>
      <c r="H12" s="5">
        <v>1</v>
      </c>
      <c r="I12" s="5">
        <v>1.2</v>
      </c>
      <c r="J12" s="5">
        <v>0</v>
      </c>
      <c r="K12" s="5">
        <v>45</v>
      </c>
      <c r="L12" s="5">
        <v>2201</v>
      </c>
      <c r="M12" s="5" t="s">
        <v>600</v>
      </c>
      <c r="N12" s="5">
        <v>0</v>
      </c>
    </row>
    <row r="13" ht="23.1" customHeight="1" spans="1:14">
      <c r="A13" s="46" t="s">
        <v>599</v>
      </c>
      <c r="B13" s="5">
        <v>5101</v>
      </c>
      <c r="C13" s="5">
        <v>10</v>
      </c>
      <c r="D13" s="5">
        <v>34</v>
      </c>
      <c r="E13" s="5">
        <v>34</v>
      </c>
      <c r="F13" s="5">
        <v>0</v>
      </c>
      <c r="G13" s="5">
        <v>0</v>
      </c>
      <c r="H13" s="5">
        <v>1</v>
      </c>
      <c r="I13" s="5">
        <v>1.2</v>
      </c>
      <c r="J13" s="5">
        <v>0</v>
      </c>
      <c r="K13" s="5">
        <v>45</v>
      </c>
      <c r="L13" s="5">
        <v>2201</v>
      </c>
      <c r="M13" s="5" t="s">
        <v>600</v>
      </c>
      <c r="N13" s="5">
        <v>0</v>
      </c>
    </row>
    <row r="14" ht="23.1" customHeight="1" spans="1:14">
      <c r="A14" s="46" t="s">
        <v>599</v>
      </c>
      <c r="B14" s="5">
        <v>5101</v>
      </c>
      <c r="C14" s="5">
        <v>11</v>
      </c>
      <c r="D14" s="5">
        <v>35</v>
      </c>
      <c r="E14" s="5">
        <v>35</v>
      </c>
      <c r="F14" s="5">
        <v>0</v>
      </c>
      <c r="G14" s="5">
        <v>0</v>
      </c>
      <c r="H14" s="5">
        <v>1</v>
      </c>
      <c r="I14" s="5">
        <v>1.2</v>
      </c>
      <c r="J14" s="5">
        <v>0</v>
      </c>
      <c r="K14" s="5">
        <v>45</v>
      </c>
      <c r="L14" s="5">
        <v>2201</v>
      </c>
      <c r="M14" s="5" t="s">
        <v>600</v>
      </c>
      <c r="N14" s="5">
        <v>0</v>
      </c>
    </row>
    <row r="15" ht="23.1" customHeight="1" spans="1:14">
      <c r="A15" s="46" t="s">
        <v>599</v>
      </c>
      <c r="B15" s="5">
        <v>5101</v>
      </c>
      <c r="C15" s="5">
        <v>12</v>
      </c>
      <c r="D15" s="5">
        <v>36</v>
      </c>
      <c r="E15" s="5">
        <v>36</v>
      </c>
      <c r="F15" s="5">
        <v>0</v>
      </c>
      <c r="G15" s="5">
        <v>0</v>
      </c>
      <c r="H15" s="5">
        <v>1</v>
      </c>
      <c r="I15" s="5">
        <v>1.2</v>
      </c>
      <c r="J15" s="5">
        <v>0</v>
      </c>
      <c r="K15" s="5">
        <v>45</v>
      </c>
      <c r="L15" s="5">
        <v>2201</v>
      </c>
      <c r="M15" s="5" t="s">
        <v>600</v>
      </c>
      <c r="N15" s="5">
        <v>0</v>
      </c>
    </row>
    <row r="16" ht="23.1" customHeight="1" spans="1:14">
      <c r="A16" s="46" t="s">
        <v>599</v>
      </c>
      <c r="B16" s="5">
        <v>5101</v>
      </c>
      <c r="C16" s="5">
        <v>13</v>
      </c>
      <c r="D16" s="5">
        <v>37</v>
      </c>
      <c r="E16" s="5">
        <v>37</v>
      </c>
      <c r="F16" s="5">
        <v>0</v>
      </c>
      <c r="G16" s="5">
        <v>0</v>
      </c>
      <c r="H16" s="5">
        <v>1</v>
      </c>
      <c r="I16" s="5">
        <v>1.2</v>
      </c>
      <c r="J16" s="5">
        <v>0</v>
      </c>
      <c r="K16" s="5">
        <v>45</v>
      </c>
      <c r="L16" s="5">
        <v>2201</v>
      </c>
      <c r="M16" s="5" t="s">
        <v>600</v>
      </c>
      <c r="N16" s="5">
        <v>0</v>
      </c>
    </row>
    <row r="17" ht="23.1" customHeight="1" spans="1:14">
      <c r="A17" s="46" t="s">
        <v>599</v>
      </c>
      <c r="B17" s="5">
        <v>5101</v>
      </c>
      <c r="C17" s="5">
        <v>14</v>
      </c>
      <c r="D17" s="5">
        <v>38</v>
      </c>
      <c r="E17" s="5">
        <v>38</v>
      </c>
      <c r="F17" s="5">
        <v>0</v>
      </c>
      <c r="G17" s="5">
        <v>0</v>
      </c>
      <c r="H17" s="5">
        <v>1</v>
      </c>
      <c r="I17" s="5">
        <v>1.2</v>
      </c>
      <c r="J17" s="5">
        <v>0</v>
      </c>
      <c r="K17" s="5">
        <v>45</v>
      </c>
      <c r="L17" s="5">
        <v>2201</v>
      </c>
      <c r="M17" s="5" t="s">
        <v>600</v>
      </c>
      <c r="N17" s="5">
        <v>0</v>
      </c>
    </row>
    <row r="18" ht="23.1" customHeight="1" spans="1:14">
      <c r="A18" s="46" t="s">
        <v>599</v>
      </c>
      <c r="B18" s="5">
        <v>5101</v>
      </c>
      <c r="C18" s="5">
        <v>15</v>
      </c>
      <c r="D18" s="5">
        <v>39</v>
      </c>
      <c r="E18" s="5">
        <v>39</v>
      </c>
      <c r="F18" s="5">
        <v>0</v>
      </c>
      <c r="G18" s="5">
        <v>0</v>
      </c>
      <c r="H18" s="5">
        <v>1</v>
      </c>
      <c r="I18" s="5">
        <v>1.2</v>
      </c>
      <c r="J18" s="5">
        <v>0</v>
      </c>
      <c r="K18" s="5">
        <v>45</v>
      </c>
      <c r="L18" s="5">
        <v>2201</v>
      </c>
      <c r="M18" s="5" t="s">
        <v>600</v>
      </c>
      <c r="N18" s="5">
        <v>0</v>
      </c>
    </row>
    <row r="19" ht="23.1" customHeight="1" spans="1:14">
      <c r="A19" s="46" t="s">
        <v>599</v>
      </c>
      <c r="B19" s="5">
        <v>5101</v>
      </c>
      <c r="C19" s="5">
        <v>16</v>
      </c>
      <c r="D19" s="5">
        <v>40</v>
      </c>
      <c r="E19" s="5">
        <v>40</v>
      </c>
      <c r="F19" s="5">
        <v>0</v>
      </c>
      <c r="G19" s="5">
        <v>0</v>
      </c>
      <c r="H19" s="5">
        <v>1</v>
      </c>
      <c r="I19" s="5">
        <v>1.2</v>
      </c>
      <c r="J19" s="5">
        <v>0</v>
      </c>
      <c r="K19" s="5">
        <v>45</v>
      </c>
      <c r="L19" s="5">
        <v>2201</v>
      </c>
      <c r="M19" s="5" t="s">
        <v>600</v>
      </c>
      <c r="N19" s="5">
        <v>0</v>
      </c>
    </row>
    <row r="20" ht="23.1" customHeight="1" spans="1:14">
      <c r="A20" s="46" t="s">
        <v>599</v>
      </c>
      <c r="B20" s="5">
        <v>5101</v>
      </c>
      <c r="C20" s="5">
        <v>17</v>
      </c>
      <c r="D20" s="5">
        <v>41</v>
      </c>
      <c r="E20" s="5">
        <v>41</v>
      </c>
      <c r="F20" s="5">
        <v>0</v>
      </c>
      <c r="G20" s="5">
        <v>0</v>
      </c>
      <c r="H20" s="5">
        <v>1</v>
      </c>
      <c r="I20" s="5">
        <v>1.2</v>
      </c>
      <c r="J20" s="5">
        <v>0</v>
      </c>
      <c r="K20" s="5">
        <v>45</v>
      </c>
      <c r="L20" s="5">
        <v>2201</v>
      </c>
      <c r="M20" s="5" t="s">
        <v>600</v>
      </c>
      <c r="N20" s="5">
        <v>0</v>
      </c>
    </row>
    <row r="21" ht="23.1" customHeight="1" spans="1:14">
      <c r="A21" s="46" t="s">
        <v>599</v>
      </c>
      <c r="B21" s="5">
        <v>5101</v>
      </c>
      <c r="C21" s="5">
        <v>18</v>
      </c>
      <c r="D21" s="5">
        <v>42</v>
      </c>
      <c r="E21" s="5">
        <v>42</v>
      </c>
      <c r="F21" s="5">
        <v>0</v>
      </c>
      <c r="G21" s="5">
        <v>0</v>
      </c>
      <c r="H21" s="5">
        <v>1</v>
      </c>
      <c r="I21" s="5">
        <v>1.2</v>
      </c>
      <c r="J21" s="5">
        <v>0</v>
      </c>
      <c r="K21" s="5">
        <v>45</v>
      </c>
      <c r="L21" s="5">
        <v>2201</v>
      </c>
      <c r="M21" s="5" t="s">
        <v>600</v>
      </c>
      <c r="N21" s="5">
        <v>0</v>
      </c>
    </row>
    <row r="22" ht="23.1" customHeight="1" spans="1:14">
      <c r="A22" s="46" t="s">
        <v>599</v>
      </c>
      <c r="B22" s="5">
        <v>5101</v>
      </c>
      <c r="C22" s="5">
        <v>19</v>
      </c>
      <c r="D22" s="5">
        <v>43</v>
      </c>
      <c r="E22" s="5">
        <v>43</v>
      </c>
      <c r="F22" s="5">
        <v>0</v>
      </c>
      <c r="G22" s="5">
        <v>0</v>
      </c>
      <c r="H22" s="5">
        <v>1</v>
      </c>
      <c r="I22" s="5">
        <v>1.2</v>
      </c>
      <c r="J22" s="5">
        <v>0</v>
      </c>
      <c r="K22" s="5">
        <v>45</v>
      </c>
      <c r="L22" s="5">
        <v>2201</v>
      </c>
      <c r="M22" s="5" t="s">
        <v>600</v>
      </c>
      <c r="N22" s="5">
        <v>0</v>
      </c>
    </row>
    <row r="23" ht="23.1" customHeight="1" spans="1:14">
      <c r="A23" s="46" t="s">
        <v>599</v>
      </c>
      <c r="B23" s="5">
        <v>5101</v>
      </c>
      <c r="C23" s="5">
        <v>20</v>
      </c>
      <c r="D23" s="5">
        <v>44</v>
      </c>
      <c r="E23" s="5">
        <v>44</v>
      </c>
      <c r="F23" s="5">
        <v>0</v>
      </c>
      <c r="G23" s="5">
        <v>0</v>
      </c>
      <c r="H23" s="5">
        <v>1</v>
      </c>
      <c r="I23" s="5">
        <v>1.2</v>
      </c>
      <c r="J23" s="5">
        <v>0</v>
      </c>
      <c r="K23" s="5">
        <v>45</v>
      </c>
      <c r="L23" s="5">
        <v>2201</v>
      </c>
      <c r="M23" s="5" t="s">
        <v>600</v>
      </c>
      <c r="N23" s="5">
        <v>0</v>
      </c>
    </row>
    <row r="24" ht="23.1" customHeight="1" spans="1:14">
      <c r="A24" s="46" t="s">
        <v>599</v>
      </c>
      <c r="B24" s="5">
        <v>5101</v>
      </c>
      <c r="C24" s="5">
        <v>21</v>
      </c>
      <c r="D24" s="5">
        <v>45</v>
      </c>
      <c r="E24" s="5">
        <v>45</v>
      </c>
      <c r="F24" s="5">
        <v>0</v>
      </c>
      <c r="G24" s="5">
        <v>0</v>
      </c>
      <c r="H24" s="5">
        <v>1</v>
      </c>
      <c r="I24" s="5">
        <v>1.2</v>
      </c>
      <c r="J24" s="5">
        <v>0</v>
      </c>
      <c r="K24" s="5">
        <v>45</v>
      </c>
      <c r="L24" s="5">
        <v>2201</v>
      </c>
      <c r="M24" s="5" t="s">
        <v>600</v>
      </c>
      <c r="N24" s="5">
        <v>0</v>
      </c>
    </row>
    <row r="25" ht="23.1" customHeight="1" spans="1:14">
      <c r="A25" s="46" t="s">
        <v>599</v>
      </c>
      <c r="B25" s="5">
        <v>5101</v>
      </c>
      <c r="C25" s="5">
        <v>22</v>
      </c>
      <c r="D25" s="5">
        <v>46</v>
      </c>
      <c r="E25" s="5">
        <v>46</v>
      </c>
      <c r="F25" s="5">
        <v>0</v>
      </c>
      <c r="G25" s="5">
        <v>0</v>
      </c>
      <c r="H25" s="5">
        <v>1</v>
      </c>
      <c r="I25" s="5">
        <v>1.2</v>
      </c>
      <c r="J25" s="5">
        <v>0</v>
      </c>
      <c r="K25" s="5">
        <v>45</v>
      </c>
      <c r="L25" s="5">
        <v>2201</v>
      </c>
      <c r="M25" s="5" t="s">
        <v>600</v>
      </c>
      <c r="N25" s="5">
        <v>0</v>
      </c>
    </row>
    <row r="26" ht="23.1" customHeight="1" spans="1:14">
      <c r="A26" s="46" t="s">
        <v>599</v>
      </c>
      <c r="B26" s="5">
        <v>5101</v>
      </c>
      <c r="C26" s="5">
        <v>23</v>
      </c>
      <c r="D26" s="5">
        <v>47</v>
      </c>
      <c r="E26" s="5">
        <v>47</v>
      </c>
      <c r="F26" s="5">
        <v>0</v>
      </c>
      <c r="G26" s="5">
        <v>0</v>
      </c>
      <c r="H26" s="5">
        <v>1</v>
      </c>
      <c r="I26" s="5">
        <v>1.2</v>
      </c>
      <c r="J26" s="5">
        <v>0</v>
      </c>
      <c r="K26" s="5">
        <v>45</v>
      </c>
      <c r="L26" s="5">
        <v>2201</v>
      </c>
      <c r="M26" s="5" t="s">
        <v>600</v>
      </c>
      <c r="N26" s="5">
        <v>0</v>
      </c>
    </row>
    <row r="27" ht="23.1" customHeight="1" spans="1:14">
      <c r="A27" s="46" t="s">
        <v>599</v>
      </c>
      <c r="B27" s="5">
        <v>5101</v>
      </c>
      <c r="C27" s="5">
        <v>24</v>
      </c>
      <c r="D27" s="5">
        <v>48</v>
      </c>
      <c r="E27" s="5">
        <v>48</v>
      </c>
      <c r="F27" s="5">
        <v>0</v>
      </c>
      <c r="G27" s="5">
        <v>0</v>
      </c>
      <c r="H27" s="5">
        <v>1</v>
      </c>
      <c r="I27" s="5">
        <v>1.2</v>
      </c>
      <c r="J27" s="5">
        <v>0</v>
      </c>
      <c r="K27" s="5">
        <v>45</v>
      </c>
      <c r="L27" s="5">
        <v>2201</v>
      </c>
      <c r="M27" s="5" t="s">
        <v>600</v>
      </c>
      <c r="N27" s="5">
        <v>0</v>
      </c>
    </row>
    <row r="28" ht="23.1" customHeight="1" spans="1:14">
      <c r="A28" s="46" t="s">
        <v>599</v>
      </c>
      <c r="B28" s="5">
        <v>5101</v>
      </c>
      <c r="C28" s="5">
        <v>25</v>
      </c>
      <c r="D28" s="5">
        <v>50</v>
      </c>
      <c r="E28" s="5">
        <v>50</v>
      </c>
      <c r="F28" s="5">
        <v>0</v>
      </c>
      <c r="G28" s="5">
        <v>0</v>
      </c>
      <c r="H28" s="5">
        <v>1</v>
      </c>
      <c r="I28" s="5">
        <v>1.2</v>
      </c>
      <c r="J28" s="5">
        <v>0</v>
      </c>
      <c r="K28" s="5">
        <v>45</v>
      </c>
      <c r="L28" s="5">
        <v>2201</v>
      </c>
      <c r="M28" s="5" t="s">
        <v>600</v>
      </c>
      <c r="N28" s="5">
        <v>0</v>
      </c>
    </row>
    <row r="29" ht="23.1" customHeight="1" spans="1:14">
      <c r="A29" s="46" t="s">
        <v>601</v>
      </c>
      <c r="B29" s="5">
        <v>5103</v>
      </c>
      <c r="C29" s="5">
        <v>1</v>
      </c>
      <c r="D29" s="7">
        <v>24</v>
      </c>
      <c r="E29" s="7">
        <v>0</v>
      </c>
      <c r="F29" s="7">
        <v>0</v>
      </c>
      <c r="G29" s="7">
        <v>3</v>
      </c>
      <c r="H29" s="7">
        <v>8</v>
      </c>
      <c r="I29" s="7">
        <v>0.3</v>
      </c>
      <c r="J29" s="7">
        <v>0</v>
      </c>
      <c r="K29" s="5">
        <v>50</v>
      </c>
      <c r="L29" s="7">
        <v>2203</v>
      </c>
      <c r="M29" s="5" t="s">
        <v>600</v>
      </c>
      <c r="N29" s="5">
        <v>1</v>
      </c>
    </row>
    <row r="30" ht="23.1" customHeight="1" spans="1:14">
      <c r="A30" s="46" t="s">
        <v>601</v>
      </c>
      <c r="B30" s="5">
        <v>5103</v>
      </c>
      <c r="C30" s="5">
        <v>2</v>
      </c>
      <c r="D30" s="7">
        <v>27</v>
      </c>
      <c r="E30" s="7">
        <v>0</v>
      </c>
      <c r="F30" s="7">
        <v>0</v>
      </c>
      <c r="G30" s="7">
        <v>3</v>
      </c>
      <c r="H30" s="7">
        <v>9</v>
      </c>
      <c r="I30" s="7">
        <v>0.3</v>
      </c>
      <c r="J30" s="7">
        <v>0</v>
      </c>
      <c r="K30" s="5">
        <v>50</v>
      </c>
      <c r="L30" s="7">
        <v>2203</v>
      </c>
      <c r="M30" s="5" t="s">
        <v>600</v>
      </c>
      <c r="N30" s="5">
        <v>1</v>
      </c>
    </row>
    <row r="31" ht="23.1" customHeight="1" spans="1:14">
      <c r="A31" s="46" t="s">
        <v>601</v>
      </c>
      <c r="B31" s="5">
        <v>5103</v>
      </c>
      <c r="C31" s="5">
        <v>3</v>
      </c>
      <c r="D31" s="7">
        <v>30</v>
      </c>
      <c r="E31" s="7">
        <v>0</v>
      </c>
      <c r="F31" s="7">
        <v>0</v>
      </c>
      <c r="G31" s="7">
        <v>3</v>
      </c>
      <c r="H31" s="7">
        <v>10</v>
      </c>
      <c r="I31" s="7">
        <v>0.3</v>
      </c>
      <c r="J31" s="7">
        <v>0</v>
      </c>
      <c r="K31" s="5">
        <v>50</v>
      </c>
      <c r="L31" s="7">
        <v>2203</v>
      </c>
      <c r="M31" s="5" t="s">
        <v>600</v>
      </c>
      <c r="N31" s="5">
        <v>1</v>
      </c>
    </row>
    <row r="32" ht="23.1" customHeight="1" spans="1:14">
      <c r="A32" s="46" t="s">
        <v>601</v>
      </c>
      <c r="B32" s="5">
        <v>5103</v>
      </c>
      <c r="C32" s="5">
        <v>4</v>
      </c>
      <c r="D32" s="7">
        <v>30</v>
      </c>
      <c r="E32" s="7">
        <v>0</v>
      </c>
      <c r="F32" s="7">
        <v>0</v>
      </c>
      <c r="G32" s="7">
        <v>3</v>
      </c>
      <c r="H32" s="7">
        <v>10</v>
      </c>
      <c r="I32" s="7">
        <v>0.3</v>
      </c>
      <c r="J32" s="7">
        <v>0</v>
      </c>
      <c r="K32" s="5">
        <v>50</v>
      </c>
      <c r="L32" s="7">
        <v>2203</v>
      </c>
      <c r="M32" s="5" t="s">
        <v>600</v>
      </c>
      <c r="N32" s="5">
        <v>1</v>
      </c>
    </row>
    <row r="33" ht="23.1" customHeight="1" spans="1:14">
      <c r="A33" s="46" t="s">
        <v>601</v>
      </c>
      <c r="B33" s="5">
        <v>5103</v>
      </c>
      <c r="C33" s="5">
        <v>5</v>
      </c>
      <c r="D33" s="7">
        <v>33</v>
      </c>
      <c r="E33" s="7">
        <v>0</v>
      </c>
      <c r="F33" s="7">
        <v>0</v>
      </c>
      <c r="G33" s="7">
        <v>3</v>
      </c>
      <c r="H33" s="7">
        <v>11</v>
      </c>
      <c r="I33" s="7">
        <v>0.3</v>
      </c>
      <c r="J33" s="7">
        <v>0</v>
      </c>
      <c r="K33" s="5">
        <v>50</v>
      </c>
      <c r="L33" s="7">
        <v>2203</v>
      </c>
      <c r="M33" s="5" t="s">
        <v>600</v>
      </c>
      <c r="N33" s="5">
        <v>1</v>
      </c>
    </row>
    <row r="34" ht="23.1" customHeight="1" spans="1:14">
      <c r="A34" s="46" t="s">
        <v>601</v>
      </c>
      <c r="B34" s="5">
        <v>5103</v>
      </c>
      <c r="C34" s="5">
        <v>6</v>
      </c>
      <c r="D34" s="7">
        <v>36</v>
      </c>
      <c r="E34" s="7">
        <v>0</v>
      </c>
      <c r="F34" s="7">
        <v>0</v>
      </c>
      <c r="G34" s="7">
        <v>3</v>
      </c>
      <c r="H34" s="7">
        <v>12</v>
      </c>
      <c r="I34" s="7">
        <v>0.3</v>
      </c>
      <c r="J34" s="7">
        <v>0</v>
      </c>
      <c r="K34" s="5">
        <v>50</v>
      </c>
      <c r="L34" s="7">
        <v>2203</v>
      </c>
      <c r="M34" s="5" t="s">
        <v>600</v>
      </c>
      <c r="N34" s="5">
        <v>1</v>
      </c>
    </row>
    <row r="35" ht="23.1" customHeight="1" spans="1:14">
      <c r="A35" s="46" t="s">
        <v>601</v>
      </c>
      <c r="B35" s="5">
        <v>5103</v>
      </c>
      <c r="C35" s="5">
        <v>7</v>
      </c>
      <c r="D35" s="7">
        <v>39</v>
      </c>
      <c r="E35" s="7">
        <v>0</v>
      </c>
      <c r="F35" s="7">
        <v>0</v>
      </c>
      <c r="G35" s="7">
        <v>3</v>
      </c>
      <c r="H35" s="7">
        <v>13</v>
      </c>
      <c r="I35" s="7">
        <v>0.3</v>
      </c>
      <c r="J35" s="7">
        <v>0</v>
      </c>
      <c r="K35" s="5">
        <v>50</v>
      </c>
      <c r="L35" s="7">
        <v>2203</v>
      </c>
      <c r="M35" s="5" t="s">
        <v>600</v>
      </c>
      <c r="N35" s="5">
        <v>1</v>
      </c>
    </row>
    <row r="36" ht="23.1" customHeight="1" spans="1:14">
      <c r="A36" s="46" t="s">
        <v>601</v>
      </c>
      <c r="B36" s="5">
        <v>5103</v>
      </c>
      <c r="C36" s="5">
        <v>8</v>
      </c>
      <c r="D36" s="7">
        <v>42</v>
      </c>
      <c r="E36" s="7">
        <v>0</v>
      </c>
      <c r="F36" s="7">
        <v>0</v>
      </c>
      <c r="G36" s="7">
        <v>3</v>
      </c>
      <c r="H36" s="7">
        <v>14</v>
      </c>
      <c r="I36" s="7">
        <v>0.3</v>
      </c>
      <c r="J36" s="7">
        <v>0</v>
      </c>
      <c r="K36" s="5">
        <v>50</v>
      </c>
      <c r="L36" s="7">
        <v>2203</v>
      </c>
      <c r="M36" s="5" t="s">
        <v>600</v>
      </c>
      <c r="N36" s="5">
        <v>1</v>
      </c>
    </row>
    <row r="37" ht="23.1" customHeight="1" spans="1:14">
      <c r="A37" s="46" t="s">
        <v>601</v>
      </c>
      <c r="B37" s="5">
        <v>5103</v>
      </c>
      <c r="C37" s="5">
        <v>9</v>
      </c>
      <c r="D37" s="7">
        <v>42</v>
      </c>
      <c r="E37" s="7">
        <v>0</v>
      </c>
      <c r="F37" s="7">
        <v>0</v>
      </c>
      <c r="G37" s="7">
        <v>3</v>
      </c>
      <c r="H37" s="7">
        <v>14</v>
      </c>
      <c r="I37" s="7">
        <v>0.3</v>
      </c>
      <c r="J37" s="7">
        <v>0</v>
      </c>
      <c r="K37" s="5">
        <v>50</v>
      </c>
      <c r="L37" s="7">
        <v>2203</v>
      </c>
      <c r="M37" s="5" t="s">
        <v>600</v>
      </c>
      <c r="N37" s="5">
        <v>1</v>
      </c>
    </row>
    <row r="38" ht="23.1" customHeight="1" spans="1:14">
      <c r="A38" s="46" t="s">
        <v>601</v>
      </c>
      <c r="B38" s="5">
        <v>5103</v>
      </c>
      <c r="C38" s="5">
        <v>10</v>
      </c>
      <c r="D38" s="7">
        <v>45</v>
      </c>
      <c r="E38" s="7">
        <v>0</v>
      </c>
      <c r="F38" s="7">
        <v>0</v>
      </c>
      <c r="G38" s="7">
        <v>3</v>
      </c>
      <c r="H38" s="7">
        <v>15</v>
      </c>
      <c r="I38" s="7">
        <v>0.3</v>
      </c>
      <c r="J38" s="7">
        <v>0</v>
      </c>
      <c r="K38" s="5">
        <v>50</v>
      </c>
      <c r="L38" s="7">
        <v>2203</v>
      </c>
      <c r="M38" s="5" t="s">
        <v>600</v>
      </c>
      <c r="N38" s="5">
        <v>1</v>
      </c>
    </row>
    <row r="39" ht="23.1" customHeight="1" spans="1:14">
      <c r="A39" s="46" t="s">
        <v>601</v>
      </c>
      <c r="B39" s="5">
        <v>5103</v>
      </c>
      <c r="C39" s="5">
        <v>11</v>
      </c>
      <c r="D39" s="7">
        <v>48</v>
      </c>
      <c r="E39" s="7">
        <v>0</v>
      </c>
      <c r="F39" s="7">
        <v>0</v>
      </c>
      <c r="G39" s="7">
        <v>3</v>
      </c>
      <c r="H39" s="7">
        <v>16</v>
      </c>
      <c r="I39" s="7">
        <v>0.3</v>
      </c>
      <c r="J39" s="7">
        <v>0</v>
      </c>
      <c r="K39" s="5">
        <v>50</v>
      </c>
      <c r="L39" s="7">
        <v>2203</v>
      </c>
      <c r="M39" s="5" t="s">
        <v>600</v>
      </c>
      <c r="N39" s="5">
        <v>1</v>
      </c>
    </row>
    <row r="40" ht="23.1" customHeight="1" spans="1:14">
      <c r="A40" s="46" t="s">
        <v>601</v>
      </c>
      <c r="B40" s="5">
        <v>5103</v>
      </c>
      <c r="C40" s="5">
        <v>12</v>
      </c>
      <c r="D40" s="7">
        <v>51</v>
      </c>
      <c r="E40" s="7">
        <v>0</v>
      </c>
      <c r="F40" s="7">
        <v>0</v>
      </c>
      <c r="G40" s="7">
        <v>3</v>
      </c>
      <c r="H40" s="7">
        <v>17</v>
      </c>
      <c r="I40" s="7">
        <v>0.3</v>
      </c>
      <c r="J40" s="7">
        <v>0</v>
      </c>
      <c r="K40" s="5">
        <v>50</v>
      </c>
      <c r="L40" s="7">
        <v>2203</v>
      </c>
      <c r="M40" s="5" t="s">
        <v>600</v>
      </c>
      <c r="N40" s="5">
        <v>1</v>
      </c>
    </row>
    <row r="41" ht="23.1" customHeight="1" spans="1:14">
      <c r="A41" s="46" t="s">
        <v>601</v>
      </c>
      <c r="B41" s="5">
        <v>5103</v>
      </c>
      <c r="C41" s="5">
        <v>13</v>
      </c>
      <c r="D41" s="7">
        <v>54</v>
      </c>
      <c r="E41" s="7">
        <v>0</v>
      </c>
      <c r="F41" s="7">
        <v>0</v>
      </c>
      <c r="G41" s="7">
        <v>3</v>
      </c>
      <c r="H41" s="7">
        <v>18</v>
      </c>
      <c r="I41" s="7">
        <v>0.3</v>
      </c>
      <c r="J41" s="7">
        <v>0</v>
      </c>
      <c r="K41" s="5">
        <v>50</v>
      </c>
      <c r="L41" s="7">
        <v>2203</v>
      </c>
      <c r="M41" s="5" t="s">
        <v>600</v>
      </c>
      <c r="N41" s="5">
        <v>1</v>
      </c>
    </row>
    <row r="42" ht="23.1" customHeight="1" spans="1:14">
      <c r="A42" s="46" t="s">
        <v>601</v>
      </c>
      <c r="B42" s="5">
        <v>5103</v>
      </c>
      <c r="C42" s="5">
        <v>14</v>
      </c>
      <c r="D42" s="7">
        <v>54</v>
      </c>
      <c r="E42" s="7">
        <v>0</v>
      </c>
      <c r="F42" s="7">
        <v>0</v>
      </c>
      <c r="G42" s="7">
        <v>3</v>
      </c>
      <c r="H42" s="7">
        <v>18</v>
      </c>
      <c r="I42" s="7">
        <v>0.3</v>
      </c>
      <c r="J42" s="7">
        <v>0</v>
      </c>
      <c r="K42" s="5">
        <v>50</v>
      </c>
      <c r="L42" s="7">
        <v>2203</v>
      </c>
      <c r="M42" s="5" t="s">
        <v>600</v>
      </c>
      <c r="N42" s="5">
        <v>1</v>
      </c>
    </row>
    <row r="43" ht="23.1" customHeight="1" spans="1:14">
      <c r="A43" s="46" t="s">
        <v>601</v>
      </c>
      <c r="B43" s="5">
        <v>5103</v>
      </c>
      <c r="C43" s="5">
        <v>15</v>
      </c>
      <c r="D43" s="7">
        <v>57</v>
      </c>
      <c r="E43" s="7">
        <v>0</v>
      </c>
      <c r="F43" s="7">
        <v>0</v>
      </c>
      <c r="G43" s="7">
        <v>3</v>
      </c>
      <c r="H43" s="7">
        <v>19</v>
      </c>
      <c r="I43" s="7">
        <v>0.3</v>
      </c>
      <c r="J43" s="7">
        <v>0</v>
      </c>
      <c r="K43" s="5">
        <v>50</v>
      </c>
      <c r="L43" s="7">
        <v>2203</v>
      </c>
      <c r="M43" s="5" t="s">
        <v>600</v>
      </c>
      <c r="N43" s="5">
        <v>1</v>
      </c>
    </row>
    <row r="44" ht="23.1" customHeight="1" spans="1:14">
      <c r="A44" s="46" t="s">
        <v>601</v>
      </c>
      <c r="B44" s="5">
        <v>5103</v>
      </c>
      <c r="C44" s="5">
        <v>16</v>
      </c>
      <c r="D44" s="7">
        <v>60</v>
      </c>
      <c r="E44" s="7">
        <v>0</v>
      </c>
      <c r="F44" s="7">
        <v>0</v>
      </c>
      <c r="G44" s="7">
        <v>3</v>
      </c>
      <c r="H44" s="7">
        <v>20</v>
      </c>
      <c r="I44" s="7">
        <v>0.3</v>
      </c>
      <c r="J44" s="7">
        <v>0</v>
      </c>
      <c r="K44" s="5">
        <v>50</v>
      </c>
      <c r="L44" s="7">
        <v>2203</v>
      </c>
      <c r="M44" s="5" t="s">
        <v>600</v>
      </c>
      <c r="N44" s="5">
        <v>1</v>
      </c>
    </row>
    <row r="45" ht="23.1" customHeight="1" spans="1:14">
      <c r="A45" s="46" t="s">
        <v>601</v>
      </c>
      <c r="B45" s="5">
        <v>5103</v>
      </c>
      <c r="C45" s="5">
        <v>17</v>
      </c>
      <c r="D45" s="7">
        <v>63</v>
      </c>
      <c r="E45" s="7">
        <v>0</v>
      </c>
      <c r="F45" s="7">
        <v>0</v>
      </c>
      <c r="G45" s="7">
        <v>3</v>
      </c>
      <c r="H45" s="7">
        <v>21</v>
      </c>
      <c r="I45" s="7">
        <v>0.3</v>
      </c>
      <c r="J45" s="7">
        <v>0</v>
      </c>
      <c r="K45" s="5">
        <v>50</v>
      </c>
      <c r="L45" s="7">
        <v>2203</v>
      </c>
      <c r="M45" s="5" t="s">
        <v>600</v>
      </c>
      <c r="N45" s="5">
        <v>1</v>
      </c>
    </row>
    <row r="46" ht="23.1" customHeight="1" spans="1:14">
      <c r="A46" s="46" t="s">
        <v>601</v>
      </c>
      <c r="B46" s="5">
        <v>5103</v>
      </c>
      <c r="C46" s="5">
        <v>18</v>
      </c>
      <c r="D46" s="7">
        <v>66</v>
      </c>
      <c r="E46" s="7">
        <v>0</v>
      </c>
      <c r="F46" s="7">
        <v>0</v>
      </c>
      <c r="G46" s="7">
        <v>3</v>
      </c>
      <c r="H46" s="7">
        <v>22</v>
      </c>
      <c r="I46" s="7">
        <v>0.3</v>
      </c>
      <c r="J46" s="7">
        <v>0</v>
      </c>
      <c r="K46" s="5">
        <v>50</v>
      </c>
      <c r="L46" s="7">
        <v>2203</v>
      </c>
      <c r="M46" s="5" t="s">
        <v>600</v>
      </c>
      <c r="N46" s="5">
        <v>1</v>
      </c>
    </row>
    <row r="47" ht="23.1" customHeight="1" spans="1:14">
      <c r="A47" s="46" t="s">
        <v>601</v>
      </c>
      <c r="B47" s="5">
        <v>5103</v>
      </c>
      <c r="C47" s="5">
        <v>19</v>
      </c>
      <c r="D47" s="7">
        <v>69</v>
      </c>
      <c r="E47" s="7">
        <v>0</v>
      </c>
      <c r="F47" s="7">
        <v>0</v>
      </c>
      <c r="G47" s="7">
        <v>3</v>
      </c>
      <c r="H47" s="7">
        <v>23</v>
      </c>
      <c r="I47" s="7">
        <v>0.3</v>
      </c>
      <c r="J47" s="7">
        <v>0</v>
      </c>
      <c r="K47" s="5">
        <v>50</v>
      </c>
      <c r="L47" s="7">
        <v>2203</v>
      </c>
      <c r="M47" s="5" t="s">
        <v>600</v>
      </c>
      <c r="N47" s="5">
        <v>1</v>
      </c>
    </row>
    <row r="48" ht="23.1" customHeight="1" spans="1:14">
      <c r="A48" s="46" t="s">
        <v>601</v>
      </c>
      <c r="B48" s="5">
        <v>5103</v>
      </c>
      <c r="C48" s="5">
        <v>20</v>
      </c>
      <c r="D48" s="7">
        <v>72</v>
      </c>
      <c r="E48" s="7">
        <v>0</v>
      </c>
      <c r="F48" s="7">
        <v>0</v>
      </c>
      <c r="G48" s="7">
        <v>3</v>
      </c>
      <c r="H48" s="7">
        <v>24</v>
      </c>
      <c r="I48" s="7">
        <v>0.3</v>
      </c>
      <c r="J48" s="7">
        <v>0</v>
      </c>
      <c r="K48" s="5">
        <v>50</v>
      </c>
      <c r="L48" s="7">
        <v>2203</v>
      </c>
      <c r="M48" s="5" t="s">
        <v>600</v>
      </c>
      <c r="N48" s="5">
        <v>1</v>
      </c>
    </row>
    <row r="49" ht="23.1" customHeight="1" spans="1:14">
      <c r="A49" s="46" t="s">
        <v>601</v>
      </c>
      <c r="B49" s="5">
        <v>5103</v>
      </c>
      <c r="C49" s="5">
        <v>21</v>
      </c>
      <c r="D49" s="7">
        <v>75</v>
      </c>
      <c r="E49" s="7">
        <v>0</v>
      </c>
      <c r="F49" s="7">
        <v>0</v>
      </c>
      <c r="G49" s="7">
        <v>3</v>
      </c>
      <c r="H49" s="7">
        <v>25</v>
      </c>
      <c r="I49" s="7">
        <v>0.3</v>
      </c>
      <c r="J49" s="7">
        <v>0</v>
      </c>
      <c r="K49" s="5">
        <v>50</v>
      </c>
      <c r="L49" s="7">
        <v>2203</v>
      </c>
      <c r="M49" s="5" t="s">
        <v>600</v>
      </c>
      <c r="N49" s="5">
        <v>1</v>
      </c>
    </row>
    <row r="50" ht="23.1" customHeight="1" spans="1:14">
      <c r="A50" s="46" t="s">
        <v>601</v>
      </c>
      <c r="B50" s="5">
        <v>5103</v>
      </c>
      <c r="C50" s="5">
        <v>22</v>
      </c>
      <c r="D50" s="7">
        <v>78</v>
      </c>
      <c r="E50" s="7">
        <v>0</v>
      </c>
      <c r="F50" s="7">
        <v>0</v>
      </c>
      <c r="G50" s="7">
        <v>3</v>
      </c>
      <c r="H50" s="7">
        <v>26</v>
      </c>
      <c r="I50" s="7">
        <v>0.3</v>
      </c>
      <c r="J50" s="7">
        <v>0</v>
      </c>
      <c r="K50" s="5">
        <v>50</v>
      </c>
      <c r="L50" s="7">
        <v>2203</v>
      </c>
      <c r="M50" s="5" t="s">
        <v>600</v>
      </c>
      <c r="N50" s="5">
        <v>1</v>
      </c>
    </row>
    <row r="51" ht="23.1" customHeight="1" spans="1:14">
      <c r="A51" s="46" t="s">
        <v>601</v>
      </c>
      <c r="B51" s="5">
        <v>5103</v>
      </c>
      <c r="C51" s="5">
        <v>23</v>
      </c>
      <c r="D51" s="7">
        <v>81</v>
      </c>
      <c r="E51" s="7">
        <v>0</v>
      </c>
      <c r="F51" s="7">
        <v>0</v>
      </c>
      <c r="G51" s="7">
        <v>3</v>
      </c>
      <c r="H51" s="7">
        <v>27</v>
      </c>
      <c r="I51" s="7">
        <v>0.3</v>
      </c>
      <c r="J51" s="7">
        <v>0</v>
      </c>
      <c r="K51" s="5">
        <v>50</v>
      </c>
      <c r="L51" s="7">
        <v>2203</v>
      </c>
      <c r="M51" s="5" t="s">
        <v>600</v>
      </c>
      <c r="N51" s="5">
        <v>1</v>
      </c>
    </row>
    <row r="52" ht="23.1" customHeight="1" spans="1:14">
      <c r="A52" s="46" t="s">
        <v>601</v>
      </c>
      <c r="B52" s="5">
        <v>5103</v>
      </c>
      <c r="C52" s="5">
        <v>24</v>
      </c>
      <c r="D52" s="7">
        <v>84</v>
      </c>
      <c r="E52" s="7">
        <v>0</v>
      </c>
      <c r="F52" s="7">
        <v>0</v>
      </c>
      <c r="G52" s="7">
        <v>3</v>
      </c>
      <c r="H52" s="7">
        <v>28</v>
      </c>
      <c r="I52" s="7">
        <v>0.3</v>
      </c>
      <c r="J52" s="7">
        <v>0</v>
      </c>
      <c r="K52" s="5">
        <v>50</v>
      </c>
      <c r="L52" s="7">
        <v>2203</v>
      </c>
      <c r="M52" s="5" t="s">
        <v>600</v>
      </c>
      <c r="N52" s="5">
        <v>1</v>
      </c>
    </row>
    <row r="53" ht="23.1" customHeight="1" spans="1:14">
      <c r="A53" s="46" t="s">
        <v>601</v>
      </c>
      <c r="B53" s="5">
        <v>5103</v>
      </c>
      <c r="C53" s="5">
        <v>25</v>
      </c>
      <c r="D53" s="7">
        <v>90</v>
      </c>
      <c r="E53" s="7">
        <v>0</v>
      </c>
      <c r="F53" s="7">
        <v>0</v>
      </c>
      <c r="G53" s="7">
        <v>3</v>
      </c>
      <c r="H53" s="7">
        <v>30</v>
      </c>
      <c r="I53" s="7">
        <v>0.3</v>
      </c>
      <c r="J53" s="7">
        <v>0</v>
      </c>
      <c r="K53" s="5">
        <v>50</v>
      </c>
      <c r="L53" s="7">
        <v>2203</v>
      </c>
      <c r="M53" s="5" t="s">
        <v>600</v>
      </c>
      <c r="N53" s="5">
        <v>1</v>
      </c>
    </row>
    <row r="54" ht="23.1" customHeight="1" spans="1:14">
      <c r="A54" s="46" t="s">
        <v>602</v>
      </c>
      <c r="B54" s="5">
        <v>5105</v>
      </c>
      <c r="C54" s="5">
        <v>1</v>
      </c>
      <c r="D54" s="7">
        <v>20</v>
      </c>
      <c r="E54" s="7">
        <v>2</v>
      </c>
      <c r="F54" s="7">
        <v>0</v>
      </c>
      <c r="G54" s="7">
        <v>0</v>
      </c>
      <c r="H54" s="7">
        <v>10</v>
      </c>
      <c r="I54" s="7">
        <v>0.33</v>
      </c>
      <c r="J54" s="7">
        <v>0</v>
      </c>
      <c r="K54" s="5">
        <v>60</v>
      </c>
      <c r="L54" s="7">
        <v>2205</v>
      </c>
      <c r="M54" s="5" t="s">
        <v>600</v>
      </c>
      <c r="N54" s="5">
        <v>1</v>
      </c>
    </row>
    <row r="55" ht="23.1" customHeight="1" spans="1:14">
      <c r="A55" s="46" t="s">
        <v>602</v>
      </c>
      <c r="B55" s="5">
        <v>5105</v>
      </c>
      <c r="C55" s="5">
        <v>2</v>
      </c>
      <c r="D55" s="7">
        <v>22</v>
      </c>
      <c r="E55" s="7">
        <v>2</v>
      </c>
      <c r="F55" s="7">
        <v>0</v>
      </c>
      <c r="G55" s="7">
        <v>0</v>
      </c>
      <c r="H55" s="7">
        <v>11</v>
      </c>
      <c r="I55" s="7">
        <v>0.33</v>
      </c>
      <c r="J55" s="7">
        <v>0</v>
      </c>
      <c r="K55" s="5">
        <v>60</v>
      </c>
      <c r="L55" s="7">
        <v>2205</v>
      </c>
      <c r="M55" s="5" t="s">
        <v>600</v>
      </c>
      <c r="N55" s="5">
        <v>1</v>
      </c>
    </row>
    <row r="56" ht="23.1" customHeight="1" spans="1:14">
      <c r="A56" s="46" t="s">
        <v>602</v>
      </c>
      <c r="B56" s="5">
        <v>5105</v>
      </c>
      <c r="C56" s="5">
        <v>3</v>
      </c>
      <c r="D56" s="7">
        <v>24</v>
      </c>
      <c r="E56" s="7">
        <v>2</v>
      </c>
      <c r="F56" s="7">
        <v>0</v>
      </c>
      <c r="G56" s="7">
        <v>0</v>
      </c>
      <c r="H56" s="7">
        <v>12</v>
      </c>
      <c r="I56" s="7">
        <v>0.33</v>
      </c>
      <c r="J56" s="7">
        <v>0</v>
      </c>
      <c r="K56" s="5">
        <v>60</v>
      </c>
      <c r="L56" s="7">
        <v>2205</v>
      </c>
      <c r="M56" s="5" t="s">
        <v>600</v>
      </c>
      <c r="N56" s="5">
        <v>1</v>
      </c>
    </row>
    <row r="57" ht="23.1" customHeight="1" spans="1:14">
      <c r="A57" s="46" t="s">
        <v>602</v>
      </c>
      <c r="B57" s="5">
        <v>5105</v>
      </c>
      <c r="C57" s="5">
        <v>4</v>
      </c>
      <c r="D57" s="7">
        <v>26</v>
      </c>
      <c r="E57" s="7">
        <v>2</v>
      </c>
      <c r="F57" s="7">
        <v>0</v>
      </c>
      <c r="G57" s="7">
        <v>0</v>
      </c>
      <c r="H57" s="7">
        <v>13</v>
      </c>
      <c r="I57" s="7">
        <v>0.33</v>
      </c>
      <c r="J57" s="7">
        <v>0</v>
      </c>
      <c r="K57" s="5">
        <v>60</v>
      </c>
      <c r="L57" s="7">
        <v>2205</v>
      </c>
      <c r="M57" s="5" t="s">
        <v>600</v>
      </c>
      <c r="N57" s="5">
        <v>1</v>
      </c>
    </row>
    <row r="58" ht="23.1" customHeight="1" spans="1:14">
      <c r="A58" s="46" t="s">
        <v>602</v>
      </c>
      <c r="B58" s="5">
        <v>5105</v>
      </c>
      <c r="C58" s="5">
        <v>5</v>
      </c>
      <c r="D58" s="7">
        <v>28</v>
      </c>
      <c r="E58" s="7">
        <v>2</v>
      </c>
      <c r="F58" s="7">
        <v>0</v>
      </c>
      <c r="G58" s="7">
        <v>0</v>
      </c>
      <c r="H58" s="7">
        <v>14</v>
      </c>
      <c r="I58" s="7">
        <v>0.33</v>
      </c>
      <c r="J58" s="7">
        <v>0</v>
      </c>
      <c r="K58" s="5">
        <v>60</v>
      </c>
      <c r="L58" s="7">
        <v>2205</v>
      </c>
      <c r="M58" s="5" t="s">
        <v>600</v>
      </c>
      <c r="N58" s="5">
        <v>1</v>
      </c>
    </row>
    <row r="59" ht="23.1" customHeight="1" spans="1:14">
      <c r="A59" s="46" t="s">
        <v>602</v>
      </c>
      <c r="B59" s="5">
        <v>5105</v>
      </c>
      <c r="C59" s="5">
        <v>6</v>
      </c>
      <c r="D59" s="7">
        <v>30</v>
      </c>
      <c r="E59" s="7">
        <v>2</v>
      </c>
      <c r="F59" s="7">
        <v>0</v>
      </c>
      <c r="G59" s="7">
        <v>0</v>
      </c>
      <c r="H59" s="7">
        <v>15</v>
      </c>
      <c r="I59" s="7">
        <v>0.33</v>
      </c>
      <c r="J59" s="7">
        <v>0</v>
      </c>
      <c r="K59" s="5">
        <v>60</v>
      </c>
      <c r="L59" s="7">
        <v>2205</v>
      </c>
      <c r="M59" s="5" t="s">
        <v>600</v>
      </c>
      <c r="N59" s="5">
        <v>1</v>
      </c>
    </row>
    <row r="60" ht="23.1" customHeight="1" spans="1:14">
      <c r="A60" s="46" t="s">
        <v>602</v>
      </c>
      <c r="B60" s="5">
        <v>5105</v>
      </c>
      <c r="C60" s="5">
        <v>7</v>
      </c>
      <c r="D60" s="7">
        <v>32</v>
      </c>
      <c r="E60" s="7">
        <v>2</v>
      </c>
      <c r="F60" s="7">
        <v>0</v>
      </c>
      <c r="G60" s="7">
        <v>0</v>
      </c>
      <c r="H60" s="7">
        <v>16</v>
      </c>
      <c r="I60" s="7">
        <v>0.33</v>
      </c>
      <c r="J60" s="7">
        <v>0</v>
      </c>
      <c r="K60" s="5">
        <v>60</v>
      </c>
      <c r="L60" s="7">
        <v>2205</v>
      </c>
      <c r="M60" s="5" t="s">
        <v>600</v>
      </c>
      <c r="N60" s="5">
        <v>1</v>
      </c>
    </row>
    <row r="61" ht="23.1" customHeight="1" spans="1:14">
      <c r="A61" s="46" t="s">
        <v>602</v>
      </c>
      <c r="B61" s="5">
        <v>5105</v>
      </c>
      <c r="C61" s="5">
        <v>8</v>
      </c>
      <c r="D61" s="7">
        <v>34</v>
      </c>
      <c r="E61" s="7">
        <v>2</v>
      </c>
      <c r="F61" s="7">
        <v>0</v>
      </c>
      <c r="G61" s="7">
        <v>0</v>
      </c>
      <c r="H61" s="7">
        <v>17</v>
      </c>
      <c r="I61" s="7">
        <v>0.33</v>
      </c>
      <c r="J61" s="7">
        <v>0</v>
      </c>
      <c r="K61" s="5">
        <v>60</v>
      </c>
      <c r="L61" s="7">
        <v>2205</v>
      </c>
      <c r="M61" s="5" t="s">
        <v>600</v>
      </c>
      <c r="N61" s="5">
        <v>1</v>
      </c>
    </row>
    <row r="62" ht="23.1" customHeight="1" spans="1:14">
      <c r="A62" s="46" t="s">
        <v>602</v>
      </c>
      <c r="B62" s="5">
        <v>5105</v>
      </c>
      <c r="C62" s="5">
        <v>9</v>
      </c>
      <c r="D62" s="7">
        <v>36</v>
      </c>
      <c r="E62" s="7">
        <v>2</v>
      </c>
      <c r="F62" s="7">
        <v>0</v>
      </c>
      <c r="G62" s="7">
        <v>0</v>
      </c>
      <c r="H62" s="7">
        <v>18</v>
      </c>
      <c r="I62" s="7">
        <v>0.33</v>
      </c>
      <c r="J62" s="7">
        <v>0</v>
      </c>
      <c r="K62" s="5">
        <v>60</v>
      </c>
      <c r="L62" s="7">
        <v>2205</v>
      </c>
      <c r="M62" s="5" t="s">
        <v>600</v>
      </c>
      <c r="N62" s="5">
        <v>1</v>
      </c>
    </row>
    <row r="63" ht="23.1" customHeight="1" spans="1:14">
      <c r="A63" s="46" t="s">
        <v>602</v>
      </c>
      <c r="B63" s="5">
        <v>5105</v>
      </c>
      <c r="C63" s="5">
        <v>10</v>
      </c>
      <c r="D63" s="7">
        <v>38</v>
      </c>
      <c r="E63" s="7">
        <v>2</v>
      </c>
      <c r="F63" s="7">
        <v>0</v>
      </c>
      <c r="G63" s="7">
        <v>0</v>
      </c>
      <c r="H63" s="7">
        <v>19</v>
      </c>
      <c r="I63" s="7">
        <v>0.33</v>
      </c>
      <c r="J63" s="7">
        <v>0</v>
      </c>
      <c r="K63" s="5">
        <v>60</v>
      </c>
      <c r="L63" s="7">
        <v>2205</v>
      </c>
      <c r="M63" s="5" t="s">
        <v>600</v>
      </c>
      <c r="N63" s="5">
        <v>1</v>
      </c>
    </row>
    <row r="64" ht="23.1" customHeight="1" spans="1:14">
      <c r="A64" s="46" t="s">
        <v>602</v>
      </c>
      <c r="B64" s="5">
        <v>5105</v>
      </c>
      <c r="C64" s="5">
        <v>11</v>
      </c>
      <c r="D64" s="7">
        <v>40</v>
      </c>
      <c r="E64" s="7">
        <v>2</v>
      </c>
      <c r="F64" s="7">
        <v>0</v>
      </c>
      <c r="G64" s="7">
        <v>0</v>
      </c>
      <c r="H64" s="7">
        <v>20</v>
      </c>
      <c r="I64" s="7">
        <v>0.33</v>
      </c>
      <c r="J64" s="7">
        <v>0</v>
      </c>
      <c r="K64" s="5">
        <v>60</v>
      </c>
      <c r="L64" s="7">
        <v>2205</v>
      </c>
      <c r="M64" s="5" t="s">
        <v>600</v>
      </c>
      <c r="N64" s="5">
        <v>1</v>
      </c>
    </row>
    <row r="65" ht="23.1" customHeight="1" spans="1:14">
      <c r="A65" s="46" t="s">
        <v>602</v>
      </c>
      <c r="B65" s="5">
        <v>5105</v>
      </c>
      <c r="C65" s="5">
        <v>12</v>
      </c>
      <c r="D65" s="7">
        <v>42</v>
      </c>
      <c r="E65" s="7">
        <v>2</v>
      </c>
      <c r="F65" s="7">
        <v>0</v>
      </c>
      <c r="G65" s="7">
        <v>0</v>
      </c>
      <c r="H65" s="7">
        <v>21</v>
      </c>
      <c r="I65" s="7">
        <v>0.33</v>
      </c>
      <c r="J65" s="7">
        <v>0</v>
      </c>
      <c r="K65" s="5">
        <v>60</v>
      </c>
      <c r="L65" s="7">
        <v>2205</v>
      </c>
      <c r="M65" s="5" t="s">
        <v>600</v>
      </c>
      <c r="N65" s="5">
        <v>1</v>
      </c>
    </row>
    <row r="66" ht="23.1" customHeight="1" spans="1:14">
      <c r="A66" s="46" t="s">
        <v>602</v>
      </c>
      <c r="B66" s="5">
        <v>5105</v>
      </c>
      <c r="C66" s="5">
        <v>13</v>
      </c>
      <c r="D66" s="7">
        <v>44</v>
      </c>
      <c r="E66" s="7">
        <v>2</v>
      </c>
      <c r="F66" s="7">
        <v>0</v>
      </c>
      <c r="G66" s="7">
        <v>0</v>
      </c>
      <c r="H66" s="7">
        <v>22</v>
      </c>
      <c r="I66" s="7">
        <v>0.33</v>
      </c>
      <c r="J66" s="7">
        <v>0</v>
      </c>
      <c r="K66" s="5">
        <v>60</v>
      </c>
      <c r="L66" s="7">
        <v>2205</v>
      </c>
      <c r="M66" s="5" t="s">
        <v>600</v>
      </c>
      <c r="N66" s="5">
        <v>1</v>
      </c>
    </row>
    <row r="67" ht="23.1" customHeight="1" spans="1:14">
      <c r="A67" s="46" t="s">
        <v>602</v>
      </c>
      <c r="B67" s="5">
        <v>5105</v>
      </c>
      <c r="C67" s="5">
        <v>14</v>
      </c>
      <c r="D67" s="7">
        <v>46</v>
      </c>
      <c r="E67" s="7">
        <v>2</v>
      </c>
      <c r="F67" s="7">
        <v>0</v>
      </c>
      <c r="G67" s="7">
        <v>0</v>
      </c>
      <c r="H67" s="7">
        <v>23</v>
      </c>
      <c r="I67" s="7">
        <v>0.33</v>
      </c>
      <c r="J67" s="7">
        <v>0</v>
      </c>
      <c r="K67" s="5">
        <v>60</v>
      </c>
      <c r="L67" s="7">
        <v>2205</v>
      </c>
      <c r="M67" s="5" t="s">
        <v>600</v>
      </c>
      <c r="N67" s="5">
        <v>1</v>
      </c>
    </row>
    <row r="68" ht="23.1" customHeight="1" spans="1:14">
      <c r="A68" s="46" t="s">
        <v>602</v>
      </c>
      <c r="B68" s="5">
        <v>5105</v>
      </c>
      <c r="C68" s="5">
        <v>15</v>
      </c>
      <c r="D68" s="7">
        <v>48</v>
      </c>
      <c r="E68" s="7">
        <v>2</v>
      </c>
      <c r="F68" s="7">
        <v>0</v>
      </c>
      <c r="G68" s="7">
        <v>0</v>
      </c>
      <c r="H68" s="7">
        <v>24</v>
      </c>
      <c r="I68" s="7">
        <v>0.33</v>
      </c>
      <c r="J68" s="7">
        <v>0</v>
      </c>
      <c r="K68" s="5">
        <v>60</v>
      </c>
      <c r="L68" s="7">
        <v>2205</v>
      </c>
      <c r="M68" s="5" t="s">
        <v>600</v>
      </c>
      <c r="N68" s="5">
        <v>1</v>
      </c>
    </row>
    <row r="69" ht="23.1" customHeight="1" spans="1:14">
      <c r="A69" s="46" t="s">
        <v>602</v>
      </c>
      <c r="B69" s="5">
        <v>5105</v>
      </c>
      <c r="C69" s="5">
        <v>16</v>
      </c>
      <c r="D69" s="7">
        <v>50</v>
      </c>
      <c r="E69" s="7">
        <v>2</v>
      </c>
      <c r="F69" s="7">
        <v>0</v>
      </c>
      <c r="G69" s="7">
        <v>0</v>
      </c>
      <c r="H69" s="7">
        <v>25</v>
      </c>
      <c r="I69" s="7">
        <v>0.33</v>
      </c>
      <c r="J69" s="7">
        <v>0</v>
      </c>
      <c r="K69" s="5">
        <v>60</v>
      </c>
      <c r="L69" s="7">
        <v>2205</v>
      </c>
      <c r="M69" s="5" t="s">
        <v>600</v>
      </c>
      <c r="N69" s="5">
        <v>1</v>
      </c>
    </row>
    <row r="70" ht="23.1" customHeight="1" spans="1:14">
      <c r="A70" s="46" t="s">
        <v>602</v>
      </c>
      <c r="B70" s="5">
        <v>5105</v>
      </c>
      <c r="C70" s="5">
        <v>17</v>
      </c>
      <c r="D70" s="7">
        <v>52</v>
      </c>
      <c r="E70" s="7">
        <v>2</v>
      </c>
      <c r="F70" s="7">
        <v>0</v>
      </c>
      <c r="G70" s="7">
        <v>0</v>
      </c>
      <c r="H70" s="7">
        <v>26</v>
      </c>
      <c r="I70" s="7">
        <v>0.33</v>
      </c>
      <c r="J70" s="7">
        <v>0</v>
      </c>
      <c r="K70" s="5">
        <v>60</v>
      </c>
      <c r="L70" s="7">
        <v>2205</v>
      </c>
      <c r="M70" s="5" t="s">
        <v>600</v>
      </c>
      <c r="N70" s="5">
        <v>1</v>
      </c>
    </row>
    <row r="71" ht="23.1" customHeight="1" spans="1:14">
      <c r="A71" s="46" t="s">
        <v>602</v>
      </c>
      <c r="B71" s="5">
        <v>5105</v>
      </c>
      <c r="C71" s="5">
        <v>18</v>
      </c>
      <c r="D71" s="7">
        <v>54</v>
      </c>
      <c r="E71" s="7">
        <v>2</v>
      </c>
      <c r="F71" s="7">
        <v>0</v>
      </c>
      <c r="G71" s="7">
        <v>0</v>
      </c>
      <c r="H71" s="7">
        <v>27</v>
      </c>
      <c r="I71" s="7">
        <v>0.33</v>
      </c>
      <c r="J71" s="7">
        <v>0</v>
      </c>
      <c r="K71" s="5">
        <v>60</v>
      </c>
      <c r="L71" s="7">
        <v>2205</v>
      </c>
      <c r="M71" s="5" t="s">
        <v>600</v>
      </c>
      <c r="N71" s="5">
        <v>1</v>
      </c>
    </row>
    <row r="72" ht="23.1" customHeight="1" spans="1:14">
      <c r="A72" s="46" t="s">
        <v>602</v>
      </c>
      <c r="B72" s="5">
        <v>5105</v>
      </c>
      <c r="C72" s="5">
        <v>19</v>
      </c>
      <c r="D72" s="7">
        <v>56</v>
      </c>
      <c r="E72" s="7">
        <v>2</v>
      </c>
      <c r="F72" s="7">
        <v>0</v>
      </c>
      <c r="G72" s="7">
        <v>0</v>
      </c>
      <c r="H72" s="7">
        <v>28</v>
      </c>
      <c r="I72" s="7">
        <v>0.33</v>
      </c>
      <c r="J72" s="7">
        <v>0</v>
      </c>
      <c r="K72" s="5">
        <v>60</v>
      </c>
      <c r="L72" s="7">
        <v>2205</v>
      </c>
      <c r="M72" s="5" t="s">
        <v>600</v>
      </c>
      <c r="N72" s="5">
        <v>1</v>
      </c>
    </row>
    <row r="73" ht="23.1" customHeight="1" spans="1:14">
      <c r="A73" s="46" t="s">
        <v>602</v>
      </c>
      <c r="B73" s="5">
        <v>5105</v>
      </c>
      <c r="C73" s="5">
        <v>20</v>
      </c>
      <c r="D73" s="7">
        <v>58</v>
      </c>
      <c r="E73" s="7">
        <v>2</v>
      </c>
      <c r="F73" s="7">
        <v>0</v>
      </c>
      <c r="G73" s="7">
        <v>0</v>
      </c>
      <c r="H73" s="7">
        <v>29</v>
      </c>
      <c r="I73" s="7">
        <v>0.33</v>
      </c>
      <c r="J73" s="7">
        <v>0</v>
      </c>
      <c r="K73" s="5">
        <v>60</v>
      </c>
      <c r="L73" s="7">
        <v>2205</v>
      </c>
      <c r="M73" s="5" t="s">
        <v>600</v>
      </c>
      <c r="N73" s="5">
        <v>1</v>
      </c>
    </row>
    <row r="74" ht="23.1" customHeight="1" spans="1:14">
      <c r="A74" s="46" t="s">
        <v>602</v>
      </c>
      <c r="B74" s="5">
        <v>5105</v>
      </c>
      <c r="C74" s="5">
        <v>21</v>
      </c>
      <c r="D74" s="7">
        <v>60</v>
      </c>
      <c r="E74" s="7">
        <v>2</v>
      </c>
      <c r="F74" s="7">
        <v>0</v>
      </c>
      <c r="G74" s="7">
        <v>0</v>
      </c>
      <c r="H74" s="7">
        <v>30</v>
      </c>
      <c r="I74" s="7">
        <v>0.33</v>
      </c>
      <c r="J74" s="7">
        <v>0</v>
      </c>
      <c r="K74" s="5">
        <v>60</v>
      </c>
      <c r="L74" s="7">
        <v>2205</v>
      </c>
      <c r="M74" s="5" t="s">
        <v>600</v>
      </c>
      <c r="N74" s="5">
        <v>1</v>
      </c>
    </row>
    <row r="75" ht="23.1" customHeight="1" spans="1:14">
      <c r="A75" s="46" t="s">
        <v>602</v>
      </c>
      <c r="B75" s="5">
        <v>5105</v>
      </c>
      <c r="C75" s="5">
        <v>22</v>
      </c>
      <c r="D75" s="7">
        <v>62</v>
      </c>
      <c r="E75" s="7">
        <v>2</v>
      </c>
      <c r="F75" s="7">
        <v>0</v>
      </c>
      <c r="G75" s="7">
        <v>0</v>
      </c>
      <c r="H75" s="7">
        <v>31</v>
      </c>
      <c r="I75" s="7">
        <v>0.33</v>
      </c>
      <c r="J75" s="7">
        <v>0</v>
      </c>
      <c r="K75" s="5">
        <v>60</v>
      </c>
      <c r="L75" s="7">
        <v>2205</v>
      </c>
      <c r="M75" s="5" t="s">
        <v>600</v>
      </c>
      <c r="N75" s="5">
        <v>1</v>
      </c>
    </row>
    <row r="76" ht="23.1" customHeight="1" spans="1:14">
      <c r="A76" s="46" t="s">
        <v>602</v>
      </c>
      <c r="B76" s="5">
        <v>5105</v>
      </c>
      <c r="C76" s="5">
        <v>23</v>
      </c>
      <c r="D76" s="7">
        <v>64</v>
      </c>
      <c r="E76" s="7">
        <v>2</v>
      </c>
      <c r="F76" s="7">
        <v>0</v>
      </c>
      <c r="G76" s="7">
        <v>0</v>
      </c>
      <c r="H76" s="7">
        <v>32</v>
      </c>
      <c r="I76" s="7">
        <v>0.33</v>
      </c>
      <c r="J76" s="7">
        <v>0</v>
      </c>
      <c r="K76" s="5">
        <v>60</v>
      </c>
      <c r="L76" s="7">
        <v>2205</v>
      </c>
      <c r="M76" s="5" t="s">
        <v>600</v>
      </c>
      <c r="N76" s="5">
        <v>1</v>
      </c>
    </row>
    <row r="77" ht="23.1" customHeight="1" spans="1:14">
      <c r="A77" s="46" t="s">
        <v>602</v>
      </c>
      <c r="B77" s="5">
        <v>5105</v>
      </c>
      <c r="C77" s="5">
        <v>24</v>
      </c>
      <c r="D77" s="7">
        <v>66</v>
      </c>
      <c r="E77" s="7">
        <v>2</v>
      </c>
      <c r="F77" s="7">
        <v>0</v>
      </c>
      <c r="G77" s="7">
        <v>0</v>
      </c>
      <c r="H77" s="7">
        <v>33</v>
      </c>
      <c r="I77" s="7">
        <v>0.33</v>
      </c>
      <c r="J77" s="7">
        <v>0</v>
      </c>
      <c r="K77" s="5">
        <v>60</v>
      </c>
      <c r="L77" s="7">
        <v>2205</v>
      </c>
      <c r="M77" s="5" t="s">
        <v>600</v>
      </c>
      <c r="N77" s="5">
        <v>1</v>
      </c>
    </row>
    <row r="78" ht="23.1" customHeight="1" spans="1:14">
      <c r="A78" s="46" t="s">
        <v>602</v>
      </c>
      <c r="B78" s="5">
        <v>5105</v>
      </c>
      <c r="C78" s="5">
        <v>25</v>
      </c>
      <c r="D78" s="7">
        <v>70</v>
      </c>
      <c r="E78" s="7">
        <v>2</v>
      </c>
      <c r="F78" s="7">
        <v>0</v>
      </c>
      <c r="G78" s="7">
        <v>0</v>
      </c>
      <c r="H78" s="7">
        <v>35</v>
      </c>
      <c r="I78" s="7">
        <v>0.33</v>
      </c>
      <c r="J78" s="7">
        <v>0</v>
      </c>
      <c r="K78" s="5">
        <v>60</v>
      </c>
      <c r="L78" s="7">
        <v>2205</v>
      </c>
      <c r="M78" s="5" t="s">
        <v>600</v>
      </c>
      <c r="N78" s="5">
        <v>1</v>
      </c>
    </row>
    <row r="79" ht="23.1" customHeight="1" spans="1:14">
      <c r="A79" s="46" t="s">
        <v>603</v>
      </c>
      <c r="B79" s="5">
        <v>5106</v>
      </c>
      <c r="C79" s="5">
        <v>1</v>
      </c>
      <c r="D79" s="7">
        <v>24</v>
      </c>
      <c r="E79" s="7">
        <v>0</v>
      </c>
      <c r="F79" s="7">
        <v>0</v>
      </c>
      <c r="G79" s="7">
        <v>12</v>
      </c>
      <c r="H79" s="7">
        <v>2</v>
      </c>
      <c r="I79" s="7">
        <v>1</v>
      </c>
      <c r="J79" s="7">
        <v>0</v>
      </c>
      <c r="K79" s="5">
        <v>45</v>
      </c>
      <c r="L79" s="7">
        <v>2206</v>
      </c>
      <c r="M79" s="5" t="s">
        <v>600</v>
      </c>
      <c r="N79" s="5">
        <v>0</v>
      </c>
    </row>
    <row r="80" ht="23.1" customHeight="1" spans="1:14">
      <c r="A80" s="46" t="s">
        <v>603</v>
      </c>
      <c r="B80" s="5">
        <v>5106</v>
      </c>
      <c r="C80" s="5">
        <v>2</v>
      </c>
      <c r="D80" s="7">
        <v>26</v>
      </c>
      <c r="E80" s="7">
        <v>0</v>
      </c>
      <c r="F80" s="7">
        <v>0</v>
      </c>
      <c r="G80" s="7">
        <v>13</v>
      </c>
      <c r="H80" s="7">
        <v>2</v>
      </c>
      <c r="I80" s="7">
        <v>1</v>
      </c>
      <c r="J80" s="7">
        <v>0</v>
      </c>
      <c r="K80" s="5">
        <v>45</v>
      </c>
      <c r="L80" s="7">
        <v>2206</v>
      </c>
      <c r="M80" s="5" t="s">
        <v>600</v>
      </c>
      <c r="N80" s="5">
        <v>0</v>
      </c>
    </row>
    <row r="81" ht="23.1" customHeight="1" spans="1:14">
      <c r="A81" s="46" t="s">
        <v>603</v>
      </c>
      <c r="B81" s="5">
        <v>5106</v>
      </c>
      <c r="C81" s="5">
        <v>3</v>
      </c>
      <c r="D81" s="7">
        <v>28</v>
      </c>
      <c r="E81" s="7">
        <v>0</v>
      </c>
      <c r="F81" s="7">
        <v>0</v>
      </c>
      <c r="G81" s="7">
        <v>14</v>
      </c>
      <c r="H81" s="7">
        <v>2</v>
      </c>
      <c r="I81" s="7">
        <v>1</v>
      </c>
      <c r="J81" s="7">
        <v>0</v>
      </c>
      <c r="K81" s="5">
        <v>45</v>
      </c>
      <c r="L81" s="7">
        <v>2206</v>
      </c>
      <c r="M81" s="5" t="s">
        <v>600</v>
      </c>
      <c r="N81" s="5">
        <v>0</v>
      </c>
    </row>
    <row r="82" ht="23.1" customHeight="1" spans="1:14">
      <c r="A82" s="46" t="s">
        <v>603</v>
      </c>
      <c r="B82" s="5">
        <v>5106</v>
      </c>
      <c r="C82" s="5">
        <v>4</v>
      </c>
      <c r="D82" s="7">
        <v>30</v>
      </c>
      <c r="E82" s="7">
        <v>0</v>
      </c>
      <c r="F82" s="7">
        <v>0</v>
      </c>
      <c r="G82" s="7">
        <v>15</v>
      </c>
      <c r="H82" s="7">
        <v>2</v>
      </c>
      <c r="I82" s="7">
        <v>1</v>
      </c>
      <c r="J82" s="7">
        <v>0</v>
      </c>
      <c r="K82" s="5">
        <v>45</v>
      </c>
      <c r="L82" s="7">
        <v>2206</v>
      </c>
      <c r="M82" s="5" t="s">
        <v>600</v>
      </c>
      <c r="N82" s="5">
        <v>0</v>
      </c>
    </row>
    <row r="83" ht="23.1" customHeight="1" spans="1:14">
      <c r="A83" s="46" t="s">
        <v>603</v>
      </c>
      <c r="B83" s="5">
        <v>5106</v>
      </c>
      <c r="C83" s="5">
        <v>5</v>
      </c>
      <c r="D83" s="7">
        <v>32</v>
      </c>
      <c r="E83" s="7">
        <v>0</v>
      </c>
      <c r="F83" s="7">
        <v>0</v>
      </c>
      <c r="G83" s="7">
        <v>16</v>
      </c>
      <c r="H83" s="7">
        <v>2</v>
      </c>
      <c r="I83" s="7">
        <v>1</v>
      </c>
      <c r="J83" s="7">
        <v>0</v>
      </c>
      <c r="K83" s="5">
        <v>45</v>
      </c>
      <c r="L83" s="7">
        <v>2206</v>
      </c>
      <c r="M83" s="5" t="s">
        <v>600</v>
      </c>
      <c r="N83" s="5">
        <v>0</v>
      </c>
    </row>
    <row r="84" ht="23.1" customHeight="1" spans="1:14">
      <c r="A84" s="46" t="s">
        <v>603</v>
      </c>
      <c r="B84" s="5">
        <v>5106</v>
      </c>
      <c r="C84" s="5">
        <v>6</v>
      </c>
      <c r="D84" s="7">
        <v>34</v>
      </c>
      <c r="E84" s="7">
        <v>0</v>
      </c>
      <c r="F84" s="7">
        <v>0</v>
      </c>
      <c r="G84" s="7">
        <v>17</v>
      </c>
      <c r="H84" s="7">
        <v>2</v>
      </c>
      <c r="I84" s="7">
        <v>1</v>
      </c>
      <c r="J84" s="7">
        <v>0</v>
      </c>
      <c r="K84" s="5">
        <v>45</v>
      </c>
      <c r="L84" s="7">
        <v>2206</v>
      </c>
      <c r="M84" s="5" t="s">
        <v>600</v>
      </c>
      <c r="N84" s="5">
        <v>0</v>
      </c>
    </row>
    <row r="85" ht="23.1" customHeight="1" spans="1:14">
      <c r="A85" s="46" t="s">
        <v>603</v>
      </c>
      <c r="B85" s="5">
        <v>5106</v>
      </c>
      <c r="C85" s="5">
        <v>7</v>
      </c>
      <c r="D85" s="7">
        <v>36</v>
      </c>
      <c r="E85" s="7">
        <v>0</v>
      </c>
      <c r="F85" s="7">
        <v>0</v>
      </c>
      <c r="G85" s="7">
        <v>18</v>
      </c>
      <c r="H85" s="7">
        <v>2</v>
      </c>
      <c r="I85" s="7">
        <v>1</v>
      </c>
      <c r="J85" s="7">
        <v>0</v>
      </c>
      <c r="K85" s="5">
        <v>45</v>
      </c>
      <c r="L85" s="7">
        <v>2206</v>
      </c>
      <c r="M85" s="5" t="s">
        <v>600</v>
      </c>
      <c r="N85" s="5">
        <v>0</v>
      </c>
    </row>
    <row r="86" ht="23.1" customHeight="1" spans="1:14">
      <c r="A86" s="46" t="s">
        <v>603</v>
      </c>
      <c r="B86" s="5">
        <v>5106</v>
      </c>
      <c r="C86" s="5">
        <v>8</v>
      </c>
      <c r="D86" s="7">
        <v>38</v>
      </c>
      <c r="E86" s="7">
        <v>0</v>
      </c>
      <c r="F86" s="7">
        <v>0</v>
      </c>
      <c r="G86" s="7">
        <v>19</v>
      </c>
      <c r="H86" s="7">
        <v>2</v>
      </c>
      <c r="I86" s="7">
        <v>1</v>
      </c>
      <c r="J86" s="7">
        <v>0</v>
      </c>
      <c r="K86" s="5">
        <v>45</v>
      </c>
      <c r="L86" s="7">
        <v>2206</v>
      </c>
      <c r="M86" s="5" t="s">
        <v>600</v>
      </c>
      <c r="N86" s="5">
        <v>0</v>
      </c>
    </row>
    <row r="87" ht="23.1" customHeight="1" spans="1:14">
      <c r="A87" s="46" t="s">
        <v>603</v>
      </c>
      <c r="B87" s="5">
        <v>5106</v>
      </c>
      <c r="C87" s="5">
        <v>9</v>
      </c>
      <c r="D87" s="7">
        <v>40</v>
      </c>
      <c r="E87" s="7">
        <v>0</v>
      </c>
      <c r="F87" s="7">
        <v>0</v>
      </c>
      <c r="G87" s="7">
        <v>20</v>
      </c>
      <c r="H87" s="7">
        <v>2</v>
      </c>
      <c r="I87" s="7">
        <v>1</v>
      </c>
      <c r="J87" s="7">
        <v>0</v>
      </c>
      <c r="K87" s="5">
        <v>45</v>
      </c>
      <c r="L87" s="7">
        <v>2206</v>
      </c>
      <c r="M87" s="5" t="s">
        <v>600</v>
      </c>
      <c r="N87" s="5">
        <v>0</v>
      </c>
    </row>
    <row r="88" ht="23.1" customHeight="1" spans="1:14">
      <c r="A88" s="46" t="s">
        <v>603</v>
      </c>
      <c r="B88" s="5">
        <v>5106</v>
      </c>
      <c r="C88" s="5">
        <v>10</v>
      </c>
      <c r="D88" s="7">
        <v>42</v>
      </c>
      <c r="E88" s="7">
        <v>0</v>
      </c>
      <c r="F88" s="7">
        <v>0</v>
      </c>
      <c r="G88" s="7">
        <v>21</v>
      </c>
      <c r="H88" s="7">
        <v>2</v>
      </c>
      <c r="I88" s="7">
        <v>1</v>
      </c>
      <c r="J88" s="7">
        <v>0</v>
      </c>
      <c r="K88" s="5">
        <v>45</v>
      </c>
      <c r="L88" s="7">
        <v>2206</v>
      </c>
      <c r="M88" s="5" t="s">
        <v>600</v>
      </c>
      <c r="N88" s="5">
        <v>0</v>
      </c>
    </row>
    <row r="89" ht="23.1" customHeight="1" spans="1:14">
      <c r="A89" s="46" t="s">
        <v>603</v>
      </c>
      <c r="B89" s="5">
        <v>5106</v>
      </c>
      <c r="C89" s="5">
        <v>11</v>
      </c>
      <c r="D89" s="7">
        <v>44</v>
      </c>
      <c r="E89" s="7">
        <v>0</v>
      </c>
      <c r="F89" s="7">
        <v>0</v>
      </c>
      <c r="G89" s="7">
        <v>22</v>
      </c>
      <c r="H89" s="7">
        <v>2</v>
      </c>
      <c r="I89" s="7">
        <v>1</v>
      </c>
      <c r="J89" s="7">
        <v>0</v>
      </c>
      <c r="K89" s="5">
        <v>45</v>
      </c>
      <c r="L89" s="7">
        <v>2206</v>
      </c>
      <c r="M89" s="5" t="s">
        <v>600</v>
      </c>
      <c r="N89" s="5">
        <v>0</v>
      </c>
    </row>
    <row r="90" ht="23.1" customHeight="1" spans="1:14">
      <c r="A90" s="46" t="s">
        <v>603</v>
      </c>
      <c r="B90" s="5">
        <v>5106</v>
      </c>
      <c r="C90" s="5">
        <v>12</v>
      </c>
      <c r="D90" s="7">
        <v>46</v>
      </c>
      <c r="E90" s="7">
        <v>0</v>
      </c>
      <c r="F90" s="7">
        <v>0</v>
      </c>
      <c r="G90" s="7">
        <v>23</v>
      </c>
      <c r="H90" s="7">
        <v>2</v>
      </c>
      <c r="I90" s="7">
        <v>1</v>
      </c>
      <c r="J90" s="7">
        <v>0</v>
      </c>
      <c r="K90" s="5">
        <v>45</v>
      </c>
      <c r="L90" s="7">
        <v>2206</v>
      </c>
      <c r="M90" s="5" t="s">
        <v>600</v>
      </c>
      <c r="N90" s="5">
        <v>0</v>
      </c>
    </row>
    <row r="91" ht="23.1" customHeight="1" spans="1:14">
      <c r="A91" s="46" t="s">
        <v>603</v>
      </c>
      <c r="B91" s="5">
        <v>5106</v>
      </c>
      <c r="C91" s="5">
        <v>13</v>
      </c>
      <c r="D91" s="7">
        <v>48</v>
      </c>
      <c r="E91" s="7">
        <v>0</v>
      </c>
      <c r="F91" s="7">
        <v>0</v>
      </c>
      <c r="G91" s="7">
        <v>24</v>
      </c>
      <c r="H91" s="7">
        <v>2</v>
      </c>
      <c r="I91" s="7">
        <v>1</v>
      </c>
      <c r="J91" s="7">
        <v>0</v>
      </c>
      <c r="K91" s="5">
        <v>45</v>
      </c>
      <c r="L91" s="7">
        <v>2206</v>
      </c>
      <c r="M91" s="5" t="s">
        <v>600</v>
      </c>
      <c r="N91" s="5">
        <v>0</v>
      </c>
    </row>
    <row r="92" ht="23.1" customHeight="1" spans="1:14">
      <c r="A92" s="46" t="s">
        <v>603</v>
      </c>
      <c r="B92" s="5">
        <v>5106</v>
      </c>
      <c r="C92" s="5">
        <v>14</v>
      </c>
      <c r="D92" s="7">
        <v>50</v>
      </c>
      <c r="E92" s="7">
        <v>0</v>
      </c>
      <c r="F92" s="7">
        <v>0</v>
      </c>
      <c r="G92" s="7">
        <v>25</v>
      </c>
      <c r="H92" s="7">
        <v>2</v>
      </c>
      <c r="I92" s="7">
        <v>1</v>
      </c>
      <c r="J92" s="7">
        <v>0</v>
      </c>
      <c r="K92" s="5">
        <v>45</v>
      </c>
      <c r="L92" s="7">
        <v>2206</v>
      </c>
      <c r="M92" s="5" t="s">
        <v>600</v>
      </c>
      <c r="N92" s="5">
        <v>0</v>
      </c>
    </row>
    <row r="93" ht="23.1" customHeight="1" spans="1:14">
      <c r="A93" s="46" t="s">
        <v>603</v>
      </c>
      <c r="B93" s="5">
        <v>5106</v>
      </c>
      <c r="C93" s="5">
        <v>15</v>
      </c>
      <c r="D93" s="7">
        <v>52</v>
      </c>
      <c r="E93" s="7">
        <v>0</v>
      </c>
      <c r="F93" s="7">
        <v>0</v>
      </c>
      <c r="G93" s="7">
        <v>26</v>
      </c>
      <c r="H93" s="7">
        <v>2</v>
      </c>
      <c r="I93" s="7">
        <v>1</v>
      </c>
      <c r="J93" s="7">
        <v>0</v>
      </c>
      <c r="K93" s="5">
        <v>45</v>
      </c>
      <c r="L93" s="7">
        <v>2206</v>
      </c>
      <c r="M93" s="5" t="s">
        <v>600</v>
      </c>
      <c r="N93" s="5">
        <v>0</v>
      </c>
    </row>
    <row r="94" ht="23.1" customHeight="1" spans="1:14">
      <c r="A94" s="46" t="s">
        <v>603</v>
      </c>
      <c r="B94" s="5">
        <v>5106</v>
      </c>
      <c r="C94" s="5">
        <v>16</v>
      </c>
      <c r="D94" s="7">
        <v>56</v>
      </c>
      <c r="E94" s="7">
        <v>0</v>
      </c>
      <c r="F94" s="7">
        <v>0</v>
      </c>
      <c r="G94" s="7">
        <v>28</v>
      </c>
      <c r="H94" s="7">
        <v>2</v>
      </c>
      <c r="I94" s="7">
        <v>1</v>
      </c>
      <c r="J94" s="7">
        <v>0</v>
      </c>
      <c r="K94" s="5">
        <v>45</v>
      </c>
      <c r="L94" s="7">
        <v>2206</v>
      </c>
      <c r="M94" s="5" t="s">
        <v>600</v>
      </c>
      <c r="N94" s="5">
        <v>0</v>
      </c>
    </row>
    <row r="95" ht="23.1" customHeight="1" spans="1:14">
      <c r="A95" s="46" t="s">
        <v>603</v>
      </c>
      <c r="B95" s="5">
        <v>5106</v>
      </c>
      <c r="C95" s="5">
        <v>17</v>
      </c>
      <c r="D95" s="7">
        <v>58</v>
      </c>
      <c r="E95" s="7">
        <v>0</v>
      </c>
      <c r="F95" s="7">
        <v>0</v>
      </c>
      <c r="G95" s="7">
        <v>29</v>
      </c>
      <c r="H95" s="7">
        <v>2</v>
      </c>
      <c r="I95" s="7">
        <v>1</v>
      </c>
      <c r="J95" s="7">
        <v>0</v>
      </c>
      <c r="K95" s="5">
        <v>45</v>
      </c>
      <c r="L95" s="7">
        <v>2206</v>
      </c>
      <c r="M95" s="5" t="s">
        <v>600</v>
      </c>
      <c r="N95" s="5">
        <v>0</v>
      </c>
    </row>
    <row r="96" ht="23.1" customHeight="1" spans="1:14">
      <c r="A96" s="46" t="s">
        <v>603</v>
      </c>
      <c r="B96" s="5">
        <v>5106</v>
      </c>
      <c r="C96" s="5">
        <v>18</v>
      </c>
      <c r="D96" s="7">
        <v>60</v>
      </c>
      <c r="E96" s="7">
        <v>0</v>
      </c>
      <c r="F96" s="7">
        <v>0</v>
      </c>
      <c r="G96" s="7">
        <v>30</v>
      </c>
      <c r="H96" s="7">
        <v>2</v>
      </c>
      <c r="I96" s="7">
        <v>1</v>
      </c>
      <c r="J96" s="7">
        <v>0</v>
      </c>
      <c r="K96" s="5">
        <v>45</v>
      </c>
      <c r="L96" s="7">
        <v>2206</v>
      </c>
      <c r="M96" s="5" t="s">
        <v>600</v>
      </c>
      <c r="N96" s="5">
        <v>0</v>
      </c>
    </row>
    <row r="97" ht="23.1" customHeight="1" spans="1:14">
      <c r="A97" s="46" t="s">
        <v>603</v>
      </c>
      <c r="B97" s="5">
        <v>5106</v>
      </c>
      <c r="C97" s="5">
        <v>19</v>
      </c>
      <c r="D97" s="7">
        <v>62</v>
      </c>
      <c r="E97" s="7">
        <v>0</v>
      </c>
      <c r="F97" s="7">
        <v>0</v>
      </c>
      <c r="G97" s="7">
        <v>31</v>
      </c>
      <c r="H97" s="7">
        <v>2</v>
      </c>
      <c r="I97" s="7">
        <v>1</v>
      </c>
      <c r="J97" s="7">
        <v>0</v>
      </c>
      <c r="K97" s="5">
        <v>45</v>
      </c>
      <c r="L97" s="7">
        <v>2206</v>
      </c>
      <c r="M97" s="5" t="s">
        <v>600</v>
      </c>
      <c r="N97" s="5">
        <v>0</v>
      </c>
    </row>
    <row r="98" ht="23.1" customHeight="1" spans="1:14">
      <c r="A98" s="46" t="s">
        <v>603</v>
      </c>
      <c r="B98" s="5">
        <v>5106</v>
      </c>
      <c r="C98" s="5">
        <v>20</v>
      </c>
      <c r="D98" s="7">
        <v>64</v>
      </c>
      <c r="E98" s="7">
        <v>0</v>
      </c>
      <c r="F98" s="7">
        <v>0</v>
      </c>
      <c r="G98" s="7">
        <v>32</v>
      </c>
      <c r="H98" s="7">
        <v>2</v>
      </c>
      <c r="I98" s="7">
        <v>1</v>
      </c>
      <c r="J98" s="7">
        <v>0</v>
      </c>
      <c r="K98" s="5">
        <v>45</v>
      </c>
      <c r="L98" s="7">
        <v>2206</v>
      </c>
      <c r="M98" s="5" t="s">
        <v>600</v>
      </c>
      <c r="N98" s="5">
        <v>0</v>
      </c>
    </row>
    <row r="99" ht="23.1" customHeight="1" spans="1:14">
      <c r="A99" s="46" t="s">
        <v>603</v>
      </c>
      <c r="B99" s="5">
        <v>5106</v>
      </c>
      <c r="C99" s="5">
        <v>21</v>
      </c>
      <c r="D99" s="7">
        <v>68</v>
      </c>
      <c r="E99" s="7">
        <v>0</v>
      </c>
      <c r="F99" s="7">
        <v>0</v>
      </c>
      <c r="G99" s="7">
        <v>34</v>
      </c>
      <c r="H99" s="7">
        <v>2</v>
      </c>
      <c r="I99" s="7">
        <v>1</v>
      </c>
      <c r="J99" s="7">
        <v>0</v>
      </c>
      <c r="K99" s="5">
        <v>45</v>
      </c>
      <c r="L99" s="7">
        <v>2206</v>
      </c>
      <c r="M99" s="5" t="s">
        <v>600</v>
      </c>
      <c r="N99" s="5">
        <v>0</v>
      </c>
    </row>
    <row r="100" ht="23.1" customHeight="1" spans="1:14">
      <c r="A100" s="46" t="s">
        <v>603</v>
      </c>
      <c r="B100" s="5">
        <v>5106</v>
      </c>
      <c r="C100" s="5">
        <v>22</v>
      </c>
      <c r="D100" s="7">
        <v>70</v>
      </c>
      <c r="E100" s="7">
        <v>0</v>
      </c>
      <c r="F100" s="7">
        <v>0</v>
      </c>
      <c r="G100" s="7">
        <v>35</v>
      </c>
      <c r="H100" s="7">
        <v>2</v>
      </c>
      <c r="I100" s="7">
        <v>1</v>
      </c>
      <c r="J100" s="7">
        <v>0</v>
      </c>
      <c r="K100" s="5">
        <v>45</v>
      </c>
      <c r="L100" s="7">
        <v>2206</v>
      </c>
      <c r="M100" s="5" t="s">
        <v>600</v>
      </c>
      <c r="N100" s="5">
        <v>0</v>
      </c>
    </row>
    <row r="101" ht="23.1" customHeight="1" spans="1:14">
      <c r="A101" s="46" t="s">
        <v>603</v>
      </c>
      <c r="B101" s="5">
        <v>5106</v>
      </c>
      <c r="C101" s="5">
        <v>23</v>
      </c>
      <c r="D101" s="7">
        <v>72</v>
      </c>
      <c r="E101" s="7">
        <v>0</v>
      </c>
      <c r="F101" s="7">
        <v>0</v>
      </c>
      <c r="G101" s="7">
        <v>36</v>
      </c>
      <c r="H101" s="7">
        <v>2</v>
      </c>
      <c r="I101" s="7">
        <v>1</v>
      </c>
      <c r="J101" s="7">
        <v>0</v>
      </c>
      <c r="K101" s="5">
        <v>45</v>
      </c>
      <c r="L101" s="7">
        <v>2206</v>
      </c>
      <c r="M101" s="5" t="s">
        <v>600</v>
      </c>
      <c r="N101" s="5">
        <v>0</v>
      </c>
    </row>
    <row r="102" ht="23.1" customHeight="1" spans="1:14">
      <c r="A102" s="46" t="s">
        <v>603</v>
      </c>
      <c r="B102" s="5">
        <v>5106</v>
      </c>
      <c r="C102" s="5">
        <v>24</v>
      </c>
      <c r="D102" s="7">
        <v>76</v>
      </c>
      <c r="E102" s="7">
        <v>0</v>
      </c>
      <c r="F102" s="7">
        <v>0</v>
      </c>
      <c r="G102" s="7">
        <v>38</v>
      </c>
      <c r="H102" s="7">
        <v>2</v>
      </c>
      <c r="I102" s="7">
        <v>1</v>
      </c>
      <c r="J102" s="7">
        <v>0</v>
      </c>
      <c r="K102" s="5">
        <v>45</v>
      </c>
      <c r="L102" s="7">
        <v>2206</v>
      </c>
      <c r="M102" s="5" t="s">
        <v>600</v>
      </c>
      <c r="N102" s="5">
        <v>0</v>
      </c>
    </row>
    <row r="103" ht="23.1" customHeight="1" spans="1:14">
      <c r="A103" s="46" t="s">
        <v>603</v>
      </c>
      <c r="B103" s="5">
        <v>5106</v>
      </c>
      <c r="C103" s="5">
        <v>25</v>
      </c>
      <c r="D103" s="7">
        <v>80</v>
      </c>
      <c r="E103" s="7">
        <v>0</v>
      </c>
      <c r="F103" s="7">
        <v>0</v>
      </c>
      <c r="G103" s="7">
        <v>40</v>
      </c>
      <c r="H103" s="7">
        <v>2</v>
      </c>
      <c r="I103" s="7">
        <v>1</v>
      </c>
      <c r="J103" s="7">
        <v>0</v>
      </c>
      <c r="K103" s="5">
        <v>45</v>
      </c>
      <c r="L103" s="7">
        <v>2206</v>
      </c>
      <c r="M103" s="5" t="s">
        <v>600</v>
      </c>
      <c r="N103" s="5">
        <v>0</v>
      </c>
    </row>
    <row r="104" ht="23.1" customHeight="1" spans="1:14">
      <c r="A104" s="46" t="s">
        <v>604</v>
      </c>
      <c r="B104" s="5">
        <v>5108</v>
      </c>
      <c r="C104" s="5">
        <v>1</v>
      </c>
      <c r="D104" s="7">
        <v>30</v>
      </c>
      <c r="E104" s="7">
        <v>30</v>
      </c>
      <c r="F104" s="7">
        <v>0</v>
      </c>
      <c r="G104" s="7">
        <v>0</v>
      </c>
      <c r="H104" s="7">
        <v>1</v>
      </c>
      <c r="I104" s="7">
        <v>3.6</v>
      </c>
      <c r="J104" s="7">
        <v>0</v>
      </c>
      <c r="K104" s="5">
        <v>50</v>
      </c>
      <c r="L104" s="7">
        <v>2208</v>
      </c>
      <c r="M104" s="5" t="s">
        <v>600</v>
      </c>
      <c r="N104" s="5">
        <v>0</v>
      </c>
    </row>
    <row r="105" ht="23.1" customHeight="1" spans="1:14">
      <c r="A105" s="46" t="s">
        <v>604</v>
      </c>
      <c r="B105" s="5">
        <v>5108</v>
      </c>
      <c r="C105" s="5">
        <v>2</v>
      </c>
      <c r="D105" s="7">
        <v>32</v>
      </c>
      <c r="E105" s="7">
        <v>32</v>
      </c>
      <c r="F105" s="7">
        <v>0</v>
      </c>
      <c r="G105" s="7">
        <v>0</v>
      </c>
      <c r="H105" s="7">
        <v>1</v>
      </c>
      <c r="I105" s="7">
        <v>3.6</v>
      </c>
      <c r="J105" s="7">
        <v>0</v>
      </c>
      <c r="K105" s="5">
        <v>50</v>
      </c>
      <c r="L105" s="7">
        <v>2208</v>
      </c>
      <c r="M105" s="5" t="s">
        <v>600</v>
      </c>
      <c r="N105" s="5">
        <v>0</v>
      </c>
    </row>
    <row r="106" ht="23.1" customHeight="1" spans="1:14">
      <c r="A106" s="46" t="s">
        <v>604</v>
      </c>
      <c r="B106" s="5">
        <v>5108</v>
      </c>
      <c r="C106" s="5">
        <v>3</v>
      </c>
      <c r="D106" s="7">
        <v>34</v>
      </c>
      <c r="E106" s="7">
        <v>34</v>
      </c>
      <c r="F106" s="7">
        <v>0</v>
      </c>
      <c r="G106" s="7">
        <v>0</v>
      </c>
      <c r="H106" s="7">
        <v>1</v>
      </c>
      <c r="I106" s="7">
        <v>3.6</v>
      </c>
      <c r="J106" s="7">
        <v>0</v>
      </c>
      <c r="K106" s="5">
        <v>50</v>
      </c>
      <c r="L106" s="7">
        <v>2208</v>
      </c>
      <c r="M106" s="5" t="s">
        <v>600</v>
      </c>
      <c r="N106" s="5">
        <v>0</v>
      </c>
    </row>
    <row r="107" ht="23.1" customHeight="1" spans="1:14">
      <c r="A107" s="46" t="s">
        <v>604</v>
      </c>
      <c r="B107" s="5">
        <v>5108</v>
      </c>
      <c r="C107" s="5">
        <v>4</v>
      </c>
      <c r="D107" s="7">
        <v>36</v>
      </c>
      <c r="E107" s="7">
        <v>36</v>
      </c>
      <c r="F107" s="7">
        <v>0</v>
      </c>
      <c r="G107" s="7">
        <v>0</v>
      </c>
      <c r="H107" s="7">
        <v>1</v>
      </c>
      <c r="I107" s="7">
        <v>3.6</v>
      </c>
      <c r="J107" s="7">
        <v>0</v>
      </c>
      <c r="K107" s="5">
        <v>50</v>
      </c>
      <c r="L107" s="7">
        <v>2208</v>
      </c>
      <c r="M107" s="5" t="s">
        <v>600</v>
      </c>
      <c r="N107" s="5">
        <v>0</v>
      </c>
    </row>
    <row r="108" ht="23.1" customHeight="1" spans="1:14">
      <c r="A108" s="46" t="s">
        <v>604</v>
      </c>
      <c r="B108" s="5">
        <v>5108</v>
      </c>
      <c r="C108" s="5">
        <v>5</v>
      </c>
      <c r="D108" s="7">
        <v>38</v>
      </c>
      <c r="E108" s="7">
        <v>38</v>
      </c>
      <c r="F108" s="7">
        <v>0</v>
      </c>
      <c r="G108" s="7">
        <v>0</v>
      </c>
      <c r="H108" s="7">
        <v>1</v>
      </c>
      <c r="I108" s="7">
        <v>3.6</v>
      </c>
      <c r="J108" s="7">
        <v>0</v>
      </c>
      <c r="K108" s="5">
        <v>50</v>
      </c>
      <c r="L108" s="7">
        <v>2208</v>
      </c>
      <c r="M108" s="5" t="s">
        <v>600</v>
      </c>
      <c r="N108" s="5">
        <v>0</v>
      </c>
    </row>
    <row r="109" ht="23.1" customHeight="1" spans="1:14">
      <c r="A109" s="46" t="s">
        <v>604</v>
      </c>
      <c r="B109" s="5">
        <v>5108</v>
      </c>
      <c r="C109" s="5">
        <v>6</v>
      </c>
      <c r="D109" s="7">
        <v>42</v>
      </c>
      <c r="E109" s="7">
        <v>42</v>
      </c>
      <c r="F109" s="7">
        <v>0</v>
      </c>
      <c r="G109" s="7">
        <v>0</v>
      </c>
      <c r="H109" s="7">
        <v>1</v>
      </c>
      <c r="I109" s="7">
        <v>3.6</v>
      </c>
      <c r="J109" s="7">
        <v>0</v>
      </c>
      <c r="K109" s="5">
        <v>50</v>
      </c>
      <c r="L109" s="7">
        <v>2208</v>
      </c>
      <c r="M109" s="5" t="s">
        <v>600</v>
      </c>
      <c r="N109" s="5">
        <v>0</v>
      </c>
    </row>
    <row r="110" ht="23.1" customHeight="1" spans="1:14">
      <c r="A110" s="46" t="s">
        <v>604</v>
      </c>
      <c r="B110" s="5">
        <v>5108</v>
      </c>
      <c r="C110" s="5">
        <v>7</v>
      </c>
      <c r="D110" s="7">
        <v>44</v>
      </c>
      <c r="E110" s="7">
        <v>44</v>
      </c>
      <c r="F110" s="7">
        <v>0</v>
      </c>
      <c r="G110" s="7">
        <v>0</v>
      </c>
      <c r="H110" s="7">
        <v>1</v>
      </c>
      <c r="I110" s="7">
        <v>3.6</v>
      </c>
      <c r="J110" s="7">
        <v>0</v>
      </c>
      <c r="K110" s="5">
        <v>50</v>
      </c>
      <c r="L110" s="7">
        <v>2208</v>
      </c>
      <c r="M110" s="5" t="s">
        <v>600</v>
      </c>
      <c r="N110" s="5">
        <v>0</v>
      </c>
    </row>
    <row r="111" ht="23.1" customHeight="1" spans="1:14">
      <c r="A111" s="46" t="s">
        <v>604</v>
      </c>
      <c r="B111" s="5">
        <v>5108</v>
      </c>
      <c r="C111" s="5">
        <v>8</v>
      </c>
      <c r="D111" s="7">
        <v>46</v>
      </c>
      <c r="E111" s="7">
        <v>46</v>
      </c>
      <c r="F111" s="7">
        <v>0</v>
      </c>
      <c r="G111" s="7">
        <v>0</v>
      </c>
      <c r="H111" s="7">
        <v>1</v>
      </c>
      <c r="I111" s="7">
        <v>3.6</v>
      </c>
      <c r="J111" s="7">
        <v>0</v>
      </c>
      <c r="K111" s="5">
        <v>50</v>
      </c>
      <c r="L111" s="7">
        <v>2208</v>
      </c>
      <c r="M111" s="5" t="s">
        <v>600</v>
      </c>
      <c r="N111" s="5">
        <v>0</v>
      </c>
    </row>
    <row r="112" ht="23.1" customHeight="1" spans="1:14">
      <c r="A112" s="46" t="s">
        <v>604</v>
      </c>
      <c r="B112" s="5">
        <v>5108</v>
      </c>
      <c r="C112" s="5">
        <v>9</v>
      </c>
      <c r="D112" s="7">
        <v>48</v>
      </c>
      <c r="E112" s="7">
        <v>48</v>
      </c>
      <c r="F112" s="7">
        <v>0</v>
      </c>
      <c r="G112" s="7">
        <v>0</v>
      </c>
      <c r="H112" s="7">
        <v>1</v>
      </c>
      <c r="I112" s="7">
        <v>3.6</v>
      </c>
      <c r="J112" s="7">
        <v>0</v>
      </c>
      <c r="K112" s="5">
        <v>50</v>
      </c>
      <c r="L112" s="7">
        <v>2208</v>
      </c>
      <c r="M112" s="5" t="s">
        <v>600</v>
      </c>
      <c r="N112" s="5">
        <v>0</v>
      </c>
    </row>
    <row r="113" ht="23.1" customHeight="1" spans="1:14">
      <c r="A113" s="46" t="s">
        <v>604</v>
      </c>
      <c r="B113" s="5">
        <v>5108</v>
      </c>
      <c r="C113" s="5">
        <v>10</v>
      </c>
      <c r="D113" s="7">
        <v>50</v>
      </c>
      <c r="E113" s="7">
        <v>50</v>
      </c>
      <c r="F113" s="7">
        <v>0</v>
      </c>
      <c r="G113" s="7">
        <v>0</v>
      </c>
      <c r="H113" s="7">
        <v>1</v>
      </c>
      <c r="I113" s="7">
        <v>3.6</v>
      </c>
      <c r="J113" s="7">
        <v>0</v>
      </c>
      <c r="K113" s="5">
        <v>50</v>
      </c>
      <c r="L113" s="7">
        <v>2208</v>
      </c>
      <c r="M113" s="5" t="s">
        <v>600</v>
      </c>
      <c r="N113" s="5">
        <v>0</v>
      </c>
    </row>
    <row r="114" ht="23.1" customHeight="1" spans="1:14">
      <c r="A114" s="46" t="s">
        <v>604</v>
      </c>
      <c r="B114" s="5">
        <v>5108</v>
      </c>
      <c r="C114" s="5">
        <v>11</v>
      </c>
      <c r="D114" s="7">
        <v>56</v>
      </c>
      <c r="E114" s="7">
        <v>56</v>
      </c>
      <c r="F114" s="7">
        <v>0</v>
      </c>
      <c r="G114" s="7">
        <v>0</v>
      </c>
      <c r="H114" s="7">
        <v>1</v>
      </c>
      <c r="I114" s="7">
        <v>3.6</v>
      </c>
      <c r="J114" s="7">
        <v>0</v>
      </c>
      <c r="K114" s="5">
        <v>50</v>
      </c>
      <c r="L114" s="7">
        <v>2208</v>
      </c>
      <c r="M114" s="5" t="s">
        <v>600</v>
      </c>
      <c r="N114" s="5">
        <v>0</v>
      </c>
    </row>
    <row r="115" ht="23.1" customHeight="1" spans="1:14">
      <c r="A115" s="46" t="s">
        <v>604</v>
      </c>
      <c r="B115" s="5">
        <v>5108</v>
      </c>
      <c r="C115" s="5">
        <v>12</v>
      </c>
      <c r="D115" s="7">
        <v>58</v>
      </c>
      <c r="E115" s="7">
        <v>58</v>
      </c>
      <c r="F115" s="7">
        <v>0</v>
      </c>
      <c r="G115" s="7">
        <v>0</v>
      </c>
      <c r="H115" s="7">
        <v>1</v>
      </c>
      <c r="I115" s="7">
        <v>3.6</v>
      </c>
      <c r="J115" s="7">
        <v>0</v>
      </c>
      <c r="K115" s="5">
        <v>50</v>
      </c>
      <c r="L115" s="7">
        <v>2208</v>
      </c>
      <c r="M115" s="5" t="s">
        <v>600</v>
      </c>
      <c r="N115" s="5">
        <v>0</v>
      </c>
    </row>
    <row r="116" ht="23.1" customHeight="1" spans="1:14">
      <c r="A116" s="46" t="s">
        <v>604</v>
      </c>
      <c r="B116" s="5">
        <v>5108</v>
      </c>
      <c r="C116" s="5">
        <v>13</v>
      </c>
      <c r="D116" s="7">
        <v>60</v>
      </c>
      <c r="E116" s="7">
        <v>60</v>
      </c>
      <c r="F116" s="7">
        <v>0</v>
      </c>
      <c r="G116" s="7">
        <v>0</v>
      </c>
      <c r="H116" s="7">
        <v>1</v>
      </c>
      <c r="I116" s="7">
        <v>3.6</v>
      </c>
      <c r="J116" s="7">
        <v>0</v>
      </c>
      <c r="K116" s="5">
        <v>50</v>
      </c>
      <c r="L116" s="7">
        <v>2208</v>
      </c>
      <c r="M116" s="5" t="s">
        <v>600</v>
      </c>
      <c r="N116" s="5">
        <v>0</v>
      </c>
    </row>
    <row r="117" ht="23.1" customHeight="1" spans="1:14">
      <c r="A117" s="46" t="s">
        <v>604</v>
      </c>
      <c r="B117" s="5">
        <v>5108</v>
      </c>
      <c r="C117" s="5">
        <v>14</v>
      </c>
      <c r="D117" s="7">
        <v>62</v>
      </c>
      <c r="E117" s="7">
        <v>62</v>
      </c>
      <c r="F117" s="7">
        <v>0</v>
      </c>
      <c r="G117" s="7">
        <v>0</v>
      </c>
      <c r="H117" s="7">
        <v>1</v>
      </c>
      <c r="I117" s="7">
        <v>3.6</v>
      </c>
      <c r="J117" s="7">
        <v>0</v>
      </c>
      <c r="K117" s="5">
        <v>50</v>
      </c>
      <c r="L117" s="7">
        <v>2208</v>
      </c>
      <c r="M117" s="5" t="s">
        <v>600</v>
      </c>
      <c r="N117" s="5">
        <v>0</v>
      </c>
    </row>
    <row r="118" ht="23.1" customHeight="1" spans="1:14">
      <c r="A118" s="46" t="s">
        <v>604</v>
      </c>
      <c r="B118" s="5">
        <v>5108</v>
      </c>
      <c r="C118" s="5">
        <v>15</v>
      </c>
      <c r="D118" s="7">
        <v>64</v>
      </c>
      <c r="E118" s="7">
        <v>64</v>
      </c>
      <c r="F118" s="7">
        <v>0</v>
      </c>
      <c r="G118" s="7">
        <v>0</v>
      </c>
      <c r="H118" s="7">
        <v>1</v>
      </c>
      <c r="I118" s="7">
        <v>3.6</v>
      </c>
      <c r="J118" s="7">
        <v>0</v>
      </c>
      <c r="K118" s="5">
        <v>50</v>
      </c>
      <c r="L118" s="7">
        <v>2208</v>
      </c>
      <c r="M118" s="5" t="s">
        <v>600</v>
      </c>
      <c r="N118" s="5">
        <v>0</v>
      </c>
    </row>
    <row r="119" ht="23.1" customHeight="1" spans="1:14">
      <c r="A119" s="46" t="s">
        <v>604</v>
      </c>
      <c r="B119" s="5">
        <v>5108</v>
      </c>
      <c r="C119" s="5">
        <v>16</v>
      </c>
      <c r="D119" s="7">
        <v>70</v>
      </c>
      <c r="E119" s="7">
        <v>70</v>
      </c>
      <c r="F119" s="7">
        <v>0</v>
      </c>
      <c r="G119" s="7">
        <v>0</v>
      </c>
      <c r="H119" s="7">
        <v>1</v>
      </c>
      <c r="I119" s="7">
        <v>3.6</v>
      </c>
      <c r="J119" s="7">
        <v>0</v>
      </c>
      <c r="K119" s="5">
        <v>50</v>
      </c>
      <c r="L119" s="7">
        <v>2208</v>
      </c>
      <c r="M119" s="5" t="s">
        <v>600</v>
      </c>
      <c r="N119" s="5">
        <v>0</v>
      </c>
    </row>
    <row r="120" ht="23.1" customHeight="1" spans="1:14">
      <c r="A120" s="46" t="s">
        <v>604</v>
      </c>
      <c r="B120" s="5">
        <v>5108</v>
      </c>
      <c r="C120" s="5">
        <v>17</v>
      </c>
      <c r="D120" s="7">
        <v>74</v>
      </c>
      <c r="E120" s="7">
        <v>74</v>
      </c>
      <c r="F120" s="7">
        <v>0</v>
      </c>
      <c r="G120" s="7">
        <v>0</v>
      </c>
      <c r="H120" s="7">
        <v>1</v>
      </c>
      <c r="I120" s="7">
        <v>3.6</v>
      </c>
      <c r="J120" s="7">
        <v>0</v>
      </c>
      <c r="K120" s="5">
        <v>50</v>
      </c>
      <c r="L120" s="7">
        <v>2208</v>
      </c>
      <c r="M120" s="5" t="s">
        <v>600</v>
      </c>
      <c r="N120" s="5">
        <v>0</v>
      </c>
    </row>
    <row r="121" ht="23.1" customHeight="1" spans="1:14">
      <c r="A121" s="46" t="s">
        <v>604</v>
      </c>
      <c r="B121" s="5">
        <v>5108</v>
      </c>
      <c r="C121" s="5">
        <v>18</v>
      </c>
      <c r="D121" s="7">
        <v>78</v>
      </c>
      <c r="E121" s="7">
        <v>78</v>
      </c>
      <c r="F121" s="7">
        <v>0</v>
      </c>
      <c r="G121" s="7">
        <v>0</v>
      </c>
      <c r="H121" s="7">
        <v>1</v>
      </c>
      <c r="I121" s="7">
        <v>3.6</v>
      </c>
      <c r="J121" s="7">
        <v>0</v>
      </c>
      <c r="K121" s="5">
        <v>50</v>
      </c>
      <c r="L121" s="7">
        <v>2208</v>
      </c>
      <c r="M121" s="5" t="s">
        <v>600</v>
      </c>
      <c r="N121" s="5">
        <v>0</v>
      </c>
    </row>
    <row r="122" ht="23.1" customHeight="1" spans="1:14">
      <c r="A122" s="46" t="s">
        <v>604</v>
      </c>
      <c r="B122" s="5">
        <v>5108</v>
      </c>
      <c r="C122" s="5">
        <v>19</v>
      </c>
      <c r="D122" s="7">
        <v>82</v>
      </c>
      <c r="E122" s="7">
        <v>82</v>
      </c>
      <c r="F122" s="7">
        <v>0</v>
      </c>
      <c r="G122" s="7">
        <v>0</v>
      </c>
      <c r="H122" s="7">
        <v>1</v>
      </c>
      <c r="I122" s="7">
        <v>3.6</v>
      </c>
      <c r="J122" s="7">
        <v>0</v>
      </c>
      <c r="K122" s="5">
        <v>50</v>
      </c>
      <c r="L122" s="7">
        <v>2208</v>
      </c>
      <c r="M122" s="5" t="s">
        <v>600</v>
      </c>
      <c r="N122" s="5">
        <v>0</v>
      </c>
    </row>
    <row r="123" ht="23.1" customHeight="1" spans="1:14">
      <c r="A123" s="46" t="s">
        <v>604</v>
      </c>
      <c r="B123" s="5">
        <v>5108</v>
      </c>
      <c r="C123" s="5">
        <v>20</v>
      </c>
      <c r="D123" s="7">
        <v>86</v>
      </c>
      <c r="E123" s="7">
        <v>86</v>
      </c>
      <c r="F123" s="7">
        <v>0</v>
      </c>
      <c r="G123" s="7">
        <v>0</v>
      </c>
      <c r="H123" s="7">
        <v>1</v>
      </c>
      <c r="I123" s="7">
        <v>3.6</v>
      </c>
      <c r="J123" s="7">
        <v>0</v>
      </c>
      <c r="K123" s="5">
        <v>50</v>
      </c>
      <c r="L123" s="7">
        <v>2208</v>
      </c>
      <c r="M123" s="5" t="s">
        <v>600</v>
      </c>
      <c r="N123" s="5">
        <v>0</v>
      </c>
    </row>
    <row r="124" ht="23.1" customHeight="1" spans="1:14">
      <c r="A124" s="46" t="s">
        <v>604</v>
      </c>
      <c r="B124" s="5">
        <v>5108</v>
      </c>
      <c r="C124" s="5">
        <v>21</v>
      </c>
      <c r="D124" s="7">
        <v>90</v>
      </c>
      <c r="E124" s="7">
        <v>90</v>
      </c>
      <c r="F124" s="7">
        <v>0</v>
      </c>
      <c r="G124" s="7">
        <v>0</v>
      </c>
      <c r="H124" s="7">
        <v>1</v>
      </c>
      <c r="I124" s="7">
        <v>3.6</v>
      </c>
      <c r="J124" s="7">
        <v>0</v>
      </c>
      <c r="K124" s="5">
        <v>50</v>
      </c>
      <c r="L124" s="7">
        <v>2208</v>
      </c>
      <c r="M124" s="5" t="s">
        <v>600</v>
      </c>
      <c r="N124" s="5">
        <v>0</v>
      </c>
    </row>
    <row r="125" ht="23.1" customHeight="1" spans="1:14">
      <c r="A125" s="46" t="s">
        <v>604</v>
      </c>
      <c r="B125" s="5">
        <v>5108</v>
      </c>
      <c r="C125" s="5">
        <v>22</v>
      </c>
      <c r="D125" s="7">
        <v>92</v>
      </c>
      <c r="E125" s="7">
        <v>92</v>
      </c>
      <c r="F125" s="7">
        <v>0</v>
      </c>
      <c r="G125" s="7">
        <v>0</v>
      </c>
      <c r="H125" s="7">
        <v>1</v>
      </c>
      <c r="I125" s="7">
        <v>3.6</v>
      </c>
      <c r="J125" s="7">
        <v>0</v>
      </c>
      <c r="K125" s="5">
        <v>50</v>
      </c>
      <c r="L125" s="7">
        <v>2208</v>
      </c>
      <c r="M125" s="5" t="s">
        <v>600</v>
      </c>
      <c r="N125" s="5">
        <v>0</v>
      </c>
    </row>
    <row r="126" ht="23.1" customHeight="1" spans="1:14">
      <c r="A126" s="46" t="s">
        <v>604</v>
      </c>
      <c r="B126" s="5">
        <v>5108</v>
      </c>
      <c r="C126" s="5">
        <v>23</v>
      </c>
      <c r="D126" s="7">
        <v>96</v>
      </c>
      <c r="E126" s="7">
        <v>96</v>
      </c>
      <c r="F126" s="7">
        <v>0</v>
      </c>
      <c r="G126" s="7">
        <v>0</v>
      </c>
      <c r="H126" s="7">
        <v>1</v>
      </c>
      <c r="I126" s="7">
        <v>3.6</v>
      </c>
      <c r="J126" s="7">
        <v>0</v>
      </c>
      <c r="K126" s="5">
        <v>50</v>
      </c>
      <c r="L126" s="7">
        <v>2208</v>
      </c>
      <c r="M126" s="5" t="s">
        <v>600</v>
      </c>
      <c r="N126" s="5">
        <v>0</v>
      </c>
    </row>
    <row r="127" ht="23.1" customHeight="1" spans="1:14">
      <c r="A127" s="46" t="s">
        <v>604</v>
      </c>
      <c r="B127" s="5">
        <v>5108</v>
      </c>
      <c r="C127" s="5">
        <v>24</v>
      </c>
      <c r="D127" s="7">
        <v>100</v>
      </c>
      <c r="E127" s="7">
        <v>100</v>
      </c>
      <c r="F127" s="7">
        <v>0</v>
      </c>
      <c r="G127" s="7">
        <v>0</v>
      </c>
      <c r="H127" s="7">
        <v>1</v>
      </c>
      <c r="I127" s="7">
        <v>3.6</v>
      </c>
      <c r="J127" s="7">
        <v>0</v>
      </c>
      <c r="K127" s="5">
        <v>50</v>
      </c>
      <c r="L127" s="7">
        <v>2208</v>
      </c>
      <c r="M127" s="5" t="s">
        <v>600</v>
      </c>
      <c r="N127" s="5">
        <v>0</v>
      </c>
    </row>
    <row r="128" ht="23.1" customHeight="1" spans="1:14">
      <c r="A128" s="46" t="s">
        <v>604</v>
      </c>
      <c r="B128" s="5">
        <v>5108</v>
      </c>
      <c r="C128" s="5">
        <v>25</v>
      </c>
      <c r="D128" s="7">
        <v>106</v>
      </c>
      <c r="E128" s="7">
        <v>106</v>
      </c>
      <c r="F128" s="7">
        <v>0</v>
      </c>
      <c r="G128" s="7">
        <v>0</v>
      </c>
      <c r="H128" s="7">
        <v>1</v>
      </c>
      <c r="I128" s="7">
        <v>3.6</v>
      </c>
      <c r="J128" s="7">
        <v>0</v>
      </c>
      <c r="K128" s="5">
        <v>50</v>
      </c>
      <c r="L128" s="7">
        <v>2208</v>
      </c>
      <c r="M128" s="5" t="s">
        <v>600</v>
      </c>
      <c r="N128" s="5">
        <v>0</v>
      </c>
    </row>
    <row r="129" ht="23.1" customHeight="1" spans="1:14">
      <c r="A129" s="46" t="s">
        <v>605</v>
      </c>
      <c r="B129" s="5">
        <v>5109</v>
      </c>
      <c r="C129" s="5">
        <v>1</v>
      </c>
      <c r="D129" s="7">
        <v>40</v>
      </c>
      <c r="E129" s="7">
        <v>2</v>
      </c>
      <c r="F129" s="7">
        <v>0</v>
      </c>
      <c r="G129" s="7">
        <v>0</v>
      </c>
      <c r="H129" s="7">
        <v>1</v>
      </c>
      <c r="I129" s="7">
        <v>0.5</v>
      </c>
      <c r="J129" s="7">
        <v>10</v>
      </c>
      <c r="K129" s="7">
        <v>60</v>
      </c>
      <c r="L129" s="7">
        <v>2209</v>
      </c>
      <c r="M129" s="5" t="s">
        <v>600</v>
      </c>
      <c r="N129" s="5">
        <v>0</v>
      </c>
    </row>
    <row r="130" ht="23.1" customHeight="1" spans="1:14">
      <c r="A130" s="46" t="s">
        <v>605</v>
      </c>
      <c r="B130" s="5">
        <v>5109</v>
      </c>
      <c r="C130" s="5">
        <v>2</v>
      </c>
      <c r="D130" s="7">
        <v>42</v>
      </c>
      <c r="E130" s="7">
        <v>2</v>
      </c>
      <c r="F130" s="7">
        <v>0</v>
      </c>
      <c r="G130" s="7">
        <v>0</v>
      </c>
      <c r="H130" s="7">
        <v>1</v>
      </c>
      <c r="I130" s="7">
        <v>0.5</v>
      </c>
      <c r="J130" s="7">
        <v>10.5</v>
      </c>
      <c r="K130" s="7">
        <v>60</v>
      </c>
      <c r="L130" s="7">
        <v>2209</v>
      </c>
      <c r="M130" s="5" t="s">
        <v>600</v>
      </c>
      <c r="N130" s="5">
        <v>0</v>
      </c>
    </row>
    <row r="131" ht="23.1" customHeight="1" spans="1:14">
      <c r="A131" s="46" t="s">
        <v>605</v>
      </c>
      <c r="B131" s="5">
        <v>5109</v>
      </c>
      <c r="C131" s="5">
        <v>3</v>
      </c>
      <c r="D131" s="7">
        <v>44</v>
      </c>
      <c r="E131" s="7">
        <v>2</v>
      </c>
      <c r="F131" s="7">
        <v>0</v>
      </c>
      <c r="G131" s="7">
        <v>0</v>
      </c>
      <c r="H131" s="7">
        <v>1</v>
      </c>
      <c r="I131" s="7">
        <v>0.5</v>
      </c>
      <c r="J131" s="7">
        <v>11</v>
      </c>
      <c r="K131" s="7">
        <v>60</v>
      </c>
      <c r="L131" s="7">
        <v>2209</v>
      </c>
      <c r="M131" s="5" t="s">
        <v>600</v>
      </c>
      <c r="N131" s="5">
        <v>0</v>
      </c>
    </row>
    <row r="132" ht="23.1" customHeight="1" spans="1:14">
      <c r="A132" s="46" t="s">
        <v>605</v>
      </c>
      <c r="B132" s="5">
        <v>5109</v>
      </c>
      <c r="C132" s="5">
        <v>4</v>
      </c>
      <c r="D132" s="7">
        <v>46</v>
      </c>
      <c r="E132" s="7">
        <v>2</v>
      </c>
      <c r="F132" s="7">
        <v>0</v>
      </c>
      <c r="G132" s="7">
        <v>0</v>
      </c>
      <c r="H132" s="7">
        <v>1</v>
      </c>
      <c r="I132" s="7">
        <v>0.5</v>
      </c>
      <c r="J132" s="7">
        <v>11.5</v>
      </c>
      <c r="K132" s="7">
        <v>60</v>
      </c>
      <c r="L132" s="7">
        <v>2209</v>
      </c>
      <c r="M132" s="5" t="s">
        <v>600</v>
      </c>
      <c r="N132" s="5">
        <v>0</v>
      </c>
    </row>
    <row r="133" ht="23.1" customHeight="1" spans="1:14">
      <c r="A133" s="46" t="s">
        <v>605</v>
      </c>
      <c r="B133" s="5">
        <v>5109</v>
      </c>
      <c r="C133" s="5">
        <v>5</v>
      </c>
      <c r="D133" s="7">
        <v>48</v>
      </c>
      <c r="E133" s="7">
        <v>2</v>
      </c>
      <c r="F133" s="7">
        <v>0</v>
      </c>
      <c r="G133" s="7">
        <v>0</v>
      </c>
      <c r="H133" s="7">
        <v>1</v>
      </c>
      <c r="I133" s="7">
        <v>0.5</v>
      </c>
      <c r="J133" s="7">
        <v>12</v>
      </c>
      <c r="K133" s="7">
        <v>60</v>
      </c>
      <c r="L133" s="7">
        <v>2209</v>
      </c>
      <c r="M133" s="5" t="s">
        <v>600</v>
      </c>
      <c r="N133" s="5">
        <v>0</v>
      </c>
    </row>
    <row r="134" ht="23.1" customHeight="1" spans="1:14">
      <c r="A134" s="46" t="s">
        <v>605</v>
      </c>
      <c r="B134" s="5">
        <v>5109</v>
      </c>
      <c r="C134" s="5">
        <v>6</v>
      </c>
      <c r="D134" s="7">
        <v>52</v>
      </c>
      <c r="E134" s="7">
        <v>2</v>
      </c>
      <c r="F134" s="7">
        <v>0</v>
      </c>
      <c r="G134" s="7">
        <v>0</v>
      </c>
      <c r="H134" s="7">
        <v>1</v>
      </c>
      <c r="I134" s="7">
        <v>0.5</v>
      </c>
      <c r="J134" s="7">
        <v>13</v>
      </c>
      <c r="K134" s="7">
        <v>60</v>
      </c>
      <c r="L134" s="7">
        <v>2209</v>
      </c>
      <c r="M134" s="5" t="s">
        <v>600</v>
      </c>
      <c r="N134" s="5">
        <v>0</v>
      </c>
    </row>
    <row r="135" ht="23.1" customHeight="1" spans="1:14">
      <c r="A135" s="46" t="s">
        <v>605</v>
      </c>
      <c r="B135" s="5">
        <v>5109</v>
      </c>
      <c r="C135" s="5">
        <v>7</v>
      </c>
      <c r="D135" s="7">
        <v>54</v>
      </c>
      <c r="E135" s="7">
        <v>2</v>
      </c>
      <c r="F135" s="7">
        <v>0</v>
      </c>
      <c r="G135" s="7">
        <v>0</v>
      </c>
      <c r="H135" s="7">
        <v>1</v>
      </c>
      <c r="I135" s="7">
        <v>0.5</v>
      </c>
      <c r="J135" s="7">
        <v>13.5</v>
      </c>
      <c r="K135" s="7">
        <v>60</v>
      </c>
      <c r="L135" s="7">
        <v>2209</v>
      </c>
      <c r="M135" s="5" t="s">
        <v>600</v>
      </c>
      <c r="N135" s="5">
        <v>0</v>
      </c>
    </row>
    <row r="136" ht="23.1" customHeight="1" spans="1:14">
      <c r="A136" s="46" t="s">
        <v>605</v>
      </c>
      <c r="B136" s="5">
        <v>5109</v>
      </c>
      <c r="C136" s="5">
        <v>8</v>
      </c>
      <c r="D136" s="7">
        <v>56</v>
      </c>
      <c r="E136" s="7">
        <v>2</v>
      </c>
      <c r="F136" s="7">
        <v>0</v>
      </c>
      <c r="G136" s="7">
        <v>0</v>
      </c>
      <c r="H136" s="7">
        <v>1</v>
      </c>
      <c r="I136" s="7">
        <v>0.5</v>
      </c>
      <c r="J136" s="7">
        <v>14</v>
      </c>
      <c r="K136" s="7">
        <v>60</v>
      </c>
      <c r="L136" s="7">
        <v>2209</v>
      </c>
      <c r="M136" s="5" t="s">
        <v>600</v>
      </c>
      <c r="N136" s="5">
        <v>0</v>
      </c>
    </row>
    <row r="137" ht="23.1" customHeight="1" spans="1:14">
      <c r="A137" s="46" t="s">
        <v>605</v>
      </c>
      <c r="B137" s="5">
        <v>5109</v>
      </c>
      <c r="C137" s="5">
        <v>9</v>
      </c>
      <c r="D137" s="7">
        <v>58</v>
      </c>
      <c r="E137" s="7">
        <v>2</v>
      </c>
      <c r="F137" s="7">
        <v>0</v>
      </c>
      <c r="G137" s="7">
        <v>0</v>
      </c>
      <c r="H137" s="7">
        <v>1</v>
      </c>
      <c r="I137" s="7">
        <v>0.5</v>
      </c>
      <c r="J137" s="7">
        <v>14.5</v>
      </c>
      <c r="K137" s="7">
        <v>60</v>
      </c>
      <c r="L137" s="7">
        <v>2209</v>
      </c>
      <c r="M137" s="5" t="s">
        <v>600</v>
      </c>
      <c r="N137" s="5">
        <v>0</v>
      </c>
    </row>
    <row r="138" ht="23.1" customHeight="1" spans="1:14">
      <c r="A138" s="46" t="s">
        <v>605</v>
      </c>
      <c r="B138" s="5">
        <v>5109</v>
      </c>
      <c r="C138" s="5">
        <v>10</v>
      </c>
      <c r="D138" s="7">
        <v>60</v>
      </c>
      <c r="E138" s="7">
        <v>2</v>
      </c>
      <c r="F138" s="7">
        <v>0</v>
      </c>
      <c r="G138" s="7">
        <v>0</v>
      </c>
      <c r="H138" s="7">
        <v>1</v>
      </c>
      <c r="I138" s="7">
        <v>0.5</v>
      </c>
      <c r="J138" s="7">
        <v>15</v>
      </c>
      <c r="K138" s="7">
        <v>60</v>
      </c>
      <c r="L138" s="7">
        <v>2209</v>
      </c>
      <c r="M138" s="5" t="s">
        <v>600</v>
      </c>
      <c r="N138" s="5">
        <v>0</v>
      </c>
    </row>
    <row r="139" ht="23.1" customHeight="1" spans="1:14">
      <c r="A139" s="46" t="s">
        <v>605</v>
      </c>
      <c r="B139" s="5">
        <v>5109</v>
      </c>
      <c r="C139" s="5">
        <v>11</v>
      </c>
      <c r="D139" s="7">
        <v>63</v>
      </c>
      <c r="E139" s="7">
        <v>3</v>
      </c>
      <c r="F139" s="7">
        <v>0</v>
      </c>
      <c r="G139" s="7">
        <v>0</v>
      </c>
      <c r="H139" s="7">
        <v>1</v>
      </c>
      <c r="I139" s="7">
        <v>0.5</v>
      </c>
      <c r="J139" s="7">
        <v>10.5</v>
      </c>
      <c r="K139" s="7">
        <v>60</v>
      </c>
      <c r="L139" s="7">
        <v>2209</v>
      </c>
      <c r="M139" s="5" t="s">
        <v>600</v>
      </c>
      <c r="N139" s="5">
        <v>0</v>
      </c>
    </row>
    <row r="140" ht="23.1" customHeight="1" spans="1:14">
      <c r="A140" s="46" t="s">
        <v>605</v>
      </c>
      <c r="B140" s="5">
        <v>5109</v>
      </c>
      <c r="C140" s="5">
        <v>12</v>
      </c>
      <c r="D140" s="7">
        <v>66</v>
      </c>
      <c r="E140" s="7">
        <v>3</v>
      </c>
      <c r="F140" s="7">
        <v>0</v>
      </c>
      <c r="G140" s="7">
        <v>0</v>
      </c>
      <c r="H140" s="7">
        <v>1</v>
      </c>
      <c r="I140" s="7">
        <v>0.5</v>
      </c>
      <c r="J140" s="7">
        <v>11</v>
      </c>
      <c r="K140" s="7">
        <v>60</v>
      </c>
      <c r="L140" s="7">
        <v>2209</v>
      </c>
      <c r="M140" s="5" t="s">
        <v>600</v>
      </c>
      <c r="N140" s="5">
        <v>0</v>
      </c>
    </row>
    <row r="141" ht="23.1" customHeight="1" spans="1:14">
      <c r="A141" s="46" t="s">
        <v>605</v>
      </c>
      <c r="B141" s="5">
        <v>5109</v>
      </c>
      <c r="C141" s="5">
        <v>13</v>
      </c>
      <c r="D141" s="7">
        <v>69</v>
      </c>
      <c r="E141" s="7">
        <v>3</v>
      </c>
      <c r="F141" s="7">
        <v>0</v>
      </c>
      <c r="G141" s="7">
        <v>0</v>
      </c>
      <c r="H141" s="7">
        <v>1</v>
      </c>
      <c r="I141" s="7">
        <v>0.5</v>
      </c>
      <c r="J141" s="7">
        <v>11.5</v>
      </c>
      <c r="K141" s="7">
        <v>60</v>
      </c>
      <c r="L141" s="7">
        <v>2209</v>
      </c>
      <c r="M141" s="5" t="s">
        <v>600</v>
      </c>
      <c r="N141" s="5">
        <v>0</v>
      </c>
    </row>
    <row r="142" ht="23.1" customHeight="1" spans="1:14">
      <c r="A142" s="46" t="s">
        <v>605</v>
      </c>
      <c r="B142" s="5">
        <v>5109</v>
      </c>
      <c r="C142" s="5">
        <v>14</v>
      </c>
      <c r="D142" s="7">
        <v>72</v>
      </c>
      <c r="E142" s="7">
        <v>3</v>
      </c>
      <c r="F142" s="7">
        <v>0</v>
      </c>
      <c r="G142" s="7">
        <v>0</v>
      </c>
      <c r="H142" s="7">
        <v>1</v>
      </c>
      <c r="I142" s="7">
        <v>0.5</v>
      </c>
      <c r="J142" s="7">
        <v>12</v>
      </c>
      <c r="K142" s="7">
        <v>60</v>
      </c>
      <c r="L142" s="7">
        <v>2209</v>
      </c>
      <c r="M142" s="5" t="s">
        <v>600</v>
      </c>
      <c r="N142" s="5">
        <v>0</v>
      </c>
    </row>
    <row r="143" ht="23.1" customHeight="1" spans="1:14">
      <c r="A143" s="46" t="s">
        <v>605</v>
      </c>
      <c r="B143" s="5">
        <v>5109</v>
      </c>
      <c r="C143" s="5">
        <v>15</v>
      </c>
      <c r="D143" s="7">
        <v>75</v>
      </c>
      <c r="E143" s="7">
        <v>3</v>
      </c>
      <c r="F143" s="7">
        <v>0</v>
      </c>
      <c r="G143" s="7">
        <v>0</v>
      </c>
      <c r="H143" s="7">
        <v>1</v>
      </c>
      <c r="I143" s="7">
        <v>0.5</v>
      </c>
      <c r="J143" s="7">
        <v>12.5</v>
      </c>
      <c r="K143" s="7">
        <v>60</v>
      </c>
      <c r="L143" s="7">
        <v>2209</v>
      </c>
      <c r="M143" s="5" t="s">
        <v>600</v>
      </c>
      <c r="N143" s="5">
        <v>0</v>
      </c>
    </row>
    <row r="144" ht="23.1" customHeight="1" spans="1:14">
      <c r="A144" s="46" t="s">
        <v>605</v>
      </c>
      <c r="B144" s="5">
        <v>5109</v>
      </c>
      <c r="C144" s="5">
        <v>16</v>
      </c>
      <c r="D144" s="7">
        <v>80</v>
      </c>
      <c r="E144" s="7">
        <v>4</v>
      </c>
      <c r="F144" s="7">
        <v>0</v>
      </c>
      <c r="G144" s="7">
        <v>0</v>
      </c>
      <c r="H144" s="7">
        <v>1</v>
      </c>
      <c r="I144" s="7">
        <v>0.5</v>
      </c>
      <c r="J144" s="7">
        <v>10</v>
      </c>
      <c r="K144" s="7">
        <v>60</v>
      </c>
      <c r="L144" s="7">
        <v>2209</v>
      </c>
      <c r="M144" s="5" t="s">
        <v>600</v>
      </c>
      <c r="N144" s="5">
        <v>0</v>
      </c>
    </row>
    <row r="145" ht="23.1" customHeight="1" spans="1:14">
      <c r="A145" s="46" t="s">
        <v>605</v>
      </c>
      <c r="B145" s="5">
        <v>5109</v>
      </c>
      <c r="C145" s="5">
        <v>17</v>
      </c>
      <c r="D145" s="7">
        <v>84</v>
      </c>
      <c r="E145" s="7">
        <v>4</v>
      </c>
      <c r="F145" s="7">
        <v>0</v>
      </c>
      <c r="G145" s="7">
        <v>0</v>
      </c>
      <c r="H145" s="7">
        <v>1</v>
      </c>
      <c r="I145" s="7">
        <v>0.5</v>
      </c>
      <c r="J145" s="7">
        <v>10.5</v>
      </c>
      <c r="K145" s="7">
        <v>60</v>
      </c>
      <c r="L145" s="7">
        <v>2209</v>
      </c>
      <c r="M145" s="5" t="s">
        <v>600</v>
      </c>
      <c r="N145" s="5">
        <v>0</v>
      </c>
    </row>
    <row r="146" ht="23.1" customHeight="1" spans="1:14">
      <c r="A146" s="46" t="s">
        <v>605</v>
      </c>
      <c r="B146" s="5">
        <v>5109</v>
      </c>
      <c r="C146" s="5">
        <v>18</v>
      </c>
      <c r="D146" s="7">
        <v>88</v>
      </c>
      <c r="E146" s="7">
        <v>4</v>
      </c>
      <c r="F146" s="7">
        <v>0</v>
      </c>
      <c r="G146" s="7">
        <v>0</v>
      </c>
      <c r="H146" s="7">
        <v>1</v>
      </c>
      <c r="I146" s="7">
        <v>0.5</v>
      </c>
      <c r="J146" s="7">
        <v>11</v>
      </c>
      <c r="K146" s="7">
        <v>60</v>
      </c>
      <c r="L146" s="7">
        <v>2209</v>
      </c>
      <c r="M146" s="5" t="s">
        <v>600</v>
      </c>
      <c r="N146" s="5">
        <v>0</v>
      </c>
    </row>
    <row r="147" ht="23.1" customHeight="1" spans="1:14">
      <c r="A147" s="46" t="s">
        <v>605</v>
      </c>
      <c r="B147" s="5">
        <v>5109</v>
      </c>
      <c r="C147" s="5">
        <v>19</v>
      </c>
      <c r="D147" s="7">
        <v>92</v>
      </c>
      <c r="E147" s="7">
        <v>4</v>
      </c>
      <c r="F147" s="7">
        <v>0</v>
      </c>
      <c r="G147" s="7">
        <v>0</v>
      </c>
      <c r="H147" s="7">
        <v>1</v>
      </c>
      <c r="I147" s="7">
        <v>0.5</v>
      </c>
      <c r="J147" s="7">
        <v>11.5</v>
      </c>
      <c r="K147" s="7">
        <v>60</v>
      </c>
      <c r="L147" s="7">
        <v>2209</v>
      </c>
      <c r="M147" s="5" t="s">
        <v>600</v>
      </c>
      <c r="N147" s="5">
        <v>0</v>
      </c>
    </row>
    <row r="148" ht="23.1" customHeight="1" spans="1:14">
      <c r="A148" s="46" t="s">
        <v>605</v>
      </c>
      <c r="B148" s="5">
        <v>5109</v>
      </c>
      <c r="C148" s="5">
        <v>20</v>
      </c>
      <c r="D148" s="7">
        <v>96</v>
      </c>
      <c r="E148" s="7">
        <v>4</v>
      </c>
      <c r="F148" s="7">
        <v>0</v>
      </c>
      <c r="G148" s="7">
        <v>0</v>
      </c>
      <c r="H148" s="7">
        <v>1</v>
      </c>
      <c r="I148" s="7">
        <v>0.5</v>
      </c>
      <c r="J148" s="7">
        <v>12</v>
      </c>
      <c r="K148" s="7">
        <v>60</v>
      </c>
      <c r="L148" s="7">
        <v>2209</v>
      </c>
      <c r="M148" s="5" t="s">
        <v>600</v>
      </c>
      <c r="N148" s="5">
        <v>0</v>
      </c>
    </row>
    <row r="149" ht="23.1" customHeight="1" spans="1:14">
      <c r="A149" s="46" t="s">
        <v>605</v>
      </c>
      <c r="B149" s="5">
        <v>5109</v>
      </c>
      <c r="C149" s="5">
        <v>21</v>
      </c>
      <c r="D149" s="7">
        <v>100</v>
      </c>
      <c r="E149" s="7">
        <v>4</v>
      </c>
      <c r="F149" s="7">
        <v>0</v>
      </c>
      <c r="G149" s="7">
        <v>0</v>
      </c>
      <c r="H149" s="7">
        <v>1</v>
      </c>
      <c r="I149" s="7">
        <v>0.5</v>
      </c>
      <c r="J149" s="7">
        <v>12.5</v>
      </c>
      <c r="K149" s="7">
        <v>60</v>
      </c>
      <c r="L149" s="7">
        <v>2209</v>
      </c>
      <c r="M149" s="5" t="s">
        <v>600</v>
      </c>
      <c r="N149" s="5">
        <v>0</v>
      </c>
    </row>
    <row r="150" ht="23.1" customHeight="1" spans="1:14">
      <c r="A150" s="46" t="s">
        <v>605</v>
      </c>
      <c r="B150" s="5">
        <v>5109</v>
      </c>
      <c r="C150" s="5">
        <v>22</v>
      </c>
      <c r="D150" s="7">
        <v>104</v>
      </c>
      <c r="E150" s="7">
        <v>4</v>
      </c>
      <c r="F150" s="7">
        <v>0</v>
      </c>
      <c r="G150" s="7">
        <v>0</v>
      </c>
      <c r="H150" s="7">
        <v>1</v>
      </c>
      <c r="I150" s="7">
        <v>0.5</v>
      </c>
      <c r="J150" s="7">
        <v>13</v>
      </c>
      <c r="K150" s="7">
        <v>60</v>
      </c>
      <c r="L150" s="7">
        <v>2209</v>
      </c>
      <c r="M150" s="5" t="s">
        <v>600</v>
      </c>
      <c r="N150" s="5">
        <v>0</v>
      </c>
    </row>
    <row r="151" ht="23.1" customHeight="1" spans="1:14">
      <c r="A151" s="46" t="s">
        <v>605</v>
      </c>
      <c r="B151" s="5">
        <v>5109</v>
      </c>
      <c r="C151" s="5">
        <v>23</v>
      </c>
      <c r="D151" s="7">
        <v>108</v>
      </c>
      <c r="E151" s="7">
        <v>4</v>
      </c>
      <c r="F151" s="7">
        <v>0</v>
      </c>
      <c r="G151" s="7">
        <v>0</v>
      </c>
      <c r="H151" s="7">
        <v>1</v>
      </c>
      <c r="I151" s="7">
        <v>0.5</v>
      </c>
      <c r="J151" s="7">
        <v>13.5</v>
      </c>
      <c r="K151" s="7">
        <v>60</v>
      </c>
      <c r="L151" s="7">
        <v>2209</v>
      </c>
      <c r="M151" s="5" t="s">
        <v>600</v>
      </c>
      <c r="N151" s="5">
        <v>0</v>
      </c>
    </row>
    <row r="152" ht="23.1" customHeight="1" spans="1:14">
      <c r="A152" s="46" t="s">
        <v>605</v>
      </c>
      <c r="B152" s="5">
        <v>5109</v>
      </c>
      <c r="C152" s="5">
        <v>24</v>
      </c>
      <c r="D152" s="7">
        <v>112</v>
      </c>
      <c r="E152" s="7">
        <v>4</v>
      </c>
      <c r="F152" s="7">
        <v>0</v>
      </c>
      <c r="G152" s="7">
        <v>0</v>
      </c>
      <c r="H152" s="7">
        <v>1</v>
      </c>
      <c r="I152" s="7">
        <v>0.5</v>
      </c>
      <c r="J152" s="7">
        <v>14</v>
      </c>
      <c r="K152" s="7">
        <v>60</v>
      </c>
      <c r="L152" s="7">
        <v>2209</v>
      </c>
      <c r="M152" s="5" t="s">
        <v>600</v>
      </c>
      <c r="N152" s="5">
        <v>0</v>
      </c>
    </row>
    <row r="153" ht="23.1" customHeight="1" spans="1:14">
      <c r="A153" s="46" t="s">
        <v>605</v>
      </c>
      <c r="B153" s="5">
        <v>5109</v>
      </c>
      <c r="C153" s="5">
        <v>25</v>
      </c>
      <c r="D153" s="7">
        <v>120</v>
      </c>
      <c r="E153" s="7">
        <v>4</v>
      </c>
      <c r="F153" s="7">
        <v>0</v>
      </c>
      <c r="G153" s="7">
        <v>0</v>
      </c>
      <c r="H153" s="7">
        <v>1</v>
      </c>
      <c r="I153" s="7">
        <v>0.5</v>
      </c>
      <c r="J153" s="7">
        <v>15</v>
      </c>
      <c r="K153" s="7">
        <v>60</v>
      </c>
      <c r="L153" s="7">
        <v>2209</v>
      </c>
      <c r="M153" s="5" t="s">
        <v>600</v>
      </c>
      <c r="N153" s="5">
        <v>0</v>
      </c>
    </row>
    <row r="154" ht="23.1" customHeight="1" spans="1:14">
      <c r="A154" s="46" t="s">
        <v>606</v>
      </c>
      <c r="B154" s="5">
        <v>5110</v>
      </c>
      <c r="C154" s="5">
        <v>1</v>
      </c>
      <c r="D154" s="5">
        <v>72</v>
      </c>
      <c r="E154" s="5">
        <v>2</v>
      </c>
      <c r="F154" s="5">
        <v>0</v>
      </c>
      <c r="G154" s="5">
        <v>0</v>
      </c>
      <c r="H154" s="5">
        <v>18</v>
      </c>
      <c r="I154" s="5">
        <v>0.15</v>
      </c>
      <c r="J154" s="5">
        <v>0</v>
      </c>
      <c r="K154" s="5">
        <v>50</v>
      </c>
      <c r="L154" s="5">
        <v>2210</v>
      </c>
      <c r="M154" s="5" t="s">
        <v>600</v>
      </c>
      <c r="N154" s="5">
        <v>0</v>
      </c>
    </row>
    <row r="155" ht="23.1" customHeight="1" spans="1:14">
      <c r="A155" s="46" t="s">
        <v>606</v>
      </c>
      <c r="B155" s="5">
        <v>5110</v>
      </c>
      <c r="C155" s="5">
        <v>2</v>
      </c>
      <c r="D155" s="5">
        <v>76</v>
      </c>
      <c r="E155" s="5">
        <v>2</v>
      </c>
      <c r="F155" s="5">
        <v>0</v>
      </c>
      <c r="G155" s="5">
        <v>0</v>
      </c>
      <c r="H155" s="5">
        <v>19</v>
      </c>
      <c r="I155" s="5">
        <v>0.15</v>
      </c>
      <c r="J155" s="5">
        <v>0</v>
      </c>
      <c r="K155" s="5">
        <v>50</v>
      </c>
      <c r="L155" s="5">
        <v>2210</v>
      </c>
      <c r="M155" s="5" t="s">
        <v>600</v>
      </c>
      <c r="N155" s="5">
        <v>0</v>
      </c>
    </row>
    <row r="156" ht="23.1" customHeight="1" spans="1:14">
      <c r="A156" s="46" t="s">
        <v>606</v>
      </c>
      <c r="B156" s="5">
        <v>5110</v>
      </c>
      <c r="C156" s="5">
        <v>3</v>
      </c>
      <c r="D156" s="5">
        <v>80</v>
      </c>
      <c r="E156" s="5">
        <v>2</v>
      </c>
      <c r="F156" s="5">
        <v>0</v>
      </c>
      <c r="G156" s="5">
        <v>0</v>
      </c>
      <c r="H156" s="5">
        <v>20</v>
      </c>
      <c r="I156" s="5">
        <v>0.15</v>
      </c>
      <c r="J156" s="5">
        <v>0</v>
      </c>
      <c r="K156" s="5">
        <v>50</v>
      </c>
      <c r="L156" s="5">
        <v>2210</v>
      </c>
      <c r="M156" s="5" t="s">
        <v>600</v>
      </c>
      <c r="N156" s="5">
        <v>0</v>
      </c>
    </row>
    <row r="157" ht="23.1" customHeight="1" spans="1:14">
      <c r="A157" s="46" t="s">
        <v>606</v>
      </c>
      <c r="B157" s="5">
        <v>5110</v>
      </c>
      <c r="C157" s="5">
        <v>4</v>
      </c>
      <c r="D157" s="5">
        <v>84</v>
      </c>
      <c r="E157" s="5">
        <v>2</v>
      </c>
      <c r="F157" s="5">
        <v>0</v>
      </c>
      <c r="G157" s="5">
        <v>0</v>
      </c>
      <c r="H157" s="5">
        <v>21</v>
      </c>
      <c r="I157" s="5">
        <v>0.15</v>
      </c>
      <c r="J157" s="5">
        <v>0</v>
      </c>
      <c r="K157" s="5">
        <v>50</v>
      </c>
      <c r="L157" s="5">
        <v>2210</v>
      </c>
      <c r="M157" s="5" t="s">
        <v>600</v>
      </c>
      <c r="N157" s="5">
        <v>0</v>
      </c>
    </row>
    <row r="158" ht="23.1" customHeight="1" spans="1:14">
      <c r="A158" s="46" t="s">
        <v>606</v>
      </c>
      <c r="B158" s="5">
        <v>5110</v>
      </c>
      <c r="C158" s="5">
        <v>5</v>
      </c>
      <c r="D158" s="5">
        <v>88</v>
      </c>
      <c r="E158" s="5">
        <v>2</v>
      </c>
      <c r="F158" s="5">
        <v>0</v>
      </c>
      <c r="G158" s="5">
        <v>0</v>
      </c>
      <c r="H158" s="5">
        <v>22</v>
      </c>
      <c r="I158" s="5">
        <v>0.15</v>
      </c>
      <c r="J158" s="5">
        <v>0</v>
      </c>
      <c r="K158" s="5">
        <v>50</v>
      </c>
      <c r="L158" s="5">
        <v>2210</v>
      </c>
      <c r="M158" s="5" t="s">
        <v>600</v>
      </c>
      <c r="N158" s="5">
        <v>0</v>
      </c>
    </row>
    <row r="159" ht="23.1" customHeight="1" spans="1:14">
      <c r="A159" s="46" t="s">
        <v>606</v>
      </c>
      <c r="B159" s="5">
        <v>5110</v>
      </c>
      <c r="C159" s="5">
        <v>6</v>
      </c>
      <c r="D159" s="5">
        <v>96</v>
      </c>
      <c r="E159" s="5">
        <v>2</v>
      </c>
      <c r="F159" s="5">
        <v>0</v>
      </c>
      <c r="G159" s="5">
        <v>0</v>
      </c>
      <c r="H159" s="5">
        <v>24</v>
      </c>
      <c r="I159" s="5">
        <v>0.15</v>
      </c>
      <c r="J159" s="5">
        <v>0</v>
      </c>
      <c r="K159" s="5">
        <v>50</v>
      </c>
      <c r="L159" s="5">
        <v>2210</v>
      </c>
      <c r="M159" s="5" t="s">
        <v>600</v>
      </c>
      <c r="N159" s="5">
        <v>0</v>
      </c>
    </row>
    <row r="160" ht="23.1" customHeight="1" spans="1:14">
      <c r="A160" s="46" t="s">
        <v>606</v>
      </c>
      <c r="B160" s="5">
        <v>5110</v>
      </c>
      <c r="C160" s="5">
        <v>7</v>
      </c>
      <c r="D160" s="5">
        <v>100</v>
      </c>
      <c r="E160" s="5">
        <v>2</v>
      </c>
      <c r="F160" s="5">
        <v>0</v>
      </c>
      <c r="G160" s="5">
        <v>0</v>
      </c>
      <c r="H160" s="5">
        <v>25</v>
      </c>
      <c r="I160" s="5">
        <v>0.15</v>
      </c>
      <c r="J160" s="5">
        <v>0</v>
      </c>
      <c r="K160" s="5">
        <v>50</v>
      </c>
      <c r="L160" s="5">
        <v>2210</v>
      </c>
      <c r="M160" s="5" t="s">
        <v>600</v>
      </c>
      <c r="N160" s="5">
        <v>0</v>
      </c>
    </row>
    <row r="161" ht="23.1" customHeight="1" spans="1:14">
      <c r="A161" s="46" t="s">
        <v>606</v>
      </c>
      <c r="B161" s="5">
        <v>5110</v>
      </c>
      <c r="C161" s="5">
        <v>8</v>
      </c>
      <c r="D161" s="5">
        <v>104</v>
      </c>
      <c r="E161" s="5">
        <v>2</v>
      </c>
      <c r="F161" s="5">
        <v>0</v>
      </c>
      <c r="G161" s="5">
        <v>0</v>
      </c>
      <c r="H161" s="5">
        <v>26</v>
      </c>
      <c r="I161" s="5">
        <v>0.15</v>
      </c>
      <c r="J161" s="5">
        <v>0</v>
      </c>
      <c r="K161" s="5">
        <v>50</v>
      </c>
      <c r="L161" s="5">
        <v>2210</v>
      </c>
      <c r="M161" s="5" t="s">
        <v>600</v>
      </c>
      <c r="N161" s="5">
        <v>0</v>
      </c>
    </row>
    <row r="162" ht="23.1" customHeight="1" spans="1:14">
      <c r="A162" s="46" t="s">
        <v>606</v>
      </c>
      <c r="B162" s="5">
        <v>5110</v>
      </c>
      <c r="C162" s="5">
        <v>9</v>
      </c>
      <c r="D162" s="5">
        <v>108</v>
      </c>
      <c r="E162" s="5">
        <v>2</v>
      </c>
      <c r="F162" s="5">
        <v>0</v>
      </c>
      <c r="G162" s="5">
        <v>0</v>
      </c>
      <c r="H162" s="5">
        <v>27</v>
      </c>
      <c r="I162" s="5">
        <v>0.15</v>
      </c>
      <c r="J162" s="5">
        <v>0</v>
      </c>
      <c r="K162" s="5">
        <v>50</v>
      </c>
      <c r="L162" s="5">
        <v>2210</v>
      </c>
      <c r="M162" s="5" t="s">
        <v>600</v>
      </c>
      <c r="N162" s="5">
        <v>0</v>
      </c>
    </row>
    <row r="163" ht="23.1" customHeight="1" spans="1:14">
      <c r="A163" s="46" t="s">
        <v>606</v>
      </c>
      <c r="B163" s="5">
        <v>5110</v>
      </c>
      <c r="C163" s="5">
        <v>10</v>
      </c>
      <c r="D163" s="5">
        <v>112</v>
      </c>
      <c r="E163" s="5">
        <v>2</v>
      </c>
      <c r="F163" s="5">
        <v>0</v>
      </c>
      <c r="G163" s="5">
        <v>0</v>
      </c>
      <c r="H163" s="5">
        <v>28</v>
      </c>
      <c r="I163" s="5">
        <v>0.15</v>
      </c>
      <c r="J163" s="5">
        <v>0</v>
      </c>
      <c r="K163" s="5">
        <v>50</v>
      </c>
      <c r="L163" s="5">
        <v>2210</v>
      </c>
      <c r="M163" s="5" t="s">
        <v>600</v>
      </c>
      <c r="N163" s="5">
        <v>0</v>
      </c>
    </row>
    <row r="164" ht="23.1" customHeight="1" spans="1:14">
      <c r="A164" s="46" t="s">
        <v>606</v>
      </c>
      <c r="B164" s="5">
        <v>5110</v>
      </c>
      <c r="C164" s="5">
        <v>11</v>
      </c>
      <c r="D164" s="5">
        <v>120</v>
      </c>
      <c r="E164" s="5">
        <v>2</v>
      </c>
      <c r="F164" s="5">
        <v>0</v>
      </c>
      <c r="G164" s="5">
        <v>0</v>
      </c>
      <c r="H164" s="5">
        <v>30</v>
      </c>
      <c r="I164" s="5">
        <v>0.15</v>
      </c>
      <c r="J164" s="5">
        <v>0</v>
      </c>
      <c r="K164" s="5">
        <v>50</v>
      </c>
      <c r="L164" s="5">
        <v>2210</v>
      </c>
      <c r="M164" s="5" t="s">
        <v>600</v>
      </c>
      <c r="N164" s="5">
        <v>0</v>
      </c>
    </row>
    <row r="165" ht="23.1" customHeight="1" spans="1:14">
      <c r="A165" s="46" t="s">
        <v>606</v>
      </c>
      <c r="B165" s="5">
        <v>5110</v>
      </c>
      <c r="C165" s="5">
        <v>12</v>
      </c>
      <c r="D165" s="5">
        <v>124</v>
      </c>
      <c r="E165" s="5">
        <v>2</v>
      </c>
      <c r="F165" s="5">
        <v>0</v>
      </c>
      <c r="G165" s="5">
        <v>0</v>
      </c>
      <c r="H165" s="5">
        <v>31</v>
      </c>
      <c r="I165" s="5">
        <v>0.15</v>
      </c>
      <c r="J165" s="5">
        <v>0</v>
      </c>
      <c r="K165" s="5">
        <v>50</v>
      </c>
      <c r="L165" s="5">
        <v>2210</v>
      </c>
      <c r="M165" s="5" t="s">
        <v>600</v>
      </c>
      <c r="N165" s="5">
        <v>0</v>
      </c>
    </row>
    <row r="166" ht="23.1" customHeight="1" spans="1:14">
      <c r="A166" s="46" t="s">
        <v>606</v>
      </c>
      <c r="B166" s="5">
        <v>5110</v>
      </c>
      <c r="C166" s="5">
        <v>13</v>
      </c>
      <c r="D166" s="5">
        <v>128</v>
      </c>
      <c r="E166" s="5">
        <v>2</v>
      </c>
      <c r="F166" s="5">
        <v>0</v>
      </c>
      <c r="G166" s="5">
        <v>0</v>
      </c>
      <c r="H166" s="5">
        <v>32</v>
      </c>
      <c r="I166" s="5">
        <v>0.15</v>
      </c>
      <c r="J166" s="5">
        <v>0</v>
      </c>
      <c r="K166" s="5">
        <v>50</v>
      </c>
      <c r="L166" s="5">
        <v>2210</v>
      </c>
      <c r="M166" s="5" t="s">
        <v>600</v>
      </c>
      <c r="N166" s="5">
        <v>0</v>
      </c>
    </row>
    <row r="167" ht="23.1" customHeight="1" spans="1:14">
      <c r="A167" s="46" t="s">
        <v>606</v>
      </c>
      <c r="B167" s="5">
        <v>5110</v>
      </c>
      <c r="C167" s="5">
        <v>14</v>
      </c>
      <c r="D167" s="5">
        <v>132</v>
      </c>
      <c r="E167" s="5">
        <v>2</v>
      </c>
      <c r="F167" s="5">
        <v>0</v>
      </c>
      <c r="G167" s="5">
        <v>0</v>
      </c>
      <c r="H167" s="5">
        <v>33</v>
      </c>
      <c r="I167" s="5">
        <v>0.15</v>
      </c>
      <c r="J167" s="5">
        <v>0</v>
      </c>
      <c r="K167" s="5">
        <v>50</v>
      </c>
      <c r="L167" s="5">
        <v>2210</v>
      </c>
      <c r="M167" s="5" t="s">
        <v>600</v>
      </c>
      <c r="N167" s="5">
        <v>0</v>
      </c>
    </row>
    <row r="168" ht="23.1" customHeight="1" spans="1:14">
      <c r="A168" s="46" t="s">
        <v>606</v>
      </c>
      <c r="B168" s="5">
        <v>5110</v>
      </c>
      <c r="C168" s="5">
        <v>15</v>
      </c>
      <c r="D168" s="5">
        <v>136</v>
      </c>
      <c r="E168" s="5">
        <v>2</v>
      </c>
      <c r="F168" s="5">
        <v>0</v>
      </c>
      <c r="G168" s="5">
        <v>0</v>
      </c>
      <c r="H168" s="5">
        <v>34</v>
      </c>
      <c r="I168" s="5">
        <v>0.15</v>
      </c>
      <c r="J168" s="5">
        <v>0</v>
      </c>
      <c r="K168" s="5">
        <v>50</v>
      </c>
      <c r="L168" s="5">
        <v>2210</v>
      </c>
      <c r="M168" s="5" t="s">
        <v>600</v>
      </c>
      <c r="N168" s="5">
        <v>0</v>
      </c>
    </row>
    <row r="169" ht="23.1" customHeight="1" spans="1:14">
      <c r="A169" s="46" t="s">
        <v>606</v>
      </c>
      <c r="B169" s="5">
        <v>5110</v>
      </c>
      <c r="C169" s="5">
        <v>16</v>
      </c>
      <c r="D169" s="5">
        <v>144</v>
      </c>
      <c r="E169" s="5">
        <v>2</v>
      </c>
      <c r="F169" s="5">
        <v>0</v>
      </c>
      <c r="G169" s="5">
        <v>0</v>
      </c>
      <c r="H169" s="5">
        <v>36</v>
      </c>
      <c r="I169" s="5">
        <v>0.15</v>
      </c>
      <c r="J169" s="5">
        <v>0</v>
      </c>
      <c r="K169" s="5">
        <v>50</v>
      </c>
      <c r="L169" s="5">
        <v>2210</v>
      </c>
      <c r="M169" s="5" t="s">
        <v>600</v>
      </c>
      <c r="N169" s="5">
        <v>0</v>
      </c>
    </row>
    <row r="170" ht="23.1" customHeight="1" spans="1:14">
      <c r="A170" s="46" t="s">
        <v>606</v>
      </c>
      <c r="B170" s="5">
        <v>5110</v>
      </c>
      <c r="C170" s="5">
        <v>17</v>
      </c>
      <c r="D170" s="5">
        <v>148</v>
      </c>
      <c r="E170" s="5">
        <v>2</v>
      </c>
      <c r="F170" s="5">
        <v>0</v>
      </c>
      <c r="G170" s="5">
        <v>0</v>
      </c>
      <c r="H170" s="5">
        <v>37</v>
      </c>
      <c r="I170" s="5">
        <v>0.15</v>
      </c>
      <c r="J170" s="5">
        <v>0</v>
      </c>
      <c r="K170" s="5">
        <v>50</v>
      </c>
      <c r="L170" s="5">
        <v>2210</v>
      </c>
      <c r="M170" s="5" t="s">
        <v>600</v>
      </c>
      <c r="N170" s="5">
        <v>0</v>
      </c>
    </row>
    <row r="171" ht="23.1" customHeight="1" spans="1:14">
      <c r="A171" s="46" t="s">
        <v>606</v>
      </c>
      <c r="B171" s="5">
        <v>5110</v>
      </c>
      <c r="C171" s="5">
        <v>18</v>
      </c>
      <c r="D171" s="5">
        <v>152</v>
      </c>
      <c r="E171" s="5">
        <v>2</v>
      </c>
      <c r="F171" s="5">
        <v>0</v>
      </c>
      <c r="G171" s="5">
        <v>0</v>
      </c>
      <c r="H171" s="5">
        <v>38</v>
      </c>
      <c r="I171" s="5">
        <v>0.15</v>
      </c>
      <c r="J171" s="5">
        <v>0</v>
      </c>
      <c r="K171" s="5">
        <v>50</v>
      </c>
      <c r="L171" s="5">
        <v>2210</v>
      </c>
      <c r="M171" s="5" t="s">
        <v>600</v>
      </c>
      <c r="N171" s="5">
        <v>0</v>
      </c>
    </row>
    <row r="172" ht="23.1" customHeight="1" spans="1:14">
      <c r="A172" s="46" t="s">
        <v>606</v>
      </c>
      <c r="B172" s="5">
        <v>5110</v>
      </c>
      <c r="C172" s="5">
        <v>19</v>
      </c>
      <c r="D172" s="5">
        <v>156</v>
      </c>
      <c r="E172" s="5">
        <v>2</v>
      </c>
      <c r="F172" s="5">
        <v>0</v>
      </c>
      <c r="G172" s="5">
        <v>0</v>
      </c>
      <c r="H172" s="5">
        <v>39</v>
      </c>
      <c r="I172" s="5">
        <v>0.15</v>
      </c>
      <c r="J172" s="5">
        <v>0</v>
      </c>
      <c r="K172" s="5">
        <v>50</v>
      </c>
      <c r="L172" s="5">
        <v>2210</v>
      </c>
      <c r="M172" s="5" t="s">
        <v>600</v>
      </c>
      <c r="N172" s="5">
        <v>0</v>
      </c>
    </row>
    <row r="173" ht="23.1" customHeight="1" spans="1:14">
      <c r="A173" s="46" t="s">
        <v>606</v>
      </c>
      <c r="B173" s="5">
        <v>5110</v>
      </c>
      <c r="C173" s="5">
        <v>20</v>
      </c>
      <c r="D173" s="5">
        <v>160</v>
      </c>
      <c r="E173" s="5">
        <v>2</v>
      </c>
      <c r="F173" s="5">
        <v>0</v>
      </c>
      <c r="G173" s="5">
        <v>0</v>
      </c>
      <c r="H173" s="5">
        <v>40</v>
      </c>
      <c r="I173" s="5">
        <v>0.15</v>
      </c>
      <c r="J173" s="5">
        <v>0</v>
      </c>
      <c r="K173" s="5">
        <v>50</v>
      </c>
      <c r="L173" s="5">
        <v>2210</v>
      </c>
      <c r="M173" s="5" t="s">
        <v>600</v>
      </c>
      <c r="N173" s="5">
        <v>0</v>
      </c>
    </row>
    <row r="174" ht="23.1" customHeight="1" spans="1:14">
      <c r="A174" s="46" t="s">
        <v>606</v>
      </c>
      <c r="B174" s="5">
        <v>5110</v>
      </c>
      <c r="C174" s="5">
        <v>21</v>
      </c>
      <c r="D174" s="5">
        <v>172</v>
      </c>
      <c r="E174" s="5">
        <v>2</v>
      </c>
      <c r="F174" s="5">
        <v>0</v>
      </c>
      <c r="G174" s="5">
        <v>0</v>
      </c>
      <c r="H174" s="5">
        <v>43</v>
      </c>
      <c r="I174" s="5">
        <v>0.15</v>
      </c>
      <c r="J174" s="5">
        <v>0</v>
      </c>
      <c r="K174" s="5">
        <v>50</v>
      </c>
      <c r="L174" s="5">
        <v>2210</v>
      </c>
      <c r="M174" s="5" t="s">
        <v>600</v>
      </c>
      <c r="N174" s="5">
        <v>0</v>
      </c>
    </row>
    <row r="175" ht="23.1" customHeight="1" spans="1:14">
      <c r="A175" s="46" t="s">
        <v>606</v>
      </c>
      <c r="B175" s="5">
        <v>5110</v>
      </c>
      <c r="C175" s="5">
        <v>22</v>
      </c>
      <c r="D175" s="5">
        <v>176</v>
      </c>
      <c r="E175" s="5">
        <v>2</v>
      </c>
      <c r="F175" s="5">
        <v>0</v>
      </c>
      <c r="G175" s="5">
        <v>0</v>
      </c>
      <c r="H175" s="5">
        <v>44</v>
      </c>
      <c r="I175" s="5">
        <v>0.15</v>
      </c>
      <c r="J175" s="5">
        <v>0</v>
      </c>
      <c r="K175" s="5">
        <v>50</v>
      </c>
      <c r="L175" s="5">
        <v>2210</v>
      </c>
      <c r="M175" s="5" t="s">
        <v>600</v>
      </c>
      <c r="N175" s="5">
        <v>0</v>
      </c>
    </row>
    <row r="176" ht="23.1" customHeight="1" spans="1:14">
      <c r="A176" s="46" t="s">
        <v>606</v>
      </c>
      <c r="B176" s="5">
        <v>5110</v>
      </c>
      <c r="C176" s="5">
        <v>23</v>
      </c>
      <c r="D176" s="5">
        <v>184</v>
      </c>
      <c r="E176" s="5">
        <v>2</v>
      </c>
      <c r="F176" s="5">
        <v>0</v>
      </c>
      <c r="G176" s="5">
        <v>0</v>
      </c>
      <c r="H176" s="5">
        <v>46</v>
      </c>
      <c r="I176" s="5">
        <v>0.15</v>
      </c>
      <c r="J176" s="5">
        <v>0</v>
      </c>
      <c r="K176" s="5">
        <v>50</v>
      </c>
      <c r="L176" s="5">
        <v>2210</v>
      </c>
      <c r="M176" s="5" t="s">
        <v>600</v>
      </c>
      <c r="N176" s="5">
        <v>0</v>
      </c>
    </row>
    <row r="177" ht="23.1" customHeight="1" spans="1:14">
      <c r="A177" s="46" t="s">
        <v>606</v>
      </c>
      <c r="B177" s="5">
        <v>5110</v>
      </c>
      <c r="C177" s="5">
        <v>24</v>
      </c>
      <c r="D177" s="5">
        <v>192</v>
      </c>
      <c r="E177" s="5">
        <v>2</v>
      </c>
      <c r="F177" s="5">
        <v>0</v>
      </c>
      <c r="G177" s="5">
        <v>0</v>
      </c>
      <c r="H177" s="5">
        <v>48</v>
      </c>
      <c r="I177" s="5">
        <v>0.15</v>
      </c>
      <c r="J177" s="5">
        <v>0</v>
      </c>
      <c r="K177" s="5">
        <v>50</v>
      </c>
      <c r="L177" s="5">
        <v>2210</v>
      </c>
      <c r="M177" s="5" t="s">
        <v>600</v>
      </c>
      <c r="N177" s="5">
        <v>0</v>
      </c>
    </row>
    <row r="178" ht="23.1" customHeight="1" spans="1:14">
      <c r="A178" s="46" t="s">
        <v>606</v>
      </c>
      <c r="B178" s="5">
        <v>5110</v>
      </c>
      <c r="C178" s="5">
        <v>25</v>
      </c>
      <c r="D178" s="5">
        <v>200</v>
      </c>
      <c r="E178" s="5">
        <v>2</v>
      </c>
      <c r="F178" s="5">
        <v>0</v>
      </c>
      <c r="G178" s="5">
        <v>0</v>
      </c>
      <c r="H178" s="5">
        <v>50</v>
      </c>
      <c r="I178" s="5">
        <v>0.15</v>
      </c>
      <c r="J178" s="5">
        <v>0</v>
      </c>
      <c r="K178" s="5">
        <v>50</v>
      </c>
      <c r="L178" s="5">
        <v>2210</v>
      </c>
      <c r="M178" s="5" t="s">
        <v>600</v>
      </c>
      <c r="N178" s="5">
        <v>0</v>
      </c>
    </row>
  </sheetData>
  <pageMargins left="0.75" right="0.75" top="1" bottom="1" header="0.511805555555556" footer="0.511805555555556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F38"/>
  <sheetViews>
    <sheetView workbookViewId="0">
      <selection activeCell="G8" sqref="G8"/>
    </sheetView>
  </sheetViews>
  <sheetFormatPr defaultColWidth="11.0986842105263" defaultRowHeight="15.2" outlineLevelCol="5"/>
  <cols>
    <col min="1" max="1" width="22.6973684210526" customWidth="1"/>
    <col min="4" max="5" width="11.5986842105263" customWidth="1"/>
    <col min="6" max="6" width="12.9013157894737" customWidth="1"/>
  </cols>
  <sheetData>
    <row r="1" ht="23.1" customHeight="1" spans="1:6">
      <c r="A1" s="5" t="s">
        <v>572</v>
      </c>
      <c r="B1" s="5" t="s">
        <v>573</v>
      </c>
      <c r="C1" s="5" t="s">
        <v>574</v>
      </c>
      <c r="D1" s="5" t="s">
        <v>607</v>
      </c>
      <c r="E1" s="5" t="s">
        <v>608</v>
      </c>
      <c r="F1" s="5" t="s">
        <v>609</v>
      </c>
    </row>
    <row r="2" ht="23.1" customHeight="1" spans="1:6">
      <c r="A2" s="5" t="s">
        <v>172</v>
      </c>
      <c r="B2" s="5" t="s">
        <v>15</v>
      </c>
      <c r="C2" s="5" t="s">
        <v>15</v>
      </c>
      <c r="D2" s="5" t="s">
        <v>15</v>
      </c>
      <c r="E2" s="5" t="s">
        <v>15</v>
      </c>
      <c r="F2" s="5" t="s">
        <v>15</v>
      </c>
    </row>
    <row r="3" ht="23.1" customHeight="1" spans="1:6">
      <c r="A3" s="5" t="s">
        <v>586</v>
      </c>
      <c r="B3" s="5" t="s">
        <v>587</v>
      </c>
      <c r="C3" s="5" t="s">
        <v>610</v>
      </c>
      <c r="D3" s="5" t="s">
        <v>611</v>
      </c>
      <c r="E3" s="5" t="s">
        <v>612</v>
      </c>
      <c r="F3" s="5" t="s">
        <v>613</v>
      </c>
    </row>
    <row r="4" ht="23.1" customHeight="1" spans="1:6">
      <c r="A4" s="46" t="s">
        <v>599</v>
      </c>
      <c r="B4" s="5">
        <v>5101</v>
      </c>
      <c r="C4" s="5">
        <v>1</v>
      </c>
      <c r="D4" s="5">
        <v>0</v>
      </c>
      <c r="E4" s="5">
        <v>0</v>
      </c>
      <c r="F4" s="5">
        <v>0</v>
      </c>
    </row>
    <row r="5" ht="23.1" customHeight="1" spans="1:6">
      <c r="A5" s="46" t="s">
        <v>599</v>
      </c>
      <c r="B5" s="5">
        <v>5101</v>
      </c>
      <c r="C5" s="5">
        <v>2</v>
      </c>
      <c r="D5" s="5">
        <v>25</v>
      </c>
      <c r="E5" s="5">
        <v>1</v>
      </c>
      <c r="F5" s="5">
        <v>30</v>
      </c>
    </row>
    <row r="6" ht="23.1" customHeight="1" spans="1:6">
      <c r="A6" s="46" t="s">
        <v>599</v>
      </c>
      <c r="B6" s="5">
        <v>5101</v>
      </c>
      <c r="C6" s="5">
        <v>3</v>
      </c>
      <c r="D6" s="5">
        <v>25</v>
      </c>
      <c r="E6" s="5">
        <v>1</v>
      </c>
      <c r="F6" s="5">
        <v>300</v>
      </c>
    </row>
    <row r="7" ht="23.1" customHeight="1" spans="1:6">
      <c r="A7" s="46" t="s">
        <v>599</v>
      </c>
      <c r="B7" s="5">
        <v>5101</v>
      </c>
      <c r="C7" s="5">
        <v>4</v>
      </c>
      <c r="D7" s="5">
        <v>1</v>
      </c>
      <c r="E7" s="5">
        <v>1</v>
      </c>
      <c r="F7" s="5">
        <v>9</v>
      </c>
    </row>
    <row r="8" ht="23.1" customHeight="1" spans="1:6">
      <c r="A8" s="46" t="s">
        <v>599</v>
      </c>
      <c r="B8" s="5">
        <v>5101</v>
      </c>
      <c r="C8" s="5">
        <v>5</v>
      </c>
      <c r="D8" s="5">
        <v>25</v>
      </c>
      <c r="E8" s="5">
        <v>1</v>
      </c>
      <c r="F8" s="5">
        <v>3000</v>
      </c>
    </row>
    <row r="9" ht="23.1" customHeight="1" spans="1:6">
      <c r="A9" s="46" t="s">
        <v>601</v>
      </c>
      <c r="B9" s="5">
        <v>5103</v>
      </c>
      <c r="C9" s="5">
        <v>1</v>
      </c>
      <c r="D9" s="5">
        <v>0</v>
      </c>
      <c r="E9" s="5">
        <v>0</v>
      </c>
      <c r="F9" s="5">
        <v>0</v>
      </c>
    </row>
    <row r="10" ht="23.1" customHeight="1" spans="1:6">
      <c r="A10" s="46" t="s">
        <v>601</v>
      </c>
      <c r="B10" s="5">
        <v>5103</v>
      </c>
      <c r="C10" s="5">
        <v>2</v>
      </c>
      <c r="D10" s="5">
        <v>25</v>
      </c>
      <c r="E10" s="5">
        <v>1</v>
      </c>
      <c r="F10" s="5">
        <v>30</v>
      </c>
    </row>
    <row r="11" ht="23.1" customHeight="1" spans="1:6">
      <c r="A11" s="46" t="s">
        <v>601</v>
      </c>
      <c r="B11" s="5">
        <v>5103</v>
      </c>
      <c r="C11" s="5">
        <v>3</v>
      </c>
      <c r="D11" s="5">
        <v>25</v>
      </c>
      <c r="E11" s="5">
        <v>1</v>
      </c>
      <c r="F11" s="5">
        <v>300</v>
      </c>
    </row>
    <row r="12" ht="23.1" customHeight="1" spans="1:6">
      <c r="A12" s="46" t="s">
        <v>601</v>
      </c>
      <c r="B12" s="5">
        <v>5103</v>
      </c>
      <c r="C12" s="5">
        <v>4</v>
      </c>
      <c r="D12" s="5">
        <v>1</v>
      </c>
      <c r="E12" s="5">
        <v>1</v>
      </c>
      <c r="F12" s="5">
        <v>10</v>
      </c>
    </row>
    <row r="13" ht="23.1" customHeight="1" spans="1:6">
      <c r="A13" s="46" t="s">
        <v>601</v>
      </c>
      <c r="B13" s="5">
        <v>5103</v>
      </c>
      <c r="C13" s="5">
        <v>5</v>
      </c>
      <c r="D13" s="5">
        <v>25</v>
      </c>
      <c r="E13" s="5">
        <v>1</v>
      </c>
      <c r="F13" s="5">
        <v>3000</v>
      </c>
    </row>
    <row r="14" ht="23.1" customHeight="1" spans="1:6">
      <c r="A14" s="46" t="s">
        <v>602</v>
      </c>
      <c r="B14" s="5">
        <v>5105</v>
      </c>
      <c r="C14" s="5">
        <v>1</v>
      </c>
      <c r="D14" s="5">
        <v>0</v>
      </c>
      <c r="E14" s="5">
        <v>0</v>
      </c>
      <c r="F14" s="5">
        <v>0</v>
      </c>
    </row>
    <row r="15" ht="23.1" customHeight="1" spans="1:6">
      <c r="A15" s="46" t="s">
        <v>602</v>
      </c>
      <c r="B15" s="5">
        <v>5105</v>
      </c>
      <c r="C15" s="5">
        <v>2</v>
      </c>
      <c r="D15" s="5">
        <v>25</v>
      </c>
      <c r="E15" s="5">
        <v>1</v>
      </c>
      <c r="F15" s="5">
        <v>30</v>
      </c>
    </row>
    <row r="16" ht="23.1" customHeight="1" spans="1:6">
      <c r="A16" s="46" t="s">
        <v>602</v>
      </c>
      <c r="B16" s="5">
        <v>5105</v>
      </c>
      <c r="C16" s="5">
        <v>3</v>
      </c>
      <c r="D16" s="5">
        <v>25</v>
      </c>
      <c r="E16" s="5">
        <v>1</v>
      </c>
      <c r="F16" s="5">
        <v>300</v>
      </c>
    </row>
    <row r="17" ht="23.1" customHeight="1" spans="1:6">
      <c r="A17" s="46" t="s">
        <v>602</v>
      </c>
      <c r="B17" s="5">
        <v>5105</v>
      </c>
      <c r="C17" s="5">
        <v>4</v>
      </c>
      <c r="D17" s="5">
        <v>1</v>
      </c>
      <c r="E17" s="5">
        <v>1</v>
      </c>
      <c r="F17" s="5">
        <v>12</v>
      </c>
    </row>
    <row r="18" ht="23.1" customHeight="1" spans="1:6">
      <c r="A18" s="46" t="s">
        <v>602</v>
      </c>
      <c r="B18" s="5">
        <v>5105</v>
      </c>
      <c r="C18" s="5">
        <v>5</v>
      </c>
      <c r="D18" s="5">
        <v>25</v>
      </c>
      <c r="E18" s="5">
        <v>1</v>
      </c>
      <c r="F18" s="5">
        <v>3000</v>
      </c>
    </row>
    <row r="19" ht="23.1" customHeight="1" spans="1:6">
      <c r="A19" s="46" t="s">
        <v>603</v>
      </c>
      <c r="B19" s="5">
        <v>5106</v>
      </c>
      <c r="C19" s="5">
        <v>1</v>
      </c>
      <c r="D19" s="5">
        <v>0</v>
      </c>
      <c r="E19" s="5">
        <v>0</v>
      </c>
      <c r="F19" s="5">
        <v>0</v>
      </c>
    </row>
    <row r="20" ht="23.1" customHeight="1" spans="1:6">
      <c r="A20" s="46" t="s">
        <v>603</v>
      </c>
      <c r="B20" s="5">
        <v>5106</v>
      </c>
      <c r="C20" s="5">
        <v>2</v>
      </c>
      <c r="D20" s="5">
        <v>25</v>
      </c>
      <c r="E20" s="5">
        <v>1</v>
      </c>
      <c r="F20" s="5">
        <v>30</v>
      </c>
    </row>
    <row r="21" ht="23.1" customHeight="1" spans="1:6">
      <c r="A21" s="46" t="s">
        <v>603</v>
      </c>
      <c r="B21" s="5">
        <v>5106</v>
      </c>
      <c r="C21" s="5">
        <v>3</v>
      </c>
      <c r="D21" s="5">
        <v>25</v>
      </c>
      <c r="E21" s="5">
        <v>1</v>
      </c>
      <c r="F21" s="5">
        <v>300</v>
      </c>
    </row>
    <row r="22" ht="23.1" customHeight="1" spans="1:6">
      <c r="A22" s="46" t="s">
        <v>603</v>
      </c>
      <c r="B22" s="5">
        <v>5106</v>
      </c>
      <c r="C22" s="5">
        <v>4</v>
      </c>
      <c r="D22" s="5">
        <v>1</v>
      </c>
      <c r="E22" s="5">
        <v>1</v>
      </c>
      <c r="F22" s="5">
        <v>9</v>
      </c>
    </row>
    <row r="23" ht="23.1" customHeight="1" spans="1:6">
      <c r="A23" s="46" t="s">
        <v>603</v>
      </c>
      <c r="B23" s="5">
        <v>5106</v>
      </c>
      <c r="C23" s="5">
        <v>5</v>
      </c>
      <c r="D23" s="5">
        <v>25</v>
      </c>
      <c r="E23" s="5">
        <v>1</v>
      </c>
      <c r="F23" s="5">
        <v>3000</v>
      </c>
    </row>
    <row r="24" ht="23.1" customHeight="1" spans="1:6">
      <c r="A24" s="46" t="s">
        <v>604</v>
      </c>
      <c r="B24" s="5">
        <v>5108</v>
      </c>
      <c r="C24" s="5">
        <v>1</v>
      </c>
      <c r="D24" s="5">
        <v>0</v>
      </c>
      <c r="E24" s="5">
        <v>0</v>
      </c>
      <c r="F24" s="5">
        <v>0</v>
      </c>
    </row>
    <row r="25" ht="23.1" customHeight="1" spans="1:6">
      <c r="A25" s="46" t="s">
        <v>604</v>
      </c>
      <c r="B25" s="5">
        <v>5108</v>
      </c>
      <c r="C25" s="5">
        <v>2</v>
      </c>
      <c r="D25" s="5">
        <v>25</v>
      </c>
      <c r="E25" s="5">
        <v>1</v>
      </c>
      <c r="F25" s="5">
        <v>30</v>
      </c>
    </row>
    <row r="26" ht="23.1" customHeight="1" spans="1:6">
      <c r="A26" s="46" t="s">
        <v>604</v>
      </c>
      <c r="B26" s="5">
        <v>5108</v>
      </c>
      <c r="C26" s="5">
        <v>3</v>
      </c>
      <c r="D26" s="5">
        <v>25</v>
      </c>
      <c r="E26" s="5">
        <v>1</v>
      </c>
      <c r="F26" s="5">
        <v>300</v>
      </c>
    </row>
    <row r="27" ht="23.1" customHeight="1" spans="1:6">
      <c r="A27" s="46" t="s">
        <v>604</v>
      </c>
      <c r="B27" s="5">
        <v>5108</v>
      </c>
      <c r="C27" s="5">
        <v>4</v>
      </c>
      <c r="D27" s="5">
        <v>1</v>
      </c>
      <c r="E27" s="5">
        <v>1</v>
      </c>
      <c r="F27" s="5">
        <v>10</v>
      </c>
    </row>
    <row r="28" ht="23.1" customHeight="1" spans="1:6">
      <c r="A28" s="46" t="s">
        <v>604</v>
      </c>
      <c r="B28" s="5">
        <v>5108</v>
      </c>
      <c r="C28" s="5">
        <v>5</v>
      </c>
      <c r="D28" s="5">
        <v>25</v>
      </c>
      <c r="E28" s="5">
        <v>1</v>
      </c>
      <c r="F28" s="5">
        <v>3000</v>
      </c>
    </row>
    <row r="29" ht="23.1" customHeight="1" spans="1:6">
      <c r="A29" s="46" t="s">
        <v>605</v>
      </c>
      <c r="B29" s="5">
        <v>5109</v>
      </c>
      <c r="C29" s="5">
        <v>1</v>
      </c>
      <c r="D29" s="5">
        <v>0</v>
      </c>
      <c r="E29" s="5">
        <v>0</v>
      </c>
      <c r="F29" s="5">
        <v>0</v>
      </c>
    </row>
    <row r="30" ht="23.1" customHeight="1" spans="1:6">
      <c r="A30" s="46" t="s">
        <v>605</v>
      </c>
      <c r="B30" s="5">
        <v>5109</v>
      </c>
      <c r="C30" s="5">
        <v>2</v>
      </c>
      <c r="D30" s="5">
        <v>25</v>
      </c>
      <c r="E30" s="5">
        <v>1</v>
      </c>
      <c r="F30" s="5">
        <v>30</v>
      </c>
    </row>
    <row r="31" ht="23.1" customHeight="1" spans="1:6">
      <c r="A31" s="46" t="s">
        <v>605</v>
      </c>
      <c r="B31" s="5">
        <v>5109</v>
      </c>
      <c r="C31" s="5">
        <v>3</v>
      </c>
      <c r="D31" s="5">
        <v>25</v>
      </c>
      <c r="E31" s="5">
        <v>1</v>
      </c>
      <c r="F31" s="5">
        <v>300</v>
      </c>
    </row>
    <row r="32" ht="23.1" customHeight="1" spans="1:6">
      <c r="A32" s="46" t="s">
        <v>605</v>
      </c>
      <c r="B32" s="5">
        <v>5109</v>
      </c>
      <c r="C32" s="5">
        <v>4</v>
      </c>
      <c r="D32" s="5">
        <v>1</v>
      </c>
      <c r="E32" s="5">
        <v>1</v>
      </c>
      <c r="F32" s="5">
        <v>12</v>
      </c>
    </row>
    <row r="33" ht="23.1" customHeight="1" spans="1:6">
      <c r="A33" s="46" t="s">
        <v>605</v>
      </c>
      <c r="B33" s="5">
        <v>5109</v>
      </c>
      <c r="C33" s="5">
        <v>5</v>
      </c>
      <c r="D33" s="5">
        <v>25</v>
      </c>
      <c r="E33" s="5">
        <v>1</v>
      </c>
      <c r="F33" s="5">
        <v>3000</v>
      </c>
    </row>
    <row r="34" ht="23.1" customHeight="1" spans="1:6">
      <c r="A34" s="46" t="s">
        <v>606</v>
      </c>
      <c r="B34" s="5">
        <v>5110</v>
      </c>
      <c r="C34" s="5">
        <v>1</v>
      </c>
      <c r="D34" s="5">
        <v>0</v>
      </c>
      <c r="E34" s="5">
        <v>0</v>
      </c>
      <c r="F34" s="5">
        <v>0</v>
      </c>
    </row>
    <row r="35" ht="23.1" customHeight="1" spans="1:6">
      <c r="A35" s="46" t="s">
        <v>606</v>
      </c>
      <c r="B35" s="5">
        <v>5110</v>
      </c>
      <c r="C35" s="5">
        <v>2</v>
      </c>
      <c r="D35" s="5">
        <v>25</v>
      </c>
      <c r="E35" s="5">
        <v>1</v>
      </c>
      <c r="F35" s="5">
        <v>30</v>
      </c>
    </row>
    <row r="36" ht="23.1" customHeight="1" spans="1:6">
      <c r="A36" s="46" t="s">
        <v>606</v>
      </c>
      <c r="B36" s="5">
        <v>5110</v>
      </c>
      <c r="C36" s="5">
        <v>3</v>
      </c>
      <c r="D36" s="5">
        <v>25</v>
      </c>
      <c r="E36" s="5">
        <v>1</v>
      </c>
      <c r="F36" s="5">
        <v>300</v>
      </c>
    </row>
    <row r="37" ht="23.1" customHeight="1" spans="1:6">
      <c r="A37" s="46" t="s">
        <v>606</v>
      </c>
      <c r="B37" s="5">
        <v>5110</v>
      </c>
      <c r="C37" s="5">
        <v>4</v>
      </c>
      <c r="D37" s="5">
        <v>1</v>
      </c>
      <c r="E37" s="5">
        <v>1</v>
      </c>
      <c r="F37" s="5">
        <v>10</v>
      </c>
    </row>
    <row r="38" ht="23.1" customHeight="1" spans="1:6">
      <c r="A38" s="46" t="s">
        <v>606</v>
      </c>
      <c r="B38" s="5">
        <v>5110</v>
      </c>
      <c r="C38" s="5">
        <v>5</v>
      </c>
      <c r="D38" s="5">
        <v>25</v>
      </c>
      <c r="E38" s="5">
        <v>1</v>
      </c>
      <c r="F38" s="5">
        <v>3000</v>
      </c>
    </row>
  </sheetData>
  <pageMargins left="0.75" right="0.75" top="1" bottom="1" header="0.511805555555556" footer="0.511805555555556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C28"/>
  <sheetViews>
    <sheetView workbookViewId="0">
      <selection activeCell="C33" sqref="C33"/>
    </sheetView>
  </sheetViews>
  <sheetFormatPr defaultColWidth="8.79605263157895" defaultRowHeight="15.2" outlineLevelCol="2"/>
  <cols>
    <col min="1" max="1" width="14.9013157894737" customWidth="1"/>
    <col min="2" max="2" width="10" customWidth="1"/>
    <col min="3" max="3" width="42" customWidth="1"/>
  </cols>
  <sheetData>
    <row r="1" ht="23.1" customHeight="1" spans="1:3">
      <c r="A1" s="7" t="s">
        <v>614</v>
      </c>
      <c r="B1" s="7" t="s">
        <v>608</v>
      </c>
      <c r="C1" s="7" t="s">
        <v>615</v>
      </c>
    </row>
    <row r="2" ht="23.1" customHeight="1" spans="1:3">
      <c r="A2" s="7" t="s">
        <v>15</v>
      </c>
      <c r="B2" s="7" t="s">
        <v>15</v>
      </c>
      <c r="C2" s="7" t="s">
        <v>172</v>
      </c>
    </row>
    <row r="3" ht="23.1" customHeight="1" spans="1:3">
      <c r="A3" s="7" t="s">
        <v>616</v>
      </c>
      <c r="B3" s="7" t="s">
        <v>612</v>
      </c>
      <c r="C3" s="7" t="s">
        <v>617</v>
      </c>
    </row>
    <row r="4" ht="23.1" customHeight="1" spans="1:3">
      <c r="A4" s="7">
        <v>1</v>
      </c>
      <c r="B4" s="7">
        <v>1</v>
      </c>
      <c r="C4" s="45" t="s">
        <v>618</v>
      </c>
    </row>
    <row r="5" ht="23.1" customHeight="1" spans="1:3">
      <c r="A5" s="7">
        <v>2</v>
      </c>
      <c r="B5" s="7">
        <v>2</v>
      </c>
      <c r="C5" s="45" t="s">
        <v>619</v>
      </c>
    </row>
    <row r="6" ht="23.1" customHeight="1" spans="1:3">
      <c r="A6" s="7">
        <v>3</v>
      </c>
      <c r="B6" s="7">
        <v>1</v>
      </c>
      <c r="C6" s="45" t="s">
        <v>620</v>
      </c>
    </row>
    <row r="7" ht="23.1" customHeight="1" spans="1:3">
      <c r="A7" s="7">
        <v>4</v>
      </c>
      <c r="B7" s="7">
        <v>1</v>
      </c>
      <c r="C7" s="45" t="s">
        <v>621</v>
      </c>
    </row>
    <row r="8" ht="23.1" customHeight="1" spans="1:3">
      <c r="A8" s="7">
        <v>5</v>
      </c>
      <c r="B8" s="7">
        <v>1</v>
      </c>
      <c r="C8" s="45" t="s">
        <v>622</v>
      </c>
    </row>
    <row r="9" ht="23.1" customHeight="1" spans="1:3">
      <c r="A9" s="7">
        <v>6</v>
      </c>
      <c r="B9" s="7">
        <v>1</v>
      </c>
      <c r="C9" s="45" t="s">
        <v>623</v>
      </c>
    </row>
    <row r="10" ht="23.1" customHeight="1" spans="1:3">
      <c r="A10" s="7">
        <v>7</v>
      </c>
      <c r="B10" s="7">
        <v>2</v>
      </c>
      <c r="C10" s="45" t="s">
        <v>624</v>
      </c>
    </row>
    <row r="11" ht="23.1" customHeight="1" spans="1:3">
      <c r="A11" s="7">
        <v>8</v>
      </c>
      <c r="B11" s="7">
        <v>0</v>
      </c>
      <c r="C11" s="45" t="s">
        <v>625</v>
      </c>
    </row>
    <row r="12" ht="23.1" customHeight="1" spans="1:3">
      <c r="A12" s="7">
        <v>9</v>
      </c>
      <c r="B12" s="7">
        <v>2</v>
      </c>
      <c r="C12" s="45" t="s">
        <v>626</v>
      </c>
    </row>
    <row r="13" ht="23.1" customHeight="1" spans="1:3">
      <c r="A13" s="7">
        <v>10</v>
      </c>
      <c r="B13" s="7">
        <v>0</v>
      </c>
      <c r="C13" s="45" t="s">
        <v>627</v>
      </c>
    </row>
    <row r="14" ht="23.1" customHeight="1" spans="1:3">
      <c r="A14" s="7">
        <v>11</v>
      </c>
      <c r="B14" s="7">
        <v>2</v>
      </c>
      <c r="C14" s="45" t="s">
        <v>628</v>
      </c>
    </row>
    <row r="15" ht="23.1" customHeight="1" spans="1:3">
      <c r="A15" s="7">
        <v>12</v>
      </c>
      <c r="B15" s="7">
        <v>2</v>
      </c>
      <c r="C15" s="45" t="s">
        <v>629</v>
      </c>
    </row>
    <row r="16" ht="23.1" customHeight="1" spans="1:3">
      <c r="A16" s="7">
        <v>13</v>
      </c>
      <c r="B16" s="7">
        <v>2</v>
      </c>
      <c r="C16" s="45" t="s">
        <v>630</v>
      </c>
    </row>
    <row r="17" ht="23.1" customHeight="1" spans="1:3">
      <c r="A17" s="7">
        <v>14</v>
      </c>
      <c r="B17" s="7">
        <v>2</v>
      </c>
      <c r="C17" s="45" t="s">
        <v>631</v>
      </c>
    </row>
    <row r="18" ht="23.1" customHeight="1" spans="1:3">
      <c r="A18" s="7">
        <v>15</v>
      </c>
      <c r="B18" s="7">
        <v>2</v>
      </c>
      <c r="C18" s="45" t="s">
        <v>632</v>
      </c>
    </row>
    <row r="19" ht="23.1" customHeight="1" spans="1:3">
      <c r="A19" s="7">
        <v>16</v>
      </c>
      <c r="B19" s="7">
        <v>2</v>
      </c>
      <c r="C19" s="45" t="s">
        <v>633</v>
      </c>
    </row>
    <row r="20" ht="23.1" customHeight="1" spans="1:3">
      <c r="A20" s="7">
        <v>17</v>
      </c>
      <c r="B20" s="7">
        <v>1</v>
      </c>
      <c r="C20" s="45" t="s">
        <v>634</v>
      </c>
    </row>
    <row r="21" ht="23.1" customHeight="1" spans="1:3">
      <c r="A21" s="7">
        <v>18</v>
      </c>
      <c r="B21" s="7">
        <v>2</v>
      </c>
      <c r="C21" s="45" t="s">
        <v>635</v>
      </c>
    </row>
    <row r="22" ht="23.1" customHeight="1" spans="1:3">
      <c r="A22" s="7">
        <v>19</v>
      </c>
      <c r="B22" s="7">
        <v>2</v>
      </c>
      <c r="C22" s="45" t="s">
        <v>636</v>
      </c>
    </row>
    <row r="23" ht="23.1" customHeight="1" spans="1:3">
      <c r="A23" s="7">
        <v>20</v>
      </c>
      <c r="B23" s="7">
        <v>2</v>
      </c>
      <c r="C23" s="45" t="s">
        <v>637</v>
      </c>
    </row>
    <row r="24" ht="23.1" customHeight="1" spans="1:3">
      <c r="A24" s="7">
        <v>21</v>
      </c>
      <c r="B24" s="7">
        <v>2</v>
      </c>
      <c r="C24" s="45" t="s">
        <v>638</v>
      </c>
    </row>
    <row r="25" ht="23.1" customHeight="1" spans="1:3">
      <c r="A25" s="7">
        <v>22</v>
      </c>
      <c r="B25" s="7">
        <v>1</v>
      </c>
      <c r="C25" s="45" t="s">
        <v>639</v>
      </c>
    </row>
    <row r="26" ht="23.1" customHeight="1" spans="1:3">
      <c r="A26" s="7">
        <v>23</v>
      </c>
      <c r="B26" s="7">
        <v>2</v>
      </c>
      <c r="C26" s="45" t="s">
        <v>640</v>
      </c>
    </row>
    <row r="27" ht="23.1" customHeight="1" spans="1:3">
      <c r="A27" s="7">
        <v>24</v>
      </c>
      <c r="B27" s="7">
        <v>2</v>
      </c>
      <c r="C27" s="45" t="s">
        <v>641</v>
      </c>
    </row>
    <row r="28" ht="20.4" spans="1:3">
      <c r="A28" s="7">
        <v>25</v>
      </c>
      <c r="B28" s="7">
        <v>1</v>
      </c>
      <c r="C28" s="45" t="s">
        <v>642</v>
      </c>
    </row>
  </sheetData>
  <pageMargins left="0.75" right="0.75" top="1" bottom="1" header="0.511805555555556" footer="0.511805555555556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U29"/>
  <sheetViews>
    <sheetView tabSelected="1" workbookViewId="0">
      <selection activeCell="B8" sqref="B8"/>
    </sheetView>
  </sheetViews>
  <sheetFormatPr defaultColWidth="8.79605263157895" defaultRowHeight="15.2"/>
  <cols>
    <col min="2" max="2" width="9.59868421052632" customWidth="1"/>
    <col min="3" max="3" width="14" customWidth="1"/>
    <col min="6" max="6" width="10" customWidth="1"/>
    <col min="7" max="7" width="13.5986842105263" customWidth="1"/>
    <col min="8" max="8" width="14.2960526315789" customWidth="1"/>
    <col min="9" max="9" width="13.5986842105263" customWidth="1"/>
    <col min="10" max="10" width="30.0986842105263" customWidth="1"/>
    <col min="11" max="11" width="27.0986842105263" customWidth="1"/>
    <col min="15" max="15" width="10.7960526315789" customWidth="1"/>
    <col min="16" max="16" width="26.5" customWidth="1"/>
    <col min="17" max="17" width="10.5" customWidth="1"/>
    <col min="18" max="18" width="10.5986842105263" customWidth="1"/>
    <col min="19" max="19" width="9.79605263157895" customWidth="1"/>
    <col min="20" max="20" width="10.5" customWidth="1"/>
    <col min="21" max="21" width="10.0986842105263" customWidth="1"/>
  </cols>
  <sheetData>
    <row r="1" s="44" customFormat="1" ht="16" spans="1:21">
      <c r="A1" s="1" t="s">
        <v>3</v>
      </c>
      <c r="B1" s="1" t="s">
        <v>643</v>
      </c>
      <c r="C1" s="1" t="s">
        <v>644</v>
      </c>
      <c r="E1" s="1" t="s">
        <v>3</v>
      </c>
      <c r="F1" s="1" t="s">
        <v>643</v>
      </c>
      <c r="G1" s="1" t="s">
        <v>645</v>
      </c>
      <c r="H1" s="1" t="s">
        <v>646</v>
      </c>
      <c r="I1" s="1" t="s">
        <v>647</v>
      </c>
      <c r="J1" s="1" t="s">
        <v>648</v>
      </c>
      <c r="K1" s="1" t="s">
        <v>649</v>
      </c>
      <c r="L1" s="1" t="s">
        <v>649</v>
      </c>
      <c r="M1" s="1" t="s">
        <v>649</v>
      </c>
      <c r="N1" s="1" t="s">
        <v>649</v>
      </c>
      <c r="O1" s="1" t="s">
        <v>650</v>
      </c>
      <c r="P1" s="1" t="s">
        <v>651</v>
      </c>
      <c r="Q1" s="1" t="s">
        <v>652</v>
      </c>
      <c r="R1" s="1" t="s">
        <v>653</v>
      </c>
      <c r="S1" s="1" t="s">
        <v>654</v>
      </c>
      <c r="T1" s="1" t="s">
        <v>655</v>
      </c>
      <c r="U1" s="44" t="s">
        <v>656</v>
      </c>
    </row>
    <row r="2" ht="16" spans="1:21">
      <c r="A2" s="1" t="s">
        <v>14</v>
      </c>
      <c r="B2" s="1" t="s">
        <v>15</v>
      </c>
      <c r="C2" s="1" t="s">
        <v>14</v>
      </c>
      <c r="E2" s="1" t="s">
        <v>14</v>
      </c>
      <c r="F2" s="1" t="s">
        <v>15</v>
      </c>
      <c r="G2" s="1" t="s">
        <v>15</v>
      </c>
      <c r="H2" s="1" t="s">
        <v>15</v>
      </c>
      <c r="I2" s="1" t="s">
        <v>15</v>
      </c>
      <c r="J2" s="1" t="s">
        <v>172</v>
      </c>
      <c r="K2" s="1" t="s">
        <v>172</v>
      </c>
      <c r="L2" s="1" t="s">
        <v>172</v>
      </c>
      <c r="M2" s="1" t="s">
        <v>172</v>
      </c>
      <c r="N2" s="1" t="s">
        <v>172</v>
      </c>
      <c r="O2" s="1" t="s">
        <v>15</v>
      </c>
      <c r="P2" s="1" t="s">
        <v>172</v>
      </c>
      <c r="Q2" s="1" t="s">
        <v>172</v>
      </c>
      <c r="R2" s="1" t="s">
        <v>172</v>
      </c>
      <c r="S2" s="1" t="s">
        <v>172</v>
      </c>
      <c r="T2" s="1" t="s">
        <v>172</v>
      </c>
      <c r="U2" t="s">
        <v>172</v>
      </c>
    </row>
    <row r="3" spans="1:21">
      <c r="A3" s="43" t="s">
        <v>19</v>
      </c>
      <c r="B3" s="43" t="s">
        <v>657</v>
      </c>
      <c r="C3" s="1" t="s">
        <v>658</v>
      </c>
      <c r="E3" s="43" t="s">
        <v>19</v>
      </c>
      <c r="F3" s="43" t="s">
        <v>657</v>
      </c>
      <c r="G3" s="43" t="s">
        <v>659</v>
      </c>
      <c r="H3" s="43" t="s">
        <v>660</v>
      </c>
      <c r="I3" s="43" t="s">
        <v>661</v>
      </c>
      <c r="J3" s="43" t="s">
        <v>662</v>
      </c>
      <c r="K3" s="43" t="s">
        <v>662</v>
      </c>
      <c r="L3" s="43" t="s">
        <v>662</v>
      </c>
      <c r="M3" s="43" t="s">
        <v>662</v>
      </c>
      <c r="N3" s="43" t="s">
        <v>662</v>
      </c>
      <c r="O3" s="43" t="s">
        <v>663</v>
      </c>
      <c r="P3" s="43" t="s">
        <v>664</v>
      </c>
      <c r="Q3" s="43" t="s">
        <v>664</v>
      </c>
      <c r="R3" s="43" t="s">
        <v>664</v>
      </c>
      <c r="S3" s="43" t="s">
        <v>664</v>
      </c>
      <c r="T3" s="43" t="s">
        <v>664</v>
      </c>
      <c r="U3" t="s">
        <v>664</v>
      </c>
    </row>
    <row r="4" ht="31" spans="1:20">
      <c r="A4" s="1" t="s">
        <v>665</v>
      </c>
      <c r="B4" s="1">
        <v>0</v>
      </c>
      <c r="C4" s="1" t="s">
        <v>666</v>
      </c>
      <c r="E4" s="1" t="s">
        <v>665</v>
      </c>
      <c r="F4" s="1">
        <v>0</v>
      </c>
      <c r="G4" s="1">
        <v>1</v>
      </c>
      <c r="H4" s="1">
        <v>1</v>
      </c>
      <c r="I4" s="1">
        <v>1</v>
      </c>
      <c r="J4" s="1" t="s">
        <v>667</v>
      </c>
      <c r="K4" s="1"/>
      <c r="L4" s="1"/>
      <c r="M4" s="1"/>
      <c r="N4" s="1"/>
      <c r="O4" s="1">
        <v>1</v>
      </c>
      <c r="P4" s="42" t="s">
        <v>668</v>
      </c>
      <c r="Q4" s="1"/>
      <c r="R4" s="1"/>
      <c r="S4" s="1"/>
      <c r="T4" s="1"/>
    </row>
    <row r="5" ht="31" spans="1:20">
      <c r="A5" s="1" t="s">
        <v>669</v>
      </c>
      <c r="B5" s="1">
        <v>0</v>
      </c>
      <c r="C5" s="1" t="s">
        <v>666</v>
      </c>
      <c r="E5" s="1" t="s">
        <v>665</v>
      </c>
      <c r="F5" s="1">
        <v>0</v>
      </c>
      <c r="G5" s="1">
        <v>2</v>
      </c>
      <c r="H5" s="1">
        <v>2</v>
      </c>
      <c r="I5" s="1">
        <v>1</v>
      </c>
      <c r="J5" s="1" t="s">
        <v>670</v>
      </c>
      <c r="K5" s="1"/>
      <c r="L5" s="1"/>
      <c r="M5" s="1"/>
      <c r="N5" s="1"/>
      <c r="O5" s="1">
        <v>1</v>
      </c>
      <c r="P5" s="42" t="s">
        <v>671</v>
      </c>
      <c r="Q5" s="1"/>
      <c r="R5" s="1"/>
      <c r="S5" s="1"/>
      <c r="T5" s="1"/>
    </row>
    <row r="6" ht="31" spans="1:20">
      <c r="A6" s="1" t="s">
        <v>672</v>
      </c>
      <c r="B6" s="1">
        <v>0</v>
      </c>
      <c r="C6" s="1" t="s">
        <v>673</v>
      </c>
      <c r="E6" s="1" t="s">
        <v>665</v>
      </c>
      <c r="F6" s="1">
        <v>0</v>
      </c>
      <c r="G6" s="1">
        <v>3</v>
      </c>
      <c r="H6" s="1">
        <v>3</v>
      </c>
      <c r="I6" s="1">
        <v>1</v>
      </c>
      <c r="J6" s="1" t="s">
        <v>674</v>
      </c>
      <c r="K6" s="1"/>
      <c r="L6" s="1"/>
      <c r="M6" s="1"/>
      <c r="N6" s="1"/>
      <c r="O6" s="1">
        <v>1</v>
      </c>
      <c r="P6" s="42" t="s">
        <v>675</v>
      </c>
      <c r="Q6" s="1"/>
      <c r="R6" s="1"/>
      <c r="S6" s="1"/>
      <c r="T6" s="1"/>
    </row>
    <row r="7" ht="31" spans="5:20">
      <c r="E7" s="1" t="s">
        <v>665</v>
      </c>
      <c r="F7" s="1">
        <v>0</v>
      </c>
      <c r="G7" s="1">
        <v>4</v>
      </c>
      <c r="H7" s="1">
        <v>-1</v>
      </c>
      <c r="I7" s="1">
        <v>1</v>
      </c>
      <c r="J7" s="1" t="s">
        <v>676</v>
      </c>
      <c r="K7" s="1"/>
      <c r="L7" s="1"/>
      <c r="M7" s="1"/>
      <c r="N7" s="1"/>
      <c r="O7" s="1">
        <v>1</v>
      </c>
      <c r="P7" s="42" t="s">
        <v>677</v>
      </c>
      <c r="Q7" s="1"/>
      <c r="R7" s="1"/>
      <c r="S7" s="1"/>
      <c r="T7" s="1"/>
    </row>
    <row r="8" ht="31" spans="5:20">
      <c r="E8" s="1" t="s">
        <v>665</v>
      </c>
      <c r="F8" s="1">
        <v>0</v>
      </c>
      <c r="G8" s="1">
        <v>5</v>
      </c>
      <c r="H8" s="1">
        <v>-1</v>
      </c>
      <c r="I8" s="1">
        <v>1</v>
      </c>
      <c r="J8" s="1" t="s">
        <v>678</v>
      </c>
      <c r="K8" s="1"/>
      <c r="L8" s="1"/>
      <c r="M8" s="1"/>
      <c r="N8" s="1"/>
      <c r="O8" s="1">
        <v>1</v>
      </c>
      <c r="P8" s="42" t="s">
        <v>679</v>
      </c>
      <c r="Q8" s="1"/>
      <c r="R8" s="1"/>
      <c r="S8" s="1"/>
      <c r="T8" s="1"/>
    </row>
    <row r="9" ht="31" spans="5:20">
      <c r="E9" s="1" t="s">
        <v>665</v>
      </c>
      <c r="F9" s="1">
        <v>0</v>
      </c>
      <c r="G9" s="1">
        <v>6</v>
      </c>
      <c r="H9" s="1">
        <v>2</v>
      </c>
      <c r="I9" s="1">
        <v>1</v>
      </c>
      <c r="J9" s="1" t="s">
        <v>680</v>
      </c>
      <c r="K9" s="1"/>
      <c r="L9" s="1"/>
      <c r="M9" s="1"/>
      <c r="N9" s="1"/>
      <c r="O9" s="1">
        <v>1</v>
      </c>
      <c r="P9" s="42" t="s">
        <v>681</v>
      </c>
      <c r="Q9" s="1"/>
      <c r="R9" s="1"/>
      <c r="S9" s="1"/>
      <c r="T9" s="1"/>
    </row>
    <row r="10" ht="31" spans="5:20">
      <c r="E10" s="1" t="s">
        <v>665</v>
      </c>
      <c r="F10" s="1">
        <v>0</v>
      </c>
      <c r="G10" s="1">
        <v>7</v>
      </c>
      <c r="H10" s="1">
        <v>2</v>
      </c>
      <c r="I10" s="1">
        <v>1</v>
      </c>
      <c r="J10" s="1" t="s">
        <v>667</v>
      </c>
      <c r="K10" s="1"/>
      <c r="L10" s="1"/>
      <c r="M10" s="1"/>
      <c r="N10" s="1"/>
      <c r="O10" s="1">
        <v>1</v>
      </c>
      <c r="P10" s="42" t="s">
        <v>682</v>
      </c>
      <c r="Q10" s="1"/>
      <c r="R10" s="1"/>
      <c r="S10" s="1"/>
      <c r="T10" s="1"/>
    </row>
    <row r="11" ht="31" spans="5:20">
      <c r="E11" s="1" t="s">
        <v>665</v>
      </c>
      <c r="F11" s="1">
        <v>0</v>
      </c>
      <c r="G11" s="1">
        <v>8</v>
      </c>
      <c r="H11" s="1">
        <v>2</v>
      </c>
      <c r="I11" s="1">
        <v>1</v>
      </c>
      <c r="J11" s="1" t="s">
        <v>670</v>
      </c>
      <c r="K11" s="1"/>
      <c r="L11" s="1"/>
      <c r="M11" s="1"/>
      <c r="N11" s="1"/>
      <c r="O11" s="1">
        <v>1</v>
      </c>
      <c r="P11" s="42" t="s">
        <v>683</v>
      </c>
      <c r="Q11" s="1"/>
      <c r="R11" s="1"/>
      <c r="S11" s="1"/>
      <c r="T11" s="1"/>
    </row>
    <row r="12" ht="31" spans="5:20">
      <c r="E12" s="1" t="s">
        <v>665</v>
      </c>
      <c r="F12" s="1">
        <v>0</v>
      </c>
      <c r="G12" s="1">
        <v>9</v>
      </c>
      <c r="H12" s="1">
        <v>2</v>
      </c>
      <c r="I12" s="1">
        <v>1</v>
      </c>
      <c r="J12" s="1" t="s">
        <v>674</v>
      </c>
      <c r="K12" s="1"/>
      <c r="L12" s="1"/>
      <c r="M12" s="1"/>
      <c r="N12" s="1"/>
      <c r="O12" s="1">
        <v>1</v>
      </c>
      <c r="P12" s="42" t="s">
        <v>684</v>
      </c>
      <c r="Q12" s="1"/>
      <c r="R12" s="1"/>
      <c r="S12" s="1"/>
      <c r="T12" s="1"/>
    </row>
    <row r="13" ht="31" spans="5:20">
      <c r="E13" s="1" t="s">
        <v>665</v>
      </c>
      <c r="F13" s="1">
        <v>0</v>
      </c>
      <c r="G13" s="1">
        <v>10</v>
      </c>
      <c r="H13" s="1">
        <v>2</v>
      </c>
      <c r="I13" s="1">
        <v>1</v>
      </c>
      <c r="J13" s="1" t="s">
        <v>676</v>
      </c>
      <c r="K13" s="1"/>
      <c r="L13" s="1"/>
      <c r="M13" s="1"/>
      <c r="N13" s="1"/>
      <c r="O13" s="1">
        <v>1</v>
      </c>
      <c r="P13" s="42" t="s">
        <v>685</v>
      </c>
      <c r="Q13" s="1"/>
      <c r="R13" s="1"/>
      <c r="S13" s="1"/>
      <c r="T13" s="1"/>
    </row>
    <row r="14" ht="31" spans="5:20">
      <c r="E14" s="1" t="s">
        <v>665</v>
      </c>
      <c r="F14" s="1">
        <v>0</v>
      </c>
      <c r="G14" s="1">
        <v>11</v>
      </c>
      <c r="H14" s="1">
        <v>2</v>
      </c>
      <c r="I14" s="1">
        <v>1</v>
      </c>
      <c r="J14" s="1" t="s">
        <v>678</v>
      </c>
      <c r="K14" s="1"/>
      <c r="L14" s="1"/>
      <c r="M14" s="1"/>
      <c r="N14" s="1"/>
      <c r="O14" s="1">
        <v>1</v>
      </c>
      <c r="P14" s="42" t="s">
        <v>686</v>
      </c>
      <c r="Q14" s="1"/>
      <c r="R14" s="1"/>
      <c r="S14" s="1"/>
      <c r="T14" s="1"/>
    </row>
    <row r="15" ht="31" spans="5:20">
      <c r="E15" s="1" t="s">
        <v>665</v>
      </c>
      <c r="F15" s="1">
        <v>0</v>
      </c>
      <c r="G15" s="1">
        <v>12</v>
      </c>
      <c r="H15" s="1">
        <v>2</v>
      </c>
      <c r="I15" s="1">
        <v>1</v>
      </c>
      <c r="J15" s="1" t="s">
        <v>680</v>
      </c>
      <c r="K15" s="1"/>
      <c r="L15" s="1"/>
      <c r="M15" s="1"/>
      <c r="N15" s="1"/>
      <c r="O15" s="1">
        <v>1</v>
      </c>
      <c r="P15" s="42" t="s">
        <v>687</v>
      </c>
      <c r="Q15" s="1"/>
      <c r="R15" s="1"/>
      <c r="S15" s="1"/>
      <c r="T15" s="1"/>
    </row>
    <row r="16" ht="31" spans="5:20">
      <c r="E16" s="1" t="s">
        <v>669</v>
      </c>
      <c r="F16" s="1">
        <v>0</v>
      </c>
      <c r="G16" s="1">
        <v>1</v>
      </c>
      <c r="H16" s="1">
        <v>1</v>
      </c>
      <c r="I16" s="1">
        <v>2</v>
      </c>
      <c r="J16" s="1" t="s">
        <v>688</v>
      </c>
      <c r="K16" s="1" t="s">
        <v>689</v>
      </c>
      <c r="L16" s="1"/>
      <c r="M16" s="1"/>
      <c r="N16" s="1"/>
      <c r="O16" s="1">
        <v>1</v>
      </c>
      <c r="P16" s="42" t="s">
        <v>668</v>
      </c>
      <c r="Q16" s="1"/>
      <c r="R16" s="1"/>
      <c r="S16" s="1"/>
      <c r="T16" s="1"/>
    </row>
    <row r="17" ht="31" spans="5:20">
      <c r="E17" s="1" t="s">
        <v>669</v>
      </c>
      <c r="F17" s="1">
        <v>0</v>
      </c>
      <c r="G17" s="1">
        <v>2</v>
      </c>
      <c r="H17" s="1">
        <v>2</v>
      </c>
      <c r="I17" s="1">
        <v>1</v>
      </c>
      <c r="J17" s="1" t="s">
        <v>689</v>
      </c>
      <c r="K17" s="1"/>
      <c r="L17" s="1"/>
      <c r="M17" s="1"/>
      <c r="N17" s="1"/>
      <c r="O17" s="1">
        <v>1</v>
      </c>
      <c r="P17" s="42" t="s">
        <v>671</v>
      </c>
      <c r="Q17" s="1"/>
      <c r="R17" s="1"/>
      <c r="S17" s="1"/>
      <c r="T17" s="1"/>
    </row>
    <row r="18" ht="31" spans="5:20">
      <c r="E18" s="1" t="s">
        <v>669</v>
      </c>
      <c r="F18" s="1">
        <v>0</v>
      </c>
      <c r="G18" s="1">
        <v>3</v>
      </c>
      <c r="H18" s="1">
        <v>3</v>
      </c>
      <c r="I18" s="1">
        <v>1</v>
      </c>
      <c r="J18" s="1" t="s">
        <v>690</v>
      </c>
      <c r="K18" s="1"/>
      <c r="L18" s="1"/>
      <c r="M18" s="1"/>
      <c r="N18" s="1"/>
      <c r="O18" s="1">
        <v>1</v>
      </c>
      <c r="P18" s="42" t="s">
        <v>675</v>
      </c>
      <c r="Q18" s="1"/>
      <c r="R18" s="1"/>
      <c r="S18" s="1"/>
      <c r="T18" s="1"/>
    </row>
    <row r="19" ht="31" spans="5:20">
      <c r="E19" s="1" t="s">
        <v>669</v>
      </c>
      <c r="F19" s="1">
        <v>0</v>
      </c>
      <c r="G19" s="1">
        <v>4</v>
      </c>
      <c r="H19" s="1">
        <v>-1</v>
      </c>
      <c r="I19" s="1">
        <v>1</v>
      </c>
      <c r="J19" s="1" t="s">
        <v>691</v>
      </c>
      <c r="K19" s="1"/>
      <c r="L19" s="1"/>
      <c r="M19" s="1"/>
      <c r="N19" s="1"/>
      <c r="O19" s="1">
        <v>1</v>
      </c>
      <c r="P19" s="42" t="s">
        <v>677</v>
      </c>
      <c r="Q19" s="1"/>
      <c r="R19" s="1"/>
      <c r="S19" s="1"/>
      <c r="T19" s="1"/>
    </row>
    <row r="20" ht="31" spans="5:20">
      <c r="E20" s="1" t="s">
        <v>669</v>
      </c>
      <c r="F20" s="1">
        <v>0</v>
      </c>
      <c r="G20" s="1">
        <v>5</v>
      </c>
      <c r="H20" s="1">
        <v>-1</v>
      </c>
      <c r="I20" s="1">
        <v>1</v>
      </c>
      <c r="J20" s="1" t="s">
        <v>692</v>
      </c>
      <c r="K20" s="1"/>
      <c r="L20" s="1"/>
      <c r="M20" s="1"/>
      <c r="N20" s="1"/>
      <c r="O20" s="1">
        <v>1</v>
      </c>
      <c r="P20" s="42" t="s">
        <v>679</v>
      </c>
      <c r="Q20" s="1"/>
      <c r="R20" s="1"/>
      <c r="S20" s="1"/>
      <c r="T20" s="1"/>
    </row>
    <row r="21" ht="31" spans="5:20">
      <c r="E21" s="1" t="s">
        <v>669</v>
      </c>
      <c r="F21" s="1">
        <v>0</v>
      </c>
      <c r="G21" s="1">
        <v>6</v>
      </c>
      <c r="H21" s="1">
        <v>2</v>
      </c>
      <c r="I21" s="1">
        <v>1</v>
      </c>
      <c r="J21" s="1" t="s">
        <v>693</v>
      </c>
      <c r="K21" s="1"/>
      <c r="L21" s="1"/>
      <c r="M21" s="1"/>
      <c r="N21" s="1"/>
      <c r="O21" s="1">
        <v>1</v>
      </c>
      <c r="P21" s="42" t="s">
        <v>681</v>
      </c>
      <c r="Q21" s="1"/>
      <c r="R21" s="1"/>
      <c r="S21" s="1"/>
      <c r="T21" s="1"/>
    </row>
    <row r="22" ht="31" spans="5:20">
      <c r="E22" s="1" t="s">
        <v>669</v>
      </c>
      <c r="F22" s="1">
        <v>0</v>
      </c>
      <c r="G22" s="1">
        <v>7</v>
      </c>
      <c r="H22" s="1">
        <v>2</v>
      </c>
      <c r="I22" s="1">
        <v>1</v>
      </c>
      <c r="J22" s="1" t="s">
        <v>694</v>
      </c>
      <c r="K22" s="1"/>
      <c r="L22" s="1"/>
      <c r="M22" s="1"/>
      <c r="N22" s="1"/>
      <c r="O22" s="1">
        <v>1</v>
      </c>
      <c r="P22" s="42" t="s">
        <v>682</v>
      </c>
      <c r="Q22" s="1"/>
      <c r="R22" s="1"/>
      <c r="S22" s="1"/>
      <c r="T22" s="1"/>
    </row>
    <row r="23" customFormat="1" ht="31" spans="5:20">
      <c r="E23" s="1" t="s">
        <v>672</v>
      </c>
      <c r="F23" s="1">
        <v>0</v>
      </c>
      <c r="G23" s="1">
        <v>1</v>
      </c>
      <c r="H23" s="1">
        <v>1</v>
      </c>
      <c r="I23" s="1">
        <v>2</v>
      </c>
      <c r="J23" s="1" t="s">
        <v>695</v>
      </c>
      <c r="K23" s="1" t="s">
        <v>689</v>
      </c>
      <c r="L23" s="1"/>
      <c r="M23" s="1"/>
      <c r="N23" s="1"/>
      <c r="O23" s="1">
        <v>1</v>
      </c>
      <c r="P23" s="42" t="s">
        <v>668</v>
      </c>
      <c r="Q23" s="1"/>
      <c r="R23" s="1"/>
      <c r="S23" s="1"/>
      <c r="T23" s="1"/>
    </row>
    <row r="24" customFormat="1" ht="31" spans="5:20">
      <c r="E24" s="1" t="s">
        <v>672</v>
      </c>
      <c r="F24" s="1">
        <v>0</v>
      </c>
      <c r="G24" s="1">
        <v>2</v>
      </c>
      <c r="H24" s="1">
        <v>2</v>
      </c>
      <c r="I24" s="1">
        <v>1</v>
      </c>
      <c r="J24" s="1" t="s">
        <v>696</v>
      </c>
      <c r="K24" s="1"/>
      <c r="L24" s="1"/>
      <c r="M24" s="1"/>
      <c r="N24" s="1"/>
      <c r="O24" s="1">
        <v>1</v>
      </c>
      <c r="P24" s="42" t="s">
        <v>671</v>
      </c>
      <c r="Q24" s="1"/>
      <c r="R24" s="1"/>
      <c r="S24" s="1"/>
      <c r="T24" s="1"/>
    </row>
    <row r="25" customFormat="1" ht="31" spans="5:20">
      <c r="E25" s="1" t="s">
        <v>672</v>
      </c>
      <c r="F25" s="1">
        <v>0</v>
      </c>
      <c r="G25" s="1">
        <v>3</v>
      </c>
      <c r="H25" s="1">
        <v>3</v>
      </c>
      <c r="I25" s="1">
        <v>1</v>
      </c>
      <c r="J25" s="1" t="s">
        <v>697</v>
      </c>
      <c r="K25" s="1"/>
      <c r="L25" s="1"/>
      <c r="M25" s="1"/>
      <c r="N25" s="1"/>
      <c r="O25" s="1">
        <v>1</v>
      </c>
      <c r="P25" s="42" t="s">
        <v>675</v>
      </c>
      <c r="Q25" s="1"/>
      <c r="R25" s="1"/>
      <c r="S25" s="1"/>
      <c r="T25" s="1"/>
    </row>
    <row r="26" customFormat="1" ht="31" spans="5:20">
      <c r="E26" s="1" t="s">
        <v>672</v>
      </c>
      <c r="F26" s="1">
        <v>0</v>
      </c>
      <c r="G26" s="1">
        <v>4</v>
      </c>
      <c r="H26" s="1">
        <v>-1</v>
      </c>
      <c r="I26" s="1">
        <v>1</v>
      </c>
      <c r="J26" s="1" t="s">
        <v>698</v>
      </c>
      <c r="K26" s="1"/>
      <c r="L26" s="1"/>
      <c r="M26" s="1"/>
      <c r="N26" s="1"/>
      <c r="O26" s="1">
        <v>1</v>
      </c>
      <c r="P26" s="42" t="s">
        <v>677</v>
      </c>
      <c r="Q26" s="1"/>
      <c r="R26" s="1"/>
      <c r="S26" s="1"/>
      <c r="T26" s="1"/>
    </row>
    <row r="27" customFormat="1" ht="31" spans="5:20">
      <c r="E27" s="1" t="s">
        <v>672</v>
      </c>
      <c r="F27" s="1">
        <v>0</v>
      </c>
      <c r="G27" s="1">
        <v>5</v>
      </c>
      <c r="H27" s="1">
        <v>-1</v>
      </c>
      <c r="I27" s="1">
        <v>1</v>
      </c>
      <c r="J27" s="1" t="s">
        <v>699</v>
      </c>
      <c r="K27" s="1"/>
      <c r="L27" s="1"/>
      <c r="M27" s="1"/>
      <c r="N27" s="1"/>
      <c r="O27" s="1">
        <v>1</v>
      </c>
      <c r="P27" s="42" t="s">
        <v>679</v>
      </c>
      <c r="Q27" s="1"/>
      <c r="R27" s="1"/>
      <c r="S27" s="1"/>
      <c r="T27" s="1"/>
    </row>
    <row r="28" customFormat="1" ht="31" spans="5:20">
      <c r="E28" s="1" t="s">
        <v>672</v>
      </c>
      <c r="F28" s="1">
        <v>0</v>
      </c>
      <c r="G28" s="1">
        <v>6</v>
      </c>
      <c r="H28" s="1">
        <v>2</v>
      </c>
      <c r="I28" s="1">
        <v>1</v>
      </c>
      <c r="J28" s="1" t="s">
        <v>700</v>
      </c>
      <c r="K28" s="1"/>
      <c r="L28" s="1"/>
      <c r="M28" s="1"/>
      <c r="N28" s="1"/>
      <c r="O28" s="1">
        <v>1</v>
      </c>
      <c r="P28" s="42" t="s">
        <v>681</v>
      </c>
      <c r="Q28" s="1"/>
      <c r="R28" s="1"/>
      <c r="S28" s="1"/>
      <c r="T28" s="1"/>
    </row>
    <row r="29" customFormat="1" ht="31" spans="5:20">
      <c r="E29" s="1" t="s">
        <v>672</v>
      </c>
      <c r="F29" s="1">
        <v>0</v>
      </c>
      <c r="G29" s="1">
        <v>7</v>
      </c>
      <c r="H29" s="1">
        <v>2</v>
      </c>
      <c r="I29" s="1">
        <v>1</v>
      </c>
      <c r="J29" s="1" t="s">
        <v>701</v>
      </c>
      <c r="K29" s="1"/>
      <c r="L29" s="1"/>
      <c r="M29" s="1"/>
      <c r="N29" s="1"/>
      <c r="O29" s="1">
        <v>1</v>
      </c>
      <c r="P29" s="42" t="s">
        <v>682</v>
      </c>
      <c r="Q29" s="1"/>
      <c r="R29" s="1"/>
      <c r="S29" s="1"/>
      <c r="T29" s="1"/>
    </row>
  </sheetData>
  <pageMargins left="0.75" right="0.75" top="1" bottom="1" header="0.511805555555556" footer="0.511805555555556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J24"/>
  <sheetViews>
    <sheetView topLeftCell="A3" workbookViewId="0">
      <selection activeCell="C14" sqref="C14"/>
    </sheetView>
  </sheetViews>
  <sheetFormatPr defaultColWidth="8.79605263157895" defaultRowHeight="15.2"/>
  <cols>
    <col min="2" max="3" width="10.7960526315789" customWidth="1"/>
    <col min="4" max="4" width="14.6973684210526" customWidth="1"/>
    <col min="9" max="9" width="31.6973684210526" customWidth="1"/>
    <col min="10" max="10" width="62.9013157894737" customWidth="1"/>
  </cols>
  <sheetData>
    <row r="1" ht="16" spans="1:10">
      <c r="A1" s="1" t="s">
        <v>3</v>
      </c>
      <c r="B1" s="1" t="s">
        <v>643</v>
      </c>
      <c r="C1" s="1" t="s">
        <v>702</v>
      </c>
      <c r="D1" s="1" t="s">
        <v>644</v>
      </c>
      <c r="F1" s="1" t="s">
        <v>3</v>
      </c>
      <c r="G1" s="1" t="s">
        <v>643</v>
      </c>
      <c r="H1" s="1" t="s">
        <v>9</v>
      </c>
      <c r="I1" s="1" t="s">
        <v>703</v>
      </c>
      <c r="J1" s="1" t="s">
        <v>704</v>
      </c>
    </row>
    <row r="2" ht="16" spans="1:10">
      <c r="A2" s="1" t="s">
        <v>14</v>
      </c>
      <c r="B2" s="1" t="s">
        <v>15</v>
      </c>
      <c r="C2" s="1" t="s">
        <v>15</v>
      </c>
      <c r="D2" s="1" t="s">
        <v>14</v>
      </c>
      <c r="F2" s="1" t="s">
        <v>14</v>
      </c>
      <c r="G2" s="1" t="s">
        <v>15</v>
      </c>
      <c r="H2" s="1" t="s">
        <v>14</v>
      </c>
      <c r="I2" s="1" t="s">
        <v>172</v>
      </c>
      <c r="J2" s="1" t="s">
        <v>172</v>
      </c>
    </row>
    <row r="3" ht="26" spans="1:10">
      <c r="A3" s="43" t="s">
        <v>19</v>
      </c>
      <c r="B3" s="43" t="s">
        <v>657</v>
      </c>
      <c r="C3" s="43" t="s">
        <v>705</v>
      </c>
      <c r="D3" s="1" t="s">
        <v>658</v>
      </c>
      <c r="F3" s="43" t="s">
        <v>19</v>
      </c>
      <c r="G3" s="43" t="s">
        <v>657</v>
      </c>
      <c r="H3" s="1" t="s">
        <v>188</v>
      </c>
      <c r="I3" s="1" t="s">
        <v>662</v>
      </c>
      <c r="J3" s="1" t="s">
        <v>664</v>
      </c>
    </row>
    <row r="4" ht="31" spans="1:10">
      <c r="A4" s="1" t="s">
        <v>665</v>
      </c>
      <c r="B4" s="1">
        <v>0</v>
      </c>
      <c r="C4" s="1">
        <v>7</v>
      </c>
      <c r="D4" s="1" t="s">
        <v>666</v>
      </c>
      <c r="F4" s="1" t="s">
        <v>665</v>
      </c>
      <c r="G4" s="1">
        <v>0</v>
      </c>
      <c r="H4" s="1"/>
      <c r="I4" s="1" t="s">
        <v>706</v>
      </c>
      <c r="J4" s="42" t="s">
        <v>707</v>
      </c>
    </row>
    <row r="5" ht="31" spans="1:10">
      <c r="A5" s="1" t="s">
        <v>665</v>
      </c>
      <c r="B5" s="1">
        <v>1</v>
      </c>
      <c r="C5" s="1">
        <v>7</v>
      </c>
      <c r="D5" s="1" t="s">
        <v>666</v>
      </c>
      <c r="F5" s="1" t="s">
        <v>665</v>
      </c>
      <c r="G5" s="1">
        <v>0</v>
      </c>
      <c r="H5" s="1"/>
      <c r="I5" s="1" t="s">
        <v>708</v>
      </c>
      <c r="J5" s="42" t="s">
        <v>707</v>
      </c>
    </row>
    <row r="6" ht="31" spans="1:10">
      <c r="A6" s="1" t="s">
        <v>665</v>
      </c>
      <c r="B6" s="1">
        <v>0</v>
      </c>
      <c r="C6" s="1">
        <v>7</v>
      </c>
      <c r="D6" s="1" t="s">
        <v>666</v>
      </c>
      <c r="F6" s="1" t="s">
        <v>665</v>
      </c>
      <c r="G6" s="1">
        <v>0</v>
      </c>
      <c r="H6" s="1"/>
      <c r="I6" s="1" t="s">
        <v>709</v>
      </c>
      <c r="J6" s="42" t="s">
        <v>707</v>
      </c>
    </row>
    <row r="7" ht="31" spans="1:10">
      <c r="A7" s="1" t="s">
        <v>665</v>
      </c>
      <c r="B7" s="1">
        <v>1</v>
      </c>
      <c r="C7" s="1">
        <v>7</v>
      </c>
      <c r="D7" s="1" t="s">
        <v>666</v>
      </c>
      <c r="F7" s="1" t="s">
        <v>665</v>
      </c>
      <c r="G7" s="1">
        <v>1</v>
      </c>
      <c r="H7" s="1"/>
      <c r="I7" s="1" t="s">
        <v>710</v>
      </c>
      <c r="J7" s="42" t="s">
        <v>707</v>
      </c>
    </row>
    <row r="8" ht="31" spans="1:10">
      <c r="A8" s="1" t="s">
        <v>669</v>
      </c>
      <c r="B8" s="1">
        <v>0</v>
      </c>
      <c r="C8" s="1">
        <v>7</v>
      </c>
      <c r="D8" s="1" t="s">
        <v>666</v>
      </c>
      <c r="F8" s="1" t="s">
        <v>665</v>
      </c>
      <c r="G8" s="1">
        <v>1</v>
      </c>
      <c r="H8" s="1"/>
      <c r="I8" s="1" t="s">
        <v>711</v>
      </c>
      <c r="J8" s="42" t="s">
        <v>707</v>
      </c>
    </row>
    <row r="9" ht="31" spans="1:10">
      <c r="A9" s="1" t="s">
        <v>669</v>
      </c>
      <c r="B9" s="1">
        <v>1</v>
      </c>
      <c r="C9" s="1">
        <v>7</v>
      </c>
      <c r="D9" s="1" t="s">
        <v>666</v>
      </c>
      <c r="F9" s="1" t="s">
        <v>665</v>
      </c>
      <c r="G9" s="1">
        <v>1</v>
      </c>
      <c r="H9" s="1"/>
      <c r="I9" s="1" t="s">
        <v>712</v>
      </c>
      <c r="J9" s="42" t="s">
        <v>707</v>
      </c>
    </row>
    <row r="10" ht="61" spans="1:10">
      <c r="A10" s="1" t="s">
        <v>669</v>
      </c>
      <c r="B10" s="1">
        <v>0</v>
      </c>
      <c r="C10" s="1">
        <v>7</v>
      </c>
      <c r="D10" s="1" t="s">
        <v>666</v>
      </c>
      <c r="F10" s="1" t="s">
        <v>669</v>
      </c>
      <c r="G10" s="1">
        <v>0</v>
      </c>
      <c r="H10" s="1"/>
      <c r="I10" s="1" t="s">
        <v>713</v>
      </c>
      <c r="J10" s="42" t="s">
        <v>714</v>
      </c>
    </row>
    <row r="11" ht="61" spans="1:10">
      <c r="A11" s="1" t="s">
        <v>669</v>
      </c>
      <c r="B11" s="1">
        <v>1</v>
      </c>
      <c r="C11" s="1">
        <v>7</v>
      </c>
      <c r="D11" s="1" t="s">
        <v>666</v>
      </c>
      <c r="F11" s="1" t="s">
        <v>669</v>
      </c>
      <c r="G11" s="1">
        <v>0</v>
      </c>
      <c r="H11" s="1"/>
      <c r="I11" s="1" t="s">
        <v>715</v>
      </c>
      <c r="J11" s="42" t="s">
        <v>714</v>
      </c>
    </row>
    <row r="12" ht="61" spans="1:10">
      <c r="A12" s="1" t="s">
        <v>672</v>
      </c>
      <c r="B12" s="1">
        <v>0</v>
      </c>
      <c r="C12" s="1">
        <v>-1</v>
      </c>
      <c r="D12" s="1" t="s">
        <v>673</v>
      </c>
      <c r="F12" s="1" t="s">
        <v>669</v>
      </c>
      <c r="G12" s="1">
        <v>0</v>
      </c>
      <c r="H12" s="1"/>
      <c r="I12" s="1" t="s">
        <v>716</v>
      </c>
      <c r="J12" s="42" t="s">
        <v>714</v>
      </c>
    </row>
    <row r="13" ht="61" spans="1:10">
      <c r="A13" s="1" t="s">
        <v>672</v>
      </c>
      <c r="B13" s="1">
        <v>1</v>
      </c>
      <c r="C13" s="1">
        <v>-1</v>
      </c>
      <c r="D13" s="1" t="s">
        <v>673</v>
      </c>
      <c r="F13" s="1" t="s">
        <v>669</v>
      </c>
      <c r="G13" s="1">
        <v>0</v>
      </c>
      <c r="H13" s="1"/>
      <c r="I13" s="1" t="s">
        <v>717</v>
      </c>
      <c r="J13" s="42" t="s">
        <v>714</v>
      </c>
    </row>
    <row r="14" ht="61" spans="6:10">
      <c r="F14" s="1" t="s">
        <v>669</v>
      </c>
      <c r="G14" s="1">
        <v>0</v>
      </c>
      <c r="H14" s="1"/>
      <c r="I14" s="1" t="s">
        <v>718</v>
      </c>
      <c r="J14" s="42" t="s">
        <v>714</v>
      </c>
    </row>
    <row r="15" ht="61" spans="6:10">
      <c r="F15" s="1" t="s">
        <v>669</v>
      </c>
      <c r="G15" s="1">
        <v>0</v>
      </c>
      <c r="H15" s="1"/>
      <c r="I15" s="1" t="s">
        <v>719</v>
      </c>
      <c r="J15" s="42" t="s">
        <v>714</v>
      </c>
    </row>
    <row r="16" ht="61" spans="6:10">
      <c r="F16" s="1" t="s">
        <v>669</v>
      </c>
      <c r="G16" s="1">
        <v>0</v>
      </c>
      <c r="H16" s="1"/>
      <c r="I16" s="1" t="s">
        <v>720</v>
      </c>
      <c r="J16" s="42" t="s">
        <v>714</v>
      </c>
    </row>
    <row r="17" ht="61" spans="6:10">
      <c r="F17" s="1" t="s">
        <v>669</v>
      </c>
      <c r="G17" s="1">
        <v>1</v>
      </c>
      <c r="H17" s="1"/>
      <c r="I17" s="1" t="s">
        <v>710</v>
      </c>
      <c r="J17" s="42" t="s">
        <v>714</v>
      </c>
    </row>
    <row r="18" ht="61" spans="6:10">
      <c r="F18" s="1" t="s">
        <v>669</v>
      </c>
      <c r="G18" s="1">
        <v>1</v>
      </c>
      <c r="H18" s="1"/>
      <c r="I18" s="1" t="s">
        <v>711</v>
      </c>
      <c r="J18" s="42" t="s">
        <v>714</v>
      </c>
    </row>
    <row r="19" ht="61" spans="6:10">
      <c r="F19" s="1" t="s">
        <v>669</v>
      </c>
      <c r="G19" s="1">
        <v>1</v>
      </c>
      <c r="H19" s="1"/>
      <c r="I19" s="1" t="s">
        <v>712</v>
      </c>
      <c r="J19" s="42" t="s">
        <v>714</v>
      </c>
    </row>
    <row r="20" ht="61" spans="6:10">
      <c r="F20" s="1" t="s">
        <v>672</v>
      </c>
      <c r="G20" s="1">
        <v>0</v>
      </c>
      <c r="H20" s="1"/>
      <c r="I20" s="1" t="s">
        <v>721</v>
      </c>
      <c r="J20" s="42" t="s">
        <v>714</v>
      </c>
    </row>
    <row r="21" ht="61" spans="6:10">
      <c r="F21" s="1" t="s">
        <v>672</v>
      </c>
      <c r="G21" s="1">
        <v>0</v>
      </c>
      <c r="H21" s="1"/>
      <c r="I21" s="1" t="s">
        <v>722</v>
      </c>
      <c r="J21" s="42" t="s">
        <v>714</v>
      </c>
    </row>
    <row r="22" ht="61" spans="6:10">
      <c r="F22" s="1" t="s">
        <v>672</v>
      </c>
      <c r="G22" s="1">
        <v>0</v>
      </c>
      <c r="H22" s="1"/>
      <c r="I22" s="1" t="s">
        <v>723</v>
      </c>
      <c r="J22" s="42" t="s">
        <v>714</v>
      </c>
    </row>
    <row r="23" ht="61" spans="6:10">
      <c r="F23" s="1" t="s">
        <v>672</v>
      </c>
      <c r="G23" s="1">
        <v>0</v>
      </c>
      <c r="H23" s="1"/>
      <c r="I23" s="1" t="s">
        <v>724</v>
      </c>
      <c r="J23" s="42" t="s">
        <v>714</v>
      </c>
    </row>
    <row r="24" ht="61" spans="6:10">
      <c r="F24" s="1" t="s">
        <v>672</v>
      </c>
      <c r="G24" s="1">
        <v>0</v>
      </c>
      <c r="H24" s="1"/>
      <c r="I24" s="1" t="s">
        <v>725</v>
      </c>
      <c r="J24" s="42" t="s">
        <v>714</v>
      </c>
    </row>
  </sheetData>
  <pageMargins left="0.75" right="0.75" top="1" bottom="1" header="0.511805555555556" footer="0.511805555555556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F6"/>
  <sheetViews>
    <sheetView workbookViewId="0">
      <selection activeCell="F4" sqref="F4"/>
    </sheetView>
  </sheetViews>
  <sheetFormatPr defaultColWidth="8.79605263157895" defaultRowHeight="15.2" outlineLevelRow="5" outlineLevelCol="5"/>
  <cols>
    <col min="2" max="2" width="75.2960526315789" customWidth="1"/>
    <col min="3" max="3" width="15.5986842105263" customWidth="1"/>
    <col min="4" max="4" width="20.0986842105263" customWidth="1"/>
    <col min="5" max="5" width="7.09868421052632" customWidth="1"/>
    <col min="6" max="6" width="35.4013157894737" customWidth="1"/>
  </cols>
  <sheetData>
    <row r="1" ht="16" spans="1:6">
      <c r="A1" s="1" t="s">
        <v>726</v>
      </c>
      <c r="B1" s="1" t="s">
        <v>727</v>
      </c>
      <c r="C1" s="1" t="s">
        <v>728</v>
      </c>
      <c r="D1" s="1" t="s">
        <v>729</v>
      </c>
      <c r="E1" s="1" t="s">
        <v>3</v>
      </c>
      <c r="F1" s="1" t="s">
        <v>730</v>
      </c>
    </row>
    <row r="2" ht="16" spans="1:6">
      <c r="A2" s="1" t="s">
        <v>15</v>
      </c>
      <c r="B2" s="1" t="s">
        <v>14</v>
      </c>
      <c r="C2" s="1" t="s">
        <v>173</v>
      </c>
      <c r="D2" s="1" t="s">
        <v>173</v>
      </c>
      <c r="E2" s="1" t="s">
        <v>14</v>
      </c>
      <c r="F2" s="1" t="s">
        <v>14</v>
      </c>
    </row>
    <row r="3" ht="16" spans="1:6">
      <c r="A3" s="1" t="s">
        <v>731</v>
      </c>
      <c r="B3" s="42" t="s">
        <v>732</v>
      </c>
      <c r="C3" s="43" t="s">
        <v>733</v>
      </c>
      <c r="D3" s="43" t="s">
        <v>734</v>
      </c>
      <c r="E3" s="43" t="s">
        <v>19</v>
      </c>
      <c r="F3" s="43" t="s">
        <v>735</v>
      </c>
    </row>
    <row r="4" ht="65.1" customHeight="1" spans="1:6">
      <c r="A4" s="1">
        <v>44411</v>
      </c>
      <c r="B4" s="42" t="s">
        <v>736</v>
      </c>
      <c r="C4" s="1">
        <v>0.25</v>
      </c>
      <c r="D4" s="1">
        <v>0.05</v>
      </c>
      <c r="E4" s="1" t="s">
        <v>665</v>
      </c>
      <c r="F4" s="1" t="s">
        <v>737</v>
      </c>
    </row>
    <row r="5" ht="61" spans="1:6">
      <c r="A5" s="1">
        <v>44412</v>
      </c>
      <c r="B5" s="42" t="s">
        <v>738</v>
      </c>
      <c r="C5" s="1">
        <v>0.25</v>
      </c>
      <c r="D5" s="1">
        <v>0.05</v>
      </c>
      <c r="E5" s="1" t="s">
        <v>669</v>
      </c>
      <c r="F5" s="1" t="s">
        <v>739</v>
      </c>
    </row>
    <row r="6" ht="61" spans="1:6">
      <c r="A6" s="1">
        <v>44413</v>
      </c>
      <c r="B6" s="42" t="s">
        <v>740</v>
      </c>
      <c r="C6" s="1">
        <v>0.25</v>
      </c>
      <c r="D6" s="1">
        <v>0.05</v>
      </c>
      <c r="E6" s="1" t="s">
        <v>672</v>
      </c>
      <c r="F6" s="1" t="s">
        <v>741</v>
      </c>
    </row>
  </sheetData>
  <pageMargins left="0.75" right="0.75" top="1" bottom="1" header="0.511805555555556" footer="0.511805555555556"/>
  <headerFooter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W10"/>
  <sheetViews>
    <sheetView workbookViewId="0">
      <pane xSplit="3" topLeftCell="D1" activePane="topRight" state="frozen"/>
      <selection/>
      <selection pane="topRight" activeCell="B10" sqref="B10:B11"/>
    </sheetView>
  </sheetViews>
  <sheetFormatPr defaultColWidth="11.0986842105263" defaultRowHeight="15.2"/>
  <cols>
    <col min="1" max="1" width="24.0789473684211" customWidth="1"/>
    <col min="3" max="3" width="14.0986842105263" customWidth="1"/>
    <col min="4" max="5" width="13.4013157894737" customWidth="1"/>
    <col min="6" max="6" width="19.8421052631579" customWidth="1"/>
    <col min="7" max="7" width="13.4013157894737" customWidth="1"/>
    <col min="8" max="8" width="19.8421052631579" customWidth="1"/>
    <col min="11" max="11" width="13.5986842105263" customWidth="1"/>
    <col min="12" max="13" width="12.0986842105263" customWidth="1"/>
    <col min="14" max="15" width="33.1578947368421" customWidth="1"/>
    <col min="16" max="16" width="10.9013157894737" customWidth="1"/>
    <col min="17" max="17" width="31.6973684210526" customWidth="1"/>
  </cols>
  <sheetData>
    <row r="1" ht="23.1" customHeight="1" spans="1:23">
      <c r="A1" s="27" t="s">
        <v>742</v>
      </c>
      <c r="B1" s="28" t="s">
        <v>743</v>
      </c>
      <c r="C1" s="28" t="s">
        <v>744</v>
      </c>
      <c r="D1" s="28" t="s">
        <v>745</v>
      </c>
      <c r="E1" s="28" t="s">
        <v>746</v>
      </c>
      <c r="F1" s="28" t="s">
        <v>747</v>
      </c>
      <c r="G1" s="28" t="s">
        <v>748</v>
      </c>
      <c r="H1" s="28" t="s">
        <v>749</v>
      </c>
      <c r="I1" s="28" t="s">
        <v>750</v>
      </c>
      <c r="J1" s="28" t="s">
        <v>751</v>
      </c>
      <c r="K1" s="32" t="s">
        <v>752</v>
      </c>
      <c r="L1" s="28" t="s">
        <v>753</v>
      </c>
      <c r="M1" s="26" t="s">
        <v>754</v>
      </c>
      <c r="N1" s="26" t="s">
        <v>755</v>
      </c>
      <c r="O1" s="26" t="s">
        <v>756</v>
      </c>
      <c r="P1" s="28" t="s">
        <v>757</v>
      </c>
      <c r="Q1" s="28" t="s">
        <v>758</v>
      </c>
      <c r="R1" s="28" t="s">
        <v>759</v>
      </c>
      <c r="S1" s="28" t="s">
        <v>754</v>
      </c>
      <c r="T1" s="28" t="s">
        <v>759</v>
      </c>
      <c r="U1" s="28" t="s">
        <v>754</v>
      </c>
      <c r="V1" s="28" t="s">
        <v>759</v>
      </c>
      <c r="W1" s="28" t="s">
        <v>754</v>
      </c>
    </row>
    <row r="2" ht="23.1" customHeight="1" spans="1:23">
      <c r="A2" s="29" t="s">
        <v>172</v>
      </c>
      <c r="B2" s="26" t="s">
        <v>15</v>
      </c>
      <c r="C2" s="26" t="s">
        <v>15</v>
      </c>
      <c r="D2" s="26" t="s">
        <v>15</v>
      </c>
      <c r="E2" s="26" t="s">
        <v>15</v>
      </c>
      <c r="F2" s="26" t="s">
        <v>15</v>
      </c>
      <c r="G2" s="26" t="s">
        <v>15</v>
      </c>
      <c r="H2" s="26" t="s">
        <v>15</v>
      </c>
      <c r="I2" s="26" t="s">
        <v>15</v>
      </c>
      <c r="J2" s="26" t="s">
        <v>15</v>
      </c>
      <c r="K2" s="33" t="s">
        <v>173</v>
      </c>
      <c r="L2" s="26" t="s">
        <v>15</v>
      </c>
      <c r="M2" s="26" t="s">
        <v>15</v>
      </c>
      <c r="N2" s="26" t="s">
        <v>172</v>
      </c>
      <c r="O2" s="26" t="s">
        <v>172</v>
      </c>
      <c r="P2" s="26" t="s">
        <v>15</v>
      </c>
      <c r="Q2" s="28" t="s">
        <v>760</v>
      </c>
      <c r="R2" s="28" t="s">
        <v>173</v>
      </c>
      <c r="S2" s="28" t="s">
        <v>173</v>
      </c>
      <c r="T2" s="28" t="s">
        <v>173</v>
      </c>
      <c r="U2" s="28" t="s">
        <v>173</v>
      </c>
      <c r="V2" s="28" t="s">
        <v>173</v>
      </c>
      <c r="W2" s="28" t="s">
        <v>173</v>
      </c>
    </row>
    <row r="3" ht="23.1" customHeight="1" spans="1:23">
      <c r="A3" s="29" t="s">
        <v>761</v>
      </c>
      <c r="B3" s="26" t="s">
        <v>762</v>
      </c>
      <c r="C3" s="26" t="s">
        <v>763</v>
      </c>
      <c r="D3" s="26" t="s">
        <v>764</v>
      </c>
      <c r="E3" s="26" t="s">
        <v>765</v>
      </c>
      <c r="F3" s="31" t="s">
        <v>766</v>
      </c>
      <c r="G3" s="31" t="s">
        <v>767</v>
      </c>
      <c r="H3" s="31" t="s">
        <v>766</v>
      </c>
      <c r="I3" s="34" t="s">
        <v>768</v>
      </c>
      <c r="J3" s="34" t="s">
        <v>769</v>
      </c>
      <c r="K3" s="33" t="s">
        <v>770</v>
      </c>
      <c r="L3" s="26" t="s">
        <v>771</v>
      </c>
      <c r="M3" s="26" t="s">
        <v>772</v>
      </c>
      <c r="N3" s="26" t="s">
        <v>188</v>
      </c>
      <c r="O3" s="26" t="s">
        <v>188</v>
      </c>
      <c r="P3" s="26" t="s">
        <v>773</v>
      </c>
      <c r="Q3" s="28" t="s">
        <v>774</v>
      </c>
      <c r="R3" s="28" t="s">
        <v>775</v>
      </c>
      <c r="S3" s="28" t="s">
        <v>776</v>
      </c>
      <c r="T3" s="28" t="s">
        <v>775</v>
      </c>
      <c r="U3" s="28" t="s">
        <v>776</v>
      </c>
      <c r="V3" s="28" t="s">
        <v>775</v>
      </c>
      <c r="W3" s="28" t="s">
        <v>776</v>
      </c>
    </row>
    <row r="4" ht="23.1" customHeight="1" spans="1:23">
      <c r="A4" s="29" t="s">
        <v>777</v>
      </c>
      <c r="B4" s="26">
        <v>0</v>
      </c>
      <c r="C4" s="26">
        <v>1</v>
      </c>
      <c r="D4" s="26">
        <v>1</v>
      </c>
      <c r="E4" s="26">
        <v>3</v>
      </c>
      <c r="F4" s="26">
        <v>1</v>
      </c>
      <c r="G4" s="26">
        <v>3</v>
      </c>
      <c r="H4" s="26">
        <v>1</v>
      </c>
      <c r="I4" s="26">
        <v>0</v>
      </c>
      <c r="J4" s="26">
        <v>0</v>
      </c>
      <c r="K4" s="26">
        <v>0</v>
      </c>
      <c r="L4" s="26">
        <v>0</v>
      </c>
      <c r="M4" s="26">
        <v>0</v>
      </c>
      <c r="N4" s="26"/>
      <c r="O4" s="26"/>
      <c r="P4" s="26">
        <v>0</v>
      </c>
      <c r="Q4" s="28" t="s">
        <v>778</v>
      </c>
      <c r="R4" s="36">
        <v>1</v>
      </c>
      <c r="S4" s="36">
        <v>0.7</v>
      </c>
      <c r="T4" s="36">
        <v>2.4</v>
      </c>
      <c r="U4" s="36">
        <v>0.1</v>
      </c>
      <c r="V4" s="36">
        <v>0</v>
      </c>
      <c r="W4" s="36">
        <v>0.2</v>
      </c>
    </row>
    <row r="5" ht="23.1" customHeight="1" spans="1:23">
      <c r="A5" s="29" t="s">
        <v>779</v>
      </c>
      <c r="B5" s="26">
        <v>1288</v>
      </c>
      <c r="C5" s="26">
        <v>1</v>
      </c>
      <c r="D5" s="26">
        <v>1</v>
      </c>
      <c r="E5" s="26">
        <v>3</v>
      </c>
      <c r="F5" s="26">
        <v>5</v>
      </c>
      <c r="G5" s="26">
        <v>3</v>
      </c>
      <c r="H5" s="26">
        <v>10</v>
      </c>
      <c r="I5" s="26">
        <v>0</v>
      </c>
      <c r="J5" s="26">
        <v>0</v>
      </c>
      <c r="K5" s="26">
        <v>0.2</v>
      </c>
      <c r="L5" s="26">
        <v>1</v>
      </c>
      <c r="M5" s="26">
        <v>10000</v>
      </c>
      <c r="N5" s="26" t="s">
        <v>780</v>
      </c>
      <c r="O5" s="26" t="s">
        <v>781</v>
      </c>
      <c r="P5" s="26">
        <v>20000</v>
      </c>
      <c r="Q5" s="28" t="s">
        <v>782</v>
      </c>
      <c r="R5" s="36">
        <v>0.95</v>
      </c>
      <c r="S5" s="36">
        <v>0.7</v>
      </c>
      <c r="T5" s="36">
        <v>2.8</v>
      </c>
      <c r="U5" s="36">
        <v>0.1</v>
      </c>
      <c r="V5" s="36">
        <v>0</v>
      </c>
      <c r="W5" s="36">
        <v>0.2</v>
      </c>
    </row>
    <row r="6" ht="23.1" customHeight="1" spans="1:23">
      <c r="A6" s="30" t="s">
        <v>783</v>
      </c>
      <c r="B6" s="26">
        <v>1165</v>
      </c>
      <c r="C6" s="26">
        <v>1</v>
      </c>
      <c r="D6" s="26">
        <v>1</v>
      </c>
      <c r="E6" s="26">
        <v>3</v>
      </c>
      <c r="F6" s="26">
        <v>10</v>
      </c>
      <c r="G6" s="26">
        <v>3</v>
      </c>
      <c r="H6" s="26">
        <v>50</v>
      </c>
      <c r="I6" s="26">
        <v>0</v>
      </c>
      <c r="J6" s="26">
        <v>0</v>
      </c>
      <c r="K6" s="26">
        <v>0.2</v>
      </c>
      <c r="L6" s="26">
        <v>1</v>
      </c>
      <c r="M6" s="26">
        <v>10000</v>
      </c>
      <c r="N6" s="26" t="s">
        <v>780</v>
      </c>
      <c r="O6" s="26" t="s">
        <v>781</v>
      </c>
      <c r="P6" s="26">
        <v>40000</v>
      </c>
      <c r="Q6" s="28" t="s">
        <v>784</v>
      </c>
      <c r="R6" s="37">
        <v>0.95</v>
      </c>
      <c r="S6" s="37">
        <v>0.7</v>
      </c>
      <c r="T6" s="37">
        <v>2.8</v>
      </c>
      <c r="U6" s="37">
        <v>0.1</v>
      </c>
      <c r="V6" s="37">
        <v>0</v>
      </c>
      <c r="W6" s="37">
        <v>0.2</v>
      </c>
    </row>
    <row r="7" ht="23.1" customHeight="1" spans="1:23">
      <c r="A7" s="30" t="s">
        <v>785</v>
      </c>
      <c r="B7" s="26">
        <v>1166</v>
      </c>
      <c r="C7" s="26">
        <v>1</v>
      </c>
      <c r="D7" s="26">
        <v>1</v>
      </c>
      <c r="E7" s="26">
        <v>3</v>
      </c>
      <c r="F7" s="26">
        <v>20</v>
      </c>
      <c r="G7" s="26">
        <v>3</v>
      </c>
      <c r="H7" s="26">
        <v>50</v>
      </c>
      <c r="I7" s="26">
        <v>0</v>
      </c>
      <c r="J7" s="26">
        <v>0</v>
      </c>
      <c r="K7" s="26">
        <v>1.5</v>
      </c>
      <c r="L7" s="35">
        <v>2</v>
      </c>
      <c r="M7" s="35">
        <v>200</v>
      </c>
      <c r="N7" s="26" t="s">
        <v>780</v>
      </c>
      <c r="O7" s="26" t="s">
        <v>781</v>
      </c>
      <c r="P7" s="26">
        <v>250000</v>
      </c>
      <c r="Q7" s="28" t="s">
        <v>786</v>
      </c>
      <c r="R7" s="38">
        <v>1</v>
      </c>
      <c r="S7" s="38">
        <v>0.7</v>
      </c>
      <c r="T7" s="38">
        <v>2</v>
      </c>
      <c r="U7" s="38">
        <v>0.1</v>
      </c>
      <c r="V7" s="38">
        <v>0.2</v>
      </c>
      <c r="W7" s="38">
        <v>0.2</v>
      </c>
    </row>
    <row r="8" ht="23.1" customHeight="1" spans="1:23">
      <c r="A8" s="30" t="s">
        <v>787</v>
      </c>
      <c r="B8" s="26">
        <v>1167</v>
      </c>
      <c r="C8" s="26">
        <v>1</v>
      </c>
      <c r="D8" s="26">
        <v>1</v>
      </c>
      <c r="E8" s="26">
        <v>3</v>
      </c>
      <c r="F8" s="26">
        <v>30</v>
      </c>
      <c r="G8" s="26">
        <v>3</v>
      </c>
      <c r="H8" s="26">
        <v>50</v>
      </c>
      <c r="I8" s="26">
        <v>0</v>
      </c>
      <c r="J8" s="26">
        <v>0</v>
      </c>
      <c r="K8" s="26">
        <v>2</v>
      </c>
      <c r="L8" s="35">
        <v>2</v>
      </c>
      <c r="M8" s="35">
        <v>200</v>
      </c>
      <c r="N8" s="26" t="s">
        <v>780</v>
      </c>
      <c r="O8" s="26" t="s">
        <v>781</v>
      </c>
      <c r="P8" s="26">
        <v>500000</v>
      </c>
      <c r="Q8" s="28" t="s">
        <v>788</v>
      </c>
      <c r="R8" s="39">
        <v>0.96</v>
      </c>
      <c r="S8" s="39">
        <v>0.7</v>
      </c>
      <c r="T8" s="39">
        <v>2.2</v>
      </c>
      <c r="U8" s="39">
        <v>0.1</v>
      </c>
      <c r="V8" s="39">
        <v>0.2</v>
      </c>
      <c r="W8" s="39">
        <v>0.2</v>
      </c>
    </row>
    <row r="9" ht="23.1" customHeight="1" spans="1:23">
      <c r="A9" s="29" t="s">
        <v>789</v>
      </c>
      <c r="B9" s="26">
        <v>1289</v>
      </c>
      <c r="C9" s="26">
        <v>1</v>
      </c>
      <c r="D9" s="26">
        <v>2</v>
      </c>
      <c r="E9" s="26">
        <v>3</v>
      </c>
      <c r="F9" s="26">
        <v>40</v>
      </c>
      <c r="G9" s="26">
        <v>3</v>
      </c>
      <c r="H9" s="26">
        <v>50</v>
      </c>
      <c r="I9" s="26">
        <v>0</v>
      </c>
      <c r="J9" s="26">
        <v>0</v>
      </c>
      <c r="K9" s="26">
        <v>2.2</v>
      </c>
      <c r="L9" s="35">
        <v>2</v>
      </c>
      <c r="M9" s="35">
        <v>200</v>
      </c>
      <c r="N9" s="26" t="s">
        <v>780</v>
      </c>
      <c r="O9" s="26" t="s">
        <v>781</v>
      </c>
      <c r="P9" s="35">
        <v>666666</v>
      </c>
      <c r="Q9" s="28" t="s">
        <v>790</v>
      </c>
      <c r="R9" s="40">
        <v>0.96</v>
      </c>
      <c r="S9" s="40">
        <v>0.7</v>
      </c>
      <c r="T9" s="40">
        <v>2</v>
      </c>
      <c r="U9" s="40">
        <v>0.1</v>
      </c>
      <c r="V9" s="40">
        <v>0.25</v>
      </c>
      <c r="W9" s="40">
        <v>0.2</v>
      </c>
    </row>
    <row r="10" ht="23.1" customHeight="1" spans="1:23">
      <c r="A10" s="30" t="s">
        <v>791</v>
      </c>
      <c r="B10" s="26">
        <v>1290</v>
      </c>
      <c r="C10" s="26">
        <v>1</v>
      </c>
      <c r="D10" s="26">
        <v>2</v>
      </c>
      <c r="E10" s="26">
        <v>3</v>
      </c>
      <c r="F10" s="26">
        <v>50</v>
      </c>
      <c r="G10" s="26">
        <v>3</v>
      </c>
      <c r="H10" s="26">
        <v>50</v>
      </c>
      <c r="I10" s="26">
        <v>0</v>
      </c>
      <c r="J10" s="26">
        <v>0</v>
      </c>
      <c r="K10" s="26">
        <v>2.4</v>
      </c>
      <c r="L10" s="35">
        <v>2</v>
      </c>
      <c r="M10" s="35">
        <v>200</v>
      </c>
      <c r="N10" s="26" t="s">
        <v>780</v>
      </c>
      <c r="O10" s="26" t="s">
        <v>781</v>
      </c>
      <c r="P10" s="35">
        <v>666666</v>
      </c>
      <c r="Q10" s="28" t="s">
        <v>792</v>
      </c>
      <c r="R10" s="41">
        <v>0.96</v>
      </c>
      <c r="S10" s="41">
        <v>0.72</v>
      </c>
      <c r="T10" s="41">
        <v>2.4</v>
      </c>
      <c r="U10" s="41">
        <v>0.08</v>
      </c>
      <c r="V10" s="41">
        <v>0.25</v>
      </c>
      <c r="W10" s="41">
        <v>0.2</v>
      </c>
    </row>
  </sheetData>
  <pageMargins left="0.699305555555556" right="0.699305555555556" top="0.75" bottom="0.75" header="0.3" footer="0.3"/>
  <headerFooter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D19"/>
  <sheetViews>
    <sheetView topLeftCell="B1" workbookViewId="0">
      <selection activeCell="A1" sqref="A1:D19"/>
    </sheetView>
  </sheetViews>
  <sheetFormatPr defaultColWidth="11.0986842105263" defaultRowHeight="23.1" customHeight="1" outlineLevelCol="3"/>
  <cols>
    <col min="4" max="4" width="13.4013157894737" customWidth="1"/>
  </cols>
  <sheetData>
    <row r="1" customHeight="1" spans="1:4">
      <c r="A1" s="26" t="s">
        <v>793</v>
      </c>
      <c r="B1" s="26" t="s">
        <v>794</v>
      </c>
      <c r="C1" s="26" t="s">
        <v>795</v>
      </c>
      <c r="D1" s="26" t="s">
        <v>796</v>
      </c>
    </row>
    <row r="2" customHeight="1" spans="1:4">
      <c r="A2" s="26" t="s">
        <v>15</v>
      </c>
      <c r="B2" s="26" t="s">
        <v>15</v>
      </c>
      <c r="C2" s="26" t="s">
        <v>15</v>
      </c>
      <c r="D2" s="26" t="s">
        <v>15</v>
      </c>
    </row>
    <row r="3" customHeight="1" spans="1:4">
      <c r="A3" s="26" t="s">
        <v>797</v>
      </c>
      <c r="B3" s="26" t="s">
        <v>798</v>
      </c>
      <c r="C3" s="26" t="s">
        <v>799</v>
      </c>
      <c r="D3" s="26" t="s">
        <v>800</v>
      </c>
    </row>
    <row r="4" customHeight="1" spans="1:4">
      <c r="A4" s="26">
        <v>1352</v>
      </c>
      <c r="B4" s="26">
        <v>1288</v>
      </c>
      <c r="C4" s="26">
        <v>1352</v>
      </c>
      <c r="D4" s="26">
        <v>20</v>
      </c>
    </row>
    <row r="5" customHeight="1" spans="1:4">
      <c r="A5" s="26">
        <v>1353</v>
      </c>
      <c r="B5" s="26">
        <v>1165</v>
      </c>
      <c r="C5" s="26">
        <v>1353</v>
      </c>
      <c r="D5" s="26">
        <v>20</v>
      </c>
    </row>
    <row r="6" customHeight="1" spans="1:4">
      <c r="A6" s="26">
        <v>1354</v>
      </c>
      <c r="B6" s="26">
        <v>1166</v>
      </c>
      <c r="C6" s="26">
        <v>1354</v>
      </c>
      <c r="D6" s="26">
        <v>20</v>
      </c>
    </row>
    <row r="7" customHeight="1" spans="1:4">
      <c r="A7" s="26">
        <v>1355</v>
      </c>
      <c r="B7" s="26">
        <v>1167</v>
      </c>
      <c r="C7" s="26">
        <v>1355</v>
      </c>
      <c r="D7" s="26">
        <v>20</v>
      </c>
    </row>
    <row r="8" customHeight="1" spans="1:4">
      <c r="A8" s="26">
        <v>1356</v>
      </c>
      <c r="B8" s="26">
        <v>1289</v>
      </c>
      <c r="C8" s="26">
        <v>1356</v>
      </c>
      <c r="D8" s="26">
        <v>20</v>
      </c>
    </row>
    <row r="9" customHeight="1" spans="1:4">
      <c r="A9" s="26">
        <v>1357</v>
      </c>
      <c r="B9" s="26">
        <v>1290</v>
      </c>
      <c r="C9" s="26">
        <v>1357</v>
      </c>
      <c r="D9" s="26">
        <v>20</v>
      </c>
    </row>
    <row r="10" customHeight="1" spans="1:4">
      <c r="A10" s="26">
        <v>1366</v>
      </c>
      <c r="B10" s="26">
        <v>0</v>
      </c>
      <c r="C10" s="26">
        <v>1366</v>
      </c>
      <c r="D10" s="26">
        <v>20</v>
      </c>
    </row>
    <row r="11" customHeight="1" spans="1:4">
      <c r="A11" s="26">
        <v>1395</v>
      </c>
      <c r="B11" s="26">
        <v>1288</v>
      </c>
      <c r="C11" s="26">
        <v>1395</v>
      </c>
      <c r="D11" s="26">
        <v>20</v>
      </c>
    </row>
    <row r="12" customHeight="1" spans="1:4">
      <c r="A12" s="26">
        <v>1471</v>
      </c>
      <c r="B12" s="26">
        <v>1165</v>
      </c>
      <c r="C12" s="26">
        <v>1471</v>
      </c>
      <c r="D12" s="26">
        <v>20</v>
      </c>
    </row>
    <row r="13" customHeight="1" spans="1:4">
      <c r="A13" s="26">
        <v>1472</v>
      </c>
      <c r="B13" s="26">
        <v>1165</v>
      </c>
      <c r="C13" s="26">
        <v>1472</v>
      </c>
      <c r="D13" s="26">
        <v>20</v>
      </c>
    </row>
    <row r="14" customHeight="1" spans="1:4">
      <c r="A14" s="26">
        <v>1473</v>
      </c>
      <c r="B14" s="26">
        <v>1166</v>
      </c>
      <c r="C14" s="26">
        <v>1473</v>
      </c>
      <c r="D14" s="26">
        <v>20</v>
      </c>
    </row>
    <row r="15" customHeight="1" spans="1:4">
      <c r="A15" s="26">
        <v>1475</v>
      </c>
      <c r="B15" s="26">
        <v>1167</v>
      </c>
      <c r="C15" s="26">
        <v>1475</v>
      </c>
      <c r="D15" s="26">
        <v>20</v>
      </c>
    </row>
    <row r="16" customHeight="1" spans="1:4">
      <c r="A16" s="26">
        <v>1476</v>
      </c>
      <c r="B16" s="26">
        <v>1167</v>
      </c>
      <c r="C16" s="26">
        <v>1476</v>
      </c>
      <c r="D16" s="26">
        <v>20</v>
      </c>
    </row>
    <row r="17" ht="23.25" customHeight="1" spans="1:4">
      <c r="A17" s="26">
        <v>1477</v>
      </c>
      <c r="B17" s="26">
        <v>1289</v>
      </c>
      <c r="C17" s="26">
        <v>1477</v>
      </c>
      <c r="D17" s="26">
        <v>20</v>
      </c>
    </row>
    <row r="18" ht="23.25" customHeight="1" spans="1:4">
      <c r="A18" s="26">
        <v>1478</v>
      </c>
      <c r="B18" s="26">
        <v>1289</v>
      </c>
      <c r="C18" s="26">
        <v>1478</v>
      </c>
      <c r="D18" s="26">
        <v>20</v>
      </c>
    </row>
    <row r="19" customHeight="1" spans="1:4">
      <c r="A19" s="26">
        <v>1479</v>
      </c>
      <c r="B19" s="26">
        <v>1290</v>
      </c>
      <c r="C19" s="26">
        <v>1479</v>
      </c>
      <c r="D19" s="26">
        <v>20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W53"/>
  <sheetViews>
    <sheetView showGridLines="0" workbookViewId="0">
      <pane xSplit="1" topLeftCell="I1" activePane="topRight" state="frozen"/>
      <selection/>
      <selection pane="topRight" activeCell="A16" sqref="$A16:$XFD16"/>
    </sheetView>
  </sheetViews>
  <sheetFormatPr defaultColWidth="9" defaultRowHeight="15.2"/>
  <cols>
    <col min="1" max="1" width="9.26315789473684" customWidth="1"/>
    <col min="2" max="2" width="9.40131578947368" customWidth="1"/>
    <col min="3" max="3" width="7.59868421052632" customWidth="1"/>
    <col min="4" max="4" width="9.40131578947368" customWidth="1"/>
    <col min="5" max="5" width="7.59868421052632" customWidth="1"/>
    <col min="6" max="6" width="9.40131578947368" customWidth="1"/>
    <col min="7" max="7" width="7.59868421052632" customWidth="1"/>
    <col min="8" max="8" width="11.0986842105263" customWidth="1"/>
    <col min="9" max="9" width="22.0986842105263" customWidth="1"/>
    <col min="10" max="10" width="7.59868421052632" customWidth="1"/>
    <col min="11" max="11" width="16.4013157894737" customWidth="1"/>
    <col min="12" max="12" width="7.59868421052632" customWidth="1"/>
    <col min="13" max="13" width="5.69736842105263" customWidth="1"/>
    <col min="14" max="14" width="16.4013157894737" customWidth="1"/>
    <col min="15" max="15" width="7.59868421052632" customWidth="1"/>
    <col min="16" max="16" width="5.69736842105263" customWidth="1"/>
    <col min="17" max="17" width="16.4013157894737" customWidth="1"/>
    <col min="18" max="18" width="7.59868421052632" customWidth="1"/>
    <col min="19" max="19" width="5.69736842105263" customWidth="1"/>
    <col min="21" max="21" width="12.4013157894737" customWidth="1"/>
    <col min="22" max="22" width="16.0986842105263" customWidth="1"/>
  </cols>
  <sheetData>
    <row r="1" ht="23.1" customHeight="1" spans="1:23">
      <c r="A1" s="14" t="s">
        <v>801</v>
      </c>
      <c r="B1" s="14" t="s">
        <v>795</v>
      </c>
      <c r="C1" s="14" t="s">
        <v>802</v>
      </c>
      <c r="D1" s="14" t="s">
        <v>795</v>
      </c>
      <c r="E1" s="14" t="s">
        <v>802</v>
      </c>
      <c r="F1" s="14" t="s">
        <v>795</v>
      </c>
      <c r="G1" s="14" t="s">
        <v>802</v>
      </c>
      <c r="H1" s="14" t="s">
        <v>803</v>
      </c>
      <c r="I1" s="14" t="s">
        <v>795</v>
      </c>
      <c r="J1" s="14" t="s">
        <v>802</v>
      </c>
      <c r="K1" s="17" t="s">
        <v>795</v>
      </c>
      <c r="L1" s="14" t="s">
        <v>802</v>
      </c>
      <c r="M1" s="14" t="s">
        <v>804</v>
      </c>
      <c r="N1" s="19" t="s">
        <v>795</v>
      </c>
      <c r="O1" s="14" t="s">
        <v>802</v>
      </c>
      <c r="P1" s="14" t="s">
        <v>804</v>
      </c>
      <c r="Q1" s="21" t="s">
        <v>795</v>
      </c>
      <c r="R1" s="14" t="s">
        <v>802</v>
      </c>
      <c r="S1" s="14" t="s">
        <v>804</v>
      </c>
      <c r="T1" s="14" t="s">
        <v>805</v>
      </c>
      <c r="U1" s="14" t="s">
        <v>806</v>
      </c>
      <c r="V1" s="14" t="s">
        <v>807</v>
      </c>
      <c r="W1" t="s">
        <v>808</v>
      </c>
    </row>
    <row r="2" ht="35.1" customHeight="1" spans="1:23">
      <c r="A2" s="14" t="s">
        <v>15</v>
      </c>
      <c r="B2" s="14" t="s">
        <v>15</v>
      </c>
      <c r="C2" s="14" t="s">
        <v>15</v>
      </c>
      <c r="D2" s="14" t="s">
        <v>15</v>
      </c>
      <c r="E2" s="14" t="s">
        <v>15</v>
      </c>
      <c r="F2" s="14" t="s">
        <v>15</v>
      </c>
      <c r="G2" s="14" t="s">
        <v>15</v>
      </c>
      <c r="H2" s="14" t="s">
        <v>15</v>
      </c>
      <c r="I2" s="14" t="s">
        <v>15</v>
      </c>
      <c r="J2" s="14" t="s">
        <v>15</v>
      </c>
      <c r="K2" s="17" t="s">
        <v>15</v>
      </c>
      <c r="L2" s="14" t="s">
        <v>15</v>
      </c>
      <c r="M2" s="14" t="s">
        <v>15</v>
      </c>
      <c r="N2" s="19" t="s">
        <v>15</v>
      </c>
      <c r="O2" s="14" t="s">
        <v>15</v>
      </c>
      <c r="P2" s="14" t="s">
        <v>15</v>
      </c>
      <c r="Q2" s="21" t="s">
        <v>15</v>
      </c>
      <c r="R2" s="14" t="s">
        <v>15</v>
      </c>
      <c r="S2" s="14" t="s">
        <v>15</v>
      </c>
      <c r="T2" s="16" t="s">
        <v>173</v>
      </c>
      <c r="U2" s="14" t="s">
        <v>15</v>
      </c>
      <c r="V2" s="14" t="s">
        <v>173</v>
      </c>
      <c r="W2" t="s">
        <v>15</v>
      </c>
    </row>
    <row r="3" ht="33.95" customHeight="1" spans="1:23">
      <c r="A3" s="15" t="s">
        <v>809</v>
      </c>
      <c r="B3" s="14" t="s">
        <v>810</v>
      </c>
      <c r="C3" s="14" t="s">
        <v>811</v>
      </c>
      <c r="D3" s="14" t="s">
        <v>810</v>
      </c>
      <c r="E3" s="14" t="s">
        <v>811</v>
      </c>
      <c r="F3" s="16" t="s">
        <v>812</v>
      </c>
      <c r="G3" s="14" t="s">
        <v>811</v>
      </c>
      <c r="H3" s="16" t="s">
        <v>813</v>
      </c>
      <c r="I3" s="16" t="s">
        <v>814</v>
      </c>
      <c r="J3" s="14" t="s">
        <v>811</v>
      </c>
      <c r="K3" s="18" t="s">
        <v>815</v>
      </c>
      <c r="L3" s="16" t="s">
        <v>816</v>
      </c>
      <c r="M3" s="16" t="s">
        <v>817</v>
      </c>
      <c r="N3" s="20" t="s">
        <v>815</v>
      </c>
      <c r="O3" s="16" t="s">
        <v>816</v>
      </c>
      <c r="P3" s="16" t="s">
        <v>817</v>
      </c>
      <c r="Q3" s="22" t="s">
        <v>815</v>
      </c>
      <c r="R3" s="16" t="s">
        <v>816</v>
      </c>
      <c r="S3" s="16" t="s">
        <v>817</v>
      </c>
      <c r="T3" s="14" t="s">
        <v>818</v>
      </c>
      <c r="U3" s="16" t="s">
        <v>819</v>
      </c>
      <c r="V3" s="16" t="s">
        <v>820</v>
      </c>
      <c r="W3" s="23" t="s">
        <v>821</v>
      </c>
    </row>
    <row r="4" ht="23.1" customHeight="1" spans="1:23">
      <c r="A4" s="5">
        <v>2101</v>
      </c>
      <c r="B4" s="14">
        <v>0</v>
      </c>
      <c r="C4" s="14">
        <v>0</v>
      </c>
      <c r="D4" s="14">
        <v>0</v>
      </c>
      <c r="E4" s="14">
        <v>0</v>
      </c>
      <c r="F4" s="14">
        <v>0</v>
      </c>
      <c r="G4" s="14">
        <v>0</v>
      </c>
      <c r="H4" s="14">
        <v>10000</v>
      </c>
      <c r="I4" s="14">
        <v>0</v>
      </c>
      <c r="J4" s="14">
        <v>0</v>
      </c>
      <c r="K4" s="17">
        <v>0</v>
      </c>
      <c r="L4" s="14">
        <v>0</v>
      </c>
      <c r="M4" s="14">
        <v>0</v>
      </c>
      <c r="N4" s="19">
        <v>0</v>
      </c>
      <c r="O4" s="14">
        <v>0</v>
      </c>
      <c r="P4" s="14">
        <v>0</v>
      </c>
      <c r="Q4" s="21">
        <v>0</v>
      </c>
      <c r="R4" s="14">
        <v>0</v>
      </c>
      <c r="S4" s="14">
        <v>0</v>
      </c>
      <c r="T4" s="14">
        <v>0.22</v>
      </c>
      <c r="U4" s="24">
        <v>1</v>
      </c>
      <c r="V4" s="24">
        <v>0</v>
      </c>
      <c r="W4" s="6">
        <v>1</v>
      </c>
    </row>
    <row r="5" ht="23.1" customHeight="1" spans="1:23">
      <c r="A5" s="5">
        <v>2102</v>
      </c>
      <c r="B5" s="14">
        <v>1137</v>
      </c>
      <c r="C5" s="6">
        <v>1</v>
      </c>
      <c r="D5" s="14">
        <v>0</v>
      </c>
      <c r="E5" s="6">
        <v>0</v>
      </c>
      <c r="F5" s="14">
        <v>0</v>
      </c>
      <c r="G5" s="6">
        <v>0</v>
      </c>
      <c r="H5" s="6">
        <v>10000</v>
      </c>
      <c r="I5" s="14">
        <v>0</v>
      </c>
      <c r="J5" s="14">
        <v>0</v>
      </c>
      <c r="K5" s="17">
        <v>0</v>
      </c>
      <c r="L5" s="14">
        <v>0</v>
      </c>
      <c r="M5" s="14">
        <v>0</v>
      </c>
      <c r="N5" s="19">
        <v>0</v>
      </c>
      <c r="O5" s="14">
        <v>0</v>
      </c>
      <c r="P5" s="14">
        <v>0</v>
      </c>
      <c r="Q5" s="21">
        <v>0</v>
      </c>
      <c r="R5" s="14">
        <v>0</v>
      </c>
      <c r="S5" s="14">
        <v>0</v>
      </c>
      <c r="T5" s="14">
        <v>0.25</v>
      </c>
      <c r="U5" s="24">
        <v>1</v>
      </c>
      <c r="V5" s="24">
        <v>0</v>
      </c>
      <c r="W5" s="6">
        <v>2</v>
      </c>
    </row>
    <row r="6" ht="23.1" customHeight="1" spans="1:23">
      <c r="A6" s="5">
        <v>2103</v>
      </c>
      <c r="B6" s="14">
        <v>1137</v>
      </c>
      <c r="C6" s="6">
        <v>2</v>
      </c>
      <c r="D6" s="14">
        <v>0</v>
      </c>
      <c r="E6" s="6">
        <v>0</v>
      </c>
      <c r="F6" s="14">
        <v>0</v>
      </c>
      <c r="G6" s="6">
        <v>0</v>
      </c>
      <c r="H6" s="6">
        <v>10000</v>
      </c>
      <c r="I6" s="14">
        <v>0</v>
      </c>
      <c r="J6" s="14">
        <v>0</v>
      </c>
      <c r="K6" s="17">
        <v>0</v>
      </c>
      <c r="L6" s="14">
        <v>0</v>
      </c>
      <c r="M6" s="14">
        <v>0</v>
      </c>
      <c r="N6" s="19">
        <v>0</v>
      </c>
      <c r="O6" s="14">
        <v>0</v>
      </c>
      <c r="P6" s="14">
        <v>0</v>
      </c>
      <c r="Q6" s="21">
        <v>0</v>
      </c>
      <c r="R6" s="14">
        <v>0</v>
      </c>
      <c r="S6" s="14">
        <v>0</v>
      </c>
      <c r="T6" s="14">
        <v>0.28</v>
      </c>
      <c r="U6" s="24">
        <v>1</v>
      </c>
      <c r="V6" s="24">
        <v>0</v>
      </c>
      <c r="W6" s="6">
        <v>3</v>
      </c>
    </row>
    <row r="7" ht="23.1" customHeight="1" spans="1:23">
      <c r="A7" s="5">
        <v>2104</v>
      </c>
      <c r="B7" s="14">
        <v>1137</v>
      </c>
      <c r="C7" s="6">
        <v>2</v>
      </c>
      <c r="D7" s="14">
        <v>0</v>
      </c>
      <c r="E7" s="6">
        <v>0</v>
      </c>
      <c r="F7" s="14">
        <v>0</v>
      </c>
      <c r="G7" s="6">
        <v>0</v>
      </c>
      <c r="H7" s="6">
        <v>10000</v>
      </c>
      <c r="I7" s="14">
        <v>0</v>
      </c>
      <c r="J7" s="14">
        <v>0</v>
      </c>
      <c r="K7" s="17">
        <v>0</v>
      </c>
      <c r="L7" s="14">
        <v>0</v>
      </c>
      <c r="M7" s="14">
        <v>0</v>
      </c>
      <c r="N7" s="19">
        <v>0</v>
      </c>
      <c r="O7" s="14">
        <v>0</v>
      </c>
      <c r="P7" s="14">
        <v>0</v>
      </c>
      <c r="Q7" s="21">
        <v>0</v>
      </c>
      <c r="R7" s="14">
        <v>0</v>
      </c>
      <c r="S7" s="14">
        <v>0</v>
      </c>
      <c r="T7" s="14">
        <v>0.31</v>
      </c>
      <c r="U7" s="24">
        <v>1</v>
      </c>
      <c r="V7" s="24">
        <v>0</v>
      </c>
      <c r="W7" s="6">
        <v>4</v>
      </c>
    </row>
    <row r="8" ht="23.1" customHeight="1" spans="1:23">
      <c r="A8" s="5">
        <v>2105</v>
      </c>
      <c r="B8" s="14">
        <v>1137</v>
      </c>
      <c r="C8" s="6">
        <v>3</v>
      </c>
      <c r="D8" s="14">
        <v>0</v>
      </c>
      <c r="E8" s="6">
        <v>0</v>
      </c>
      <c r="F8" s="14">
        <v>0</v>
      </c>
      <c r="G8" s="6">
        <v>0</v>
      </c>
      <c r="H8" s="6">
        <v>10000</v>
      </c>
      <c r="I8" s="14">
        <v>0</v>
      </c>
      <c r="J8" s="14">
        <v>0</v>
      </c>
      <c r="K8" s="17">
        <v>0</v>
      </c>
      <c r="L8" s="14">
        <v>0</v>
      </c>
      <c r="M8" s="14">
        <v>0</v>
      </c>
      <c r="N8" s="19">
        <v>0</v>
      </c>
      <c r="O8" s="14">
        <v>0</v>
      </c>
      <c r="P8" s="14">
        <v>0</v>
      </c>
      <c r="Q8" s="21">
        <v>0</v>
      </c>
      <c r="R8" s="14">
        <v>0</v>
      </c>
      <c r="S8" s="14">
        <v>0</v>
      </c>
      <c r="T8" s="14">
        <v>0.333334</v>
      </c>
      <c r="U8" s="25">
        <v>10</v>
      </c>
      <c r="V8" s="24">
        <v>0</v>
      </c>
      <c r="W8" s="6">
        <v>5</v>
      </c>
    </row>
    <row r="9" ht="23.1" customHeight="1" spans="1:23">
      <c r="A9" s="5">
        <v>2106</v>
      </c>
      <c r="B9" s="14">
        <v>1137</v>
      </c>
      <c r="C9" s="6">
        <v>5</v>
      </c>
      <c r="D9" s="14">
        <v>0</v>
      </c>
      <c r="E9" s="6">
        <v>0</v>
      </c>
      <c r="F9" s="14">
        <v>0</v>
      </c>
      <c r="G9" s="6">
        <v>0</v>
      </c>
      <c r="H9" s="6">
        <v>10000</v>
      </c>
      <c r="I9" s="14">
        <v>0</v>
      </c>
      <c r="J9" s="14">
        <v>0</v>
      </c>
      <c r="K9" s="17">
        <v>0</v>
      </c>
      <c r="L9" s="14">
        <v>0</v>
      </c>
      <c r="M9" s="14">
        <v>0</v>
      </c>
      <c r="N9" s="19">
        <v>0</v>
      </c>
      <c r="O9" s="14">
        <v>0</v>
      </c>
      <c r="P9" s="14">
        <v>0</v>
      </c>
      <c r="Q9" s="21">
        <v>0</v>
      </c>
      <c r="R9" s="14">
        <v>0</v>
      </c>
      <c r="S9" s="14">
        <v>0</v>
      </c>
      <c r="T9" s="14">
        <v>0.333334</v>
      </c>
      <c r="U9" s="24">
        <v>10</v>
      </c>
      <c r="V9" s="24">
        <v>0</v>
      </c>
      <c r="W9" s="6">
        <v>6</v>
      </c>
    </row>
    <row r="10" ht="23.1" customHeight="1" spans="1:23">
      <c r="A10" s="5">
        <v>2107</v>
      </c>
      <c r="B10" s="14">
        <v>1137</v>
      </c>
      <c r="C10" s="6">
        <v>5</v>
      </c>
      <c r="D10" s="14">
        <v>0</v>
      </c>
      <c r="E10" s="6">
        <v>0</v>
      </c>
      <c r="F10" s="14">
        <v>0</v>
      </c>
      <c r="G10" s="6">
        <v>0</v>
      </c>
      <c r="H10" s="6">
        <v>10000</v>
      </c>
      <c r="I10" s="14">
        <v>0</v>
      </c>
      <c r="J10" s="14">
        <v>0</v>
      </c>
      <c r="K10" s="17">
        <v>0</v>
      </c>
      <c r="L10" s="14">
        <v>0</v>
      </c>
      <c r="M10" s="14">
        <v>0</v>
      </c>
      <c r="N10" s="19">
        <v>0</v>
      </c>
      <c r="O10" s="14">
        <v>0</v>
      </c>
      <c r="P10" s="14">
        <v>0</v>
      </c>
      <c r="Q10" s="21">
        <v>0</v>
      </c>
      <c r="R10" s="14">
        <v>0</v>
      </c>
      <c r="S10" s="14">
        <v>0</v>
      </c>
      <c r="T10" s="14">
        <v>0.333334</v>
      </c>
      <c r="U10" s="24">
        <v>10</v>
      </c>
      <c r="V10" s="24">
        <v>0</v>
      </c>
      <c r="W10" s="6">
        <v>7</v>
      </c>
    </row>
    <row r="11" ht="23.1" customHeight="1" spans="1:23">
      <c r="A11" s="5">
        <v>2108</v>
      </c>
      <c r="B11" s="14">
        <v>1137</v>
      </c>
      <c r="C11" s="6">
        <v>5</v>
      </c>
      <c r="D11" s="14">
        <v>0</v>
      </c>
      <c r="E11" s="6">
        <v>0</v>
      </c>
      <c r="F11" s="14">
        <v>0</v>
      </c>
      <c r="G11" s="6">
        <v>0</v>
      </c>
      <c r="H11" s="6">
        <v>10000</v>
      </c>
      <c r="I11" s="14">
        <v>0</v>
      </c>
      <c r="J11" s="14">
        <v>0</v>
      </c>
      <c r="K11" s="17">
        <v>0</v>
      </c>
      <c r="L11" s="14">
        <v>0</v>
      </c>
      <c r="M11" s="14">
        <v>0</v>
      </c>
      <c r="N11" s="19">
        <v>0</v>
      </c>
      <c r="O11" s="14">
        <v>0</v>
      </c>
      <c r="P11" s="14">
        <v>0</v>
      </c>
      <c r="Q11" s="21">
        <v>0</v>
      </c>
      <c r="R11" s="14">
        <v>0</v>
      </c>
      <c r="S11" s="14">
        <v>0</v>
      </c>
      <c r="T11" s="14">
        <v>0.333334</v>
      </c>
      <c r="U11" s="24">
        <v>10</v>
      </c>
      <c r="V11" s="24">
        <v>0</v>
      </c>
      <c r="W11" s="6">
        <v>8</v>
      </c>
    </row>
    <row r="12" ht="23.1" customHeight="1" spans="1:23">
      <c r="A12" s="5">
        <v>2109</v>
      </c>
      <c r="B12" s="14">
        <v>1137</v>
      </c>
      <c r="C12" s="6">
        <v>5</v>
      </c>
      <c r="D12" s="14">
        <v>0</v>
      </c>
      <c r="E12" s="6">
        <v>0</v>
      </c>
      <c r="F12" s="14">
        <v>0</v>
      </c>
      <c r="G12" s="6">
        <v>0</v>
      </c>
      <c r="H12" s="6">
        <v>10000</v>
      </c>
      <c r="I12" s="14">
        <v>0</v>
      </c>
      <c r="J12" s="14">
        <v>0</v>
      </c>
      <c r="K12" s="17">
        <v>0</v>
      </c>
      <c r="L12" s="14">
        <v>0</v>
      </c>
      <c r="M12" s="14">
        <v>0</v>
      </c>
      <c r="N12" s="19">
        <v>0</v>
      </c>
      <c r="O12" s="14">
        <v>0</v>
      </c>
      <c r="P12" s="14">
        <v>0</v>
      </c>
      <c r="Q12" s="21">
        <v>0</v>
      </c>
      <c r="R12" s="14">
        <v>0</v>
      </c>
      <c r="S12" s="14">
        <v>0</v>
      </c>
      <c r="T12" s="14">
        <v>0.333334</v>
      </c>
      <c r="U12" s="24">
        <v>10</v>
      </c>
      <c r="V12" s="24">
        <v>0</v>
      </c>
      <c r="W12" s="6">
        <v>9</v>
      </c>
    </row>
    <row r="13" ht="23.1" customHeight="1" spans="1:23">
      <c r="A13" s="5">
        <v>2110</v>
      </c>
      <c r="B13" s="14">
        <v>1137</v>
      </c>
      <c r="C13" s="6">
        <v>7</v>
      </c>
      <c r="D13" s="14">
        <v>0</v>
      </c>
      <c r="E13" s="6">
        <v>0</v>
      </c>
      <c r="F13" s="14">
        <v>0</v>
      </c>
      <c r="G13" s="6">
        <v>0</v>
      </c>
      <c r="H13" s="6">
        <v>10000</v>
      </c>
      <c r="I13" s="14">
        <v>0</v>
      </c>
      <c r="J13" s="14">
        <v>0</v>
      </c>
      <c r="K13" s="17">
        <v>0</v>
      </c>
      <c r="L13" s="14">
        <v>0</v>
      </c>
      <c r="M13" s="14">
        <v>0</v>
      </c>
      <c r="N13" s="19">
        <v>0</v>
      </c>
      <c r="O13" s="14">
        <v>0</v>
      </c>
      <c r="P13" s="14">
        <v>0</v>
      </c>
      <c r="Q13" s="21">
        <v>0</v>
      </c>
      <c r="R13" s="14">
        <v>0</v>
      </c>
      <c r="S13" s="14">
        <v>0</v>
      </c>
      <c r="T13" s="14">
        <v>0.333334</v>
      </c>
      <c r="U13" s="24">
        <v>10</v>
      </c>
      <c r="V13" s="24">
        <v>0</v>
      </c>
      <c r="W13" s="6">
        <v>10</v>
      </c>
    </row>
    <row r="14" ht="23.1" customHeight="1" spans="1:23">
      <c r="A14" s="5">
        <v>2111</v>
      </c>
      <c r="B14" s="14">
        <v>1137</v>
      </c>
      <c r="C14" s="6">
        <v>8</v>
      </c>
      <c r="D14" s="14">
        <v>0</v>
      </c>
      <c r="E14" s="6">
        <v>0</v>
      </c>
      <c r="F14" s="14">
        <v>0</v>
      </c>
      <c r="G14" s="6">
        <v>0</v>
      </c>
      <c r="H14" s="6">
        <v>10000</v>
      </c>
      <c r="I14" s="14">
        <v>0</v>
      </c>
      <c r="J14" s="14">
        <v>0</v>
      </c>
      <c r="K14" s="17">
        <v>0</v>
      </c>
      <c r="L14" s="14">
        <v>0</v>
      </c>
      <c r="M14" s="14">
        <v>0</v>
      </c>
      <c r="N14" s="19">
        <v>0</v>
      </c>
      <c r="O14" s="14">
        <v>0</v>
      </c>
      <c r="P14" s="14">
        <v>0</v>
      </c>
      <c r="Q14" s="21">
        <v>0</v>
      </c>
      <c r="R14" s="14">
        <v>0</v>
      </c>
      <c r="S14" s="14">
        <v>0</v>
      </c>
      <c r="T14" s="14">
        <v>0.333334</v>
      </c>
      <c r="U14" s="24">
        <v>10</v>
      </c>
      <c r="V14" s="24">
        <v>0</v>
      </c>
      <c r="W14" s="6">
        <v>15</v>
      </c>
    </row>
    <row r="15" ht="23.1" customHeight="1" spans="1:23">
      <c r="A15" s="5">
        <v>2112</v>
      </c>
      <c r="B15" s="14">
        <v>1137</v>
      </c>
      <c r="C15" s="6">
        <v>8</v>
      </c>
      <c r="D15" s="14">
        <v>0</v>
      </c>
      <c r="E15" s="6">
        <v>0</v>
      </c>
      <c r="F15" s="14">
        <v>0</v>
      </c>
      <c r="G15" s="6">
        <v>0</v>
      </c>
      <c r="H15" s="6">
        <v>10000</v>
      </c>
      <c r="I15" s="14">
        <v>0</v>
      </c>
      <c r="J15" s="14">
        <v>0</v>
      </c>
      <c r="K15" s="17">
        <v>0</v>
      </c>
      <c r="L15" s="14">
        <v>0</v>
      </c>
      <c r="M15" s="14">
        <v>0</v>
      </c>
      <c r="N15" s="19">
        <v>0</v>
      </c>
      <c r="O15" s="14">
        <v>0</v>
      </c>
      <c r="P15" s="14">
        <v>0</v>
      </c>
      <c r="Q15" s="21">
        <v>0</v>
      </c>
      <c r="R15" s="14">
        <v>0</v>
      </c>
      <c r="S15" s="14">
        <v>0</v>
      </c>
      <c r="T15" s="14">
        <v>0.333334</v>
      </c>
      <c r="U15" s="24">
        <v>10</v>
      </c>
      <c r="V15" s="24">
        <v>0</v>
      </c>
      <c r="W15" s="6">
        <v>20</v>
      </c>
    </row>
    <row r="16" ht="23.1" customHeight="1" spans="1:23">
      <c r="A16" s="5">
        <v>2113</v>
      </c>
      <c r="B16" s="14">
        <v>1137</v>
      </c>
      <c r="C16" s="6">
        <v>8</v>
      </c>
      <c r="D16" s="14">
        <v>0</v>
      </c>
      <c r="E16" s="6">
        <v>0</v>
      </c>
      <c r="F16" s="14">
        <v>0</v>
      </c>
      <c r="G16" s="6">
        <v>0</v>
      </c>
      <c r="H16" s="6">
        <v>10000</v>
      </c>
      <c r="I16" s="14">
        <v>0</v>
      </c>
      <c r="J16" s="14">
        <v>0</v>
      </c>
      <c r="K16" s="17">
        <v>0</v>
      </c>
      <c r="L16" s="14">
        <v>0</v>
      </c>
      <c r="M16" s="14">
        <v>0</v>
      </c>
      <c r="N16" s="19">
        <v>0</v>
      </c>
      <c r="O16" s="14">
        <v>0</v>
      </c>
      <c r="P16" s="14">
        <v>0</v>
      </c>
      <c r="Q16" s="21">
        <v>0</v>
      </c>
      <c r="R16" s="14">
        <v>0</v>
      </c>
      <c r="S16" s="14">
        <v>0</v>
      </c>
      <c r="T16" s="14">
        <v>0.333334</v>
      </c>
      <c r="U16" s="24">
        <v>10</v>
      </c>
      <c r="V16" s="24">
        <v>0</v>
      </c>
      <c r="W16" s="6">
        <v>25</v>
      </c>
    </row>
    <row r="17" ht="23.1" customHeight="1" spans="1:23">
      <c r="A17" s="5">
        <v>2114</v>
      </c>
      <c r="B17" s="14">
        <v>1137</v>
      </c>
      <c r="C17" s="6">
        <v>8</v>
      </c>
      <c r="D17" s="14">
        <v>0</v>
      </c>
      <c r="E17" s="6">
        <v>0</v>
      </c>
      <c r="F17" s="14">
        <v>0</v>
      </c>
      <c r="G17" s="6">
        <v>0</v>
      </c>
      <c r="H17" s="6">
        <v>10000</v>
      </c>
      <c r="I17" s="14">
        <v>0</v>
      </c>
      <c r="J17" s="14">
        <v>0</v>
      </c>
      <c r="K17" s="17">
        <v>0</v>
      </c>
      <c r="L17" s="14">
        <v>0</v>
      </c>
      <c r="M17" s="14">
        <v>0</v>
      </c>
      <c r="N17" s="19">
        <v>0</v>
      </c>
      <c r="O17" s="14">
        <v>0</v>
      </c>
      <c r="P17" s="14">
        <v>0</v>
      </c>
      <c r="Q17" s="21">
        <v>0</v>
      </c>
      <c r="R17" s="14">
        <v>0</v>
      </c>
      <c r="S17" s="14">
        <v>0</v>
      </c>
      <c r="T17" s="14">
        <v>0.333334</v>
      </c>
      <c r="U17" s="24">
        <v>10</v>
      </c>
      <c r="V17" s="24">
        <v>0</v>
      </c>
      <c r="W17" s="6">
        <v>30</v>
      </c>
    </row>
    <row r="18" ht="23.1" customHeight="1" spans="1:23">
      <c r="A18" s="5">
        <v>2115</v>
      </c>
      <c r="B18" s="14">
        <v>1137</v>
      </c>
      <c r="C18" s="6">
        <v>10</v>
      </c>
      <c r="D18" s="14">
        <v>0</v>
      </c>
      <c r="E18" s="6">
        <v>0</v>
      </c>
      <c r="F18" s="14">
        <v>0</v>
      </c>
      <c r="G18" s="6">
        <v>0</v>
      </c>
      <c r="H18" s="6">
        <v>10000</v>
      </c>
      <c r="I18" s="14">
        <v>0</v>
      </c>
      <c r="J18" s="14">
        <v>0</v>
      </c>
      <c r="K18" s="17">
        <v>0</v>
      </c>
      <c r="L18" s="14">
        <v>0</v>
      </c>
      <c r="M18" s="14">
        <v>0</v>
      </c>
      <c r="N18" s="19">
        <v>0</v>
      </c>
      <c r="O18" s="14">
        <v>0</v>
      </c>
      <c r="P18" s="14">
        <v>0</v>
      </c>
      <c r="Q18" s="21">
        <v>0</v>
      </c>
      <c r="R18" s="14">
        <v>0</v>
      </c>
      <c r="S18" s="14">
        <v>0</v>
      </c>
      <c r="T18" s="14">
        <v>0.333334</v>
      </c>
      <c r="U18" s="25">
        <v>50</v>
      </c>
      <c r="V18" s="24">
        <v>0</v>
      </c>
      <c r="W18" s="6">
        <v>35</v>
      </c>
    </row>
    <row r="19" ht="23.1" customHeight="1" spans="1:23">
      <c r="A19" s="5">
        <v>2116</v>
      </c>
      <c r="B19" s="14">
        <v>1137</v>
      </c>
      <c r="C19" s="6">
        <v>10</v>
      </c>
      <c r="D19" s="14">
        <v>0</v>
      </c>
      <c r="E19" s="6">
        <v>0</v>
      </c>
      <c r="F19" s="14">
        <v>0</v>
      </c>
      <c r="G19" s="6">
        <v>0</v>
      </c>
      <c r="H19" s="6">
        <v>10000</v>
      </c>
      <c r="I19" s="14">
        <v>0</v>
      </c>
      <c r="J19" s="14">
        <v>0</v>
      </c>
      <c r="K19" s="17">
        <v>0</v>
      </c>
      <c r="L19" s="14">
        <v>0</v>
      </c>
      <c r="M19" s="14">
        <v>0</v>
      </c>
      <c r="N19" s="19">
        <v>0</v>
      </c>
      <c r="O19" s="14">
        <v>0</v>
      </c>
      <c r="P19" s="14">
        <v>0</v>
      </c>
      <c r="Q19" s="21">
        <v>0</v>
      </c>
      <c r="R19" s="14">
        <v>0</v>
      </c>
      <c r="S19" s="14">
        <v>0</v>
      </c>
      <c r="T19" s="14">
        <v>0.333334</v>
      </c>
      <c r="U19" s="24">
        <v>50</v>
      </c>
      <c r="V19" s="24">
        <v>0</v>
      </c>
      <c r="W19" s="6">
        <v>40</v>
      </c>
    </row>
    <row r="20" ht="23.1" customHeight="1" spans="1:23">
      <c r="A20" s="5">
        <v>2117</v>
      </c>
      <c r="B20" s="14">
        <v>1137</v>
      </c>
      <c r="C20" s="6">
        <v>10</v>
      </c>
      <c r="D20" s="14">
        <v>0</v>
      </c>
      <c r="E20" s="6">
        <v>0</v>
      </c>
      <c r="F20" s="14">
        <v>0</v>
      </c>
      <c r="G20" s="6">
        <v>0</v>
      </c>
      <c r="H20" s="6">
        <v>10000</v>
      </c>
      <c r="I20" s="14">
        <v>0</v>
      </c>
      <c r="J20" s="14">
        <v>0</v>
      </c>
      <c r="K20" s="17">
        <v>0</v>
      </c>
      <c r="L20" s="14">
        <v>0</v>
      </c>
      <c r="M20" s="14">
        <v>0</v>
      </c>
      <c r="N20" s="19">
        <v>0</v>
      </c>
      <c r="O20" s="14">
        <v>0</v>
      </c>
      <c r="P20" s="14">
        <v>0</v>
      </c>
      <c r="Q20" s="21">
        <v>0</v>
      </c>
      <c r="R20" s="14">
        <v>0</v>
      </c>
      <c r="S20" s="14">
        <v>0</v>
      </c>
      <c r="T20" s="14">
        <v>0.333334</v>
      </c>
      <c r="U20" s="24">
        <v>50</v>
      </c>
      <c r="V20" s="24">
        <v>0</v>
      </c>
      <c r="W20" s="6">
        <v>45</v>
      </c>
    </row>
    <row r="21" ht="23.1" customHeight="1" spans="1:23">
      <c r="A21" s="5">
        <v>2118</v>
      </c>
      <c r="B21" s="14">
        <v>1137</v>
      </c>
      <c r="C21" s="6">
        <v>10</v>
      </c>
      <c r="D21" s="14">
        <v>0</v>
      </c>
      <c r="E21" s="6">
        <v>0</v>
      </c>
      <c r="F21" s="14">
        <v>0</v>
      </c>
      <c r="G21" s="6">
        <v>0</v>
      </c>
      <c r="H21" s="6">
        <v>10000</v>
      </c>
      <c r="I21" s="14">
        <v>0</v>
      </c>
      <c r="J21" s="14">
        <v>0</v>
      </c>
      <c r="K21" s="17">
        <v>0</v>
      </c>
      <c r="L21" s="14">
        <v>0</v>
      </c>
      <c r="M21" s="14">
        <v>0</v>
      </c>
      <c r="N21" s="19">
        <v>0</v>
      </c>
      <c r="O21" s="14">
        <v>0</v>
      </c>
      <c r="P21" s="14">
        <v>0</v>
      </c>
      <c r="Q21" s="21">
        <v>0</v>
      </c>
      <c r="R21" s="14">
        <v>0</v>
      </c>
      <c r="S21" s="14">
        <v>0</v>
      </c>
      <c r="T21" s="14">
        <v>0.333334</v>
      </c>
      <c r="U21" s="24">
        <v>50</v>
      </c>
      <c r="V21" s="24">
        <v>0</v>
      </c>
      <c r="W21" s="6">
        <v>50</v>
      </c>
    </row>
    <row r="22" ht="23.1" customHeight="1" spans="1:23">
      <c r="A22" s="5">
        <v>2119</v>
      </c>
      <c r="B22" s="14">
        <v>1137</v>
      </c>
      <c r="C22" s="6">
        <v>20</v>
      </c>
      <c r="D22" s="14">
        <v>0</v>
      </c>
      <c r="E22" s="6">
        <v>0</v>
      </c>
      <c r="F22" s="14">
        <v>0</v>
      </c>
      <c r="G22" s="6">
        <v>0</v>
      </c>
      <c r="H22" s="6">
        <v>10000</v>
      </c>
      <c r="I22" s="14">
        <v>0</v>
      </c>
      <c r="J22" s="14">
        <v>0</v>
      </c>
      <c r="K22" s="17">
        <v>0</v>
      </c>
      <c r="L22" s="14">
        <v>0</v>
      </c>
      <c r="M22" s="14">
        <v>0</v>
      </c>
      <c r="N22" s="19">
        <v>0</v>
      </c>
      <c r="O22" s="14">
        <v>0</v>
      </c>
      <c r="P22" s="14">
        <v>0</v>
      </c>
      <c r="Q22" s="21">
        <v>0</v>
      </c>
      <c r="R22" s="14">
        <v>0</v>
      </c>
      <c r="S22" s="14">
        <v>0</v>
      </c>
      <c r="T22" s="14">
        <v>0.333334</v>
      </c>
      <c r="U22" s="24">
        <v>50</v>
      </c>
      <c r="V22" s="24">
        <v>0</v>
      </c>
      <c r="W22" s="6">
        <v>60</v>
      </c>
    </row>
    <row r="23" ht="23.1" customHeight="1" spans="1:23">
      <c r="A23" s="5">
        <v>2120</v>
      </c>
      <c r="B23" s="14">
        <v>1137</v>
      </c>
      <c r="C23" s="6">
        <v>20</v>
      </c>
      <c r="D23" s="14">
        <v>0</v>
      </c>
      <c r="E23" s="6">
        <v>0</v>
      </c>
      <c r="F23" s="14">
        <v>0</v>
      </c>
      <c r="G23" s="6">
        <v>0</v>
      </c>
      <c r="H23" s="6">
        <v>10000</v>
      </c>
      <c r="I23" s="14">
        <v>0</v>
      </c>
      <c r="J23" s="14">
        <v>0</v>
      </c>
      <c r="K23" s="17">
        <v>0</v>
      </c>
      <c r="L23" s="14">
        <v>0</v>
      </c>
      <c r="M23" s="14">
        <v>0</v>
      </c>
      <c r="N23" s="19">
        <v>0</v>
      </c>
      <c r="O23" s="14">
        <v>0</v>
      </c>
      <c r="P23" s="14">
        <v>0</v>
      </c>
      <c r="Q23" s="21">
        <v>0</v>
      </c>
      <c r="R23" s="14">
        <v>0</v>
      </c>
      <c r="S23" s="14">
        <v>0</v>
      </c>
      <c r="T23" s="14">
        <v>0.333334</v>
      </c>
      <c r="U23" s="25">
        <v>100</v>
      </c>
      <c r="V23" s="24">
        <v>0.01</v>
      </c>
      <c r="W23" s="6">
        <v>70</v>
      </c>
    </row>
    <row r="24" ht="23.1" customHeight="1" spans="1:23">
      <c r="A24" s="5">
        <v>2121</v>
      </c>
      <c r="B24" s="14">
        <v>1137</v>
      </c>
      <c r="C24" s="6">
        <v>20</v>
      </c>
      <c r="D24" s="14">
        <v>0</v>
      </c>
      <c r="E24" s="6">
        <v>0</v>
      </c>
      <c r="F24" s="14">
        <v>0</v>
      </c>
      <c r="G24" s="6">
        <v>0</v>
      </c>
      <c r="H24" s="6">
        <v>10000</v>
      </c>
      <c r="I24" s="14">
        <v>0</v>
      </c>
      <c r="J24" s="14">
        <v>0</v>
      </c>
      <c r="K24" s="17">
        <v>0</v>
      </c>
      <c r="L24" s="14">
        <v>0</v>
      </c>
      <c r="M24" s="14">
        <v>0</v>
      </c>
      <c r="N24" s="19">
        <v>0</v>
      </c>
      <c r="O24" s="14">
        <v>0</v>
      </c>
      <c r="P24" s="14">
        <v>0</v>
      </c>
      <c r="Q24" s="21">
        <v>0</v>
      </c>
      <c r="R24" s="14">
        <v>0</v>
      </c>
      <c r="S24" s="14">
        <v>0</v>
      </c>
      <c r="T24" s="14">
        <v>0.333334</v>
      </c>
      <c r="U24" s="24">
        <v>100</v>
      </c>
      <c r="V24" s="24">
        <v>0.01</v>
      </c>
      <c r="W24" s="6">
        <v>80</v>
      </c>
    </row>
    <row r="25" ht="23.1" customHeight="1" spans="1:23">
      <c r="A25" s="5">
        <v>2122</v>
      </c>
      <c r="B25" s="14">
        <v>1137</v>
      </c>
      <c r="C25" s="6">
        <v>20</v>
      </c>
      <c r="D25" s="14">
        <v>0</v>
      </c>
      <c r="E25" s="6">
        <v>0</v>
      </c>
      <c r="F25" s="14">
        <v>0</v>
      </c>
      <c r="G25" s="6">
        <v>0</v>
      </c>
      <c r="H25" s="6">
        <v>10000</v>
      </c>
      <c r="I25" s="14">
        <v>0</v>
      </c>
      <c r="J25" s="14">
        <v>0</v>
      </c>
      <c r="K25" s="17">
        <v>0</v>
      </c>
      <c r="L25" s="14">
        <v>0</v>
      </c>
      <c r="M25" s="14">
        <v>0</v>
      </c>
      <c r="N25" s="19">
        <v>0</v>
      </c>
      <c r="O25" s="14">
        <v>0</v>
      </c>
      <c r="P25" s="14">
        <v>0</v>
      </c>
      <c r="Q25" s="21">
        <v>0</v>
      </c>
      <c r="R25" s="14">
        <v>0</v>
      </c>
      <c r="S25" s="14">
        <v>0</v>
      </c>
      <c r="T25" s="14">
        <v>0.333334</v>
      </c>
      <c r="U25" s="24">
        <v>100</v>
      </c>
      <c r="V25" s="24">
        <v>0.01</v>
      </c>
      <c r="W25" s="6">
        <v>90</v>
      </c>
    </row>
    <row r="26" ht="23.1" customHeight="1" spans="1:23">
      <c r="A26" s="5">
        <v>2123</v>
      </c>
      <c r="B26" s="14">
        <v>1137</v>
      </c>
      <c r="C26" s="6">
        <v>20</v>
      </c>
      <c r="D26" s="14">
        <v>0</v>
      </c>
      <c r="E26" s="6">
        <v>0</v>
      </c>
      <c r="F26" s="14">
        <v>0</v>
      </c>
      <c r="G26" s="6">
        <v>0</v>
      </c>
      <c r="H26" s="6">
        <v>10000</v>
      </c>
      <c r="I26" s="14">
        <v>0</v>
      </c>
      <c r="J26" s="14">
        <v>0</v>
      </c>
      <c r="K26" s="17">
        <v>0</v>
      </c>
      <c r="L26" s="14">
        <v>0</v>
      </c>
      <c r="M26" s="14">
        <v>0</v>
      </c>
      <c r="N26" s="19">
        <v>0</v>
      </c>
      <c r="O26" s="14">
        <v>0</v>
      </c>
      <c r="P26" s="14">
        <v>0</v>
      </c>
      <c r="Q26" s="21">
        <v>0</v>
      </c>
      <c r="R26" s="14">
        <v>0</v>
      </c>
      <c r="S26" s="14">
        <v>0</v>
      </c>
      <c r="T26" s="14">
        <v>0.333334</v>
      </c>
      <c r="U26" s="24">
        <v>100</v>
      </c>
      <c r="V26" s="24">
        <v>0.01</v>
      </c>
      <c r="W26" s="6">
        <v>100</v>
      </c>
    </row>
    <row r="27" ht="23.1" customHeight="1" spans="1:23">
      <c r="A27" s="5">
        <v>2124</v>
      </c>
      <c r="B27" s="14">
        <v>1137</v>
      </c>
      <c r="C27" s="6">
        <v>30</v>
      </c>
      <c r="D27" s="14">
        <v>0</v>
      </c>
      <c r="E27" s="6">
        <v>0</v>
      </c>
      <c r="F27" s="14">
        <v>0</v>
      </c>
      <c r="G27" s="6">
        <v>0</v>
      </c>
      <c r="H27" s="6">
        <v>10000</v>
      </c>
      <c r="I27" s="14">
        <v>0</v>
      </c>
      <c r="J27" s="14">
        <v>0</v>
      </c>
      <c r="K27" s="17">
        <v>0</v>
      </c>
      <c r="L27" s="14">
        <v>0</v>
      </c>
      <c r="M27" s="14">
        <v>0</v>
      </c>
      <c r="N27" s="19">
        <v>0</v>
      </c>
      <c r="O27" s="14">
        <v>0</v>
      </c>
      <c r="P27" s="14">
        <v>0</v>
      </c>
      <c r="Q27" s="21">
        <v>0</v>
      </c>
      <c r="R27" s="14">
        <v>0</v>
      </c>
      <c r="S27" s="14">
        <v>0</v>
      </c>
      <c r="T27" s="14">
        <v>0.333334</v>
      </c>
      <c r="U27" s="24">
        <v>100</v>
      </c>
      <c r="V27" s="24">
        <v>0.01</v>
      </c>
      <c r="W27" s="6">
        <v>150</v>
      </c>
    </row>
    <row r="28" ht="23.1" customHeight="1" spans="1:23">
      <c r="A28" s="5">
        <v>2125</v>
      </c>
      <c r="B28" s="14">
        <v>1137</v>
      </c>
      <c r="C28" s="6">
        <v>40</v>
      </c>
      <c r="D28" s="14">
        <v>0</v>
      </c>
      <c r="E28" s="6">
        <v>0</v>
      </c>
      <c r="F28" s="14">
        <v>0</v>
      </c>
      <c r="G28" s="6">
        <v>0</v>
      </c>
      <c r="H28" s="6">
        <v>10000</v>
      </c>
      <c r="I28" s="14">
        <v>0</v>
      </c>
      <c r="J28" s="14">
        <v>0</v>
      </c>
      <c r="K28" s="17">
        <v>0</v>
      </c>
      <c r="L28" s="14">
        <v>0</v>
      </c>
      <c r="M28" s="14">
        <v>0</v>
      </c>
      <c r="N28" s="19">
        <v>0</v>
      </c>
      <c r="O28" s="14">
        <v>0</v>
      </c>
      <c r="P28" s="14">
        <v>0</v>
      </c>
      <c r="Q28" s="21">
        <v>0</v>
      </c>
      <c r="R28" s="14">
        <v>0</v>
      </c>
      <c r="S28" s="14">
        <v>0</v>
      </c>
      <c r="T28" s="14">
        <v>0.333334</v>
      </c>
      <c r="U28" s="25">
        <v>200</v>
      </c>
      <c r="V28" s="25">
        <v>0.02</v>
      </c>
      <c r="W28" s="6">
        <v>200</v>
      </c>
    </row>
    <row r="29" ht="23.1" customHeight="1" spans="1:23">
      <c r="A29" s="5">
        <v>2126</v>
      </c>
      <c r="B29" s="14">
        <v>1137</v>
      </c>
      <c r="C29" s="6">
        <v>50</v>
      </c>
      <c r="D29" s="14">
        <v>1429</v>
      </c>
      <c r="E29" s="6">
        <v>0</v>
      </c>
      <c r="F29" s="14">
        <v>1430</v>
      </c>
      <c r="G29" s="6">
        <v>0</v>
      </c>
      <c r="H29" s="6">
        <v>10000</v>
      </c>
      <c r="I29" s="14">
        <v>1431</v>
      </c>
      <c r="J29" s="14">
        <v>2</v>
      </c>
      <c r="K29" s="17">
        <v>1431</v>
      </c>
      <c r="L29" s="14">
        <v>1</v>
      </c>
      <c r="M29" s="14">
        <v>3000</v>
      </c>
      <c r="N29" s="19">
        <v>1431</v>
      </c>
      <c r="O29" s="14">
        <v>2</v>
      </c>
      <c r="P29" s="14">
        <v>4000</v>
      </c>
      <c r="Q29" s="21">
        <v>1431</v>
      </c>
      <c r="R29" s="14">
        <v>2</v>
      </c>
      <c r="S29" s="14">
        <v>3000</v>
      </c>
      <c r="T29" s="14">
        <v>0.333334</v>
      </c>
      <c r="U29" s="24">
        <v>200</v>
      </c>
      <c r="V29" s="24">
        <v>0.02</v>
      </c>
      <c r="W29" s="6">
        <v>250</v>
      </c>
    </row>
    <row r="30" ht="23.1" customHeight="1" spans="1:23">
      <c r="A30" s="5">
        <v>2127</v>
      </c>
      <c r="B30" s="14">
        <v>1137</v>
      </c>
      <c r="C30" s="6">
        <v>50</v>
      </c>
      <c r="D30" s="14">
        <v>1429</v>
      </c>
      <c r="E30" s="6">
        <v>0</v>
      </c>
      <c r="F30" s="14">
        <v>1430</v>
      </c>
      <c r="G30" s="6">
        <v>0</v>
      </c>
      <c r="H30" s="6">
        <v>10000</v>
      </c>
      <c r="I30" s="14">
        <v>1431</v>
      </c>
      <c r="J30" s="14">
        <v>3</v>
      </c>
      <c r="K30" s="17">
        <v>1431</v>
      </c>
      <c r="L30" s="14">
        <v>1</v>
      </c>
      <c r="M30" s="14">
        <v>3000</v>
      </c>
      <c r="N30" s="19">
        <v>1431</v>
      </c>
      <c r="O30" s="14">
        <v>2</v>
      </c>
      <c r="P30" s="14">
        <v>4000</v>
      </c>
      <c r="Q30" s="21">
        <v>1431</v>
      </c>
      <c r="R30" s="14">
        <v>3</v>
      </c>
      <c r="S30" s="14">
        <v>3000</v>
      </c>
      <c r="T30" s="14">
        <v>0.333334</v>
      </c>
      <c r="U30" s="24">
        <v>200</v>
      </c>
      <c r="V30" s="24">
        <v>0.02</v>
      </c>
      <c r="W30" s="6">
        <v>300</v>
      </c>
    </row>
    <row r="31" ht="23.1" customHeight="1" spans="1:23">
      <c r="A31" s="5">
        <v>2128</v>
      </c>
      <c r="B31" s="14">
        <v>1137</v>
      </c>
      <c r="C31" s="6">
        <v>70</v>
      </c>
      <c r="D31" s="14">
        <v>1429</v>
      </c>
      <c r="E31" s="6">
        <v>0</v>
      </c>
      <c r="F31" s="14">
        <v>1430</v>
      </c>
      <c r="G31" s="6">
        <v>0</v>
      </c>
      <c r="H31" s="6">
        <v>10000</v>
      </c>
      <c r="I31" s="14">
        <v>1431</v>
      </c>
      <c r="J31" s="14">
        <v>4</v>
      </c>
      <c r="K31" s="17">
        <v>1431</v>
      </c>
      <c r="L31" s="14">
        <v>1</v>
      </c>
      <c r="M31" s="14">
        <v>3000</v>
      </c>
      <c r="N31" s="19">
        <v>1431</v>
      </c>
      <c r="O31" s="14">
        <v>2</v>
      </c>
      <c r="P31" s="14">
        <v>4000</v>
      </c>
      <c r="Q31" s="21">
        <v>1431</v>
      </c>
      <c r="R31" s="14">
        <v>3</v>
      </c>
      <c r="S31" s="14">
        <v>3000</v>
      </c>
      <c r="T31" s="14">
        <v>0.333334</v>
      </c>
      <c r="U31" s="24">
        <v>200</v>
      </c>
      <c r="V31" s="24">
        <v>0.02</v>
      </c>
      <c r="W31" s="6">
        <v>350</v>
      </c>
    </row>
    <row r="32" ht="23.1" customHeight="1" spans="1:23">
      <c r="A32" s="5">
        <v>2129</v>
      </c>
      <c r="B32" s="14">
        <v>1137</v>
      </c>
      <c r="C32" s="6">
        <v>80</v>
      </c>
      <c r="D32" s="14">
        <v>1429</v>
      </c>
      <c r="E32" s="6">
        <v>0</v>
      </c>
      <c r="F32" s="14">
        <v>1430</v>
      </c>
      <c r="G32" s="6">
        <v>0</v>
      </c>
      <c r="H32" s="6">
        <v>10000</v>
      </c>
      <c r="I32" s="14">
        <v>1431</v>
      </c>
      <c r="J32" s="14">
        <v>5</v>
      </c>
      <c r="K32" s="17">
        <v>1431</v>
      </c>
      <c r="L32" s="14">
        <v>1</v>
      </c>
      <c r="M32" s="14">
        <v>3000</v>
      </c>
      <c r="N32" s="19">
        <v>1431</v>
      </c>
      <c r="O32" s="14">
        <v>2</v>
      </c>
      <c r="P32" s="14">
        <v>4000</v>
      </c>
      <c r="Q32" s="21">
        <v>1431</v>
      </c>
      <c r="R32" s="14">
        <v>3</v>
      </c>
      <c r="S32" s="14">
        <v>3000</v>
      </c>
      <c r="T32" s="14">
        <v>0.333334</v>
      </c>
      <c r="U32" s="24">
        <v>200</v>
      </c>
      <c r="V32" s="24">
        <v>0.02</v>
      </c>
      <c r="W32" s="6">
        <v>400</v>
      </c>
    </row>
    <row r="33" ht="23.1" customHeight="1" spans="1:23">
      <c r="A33" s="5">
        <v>2130</v>
      </c>
      <c r="B33" s="14">
        <v>1137</v>
      </c>
      <c r="C33" s="6">
        <v>90</v>
      </c>
      <c r="D33" s="14">
        <v>1429</v>
      </c>
      <c r="E33" s="6">
        <v>0</v>
      </c>
      <c r="F33" s="14">
        <v>1430</v>
      </c>
      <c r="G33" s="6">
        <v>0</v>
      </c>
      <c r="H33" s="6">
        <v>10000</v>
      </c>
      <c r="I33" s="14">
        <v>1431</v>
      </c>
      <c r="J33" s="14">
        <v>10</v>
      </c>
      <c r="K33" s="17">
        <v>1431</v>
      </c>
      <c r="L33" s="14">
        <v>2</v>
      </c>
      <c r="M33" s="14">
        <v>3000</v>
      </c>
      <c r="N33" s="19">
        <v>1431</v>
      </c>
      <c r="O33" s="14">
        <v>3</v>
      </c>
      <c r="P33" s="14">
        <v>4000</v>
      </c>
      <c r="Q33" s="21">
        <v>1431</v>
      </c>
      <c r="R33" s="14">
        <v>4</v>
      </c>
      <c r="S33" s="14">
        <v>3000</v>
      </c>
      <c r="T33" s="14">
        <v>0.333334</v>
      </c>
      <c r="U33" s="25">
        <v>500</v>
      </c>
      <c r="V33" s="24">
        <v>0.05</v>
      </c>
      <c r="W33" s="6">
        <v>450</v>
      </c>
    </row>
    <row r="34" ht="23.1" customHeight="1" spans="1:23">
      <c r="A34" s="5">
        <v>2131</v>
      </c>
      <c r="B34" s="14">
        <v>1137</v>
      </c>
      <c r="C34" s="6">
        <v>100</v>
      </c>
      <c r="D34" s="14">
        <v>1429</v>
      </c>
      <c r="E34" s="6">
        <v>0</v>
      </c>
      <c r="F34" s="14">
        <v>1430</v>
      </c>
      <c r="G34" s="6">
        <v>0</v>
      </c>
      <c r="H34" s="6">
        <v>10000</v>
      </c>
      <c r="I34" s="14">
        <v>1431</v>
      </c>
      <c r="J34" s="14">
        <v>15</v>
      </c>
      <c r="K34" s="17">
        <v>1431</v>
      </c>
      <c r="L34" s="14">
        <v>2</v>
      </c>
      <c r="M34" s="14">
        <v>3000</v>
      </c>
      <c r="N34" s="19">
        <v>1431</v>
      </c>
      <c r="O34" s="14">
        <v>3</v>
      </c>
      <c r="P34" s="14">
        <v>4000</v>
      </c>
      <c r="Q34" s="21">
        <v>1431</v>
      </c>
      <c r="R34" s="14">
        <v>4</v>
      </c>
      <c r="S34" s="14">
        <v>3000</v>
      </c>
      <c r="T34" s="14">
        <v>0.333334</v>
      </c>
      <c r="U34" s="24">
        <v>500</v>
      </c>
      <c r="V34" s="24">
        <v>0.05</v>
      </c>
      <c r="W34" s="6">
        <v>500</v>
      </c>
    </row>
    <row r="35" ht="23.1" customHeight="1" spans="1:23">
      <c r="A35" s="5">
        <v>2132</v>
      </c>
      <c r="B35" s="14">
        <v>1137</v>
      </c>
      <c r="C35" s="6">
        <v>150</v>
      </c>
      <c r="D35" s="14">
        <v>1429</v>
      </c>
      <c r="E35" s="6">
        <v>0</v>
      </c>
      <c r="F35" s="14">
        <v>1430</v>
      </c>
      <c r="G35" s="6">
        <v>0</v>
      </c>
      <c r="H35" s="6">
        <v>10000</v>
      </c>
      <c r="I35" s="14">
        <v>1431</v>
      </c>
      <c r="J35" s="14">
        <v>20</v>
      </c>
      <c r="K35" s="17">
        <v>1431</v>
      </c>
      <c r="L35" s="14">
        <v>2</v>
      </c>
      <c r="M35" s="14">
        <v>3000</v>
      </c>
      <c r="N35" s="19">
        <v>1431</v>
      </c>
      <c r="O35" s="14">
        <v>3</v>
      </c>
      <c r="P35" s="14">
        <v>4000</v>
      </c>
      <c r="Q35" s="21">
        <v>1431</v>
      </c>
      <c r="R35" s="14">
        <v>4</v>
      </c>
      <c r="S35" s="14">
        <v>3000</v>
      </c>
      <c r="T35" s="14">
        <v>0.333334</v>
      </c>
      <c r="U35" s="24">
        <v>500</v>
      </c>
      <c r="V35" s="24">
        <v>0.05</v>
      </c>
      <c r="W35" s="6">
        <v>600</v>
      </c>
    </row>
    <row r="36" ht="23.1" customHeight="1" spans="1:23">
      <c r="A36" s="5">
        <v>2133</v>
      </c>
      <c r="B36" s="14">
        <v>1137</v>
      </c>
      <c r="C36" s="6">
        <v>200</v>
      </c>
      <c r="D36" s="14">
        <v>1429</v>
      </c>
      <c r="E36" s="6">
        <v>0</v>
      </c>
      <c r="F36" s="14">
        <v>1430</v>
      </c>
      <c r="G36" s="6">
        <v>0</v>
      </c>
      <c r="H36" s="6">
        <v>10000</v>
      </c>
      <c r="I36" s="14">
        <v>1431</v>
      </c>
      <c r="J36" s="14">
        <v>30</v>
      </c>
      <c r="K36" s="17">
        <v>1431</v>
      </c>
      <c r="L36" s="14">
        <v>2</v>
      </c>
      <c r="M36" s="14">
        <v>3000</v>
      </c>
      <c r="N36" s="19">
        <v>1431</v>
      </c>
      <c r="O36" s="14">
        <v>3</v>
      </c>
      <c r="P36" s="14">
        <v>4000</v>
      </c>
      <c r="Q36" s="21">
        <v>1431</v>
      </c>
      <c r="R36" s="14">
        <v>4</v>
      </c>
      <c r="S36" s="14">
        <v>3000</v>
      </c>
      <c r="T36" s="14">
        <v>0.333334</v>
      </c>
      <c r="U36" s="24">
        <v>500</v>
      </c>
      <c r="V36" s="24">
        <v>0.05</v>
      </c>
      <c r="W36" s="6">
        <v>700</v>
      </c>
    </row>
    <row r="37" ht="23.1" customHeight="1" spans="1:23">
      <c r="A37" s="5">
        <v>2134</v>
      </c>
      <c r="B37" s="14">
        <v>1137</v>
      </c>
      <c r="C37" s="6">
        <v>250</v>
      </c>
      <c r="D37" s="14">
        <v>1429</v>
      </c>
      <c r="E37" s="6">
        <v>0</v>
      </c>
      <c r="F37" s="14">
        <v>1430</v>
      </c>
      <c r="G37" s="6">
        <v>0</v>
      </c>
      <c r="H37" s="6">
        <v>10000</v>
      </c>
      <c r="I37" s="14">
        <v>1431</v>
      </c>
      <c r="J37" s="14">
        <v>40</v>
      </c>
      <c r="K37" s="17">
        <v>1431</v>
      </c>
      <c r="L37" s="14">
        <v>2</v>
      </c>
      <c r="M37" s="14">
        <v>3000</v>
      </c>
      <c r="N37" s="19">
        <v>1431</v>
      </c>
      <c r="O37" s="14">
        <v>3</v>
      </c>
      <c r="P37" s="14">
        <v>4000</v>
      </c>
      <c r="Q37" s="21">
        <v>1431</v>
      </c>
      <c r="R37" s="14">
        <v>4</v>
      </c>
      <c r="S37" s="14">
        <v>3000</v>
      </c>
      <c r="T37" s="14">
        <v>0.333334</v>
      </c>
      <c r="U37" s="24">
        <v>500</v>
      </c>
      <c r="V37" s="24">
        <v>0.05</v>
      </c>
      <c r="W37" s="6">
        <v>800</v>
      </c>
    </row>
    <row r="38" ht="23.1" customHeight="1" spans="1:23">
      <c r="A38" s="5">
        <v>2135</v>
      </c>
      <c r="B38" s="14">
        <v>1137</v>
      </c>
      <c r="C38" s="6">
        <v>300</v>
      </c>
      <c r="D38" s="14">
        <v>1429</v>
      </c>
      <c r="E38" s="6">
        <v>0</v>
      </c>
      <c r="F38" s="14">
        <v>1430</v>
      </c>
      <c r="G38" s="6">
        <v>0</v>
      </c>
      <c r="H38" s="6">
        <v>10000</v>
      </c>
      <c r="I38" s="14">
        <v>1431</v>
      </c>
      <c r="J38" s="14">
        <v>60</v>
      </c>
      <c r="K38" s="17">
        <v>1431</v>
      </c>
      <c r="L38" s="14">
        <v>3</v>
      </c>
      <c r="M38" s="14">
        <v>3000</v>
      </c>
      <c r="N38" s="19">
        <v>1431</v>
      </c>
      <c r="O38" s="14">
        <v>4</v>
      </c>
      <c r="P38" s="14">
        <v>4000</v>
      </c>
      <c r="Q38" s="21">
        <v>1431</v>
      </c>
      <c r="R38" s="14">
        <v>5</v>
      </c>
      <c r="S38" s="14">
        <v>3000</v>
      </c>
      <c r="T38" s="14">
        <v>0.333334</v>
      </c>
      <c r="U38" s="24">
        <v>500</v>
      </c>
      <c r="V38" s="24">
        <v>0.05</v>
      </c>
      <c r="W38" s="6">
        <v>900</v>
      </c>
    </row>
    <row r="39" ht="23.1" customHeight="1" spans="1:23">
      <c r="A39" s="5">
        <v>2136</v>
      </c>
      <c r="B39" s="14">
        <v>1137</v>
      </c>
      <c r="C39" s="6">
        <v>500</v>
      </c>
      <c r="D39" s="14">
        <v>1429</v>
      </c>
      <c r="E39" s="6">
        <v>0</v>
      </c>
      <c r="F39" s="14">
        <v>1430</v>
      </c>
      <c r="G39" s="6">
        <v>0</v>
      </c>
      <c r="H39" s="6">
        <v>10000</v>
      </c>
      <c r="I39" s="14">
        <v>1431</v>
      </c>
      <c r="J39" s="14">
        <v>80</v>
      </c>
      <c r="K39" s="17">
        <v>1431</v>
      </c>
      <c r="L39" s="14">
        <v>3</v>
      </c>
      <c r="M39" s="14">
        <v>3000</v>
      </c>
      <c r="N39" s="19">
        <v>1431</v>
      </c>
      <c r="O39" s="14">
        <v>4</v>
      </c>
      <c r="P39" s="14">
        <v>4000</v>
      </c>
      <c r="Q39" s="21">
        <v>1431</v>
      </c>
      <c r="R39" s="14">
        <v>5</v>
      </c>
      <c r="S39" s="14">
        <v>3000</v>
      </c>
      <c r="T39" s="14">
        <v>0.333334</v>
      </c>
      <c r="U39" s="24">
        <v>500</v>
      </c>
      <c r="V39" s="24">
        <v>0.05</v>
      </c>
      <c r="W39" s="6">
        <v>1000</v>
      </c>
    </row>
    <row r="40" ht="23.1" customHeight="1" spans="1:23">
      <c r="A40" s="5">
        <v>2137</v>
      </c>
      <c r="B40" s="14">
        <v>1137</v>
      </c>
      <c r="C40" s="6">
        <v>20</v>
      </c>
      <c r="D40" s="14">
        <v>1429</v>
      </c>
      <c r="E40" s="6">
        <v>20</v>
      </c>
      <c r="F40" s="14">
        <v>1430</v>
      </c>
      <c r="G40" s="6">
        <v>20</v>
      </c>
      <c r="H40" s="6">
        <v>4000</v>
      </c>
      <c r="I40" s="14">
        <v>1431</v>
      </c>
      <c r="J40" s="14">
        <v>100</v>
      </c>
      <c r="K40" s="17">
        <v>1431</v>
      </c>
      <c r="L40" s="14">
        <v>3</v>
      </c>
      <c r="M40" s="14">
        <v>3000</v>
      </c>
      <c r="N40" s="19">
        <v>1431</v>
      </c>
      <c r="O40" s="14">
        <v>4</v>
      </c>
      <c r="P40" s="14">
        <v>4000</v>
      </c>
      <c r="Q40" s="21">
        <v>1431</v>
      </c>
      <c r="R40" s="14">
        <v>5</v>
      </c>
      <c r="S40" s="14">
        <v>3000</v>
      </c>
      <c r="T40" s="14">
        <v>0.333334</v>
      </c>
      <c r="U40" s="24">
        <v>500</v>
      </c>
      <c r="V40" s="24">
        <v>0.05</v>
      </c>
      <c r="W40" s="6">
        <v>1500</v>
      </c>
    </row>
    <row r="41" ht="23.1" customHeight="1" spans="1:23">
      <c r="A41" s="5">
        <v>2138</v>
      </c>
      <c r="B41" s="14">
        <v>1137</v>
      </c>
      <c r="C41" s="6">
        <v>30</v>
      </c>
      <c r="D41" s="14">
        <v>1429</v>
      </c>
      <c r="E41" s="6">
        <v>20</v>
      </c>
      <c r="F41" s="14">
        <v>1430</v>
      </c>
      <c r="G41" s="6">
        <v>20</v>
      </c>
      <c r="H41" s="6">
        <v>2500</v>
      </c>
      <c r="I41" s="14">
        <v>1431</v>
      </c>
      <c r="J41" s="14">
        <v>150</v>
      </c>
      <c r="K41" s="17">
        <v>1431</v>
      </c>
      <c r="L41" s="14">
        <v>3</v>
      </c>
      <c r="M41" s="14">
        <v>3000</v>
      </c>
      <c r="N41" s="19">
        <v>1431</v>
      </c>
      <c r="O41" s="14">
        <v>4</v>
      </c>
      <c r="P41" s="14">
        <v>4000</v>
      </c>
      <c r="Q41" s="21">
        <v>1431</v>
      </c>
      <c r="R41" s="14">
        <v>5</v>
      </c>
      <c r="S41" s="14">
        <v>3000</v>
      </c>
      <c r="T41" s="14">
        <v>0.333334</v>
      </c>
      <c r="U41" s="24">
        <v>500</v>
      </c>
      <c r="V41" s="24">
        <v>0.05</v>
      </c>
      <c r="W41" s="6">
        <v>2000</v>
      </c>
    </row>
    <row r="42" ht="23.1" customHeight="1" spans="1:23">
      <c r="A42" s="5">
        <v>2139</v>
      </c>
      <c r="B42" s="14">
        <v>1137</v>
      </c>
      <c r="C42" s="6">
        <v>100</v>
      </c>
      <c r="D42" s="14">
        <v>1429</v>
      </c>
      <c r="E42" s="6">
        <v>20</v>
      </c>
      <c r="F42" s="14">
        <v>1430</v>
      </c>
      <c r="G42" s="6">
        <v>20</v>
      </c>
      <c r="H42" s="6">
        <v>2000</v>
      </c>
      <c r="I42" s="14">
        <v>1431</v>
      </c>
      <c r="J42" s="14">
        <v>200</v>
      </c>
      <c r="K42" s="17">
        <v>1431</v>
      </c>
      <c r="L42" s="14">
        <v>3</v>
      </c>
      <c r="M42" s="14">
        <v>3000</v>
      </c>
      <c r="N42" s="19">
        <v>1431</v>
      </c>
      <c r="O42" s="14">
        <v>4</v>
      </c>
      <c r="P42" s="14">
        <v>4000</v>
      </c>
      <c r="Q42" s="21">
        <v>1431</v>
      </c>
      <c r="R42" s="14">
        <v>5</v>
      </c>
      <c r="S42" s="14">
        <v>3000</v>
      </c>
      <c r="T42" s="14">
        <v>0.333334</v>
      </c>
      <c r="U42" s="24">
        <v>500</v>
      </c>
      <c r="V42" s="24">
        <v>0.05</v>
      </c>
      <c r="W42" s="6">
        <v>2500</v>
      </c>
    </row>
    <row r="43" ht="23.1" customHeight="1" spans="1:23">
      <c r="A43" s="5">
        <v>2140</v>
      </c>
      <c r="B43" s="14">
        <v>1137</v>
      </c>
      <c r="C43" s="6">
        <v>200</v>
      </c>
      <c r="D43" s="14">
        <v>1429</v>
      </c>
      <c r="E43" s="6">
        <v>20</v>
      </c>
      <c r="F43" s="14">
        <v>1430</v>
      </c>
      <c r="G43" s="6">
        <v>20</v>
      </c>
      <c r="H43" s="6">
        <v>1500</v>
      </c>
      <c r="I43" s="14">
        <v>1431</v>
      </c>
      <c r="J43" s="14">
        <v>500</v>
      </c>
      <c r="K43" s="17">
        <v>1431</v>
      </c>
      <c r="L43" s="14">
        <v>4</v>
      </c>
      <c r="M43" s="14">
        <v>3000</v>
      </c>
      <c r="N43" s="19">
        <v>1431</v>
      </c>
      <c r="O43" s="14">
        <v>5</v>
      </c>
      <c r="P43" s="14">
        <v>4000</v>
      </c>
      <c r="Q43" s="21">
        <v>1431</v>
      </c>
      <c r="R43" s="14">
        <v>6</v>
      </c>
      <c r="S43" s="14">
        <v>3000</v>
      </c>
      <c r="T43" s="14">
        <v>0.333334</v>
      </c>
      <c r="U43" s="24">
        <v>500</v>
      </c>
      <c r="V43" s="24">
        <v>0.05</v>
      </c>
      <c r="W43" s="6">
        <v>3000</v>
      </c>
    </row>
    <row r="44" ht="17.6" spans="1:23">
      <c r="A44" s="5">
        <v>2141</v>
      </c>
      <c r="B44" s="14">
        <v>1137</v>
      </c>
      <c r="C44" s="6">
        <v>300</v>
      </c>
      <c r="D44" s="14">
        <v>1429</v>
      </c>
      <c r="E44" s="6">
        <v>20</v>
      </c>
      <c r="F44" s="14">
        <v>1430</v>
      </c>
      <c r="G44" s="6">
        <v>20</v>
      </c>
      <c r="H44" s="6">
        <v>1000</v>
      </c>
      <c r="I44" s="14">
        <v>1431</v>
      </c>
      <c r="J44" s="14">
        <v>500</v>
      </c>
      <c r="K44" s="17">
        <v>1431</v>
      </c>
      <c r="L44" s="14">
        <v>4</v>
      </c>
      <c r="M44" s="14">
        <v>3000</v>
      </c>
      <c r="N44" s="19">
        <v>1431</v>
      </c>
      <c r="O44" s="14">
        <v>5</v>
      </c>
      <c r="P44" s="14">
        <v>4000</v>
      </c>
      <c r="Q44" s="21">
        <v>1431</v>
      </c>
      <c r="R44" s="14">
        <v>6</v>
      </c>
      <c r="S44" s="14">
        <v>3000</v>
      </c>
      <c r="T44" s="14">
        <v>0.333334</v>
      </c>
      <c r="U44" s="24">
        <v>500</v>
      </c>
      <c r="V44" s="24">
        <v>0.05</v>
      </c>
      <c r="W44" s="6">
        <v>3500</v>
      </c>
    </row>
    <row r="45" ht="17.6" spans="1:23">
      <c r="A45" s="5">
        <v>2142</v>
      </c>
      <c r="B45" s="14">
        <v>1137</v>
      </c>
      <c r="C45" s="6">
        <v>300</v>
      </c>
      <c r="D45" s="14">
        <v>1429</v>
      </c>
      <c r="E45" s="6">
        <v>20</v>
      </c>
      <c r="F45" s="14">
        <v>1430</v>
      </c>
      <c r="G45" s="6">
        <v>20</v>
      </c>
      <c r="H45" s="6">
        <v>800</v>
      </c>
      <c r="I45" s="14">
        <v>1431</v>
      </c>
      <c r="J45" s="14">
        <v>500</v>
      </c>
      <c r="K45" s="17">
        <v>1431</v>
      </c>
      <c r="L45" s="14">
        <v>4</v>
      </c>
      <c r="M45" s="14">
        <v>3000</v>
      </c>
      <c r="N45" s="19">
        <v>1431</v>
      </c>
      <c r="O45" s="14">
        <v>5</v>
      </c>
      <c r="P45" s="14">
        <v>4000</v>
      </c>
      <c r="Q45" s="21">
        <v>1431</v>
      </c>
      <c r="R45" s="14">
        <v>6</v>
      </c>
      <c r="S45" s="14">
        <v>3000</v>
      </c>
      <c r="T45" s="14">
        <v>0.333334</v>
      </c>
      <c r="U45" s="24">
        <v>500</v>
      </c>
      <c r="V45" s="24">
        <v>0.05</v>
      </c>
      <c r="W45" s="6">
        <v>4000</v>
      </c>
    </row>
    <row r="46" ht="17.6" spans="1:23">
      <c r="A46" s="5">
        <v>2143</v>
      </c>
      <c r="B46" s="14">
        <v>1137</v>
      </c>
      <c r="C46" s="6">
        <v>350</v>
      </c>
      <c r="D46" s="14">
        <v>1429</v>
      </c>
      <c r="E46" s="6">
        <v>20</v>
      </c>
      <c r="F46" s="14">
        <v>1430</v>
      </c>
      <c r="G46" s="6">
        <v>20</v>
      </c>
      <c r="H46" s="6">
        <v>700</v>
      </c>
      <c r="I46" s="14">
        <v>1431</v>
      </c>
      <c r="J46" s="14">
        <v>500</v>
      </c>
      <c r="K46" s="17">
        <v>1431</v>
      </c>
      <c r="L46" s="14">
        <v>4</v>
      </c>
      <c r="M46" s="14">
        <v>3000</v>
      </c>
      <c r="N46" s="19">
        <v>1431</v>
      </c>
      <c r="O46" s="14">
        <v>5</v>
      </c>
      <c r="P46" s="14">
        <v>4000</v>
      </c>
      <c r="Q46" s="21">
        <v>1431</v>
      </c>
      <c r="R46" s="14">
        <v>6</v>
      </c>
      <c r="S46" s="14">
        <v>3000</v>
      </c>
      <c r="T46" s="14">
        <v>0.333334</v>
      </c>
      <c r="U46" s="24">
        <v>500</v>
      </c>
      <c r="V46" s="24">
        <v>0.05</v>
      </c>
      <c r="W46" s="6">
        <v>4500</v>
      </c>
    </row>
    <row r="47" ht="17.6" spans="1:23">
      <c r="A47" s="5">
        <v>2144</v>
      </c>
      <c r="B47" s="14">
        <v>1137</v>
      </c>
      <c r="C47" s="6">
        <v>350</v>
      </c>
      <c r="D47" s="14">
        <v>1429</v>
      </c>
      <c r="E47" s="6">
        <v>20</v>
      </c>
      <c r="F47" s="14">
        <v>1430</v>
      </c>
      <c r="G47" s="6">
        <v>20</v>
      </c>
      <c r="H47" s="6">
        <v>600</v>
      </c>
      <c r="I47" s="14">
        <v>1431</v>
      </c>
      <c r="J47" s="14">
        <v>500</v>
      </c>
      <c r="K47" s="17">
        <v>1431</v>
      </c>
      <c r="L47" s="14">
        <v>4</v>
      </c>
      <c r="M47" s="14">
        <v>3000</v>
      </c>
      <c r="N47" s="19">
        <v>1431</v>
      </c>
      <c r="O47" s="14">
        <v>5</v>
      </c>
      <c r="P47" s="14">
        <v>4000</v>
      </c>
      <c r="Q47" s="21">
        <v>1431</v>
      </c>
      <c r="R47" s="14">
        <v>6</v>
      </c>
      <c r="S47" s="14">
        <v>3000</v>
      </c>
      <c r="T47" s="14">
        <v>0.333334</v>
      </c>
      <c r="U47" s="24">
        <v>500</v>
      </c>
      <c r="V47" s="24">
        <v>0.05</v>
      </c>
      <c r="W47" s="6">
        <v>5000</v>
      </c>
    </row>
    <row r="48" ht="17.6" spans="1:23">
      <c r="A48" s="5">
        <v>2145</v>
      </c>
      <c r="B48" s="14">
        <v>1137</v>
      </c>
      <c r="C48" s="6">
        <v>400</v>
      </c>
      <c r="D48" s="14">
        <v>1429</v>
      </c>
      <c r="E48" s="6">
        <v>20</v>
      </c>
      <c r="F48" s="14">
        <v>1430</v>
      </c>
      <c r="G48" s="6">
        <v>20</v>
      </c>
      <c r="H48" s="6">
        <v>500</v>
      </c>
      <c r="I48" s="14">
        <v>1431</v>
      </c>
      <c r="J48" s="14">
        <v>500</v>
      </c>
      <c r="K48" s="17">
        <v>1431</v>
      </c>
      <c r="L48" s="14">
        <v>4</v>
      </c>
      <c r="M48" s="14">
        <v>3000</v>
      </c>
      <c r="N48" s="19">
        <v>1431</v>
      </c>
      <c r="O48" s="14">
        <v>5</v>
      </c>
      <c r="P48" s="14">
        <v>4000</v>
      </c>
      <c r="Q48" s="21">
        <v>1431</v>
      </c>
      <c r="R48" s="14">
        <v>6</v>
      </c>
      <c r="S48" s="14">
        <v>3000</v>
      </c>
      <c r="T48" s="14">
        <v>0.333334</v>
      </c>
      <c r="U48" s="24">
        <v>500</v>
      </c>
      <c r="V48" s="24">
        <v>0.05</v>
      </c>
      <c r="W48" s="6">
        <v>5500</v>
      </c>
    </row>
    <row r="49" ht="17.6" spans="1:23">
      <c r="A49" s="5">
        <v>2146</v>
      </c>
      <c r="B49" s="14">
        <v>1137</v>
      </c>
      <c r="C49" s="6">
        <v>400</v>
      </c>
      <c r="D49" s="14">
        <v>1429</v>
      </c>
      <c r="E49" s="6">
        <v>20</v>
      </c>
      <c r="F49" s="14">
        <v>1430</v>
      </c>
      <c r="G49" s="6">
        <v>20</v>
      </c>
      <c r="H49" s="6">
        <v>500</v>
      </c>
      <c r="I49" s="14">
        <v>1431</v>
      </c>
      <c r="J49" s="14">
        <v>500</v>
      </c>
      <c r="K49" s="17">
        <v>1431</v>
      </c>
      <c r="L49" s="14">
        <v>4</v>
      </c>
      <c r="M49" s="14">
        <v>3000</v>
      </c>
      <c r="N49" s="19">
        <v>1431</v>
      </c>
      <c r="O49" s="14">
        <v>5</v>
      </c>
      <c r="P49" s="14">
        <v>4000</v>
      </c>
      <c r="Q49" s="21">
        <v>1431</v>
      </c>
      <c r="R49" s="14">
        <v>6</v>
      </c>
      <c r="S49" s="14">
        <v>3000</v>
      </c>
      <c r="T49" s="14">
        <v>0.333334</v>
      </c>
      <c r="U49" s="24">
        <v>500</v>
      </c>
      <c r="V49" s="24">
        <v>0.05</v>
      </c>
      <c r="W49" s="6">
        <v>6000</v>
      </c>
    </row>
    <row r="50" ht="17.6" spans="1:23">
      <c r="A50" s="5">
        <v>2147</v>
      </c>
      <c r="B50" s="14">
        <v>1137</v>
      </c>
      <c r="C50" s="6">
        <v>450</v>
      </c>
      <c r="D50" s="14">
        <v>1429</v>
      </c>
      <c r="E50" s="6">
        <v>20</v>
      </c>
      <c r="F50" s="14">
        <v>1430</v>
      </c>
      <c r="G50" s="6">
        <v>20</v>
      </c>
      <c r="H50" s="6">
        <v>400</v>
      </c>
      <c r="I50" s="14">
        <v>1431</v>
      </c>
      <c r="J50" s="14">
        <v>500</v>
      </c>
      <c r="K50" s="17">
        <v>1431</v>
      </c>
      <c r="L50" s="14">
        <v>4</v>
      </c>
      <c r="M50" s="14">
        <v>3000</v>
      </c>
      <c r="N50" s="19">
        <v>1431</v>
      </c>
      <c r="O50" s="14">
        <v>5</v>
      </c>
      <c r="P50" s="14">
        <v>4000</v>
      </c>
      <c r="Q50" s="21">
        <v>1431</v>
      </c>
      <c r="R50" s="14">
        <v>6</v>
      </c>
      <c r="S50" s="14">
        <v>3000</v>
      </c>
      <c r="T50" s="14">
        <v>0.333334</v>
      </c>
      <c r="U50" s="24">
        <v>500</v>
      </c>
      <c r="V50" s="24">
        <v>0.05</v>
      </c>
      <c r="W50" s="6">
        <v>7000</v>
      </c>
    </row>
    <row r="51" ht="17.6" spans="1:23">
      <c r="A51" s="5">
        <v>2148</v>
      </c>
      <c r="B51" s="14">
        <v>1137</v>
      </c>
      <c r="C51" s="6">
        <v>450</v>
      </c>
      <c r="D51" s="14">
        <v>1429</v>
      </c>
      <c r="E51" s="6">
        <v>20</v>
      </c>
      <c r="F51" s="14">
        <v>1430</v>
      </c>
      <c r="G51" s="6">
        <v>20</v>
      </c>
      <c r="H51" s="6">
        <v>300</v>
      </c>
      <c r="I51" s="14">
        <v>1431</v>
      </c>
      <c r="J51" s="14">
        <v>500</v>
      </c>
      <c r="K51" s="17">
        <v>1431</v>
      </c>
      <c r="L51" s="14">
        <v>4</v>
      </c>
      <c r="M51" s="14">
        <v>3000</v>
      </c>
      <c r="N51" s="19">
        <v>1431</v>
      </c>
      <c r="O51" s="14">
        <v>5</v>
      </c>
      <c r="P51" s="14">
        <v>4000</v>
      </c>
      <c r="Q51" s="21">
        <v>1431</v>
      </c>
      <c r="R51" s="14">
        <v>6</v>
      </c>
      <c r="S51" s="14">
        <v>3000</v>
      </c>
      <c r="T51" s="14">
        <v>0.333334</v>
      </c>
      <c r="U51" s="24">
        <v>500</v>
      </c>
      <c r="V51" s="24">
        <v>0.05</v>
      </c>
      <c r="W51" s="6">
        <v>8000</v>
      </c>
    </row>
    <row r="52" ht="17.6" spans="1:23">
      <c r="A52" s="5">
        <v>2149</v>
      </c>
      <c r="B52" s="14">
        <v>1137</v>
      </c>
      <c r="C52" s="6">
        <v>450</v>
      </c>
      <c r="D52" s="14">
        <v>1429</v>
      </c>
      <c r="E52" s="6">
        <v>20</v>
      </c>
      <c r="F52" s="14">
        <v>1430</v>
      </c>
      <c r="G52" s="6">
        <v>20</v>
      </c>
      <c r="H52" s="6">
        <v>200</v>
      </c>
      <c r="I52" s="14">
        <v>1431</v>
      </c>
      <c r="J52" s="14">
        <v>500</v>
      </c>
      <c r="K52" s="17">
        <v>1431</v>
      </c>
      <c r="L52" s="14">
        <v>4</v>
      </c>
      <c r="M52" s="14">
        <v>3000</v>
      </c>
      <c r="N52" s="19">
        <v>1431</v>
      </c>
      <c r="O52" s="14">
        <v>5</v>
      </c>
      <c r="P52" s="14">
        <v>4000</v>
      </c>
      <c r="Q52" s="21">
        <v>1431</v>
      </c>
      <c r="R52" s="14">
        <v>6</v>
      </c>
      <c r="S52" s="14">
        <v>3000</v>
      </c>
      <c r="T52" s="14">
        <v>0.333334</v>
      </c>
      <c r="U52" s="24">
        <v>500</v>
      </c>
      <c r="V52" s="24">
        <v>0.05</v>
      </c>
      <c r="W52" s="6">
        <v>9000</v>
      </c>
    </row>
    <row r="53" ht="17.6" spans="1:23">
      <c r="A53" s="5">
        <v>2150</v>
      </c>
      <c r="B53" s="14">
        <v>1137</v>
      </c>
      <c r="C53" s="6">
        <v>500</v>
      </c>
      <c r="D53" s="14">
        <v>1429</v>
      </c>
      <c r="E53" s="6">
        <v>20</v>
      </c>
      <c r="F53" s="14">
        <v>1430</v>
      </c>
      <c r="G53" s="6">
        <v>20</v>
      </c>
      <c r="H53" s="6">
        <v>100</v>
      </c>
      <c r="I53" s="14">
        <v>1431</v>
      </c>
      <c r="J53" s="14">
        <v>500</v>
      </c>
      <c r="K53" s="17">
        <v>1431</v>
      </c>
      <c r="L53" s="14">
        <v>4</v>
      </c>
      <c r="M53" s="14">
        <v>3000</v>
      </c>
      <c r="N53" s="19">
        <v>1431</v>
      </c>
      <c r="O53" s="14">
        <v>5</v>
      </c>
      <c r="P53" s="14">
        <v>4000</v>
      </c>
      <c r="Q53" s="21">
        <v>1431</v>
      </c>
      <c r="R53" s="14">
        <v>6</v>
      </c>
      <c r="S53" s="14">
        <v>3000</v>
      </c>
      <c r="T53" s="14">
        <v>0.333334</v>
      </c>
      <c r="U53" s="24">
        <v>500</v>
      </c>
      <c r="V53" s="24">
        <v>0.05</v>
      </c>
      <c r="W53" s="6">
        <v>10000</v>
      </c>
    </row>
  </sheetData>
  <pageMargins left="0.699305555555556" right="0.699305555555556" top="0.75" bottom="0.75" header="0.3" footer="0.3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IV84"/>
  <sheetViews>
    <sheetView showGridLines="0" workbookViewId="0">
      <pane ySplit="3" topLeftCell="A68" activePane="bottomLeft" state="frozen"/>
      <selection/>
      <selection pane="bottomLeft" activeCell="B87" sqref="B87"/>
    </sheetView>
  </sheetViews>
  <sheetFormatPr defaultColWidth="6.625" defaultRowHeight="16.5" customHeight="1"/>
  <cols>
    <col min="1" max="1" width="9.5" style="4" customWidth="1"/>
    <col min="2" max="2" width="25.375" style="4" customWidth="1"/>
    <col min="3" max="3" width="11.125" style="4" customWidth="1"/>
    <col min="4" max="4" width="14" style="4" customWidth="1"/>
    <col min="5" max="5" width="15.125" style="4" customWidth="1"/>
    <col min="6" max="6" width="18.125" style="4" customWidth="1"/>
    <col min="7" max="7" width="11.5" style="4" customWidth="1"/>
    <col min="8" max="8" width="13.125" style="4" customWidth="1"/>
    <col min="9" max="9" width="10.875" style="4" customWidth="1"/>
    <col min="10" max="10" width="13.375" style="4" customWidth="1"/>
    <col min="11" max="11" width="16.375" style="4" customWidth="1"/>
    <col min="12" max="13" width="19" style="4" customWidth="1"/>
    <col min="14" max="256" width="6.625" style="4" customWidth="1"/>
  </cols>
  <sheetData>
    <row r="1" ht="23" customHeight="1" spans="1:13">
      <c r="A1" s="5" t="s">
        <v>155</v>
      </c>
      <c r="B1" s="5" t="s">
        <v>822</v>
      </c>
      <c r="C1" s="5" t="s">
        <v>583</v>
      </c>
      <c r="D1" s="5" t="s">
        <v>823</v>
      </c>
      <c r="E1" s="5" t="s">
        <v>824</v>
      </c>
      <c r="F1" s="5" t="s">
        <v>825</v>
      </c>
      <c r="G1" s="5" t="s">
        <v>826</v>
      </c>
      <c r="H1" s="5" t="s">
        <v>827</v>
      </c>
      <c r="I1" s="5" t="s">
        <v>828</v>
      </c>
      <c r="J1" s="5" t="s">
        <v>829</v>
      </c>
      <c r="K1" s="5" t="s">
        <v>830</v>
      </c>
      <c r="L1" s="5" t="s">
        <v>831</v>
      </c>
      <c r="M1" s="5" t="s">
        <v>832</v>
      </c>
    </row>
    <row r="2" ht="23" customHeight="1" spans="1:13">
      <c r="A2" s="5" t="s">
        <v>15</v>
      </c>
      <c r="B2" s="5" t="s">
        <v>172</v>
      </c>
      <c r="C2" s="5" t="s">
        <v>15</v>
      </c>
      <c r="D2" s="5" t="s">
        <v>15</v>
      </c>
      <c r="E2" s="5" t="s">
        <v>15</v>
      </c>
      <c r="F2" s="5" t="s">
        <v>173</v>
      </c>
      <c r="G2" s="5" t="s">
        <v>173</v>
      </c>
      <c r="H2" s="5" t="s">
        <v>15</v>
      </c>
      <c r="I2" s="5" t="s">
        <v>15</v>
      </c>
      <c r="J2" s="5" t="s">
        <v>172</v>
      </c>
      <c r="K2" s="5" t="s">
        <v>172</v>
      </c>
      <c r="L2" s="5" t="s">
        <v>172</v>
      </c>
      <c r="M2" s="5" t="s">
        <v>173</v>
      </c>
    </row>
    <row r="3" ht="23" customHeight="1" spans="1:13">
      <c r="A3" s="5" t="s">
        <v>833</v>
      </c>
      <c r="B3" s="5" t="s">
        <v>834</v>
      </c>
      <c r="C3" s="5" t="s">
        <v>835</v>
      </c>
      <c r="D3" s="5" t="s">
        <v>589</v>
      </c>
      <c r="E3" s="5" t="s">
        <v>836</v>
      </c>
      <c r="F3" s="8" t="s">
        <v>837</v>
      </c>
      <c r="G3" s="5" t="s">
        <v>838</v>
      </c>
      <c r="H3" s="5" t="s">
        <v>839</v>
      </c>
      <c r="I3" s="5" t="s">
        <v>840</v>
      </c>
      <c r="J3" s="5" t="s">
        <v>841</v>
      </c>
      <c r="K3" s="5" t="s">
        <v>842</v>
      </c>
      <c r="L3" s="5" t="s">
        <v>843</v>
      </c>
      <c r="M3" s="5" t="s">
        <v>844</v>
      </c>
    </row>
    <row r="4" ht="23" customHeight="1" spans="1:13">
      <c r="A4" s="5">
        <v>0</v>
      </c>
      <c r="B4" s="6">
        <v>1</v>
      </c>
      <c r="C4" s="5">
        <v>2101</v>
      </c>
      <c r="D4" s="6">
        <v>1</v>
      </c>
      <c r="E4" s="6">
        <v>1</v>
      </c>
      <c r="F4" s="9">
        <v>0</v>
      </c>
      <c r="G4" s="5">
        <v>0.5</v>
      </c>
      <c r="H4" s="5">
        <v>600</v>
      </c>
      <c r="I4" s="5">
        <v>100</v>
      </c>
      <c r="J4" s="10">
        <v>0</v>
      </c>
      <c r="K4" s="5" t="s">
        <v>845</v>
      </c>
      <c r="L4" s="5">
        <v>0</v>
      </c>
      <c r="M4" s="5">
        <v>1</v>
      </c>
    </row>
    <row r="5" ht="23" customHeight="1" spans="1:13">
      <c r="A5" s="5">
        <v>1</v>
      </c>
      <c r="B5" s="6">
        <v>2</v>
      </c>
      <c r="C5" s="5">
        <v>2102</v>
      </c>
      <c r="D5" s="6">
        <v>2</v>
      </c>
      <c r="E5" s="6">
        <v>1</v>
      </c>
      <c r="F5" s="9">
        <v>0</v>
      </c>
      <c r="G5" s="5">
        <v>0.5</v>
      </c>
      <c r="H5" s="5">
        <v>600</v>
      </c>
      <c r="I5" s="5">
        <v>100</v>
      </c>
      <c r="J5" s="5">
        <v>0</v>
      </c>
      <c r="K5" s="5" t="s">
        <v>845</v>
      </c>
      <c r="L5" s="5">
        <v>0</v>
      </c>
      <c r="M5" s="5">
        <v>1</v>
      </c>
    </row>
    <row r="6" ht="23" customHeight="1" spans="1:13">
      <c r="A6" s="5">
        <v>2</v>
      </c>
      <c r="B6" s="6">
        <v>3</v>
      </c>
      <c r="C6" s="5">
        <v>2103</v>
      </c>
      <c r="D6" s="6">
        <v>3</v>
      </c>
      <c r="E6" s="6">
        <v>1</v>
      </c>
      <c r="F6" s="9">
        <v>0</v>
      </c>
      <c r="G6" s="5">
        <v>0.5</v>
      </c>
      <c r="H6" s="5">
        <v>600</v>
      </c>
      <c r="I6" s="5">
        <v>100</v>
      </c>
      <c r="J6" s="5">
        <v>0</v>
      </c>
      <c r="K6" s="5" t="s">
        <v>845</v>
      </c>
      <c r="L6" s="5">
        <v>0</v>
      </c>
      <c r="M6" s="5">
        <v>1</v>
      </c>
    </row>
    <row r="7" ht="23" customHeight="1" spans="1:13">
      <c r="A7" s="5">
        <v>3</v>
      </c>
      <c r="B7" s="6">
        <v>4</v>
      </c>
      <c r="C7" s="5">
        <v>2104</v>
      </c>
      <c r="D7" s="6">
        <v>4</v>
      </c>
      <c r="E7" s="6">
        <v>1</v>
      </c>
      <c r="F7" s="9">
        <v>0</v>
      </c>
      <c r="G7" s="5">
        <v>0.5</v>
      </c>
      <c r="H7" s="5">
        <v>600</v>
      </c>
      <c r="I7" s="5">
        <v>100</v>
      </c>
      <c r="J7" s="5">
        <v>0</v>
      </c>
      <c r="K7" s="5" t="s">
        <v>845</v>
      </c>
      <c r="L7" s="5">
        <v>0</v>
      </c>
      <c r="M7" s="5">
        <v>1</v>
      </c>
    </row>
    <row r="8" ht="23" customHeight="1" spans="1:13">
      <c r="A8" s="5">
        <v>4</v>
      </c>
      <c r="B8" s="6">
        <v>5</v>
      </c>
      <c r="C8" s="5">
        <v>2105</v>
      </c>
      <c r="D8" s="6">
        <v>5</v>
      </c>
      <c r="E8" s="6">
        <v>1</v>
      </c>
      <c r="F8" s="9">
        <v>0</v>
      </c>
      <c r="G8" s="5">
        <v>0.5</v>
      </c>
      <c r="H8" s="5">
        <v>600</v>
      </c>
      <c r="I8" s="5">
        <v>100</v>
      </c>
      <c r="J8" s="5">
        <v>0</v>
      </c>
      <c r="K8" s="5" t="s">
        <v>845</v>
      </c>
      <c r="L8" s="5">
        <v>0</v>
      </c>
      <c r="M8" s="5">
        <v>1</v>
      </c>
    </row>
    <row r="9" ht="23" customHeight="1" spans="1:13">
      <c r="A9" s="5">
        <v>5</v>
      </c>
      <c r="B9" s="6">
        <v>6</v>
      </c>
      <c r="C9" s="5">
        <v>2106</v>
      </c>
      <c r="D9" s="6">
        <v>6</v>
      </c>
      <c r="E9" s="6">
        <v>1</v>
      </c>
      <c r="F9" s="9">
        <v>0</v>
      </c>
      <c r="G9" s="5">
        <v>0.5</v>
      </c>
      <c r="H9" s="5">
        <v>600</v>
      </c>
      <c r="I9" s="5">
        <v>100</v>
      </c>
      <c r="J9" s="10">
        <v>0</v>
      </c>
      <c r="K9" s="5" t="s">
        <v>845</v>
      </c>
      <c r="L9" s="5">
        <v>0</v>
      </c>
      <c r="M9" s="5">
        <v>1</v>
      </c>
    </row>
    <row r="10" ht="23" customHeight="1" spans="1:13">
      <c r="A10" s="5">
        <v>6</v>
      </c>
      <c r="B10" s="6">
        <v>7</v>
      </c>
      <c r="C10" s="5">
        <v>2107</v>
      </c>
      <c r="D10" s="6">
        <v>7</v>
      </c>
      <c r="E10" s="6">
        <v>1</v>
      </c>
      <c r="F10" s="9">
        <v>0</v>
      </c>
      <c r="G10" s="5">
        <v>0.5</v>
      </c>
      <c r="H10" s="5">
        <v>600</v>
      </c>
      <c r="I10" s="5">
        <v>100</v>
      </c>
      <c r="J10" s="10">
        <v>0</v>
      </c>
      <c r="K10" s="5" t="s">
        <v>845</v>
      </c>
      <c r="L10" s="5">
        <v>0</v>
      </c>
      <c r="M10" s="5">
        <v>1</v>
      </c>
    </row>
    <row r="11" ht="23" customHeight="1" spans="1:13">
      <c r="A11" s="5">
        <v>7</v>
      </c>
      <c r="B11" s="6">
        <v>8</v>
      </c>
      <c r="C11" s="5">
        <v>2108</v>
      </c>
      <c r="D11" s="6">
        <v>8</v>
      </c>
      <c r="E11" s="6">
        <v>1</v>
      </c>
      <c r="F11" s="9">
        <v>0</v>
      </c>
      <c r="G11" s="5">
        <v>0.5</v>
      </c>
      <c r="H11" s="5">
        <v>600</v>
      </c>
      <c r="I11" s="5">
        <v>100</v>
      </c>
      <c r="J11" s="5">
        <v>0</v>
      </c>
      <c r="K11" s="5" t="s">
        <v>845</v>
      </c>
      <c r="L11" s="5">
        <v>0</v>
      </c>
      <c r="M11" s="5">
        <v>1</v>
      </c>
    </row>
    <row r="12" ht="23" customHeight="1" spans="1:13">
      <c r="A12" s="5">
        <v>8</v>
      </c>
      <c r="B12" s="6">
        <v>9</v>
      </c>
      <c r="C12" s="5">
        <v>2109</v>
      </c>
      <c r="D12" s="6">
        <v>9</v>
      </c>
      <c r="E12" s="6">
        <v>1</v>
      </c>
      <c r="F12" s="9">
        <v>0</v>
      </c>
      <c r="G12" s="5">
        <v>0.5</v>
      </c>
      <c r="H12" s="5">
        <v>600</v>
      </c>
      <c r="I12" s="5">
        <v>100</v>
      </c>
      <c r="J12" s="5">
        <v>0</v>
      </c>
      <c r="K12" s="5" t="s">
        <v>845</v>
      </c>
      <c r="L12" s="5">
        <v>0</v>
      </c>
      <c r="M12" s="5">
        <v>1</v>
      </c>
    </row>
    <row r="13" ht="23" customHeight="1" spans="1:13">
      <c r="A13" s="5">
        <v>9</v>
      </c>
      <c r="B13" s="6">
        <v>10</v>
      </c>
      <c r="C13" s="5">
        <v>2110</v>
      </c>
      <c r="D13" s="6">
        <v>10</v>
      </c>
      <c r="E13" s="6">
        <v>1</v>
      </c>
      <c r="F13" s="9">
        <v>0</v>
      </c>
      <c r="G13" s="5">
        <v>0.5</v>
      </c>
      <c r="H13" s="5">
        <v>600</v>
      </c>
      <c r="I13" s="5">
        <v>100</v>
      </c>
      <c r="J13" s="5">
        <v>0</v>
      </c>
      <c r="K13" s="5" t="s">
        <v>845</v>
      </c>
      <c r="L13" s="5">
        <v>0</v>
      </c>
      <c r="M13" s="5">
        <v>1</v>
      </c>
    </row>
    <row r="14" ht="23" customHeight="1" spans="1:13">
      <c r="A14" s="5">
        <v>10</v>
      </c>
      <c r="B14" s="6">
        <v>15</v>
      </c>
      <c r="C14" s="5">
        <v>2111</v>
      </c>
      <c r="D14" s="6">
        <v>15</v>
      </c>
      <c r="E14" s="6">
        <v>1</v>
      </c>
      <c r="F14" s="9">
        <v>0</v>
      </c>
      <c r="G14" s="5">
        <v>0.5</v>
      </c>
      <c r="H14" s="5">
        <v>600</v>
      </c>
      <c r="I14" s="5">
        <v>100</v>
      </c>
      <c r="J14" s="10">
        <v>0</v>
      </c>
      <c r="K14" s="5" t="s">
        <v>845</v>
      </c>
      <c r="L14" s="5">
        <v>0</v>
      </c>
      <c r="M14" s="5">
        <v>1</v>
      </c>
    </row>
    <row r="15" ht="23" customHeight="1" spans="1:13">
      <c r="A15" s="5">
        <v>11</v>
      </c>
      <c r="B15" s="6">
        <v>20</v>
      </c>
      <c r="C15" s="5">
        <v>2112</v>
      </c>
      <c r="D15" s="6">
        <v>20</v>
      </c>
      <c r="E15" s="6">
        <v>1</v>
      </c>
      <c r="F15" s="9">
        <v>0</v>
      </c>
      <c r="G15" s="5">
        <v>0.5</v>
      </c>
      <c r="H15" s="5">
        <v>600</v>
      </c>
      <c r="I15" s="5">
        <v>100</v>
      </c>
      <c r="J15" s="5">
        <v>0</v>
      </c>
      <c r="K15" s="5" t="s">
        <v>845</v>
      </c>
      <c r="L15" s="5">
        <v>0</v>
      </c>
      <c r="M15" s="5">
        <v>1</v>
      </c>
    </row>
    <row r="16" ht="23" customHeight="1" spans="1:13">
      <c r="A16" s="5">
        <v>12</v>
      </c>
      <c r="B16" s="6">
        <v>25</v>
      </c>
      <c r="C16" s="5">
        <v>2113</v>
      </c>
      <c r="D16" s="6">
        <v>25</v>
      </c>
      <c r="E16" s="6">
        <v>1</v>
      </c>
      <c r="F16" s="9">
        <v>0</v>
      </c>
      <c r="G16" s="5">
        <v>0.5</v>
      </c>
      <c r="H16" s="5">
        <v>600</v>
      </c>
      <c r="I16" s="5">
        <v>100</v>
      </c>
      <c r="J16" s="10">
        <v>0</v>
      </c>
      <c r="K16" s="5" t="s">
        <v>845</v>
      </c>
      <c r="L16" s="5">
        <v>0</v>
      </c>
      <c r="M16" s="5">
        <v>1</v>
      </c>
    </row>
    <row r="17" ht="23" customHeight="1" spans="1:13">
      <c r="A17" s="5">
        <v>13</v>
      </c>
      <c r="B17" s="6">
        <v>30</v>
      </c>
      <c r="C17" s="5">
        <v>2114</v>
      </c>
      <c r="D17" s="6">
        <v>30</v>
      </c>
      <c r="E17" s="6">
        <v>1</v>
      </c>
      <c r="F17" s="9">
        <v>0</v>
      </c>
      <c r="G17" s="5">
        <v>0.5</v>
      </c>
      <c r="H17" s="5">
        <v>600</v>
      </c>
      <c r="I17" s="5">
        <v>100</v>
      </c>
      <c r="J17" s="5">
        <v>0</v>
      </c>
      <c r="K17" s="5" t="s">
        <v>845</v>
      </c>
      <c r="L17" s="5">
        <v>0</v>
      </c>
      <c r="M17" s="5">
        <v>1</v>
      </c>
    </row>
    <row r="18" ht="23" customHeight="1" spans="1:13">
      <c r="A18" s="5">
        <v>14</v>
      </c>
      <c r="B18" s="6">
        <v>35</v>
      </c>
      <c r="C18" s="5">
        <v>2115</v>
      </c>
      <c r="D18" s="6">
        <v>35</v>
      </c>
      <c r="E18" s="6">
        <v>1</v>
      </c>
      <c r="F18" s="9">
        <v>0</v>
      </c>
      <c r="G18" s="5">
        <v>0.5</v>
      </c>
      <c r="H18" s="5">
        <v>600</v>
      </c>
      <c r="I18" s="5">
        <v>105</v>
      </c>
      <c r="J18" s="5">
        <v>0</v>
      </c>
      <c r="K18" s="5" t="s">
        <v>845</v>
      </c>
      <c r="L18" s="5">
        <v>0</v>
      </c>
      <c r="M18" s="5">
        <v>1</v>
      </c>
    </row>
    <row r="19" ht="23" customHeight="1" spans="1:13">
      <c r="A19" s="5">
        <v>15</v>
      </c>
      <c r="B19" s="6">
        <v>40</v>
      </c>
      <c r="C19" s="5">
        <v>2116</v>
      </c>
      <c r="D19" s="6">
        <v>40</v>
      </c>
      <c r="E19" s="6">
        <v>1</v>
      </c>
      <c r="F19" s="9">
        <v>0</v>
      </c>
      <c r="G19" s="5">
        <v>0.5</v>
      </c>
      <c r="H19" s="5">
        <v>600</v>
      </c>
      <c r="I19" s="5">
        <v>105</v>
      </c>
      <c r="J19" s="5">
        <v>0</v>
      </c>
      <c r="K19" s="5" t="s">
        <v>845</v>
      </c>
      <c r="L19" s="5">
        <v>0</v>
      </c>
      <c r="M19" s="5">
        <v>1</v>
      </c>
    </row>
    <row r="20" ht="23" customHeight="1" spans="1:13">
      <c r="A20" s="5">
        <v>16</v>
      </c>
      <c r="B20" s="6">
        <v>45</v>
      </c>
      <c r="C20" s="5">
        <v>2117</v>
      </c>
      <c r="D20" s="6">
        <v>45</v>
      </c>
      <c r="E20" s="6">
        <v>1</v>
      </c>
      <c r="F20" s="9">
        <v>0</v>
      </c>
      <c r="G20" s="5">
        <v>0.5</v>
      </c>
      <c r="H20" s="5">
        <v>600</v>
      </c>
      <c r="I20" s="5">
        <v>105</v>
      </c>
      <c r="J20" s="10">
        <v>0</v>
      </c>
      <c r="K20" s="5" t="s">
        <v>845</v>
      </c>
      <c r="L20" s="5">
        <v>0</v>
      </c>
      <c r="M20" s="5">
        <v>1</v>
      </c>
    </row>
    <row r="21" ht="23" customHeight="1" spans="1:13">
      <c r="A21" s="5">
        <v>17</v>
      </c>
      <c r="B21" s="6">
        <v>50</v>
      </c>
      <c r="C21" s="5">
        <v>2118</v>
      </c>
      <c r="D21" s="6">
        <v>50</v>
      </c>
      <c r="E21" s="6">
        <v>1</v>
      </c>
      <c r="F21" s="9">
        <v>0</v>
      </c>
      <c r="G21" s="5">
        <v>0.5</v>
      </c>
      <c r="H21" s="5">
        <v>600</v>
      </c>
      <c r="I21" s="5">
        <v>105</v>
      </c>
      <c r="J21" s="5">
        <v>0</v>
      </c>
      <c r="K21" s="5" t="s">
        <v>845</v>
      </c>
      <c r="L21" s="5">
        <v>0</v>
      </c>
      <c r="M21" s="5">
        <v>1</v>
      </c>
    </row>
    <row r="22" ht="23" customHeight="1" spans="1:13">
      <c r="A22" s="5">
        <v>18</v>
      </c>
      <c r="B22" s="6">
        <v>60</v>
      </c>
      <c r="C22" s="5">
        <v>2119</v>
      </c>
      <c r="D22" s="6">
        <v>60</v>
      </c>
      <c r="E22" s="6">
        <v>1</v>
      </c>
      <c r="F22" s="9">
        <v>0</v>
      </c>
      <c r="G22" s="5">
        <v>0.5</v>
      </c>
      <c r="H22" s="5">
        <v>600</v>
      </c>
      <c r="I22" s="5">
        <v>105</v>
      </c>
      <c r="J22" s="10">
        <v>0</v>
      </c>
      <c r="K22" s="5" t="s">
        <v>845</v>
      </c>
      <c r="L22" s="5">
        <v>0</v>
      </c>
      <c r="M22" s="5">
        <v>1</v>
      </c>
    </row>
    <row r="23" ht="23" customHeight="1" spans="1:13">
      <c r="A23" s="5">
        <v>19</v>
      </c>
      <c r="B23" s="6">
        <v>70</v>
      </c>
      <c r="C23" s="5">
        <v>2120</v>
      </c>
      <c r="D23" s="6">
        <v>70</v>
      </c>
      <c r="E23" s="6">
        <v>1</v>
      </c>
      <c r="F23" s="9">
        <v>0</v>
      </c>
      <c r="G23" s="5">
        <v>0.5</v>
      </c>
      <c r="H23" s="5">
        <v>600</v>
      </c>
      <c r="I23" s="5">
        <v>105</v>
      </c>
      <c r="J23" s="5">
        <v>0</v>
      </c>
      <c r="K23" s="5" t="s">
        <v>845</v>
      </c>
      <c r="L23" s="5">
        <v>0</v>
      </c>
      <c r="M23" s="5">
        <v>1</v>
      </c>
    </row>
    <row r="24" ht="23" customHeight="1" spans="1:13">
      <c r="A24" s="5">
        <v>20</v>
      </c>
      <c r="B24" s="6">
        <v>80</v>
      </c>
      <c r="C24" s="5">
        <v>2121</v>
      </c>
      <c r="D24" s="6">
        <v>80</v>
      </c>
      <c r="E24" s="6">
        <v>1</v>
      </c>
      <c r="F24" s="9">
        <v>0</v>
      </c>
      <c r="G24" s="5">
        <v>0.5</v>
      </c>
      <c r="H24" s="5">
        <v>600</v>
      </c>
      <c r="I24" s="5">
        <v>105</v>
      </c>
      <c r="J24" s="5">
        <v>0</v>
      </c>
      <c r="K24" s="5" t="s">
        <v>845</v>
      </c>
      <c r="L24" s="5">
        <v>0</v>
      </c>
      <c r="M24" s="5">
        <v>1</v>
      </c>
    </row>
    <row r="25" ht="23" customHeight="1" spans="1:13">
      <c r="A25" s="5">
        <v>21</v>
      </c>
      <c r="B25" s="6">
        <v>90</v>
      </c>
      <c r="C25" s="5">
        <v>2122</v>
      </c>
      <c r="D25" s="6">
        <v>90</v>
      </c>
      <c r="E25" s="6">
        <v>1</v>
      </c>
      <c r="F25" s="9">
        <v>0</v>
      </c>
      <c r="G25" s="5">
        <v>0.5</v>
      </c>
      <c r="H25" s="5">
        <v>600</v>
      </c>
      <c r="I25" s="5">
        <v>105</v>
      </c>
      <c r="J25" s="5">
        <v>0</v>
      </c>
      <c r="K25" s="5" t="s">
        <v>845</v>
      </c>
      <c r="L25" s="5">
        <v>0</v>
      </c>
      <c r="M25" s="5">
        <v>1</v>
      </c>
    </row>
    <row r="26" ht="23" customHeight="1" spans="1:13">
      <c r="A26" s="5">
        <v>22</v>
      </c>
      <c r="B26" s="6">
        <v>100</v>
      </c>
      <c r="C26" s="5">
        <v>2123</v>
      </c>
      <c r="D26" s="6">
        <v>100</v>
      </c>
      <c r="E26" s="6">
        <v>1</v>
      </c>
      <c r="F26" s="9">
        <v>0</v>
      </c>
      <c r="G26" s="5">
        <v>0.5</v>
      </c>
      <c r="H26" s="5">
        <v>600</v>
      </c>
      <c r="I26" s="5">
        <v>105</v>
      </c>
      <c r="J26" s="10">
        <v>0</v>
      </c>
      <c r="K26" s="5" t="s">
        <v>845</v>
      </c>
      <c r="L26" s="5">
        <v>0</v>
      </c>
      <c r="M26" s="5">
        <v>1</v>
      </c>
    </row>
    <row r="27" ht="23" customHeight="1" spans="1:13">
      <c r="A27" s="5">
        <v>23</v>
      </c>
      <c r="B27" s="6">
        <v>150</v>
      </c>
      <c r="C27" s="5">
        <v>2124</v>
      </c>
      <c r="D27" s="6">
        <v>150</v>
      </c>
      <c r="E27" s="6">
        <v>1</v>
      </c>
      <c r="F27" s="9">
        <v>0</v>
      </c>
      <c r="G27" s="5">
        <v>0.5</v>
      </c>
      <c r="H27" s="5">
        <v>600</v>
      </c>
      <c r="I27" s="5">
        <v>105</v>
      </c>
      <c r="J27" s="5">
        <v>0</v>
      </c>
      <c r="K27" s="5" t="s">
        <v>845</v>
      </c>
      <c r="L27" s="5">
        <v>0</v>
      </c>
      <c r="M27" s="5">
        <v>1</v>
      </c>
    </row>
    <row r="28" ht="23" customHeight="1" spans="1:13">
      <c r="A28" s="5">
        <v>24</v>
      </c>
      <c r="B28" s="6">
        <v>200</v>
      </c>
      <c r="C28" s="5">
        <v>2125</v>
      </c>
      <c r="D28" s="6">
        <v>200</v>
      </c>
      <c r="E28" s="6">
        <v>1</v>
      </c>
      <c r="F28" s="9">
        <v>0</v>
      </c>
      <c r="G28" s="5">
        <v>0.5</v>
      </c>
      <c r="H28" s="5">
        <v>600</v>
      </c>
      <c r="I28" s="5">
        <v>110</v>
      </c>
      <c r="J28" s="10">
        <v>0</v>
      </c>
      <c r="K28" s="5" t="s">
        <v>845</v>
      </c>
      <c r="L28" s="5">
        <v>0</v>
      </c>
      <c r="M28" s="5">
        <v>1</v>
      </c>
    </row>
    <row r="29" ht="23" customHeight="1" spans="1:13">
      <c r="A29" s="5">
        <v>25</v>
      </c>
      <c r="B29" s="6">
        <v>250</v>
      </c>
      <c r="C29" s="5">
        <v>2126</v>
      </c>
      <c r="D29" s="6">
        <v>250</v>
      </c>
      <c r="E29" s="6">
        <v>1</v>
      </c>
      <c r="F29" s="9">
        <v>0</v>
      </c>
      <c r="G29" s="5">
        <v>0.5</v>
      </c>
      <c r="H29" s="5">
        <v>600</v>
      </c>
      <c r="I29" s="5">
        <v>110</v>
      </c>
      <c r="J29" s="5">
        <v>0</v>
      </c>
      <c r="K29" s="5" t="s">
        <v>845</v>
      </c>
      <c r="L29" s="5">
        <v>0</v>
      </c>
      <c r="M29" s="5">
        <v>1</v>
      </c>
    </row>
    <row r="30" ht="23" customHeight="1" spans="1:13">
      <c r="A30" s="5">
        <v>26</v>
      </c>
      <c r="B30" s="6">
        <v>300</v>
      </c>
      <c r="C30" s="5">
        <v>2127</v>
      </c>
      <c r="D30" s="6">
        <v>300</v>
      </c>
      <c r="E30" s="6">
        <v>1</v>
      </c>
      <c r="F30" s="9">
        <v>0</v>
      </c>
      <c r="G30" s="5">
        <v>0.5</v>
      </c>
      <c r="H30" s="5">
        <v>600</v>
      </c>
      <c r="I30" s="5">
        <v>110</v>
      </c>
      <c r="J30" s="5">
        <v>0</v>
      </c>
      <c r="K30" s="5" t="s">
        <v>845</v>
      </c>
      <c r="L30" s="5">
        <v>0</v>
      </c>
      <c r="M30" s="5">
        <v>1</v>
      </c>
    </row>
    <row r="31" ht="23" customHeight="1" spans="1:13">
      <c r="A31" s="5">
        <v>27</v>
      </c>
      <c r="B31" s="6">
        <v>350</v>
      </c>
      <c r="C31" s="5">
        <v>2128</v>
      </c>
      <c r="D31" s="6">
        <v>350</v>
      </c>
      <c r="E31" s="6">
        <v>1</v>
      </c>
      <c r="F31" s="9">
        <v>0</v>
      </c>
      <c r="G31" s="5">
        <v>0.5</v>
      </c>
      <c r="H31" s="5">
        <v>600</v>
      </c>
      <c r="I31" s="5">
        <v>110</v>
      </c>
      <c r="J31" s="5">
        <v>0</v>
      </c>
      <c r="K31" s="5" t="s">
        <v>845</v>
      </c>
      <c r="L31" s="5">
        <v>0</v>
      </c>
      <c r="M31" s="5">
        <v>1</v>
      </c>
    </row>
    <row r="32" ht="23" customHeight="1" spans="1:13">
      <c r="A32" s="5">
        <v>28</v>
      </c>
      <c r="B32" s="6">
        <v>400</v>
      </c>
      <c r="C32" s="5">
        <v>2129</v>
      </c>
      <c r="D32" s="6">
        <v>400</v>
      </c>
      <c r="E32" s="6">
        <v>1</v>
      </c>
      <c r="F32" s="9">
        <v>0</v>
      </c>
      <c r="G32" s="5">
        <v>0.5</v>
      </c>
      <c r="H32" s="5">
        <v>600</v>
      </c>
      <c r="I32" s="5">
        <v>110</v>
      </c>
      <c r="J32" s="10">
        <v>0</v>
      </c>
      <c r="K32" s="5" t="s">
        <v>845</v>
      </c>
      <c r="L32" s="5">
        <v>0</v>
      </c>
      <c r="M32" s="5">
        <v>1</v>
      </c>
    </row>
    <row r="33" ht="23" customHeight="1" spans="1:13">
      <c r="A33" s="5">
        <v>29</v>
      </c>
      <c r="B33" s="6">
        <v>450</v>
      </c>
      <c r="C33" s="5">
        <v>2130</v>
      </c>
      <c r="D33" s="6">
        <v>450</v>
      </c>
      <c r="E33" s="6">
        <v>1</v>
      </c>
      <c r="F33" s="9">
        <v>0</v>
      </c>
      <c r="G33" s="5">
        <v>0.5</v>
      </c>
      <c r="H33" s="5">
        <v>600</v>
      </c>
      <c r="I33" s="5">
        <v>110</v>
      </c>
      <c r="J33" s="5">
        <v>0</v>
      </c>
      <c r="K33" s="5" t="s">
        <v>845</v>
      </c>
      <c r="L33" s="5">
        <v>0</v>
      </c>
      <c r="M33" s="5">
        <v>1</v>
      </c>
    </row>
    <row r="34" ht="23" customHeight="1" spans="1:13">
      <c r="A34" s="5">
        <v>30</v>
      </c>
      <c r="B34" s="6">
        <v>500</v>
      </c>
      <c r="C34" s="5">
        <v>2131</v>
      </c>
      <c r="D34" s="6">
        <v>500</v>
      </c>
      <c r="E34" s="6">
        <v>1</v>
      </c>
      <c r="F34" s="9">
        <v>0</v>
      </c>
      <c r="G34" s="5">
        <v>0.5</v>
      </c>
      <c r="H34" s="5">
        <v>600</v>
      </c>
      <c r="I34" s="5">
        <v>110</v>
      </c>
      <c r="J34" s="10">
        <v>0</v>
      </c>
      <c r="K34" s="5" t="s">
        <v>845</v>
      </c>
      <c r="L34" s="5">
        <v>0</v>
      </c>
      <c r="M34" s="5">
        <v>1</v>
      </c>
    </row>
    <row r="35" ht="23" customHeight="1" spans="1:13">
      <c r="A35" s="5">
        <v>31</v>
      </c>
      <c r="B35" s="6">
        <v>600</v>
      </c>
      <c r="C35" s="5">
        <v>2132</v>
      </c>
      <c r="D35" s="6">
        <v>600</v>
      </c>
      <c r="E35" s="6">
        <v>1</v>
      </c>
      <c r="F35" s="9">
        <v>0</v>
      </c>
      <c r="G35" s="5">
        <v>0.5</v>
      </c>
      <c r="H35" s="5">
        <v>600</v>
      </c>
      <c r="I35" s="5">
        <v>110</v>
      </c>
      <c r="J35" s="5">
        <v>0</v>
      </c>
      <c r="K35" s="5" t="s">
        <v>845</v>
      </c>
      <c r="L35" s="5">
        <v>0</v>
      </c>
      <c r="M35" s="5">
        <v>1</v>
      </c>
    </row>
    <row r="36" ht="23" customHeight="1" spans="1:13">
      <c r="A36" s="5">
        <v>32</v>
      </c>
      <c r="B36" s="6">
        <v>700</v>
      </c>
      <c r="C36" s="5">
        <v>2133</v>
      </c>
      <c r="D36" s="6">
        <v>700</v>
      </c>
      <c r="E36" s="6">
        <v>1</v>
      </c>
      <c r="F36" s="9">
        <v>0</v>
      </c>
      <c r="G36" s="5">
        <v>0.5</v>
      </c>
      <c r="H36" s="5">
        <v>600</v>
      </c>
      <c r="I36" s="5">
        <v>110</v>
      </c>
      <c r="J36" s="5">
        <v>0</v>
      </c>
      <c r="K36" s="5" t="s">
        <v>845</v>
      </c>
      <c r="L36" s="5">
        <v>0</v>
      </c>
      <c r="M36" s="5">
        <v>1</v>
      </c>
    </row>
    <row r="37" ht="23" customHeight="1" spans="1:13">
      <c r="A37" s="5">
        <v>33</v>
      </c>
      <c r="B37" s="6">
        <v>800</v>
      </c>
      <c r="C37" s="5">
        <v>2134</v>
      </c>
      <c r="D37" s="6">
        <v>800</v>
      </c>
      <c r="E37" s="6">
        <v>1</v>
      </c>
      <c r="F37" s="9">
        <v>0</v>
      </c>
      <c r="G37" s="5">
        <v>0.5</v>
      </c>
      <c r="H37" s="5">
        <v>600</v>
      </c>
      <c r="I37" s="5">
        <v>110</v>
      </c>
      <c r="J37" s="5">
        <v>0</v>
      </c>
      <c r="K37" s="5" t="s">
        <v>845</v>
      </c>
      <c r="L37" s="5">
        <v>0</v>
      </c>
      <c r="M37" s="5">
        <v>1</v>
      </c>
    </row>
    <row r="38" ht="23" customHeight="1" spans="1:13">
      <c r="A38" s="5">
        <v>34</v>
      </c>
      <c r="B38" s="6">
        <v>900</v>
      </c>
      <c r="C38" s="5">
        <v>2135</v>
      </c>
      <c r="D38" s="6">
        <v>900</v>
      </c>
      <c r="E38" s="6">
        <v>1</v>
      </c>
      <c r="F38" s="9">
        <v>0</v>
      </c>
      <c r="G38" s="5">
        <v>0.5</v>
      </c>
      <c r="H38" s="5">
        <v>600</v>
      </c>
      <c r="I38" s="5">
        <v>115</v>
      </c>
      <c r="J38" s="10">
        <v>0</v>
      </c>
      <c r="K38" s="5" t="s">
        <v>845</v>
      </c>
      <c r="L38" s="5">
        <v>0</v>
      </c>
      <c r="M38" s="5">
        <v>1</v>
      </c>
    </row>
    <row r="39" ht="23" customHeight="1" spans="1:13">
      <c r="A39" s="5">
        <v>35</v>
      </c>
      <c r="B39" s="6">
        <v>1000</v>
      </c>
      <c r="C39" s="5">
        <v>2136</v>
      </c>
      <c r="D39" s="6">
        <v>1000</v>
      </c>
      <c r="E39" s="6">
        <v>1</v>
      </c>
      <c r="F39" s="9">
        <v>0</v>
      </c>
      <c r="G39" s="5">
        <v>0.5</v>
      </c>
      <c r="H39" s="5">
        <v>600</v>
      </c>
      <c r="I39" s="5">
        <v>115</v>
      </c>
      <c r="J39" s="5">
        <v>0</v>
      </c>
      <c r="K39" s="5" t="s">
        <v>845</v>
      </c>
      <c r="L39" s="5">
        <v>0</v>
      </c>
      <c r="M39" s="5">
        <v>1</v>
      </c>
    </row>
    <row r="40" ht="23" customHeight="1" spans="1:13">
      <c r="A40" s="5">
        <v>36</v>
      </c>
      <c r="B40" s="6">
        <v>1500</v>
      </c>
      <c r="C40" s="5">
        <v>2137</v>
      </c>
      <c r="D40" s="6">
        <v>1500</v>
      </c>
      <c r="E40" s="6">
        <v>1</v>
      </c>
      <c r="F40" s="9">
        <v>0</v>
      </c>
      <c r="G40" s="5">
        <v>0.5</v>
      </c>
      <c r="H40" s="5">
        <v>600</v>
      </c>
      <c r="I40" s="5">
        <v>115</v>
      </c>
      <c r="J40" s="5">
        <v>0</v>
      </c>
      <c r="K40" s="5" t="s">
        <v>845</v>
      </c>
      <c r="L40" s="5">
        <v>0</v>
      </c>
      <c r="M40" s="5">
        <v>1</v>
      </c>
    </row>
    <row r="41" ht="23" customHeight="1" spans="1:13">
      <c r="A41" s="5">
        <v>37</v>
      </c>
      <c r="B41" s="6">
        <v>2000</v>
      </c>
      <c r="C41" s="5">
        <v>2138</v>
      </c>
      <c r="D41" s="6">
        <v>2000</v>
      </c>
      <c r="E41" s="6">
        <v>1</v>
      </c>
      <c r="F41" s="9">
        <v>0</v>
      </c>
      <c r="G41" s="5">
        <v>0.5</v>
      </c>
      <c r="H41" s="5">
        <v>600</v>
      </c>
      <c r="I41" s="5">
        <v>115</v>
      </c>
      <c r="J41" s="5">
        <v>0</v>
      </c>
      <c r="K41" s="5" t="s">
        <v>845</v>
      </c>
      <c r="L41" s="5">
        <v>0</v>
      </c>
      <c r="M41" s="5">
        <v>1</v>
      </c>
    </row>
    <row r="42" ht="23" customHeight="1" spans="1:13">
      <c r="A42" s="5">
        <v>38</v>
      </c>
      <c r="B42" s="6">
        <v>2500</v>
      </c>
      <c r="C42" s="5">
        <v>2139</v>
      </c>
      <c r="D42" s="6">
        <v>2500</v>
      </c>
      <c r="E42" s="6">
        <v>1</v>
      </c>
      <c r="F42" s="9">
        <v>0</v>
      </c>
      <c r="G42" s="5">
        <v>0.5</v>
      </c>
      <c r="H42" s="5">
        <v>600</v>
      </c>
      <c r="I42" s="5">
        <v>115</v>
      </c>
      <c r="J42" s="5">
        <v>0</v>
      </c>
      <c r="K42" s="5" t="s">
        <v>845</v>
      </c>
      <c r="L42" s="5">
        <v>0</v>
      </c>
      <c r="M42" s="5">
        <v>1</v>
      </c>
    </row>
    <row r="43" ht="23" customHeight="1" spans="1:13">
      <c r="A43" s="5">
        <v>39</v>
      </c>
      <c r="B43" s="6">
        <v>3000</v>
      </c>
      <c r="C43" s="5">
        <v>2140</v>
      </c>
      <c r="D43" s="6">
        <v>3000</v>
      </c>
      <c r="E43" s="6">
        <v>1</v>
      </c>
      <c r="F43" s="9">
        <v>0</v>
      </c>
      <c r="G43" s="5">
        <v>0.5</v>
      </c>
      <c r="H43" s="5">
        <v>600</v>
      </c>
      <c r="I43" s="5">
        <v>115</v>
      </c>
      <c r="J43" s="10">
        <v>0</v>
      </c>
      <c r="K43" s="5" t="s">
        <v>845</v>
      </c>
      <c r="L43" s="5">
        <v>0</v>
      </c>
      <c r="M43" s="5">
        <v>1</v>
      </c>
    </row>
    <row r="44" ht="23" customHeight="1" spans="1:13">
      <c r="A44" s="5">
        <v>40</v>
      </c>
      <c r="B44" s="6">
        <v>3500</v>
      </c>
      <c r="C44" s="5">
        <v>2141</v>
      </c>
      <c r="D44" s="6">
        <v>3500</v>
      </c>
      <c r="E44" s="6">
        <v>1</v>
      </c>
      <c r="F44" s="9">
        <v>0</v>
      </c>
      <c r="G44" s="5">
        <v>0.5</v>
      </c>
      <c r="H44" s="5">
        <v>600</v>
      </c>
      <c r="I44" s="5">
        <v>115</v>
      </c>
      <c r="J44" s="5">
        <v>0</v>
      </c>
      <c r="K44" s="5" t="s">
        <v>845</v>
      </c>
      <c r="L44" s="5">
        <v>0</v>
      </c>
      <c r="M44" s="5">
        <v>1</v>
      </c>
    </row>
    <row r="45" ht="23" customHeight="1" spans="1:13">
      <c r="A45" s="5">
        <v>41</v>
      </c>
      <c r="B45" s="6">
        <v>4000</v>
      </c>
      <c r="C45" s="5">
        <v>2142</v>
      </c>
      <c r="D45" s="6">
        <v>4000</v>
      </c>
      <c r="E45" s="6">
        <v>1</v>
      </c>
      <c r="F45" s="9">
        <v>0</v>
      </c>
      <c r="G45" s="5">
        <v>0.5</v>
      </c>
      <c r="H45" s="5">
        <v>600</v>
      </c>
      <c r="I45" s="5">
        <v>115</v>
      </c>
      <c r="J45" s="5">
        <v>0</v>
      </c>
      <c r="K45" s="5" t="s">
        <v>845</v>
      </c>
      <c r="L45" s="5">
        <v>0</v>
      </c>
      <c r="M45" s="5">
        <v>1</v>
      </c>
    </row>
    <row r="46" ht="23" customHeight="1" spans="1:13">
      <c r="A46" s="5">
        <v>42</v>
      </c>
      <c r="B46" s="6">
        <v>4500</v>
      </c>
      <c r="C46" s="5">
        <v>2143</v>
      </c>
      <c r="D46" s="6">
        <v>4500</v>
      </c>
      <c r="E46" s="6">
        <v>1</v>
      </c>
      <c r="F46" s="9">
        <v>0</v>
      </c>
      <c r="G46" s="5">
        <v>0.5</v>
      </c>
      <c r="H46" s="5">
        <v>600</v>
      </c>
      <c r="I46" s="5">
        <v>115</v>
      </c>
      <c r="J46" s="5">
        <v>0</v>
      </c>
      <c r="K46" s="5" t="s">
        <v>845</v>
      </c>
      <c r="L46" s="5">
        <v>0</v>
      </c>
      <c r="M46" s="5">
        <v>1</v>
      </c>
    </row>
    <row r="47" ht="23" customHeight="1" spans="1:13">
      <c r="A47" s="5">
        <v>43</v>
      </c>
      <c r="B47" s="6">
        <v>5000</v>
      </c>
      <c r="C47" s="5">
        <v>2144</v>
      </c>
      <c r="D47" s="6">
        <v>5000</v>
      </c>
      <c r="E47" s="6">
        <v>1</v>
      </c>
      <c r="F47" s="9">
        <v>0</v>
      </c>
      <c r="G47" s="5">
        <v>0.5</v>
      </c>
      <c r="H47" s="5">
        <v>600</v>
      </c>
      <c r="I47" s="5">
        <v>115</v>
      </c>
      <c r="J47" s="5">
        <v>0</v>
      </c>
      <c r="K47" s="5" t="s">
        <v>845</v>
      </c>
      <c r="L47" s="5">
        <v>0</v>
      </c>
      <c r="M47" s="5">
        <v>1</v>
      </c>
    </row>
    <row r="48" ht="23" customHeight="1" spans="1:13">
      <c r="A48" s="5">
        <v>44</v>
      </c>
      <c r="B48" s="6">
        <v>5500</v>
      </c>
      <c r="C48" s="5">
        <v>2145</v>
      </c>
      <c r="D48" s="6">
        <v>5500</v>
      </c>
      <c r="E48" s="6">
        <v>1</v>
      </c>
      <c r="F48" s="9">
        <v>0</v>
      </c>
      <c r="G48" s="5">
        <v>0.5</v>
      </c>
      <c r="H48" s="5">
        <v>600</v>
      </c>
      <c r="I48" s="5">
        <v>120</v>
      </c>
      <c r="J48" s="10">
        <v>0</v>
      </c>
      <c r="K48" s="5" t="s">
        <v>845</v>
      </c>
      <c r="L48" s="5">
        <v>0</v>
      </c>
      <c r="M48" s="5">
        <v>1</v>
      </c>
    </row>
    <row r="49" ht="23" customHeight="1" spans="1:13">
      <c r="A49" s="5">
        <v>45</v>
      </c>
      <c r="B49" s="6">
        <v>6000</v>
      </c>
      <c r="C49" s="5">
        <v>2146</v>
      </c>
      <c r="D49" s="6">
        <v>6000</v>
      </c>
      <c r="E49" s="6">
        <v>1</v>
      </c>
      <c r="F49" s="9">
        <v>0</v>
      </c>
      <c r="G49" s="5">
        <v>0.5</v>
      </c>
      <c r="H49" s="5">
        <v>600</v>
      </c>
      <c r="I49" s="5">
        <v>120</v>
      </c>
      <c r="J49" s="10">
        <v>0</v>
      </c>
      <c r="K49" s="5" t="s">
        <v>845</v>
      </c>
      <c r="L49" s="5">
        <v>0</v>
      </c>
      <c r="M49" s="5">
        <v>1</v>
      </c>
    </row>
    <row r="50" ht="23" customHeight="1" spans="1:13">
      <c r="A50" s="5">
        <v>46</v>
      </c>
      <c r="B50" s="6">
        <v>7000</v>
      </c>
      <c r="C50" s="5">
        <v>2147</v>
      </c>
      <c r="D50" s="6">
        <v>7000</v>
      </c>
      <c r="E50" s="6">
        <v>1</v>
      </c>
      <c r="F50" s="9">
        <v>0</v>
      </c>
      <c r="G50" s="5">
        <v>0.5</v>
      </c>
      <c r="H50" s="5">
        <v>600</v>
      </c>
      <c r="I50" s="5">
        <v>120</v>
      </c>
      <c r="J50" s="5">
        <v>0</v>
      </c>
      <c r="K50" s="5" t="s">
        <v>845</v>
      </c>
      <c r="L50" s="5">
        <v>0</v>
      </c>
      <c r="M50" s="5">
        <v>1</v>
      </c>
    </row>
    <row r="51" ht="23" customHeight="1" spans="1:13">
      <c r="A51" s="5">
        <v>47</v>
      </c>
      <c r="B51" s="6">
        <v>8000</v>
      </c>
      <c r="C51" s="5">
        <v>2148</v>
      </c>
      <c r="D51" s="6">
        <v>8000</v>
      </c>
      <c r="E51" s="6">
        <v>1</v>
      </c>
      <c r="F51" s="9">
        <v>0</v>
      </c>
      <c r="G51" s="5">
        <v>0.5</v>
      </c>
      <c r="H51" s="5">
        <v>600</v>
      </c>
      <c r="I51" s="5">
        <v>120</v>
      </c>
      <c r="J51" s="5">
        <v>0</v>
      </c>
      <c r="K51" s="5" t="s">
        <v>845</v>
      </c>
      <c r="L51" s="5">
        <v>0</v>
      </c>
      <c r="M51" s="5">
        <v>1</v>
      </c>
    </row>
    <row r="52" ht="23" customHeight="1" spans="1:13">
      <c r="A52" s="5">
        <v>48</v>
      </c>
      <c r="B52" s="6">
        <v>9000</v>
      </c>
      <c r="C52" s="5">
        <v>2149</v>
      </c>
      <c r="D52" s="6">
        <v>9000</v>
      </c>
      <c r="E52" s="6">
        <v>1</v>
      </c>
      <c r="F52" s="9">
        <v>0</v>
      </c>
      <c r="G52" s="5">
        <v>0.5</v>
      </c>
      <c r="H52" s="5">
        <v>600</v>
      </c>
      <c r="I52" s="5">
        <v>120</v>
      </c>
      <c r="J52" s="5">
        <v>0</v>
      </c>
      <c r="K52" s="5" t="s">
        <v>845</v>
      </c>
      <c r="L52" s="5">
        <v>0</v>
      </c>
      <c r="M52" s="5">
        <v>1</v>
      </c>
    </row>
    <row r="53" ht="23" customHeight="1" spans="1:13">
      <c r="A53" s="5">
        <v>49</v>
      </c>
      <c r="B53" s="6">
        <v>10000</v>
      </c>
      <c r="C53" s="5">
        <v>2150</v>
      </c>
      <c r="D53" s="6">
        <v>10000</v>
      </c>
      <c r="E53" s="6">
        <v>1</v>
      </c>
      <c r="F53" s="9">
        <v>0</v>
      </c>
      <c r="G53" s="5">
        <v>0.5</v>
      </c>
      <c r="H53" s="5">
        <v>600</v>
      </c>
      <c r="I53" s="5">
        <v>120</v>
      </c>
      <c r="J53" s="10">
        <v>0</v>
      </c>
      <c r="K53" s="5" t="s">
        <v>845</v>
      </c>
      <c r="L53" s="5">
        <v>0</v>
      </c>
      <c r="M53" s="5">
        <v>1</v>
      </c>
    </row>
    <row r="54" ht="23" customHeight="1" spans="1:13">
      <c r="A54" s="5">
        <v>50</v>
      </c>
      <c r="B54" s="5" t="s">
        <v>846</v>
      </c>
      <c r="C54" s="5">
        <v>2201</v>
      </c>
      <c r="D54" s="7">
        <v>0</v>
      </c>
      <c r="E54" s="7">
        <v>0</v>
      </c>
      <c r="F54" s="9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5">
        <v>1</v>
      </c>
    </row>
    <row r="55" ht="23" customHeight="1" spans="1:13">
      <c r="A55" s="5">
        <v>51</v>
      </c>
      <c r="B55" s="5" t="s">
        <v>847</v>
      </c>
      <c r="C55" s="5">
        <v>2202</v>
      </c>
      <c r="D55" s="7">
        <v>0</v>
      </c>
      <c r="E55" s="7">
        <v>0</v>
      </c>
      <c r="F55" s="9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5">
        <v>1</v>
      </c>
    </row>
    <row r="56" ht="23" customHeight="1" spans="1:13">
      <c r="A56" s="5">
        <v>52</v>
      </c>
      <c r="B56" s="5" t="s">
        <v>848</v>
      </c>
      <c r="C56" s="5">
        <v>2203</v>
      </c>
      <c r="D56" s="7">
        <v>0</v>
      </c>
      <c r="E56" s="7">
        <v>0</v>
      </c>
      <c r="F56" s="9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5">
        <v>1</v>
      </c>
    </row>
    <row r="57" ht="23" customHeight="1" spans="1:13">
      <c r="A57" s="5">
        <v>53</v>
      </c>
      <c r="B57" s="5" t="s">
        <v>849</v>
      </c>
      <c r="C57" s="5">
        <v>2204</v>
      </c>
      <c r="D57" s="7">
        <v>0</v>
      </c>
      <c r="E57" s="7">
        <v>0</v>
      </c>
      <c r="F57" s="9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5">
        <v>1</v>
      </c>
    </row>
    <row r="58" ht="23" customHeight="1" spans="1:13">
      <c r="A58" s="5">
        <v>54</v>
      </c>
      <c r="B58" s="5" t="s">
        <v>850</v>
      </c>
      <c r="C58" s="5">
        <v>2205</v>
      </c>
      <c r="D58" s="7">
        <v>0</v>
      </c>
      <c r="E58" s="7">
        <v>0</v>
      </c>
      <c r="F58" s="9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5">
        <v>1</v>
      </c>
    </row>
    <row r="59" ht="23" customHeight="1" spans="1:13">
      <c r="A59" s="5">
        <v>55</v>
      </c>
      <c r="B59" s="5" t="s">
        <v>851</v>
      </c>
      <c r="C59" s="5">
        <v>2206</v>
      </c>
      <c r="D59" s="7">
        <v>0</v>
      </c>
      <c r="E59" s="7">
        <v>0</v>
      </c>
      <c r="F59" s="9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5">
        <v>1</v>
      </c>
    </row>
    <row r="60" ht="23" customHeight="1" spans="1:13">
      <c r="A60" s="5">
        <v>56</v>
      </c>
      <c r="B60" s="5" t="s">
        <v>852</v>
      </c>
      <c r="C60" s="5">
        <v>2207</v>
      </c>
      <c r="D60" s="7">
        <v>0</v>
      </c>
      <c r="E60" s="7">
        <v>0</v>
      </c>
      <c r="F60" s="9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5">
        <v>1</v>
      </c>
    </row>
    <row r="61" ht="23" customHeight="1" spans="1:13">
      <c r="A61" s="5">
        <v>57</v>
      </c>
      <c r="B61" s="5" t="s">
        <v>853</v>
      </c>
      <c r="C61" s="5">
        <v>2208</v>
      </c>
      <c r="D61" s="7">
        <v>0</v>
      </c>
      <c r="E61" s="7">
        <v>0</v>
      </c>
      <c r="F61" s="9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5">
        <v>1</v>
      </c>
    </row>
    <row r="62" ht="23" customHeight="1" spans="1:13">
      <c r="A62" s="5">
        <v>58</v>
      </c>
      <c r="B62" s="5" t="s">
        <v>854</v>
      </c>
      <c r="C62" s="5">
        <v>2209</v>
      </c>
      <c r="D62" s="7">
        <v>0</v>
      </c>
      <c r="E62" s="7">
        <v>0</v>
      </c>
      <c r="F62" s="9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5">
        <v>1</v>
      </c>
    </row>
    <row r="63" ht="23" customHeight="1" spans="1:13">
      <c r="A63" s="5">
        <v>59</v>
      </c>
      <c r="B63" s="5" t="s">
        <v>855</v>
      </c>
      <c r="C63" s="5">
        <v>2210</v>
      </c>
      <c r="D63" s="7">
        <v>0</v>
      </c>
      <c r="E63" s="7">
        <v>0</v>
      </c>
      <c r="F63" s="9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5">
        <v>1</v>
      </c>
    </row>
    <row r="64" ht="23" customHeight="1" spans="1:13">
      <c r="A64" s="5">
        <v>60</v>
      </c>
      <c r="B64" s="5" t="s">
        <v>361</v>
      </c>
      <c r="C64" s="5">
        <v>2301</v>
      </c>
      <c r="D64" s="7">
        <v>0</v>
      </c>
      <c r="E64" s="7">
        <v>0</v>
      </c>
      <c r="F64" s="9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5">
        <v>1</v>
      </c>
    </row>
    <row r="65" ht="23" customHeight="1" spans="1:13">
      <c r="A65" s="5">
        <v>61</v>
      </c>
      <c r="B65" s="5" t="s">
        <v>856</v>
      </c>
      <c r="C65" s="5">
        <v>2302</v>
      </c>
      <c r="D65" s="7">
        <v>0</v>
      </c>
      <c r="E65" s="7">
        <v>0</v>
      </c>
      <c r="F65" s="9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5">
        <v>1</v>
      </c>
    </row>
    <row r="66" ht="23" customHeight="1" spans="1:13">
      <c r="A66" s="5">
        <v>62</v>
      </c>
      <c r="B66" s="5" t="s">
        <v>352</v>
      </c>
      <c r="C66" s="5">
        <v>2401</v>
      </c>
      <c r="D66" s="7">
        <v>0</v>
      </c>
      <c r="E66" s="12">
        <v>1000</v>
      </c>
      <c r="F66" s="9">
        <v>0</v>
      </c>
      <c r="G66" s="7">
        <v>0</v>
      </c>
      <c r="H66" s="7">
        <v>0</v>
      </c>
      <c r="I66" s="7">
        <v>400</v>
      </c>
      <c r="J66" s="7">
        <v>0</v>
      </c>
      <c r="K66" s="7">
        <v>0</v>
      </c>
      <c r="L66" s="7">
        <v>0</v>
      </c>
      <c r="M66" s="5">
        <v>1</v>
      </c>
    </row>
    <row r="67" ht="23" customHeight="1" spans="1:13">
      <c r="A67" s="5">
        <v>63</v>
      </c>
      <c r="B67" s="5" t="s">
        <v>353</v>
      </c>
      <c r="C67" s="5">
        <v>2402</v>
      </c>
      <c r="D67" s="7">
        <v>0</v>
      </c>
      <c r="E67" s="12">
        <v>1500</v>
      </c>
      <c r="F67" s="9">
        <v>0</v>
      </c>
      <c r="G67" s="7">
        <v>0</v>
      </c>
      <c r="H67" s="7">
        <v>0</v>
      </c>
      <c r="I67" s="7">
        <v>400</v>
      </c>
      <c r="J67" s="7">
        <v>0</v>
      </c>
      <c r="K67" s="7">
        <v>0</v>
      </c>
      <c r="L67" s="7">
        <v>0</v>
      </c>
      <c r="M67" s="5">
        <v>1</v>
      </c>
    </row>
    <row r="68" ht="23" customHeight="1" spans="1:13">
      <c r="A68" s="5">
        <v>64</v>
      </c>
      <c r="B68" s="5" t="s">
        <v>354</v>
      </c>
      <c r="C68" s="5">
        <v>2403</v>
      </c>
      <c r="D68" s="7">
        <v>0</v>
      </c>
      <c r="E68" s="12">
        <v>2000</v>
      </c>
      <c r="F68" s="9">
        <v>0</v>
      </c>
      <c r="G68" s="7">
        <v>0</v>
      </c>
      <c r="H68" s="7">
        <v>0</v>
      </c>
      <c r="I68" s="7">
        <v>400</v>
      </c>
      <c r="J68" s="7">
        <v>0</v>
      </c>
      <c r="K68" s="7">
        <v>0</v>
      </c>
      <c r="L68" s="7">
        <v>0</v>
      </c>
      <c r="M68" s="5">
        <v>1</v>
      </c>
    </row>
    <row r="69" ht="23" customHeight="1" spans="1:13">
      <c r="A69" s="5">
        <v>65</v>
      </c>
      <c r="B69" s="5" t="s">
        <v>355</v>
      </c>
      <c r="C69" s="5">
        <v>2404</v>
      </c>
      <c r="D69" s="7">
        <v>0</v>
      </c>
      <c r="E69" s="12">
        <v>2500</v>
      </c>
      <c r="F69" s="9">
        <v>0</v>
      </c>
      <c r="G69" s="7">
        <v>0</v>
      </c>
      <c r="H69" s="7">
        <v>0</v>
      </c>
      <c r="I69" s="7">
        <v>400</v>
      </c>
      <c r="J69" s="7">
        <v>0</v>
      </c>
      <c r="K69" s="7">
        <v>0</v>
      </c>
      <c r="L69" s="7">
        <v>0</v>
      </c>
      <c r="M69" s="5">
        <v>1</v>
      </c>
    </row>
    <row r="70" ht="23" customHeight="1" spans="1:13">
      <c r="A70" s="5">
        <v>66</v>
      </c>
      <c r="B70" s="5" t="s">
        <v>356</v>
      </c>
      <c r="C70" s="5">
        <v>2405</v>
      </c>
      <c r="D70" s="7">
        <v>0</v>
      </c>
      <c r="E70" s="12">
        <v>3000</v>
      </c>
      <c r="F70" s="9">
        <v>0</v>
      </c>
      <c r="G70" s="7">
        <v>0</v>
      </c>
      <c r="H70" s="7">
        <v>0</v>
      </c>
      <c r="I70" s="7">
        <v>400</v>
      </c>
      <c r="J70" s="7">
        <v>0</v>
      </c>
      <c r="K70" s="7">
        <v>0</v>
      </c>
      <c r="L70" s="7">
        <v>0</v>
      </c>
      <c r="M70" s="5">
        <v>1</v>
      </c>
    </row>
    <row r="71" ht="23" customHeight="1" spans="1:13">
      <c r="A71" s="5">
        <v>67</v>
      </c>
      <c r="B71" s="5" t="s">
        <v>357</v>
      </c>
      <c r="C71" s="5">
        <v>2406</v>
      </c>
      <c r="D71" s="7">
        <v>0</v>
      </c>
      <c r="E71" s="12">
        <v>3000</v>
      </c>
      <c r="F71" s="9">
        <v>0</v>
      </c>
      <c r="G71" s="7">
        <v>0</v>
      </c>
      <c r="H71" s="7">
        <v>0</v>
      </c>
      <c r="I71" s="7">
        <v>400</v>
      </c>
      <c r="J71" s="7">
        <v>0</v>
      </c>
      <c r="K71" s="7">
        <v>0</v>
      </c>
      <c r="L71" s="7">
        <v>0</v>
      </c>
      <c r="M71" s="5">
        <v>1</v>
      </c>
    </row>
    <row r="72" ht="23" customHeight="1" spans="1:256">
      <c r="A72" s="5">
        <v>68</v>
      </c>
      <c r="B72" s="5" t="s">
        <v>857</v>
      </c>
      <c r="C72" s="5">
        <v>2701</v>
      </c>
      <c r="D72" s="7">
        <v>0</v>
      </c>
      <c r="E72" s="13">
        <v>600</v>
      </c>
      <c r="F72" s="9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1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</row>
    <row r="73" ht="23" customHeight="1" spans="1:256">
      <c r="A73" s="5">
        <v>69</v>
      </c>
      <c r="B73" s="5" t="s">
        <v>858</v>
      </c>
      <c r="C73" s="5">
        <v>2702</v>
      </c>
      <c r="D73" s="7">
        <v>0</v>
      </c>
      <c r="E73" s="13">
        <v>900</v>
      </c>
      <c r="F73" s="9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7">
        <v>0</v>
      </c>
      <c r="M73" s="7">
        <v>1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</row>
    <row r="74" ht="23" customHeight="1" spans="1:256">
      <c r="A74" s="5">
        <v>70</v>
      </c>
      <c r="B74" s="5" t="s">
        <v>859</v>
      </c>
      <c r="C74" s="5">
        <v>2703</v>
      </c>
      <c r="D74" s="7">
        <v>0</v>
      </c>
      <c r="E74" s="13">
        <v>1200</v>
      </c>
      <c r="F74" s="9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1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</row>
    <row r="75" ht="23" customHeight="1" spans="1:256">
      <c r="A75" s="5">
        <v>71</v>
      </c>
      <c r="B75" s="5" t="s">
        <v>860</v>
      </c>
      <c r="C75" s="5">
        <v>2704</v>
      </c>
      <c r="D75" s="7">
        <v>0</v>
      </c>
      <c r="E75" s="12">
        <v>1500</v>
      </c>
      <c r="F75" s="9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1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</row>
    <row r="76" ht="23" customHeight="1" spans="1:256">
      <c r="A76" s="5">
        <v>72</v>
      </c>
      <c r="B76" s="5" t="s">
        <v>861</v>
      </c>
      <c r="C76" s="5">
        <v>2705</v>
      </c>
      <c r="D76" s="7">
        <v>0</v>
      </c>
      <c r="E76" s="12">
        <v>1800</v>
      </c>
      <c r="F76" s="9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1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</row>
    <row r="77" ht="23" customHeight="1" spans="1:256">
      <c r="A77" s="5">
        <v>73</v>
      </c>
      <c r="B77" s="11" t="s">
        <v>862</v>
      </c>
      <c r="C77" s="5">
        <v>2801</v>
      </c>
      <c r="D77" s="7">
        <v>0</v>
      </c>
      <c r="E77" s="13">
        <v>2800</v>
      </c>
      <c r="F77" s="9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0.2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</row>
    <row r="78" ht="23" customHeight="1" spans="1:256">
      <c r="A78" s="5">
        <v>74</v>
      </c>
      <c r="B78" s="11" t="s">
        <v>863</v>
      </c>
      <c r="C78" s="5">
        <v>2802</v>
      </c>
      <c r="D78" s="7">
        <v>0</v>
      </c>
      <c r="E78" s="13">
        <v>2800</v>
      </c>
      <c r="F78" s="9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0.2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</row>
    <row r="79" ht="23" customHeight="1" spans="1:256">
      <c r="A79" s="5">
        <v>75</v>
      </c>
      <c r="B79" s="11" t="s">
        <v>864</v>
      </c>
      <c r="C79" s="5">
        <v>2803</v>
      </c>
      <c r="D79" s="7">
        <v>0</v>
      </c>
      <c r="E79" s="13">
        <v>2800</v>
      </c>
      <c r="F79" s="9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0.2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</row>
    <row r="80" ht="23" customHeight="1" spans="1:256">
      <c r="A80" s="5">
        <v>76</v>
      </c>
      <c r="B80" s="11" t="s">
        <v>865</v>
      </c>
      <c r="C80" s="5">
        <v>2804</v>
      </c>
      <c r="D80" s="7">
        <v>0</v>
      </c>
      <c r="E80" s="12">
        <v>3500</v>
      </c>
      <c r="F80" s="9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0.2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</row>
    <row r="81" ht="23" customHeight="1" spans="1:256">
      <c r="A81" s="5">
        <v>77</v>
      </c>
      <c r="B81" s="11" t="s">
        <v>866</v>
      </c>
      <c r="C81" s="5">
        <v>2805</v>
      </c>
      <c r="D81" s="7">
        <v>0</v>
      </c>
      <c r="E81" s="12">
        <v>4200</v>
      </c>
      <c r="F81" s="9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0.2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</row>
    <row r="82" customHeight="1" spans="1:13">
      <c r="A82" s="5">
        <v>78</v>
      </c>
      <c r="B82" s="11" t="s">
        <v>539</v>
      </c>
      <c r="C82" s="5">
        <v>2901</v>
      </c>
      <c r="D82" s="7">
        <v>0</v>
      </c>
      <c r="E82" s="12">
        <v>90</v>
      </c>
      <c r="F82" s="9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1</v>
      </c>
    </row>
    <row r="83" customHeight="1" spans="1:256">
      <c r="A83" s="5">
        <v>79</v>
      </c>
      <c r="B83" s="11" t="s">
        <v>547</v>
      </c>
      <c r="C83" s="5">
        <v>2902</v>
      </c>
      <c r="D83" s="7">
        <v>0</v>
      </c>
      <c r="E83" s="12">
        <v>120</v>
      </c>
      <c r="F83" s="9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1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</row>
    <row r="84" customHeight="1" spans="1:256">
      <c r="A84" s="5">
        <v>80</v>
      </c>
      <c r="B84" s="11" t="s">
        <v>549</v>
      </c>
      <c r="C84" s="5">
        <v>2903</v>
      </c>
      <c r="D84" s="7">
        <v>0</v>
      </c>
      <c r="E84" s="12">
        <v>200</v>
      </c>
      <c r="F84" s="9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1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</row>
  </sheetData>
  <pageMargins left="0.75" right="0.75" top="1" bottom="1" header="0.5" footer="0.5"/>
  <pageSetup paperSize="1" orientation="portrait"/>
  <headerFooter>
    <oddFooter>&amp;L&amp;"Helvetica,Regular"&amp;12&amp;K000000	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8"/>
  <sheetViews>
    <sheetView workbookViewId="0">
      <selection activeCell="D11" sqref="D11"/>
    </sheetView>
  </sheetViews>
  <sheetFormatPr defaultColWidth="8.8421052631579" defaultRowHeight="15.2" outlineLevelRow="7" outlineLevelCol="7"/>
  <cols>
    <col min="1" max="1" width="8.6578947368421" customWidth="1"/>
    <col min="2" max="2" width="14.1447368421053" customWidth="1"/>
    <col min="3" max="3" width="12.3947368421053" customWidth="1"/>
    <col min="6" max="6" width="9.75657894736842" customWidth="1"/>
    <col min="7" max="7" width="9.64473684210526" customWidth="1"/>
    <col min="8" max="8" width="7.15789473684211" customWidth="1"/>
  </cols>
  <sheetData>
    <row r="1" ht="16" spans="1:8">
      <c r="A1" s="1" t="s">
        <v>867</v>
      </c>
      <c r="B1" s="1" t="s">
        <v>868</v>
      </c>
      <c r="C1" s="1" t="s">
        <v>869</v>
      </c>
      <c r="E1" s="1" t="s">
        <v>1</v>
      </c>
      <c r="F1" s="1" t="s">
        <v>870</v>
      </c>
      <c r="G1" s="1" t="s">
        <v>871</v>
      </c>
      <c r="H1" s="1" t="s">
        <v>754</v>
      </c>
    </row>
    <row r="2" ht="16" spans="1:8">
      <c r="A2" s="1" t="s">
        <v>15</v>
      </c>
      <c r="B2" s="1" t="s">
        <v>14</v>
      </c>
      <c r="C2" s="1" t="s">
        <v>15</v>
      </c>
      <c r="E2" s="1" t="s">
        <v>15</v>
      </c>
      <c r="F2" s="1" t="s">
        <v>173</v>
      </c>
      <c r="G2" s="1" t="s">
        <v>173</v>
      </c>
      <c r="H2" s="1" t="s">
        <v>15</v>
      </c>
    </row>
    <row r="3" spans="1:8">
      <c r="A3" s="2" t="s">
        <v>138</v>
      </c>
      <c r="B3" s="2" t="s">
        <v>872</v>
      </c>
      <c r="C3" s="2" t="s">
        <v>873</v>
      </c>
      <c r="E3" s="2" t="s">
        <v>874</v>
      </c>
      <c r="F3" s="2" t="s">
        <v>875</v>
      </c>
      <c r="G3" s="2" t="s">
        <v>876</v>
      </c>
      <c r="H3" s="2" t="s">
        <v>776</v>
      </c>
    </row>
    <row r="4" spans="1:8">
      <c r="A4" s="2">
        <v>71203</v>
      </c>
      <c r="B4" s="2" t="s">
        <v>877</v>
      </c>
      <c r="C4" s="2">
        <v>90</v>
      </c>
      <c r="E4" s="2">
        <v>1</v>
      </c>
      <c r="F4" s="2">
        <v>0.4</v>
      </c>
      <c r="G4" s="2">
        <v>0.7</v>
      </c>
      <c r="H4" s="2">
        <v>10</v>
      </c>
    </row>
    <row r="5" spans="1:8">
      <c r="A5" s="2">
        <v>74207</v>
      </c>
      <c r="B5" s="2" t="s">
        <v>877</v>
      </c>
      <c r="C5" s="2">
        <v>120</v>
      </c>
      <c r="E5" s="2">
        <v>2</v>
      </c>
      <c r="F5" s="2">
        <v>0.75</v>
      </c>
      <c r="G5" s="2">
        <v>0.95</v>
      </c>
      <c r="H5" s="2">
        <v>60</v>
      </c>
    </row>
    <row r="6" spans="1:8">
      <c r="A6" s="2">
        <v>75208</v>
      </c>
      <c r="B6" s="2" t="s">
        <v>877</v>
      </c>
      <c r="C6" s="2">
        <v>200</v>
      </c>
      <c r="E6" s="2">
        <v>3</v>
      </c>
      <c r="F6" s="2">
        <v>0.85</v>
      </c>
      <c r="G6" s="2">
        <v>1.5</v>
      </c>
      <c r="H6" s="2">
        <v>20</v>
      </c>
    </row>
    <row r="7" spans="1:8">
      <c r="A7" s="3"/>
      <c r="B7" s="3"/>
      <c r="E7" s="2">
        <v>4</v>
      </c>
      <c r="F7" s="2">
        <v>1.5</v>
      </c>
      <c r="G7" s="2">
        <v>2</v>
      </c>
      <c r="H7" s="2">
        <v>5</v>
      </c>
    </row>
    <row r="8" spans="1:8">
      <c r="A8" s="3"/>
      <c r="B8" s="3"/>
      <c r="E8" s="2">
        <v>5</v>
      </c>
      <c r="F8" s="2">
        <v>2</v>
      </c>
      <c r="G8" s="2">
        <v>2.5</v>
      </c>
      <c r="H8" s="2">
        <v>5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LevelFunds</vt:lpstr>
      <vt:lpstr>LevelFunds_25794</vt:lpstr>
      <vt:lpstr>ID</vt:lpstr>
      <vt:lpstr>Fish</vt:lpstr>
      <vt:lpstr>SkillGrade</vt:lpstr>
      <vt:lpstr>SkillStar</vt:lpstr>
      <vt:lpstr>StarAbility</vt:lpstr>
      <vt:lpstr>SuperBossExchange</vt:lpstr>
      <vt:lpstr>SuperBossMinigame</vt:lpstr>
      <vt:lpstr>SuperBossCommon</vt:lpstr>
      <vt:lpstr>Gun</vt:lpstr>
      <vt:lpstr>GunSkin</vt:lpstr>
      <vt:lpstr>GunLevel</vt:lpstr>
      <vt:lpstr>Weapon</vt:lpstr>
      <vt:lpstr>SuperBossPower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caokai</dc:creator>
  <cp:lastModifiedBy>caokai</cp:lastModifiedBy>
  <dcterms:created xsi:type="dcterms:W3CDTF">2018-02-18T19:36:00Z</dcterms:created>
  <dcterms:modified xsi:type="dcterms:W3CDTF">2020-05-28T17:50:08Z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2052-1.1.0.1454</vt:lpwstr>
  </property>
</Properties>
</file>