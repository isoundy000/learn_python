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5360" tabRatio="934" activeTab="1"/>
  </bookViews>
  <sheets>
    <sheet name="ID" sheetId="1" r:id="rId1"/>
    <sheet name="Fish" sheetId="170" r:id="rId2"/>
    <sheet name="SkillGrade" sheetId="153" r:id="rId3"/>
    <sheet name="SkillStar" sheetId="154" r:id="rId4"/>
    <sheet name="TerrorFish" sheetId="165" r:id="rId5"/>
    <sheet name="LevelFunds" sheetId="161" r:id="rId6"/>
    <sheet name="LevelFunds_25794" sheetId="162" r:id="rId7"/>
    <sheet name="SuperBossExchange" sheetId="151" r:id="rId8"/>
    <sheet name="SuperBossMinigame" sheetId="149" r:id="rId9"/>
    <sheet name="SuperBossCommon" sheetId="150" r:id="rId10"/>
    <sheet name="Gun" sheetId="156" r:id="rId11"/>
    <sheet name="GunSkin" sheetId="157" r:id="rId12"/>
    <sheet name="GunLevel" sheetId="158" r:id="rId13"/>
    <sheet name="Weapon" sheetId="160" r:id="rId14"/>
    <sheet name="WeaponPowerRate" sheetId="168" r:id="rId15"/>
    <sheet name="WeaponStageCount" sheetId="169" r:id="rId16"/>
    <sheet name="LevelPrizeWheel" sheetId="163" r:id="rId17"/>
    <sheet name="TimePointMatchSkill" sheetId="164" r:id="rId18"/>
    <sheet name="AutofillFish" sheetId="166" r:id="rId19"/>
    <sheet name="TideTask" sheetId="171" r:id="rId20"/>
    <sheet name="MultipleFish" sheetId="175" r:id="rId21"/>
    <sheet name="BossMultiple" sheetId="181" r:id="rId22"/>
    <sheet name="MatchFish" sheetId="174" r:id="rId23"/>
    <sheet name="MatchBufferFish" sheetId="177" r:id="rId24"/>
    <sheet name="MatchMultipleFish" sheetId="176" r:id="rId25"/>
    <sheet name="FixedMultipleFish" sheetId="172" r:id="rId26"/>
    <sheet name="RandomMultipleFish" sheetId="173" r:id="rId27"/>
    <sheet name="PlayerBuffer" sheetId="178" r:id="rId28"/>
    <sheet name="BossFish" sheetId="179" r:id="rId29"/>
    <sheet name="GrandPrix" sheetId="180" r:id="rId30"/>
    <sheet name="PlatterFish" sheetId="182" r:id="rId31"/>
    <sheet name="SuperBossDrop" sheetId="183" r:id="rId32"/>
  </sheets>
  <definedNames>
    <definedName name="_xlnm._FilterDatabase" localSheetId="1" hidden="1">Fish!$E$1:$E$154</definedName>
  </definedNames>
  <calcPr calcId="144525" concurrentCalc="0"/>
</workbook>
</file>

<file path=xl/comments1.xml><?xml version="1.0" encoding="utf-8"?>
<comments xmlns="http://schemas.openxmlformats.org/spreadsheetml/2006/main">
  <authors>
    <author>tugame</author>
  </authors>
  <commentList>
    <comment ref="B1" authorId="0">
      <text>
        <r>
          <rPr>
            <sz val="18"/>
            <rFont val="方正书宋_GBK"/>
            <charset val="134"/>
          </rPr>
          <t>若要修改鱼名，复制对应的ID，去multiLangText.xlsx表中查找并修改</t>
        </r>
      </text>
    </comment>
    <comment ref="P1" authorId="0">
      <text>
        <r>
          <rPr>
            <sz val="16"/>
            <color rgb="FF000000"/>
            <rFont val="方正书宋_GBK"/>
            <charset val="134"/>
          </rPr>
          <t>用于计算补足子弹威力</t>
        </r>
        <r>
          <rPr>
            <sz val="9"/>
            <color rgb="FF000000"/>
            <rFont val="方正书宋_GBK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Microsoft Office 用户</author>
  </authors>
  <commentList>
    <comment ref="I3" authorId="0">
      <text>
        <r>
          <rPr>
            <b/>
            <sz val="11"/>
            <rFont val="黑体"/>
            <charset val="134"/>
          </rPr>
          <t>0:无具体数值
1:数字
2:百分比</t>
        </r>
      </text>
    </comment>
  </commentList>
</comments>
</file>

<file path=xl/comments3.xml><?xml version="1.0" encoding="utf-8"?>
<comments xmlns="http://schemas.openxmlformats.org/spreadsheetml/2006/main">
  <authors>
    <author>tugame</author>
  </authors>
  <commentList>
    <comment ref="F3" authorId="0">
      <text>
        <r>
          <rPr>
            <sz val="18"/>
            <rFont val="方正书宋_GBK"/>
            <charset val="134"/>
          </rPr>
          <t>box,octopus,queen,dragon</t>
        </r>
      </text>
    </comment>
  </commentList>
</comments>
</file>

<file path=xl/comments4.xml><?xml version="1.0" encoding="utf-8"?>
<comments xmlns="http://schemas.openxmlformats.org/spreadsheetml/2006/main">
  <authors>
    <author>Microsoft Office 用户</author>
  </authors>
  <commentList>
    <comment ref="E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  <comment ref="G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</commentList>
</comments>
</file>

<file path=xl/comments5.xml><?xml version="1.0" encoding="utf-8"?>
<comments xmlns="http://schemas.openxmlformats.org/spreadsheetml/2006/main">
  <authors>
    <author>zw</author>
  </authors>
  <commentList>
    <comment ref="D3" authorId="0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E3" authorId="0">
      <text>
        <r>
          <rPr>
            <sz val="9"/>
            <rFont val="方正书宋_GBK"/>
            <charset val="134"/>
          </rPr>
          <t>1、不随机
2、权重随机</t>
        </r>
      </text>
    </comment>
    <comment ref="D231" authorId="0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E231" authorId="0">
      <text>
        <r>
          <rPr>
            <sz val="9"/>
            <rFont val="方正书宋_GBK"/>
            <charset val="134"/>
          </rPr>
          <t>1、不随机
2、权重随机</t>
        </r>
      </text>
    </comment>
  </commentList>
</comments>
</file>

<file path=xl/comments6.xml><?xml version="1.0" encoding="utf-8"?>
<comments xmlns="http://schemas.openxmlformats.org/spreadsheetml/2006/main">
  <authors>
    <author>Hao Xian</author>
  </authors>
  <commentList>
    <comment ref="D1" authorId="0">
      <text>
        <r>
          <rPr>
            <b/>
            <sz val="10"/>
            <rFont val="Verdana"/>
            <charset val="134"/>
          </rPr>
          <t>Hao Xian:</t>
        </r>
        <r>
          <rPr>
            <sz val="10"/>
            <rFont val="Verdana"/>
            <charset val="134"/>
          </rPr>
          <t xml:space="preserve">
</t>
        </r>
        <r>
          <rPr>
            <sz val="10"/>
            <rFont val="宋体"/>
            <charset val="134"/>
          </rPr>
          <t>冷却时间减少的百分比</t>
        </r>
      </text>
    </comment>
  </commentList>
</comments>
</file>

<file path=xl/comments7.xml><?xml version="1.0" encoding="utf-8"?>
<comments xmlns="http://schemas.openxmlformats.org/spreadsheetml/2006/main">
  <authors>
    <author>lingyun</author>
  </authors>
  <commentList>
    <comment ref="B16" authorId="0">
      <text>
        <r>
          <rPr>
            <b/>
            <sz val="9"/>
            <rFont val="宋体"/>
            <charset val="134"/>
          </rPr>
          <t>lingyun:</t>
        </r>
        <r>
          <rPr>
            <sz val="9"/>
            <rFont val="宋体"/>
            <charset val="134"/>
          </rPr>
          <t xml:space="preserve">
龙女王召唤鱼</t>
        </r>
      </text>
    </comment>
    <comment ref="H16" authorId="0">
      <text>
        <r>
          <rPr>
            <b/>
            <sz val="9"/>
            <rFont val="宋体"/>
            <charset val="134"/>
          </rPr>
          <t>lingyun:</t>
        </r>
        <r>
          <rPr>
            <sz val="9"/>
            <rFont val="宋体"/>
            <charset val="134"/>
          </rPr>
          <t xml:space="preserve">
龙女王召唤鱼</t>
        </r>
      </text>
    </comment>
  </commentList>
</comments>
</file>

<file path=xl/sharedStrings.xml><?xml version="1.0" encoding="utf-8"?>
<sst xmlns="http://schemas.openxmlformats.org/spreadsheetml/2006/main" count="1276">
  <si>
    <t>名称</t>
  </si>
  <si>
    <t>货币ID</t>
  </si>
  <si>
    <t>首位</t>
  </si>
  <si>
    <t>二位</t>
  </si>
  <si>
    <t>三位</t>
  </si>
  <si>
    <t>后2位</t>
  </si>
  <si>
    <t>金币</t>
  </si>
  <si>
    <t>鱼</t>
  </si>
  <si>
    <t>类型</t>
  </si>
  <si>
    <t>编号</t>
  </si>
  <si>
    <t>钻石</t>
  </si>
  <si>
    <t>武器</t>
  </si>
  <si>
    <t>奖券</t>
  </si>
  <si>
    <t>宝箱</t>
  </si>
  <si>
    <t>星级</t>
  </si>
  <si>
    <t>类别</t>
  </si>
  <si>
    <t>掉落</t>
  </si>
  <si>
    <t>技能</t>
  </si>
  <si>
    <t>任务</t>
  </si>
  <si>
    <t>所属房间</t>
  </si>
  <si>
    <t>礼包</t>
  </si>
  <si>
    <t>称号</t>
  </si>
  <si>
    <t>比赛*</t>
  </si>
  <si>
    <t>商品</t>
  </si>
  <si>
    <t>表情</t>
  </si>
  <si>
    <t>index</t>
  </si>
  <si>
    <t>name</t>
  </si>
  <si>
    <t>fishType</t>
  </si>
  <si>
    <t>type</t>
  </si>
  <si>
    <t>itemId</t>
  </si>
  <si>
    <t>score</t>
  </si>
  <si>
    <t>probb1</t>
  </si>
  <si>
    <t>probb2</t>
  </si>
  <si>
    <t>HP</t>
  </si>
  <si>
    <t>value</t>
  </si>
  <si>
    <t>desc</t>
  </si>
  <si>
    <t>weaponId</t>
  </si>
  <si>
    <t>prizeWheelValue</t>
  </si>
  <si>
    <t>triggerRate</t>
  </si>
  <si>
    <t>catchValue</t>
  </si>
  <si>
    <t>int</t>
  </si>
  <si>
    <t>string</t>
  </si>
  <si>
    <t>float</t>
  </si>
  <si>
    <r>
      <rPr>
        <sz val="12"/>
        <color indexed="8"/>
        <rFont val="Verdana"/>
        <charset val="134"/>
      </rPr>
      <t>i</t>
    </r>
    <r>
      <rPr>
        <sz val="12"/>
        <color indexed="8"/>
        <rFont val="Verdana"/>
        <charset val="134"/>
      </rPr>
      <t>nt</t>
    </r>
  </si>
  <si>
    <t>鱼类型索引</t>
  </si>
  <si>
    <r>
      <rPr>
        <sz val="14"/>
        <color rgb="FF000000"/>
        <rFont val="华文宋体"/>
        <charset val="134"/>
      </rPr>
      <t>鱼名</t>
    </r>
    <r>
      <rPr>
        <sz val="14"/>
        <color rgb="FF000000"/>
        <rFont val="Tahoma"/>
        <charset val="134"/>
      </rPr>
      <t>ID</t>
    </r>
  </si>
  <si>
    <t>鱼种名</t>
  </si>
  <si>
    <t>鱼种ID</t>
  </si>
  <si>
    <t>鱼种类别</t>
  </si>
  <si>
    <t>捕获必掉道具ID</t>
  </si>
  <si>
    <t>分值</t>
  </si>
  <si>
    <t>无HP时概率基数</t>
  </si>
  <si>
    <t>有HP时概率基数</t>
  </si>
  <si>
    <t>生命</t>
  </si>
  <si>
    <t>实际价值</t>
  </si>
  <si>
    <t>描述</t>
  </si>
  <si>
    <t>武器Id</t>
  </si>
  <si>
    <t>积攒价值</t>
  </si>
  <si>
    <t>触发几率(10000)</t>
  </si>
  <si>
    <t>价值</t>
  </si>
  <si>
    <t>ID_CONFIG_FISH_NAME_11001</t>
  </si>
  <si>
    <t>小黄鱼</t>
  </si>
  <si>
    <t>ID_CONFIG_FISH_NAME_11002</t>
  </si>
  <si>
    <t>金枪鱼</t>
  </si>
  <si>
    <t>ID_CONFIG_FISH_NAME_11003</t>
  </si>
  <si>
    <t>小丑鱼</t>
  </si>
  <si>
    <t>ID_CONFIG_FISH_NAME_11004</t>
  </si>
  <si>
    <t>神仙鱼</t>
  </si>
  <si>
    <t>ID_CONFIG_FISH_NAME_11005</t>
  </si>
  <si>
    <t>蓝藻鱼</t>
  </si>
  <si>
    <t>ID_CONFIG_FISH_NAME_11006</t>
  </si>
  <si>
    <t>红鹦鹉鱼</t>
  </si>
  <si>
    <t>ID_CONFIG_FISH_NAME_11007</t>
  </si>
  <si>
    <t>月光鱼</t>
  </si>
  <si>
    <t>ID_CONFIG_FISH_NAME_11008</t>
  </si>
  <si>
    <t>小飞鱼</t>
  </si>
  <si>
    <t>ID_CONFIG_FISH_NAME_11009</t>
  </si>
  <si>
    <t>孔雀鱼</t>
  </si>
  <si>
    <t>ID_CONFIG_FISH_NAME_11085</t>
  </si>
  <si>
    <t>红杉鱼</t>
  </si>
  <si>
    <t>ID_CONFIG_FISH_NAME_11010</t>
  </si>
  <si>
    <t>海龟</t>
  </si>
  <si>
    <t>ID_CONFIG_FISH_NAME_11011</t>
  </si>
  <si>
    <t>河豚</t>
  </si>
  <si>
    <t>ID_CONFIG_FISH_NAME_11012</t>
  </si>
  <si>
    <t>水母</t>
  </si>
  <si>
    <t>ID_CONFIG_FISH_NAME_11013</t>
  </si>
  <si>
    <t>蝙蝠鱼</t>
  </si>
  <si>
    <t>ID_CONFIG_FISH_NAME_33075</t>
  </si>
  <si>
    <t>绿鳍鱼</t>
  </si>
  <si>
    <t>ID_CONFIG_FISH_NAME_11015</t>
  </si>
  <si>
    <t>狮子鱼</t>
  </si>
  <si>
    <t>ID_CONFIG_FISH_NAME_11016</t>
  </si>
  <si>
    <t>灯笼鱼</t>
  </si>
  <si>
    <t>ID_CONFIG_FISH_NAME_11017</t>
  </si>
  <si>
    <t>剑鱼</t>
  </si>
  <si>
    <t>ID_CONFIG_FISH_NAME_11020</t>
  </si>
  <si>
    <t>海豚</t>
  </si>
  <si>
    <t>ID_CONFIG_FISH_NAME_11024</t>
  </si>
  <si>
    <t>双髻鲨</t>
  </si>
  <si>
    <t>ID_CONFIG_FISH_NAME_11090</t>
  </si>
  <si>
    <t>鳄鱼</t>
  </si>
  <si>
    <t>ID_CONFIG_FISH_NAME_11025</t>
  </si>
  <si>
    <t>大白鲨</t>
  </si>
  <si>
    <t>ID_CONFIG_FISH_NAME_11211</t>
  </si>
  <si>
    <t>透明鲨</t>
  </si>
  <si>
    <t>ID_CONFIG_FISH_NAME_12028</t>
  </si>
  <si>
    <t>小冰龙</t>
  </si>
  <si>
    <t>ID_CONFIG_FISH_NAME_12032</t>
  </si>
  <si>
    <t>章鱼伯爵</t>
  </si>
  <si>
    <t>ID_CONFIG_FISH_NAME_25031</t>
  </si>
  <si>
    <t>小龙女</t>
  </si>
  <si>
    <t>ID_CONFIG_FISH_NAME_12213</t>
  </si>
  <si>
    <t>独角鲸</t>
  </si>
  <si>
    <t>ID_CONFIG_FISH_NAME_79232</t>
  </si>
  <si>
    <t>财宝螃蟹</t>
  </si>
  <si>
    <t>ID_CONFIG_FISH_NAME_79233</t>
  </si>
  <si>
    <t>深渊螃蟹</t>
  </si>
  <si>
    <t>ID_CONFIG_FISH_NAME_79234</t>
  </si>
  <si>
    <t>麒麟</t>
  </si>
  <si>
    <t>倍率孔雀鱼</t>
  </si>
  <si>
    <t>倍率河豚</t>
  </si>
  <si>
    <t>倍率蝙蝠鱼</t>
  </si>
  <si>
    <t>倍率狮子鱼</t>
  </si>
  <si>
    <t>倍率海豚</t>
  </si>
  <si>
    <t>倍率双髻鲨</t>
  </si>
  <si>
    <t>倍率白鲨</t>
  </si>
  <si>
    <t>倍率绿鳍鱼</t>
  </si>
  <si>
    <t>倍率鳄鱼</t>
  </si>
  <si>
    <t>ID_CONFIG_FISH_NAME_15033</t>
  </si>
  <si>
    <t>0.01奖券</t>
  </si>
  <si>
    <t>奖券x1</t>
  </si>
  <si>
    <t>ID_CONFIG_FISH_NAME_15034</t>
  </si>
  <si>
    <t>0.05奖券</t>
  </si>
  <si>
    <t>奖券x5</t>
  </si>
  <si>
    <t>ID_CONFIG_FISH_NAME_15035</t>
  </si>
  <si>
    <t>0.10奖券</t>
  </si>
  <si>
    <t>奖券x10</t>
  </si>
  <si>
    <t>ID_CONFIG_FISH_NAME_15036</t>
  </si>
  <si>
    <t>0.40奖券</t>
  </si>
  <si>
    <t>奖券x40</t>
  </si>
  <si>
    <t>ID_CONFIG_FISH_NAME_15037</t>
  </si>
  <si>
    <t>1.00奖券</t>
  </si>
  <si>
    <t>奖券x100</t>
  </si>
  <si>
    <t>ID_CONFIG_FISH_NAME_15038</t>
  </si>
  <si>
    <t>2.00奖券</t>
  </si>
  <si>
    <t>奖券x200</t>
  </si>
  <si>
    <t>ID_CONFIG_FISH_NAME_15039</t>
  </si>
  <si>
    <t>3.00奖券</t>
  </si>
  <si>
    <t>奖券x300</t>
  </si>
  <si>
    <t>ID_CONFIG_FISH_NAME_15055</t>
  </si>
  <si>
    <t>10.00奖券</t>
  </si>
  <si>
    <t>奖券x1000</t>
  </si>
  <si>
    <t>ID_CONFIG_FISH_NAME_15056</t>
  </si>
  <si>
    <t>20.00奖券</t>
  </si>
  <si>
    <t>奖券x2000</t>
  </si>
  <si>
    <t>ID_CONFIG_FISH_NAME_15057</t>
  </si>
  <si>
    <t>50.00奖券</t>
  </si>
  <si>
    <t>奖券x5000</t>
  </si>
  <si>
    <t>ID_CONFIG_FISH_NAME_15058</t>
  </si>
  <si>
    <t>100.00奖券</t>
  </si>
  <si>
    <t>奖券x10000</t>
  </si>
  <si>
    <t>ID_CONFIG_FISH_NAME_15081</t>
  </si>
  <si>
    <t>5.00奖券</t>
  </si>
  <si>
    <t>奖券x500</t>
  </si>
  <si>
    <t>ID_CONFIG_FISH_NAME_15082</t>
  </si>
  <si>
    <t>30.00奖券</t>
  </si>
  <si>
    <t>奖券x3000</t>
  </si>
  <si>
    <t>ID_CONFIG_FISH_NAME_15115</t>
  </si>
  <si>
    <t>0.20奖券</t>
  </si>
  <si>
    <t>奖券x20</t>
  </si>
  <si>
    <r>
      <rPr>
        <sz val="14"/>
        <color rgb="FF000000"/>
        <rFont val="Tahoma"/>
        <charset val="134"/>
      </rPr>
      <t>0.05</t>
    </r>
    <r>
      <rPr>
        <sz val="14"/>
        <color rgb="FF000000"/>
        <rFont val="宋体"/>
        <charset val="134"/>
      </rPr>
      <t>奖券</t>
    </r>
  </si>
  <si>
    <t>新手场红包券</t>
  </si>
  <si>
    <r>
      <rPr>
        <sz val="14"/>
        <color rgb="FF000000"/>
        <rFont val="Tahoma"/>
        <charset val="134"/>
      </rPr>
      <t>0.1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</si>
  <si>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10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</si>
  <si>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0.4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</si>
  <si>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50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</si>
  <si>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</si>
  <si>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200</t>
    </r>
    <r>
      <rPr>
        <sz val="14"/>
        <color rgb="FF000000"/>
        <rFont val="宋体"/>
        <charset val="134"/>
      </rPr>
      <t>倍场红包券</t>
    </r>
  </si>
  <si>
    <t>ID_CONFIG_FISH_NAME_16040</t>
  </si>
  <si>
    <t>炸弹鱼</t>
  </si>
  <si>
    <t>炸弹鱼v1</t>
  </si>
  <si>
    <t>ID_CONFIG_FISH_NAME_22041</t>
  </si>
  <si>
    <t>冰锥</t>
  </si>
  <si>
    <t>ID_CONFIG_FISH_NAME_23042</t>
  </si>
  <si>
    <t>捕鱼机器人</t>
  </si>
  <si>
    <t>ID_CONFIG_FISH_NAME_26043</t>
  </si>
  <si>
    <t>金币宝箱</t>
  </si>
  <si>
    <t>随机金币宝箱</t>
  </si>
  <si>
    <t>ID_CONFIG_FISH_NAME_27044</t>
  </si>
  <si>
    <t>1奖券</t>
  </si>
  <si>
    <t>1元微信红包</t>
  </si>
  <si>
    <t>ID_CONFIG_FISH_NAME_27080</t>
  </si>
  <si>
    <t>5奖券</t>
  </si>
  <si>
    <t>5元微信红包</t>
  </si>
  <si>
    <t>ID_CONFIG_FISH_NAME_27046</t>
  </si>
  <si>
    <t>10奖券</t>
  </si>
  <si>
    <t>10元微信红包</t>
  </si>
  <si>
    <t>ID_CONFIG_FISH_NAME_27047</t>
  </si>
  <si>
    <t>20奖券</t>
  </si>
  <si>
    <t>20元微信红包</t>
  </si>
  <si>
    <t>ID_CONFIG_FISH_NAME_27048</t>
  </si>
  <si>
    <t>50奖券</t>
  </si>
  <si>
    <t>50元微信红包</t>
  </si>
  <si>
    <t>ID_CONFIG_FISH_NAME_27049</t>
  </si>
  <si>
    <t>100奖券</t>
  </si>
  <si>
    <t>100元微信红包</t>
  </si>
  <si>
    <t>ID_CONFIG_FISH_NAME_28050</t>
  </si>
  <si>
    <t>海螺x1</t>
  </si>
  <si>
    <t>ID_CONFIG_FISH_NAME_28051</t>
  </si>
  <si>
    <t>海螺x3</t>
  </si>
  <si>
    <t>ID_CONFIG_FISH_NAME_28052</t>
  </si>
  <si>
    <t>海螺x10</t>
  </si>
  <si>
    <t>ID_CONFIG_FISH_NAME_28053</t>
  </si>
  <si>
    <t>海螺x30</t>
  </si>
  <si>
    <t>ID_CONFIG_FISH_NAME_28070</t>
  </si>
  <si>
    <t>海螺x100</t>
  </si>
  <si>
    <t>ID_CONFIG_FISH_NAME_28071</t>
  </si>
  <si>
    <t>海螺x300</t>
  </si>
  <si>
    <t>ID_CONFIG_FISH_NAME_28072</t>
  </si>
  <si>
    <t>海螺x400</t>
  </si>
  <si>
    <t>ID_CONFIG_FISH_NAME_28073</t>
  </si>
  <si>
    <t>海螺x1000</t>
  </si>
  <si>
    <t>ID_CONFIG_FISH_NAME_28116</t>
  </si>
  <si>
    <t>海螺x800</t>
  </si>
  <si>
    <t>ID_CONFIG_FISH_NAME_28117</t>
  </si>
  <si>
    <t>海螺x3000</t>
  </si>
  <si>
    <t>ID_CONFIG_FISH_NAME_29054</t>
  </si>
  <si>
    <t>随机奖品</t>
  </si>
  <si>
    <t>随机奖品鱼-场次1</t>
  </si>
  <si>
    <t>随机奖品鱼-场次2</t>
  </si>
  <si>
    <t>随机奖品鱼-场次3</t>
  </si>
  <si>
    <t>随机奖品鱼-场次4</t>
  </si>
  <si>
    <t>随机奖品鱼-场次5</t>
  </si>
  <si>
    <t>ID_CONFIG_FISH_NAME_30059</t>
  </si>
  <si>
    <t>10元话费卡</t>
  </si>
  <si>
    <t>话费x10</t>
  </si>
  <si>
    <t>ID_CONFIG_FISH_NAME_30060</t>
  </si>
  <si>
    <t>30元话费卡</t>
  </si>
  <si>
    <t>话费x30</t>
  </si>
  <si>
    <t>ID_CONFIG_FISH_NAME_30061</t>
  </si>
  <si>
    <t>100元话费卡</t>
  </si>
  <si>
    <t>话费x100</t>
  </si>
  <si>
    <t>ID_CONFIG_FISH_NAME_31062</t>
  </si>
  <si>
    <t>100元京东卡</t>
  </si>
  <si>
    <t>京东卡x100</t>
  </si>
  <si>
    <t>ID_CONFIG_FISH_NAME_32063</t>
  </si>
  <si>
    <t>海星x1</t>
  </si>
  <si>
    <t>ID_CONFIG_FISH_NAME_32064</t>
  </si>
  <si>
    <t>海星x5</t>
  </si>
  <si>
    <t>ID_CONFIG_FISH_NAME_32065</t>
  </si>
  <si>
    <t>海星x20</t>
  </si>
  <si>
    <t>ID_CONFIG_FISH_NAME_32066</t>
  </si>
  <si>
    <t>海星x50</t>
  </si>
  <si>
    <t>ID_CONFIG_FISH_NAME_33074</t>
  </si>
  <si>
    <t>金钱鱼</t>
  </si>
  <si>
    <t>招财模式金钱鱼</t>
  </si>
  <si>
    <t>招财模式绿鳍鱼</t>
  </si>
  <si>
    <t>ID_CONFIG_FISH_NAME_33076</t>
  </si>
  <si>
    <t>鸭嘴兽</t>
  </si>
  <si>
    <t>招财模式鸭嘴兽</t>
  </si>
  <si>
    <t>ID_CONFIG_FISH_NAME_34077</t>
  </si>
  <si>
    <t>黄金海马</t>
  </si>
  <si>
    <t>招财模式黄金海马(倍率鱼)</t>
  </si>
  <si>
    <t>ID_CONFIG_FISH_NAME_35027</t>
  </si>
  <si>
    <t>黄金白鲨</t>
  </si>
  <si>
    <t>青铜招财珠黄金白鲨</t>
  </si>
  <si>
    <t>ID_CONFIG_FISH_NAME_12030</t>
  </si>
  <si>
    <t>海龙兽</t>
  </si>
  <si>
    <t>青铜招财珠海龙兽</t>
  </si>
  <si>
    <t>青铜招财珠小龙女</t>
  </si>
  <si>
    <t>冰龙宝宝</t>
  </si>
  <si>
    <t>青铜招财珠冰龙宝宝</t>
  </si>
  <si>
    <t>招财模式小龙女(Boss)</t>
  </si>
  <si>
    <t>ID_CONFIG_FISH_NAME_36078</t>
  </si>
  <si>
    <t>海妖</t>
  </si>
  <si>
    <t>招财模式海妖(Boss)</t>
  </si>
  <si>
    <t>ID_CONFIG_FISH_NAME_37083</t>
  </si>
  <si>
    <t>Buff鱼</t>
  </si>
  <si>
    <t>[10000,10002]</t>
  </si>
  <si>
    <t>[10000,10001]</t>
  </si>
  <si>
    <t>ID_CONFIG_FISH_NAME_11091</t>
  </si>
  <si>
    <t>河马</t>
  </si>
  <si>
    <t>荧光鱼河马</t>
  </si>
  <si>
    <t>ID_CONFIG_FISH_NAME_58109</t>
  </si>
  <si>
    <t>分享奖券鱼</t>
  </si>
  <si>
    <t>全渔场分享奖券鱼奖券x10</t>
  </si>
  <si>
    <t>ID_CONFIG_FISH_NAME_60118</t>
  </si>
  <si>
    <t>电鳗</t>
  </si>
  <si>
    <t>电鳗1</t>
  </si>
  <si>
    <t>ID_CONFIG_FISH_NAME_65119</t>
  </si>
  <si>
    <t>钻头鱼</t>
  </si>
  <si>
    <t>钻头1</t>
  </si>
  <si>
    <t>ID_CONFIG_FISH_NAME_70122</t>
  </si>
  <si>
    <t>波塞冬</t>
  </si>
  <si>
    <t>海皇来袭模式波塞冬</t>
  </si>
  <si>
    <t>ID_CONFIG_FISH_NAME_71201</t>
  </si>
  <si>
    <t>宝箱宝宝</t>
  </si>
  <si>
    <t>ID_CONFIG_FISH_NAME_71202</t>
  </si>
  <si>
    <t>宝箱妈妈</t>
  </si>
  <si>
    <t>ID_CONFIG_FISH_NAME_71203</t>
  </si>
  <si>
    <t>宝箱爸爸</t>
  </si>
  <si>
    <t>ID_CONFIG_FISH_NAME_73204</t>
  </si>
  <si>
    <t>北海巨妖触手</t>
  </si>
  <si>
    <t>ID_CONFIG_FISH_NAME_73205</t>
  </si>
  <si>
    <t>戒指触手</t>
  </si>
  <si>
    <t>ID_CONFIG_FISH_NAME_73206</t>
  </si>
  <si>
    <t>皇冠触手</t>
  </si>
  <si>
    <t>ID_CONFIG_FISH_NAME_74207</t>
  </si>
  <si>
    <t>龙女王阶段2</t>
  </si>
  <si>
    <t>龙女王</t>
  </si>
  <si>
    <t>ID_CONFIG_FISH_NAME_74215</t>
  </si>
  <si>
    <t>龙女王阶段1</t>
  </si>
  <si>
    <t>龙女王护罩</t>
  </si>
  <si>
    <t>ID_CONFIG_FISH_NAME_75208</t>
  </si>
  <si>
    <t>远古寒龙阶段1</t>
  </si>
  <si>
    <t>ID_CONFIG_FISH_NAME_75216</t>
  </si>
  <si>
    <r>
      <rPr>
        <sz val="14"/>
        <color indexed="8"/>
        <rFont val="宋体"/>
        <charset val="134"/>
      </rPr>
      <t>远古寒龙阶段</t>
    </r>
    <r>
      <rPr>
        <sz val="14"/>
        <color indexed="8"/>
        <rFont val="Tahoma"/>
        <charset val="134"/>
      </rPr>
      <t>2</t>
    </r>
  </si>
  <si>
    <t>ID_CONFIG_FISH_NAME_75209</t>
  </si>
  <si>
    <t>远古龙蛋</t>
  </si>
  <si>
    <t>ID_CONFIG_FISH_NAME_75210</t>
  </si>
  <si>
    <t>寒龙幼崽</t>
  </si>
  <si>
    <t>ID_CONFIG_FISH_NAME_76217</t>
  </si>
  <si>
    <t>彩虹小飞鱼盘</t>
  </si>
  <si>
    <t>ID_CONFIG_FISH_NAME_76218</t>
  </si>
  <si>
    <t>彩虹孔雀鱼盘</t>
  </si>
  <si>
    <t>ID_CONFIG_FISH_NAME_76219</t>
  </si>
  <si>
    <t>彩虹河豚盘</t>
  </si>
  <si>
    <t>ID_CONFIG_FISH_NAME_76220</t>
  </si>
  <si>
    <t>彩虹绿鳍鱼盘</t>
  </si>
  <si>
    <t>ID_CONFIG_FISH_NAME_76221</t>
  </si>
  <si>
    <t>彩虹海龟盘</t>
  </si>
  <si>
    <t>ID_CONFIG_FISH_NAME_76222</t>
  </si>
  <si>
    <t>彩虹剑鱼盘</t>
  </si>
  <si>
    <t>ID_CONFIG_FISH_NAME_76223</t>
  </si>
  <si>
    <t>彩虹狮子鱼盘</t>
  </si>
  <si>
    <t>ID_CONFIG_FISH_NAME_76224</t>
  </si>
  <si>
    <t>彩虹蝙蝠鱼盘</t>
  </si>
  <si>
    <t>ID_CONFIG_FISH_NAME_76225</t>
  </si>
  <si>
    <t>彩虹灯笼鱼盘</t>
  </si>
  <si>
    <t>ID_CONFIG_FISH_NAME_76226</t>
  </si>
  <si>
    <t>彩虹双髻鲨盘</t>
  </si>
  <si>
    <t>ID_CONFIG_FISH_NAME_76227</t>
  </si>
  <si>
    <t>彩虹大白鲨盘</t>
  </si>
  <si>
    <t>ID_CONFIG_FISH_NAME_77228</t>
  </si>
  <si>
    <t>火神珠</t>
  </si>
  <si>
    <t>ID_CONFIG_FISH_NAME_78229</t>
  </si>
  <si>
    <t>三叉戟</t>
  </si>
  <si>
    <t>ID_CONFIG_FISH_NAME_79230</t>
  </si>
  <si>
    <t>金钱箱</t>
  </si>
  <si>
    <t>ID_CONFIG_FISH_NAME_11018</t>
  </si>
  <si>
    <t>黄金龟</t>
  </si>
  <si>
    <t>ID_CONFIG_FISH_NAME_11092</t>
  </si>
  <si>
    <t>黄金水母</t>
  </si>
  <si>
    <t>ID_CONFIG_FISH_NAME_11021</t>
  </si>
  <si>
    <t>金蝙蝠鱼</t>
  </si>
  <si>
    <t>ID_CONFIG_FISH_NAME_11026</t>
  </si>
  <si>
    <t>黄金双髻鲨</t>
  </si>
  <si>
    <t>ID_CONFIG_FISH_NAME_11212</t>
  </si>
  <si>
    <t>金大白鲨</t>
  </si>
  <si>
    <t>ID_CONFIG_FISH_NAME_11214</t>
  </si>
  <si>
    <t>金河豚</t>
  </si>
  <si>
    <t>金财富龟</t>
  </si>
  <si>
    <t>ID_CONFIG_FISH_NAME_12029</t>
  </si>
  <si>
    <t>美人鱼</t>
  </si>
  <si>
    <t>skill_name</t>
  </si>
  <si>
    <t>skill_id</t>
  </si>
  <si>
    <t>skill_level</t>
  </si>
  <si>
    <t>cost</t>
  </si>
  <si>
    <t>power</t>
  </si>
  <si>
    <t>impale</t>
  </si>
  <si>
    <t>bullet</t>
  </si>
  <si>
    <t>interval</t>
  </si>
  <si>
    <t>duration</t>
  </si>
  <si>
    <t>cool_down</t>
  </si>
  <si>
    <t>weapon_id</t>
  </si>
  <si>
    <t>double</t>
  </si>
  <si>
    <t>isReturn</t>
  </si>
  <si>
    <t>技能名</t>
  </si>
  <si>
    <t>技能ID</t>
  </si>
  <si>
    <t>技能等级</t>
  </si>
  <si>
    <t>消耗子弹</t>
  </si>
  <si>
    <t>单发威力</t>
  </si>
  <si>
    <t>贯穿力</t>
  </si>
  <si>
    <t>技能子弹数</t>
  </si>
  <si>
    <t>每发间隔时间</t>
  </si>
  <si>
    <t>效果时间</t>
  </si>
  <si>
    <t>冷却时间</t>
  </si>
  <si>
    <t>对应武器</t>
  </si>
  <si>
    <t>双倍皮肤炮ID</t>
  </si>
  <si>
    <t>打空是否返还子弹</t>
  </si>
  <si>
    <t>合金飞弹</t>
  </si>
  <si>
    <t>[1290]</t>
  </si>
  <si>
    <t>火蛇加农炮</t>
  </si>
  <si>
    <t>榴弹炮</t>
  </si>
  <si>
    <t>汇能弹</t>
  </si>
  <si>
    <t>激光炮</t>
  </si>
  <si>
    <t>猎鱼机甲</t>
  </si>
  <si>
    <t>格林机关枪</t>
  </si>
  <si>
    <t>ability_type</t>
  </si>
  <si>
    <t>value_type</t>
  </si>
  <si>
    <t>skill_ability_type</t>
  </si>
  <si>
    <t>skill_ability_desc</t>
  </si>
  <si>
    <t>技能星级</t>
  </si>
  <si>
    <t>提升能力类型</t>
  </si>
  <si>
    <t>数值类型</t>
  </si>
  <si>
    <t>数值</t>
  </si>
  <si>
    <t>技能能力类型</t>
  </si>
  <si>
    <t>技能能力描述</t>
  </si>
  <si>
    <t>冷却时间减少[var]秒</t>
  </si>
  <si>
    <t>威力提高[var]%</t>
  </si>
  <si>
    <t>使召唤出的鱼在[var]秒内无法被其他玩家捕获</t>
  </si>
  <si>
    <t>无法被其他玩家捕获的时间增加[var]秒</t>
  </si>
  <si>
    <t>产生冰锥的数量增加[var]</t>
  </si>
  <si>
    <t>子弹总数量增加[var]发</t>
  </si>
  <si>
    <t>机器人耐久提高[var]%</t>
  </si>
  <si>
    <t>提高对远距离鱼的威力</t>
  </si>
  <si>
    <t>冰锥HP在[var]%以上受到致命伤害时HP最低为1</t>
  </si>
  <si>
    <t>被贯穿的鱼必被捕获</t>
  </si>
  <si>
    <t>爆炸范围变大[var]%</t>
  </si>
  <si>
    <t>子弹飞行时间减少[var]%</t>
  </si>
  <si>
    <t>喷射距离提升[var]%</t>
  </si>
  <si>
    <t>连续发炮的时间间隔减少[var]%</t>
  </si>
  <si>
    <t>冻结范围变大[var]%</t>
  </si>
  <si>
    <t>提高[var]%炮弹飞行速度</t>
  </si>
  <si>
    <t>反弹次数增加[var]次</t>
  </si>
  <si>
    <t>有效范围变大[var]%</t>
  </si>
  <si>
    <t>魔法球的飞行速度提高[var]%</t>
  </si>
  <si>
    <t>激光炮范围变宽[var]%</t>
  </si>
  <si>
    <t>蓄力时间减少[var]%</t>
  </si>
  <si>
    <t xml:space="preserve"> 机器人射出的子弹可反弹[var]次</t>
  </si>
  <si>
    <t>机器人射出的子弹速度提高[var]%</t>
  </si>
  <si>
    <t>机器人自爆时的范围增加[var]%</t>
  </si>
  <si>
    <t>每天可在最高[var]倍下免费使用1次</t>
  </si>
  <si>
    <t>fish_pool</t>
  </si>
  <si>
    <t>fish1</t>
  </si>
  <si>
    <t>fish2</t>
  </si>
  <si>
    <t>fish3</t>
  </si>
  <si>
    <t>probb3</t>
  </si>
  <si>
    <t>fish4</t>
  </si>
  <si>
    <t>probb4</t>
  </si>
  <si>
    <t>fish5</t>
  </si>
  <si>
    <t>probb5</t>
  </si>
  <si>
    <t>fish6</t>
  </si>
  <si>
    <t>probb6</t>
  </si>
  <si>
    <t>渔场</t>
  </si>
  <si>
    <t>间隔(秒)</t>
  </si>
  <si>
    <t>鱼ID</t>
  </si>
  <si>
    <t>概率</t>
  </si>
  <si>
    <t>canBuyIdx</t>
  </si>
  <si>
    <t>idx</t>
  </si>
  <si>
    <t>product_id</t>
  </si>
  <si>
    <t>buy_type</t>
  </si>
  <si>
    <t>price_direct</t>
  </si>
  <si>
    <t>price_diamond</t>
  </si>
  <si>
    <t>other_buyType</t>
  </si>
  <si>
    <t>des</t>
  </si>
  <si>
    <t>level</t>
  </si>
  <si>
    <t>free_rewards</t>
  </si>
  <si>
    <t>recharge_bonus</t>
  </si>
  <si>
    <t>paid_rewards</t>
  </si>
  <si>
    <t>str</t>
  </si>
  <si>
    <t>可购买索引</t>
  </si>
  <si>
    <t>索引</t>
  </si>
  <si>
    <t>商品id</t>
  </si>
  <si>
    <t>基金名字</t>
  </si>
  <si>
    <t>购买方式</t>
  </si>
  <si>
    <t>价格/元</t>
  </si>
  <si>
    <t>钻石价格</t>
  </si>
  <si>
    <t>其他购买方式</t>
  </si>
  <si>
    <t>标题宣传语</t>
  </si>
  <si>
    <t>要求火炮倍率</t>
  </si>
  <si>
    <t>商品索引</t>
  </si>
  <si>
    <t>免费奖励</t>
  </si>
  <si>
    <t>免费奖励数量</t>
  </si>
  <si>
    <t>充值奖池</t>
  </si>
  <si>
    <t>基金奖励</t>
  </si>
  <si>
    <t>基金奖励数量</t>
  </si>
  <si>
    <t>[1,2,3,4,6]</t>
  </si>
  <si>
    <t>TY0044F00300001</t>
  </si>
  <si>
    <t>ID_CONFIG_LEVEL_FUNDS_NAME_QIHANG</t>
  </si>
  <si>
    <t>diamond</t>
  </si>
  <si>
    <t>{"voucher": 30}</t>
  </si>
  <si>
    <r>
      <rPr>
        <sz val="14"/>
        <color rgb="FF000000"/>
        <rFont val="华文宋体"/>
        <charset val="134"/>
      </rPr>
      <t>30,</t>
    </r>
    <r>
      <rPr>
        <sz val="14"/>
        <color rgb="FF000000"/>
        <rFont val="Tahoma"/>
        <charset val="134"/>
      </rPr>
      <t>100</t>
    </r>
    <r>
      <rPr>
        <sz val="14"/>
        <color rgb="FF000000"/>
        <rFont val="华文宋体"/>
        <charset val="134"/>
      </rPr>
      <t>万</t>
    </r>
  </si>
  <si>
    <t>火舌加农炮技能卡</t>
  </si>
  <si>
    <t>[{"name":1147,"count":1}]</t>
  </si>
  <si>
    <t>40000金币</t>
  </si>
  <si>
    <t>[{"name":101,"count":40000}]</t>
  </si>
  <si>
    <t>TY0044F01980001</t>
  </si>
  <si>
    <t>ID_CONFIG_LEVEL_FUNDS_NAME_ADVANCED</t>
  </si>
  <si>
    <t>{"voucher": 198}</t>
  </si>
  <si>
    <r>
      <rPr>
        <sz val="14"/>
        <color rgb="FF000000"/>
        <rFont val="华文宋体"/>
        <charset val="134"/>
      </rPr>
      <t>198,</t>
    </r>
    <r>
      <rPr>
        <sz val="14"/>
        <color rgb="FF000000"/>
        <rFont val="Tahoma"/>
        <charset val="134"/>
      </rPr>
      <t>600</t>
    </r>
    <r>
      <rPr>
        <sz val="14"/>
        <color rgb="FF000000"/>
        <rFont val="华文宋体"/>
        <charset val="134"/>
      </rPr>
      <t>万</t>
    </r>
  </si>
  <si>
    <t>[{"name":101,"count":2500}]</t>
  </si>
  <si>
    <t>50000金币</t>
  </si>
  <si>
    <t>[{"name":101,"count":50000}]</t>
  </si>
  <si>
    <t>TY0044F03280001</t>
  </si>
  <si>
    <t>ID_CONFIG_LEVEL_FUNDS_NAME_TALENT</t>
  </si>
  <si>
    <t>{"voucher": 328}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</si>
  <si>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1000</t>
    </r>
    <r>
      <rPr>
        <sz val="14"/>
        <color rgb="FF000000"/>
        <rFont val="华文宋体"/>
        <charset val="134"/>
      </rPr>
      <t>万</t>
    </r>
  </si>
  <si>
    <t>[{"name":101,"count":3000}]</t>
  </si>
  <si>
    <t>[{"name":101,"count":60000}]</t>
  </si>
  <si>
    <t>TY0044F06480001</t>
  </si>
  <si>
    <t>ID_CONFIG_LEVEL_FUNDS_NAME_REGAL</t>
  </si>
  <si>
    <t>{"voucher": 648}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</si>
  <si>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2000</t>
    </r>
    <r>
      <rPr>
        <sz val="14"/>
        <color rgb="FF000000"/>
        <rFont val="华文宋体"/>
        <charset val="134"/>
      </rPr>
      <t>万</t>
    </r>
  </si>
  <si>
    <t>[{"name":101,"count":4000}]</t>
  </si>
  <si>
    <t>[{"name":101,"count":70000}]</t>
  </si>
  <si>
    <t>TY0044F03280002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</si>
  <si>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1100</t>
    </r>
    <r>
      <rPr>
        <sz val="14"/>
        <color rgb="FF000000"/>
        <rFont val="华文宋体"/>
        <charset val="134"/>
      </rPr>
      <t>万</t>
    </r>
  </si>
  <si>
    <t>合金飞弹升星卡</t>
  </si>
  <si>
    <t>[{"name": 1155,"count":200}]</t>
  </si>
  <si>
    <t>[{"name":101,"count":80000}]</t>
  </si>
  <si>
    <t>TY0044F06480002</t>
  </si>
  <si>
    <t>ID_CONFIG_LEVEL_FUNDS_NAME_KING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</si>
  <si>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2500</t>
    </r>
    <r>
      <rPr>
        <sz val="14"/>
        <color rgb="FF000000"/>
        <rFont val="华文宋体"/>
        <charset val="134"/>
      </rPr>
      <t>万</t>
    </r>
  </si>
  <si>
    <t>[{"name":101,"count":5000}]</t>
  </si>
  <si>
    <t>[{"name":101,"count":90000}]</t>
  </si>
  <si>
    <t>TY0044F03280003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</si>
  <si>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1300</t>
    </r>
    <r>
      <rPr>
        <sz val="14"/>
        <color rgb="FF000000"/>
        <rFont val="华文宋体"/>
        <charset val="134"/>
      </rPr>
      <t>万</t>
    </r>
  </si>
  <si>
    <t>海星</t>
  </si>
  <si>
    <t>[{"name": 3106,"count":50,"des":"比赛门票"}]</t>
  </si>
  <si>
    <t>[{"name":101,"count":100000}]</t>
  </si>
  <si>
    <t>[{"name":101,"count":8000}]</t>
  </si>
  <si>
    <t>[{"name":101,"count":120000}]</t>
  </si>
  <si>
    <t>50钻石满减券</t>
  </si>
  <si>
    <t>[{"name": 13560,"count":1}]</t>
  </si>
  <si>
    <t>[{"name":101,"count":150000}]</t>
  </si>
  <si>
    <t>[{"name":101,"count":10000}]</t>
  </si>
  <si>
    <t>[{"name":101,"count":180000}]</t>
  </si>
  <si>
    <t>汇能弹技能卡</t>
  </si>
  <si>
    <t>[{"name": 1150,"count":15,"des":"稀有技能"}]</t>
  </si>
  <si>
    <t>[{"name":101,"count":200000}]</t>
  </si>
  <si>
    <t>[{"name":101,"count":15000}]</t>
  </si>
  <si>
    <t>[{"name":101,"count":800000}]</t>
  </si>
  <si>
    <t>冷却</t>
  </si>
  <si>
    <t>[{"name":1408,"count":15}]</t>
  </si>
  <si>
    <t>[{"name":101,"count":1000000}]</t>
  </si>
  <si>
    <t>[{"name":101,"count":20000}]</t>
  </si>
  <si>
    <t>[{"name":101,"count":1200000}]</t>
  </si>
  <si>
    <t>炎龙</t>
  </si>
  <si>
    <t>[{"name": 1166,"count":72,"des":"强力炮台"}]</t>
  </si>
  <si>
    <t>[{"name":101,"count":1500000}]</t>
  </si>
  <si>
    <t>[{"name":101,"count":25000}]</t>
  </si>
  <si>
    <t>[{"name":101,"count":2000000}]</t>
  </si>
  <si>
    <t>[{"name": 3106,"count":200,"des":"比赛门票"}]</t>
  </si>
  <si>
    <t>[{"name":101,"count":30000}]</t>
  </si>
  <si>
    <t>[{"name":101,"count":1800000}]</t>
  </si>
  <si>
    <t>120钻石满减券</t>
  </si>
  <si>
    <t>[{"name": 13561,"count":1}]</t>
  </si>
  <si>
    <t>[{"name":101,"count":2100000}]</t>
  </si>
  <si>
    <t>[{"name":101,"count":2400000}]</t>
  </si>
  <si>
    <t>激光炮技能卡</t>
  </si>
  <si>
    <t>[{"name": 1152,"count":25,"des":"稀有技能"}]</t>
  </si>
  <si>
    <t>[{"name":101,"count":3000000}]</t>
  </si>
  <si>
    <t>激光炮升星卡</t>
  </si>
  <si>
    <t>[{"name": 1162,"count":200}]</t>
  </si>
  <si>
    <t>[{"name":101,"count":3500000}]</t>
  </si>
  <si>
    <t>[{"name":101,"count":4000000}]</t>
  </si>
  <si>
    <t>魅影</t>
  </si>
  <si>
    <t>[{"name": 1167,"count":72}]</t>
  </si>
  <si>
    <t>[{"name":101,"count":5000000}]</t>
  </si>
  <si>
    <t>[{"name":101,"count":6000000}]</t>
  </si>
  <si>
    <t>[{"name":101,"count":2200000}]</t>
  </si>
  <si>
    <t>[{"name":101,"count":2500000}]</t>
  </si>
  <si>
    <t>230满减券</t>
  </si>
  <si>
    <t>[{"name": 13562,"count":1}]</t>
  </si>
  <si>
    <t>红宝石</t>
  </si>
  <si>
    <t>[{"name": 13543,"count":200}]</t>
  </si>
  <si>
    <t>暮刃</t>
  </si>
  <si>
    <t>[{"name": 1290,"count":72,"des":"技能双倍！"}]</t>
  </si>
  <si>
    <t>[{"name":101,"count":7000000}]</t>
  </si>
  <si>
    <t>xianlai.h5</t>
  </si>
  <si>
    <t>[{"name": 13543,"count":20}]</t>
  </si>
  <si>
    <t>[{"name": 13543,"count":100}]</t>
  </si>
  <si>
    <t>光辉</t>
  </si>
  <si>
    <t>[{"name": 1289,"count":72}]</t>
  </si>
  <si>
    <t>mode</t>
  </si>
  <si>
    <t>currencyList</t>
  </si>
  <si>
    <t>id</t>
  </si>
  <si>
    <t>exchangeTimes</t>
  </si>
  <si>
    <t>costTypeCount</t>
  </si>
  <si>
    <t>costItem1</t>
  </si>
  <si>
    <t>costItem3</t>
  </si>
  <si>
    <t>listCount</t>
  </si>
  <si>
    <t>gainItem1</t>
  </si>
  <si>
    <t>gainItem2</t>
  </si>
  <si>
    <t>gainItem3</t>
  </si>
  <si>
    <t>gainItem4</t>
  </si>
  <si>
    <t>gainItem5</t>
  </si>
  <si>
    <t>金币0/金环1</t>
  </si>
  <si>
    <t>货币列表</t>
  </si>
  <si>
    <t>兑换的唯一标识</t>
  </si>
  <si>
    <t>兑换次数</t>
  </si>
  <si>
    <t>消耗类型数量</t>
  </si>
  <si>
    <t>消耗物品</t>
  </si>
  <si>
    <t>兑换列表数量</t>
  </si>
  <si>
    <t>兑换物品</t>
  </si>
  <si>
    <t>box</t>
  </si>
  <si>
    <t>[13757,14166]</t>
  </si>
  <si>
    <t>{"name":13757, "count":10}</t>
  </si>
  <si>
    <t/>
  </si>
  <si>
    <t>{"name":101, "minCount": 10000, "maxCount": 10000}</t>
  </si>
  <si>
    <t>octopus</t>
  </si>
  <si>
    <t>[13758,13759,13760,14166]</t>
  </si>
  <si>
    <t>{"name":13757, "count":100}</t>
  </si>
  <si>
    <t>{"name":101, "minCount": 100000, "maxCount": 100000}</t>
  </si>
  <si>
    <t>queen</t>
  </si>
  <si>
    <t>[13761,14166]</t>
  </si>
  <si>
    <t>{"name":14125, "minCount": 1, "maxCount": 1}</t>
  </si>
  <si>
    <t>dragon</t>
  </si>
  <si>
    <t>[13762,14166]</t>
  </si>
  <si>
    <t>{"name":13757, "count":4}</t>
  </si>
  <si>
    <t>{"name":111111, "minCount": 1, "maxCount": 1}</t>
  </si>
  <si>
    <t>[13763,14166]</t>
  </si>
  <si>
    <t>{"name":14166, "count":1}</t>
  </si>
  <si>
    <t>{"name":1301, "minCount": 2, "maxCount": 2}</t>
  </si>
  <si>
    <t>[13764,13765,14114,14166]</t>
  </si>
  <si>
    <t>{"name":13757, "count":50}</t>
  </si>
  <si>
    <t>{"name":14166, "count":5}</t>
  </si>
  <si>
    <t>{"name":1193, "minCount": 1, "maxCount": 1}</t>
  </si>
  <si>
    <t>[14115,14166]</t>
  </si>
  <si>
    <t>{"name":13757, "count":250}</t>
  </si>
  <si>
    <t>{"name":14166, "count":25}</t>
  </si>
  <si>
    <t>{"name":1194, "minCount": 1, "maxCount": 1}</t>
  </si>
  <si>
    <t>[14116,14166]</t>
  </si>
  <si>
    <t>{"name":13763, "count":5}</t>
  </si>
  <si>
    <t>{"name":13763, "count":50}</t>
  </si>
  <si>
    <t>{"name":13763, "count":100}</t>
  </si>
  <si>
    <t>{"name":14126, "minCount": 1, "maxCount": 1}</t>
  </si>
  <si>
    <t>{"name":13763, "count":250}</t>
  </si>
  <si>
    <t>{"name":14127, "minCount": 1, "maxCount": 1}</t>
  </si>
  <si>
    <t>{"name":13763, "count":2}</t>
  </si>
  <si>
    <t>{"name":13763, "count":1000}</t>
  </si>
  <si>
    <t>{"name":222222, "minCount": 1, "maxCount": 1}</t>
  </si>
  <si>
    <t>{"name":13763, "count":5000}</t>
  </si>
  <si>
    <t>{"name":333333, "minCount": 1, "maxCount": 1}</t>
  </si>
  <si>
    <t>{"name":13763, "count":10}</t>
  </si>
  <si>
    <t>{"name":1301, "minCount": 1, "maxCount": 1}</t>
  </si>
  <si>
    <t>{"name":13763, "count":500}</t>
  </si>
  <si>
    <t>{"name":13758, "count":10}</t>
  </si>
  <si>
    <t>{"name":101, "minCount": 50000, "maxCount": 50000}</t>
  </si>
  <si>
    <t>{"name":13758, "count":100}</t>
  </si>
  <si>
    <t>{"name":101, "minCount": 500000, "maxCount": 500000}</t>
  </si>
  <si>
    <t>{"name":13758, "count":20}</t>
  </si>
  <si>
    <t>{"name":13758, "count":40}</t>
  </si>
  <si>
    <t>{"name":13758, "count":4}</t>
  </si>
  <si>
    <t>{"name":111111, "minCount": 5, "maxCount": 5}</t>
  </si>
  <si>
    <t>{"name":13758, "count":2}</t>
  </si>
  <si>
    <t>{"name":13758, "count":50}</t>
  </si>
  <si>
    <t>{"name":13759, "count":1}</t>
  </si>
  <si>
    <t>{"name":13758, "minCount": 2, "maxCount": 2}</t>
  </si>
  <si>
    <t>{"name":13760, "count":1}</t>
  </si>
  <si>
    <t>{"name":13758, "minCount": 4, "maxCount": 4}</t>
  </si>
  <si>
    <t>{"name":13764, "count":5}</t>
  </si>
  <si>
    <t>{"name":13764, "count":50}</t>
  </si>
  <si>
    <t>{"name":13764, "count":10}</t>
  </si>
  <si>
    <t>{"name":13764, "count":20}</t>
  </si>
  <si>
    <t>{"name":13764, "count":2}</t>
  </si>
  <si>
    <t>{"name":13764, "count":100}</t>
  </si>
  <si>
    <t>{"name":13764, "count":200}</t>
  </si>
  <si>
    <t>{"name":13764, "count":1000}</t>
  </si>
  <si>
    <t>{"name":13765, "count":1}</t>
  </si>
  <si>
    <t>{"name":13764, "minCount": 2, "maxCount": 2}</t>
  </si>
  <si>
    <t>{"name":14114, "count":1}</t>
  </si>
  <si>
    <t>{"name":13764, "minCount": 4, "maxCount": 4}</t>
  </si>
  <si>
    <t>{"name":13761, "count":100}</t>
  </si>
  <si>
    <t>{"name":13761, "count":1000}</t>
  </si>
  <si>
    <t>{"name":101, "minCount": 1000000, "maxCount": 1000000}</t>
  </si>
  <si>
    <t>{"name":13761, "count":200}</t>
  </si>
  <si>
    <t>{"name":13761, "count":500}</t>
  </si>
  <si>
    <t>{"name":13761, "count":8}</t>
  </si>
  <si>
    <t>{"name":111111, "minCount": 2, "maxCount": 2}</t>
  </si>
  <si>
    <t>{"name":13761, "count":10}</t>
  </si>
  <si>
    <t>{"name":13761, "count":50}</t>
  </si>
  <si>
    <t>{"name":13761, "count":250}</t>
  </si>
  <si>
    <t>{"name":14115, "count":50}</t>
  </si>
  <si>
    <t>{"name":14115, "count":500}</t>
  </si>
  <si>
    <t>{"name":14115, "count":100}</t>
  </si>
  <si>
    <t>{"name":14125, "minCount": 2, "maxCount": 2}</t>
  </si>
  <si>
    <t>{"name":14115, "count":200}</t>
  </si>
  <si>
    <t>{"name":14126, "minCount": 2, "maxCount": 2}</t>
  </si>
  <si>
    <t>{"name":14127, "minCount": 2, "maxCount": 2}</t>
  </si>
  <si>
    <t>{"name":14115, "count":10}</t>
  </si>
  <si>
    <t>{"name":14115, "count":2}</t>
  </si>
  <si>
    <t>{"name":14115, "count":1000}</t>
  </si>
  <si>
    <t>{"name":14115, "count":5000}</t>
  </si>
  <si>
    <t>{"name":13762, "count":2}</t>
  </si>
  <si>
    <t>{"name":13762, "count":20}</t>
  </si>
  <si>
    <t>{"name":13762, "count":4}</t>
  </si>
  <si>
    <t>{"name":13762, "count":10}</t>
  </si>
  <si>
    <t>{"name":13762, "count":1}</t>
  </si>
  <si>
    <t>{"name":1301, "minCount": 10, "maxCount": 10}</t>
  </si>
  <si>
    <t>{"name":13762, "count":5}</t>
  </si>
  <si>
    <t>{"name":1193, "minCount": 5, "maxCount": 5}</t>
  </si>
  <si>
    <t>{"name":14166, "count":50}</t>
  </si>
  <si>
    <t>{"name":1194, "minCount": 2, "maxCount": 2}</t>
  </si>
  <si>
    <t>{"name":111111, "minCount": 25, "maxCount": 25}</t>
  </si>
  <si>
    <t>{"name":14116, "count":1}</t>
  </si>
  <si>
    <t>{"name":14116, "count":10}</t>
  </si>
  <si>
    <t>{"name":14116, "count":2}</t>
  </si>
  <si>
    <t>{"name":14116, "count":5}</t>
  </si>
  <si>
    <t>{"name":1301, "minCount": 5, "maxCount": 5}</t>
  </si>
  <si>
    <t>{"name":14116, "count":20}</t>
  </si>
  <si>
    <t>{"name":14116, "count":100}</t>
  </si>
  <si>
    <t>maxTimes</t>
  </si>
  <si>
    <t>costItem</t>
  </si>
  <si>
    <t>rewardItem</t>
  </si>
  <si>
    <t>最大次数</t>
  </si>
  <si>
    <t>炮台倍数限制</t>
  </si>
  <si>
    <t>[101, 13757]</t>
  </si>
  <si>
    <t>[{"name":13757, "count":4}]</t>
  </si>
  <si>
    <t>[{"2000":[{"name":101, "count": 15000, "probb": 3334},{"name":101, "count": 40000, "probb": 3333},{"name":101, "count": 60000, "probb": 3333}]},{"2000":[{"name":101, "count": 15000, "probb": 2500},{"name":101, "count": 30000, "probb": 4500},{"name":101, "count": 70000, "probb": 3000}]},{"2000":[{"name":101, "count": 12000, "probb": 3334},{"name":101, "count": 27000, "probb": 3333},{"name":101, "count": 76000, "probb": 3333}]},{"2000":[{"name":101, "count": 12000, "probb": 2000},{"name":101, "count": 35000, "probb": 6000},{"name":101, "count": 76000, "probb": 2000}]},{"2000":[{"name":101, "count": 15000, "probb": 3000},{"name":101, "count": 35000, "probb": 6000},{"name":101, "count": 130000, "probb": 1000}]}]</t>
  </si>
  <si>
    <t>[101, 13763]</t>
  </si>
  <si>
    <t>[{"name":13757, "count":25}]</t>
  </si>
  <si>
    <t>[{"2000":[{"name":101, "count": 160000, "probb": 3000},{"name":101, "count": 240000, "probb": 5000},{"name":101, "count": 360000, "probb": 2000}]},{"2000":[{"name":101, "count": 120000, "probb": 3334},{"name":101, "count": 240000, "probb": 3333},{"name":101, "count": 360000, "probb": 3333}]},{"2000":[{"name":101, "count": 100000, "probb": 3334},{"name":101, "count": 240000, "probb": 3333},{"name":101, "count": 400000, "probb": 3333}]},{"2000":[{"name":101, "count": 100000, "probb": 2500},{"name":101, "count": 200000, "probb": 4500},{"name":101, "count": 450000, "probb": 3000}]},{"2000":[{"name":101, "count": 80000, "probb": 3334},{"name":101, "count": 180000, "probb": 3333},{"name":101, "count": 500000, "probb": 3333}]}]</t>
  </si>
  <si>
    <t>[101, 1402]</t>
  </si>
  <si>
    <t>[{"name":13757, "count":120}]</t>
  </si>
  <si>
    <t>[{"2000":[{"name":101, "count": 840000, "probb": 3334},{"name":101, "count": 1080000, "probb": 3333},{"name":101, "count": 1680000, "probb": 3333}]},{"2000":[{"name":101, "count": 720000, "probb": 3000},{"name":101, "count": 1200000, "probb": 5000},{"name":101, "count": 1920000, "probb": 2000}]},{"2000":[{"name":101, "count": 600000, "probb": 3334},{"name":101, "count": 1200000, "probb": 3333},{"name":101, "count": 1800000, "probb": 3333}]},{"2000":[{"name":101, "count": 480000, "probb": 3334},{"name":101, "count": 1200000, "probb": 3333},{"name":101, "count": 1920000, "probb": 3333}]},{"2000":[{"name":101, "count": 480000, "probb": 2500},{"name":101, "count": 960000, "probb": 4500},{"name":101, "count": 2160000, "probb": 3000}]}]</t>
  </si>
  <si>
    <t>[{"name":13757, "count":600}]</t>
  </si>
  <si>
    <t>[{"2000":[{"name":101, "count": 4200000, "probb": 3334},{"name":101, "count": 5400000, "probb": 3333},{"name":101, "count": 8400000, "probb": 3333}]},{"2000":[{"name":101, "count": 3600000, "probb": 3000},{"name":101, "count": 6000000, "probb": 5000},{"name":101, "count": 9600000, "probb": 2000}]},{"2000":[{"name":101, "count": 3000000, "probb": 3334},{"name":101, "count": 6000000, "probb": 3333},{"name":101, "count": 9000000, "probb": 3333}]},{"2000":[{"name":101, "count": 2400000, "probb": 3334},{"name":101, "count": 6000000, "probb": 3333},{"name":101, "count": 9600000, "probb": 3333}]},{"2000":[{"name":101, "count": 2400000, "probb": 2500},{"name":101, "count": 4800000, "probb": 4500},{"name":101, "count": 10800000, "probb": 3000}]}]</t>
  </si>
  <si>
    <t>[101, 13761]</t>
  </si>
  <si>
    <t>[{"name":13763, "count":120}]</t>
  </si>
  <si>
    <t>[{"2000":[{"name":101, "count": 480000, "probb": 3334},{"name":101, "count": 1200000, "probb": 3333},{"name":101, "count": 2000000, "probb": 3333}]},{"2000":[{"name":101, "count": 480000, "probb": 2500},{"name":101, "count": 960000, "probb": 4500},{"name":101, "count": 2000000, "probb": 3000}]},{"2000":[{"name":101, "count": 360000, "probb": 3334},{"name":101, "count": 800000, "probb": 3333},{"name":101, "count": 2400000, "probb": 3333}]},{"2000":[{"name":101, "count": 360000, "probb": 2000},{"name":101, "count": 1200000, "probb": 6000},{"name":101, "count": 2400000, "probb": 2000}]},{"2000":[{"name":101, "count": 480000, "probb": 3000},{"name":101, "count": 1000000, "probb": 6000},{"name":101, "count": 4000000, "probb": 1000}]}]</t>
  </si>
  <si>
    <t>[{"name":13763, "count":600}]</t>
  </si>
  <si>
    <t>[{"2000":[{"name":101, "count": 3600000, "probb": 3000},{"name":101, "count": 6000000, "probb": 5000},{"name":101, "count": 9600000, "probb": 2000}]},{"2000":[{"name":101, "count": 3000000, "probb": 3334},{"name":101, "count": 6000000, "probb": 3333},{"name":101, "count": 9000000, "probb": 3333}]},{"2000":[{"name":101, "count": 2400000, "probb": 3334},{"name":101, "count": 6000000, "probb": 3333},{"name":101, "count": 9600000, "probb": 3333}]},{"2000":[{"name":101, "count": 2400000, "probb": 2500},{"name":101, "count": 4800000, "probb": 4500},{"name":101, "count": 10800000, "probb": 3000}]},{"2000":[{"name":101, "count": 1800000, "probb": 2000},{"name":101, "count": 5400000, "probb": 6000},{"name":101, "count": 12000000, "probb": 2000}]}]</t>
  </si>
  <si>
    <t>[101, 13762]</t>
  </si>
  <si>
    <t>[{"name":13763, "count":2500}]</t>
  </si>
  <si>
    <t>[{"2000":[{"name":101, "count": 17500000, "probb": 3334},{"name":101, "count": 22500000, "probb": 333.3},{"name":101, "count": 35000000, "probb": 3333}]},{"2000":[{"name":101, "count": 15000000, "probb": 3000},{"name":101, "count": 25000000, "probb": 5000},{"name":101, "count": 40000000, "probb": 2000}]},{"2000":[{"name":101, "count": 12500000, "probb": 3334},{"name":101, "count": 25000000, "probb": 3333},{"name":101, "count": 37500000, "probb": 3333}]},{"2000":[{"name":101, "count": 10000000, "probb": 3334},{"name":101, "count": 25000000, "probb": 3333},{"name":101, "count": 40000000, "probb": 3333}]},{"2000":[{"name":101, "count": 10000000, "probb": 2500},{"name":101, "count": 20000000, "probb": 4500},{"name":101, "count": 45000000, "probb": 3000}]}]</t>
  </si>
  <si>
    <t>[101, 14116]</t>
  </si>
  <si>
    <t>[{"name":13758, "count": 3}]</t>
  </si>
  <si>
    <t>[{"name":101, "count": 30000, "probb": 1666},{"name":101, "count": 60000, "probb": 1666},{"name":101, "count": 120000, "probb": 1666},{"name":101, "count": 180000, "probb": 1666},{"name":101, "count": 225000, "probb": 1666},{"name":101, "count": 250000, "probb": 1666}]</t>
  </si>
  <si>
    <t>[{"name":13758, "count": 2},{"name":13759,"count":1}]</t>
  </si>
  <si>
    <t>[{"name":101, "count": 80000, "probb": 2000},{"name":101, "count": 135000, "probb": 2000},{"name":101, "count": 200000, "probb": 2000},{"name":101, "count": 240000, "probb": 2000},{"name":101, "count": 300000, "probb": 1000},{"name":101, "count": 350000, "probb": 1000}]</t>
  </si>
  <si>
    <t>[{"name":13758, "count": 3},{"name":13759,"count":1},{"name":13760,"count":1}]</t>
  </si>
  <si>
    <t>[{"name":101, "count": 90000, "probb": 1000},{"name":101, "count": 270000, "probb": 1000},{"name":101, "count": 360000, "probb": 1500},{"name":101, "count": 450000, "probb": 2000},{"name":101, "count": 540000, "probb": 2500},{"name":101, "count": 675000, "probb": 2000}]</t>
  </si>
  <si>
    <t>[{"name":13758, "count": 15}]</t>
  </si>
  <si>
    <t>[{"name":101, "count": 150000, "probb": 1666},{"name":101, "count": 300000, "probb": 1666},{"name":101, "count": 600000, "probb": 1666},{"name":101, "count": 850000, "probb": 1666},{"name":101, "count": 1120000, "probb": 1666},{"name":101, "count": 1300000, "probb": 1666}]</t>
  </si>
  <si>
    <t>[{"name":13758, "count": 10},{"name":13759,"count":5}]</t>
  </si>
  <si>
    <t>[{"name":101, "count": 300000, "probb": 2000},{"name":101, "count": 750000, "probb": 2000},{"name":101, "count": 1000000, "probb": 2000},{"name":101, "count": 1200000, "probb": 2000},{"name":101, "count": 1500000, "probb": 1000},{"name":101, "count": 1800000, "probb": 1000}]</t>
  </si>
  <si>
    <t>[{"name":13758, "count": 15},{"name":13759,"count":5},{"name":13760,"count":5}]</t>
  </si>
  <si>
    <t>[{"name":101, "count": 450000, "probb": 1000},{"name":101, "count": 1200000, "probb": 1000},{"name":101, "count": 1800000, "probb": 1500},{"name":101, "count": 2200000, "probb": 2000},{"name":101, "count": 2700000, "probb": 2500},{"name":101, "count": 3500000, "probb": 2000}]</t>
  </si>
  <si>
    <t>[{"name":13758, "count": 50}]</t>
  </si>
  <si>
    <t>[{"name":101, "count": 500000, "probb": 1666},{"name":101, "count": 1000000, "probb": 1666},{"name":101, "count": 1800000, "probb": 1666},{"name":101, "count": 3000000, "probb": 1666},{"name":101, "count": 3600000, "probb": 1666},{"name":101, "count": 4500000, "probb": 1666}]</t>
  </si>
  <si>
    <t>[{"name":13758, "count": 30},{"name":13759,"count":15}]</t>
  </si>
  <si>
    <t>[{"name":101, "count": 1250000, "probb": 2000},{"name":101, "count": 2000000, "probb": 2000},{"name":101, "count": 3000000, "probb": 2000},{"name":101, "count": 3500000, "probb": 2000},{"name":101, "count": 4500000, "probb": 1000},{"name":101, "count": 5400000, "probb": 1000}]</t>
  </si>
  <si>
    <t>[{"name":13758, "count": 50},{"name":13759,"count":15},{"name":13760,"count":15}]</t>
  </si>
  <si>
    <t>[{"name":101, "count": 1400000, "probb": 1000},{"name":101, "count": 4200000, "probb": 1000},{"name":101, "count": 5600000, "probb": 1500},{"name":101, "count": 7000000, "probb": 2000},{"name":101, "count": 8400000, "probb": 2500},{"name":101, "count": 10500000, "probb": 2000}]</t>
  </si>
  <si>
    <t>[{"name":13758, "count": 300}]</t>
  </si>
  <si>
    <t>[{"name":101, "count": 3000000, "probb": 1666},{"name":101, "count": 6000000, "probb": 1666},{"name":101, "count": 12000000, "probb": 1666},{"name":101, "count": 18000000, "probb": 1666},{"name":101, "count": 20000000, "probb": 1666},{"name":101, "count": 27500000, "probb": 1666}]</t>
  </si>
  <si>
    <t>[{"name":13758, "count": 200},{"name":13759,"count":100}]</t>
  </si>
  <si>
    <t>[{"name":101, "count": 7500000, "probb": 2000},{"name":101, "count": 13000000, "probb": 2000},{"name":101, "count": 20000000, "probb": 2000},{"name":101, "count": 25000000, "probb": 2000},{"name":101, "count": 30000000, "probb": 1000},{"name":101, "count": 35000000, "probb": 1000}]</t>
  </si>
  <si>
    <t>[{"name":13758, "count": 300},{"name":13759,"count":100},{"name":13760,"count":100}]</t>
  </si>
  <si>
    <t>[{"name":101, "count": 9000000, "probb": 1000},{"name":101, "count": 27000000, "probb": 1000},{"name":101, "count": 36000000, "probb": 1500},{"name":101, "count": 45000000, "probb": 2000},{"name":101, "count": 54000000, "probb": 2500},{"name":101, "count": 67500000, "probb": 2000}]</t>
  </si>
  <si>
    <t>[{"name":13764, "count": 50}]</t>
  </si>
  <si>
    <t>[{"name":13764, "count": 30},{"name":13765,"count":15}]</t>
  </si>
  <si>
    <t>[{"name":13764, "count": 50},{"name":13765,"count":15},{"name":14114,"count":15}]</t>
  </si>
  <si>
    <t>[{"name":13764, "count": 300}]</t>
  </si>
  <si>
    <t>[{"name":13764, "count": 200},{"name":13765,"count":100}]</t>
  </si>
  <si>
    <t>[{"name":13764, "count": 300},{"name":13765,"count":100},{"name":14114,"count":100}]</t>
  </si>
  <si>
    <t>[{"name":13764, "count": 1000}]</t>
  </si>
  <si>
    <t>[{"name":101, "count": 9000000, "probb": 1666},{"name":101, "count": 18000000, "probb": 1666},{"name":101, "count": 40000000, "probb": 1666},{"name":101, "count": 56000000, "probb": 1666},{"name":101, "count": 75000000, "probb": 1666},{"name":101, "count": 90000000, "probb": 1666}]</t>
  </si>
  <si>
    <t>[{"name":13764, "count": 600},{"name":13765,"count":300}]</t>
  </si>
  <si>
    <t>[{"name":101, "count": 20000000, "probb": 2000},{"name":101, "count": 40000000, "probb": 2000},{"name":101, "count": 60000000, "probb": 2000},{"name":101, "count": 75000000, "probb": 2000},{"name":101, "count": 90000000, "probb": 1000},{"name":101, "count": 108000000, "probb": 1000}]</t>
  </si>
  <si>
    <t>[{"name":13764, "count": 1000},{"name":13765,"count":300},{"name":14114,"count":300}]</t>
  </si>
  <si>
    <t>[{"name":101, "count": 20000000, "probb": 1000},{"name":101, "count": 60000000, "probb": 1000},{"name":101, "count": 100000000, "probb": 1500},{"name":101, "count": 120000000, "probb": 2000},{"name":101, "count": 180000000, "probb": 2500},{"name":101, "count": 240000000, "probb": 2000}]</t>
  </si>
  <si>
    <t>[{"name":13761, "count": 500}]</t>
  </si>
  <si>
    <t>[{"name":101, "count": 9600000, "probb": 1060},{"name":101, "count": 8500000, "probb": 1100},{"name":101, "count": 7200000, "probb": 1100},{"name":101, "count": 5600000, "probb": 1100},{"name":101, "count": 4500000, "probb": 1240},{"name":101, "count": 3000000, "probb": 1100}]</t>
  </si>
  <si>
    <t>[{"name":13761, "count": 1200}]</t>
  </si>
  <si>
    <t>[{"name":101, "count": 24000000, "probb": 1000},{"name":101, "count": 20000000, "probb": 1200},{"name":101, "count": 18000000, "probb": 1200},{"name":101, "count": 15000000, "probb": 1200},{"name":101, "count": 10000000, "probb": 1200},{"name":101, "count": 6000000, "probb": 1200}]</t>
  </si>
  <si>
    <t>[{"name":13761, "count": 2500}]</t>
  </si>
  <si>
    <t>[{"name":101, "count": 60000000, "probb": 1100},{"name":101, "count": 40000000, "probb": 1200},{"name":101, "count": 30000000, "probb": 1200},{"name":101, "count": 25000000, "probb": 1200},{"name":101, "count": 18000000, "probb": 1100},{"name":101, "count": 15000000, "probb": 1100}]</t>
  </si>
  <si>
    <t>[{"name":13761, "count": 5000}]</t>
  </si>
  <si>
    <t>[{"name":101, "count": 125000000, "probb": 1100},{"name":101, "count": 80000000, "probb": 1200},{"name":101, "count": 60000000, "probb": 1200},{"name":101, "count": 45000000, "probb": 1200},{"name":101, "count": 40000000, "probb": 1100},{"name":101, "count": 30000000, "probb": 1100}]</t>
  </si>
  <si>
    <t>[{"name":13761, "count": 10000}]</t>
  </si>
  <si>
    <t>[{"name":101, "count": 300000000, "probb": 800.000000000001},{"name":101, "count": 160000000, "probb": 1200},{"name":101, "count": 125000000, "probb": 1200},{"name":101, "count": 100000000, "probb": 1400},{"name":101, "count": 80000000, "probb": 1200},{"name":101, "count": 60000000, "probb": 1200}]</t>
  </si>
  <si>
    <t>[{"name":14115, "count": 500}]</t>
  </si>
  <si>
    <t>[{"name":101, "count": 30000000, "probb": 1060},{"name":101, "count": 25000000, "probb": 1100},{"name":101, "count": 20000000, "probb": 1100},{"name":101, "count": 16000000, "probb": 1100},{"name":101, "count": 15000000, "probb": 1240},{"name":101, "count": 10000000, "probb": 1100}]</t>
  </si>
  <si>
    <t>[{"name":14115, "count": 1200}]</t>
  </si>
  <si>
    <t>[{"name":101, "count": 60000000, "probb": 1000},{"name":101, "count": 50000000, "probb": 1200},{"name":101, "count": 45000000, "probb": 1200},{"name":101, "count": 36000000, "probb": 1200},{"name":101, "count": 25000000, "probb": 1200},{"name":101, "count": 18000000, "probb": 1200}]</t>
  </si>
  <si>
    <t>[{"name":14115, "count": 2500}]</t>
  </si>
  <si>
    <t>[{"name":101, "count": 150000000, "probb": 1100},{"name":101, "count": 96000000, "probb": 1200},{"name":101, "count": 72000000, "probb": 1200},{"name":101, "count": 60000000, "probb": 1200},{"name":101, "count": 45000000, "probb": 1100},{"name":101, "count": 35000000, "probb": 1100}]</t>
  </si>
  <si>
    <t>[{"name":14115, "count": 5000}]</t>
  </si>
  <si>
    <t>[{"name":101, "count": 250000000, "probb": 1100},{"name":101, "count": 160000000, "probb": 1200},{"name":101, "count": 120000000, "probb": 1200},{"name":101, "count": 100000000, "probb": 1200},{"name":101, "count": 80000000, "probb": 1100},{"name":101, "count": 60000000, "probb": 1100}]</t>
  </si>
  <si>
    <t>[{"name":14115, "count": 10000}]</t>
  </si>
  <si>
    <t>[{"name":101, "count": 600000000, "probb": 800.000000000001},{"name":101, "count": 320000000, "probb": 1200},{"name":101, "count": 250000000, "probb": 1200},{"name":101, "count": 200000000, "probb": 1400},{"name":101, "count": 160000000, "probb": 1200},{"name":101, "count": 120000000, "probb": 1200}]</t>
  </si>
  <si>
    <t>[{"name":13762, "count": 10}]</t>
  </si>
  <si>
    <t>[{"name":101, "count":500000, "probb": 400},{"name":0, "count":0, "probb": 0},{"name":101, "count":1000000, "probb": 400},{"name":0, "count":0, "probb": 0},{"name":101, "count":1500000, "probb": 500},{"name":0, "count":0, "probb": 0},{"name":101, "count":2000000, "probb": 500},{"name":0, "count":0, "probb": 0},{"name":101, "count":2500000, "probb": 1200},{"name":0, "count":0, "probb": 0},{"name":101, "count":3600000, "probb": 1200},{"name":101, "count":2500000, "probb": 1200},{"name":0, "count":0, "probb": 0},{"name":101, "count":3600000, "probb": 1200},{"name":101, "count":4000000, "probb": 1200},{"name":101, "count":6000000, "probb": 1200},{"name":0, "count":0, "probb": 0},{"name":101, "count":20000000, "probb": 1000}]</t>
  </si>
  <si>
    <t>[{"name":13762, "count": 25}]</t>
  </si>
  <si>
    <t>[{"name":101, "count":1500000, "probb": 500},{"name":0, "count":0, "probb": 0},{"name":101, "count":2400000, "probb": 500},{"name":0, "count":0, "probb": 0},{"name":101, "count":3000000, "probb": 500},{"name":0, "count":0, "probb": 0},{"name":101, "count":5000000, "probb": 500},{"name":0, "count":0, "probb": 0},{"name":101, "count":6400000, "probb": 1200},{"name":0, "count":0, "probb": 0},{"name":101, "count":10000000, "probb": 1200},{"name":101, "count":6400000, "probb": 1200},{"name":0, "count":0, "probb": 0},{"name":101, "count":10000000, "probb": 1200},{"name":101, "count":12000000, "probb": 1200},{"name":101, "count":16000000, "probb": 1200},{"name":0, "count":0, "probb": 0},{"name":101, "count":56000000, "probb": 800}]</t>
  </si>
  <si>
    <t>[{"name":13762, "count": 60}]</t>
  </si>
  <si>
    <t>[{"name":101, "count":3200000, "probb": 500},{"name":0, "count":0, "probb": 0},{"name":101, "count":6000000, "probb": 500},{"name":0, "count":0, "probb": 0},{"name":101, "count":7500000, "probb": 500},{"name":0, "count":0, "probb": 0},{"name":101, "count":12000000, "probb": 500},{"name":0, "count":0, "probb": 0},{"name":101, "count":15000000, "probb": 1200},{"name":0, "count":0, "probb": 0},{"name":101, "count":24000000, "probb": 1200},{"name":101, "count":15000000, "probb": 1200},{"name":0, "count":0, "probb": 0},{"name":101, "count":24000000, "probb": 1200},{"name":101, "count":24000000, "probb": 1200},{"name":101, "count":36000000, "probb": 1200},{"name":0, "count":0, "probb": 0},{"name":101, "count":150000000, "probb": 800}]</t>
  </si>
  <si>
    <t>[{"name":14116, "count": 20}]</t>
  </si>
  <si>
    <t>[{"name":101, "count":1000000, "probb": 400},{"name":0, "count":0, "probb": 0},{"name":101, "count":2500000, "probb": 400},{"name":0, "count":0, "probb": 0},{"name":101, "count":3000000, "probb": 500},{"name":0, "count":0, "probb": 0},{"name":101, "count":5000000, "probb": 500},{"name":0, "count":0, "probb": 0},{"name":101, "count":6000000, "probb": 1200},{"name":0, "count":0, "probb": 0},{"name":101, "count":8000000, "probb": 1200},{"name":101, "count":5000000, "probb": 1200},{"name":0, "count":0, "probb": 0},{"name":101, "count":8000000, "probb": 1200},{"name":101, "count":9000000, "probb": 1200},{"name":101, "count":12000000, "probb": 1200},{"name":0, "count":0, "probb": 0},{"name":101, "count":36000000, "probb": 1000}]</t>
  </si>
  <si>
    <t>[{"name":14116, "count": 40}]</t>
  </si>
  <si>
    <t>[{"name":101, "count":2400000, "probb": 500},{"name":0, "count":0, "probb": 0},{"name":101, "count":3600000, "probb": 500},{"name":0, "count":0, "probb": 0},{"name":101, "count":4800000, "probb": 500},{"name":0, "count":0, "probb": 0},{"name":101, "count":8000000, "probb": 500},{"name":0, "count":0, "probb": 0},{"name":101, "count":10000000, "probb": 1200},{"name":0, "count":0, "probb": 0},{"name":101, "count":15000000, "probb": 1200},{"name":101, "count":10000000, "probb": 1200},{"name":0, "count":0, "probb": 0},{"name":101, "count":16000000, "probb": 1200},{"name":101, "count":18000000, "probb": 1200},{"name":101, "count":25000000, "probb": 1200},{"name":0, "count":0, "probb": 0},{"name":101, "count":96000000, "probb": 800}]</t>
  </si>
  <si>
    <t>[{"name":14116, "count": 80}]</t>
  </si>
  <si>
    <t>[{"name":101, "count":4000000, "probb": 400},{"name":0, "count":0, "probb": 0},{"name":101, "count":8000000, "probb": 400},{"name":0, "count":0, "probb": 0},{"name":101, "count":12000000, "probb": 500},{"name":0, "count":0, "probb": 0},{"name":101, "count":15000000, "probb": 500},{"name":0, "count":0, "probb": 0},{"name":101, "count":20000000, "probb": 1200},{"name":0, "count":0, "probb": 0},{"name":101, "count":25000000, "probb": 1200},{"name":101, "count":20000000, "probb": 1200},{"name":0, "count":0, "probb": 0},{"name":101, "count":32000000, "probb": 1200},{"name":101, "count":36000000, "probb": 1300},{"name":101, "count":45000000, "probb": 1300},{"name":0, "count":0, "probb": 0},{"name":101, "count":200000000, "probb": 800}]</t>
  </si>
  <si>
    <t>roomId</t>
  </si>
  <si>
    <t>tabs</t>
  </si>
  <si>
    <t>poolPct</t>
  </si>
  <si>
    <t>nextDayPoolPct</t>
  </si>
  <si>
    <t>rule</t>
  </si>
  <si>
    <t>房间id</t>
  </si>
  <si>
    <r>
      <rPr>
        <sz val="12"/>
        <color rgb="FF000000"/>
        <rFont val="Verdana"/>
        <charset val="134"/>
      </rPr>
      <t>tab</t>
    </r>
    <r>
      <rPr>
        <sz val="12"/>
        <color rgb="FF000000"/>
        <rFont val="华文宋体"/>
        <charset val="134"/>
      </rPr>
      <t>数据</t>
    </r>
  </si>
  <si>
    <t>奖池占房间奖池比例</t>
  </si>
  <si>
    <t>第二天奖池占房间奖池比例</t>
  </si>
  <si>
    <t>规则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</si>
  <si>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ID_SUPERBOSS_GAME_MINIGAME:44411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ID_SUPERBOSS_GAME_EXCHANGE:44411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33}, {"title":"ID_LAST_SUPERBOSS_RANK", "data": "lastrank", "param": 34}]</t>
    </r>
  </si>
  <si>
    <t>{"game":"ID_SUPERBOSS_RULE:44411"}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</si>
  <si>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ID_SUPERBOSS_GAME_MINIGAME:44411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ID_SUPERBOSS_GAME_EXCHANGE:44411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41}, {"title":"ID_LAST_SUPERBOSS_RANK", "data": "lastrank", "param": 42}]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</si>
  <si>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ID_SUPERBOSS_GAME_MINIGAME:44412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ID_SUPERBOSS_GAME_EXCHANGE:44412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35}, {"title":"ID_LAST_SUPERBOSS_RANK", "data": "lastrank", "param": 36}]</t>
    </r>
  </si>
  <si>
    <t>{"game":"ID_SUPERBOSS_RULE:44412"}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</si>
  <si>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ID_SUPERBOSS_GAME_MINIGAME:44412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ID_SUPERBOSS_GAME_EXCHANGE:44412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43}, {"title":"ID_LAST_SUPERBOSS_RANK", "data": "lastrank", "param": 44}]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</si>
  <si>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ID_SUPERBOSS_GAME_MINIGAME:44414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ID_SUPERBOSS_GAME_EXCHANGE:44414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37}, {"title":"ID_LAST_SUPERBOSS_RANK", "data": "lastrank", "param": 38}]</t>
    </r>
  </si>
  <si>
    <t>{"game":"ID_SUPERBOSS_RULE:44414"}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</si>
  <si>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ID_SUPERBOSS_GAME_MINIGAME:44414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ID_SUPERBOSS_GAME_EXCHANGE:44414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45}, {"title":"ID_LAST_SUPERBOSS_RANK", "data": "lastrank", "param": 46}]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</si>
  <si>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ID_SUPERBOSS_GAME_MINIGAME:44415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ID_SUPERBOSS_GAME_EXCHANGE:44415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39}, {"title":"ID_LAST_SUPERBOSS_RANK", "data": "lastrank", "param": 40}]</t>
    </r>
  </si>
  <si>
    <t>{"game":"ID_SUPERBOSS_RULE:44415"}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</si>
  <si>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ID_SUPERBOSS_GAME_MINIGAME:44415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ID_SUPERBOSS_GAME_EXCHANGE:44415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47}, {"title":"ID_LAST_SUPERBOSS_RANK", "data": "lastrank", "param": 48}]</t>
    </r>
  </si>
  <si>
    <t>gunskin_name</t>
  </si>
  <si>
    <t>gunskin_id</t>
  </si>
  <si>
    <t>gunskin_level</t>
  </si>
  <si>
    <t>multiple</t>
  </si>
  <si>
    <t>unlock_type</t>
  </si>
  <si>
    <t>unlock_value</t>
  </si>
  <si>
    <t>equip_type</t>
  </si>
  <si>
    <t>equip_value</t>
  </si>
  <si>
    <t>exp</t>
  </si>
  <si>
    <t>sum_exp</t>
  </si>
  <si>
    <t>effect_addition</t>
  </si>
  <si>
    <t>effect_type</t>
  </si>
  <si>
    <t>probb</t>
  </si>
  <si>
    <t>unlock_desc</t>
  </si>
  <si>
    <t>equip_desc</t>
  </si>
  <si>
    <t xml:space="preserve">unit_price </t>
  </si>
  <si>
    <t>skins</t>
  </si>
  <si>
    <t>fire_count</t>
  </si>
  <si>
    <t>power_rate</t>
  </si>
  <si>
    <t>percent</t>
  </si>
  <si>
    <t>odds</t>
  </si>
  <si>
    <t>arr</t>
  </si>
  <si>
    <t>皮肤炮名</t>
  </si>
  <si>
    <t>皮肤炮ID</t>
  </si>
  <si>
    <t>皮肤炮等级</t>
  </si>
  <si>
    <t>消耗&amp;奖励倍率</t>
  </si>
  <si>
    <t>解锁条件</t>
  </si>
  <si>
    <r>
      <rPr>
        <sz val="14"/>
        <color rgb="FF000000"/>
        <rFont val="华文宋体"/>
        <charset val="134"/>
      </rPr>
      <t>条件数值</t>
    </r>
    <r>
      <rPr>
        <sz val="14"/>
        <color rgb="FF000000"/>
        <rFont val="Tahoma"/>
        <charset val="134"/>
      </rPr>
      <t>(</t>
    </r>
    <r>
      <rPr>
        <sz val="14"/>
        <color rgb="FF000000"/>
        <rFont val="华文宋体"/>
        <charset val="134"/>
      </rPr>
      <t>火炮倍率</t>
    </r>
    <r>
      <rPr>
        <sz val="14"/>
        <color rgb="FF000000"/>
        <rFont val="Tahoma"/>
        <charset val="134"/>
      </rPr>
      <t>)</t>
    </r>
  </si>
  <si>
    <t>装备条件</t>
  </si>
  <si>
    <t>所需经验</t>
  </si>
  <si>
    <t>累计经验</t>
  </si>
  <si>
    <t>熟练效果加成</t>
  </si>
  <si>
    <t>效果类型</t>
  </si>
  <si>
    <t>触发概率</t>
  </si>
  <si>
    <t>单价</t>
  </si>
  <si>
    <t>对应皮肤的Id</t>
  </si>
  <si>
    <t>狂暴开火数需求</t>
  </si>
  <si>
    <t>狂暴弹最大威力</t>
  </si>
  <si>
    <t>狂暴时间</t>
  </si>
  <si>
    <t>储能比例</t>
  </si>
  <si>
    <t>概率系数</t>
  </si>
  <si>
    <t>出现概率</t>
  </si>
  <si>
    <t>ID_CONFIG_GUN_NAME_1</t>
  </si>
  <si>
    <t>[0,1366,14182,14183,14184,-1]</t>
  </si>
  <si>
    <t>ID_CONFIG_GUN_NAME_2</t>
  </si>
  <si>
    <t>ID_CONFIG_LEVEL_UNLOCK_MULTIPLE</t>
  </si>
  <si>
    <t>ID_CONFIG_LEVEL_EQUIP_MULTIPLE</t>
  </si>
  <si>
    <t>[1352,1395,-1]</t>
  </si>
  <si>
    <t>ID_CONFIG_GUN_NAME_3</t>
  </si>
  <si>
    <t>[1353,1472,-1]</t>
  </si>
  <si>
    <t>ID_CONFIG_GUN_NAME_4</t>
  </si>
  <si>
    <t>[1354,1473,-1]</t>
  </si>
  <si>
    <t>ID_CONFIG_GUN_NAME_5</t>
  </si>
  <si>
    <t>[1355,1476,-1]</t>
  </si>
  <si>
    <t>ID_CONFIG_GUN_NAME_6</t>
  </si>
  <si>
    <t>[1356,1478,-1]</t>
  </si>
  <si>
    <t>ID_CONFIG_GUN_NAME_7</t>
  </si>
  <si>
    <t>[1357,-1,-1]</t>
  </si>
  <si>
    <t>skinId</t>
  </si>
  <si>
    <t>gunId</t>
  </si>
  <si>
    <t>kindId</t>
  </si>
  <si>
    <t>consumeCount</t>
  </si>
  <si>
    <t>皮肤ID</t>
  </si>
  <si>
    <t>对应的火炮ID</t>
  </si>
  <si>
    <t>消耗物品ID</t>
  </si>
  <si>
    <t>合成需要消耗碎片数</t>
  </si>
  <si>
    <t>gunLevel</t>
  </si>
  <si>
    <t>num</t>
  </si>
  <si>
    <t>rate</t>
  </si>
  <si>
    <t>weight</t>
  </si>
  <si>
    <t>fireInterval</t>
  </si>
  <si>
    <t>levelAddition</t>
  </si>
  <si>
    <t>levelValue</t>
  </si>
  <si>
    <t>千炮火炮</t>
  </si>
  <si>
    <t>所需道具ID</t>
  </si>
  <si>
    <t>所需数量</t>
  </si>
  <si>
    <t>成功率</t>
  </si>
  <si>
    <t>100%升级成功率所需道具ID</t>
  </si>
  <si>
    <t>升级失败返还道具ID</t>
  </si>
  <si>
    <t>返还数量</t>
  </si>
  <si>
    <t>权重</t>
  </si>
  <si>
    <t>开火间隔</t>
  </si>
  <si>
    <t>大奖赛等级加成</t>
  </si>
  <si>
    <t>倍率</t>
  </si>
  <si>
    <t>weapon_name</t>
  </si>
  <si>
    <t>weapon_cost</t>
  </si>
  <si>
    <t>weapon_power</t>
  </si>
  <si>
    <t>match_addition</t>
  </si>
  <si>
    <t>cooldown</t>
  </si>
  <si>
    <t>bullet_speed</t>
  </si>
  <si>
    <t>net_size</t>
  </si>
  <si>
    <t>weapon_icon</t>
  </si>
  <si>
    <t>bullet_animation</t>
  </si>
  <si>
    <t>explosion_animation</t>
  </si>
  <si>
    <t>weapon_power_ratio</t>
  </si>
  <si>
    <t>武器索引</t>
  </si>
  <si>
    <t>武器名</t>
  </si>
  <si>
    <t>武器ID</t>
  </si>
  <si>
    <t>武器威力</t>
  </si>
  <si>
    <t>炮等级对比赛的加成</t>
  </si>
  <si>
    <t>发射间隔</t>
  </si>
  <si>
    <t>弹失速度</t>
  </si>
  <si>
    <t>渔网大小</t>
  </si>
  <si>
    <t>武器图标</t>
  </si>
  <si>
    <t>子弹动画</t>
  </si>
  <si>
    <t>爆炸动画</t>
  </si>
  <si>
    <t>威力系数</t>
  </si>
  <si>
    <t>10倍炮</t>
  </si>
  <si>
    <t>bullet01</t>
  </si>
  <si>
    <t>15倍炮</t>
  </si>
  <si>
    <t>20倍炮</t>
  </si>
  <si>
    <t>25倍炮</t>
  </si>
  <si>
    <t>30倍炮</t>
  </si>
  <si>
    <t>40倍炮</t>
  </si>
  <si>
    <t>50倍炮</t>
  </si>
  <si>
    <t>60倍炮</t>
  </si>
  <si>
    <t>70倍炮</t>
  </si>
  <si>
    <t>80倍炮</t>
  </si>
  <si>
    <t>90倍炮</t>
  </si>
  <si>
    <t>100倍炮</t>
  </si>
  <si>
    <t>150倍炮</t>
  </si>
  <si>
    <t>200倍炮</t>
  </si>
  <si>
    <t>250倍炮</t>
  </si>
  <si>
    <t>300倍炮</t>
  </si>
  <si>
    <t>350倍炮</t>
  </si>
  <si>
    <t>400倍炮</t>
  </si>
  <si>
    <t>450倍炮</t>
  </si>
  <si>
    <t>500倍炮</t>
  </si>
  <si>
    <t>600倍炮</t>
  </si>
  <si>
    <t>700倍炮</t>
  </si>
  <si>
    <t>800倍炮</t>
  </si>
  <si>
    <t>900倍炮</t>
  </si>
  <si>
    <t>1000倍炮</t>
  </si>
  <si>
    <t>1500倍炮</t>
  </si>
  <si>
    <t>2000倍炮</t>
  </si>
  <si>
    <t>2500倍炮</t>
  </si>
  <si>
    <t>3000倍炮</t>
  </si>
  <si>
    <t>3500倍炮</t>
  </si>
  <si>
    <t>4000倍炮</t>
  </si>
  <si>
    <t>4500倍炮</t>
  </si>
  <si>
    <t>5000倍炮</t>
  </si>
  <si>
    <t>6000倍炮</t>
  </si>
  <si>
    <t>7000倍炮</t>
  </si>
  <si>
    <t>8000倍炮</t>
  </si>
  <si>
    <t>9000倍炮</t>
  </si>
  <si>
    <t>10000倍炮</t>
  </si>
  <si>
    <t>15000倍炮</t>
  </si>
  <si>
    <t>20000倍炮</t>
  </si>
  <si>
    <t>25000倍炮</t>
  </si>
  <si>
    <t>30000倍炮</t>
  </si>
  <si>
    <t>35000倍炮</t>
  </si>
  <si>
    <t>40000倍炮</t>
  </si>
  <si>
    <t>45000倍炮</t>
  </si>
  <si>
    <t>50000倍炮</t>
  </si>
  <si>
    <t>60000倍炮</t>
  </si>
  <si>
    <t>70000倍炮</t>
  </si>
  <si>
    <t>80000倍炮</t>
  </si>
  <si>
    <t>90000倍炮</t>
  </si>
  <si>
    <t>100000倍炮</t>
  </si>
  <si>
    <t>合金飞弹技能</t>
  </si>
  <si>
    <t>魔术炮技能</t>
  </si>
  <si>
    <t>火蛇加农炮技能</t>
  </si>
  <si>
    <t>极冻炮技能</t>
  </si>
  <si>
    <t>榴弹炮技能</t>
  </si>
  <si>
    <t>汇能弹技能</t>
  </si>
  <si>
    <t>欺诈水晶技能</t>
  </si>
  <si>
    <t>激光炮技能</t>
  </si>
  <si>
    <t>猎鱼机甲技能</t>
  </si>
  <si>
    <t>格林机关枪技能</t>
  </si>
  <si>
    <t>捕鱼机器人爆炸</t>
  </si>
  <si>
    <t>招财模式1级火炮</t>
  </si>
  <si>
    <t>招财模式2级火炮</t>
  </si>
  <si>
    <t>招财模式3级火炮</t>
  </si>
  <si>
    <t>招财模式4级火炮</t>
  </si>
  <si>
    <t>招财模式5级火炮</t>
  </si>
  <si>
    <t>招财模式6级火炮</t>
  </si>
  <si>
    <t>招财模式7级火炮</t>
  </si>
  <si>
    <t>招财模式8级火炮</t>
  </si>
  <si>
    <t>招财模式9级火炮</t>
  </si>
  <si>
    <t>招财模式10级火炮</t>
  </si>
  <si>
    <t>钻头</t>
  </si>
  <si>
    <t>大冰龙</t>
  </si>
  <si>
    <t>fishName</t>
  </si>
  <si>
    <t>percent1</t>
  </si>
  <si>
    <t>probability1</t>
  </si>
  <si>
    <t>鱼名</t>
  </si>
  <si>
    <t>随机值</t>
  </si>
  <si>
    <t>list</t>
  </si>
  <si>
    <t>[0.4,0.7]</t>
  </si>
  <si>
    <t>[0.75,0.95]</t>
  </si>
  <si>
    <t>[0.85,1.5]</t>
  </si>
  <si>
    <t>[1.5,2]</t>
  </si>
  <si>
    <t>[2,2.5]</t>
  </si>
  <si>
    <t>远古寒龙阶段2</t>
  </si>
  <si>
    <r>
      <t>1</t>
    </r>
    <r>
      <rPr>
        <sz val="14"/>
        <color rgb="FF000000"/>
        <rFont val="方正书宋_GBK"/>
        <charset val="134"/>
      </rPr>
      <t>次</t>
    </r>
  </si>
  <si>
    <r>
      <t>2</t>
    </r>
    <r>
      <rPr>
        <sz val="14"/>
        <color rgb="FF000000"/>
        <rFont val="方正书宋_GBK"/>
        <charset val="134"/>
      </rPr>
      <t>次</t>
    </r>
  </si>
  <si>
    <r>
      <t>3</t>
    </r>
    <r>
      <rPr>
        <sz val="14"/>
        <color rgb="FF000000"/>
        <rFont val="方正书宋_GBK"/>
        <charset val="134"/>
      </rPr>
      <t>次</t>
    </r>
  </si>
  <si>
    <r>
      <t>4</t>
    </r>
    <r>
      <rPr>
        <sz val="14"/>
        <color rgb="FF000000"/>
        <rFont val="方正书宋_GBK"/>
        <charset val="134"/>
      </rPr>
      <t>次</t>
    </r>
  </si>
  <si>
    <r>
      <t>5</t>
    </r>
    <r>
      <rPr>
        <sz val="14"/>
        <color rgb="FF000000"/>
        <rFont val="方正书宋_GBK"/>
        <charset val="134"/>
      </rPr>
      <t>次</t>
    </r>
  </si>
  <si>
    <r>
      <t>6</t>
    </r>
    <r>
      <rPr>
        <sz val="14"/>
        <color rgb="FF000000"/>
        <rFont val="方正书宋_GBK"/>
        <charset val="134"/>
      </rPr>
      <t>次</t>
    </r>
  </si>
  <si>
    <t>maxSpinTimes</t>
  </si>
  <si>
    <t>costValue</t>
  </si>
  <si>
    <t>ratio</t>
  </si>
  <si>
    <t>rewards</t>
  </si>
  <si>
    <t>reset</t>
  </si>
  <si>
    <t>bet</t>
  </si>
  <si>
    <t>fishpool</t>
  </si>
  <si>
    <t>data</t>
  </si>
  <si>
    <t>condition</t>
  </si>
  <si>
    <t>抽奖累计次数</t>
  </si>
  <si>
    <t>抽奖阶段</t>
  </si>
  <si>
    <t>耗能</t>
  </si>
  <si>
    <t>阶段</t>
  </si>
  <si>
    <t>可选取的翻倍倍数</t>
  </si>
  <si>
    <t>奖励</t>
  </si>
  <si>
    <t>转到重置</t>
  </si>
  <si>
    <t>倍数</t>
  </si>
  <si>
    <t>最低捕获鱼的条数</t>
  </si>
  <si>
    <t>[2]</t>
  </si>
  <si>
    <t>{"name":1301,"count":100}</t>
  </si>
  <si>
    <t>{"name":1301,"count":10}</t>
  </si>
  <si>
    <t>{"name":1301,"count":30}</t>
  </si>
  <si>
    <t>{"name":1301,"count":6}</t>
  </si>
  <si>
    <t>{"name":1301,"count":15}</t>
  </si>
  <si>
    <t>{"name":0,"count":0}</t>
  </si>
  <si>
    <t>{"name":1301,"count":18}</t>
  </si>
  <si>
    <t>{"name":1301,"count":12}</t>
  </si>
  <si>
    <t>{"name":1301,"count":60}</t>
  </si>
  <si>
    <t>{"name":1301,"count":8}</t>
  </si>
  <si>
    <t>[{"ratio":0, "extra":0, "weight":100,"rate":"50%"},{"ratio":2, "extra":0, "weight":100,"rate":"50%"}]</t>
  </si>
  <si>
    <t>[2,3]</t>
  </si>
  <si>
    <t>{"name":1193,"count":20}</t>
  </si>
  <si>
    <t>{"name":1193,"count":2}</t>
  </si>
  <si>
    <t>{"name":1193,"count":10}</t>
  </si>
  <si>
    <t>{"name":1193,"count":1}</t>
  </si>
  <si>
    <t>{"name":1193,"count":3}</t>
  </si>
  <si>
    <t>{"name":1193,"count":5}</t>
  </si>
  <si>
    <t>{"name":1193,"count":15}</t>
  </si>
  <si>
    <t>[{"ratio":0, "extra":0, "weight":100,"rate":"33%"},{"ratio":0, "extra":0, "weight":100,"rate":"33%"},{"ratio":3, "extra":0, "weight":100,"rate":"34%"}]</t>
  </si>
  <si>
    <t>{"name":1193,"count":50}</t>
  </si>
  <si>
    <t>{"name":1193,"count":8}</t>
  </si>
  <si>
    <t>{"name":1193,"count":6}</t>
  </si>
  <si>
    <t>{"name":1193,"count":30}</t>
  </si>
  <si>
    <t>{"name":1193,"count":4}</t>
  </si>
  <si>
    <t>[{"ratio":0, "extra":0, "weight":100,"rate":"25%"},{"ratio":0, "extra":0, "weight":100,"rate":"25%"},{"ratio":0, "extra":0, "weight":100,"rate":"25%"},{"ratio":4, "extra":0, "weight":100,"rate":"25%"}]</t>
  </si>
  <si>
    <t>[2,3,4]</t>
  </si>
  <si>
    <t>{"name":1194,"count":50}</t>
  </si>
  <si>
    <t>{"name":1194,"count":4}</t>
  </si>
  <si>
    <t>{"name":1194,"count":10}</t>
  </si>
  <si>
    <t>{"name":1194,"count":2}</t>
  </si>
  <si>
    <t>{"name":1194,"count":6}</t>
  </si>
  <si>
    <t>{"name":1194,"count":8}</t>
  </si>
  <si>
    <t>{"name":1194,"count":5}</t>
  </si>
  <si>
    <t>{"name":1194,"count":20}</t>
  </si>
  <si>
    <t>{"name":1194,"count":3}</t>
  </si>
  <si>
    <t>bigroom</t>
  </si>
  <si>
    <t>skill_id1</t>
  </si>
  <si>
    <t>weight_1</t>
  </si>
  <si>
    <t>skill_id2</t>
  </si>
  <si>
    <t>weight_2</t>
  </si>
  <si>
    <t>渔场编号</t>
  </si>
  <si>
    <t>第一个技能</t>
  </si>
  <si>
    <t>第二个技能</t>
  </si>
  <si>
    <t>火舌加农炮</t>
  </si>
  <si>
    <t>汇能枪</t>
  </si>
  <si>
    <t>fishPool</t>
  </si>
  <si>
    <t>cSupplyInterval</t>
  </si>
  <si>
    <t>sSupplyInterval</t>
  </si>
  <si>
    <t>fishCategory</t>
  </si>
  <si>
    <t>groupType</t>
  </si>
  <si>
    <t>fishId</t>
  </si>
  <si>
    <t>fishCount</t>
  </si>
  <si>
    <t>minCount</t>
  </si>
  <si>
    <t>maxCount</t>
  </si>
  <si>
    <t>所在渔场</t>
  </si>
  <si>
    <t>鱼类填充时间间隔</t>
  </si>
  <si>
    <t>鱼群填充时间间隔</t>
  </si>
  <si>
    <t>分组规则</t>
  </si>
  <si>
    <t>鱼名称</t>
  </si>
  <si>
    <r>
      <rPr>
        <sz val="14"/>
        <color indexed="8"/>
        <rFont val="Tahoma"/>
        <charset val="134"/>
      </rPr>
      <t>鱼</t>
    </r>
    <r>
      <rPr>
        <sz val="14"/>
        <color rgb="FF000000"/>
        <rFont val="Tahoma"/>
        <charset val="134"/>
      </rPr>
      <t>ID</t>
    </r>
  </si>
  <si>
    <t>鱼数量</t>
  </si>
  <si>
    <t>最少条数</t>
  </si>
  <si>
    <t>最多条数</t>
  </si>
  <si>
    <t>gSupplyInterval</t>
  </si>
  <si>
    <t>quest_id</t>
  </si>
  <si>
    <t>quest_scene</t>
  </si>
  <si>
    <t>group</t>
  </si>
  <si>
    <t>tip_seconds</t>
  </si>
  <si>
    <t>ready_seconds</t>
  </si>
  <si>
    <t>time_long</t>
  </si>
  <si>
    <t>task_type</t>
  </si>
  <si>
    <t>target</t>
  </si>
  <si>
    <t>number</t>
  </si>
  <si>
    <t>count</t>
  </si>
  <si>
    <t>任务ID</t>
  </si>
  <si>
    <t>鱼阵</t>
  </si>
  <si>
    <t>提示时长</t>
  </si>
  <si>
    <t>任务时长</t>
  </si>
  <si>
    <t>奖励类型</t>
  </si>
  <si>
    <t>任务描述</t>
  </si>
  <si>
    <t>目标</t>
  </si>
  <si>
    <t>数量</t>
  </si>
  <si>
    <t>ID_CONFIG_TIDE_TASK_DESC_1</t>
  </si>
  <si>
    <t>ID_CONFIG_TIDE_TASK_DESC_2</t>
  </si>
  <si>
    <t>ID_CONFIG_TIDE_TASK_DESC_3</t>
  </si>
  <si>
    <t>multiple1</t>
  </si>
  <si>
    <t>high_probb1</t>
  </si>
  <si>
    <t>high_probb</t>
  </si>
  <si>
    <t>multiple2</t>
  </si>
  <si>
    <t>high_probb2</t>
  </si>
  <si>
    <t>multiple3</t>
  </si>
  <si>
    <t>high_probb3</t>
  </si>
  <si>
    <t>multiple4</t>
  </si>
  <si>
    <t>high_probb4</t>
  </si>
  <si>
    <t>multiple5</t>
  </si>
  <si>
    <t>multiple6</t>
  </si>
  <si>
    <t>倍率奖池高概率</t>
  </si>
  <si>
    <t>充值奖池高概率</t>
  </si>
  <si>
    <t>fish_name</t>
  </si>
  <si>
    <t>fish_id</t>
  </si>
  <si>
    <t>fish_type</t>
  </si>
  <si>
    <t>nil_HP_probb</t>
  </si>
  <si>
    <t>HP_probb</t>
  </si>
  <si>
    <t>fish_hp</t>
  </si>
  <si>
    <t>掉落道具</t>
  </si>
  <si>
    <t>加倍鱼倍率</t>
  </si>
  <si>
    <t>加倍鱼出现渔场</t>
  </si>
  <si>
    <t>44101|44102|44104|44201</t>
  </si>
  <si>
    <t>天使鱼</t>
  </si>
  <si>
    <t>44101|44102|44103|44104|44201</t>
  </si>
  <si>
    <t>44102|44103</t>
  </si>
  <si>
    <t>章鱼王</t>
  </si>
  <si>
    <t>倍率大白鲨</t>
  </si>
  <si>
    <t>lucky_value</t>
  </si>
  <si>
    <t>幸运值</t>
  </si>
  <si>
    <t>range</t>
  </si>
  <si>
    <t>固定倍率鱼范围</t>
  </si>
  <si>
    <t>成为固定倍率鱼概率</t>
  </si>
  <si>
    <t>[11008,11009,11010,11011,11012,11013,11015,11017,11018,11020,11021,11090,11092,11214]</t>
  </si>
  <si>
    <t>[11008,11009,11010,11011,11012,11013,11015,11016,11017,11090,11092,11214]</t>
  </si>
  <si>
    <t>[11007,11008,11009,11010,11011,11012,11013,11015,11016,11017,11018,11020,11021,11024,11025,11026,11090,11092,11214]</t>
  </si>
  <si>
    <t>[11007,11008,11010,11012,11085,11090]</t>
  </si>
  <si>
    <t xml:space="preserve"> </t>
  </si>
  <si>
    <t>weaponIds</t>
  </si>
  <si>
    <t>weaponType</t>
  </si>
  <si>
    <t>cd_reduce</t>
  </si>
  <si>
    <t>coin_add</t>
  </si>
  <si>
    <t>power_add</t>
  </si>
  <si>
    <t>delayTime</t>
  </si>
  <si>
    <t>sting</t>
  </si>
  <si>
    <r>
      <rPr>
        <sz val="14"/>
        <color indexed="8"/>
        <rFont val="Tahoma"/>
        <charset val="134"/>
      </rPr>
      <t>buffer</t>
    </r>
    <r>
      <rPr>
        <sz val="14"/>
        <color indexed="8"/>
        <rFont val="宋体"/>
        <charset val="134"/>
      </rPr>
      <t>的</t>
    </r>
    <r>
      <rPr>
        <sz val="14"/>
        <color indexed="8"/>
        <rFont val="Tahoma"/>
        <charset val="134"/>
      </rPr>
      <t>Id</t>
    </r>
  </si>
  <si>
    <t>对哪些武器Id</t>
  </si>
  <si>
    <t>针对的武器类型</t>
  </si>
  <si>
    <t>技能冷却时间减少的百分比</t>
  </si>
  <si>
    <t>金币加成</t>
  </si>
  <si>
    <t>威力加成</t>
  </si>
  <si>
    <t>持续时间s</t>
  </si>
  <si>
    <t>延时触发时间s</t>
  </si>
  <si>
    <t>[]</t>
  </si>
  <si>
    <t>技能cd</t>
  </si>
  <si>
    <t>分数双倍</t>
  </si>
  <si>
    <t>[1,2,3]</t>
  </si>
  <si>
    <t>威力双倍</t>
  </si>
  <si>
    <t>enable</t>
  </si>
  <si>
    <t>startDay</t>
  </si>
  <si>
    <t>msg</t>
  </si>
  <si>
    <t>endDes</t>
  </si>
  <si>
    <t>robotData</t>
  </si>
  <si>
    <t>playTimes</t>
  </si>
  <si>
    <t>addition</t>
  </si>
  <si>
    <t>start</t>
  </si>
  <si>
    <t>end</t>
  </si>
  <si>
    <t>frieCount</t>
  </si>
  <si>
    <t>fee</t>
  </si>
  <si>
    <t>point</t>
  </si>
  <si>
    <t>pointReward</t>
  </si>
  <si>
    <t>rank</t>
  </si>
  <si>
    <t>minPoint</t>
  </si>
  <si>
    <t>maxPoint</t>
  </si>
  <si>
    <t>des2</t>
  </si>
  <si>
    <t>range1</t>
  </si>
  <si>
    <t>range2</t>
  </si>
  <si>
    <t>gunAddition</t>
  </si>
  <si>
    <t>stagePoint</t>
  </si>
  <si>
    <t>stageReward</t>
  </si>
  <si>
    <t>是否开启</t>
  </si>
  <si>
    <t>开启时间</t>
  </si>
  <si>
    <t>邮件内容</t>
  </si>
  <si>
    <t>提示</t>
  </si>
  <si>
    <t>结束页面提示</t>
  </si>
  <si>
    <r>
      <rPr>
        <sz val="12"/>
        <color rgb="FF000000"/>
        <rFont val="Verdana"/>
        <charset val="134"/>
      </rPr>
      <t>[</t>
    </r>
    <r>
      <rPr>
        <sz val="12"/>
        <color rgb="FF000000"/>
        <rFont val="华文宋体"/>
        <charset val="134"/>
      </rPr>
      <t>是否启用，多久后添加，</t>
    </r>
    <r>
      <rPr>
        <sz val="12"/>
        <color rgb="FF000000"/>
        <rFont val="Verdana"/>
        <charset val="134"/>
      </rPr>
      <t>[</t>
    </r>
    <r>
      <rPr>
        <sz val="12"/>
        <color rgb="FF000000"/>
        <rFont val="华文宋体"/>
        <charset val="134"/>
      </rPr>
      <t>最小间隔，最大间隔</t>
    </r>
    <r>
      <rPr>
        <sz val="12"/>
        <color rgb="FF000000"/>
        <rFont val="Verdana"/>
        <charset val="134"/>
      </rPr>
      <t>]](</t>
    </r>
    <r>
      <rPr>
        <sz val="12"/>
        <color rgb="FF000000"/>
        <rFont val="华文宋体"/>
        <charset val="134"/>
      </rPr>
      <t>分钟</t>
    </r>
    <r>
      <rPr>
        <sz val="12"/>
        <color rgb="FF000000"/>
        <rFont val="Verdana"/>
        <charset val="134"/>
      </rPr>
      <t>)</t>
    </r>
  </si>
  <si>
    <t>最低等级</t>
  </si>
  <si>
    <t>重新挑战次数</t>
  </si>
  <si>
    <t>积分加成</t>
  </si>
  <si>
    <t>开始时间</t>
  </si>
  <si>
    <t>结束时间</t>
  </si>
  <si>
    <t>开火，技能使用次数</t>
  </si>
  <si>
    <t>报名费</t>
  </si>
  <si>
    <t>积分</t>
  </si>
  <si>
    <t>任务鱼</t>
  </si>
  <si>
    <r>
      <rPr>
        <sz val="14"/>
        <color indexed="8"/>
        <rFont val="等线"/>
        <charset val="134"/>
      </rPr>
      <t>数量</t>
    </r>
  </si>
  <si>
    <t>积分奖励</t>
  </si>
  <si>
    <t>排名</t>
  </si>
  <si>
    <t>假数据数量</t>
  </si>
  <si>
    <t>最低积分</t>
  </si>
  <si>
    <t>最高积分</t>
  </si>
  <si>
    <t>名次</t>
  </si>
  <si>
    <t>超越的玩家</t>
  </si>
  <si>
    <t>玩家当前排名</t>
  </si>
  <si>
    <t>炮倍数区间</t>
  </si>
  <si>
    <t>至区间</t>
  </si>
  <si>
    <t>积分加成倍数百分比的数</t>
  </si>
  <si>
    <t>阶段积分</t>
  </si>
  <si>
    <t>阶段奖励</t>
  </si>
  <si>
    <t>2019-11-08 00:00:01</t>
  </si>
  <si>
    <t>ID_CONFIG_GRAND_PRIX_CONGRATULATION_MSG</t>
  </si>
  <si>
    <t>ID_CONFIG_GRAND_PRIX_DES</t>
  </si>
  <si>
    <t>ID_CONFIG_GRABNND_PRIX_ENDDES</t>
  </si>
  <si>
    <t>[1,30,[2, 2]]</t>
  </si>
  <si>
    <t>00:00</t>
  </si>
  <si>
    <t>23:00</t>
  </si>
  <si>
    <t>[500,3]</t>
  </si>
  <si>
    <t>[{"name":14164, "count":1}]</t>
  </si>
  <si>
    <r>
      <rPr>
        <sz val="12"/>
        <color indexed="8"/>
        <rFont val="Verdana"/>
        <charset val="134"/>
      </rPr>
      <t>[{"name":101, "count":0</t>
    </r>
    <r>
      <rPr>
        <sz val="12"/>
        <color indexed="8"/>
        <rFont val="Verdana"/>
        <charset val="134"/>
      </rPr>
      <t>}]</t>
    </r>
  </si>
  <si>
    <t>第100名的玩家</t>
  </si>
  <si>
    <t>101~9999</t>
  </si>
  <si>
    <t>[{"name":101, "count":300000}]</t>
  </si>
  <si>
    <t>第80名的玩家</t>
  </si>
  <si>
    <t>81~100</t>
  </si>
  <si>
    <t>第50名的玩家</t>
  </si>
  <si>
    <t>51~80</t>
  </si>
  <si>
    <t>[{"name":101, "count":500000}]</t>
  </si>
  <si>
    <t>4~5</t>
  </si>
  <si>
    <t>第30名的玩家</t>
  </si>
  <si>
    <t>31~50</t>
  </si>
  <si>
    <t>[{"name":101, "count":1000000}]</t>
  </si>
  <si>
    <t>6~10</t>
  </si>
  <si>
    <t>第20名的玩家</t>
  </si>
  <si>
    <t>21~30</t>
  </si>
  <si>
    <t>[{"name":101, "count":1500000}]</t>
  </si>
  <si>
    <t>11~20</t>
  </si>
  <si>
    <t>第10名的玩家</t>
  </si>
  <si>
    <t>[{"name":101, "count":2000000}]</t>
  </si>
  <si>
    <t>第5名的玩家</t>
  </si>
  <si>
    <t>[{"name":101, "count":3000000}]</t>
  </si>
  <si>
    <t>第3名的玩家</t>
  </si>
  <si>
    <t>50~100</t>
  </si>
  <si>
    <t>第2名的玩家</t>
  </si>
  <si>
    <t>[{"name":101, "count":4000000}]</t>
  </si>
  <si>
    <t>第1名的玩家</t>
  </si>
  <si>
    <t>[{"name":101, "count":5000000}]</t>
  </si>
  <si>
    <t>fish7</t>
  </si>
  <si>
    <t>probb7</t>
  </si>
  <si>
    <t>fish8</t>
  </si>
  <si>
    <t>probb8</t>
  </si>
  <si>
    <t>金币模式下掉落道具ID</t>
  </si>
  <si>
    <r>
      <rPr>
        <sz val="14"/>
        <color rgb="FF000000"/>
        <rFont val="方正书宋_GBK"/>
        <charset val="134"/>
      </rPr>
      <t>金环模式下掉落道具</t>
    </r>
    <r>
      <rPr>
        <sz val="14"/>
        <color rgb="FF000000"/>
        <rFont val="Tahoma"/>
        <charset val="134"/>
      </rPr>
      <t>ID</t>
    </r>
  </si>
</sst>
</file>

<file path=xl/styles.xml><?xml version="1.0" encoding="utf-8"?>
<styleSheet xmlns="http://schemas.openxmlformats.org/spreadsheetml/2006/main">
  <numFmts count="5">
    <numFmt numFmtId="176" formatCode="0.00_);[Red]\(0.00\)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47">
    <font>
      <sz val="12"/>
      <color indexed="8"/>
      <name val="Verdana"/>
      <charset val="134"/>
    </font>
    <font>
      <sz val="14"/>
      <color indexed="8"/>
      <name val="Tahoma"/>
      <charset val="134"/>
    </font>
    <font>
      <sz val="14"/>
      <color rgb="FF000000"/>
      <name val="方正书宋_GBK"/>
      <charset val="134"/>
    </font>
    <font>
      <sz val="11"/>
      <color theme="1"/>
      <name val="Helvetica"/>
      <charset val="134"/>
      <scheme val="minor"/>
    </font>
    <font>
      <sz val="11"/>
      <color theme="1"/>
      <name val="宋体"/>
      <charset val="134"/>
    </font>
    <font>
      <sz val="12"/>
      <color rgb="FF000000"/>
      <name val="Verdana"/>
      <charset val="134"/>
    </font>
    <font>
      <sz val="12"/>
      <color rgb="FF000000"/>
      <name val="华文宋体"/>
      <charset val="134"/>
    </font>
    <font>
      <sz val="12"/>
      <color indexed="8"/>
      <name val="宋体"/>
      <charset val="134"/>
    </font>
    <font>
      <sz val="14"/>
      <color indexed="8"/>
      <name val="等线"/>
      <charset val="134"/>
    </font>
    <font>
      <sz val="12"/>
      <color rgb="FF000000"/>
      <name val="方正书宋_GBK"/>
      <charset val="134"/>
    </font>
    <font>
      <sz val="14"/>
      <color indexed="8"/>
      <name val="宋体"/>
      <charset val="134"/>
    </font>
    <font>
      <sz val="14"/>
      <color indexed="8"/>
      <name val="Helvetica"/>
      <charset val="134"/>
    </font>
    <font>
      <sz val="14"/>
      <color rgb="FF000000"/>
      <name val="Helvetica"/>
      <charset val="134"/>
    </font>
    <font>
      <sz val="14"/>
      <color rgb="FF000000"/>
      <name val="宋体-简"/>
      <charset val="134"/>
    </font>
    <font>
      <sz val="14"/>
      <color rgb="FF000000"/>
      <name val="华文宋体"/>
      <charset val="134"/>
    </font>
    <font>
      <sz val="12"/>
      <color rgb="FF000000"/>
      <name val="微软雅黑"/>
      <charset val="134"/>
    </font>
    <font>
      <sz val="12"/>
      <color indexed="8"/>
      <name val="Helvetica"/>
      <charset val="134"/>
    </font>
    <font>
      <sz val="12"/>
      <color indexed="8"/>
      <name val="华文宋体"/>
      <charset val="134"/>
    </font>
    <font>
      <sz val="11"/>
      <color indexed="8"/>
      <name val="Helvetica"/>
      <charset val="134"/>
    </font>
    <font>
      <sz val="12"/>
      <color theme="1"/>
      <name val="Helvetica"/>
      <charset val="134"/>
      <scheme val="minor"/>
    </font>
    <font>
      <sz val="11"/>
      <color theme="1"/>
      <name val="等线"/>
      <charset val="134"/>
    </font>
    <font>
      <sz val="14"/>
      <color rgb="FF000000"/>
      <name val="Tahoma"/>
      <charset val="134"/>
    </font>
    <font>
      <sz val="14"/>
      <color theme="1"/>
      <name val="Tahoma"/>
      <charset val="134"/>
    </font>
    <font>
      <sz val="14"/>
      <color rgb="FF000000"/>
      <name val="Microsoft YaHei UI"/>
      <charset val="134"/>
    </font>
    <font>
      <sz val="14"/>
      <color rgb="FF000000"/>
      <name val="宋体"/>
      <charset val="134"/>
    </font>
    <font>
      <sz val="14"/>
      <color rgb="FFFF0000"/>
      <name val="Tahoma"/>
      <charset val="134"/>
    </font>
    <font>
      <sz val="14"/>
      <color indexed="8"/>
      <name val="Verdana"/>
      <charset val="134"/>
    </font>
    <font>
      <sz val="14"/>
      <color indexed="8"/>
      <name val="Microsoft YaHei"/>
      <charset val="134"/>
    </font>
    <font>
      <sz val="11"/>
      <color theme="0"/>
      <name val="Helvetica"/>
      <charset val="0"/>
      <scheme val="minor"/>
    </font>
    <font>
      <b/>
      <sz val="13"/>
      <color theme="3"/>
      <name val="Helvetica"/>
      <charset val="134"/>
      <scheme val="minor"/>
    </font>
    <font>
      <sz val="11"/>
      <color rgb="FFFA7D00"/>
      <name val="Helvetica"/>
      <charset val="0"/>
      <scheme val="minor"/>
    </font>
    <font>
      <sz val="11"/>
      <color rgb="FFFF0000"/>
      <name val="Helvetica"/>
      <charset val="0"/>
      <scheme val="minor"/>
    </font>
    <font>
      <sz val="11"/>
      <color theme="1"/>
      <name val="Helvetica"/>
      <charset val="0"/>
      <scheme val="minor"/>
    </font>
    <font>
      <u/>
      <sz val="11"/>
      <color rgb="FF800080"/>
      <name val="Helvetica"/>
      <charset val="0"/>
      <scheme val="minor"/>
    </font>
    <font>
      <b/>
      <sz val="11"/>
      <color theme="3"/>
      <name val="Helvetica"/>
      <charset val="134"/>
      <scheme val="minor"/>
    </font>
    <font>
      <b/>
      <sz val="15"/>
      <color theme="3"/>
      <name val="Helvetica"/>
      <charset val="134"/>
      <scheme val="minor"/>
    </font>
    <font>
      <sz val="11"/>
      <color rgb="FF006100"/>
      <name val="Helvetica"/>
      <charset val="0"/>
      <scheme val="minor"/>
    </font>
    <font>
      <sz val="11"/>
      <color rgb="FF9C6500"/>
      <name val="Helvetica"/>
      <charset val="0"/>
      <scheme val="minor"/>
    </font>
    <font>
      <i/>
      <sz val="11"/>
      <color rgb="FF7F7F7F"/>
      <name val="Helvetica"/>
      <charset val="0"/>
      <scheme val="minor"/>
    </font>
    <font>
      <b/>
      <sz val="11"/>
      <color rgb="FFFA7D00"/>
      <name val="Helvetica"/>
      <charset val="0"/>
      <scheme val="minor"/>
    </font>
    <font>
      <b/>
      <sz val="18"/>
      <color theme="3"/>
      <name val="Helvetica"/>
      <charset val="134"/>
      <scheme val="minor"/>
    </font>
    <font>
      <sz val="11"/>
      <color rgb="FF3F3F76"/>
      <name val="Helvetica"/>
      <charset val="0"/>
      <scheme val="minor"/>
    </font>
    <font>
      <u/>
      <sz val="11"/>
      <color rgb="FF0000FF"/>
      <name val="Helvetica"/>
      <charset val="0"/>
      <scheme val="minor"/>
    </font>
    <font>
      <b/>
      <sz val="11"/>
      <color rgb="FFFFFFFF"/>
      <name val="Helvetica"/>
      <charset val="0"/>
      <scheme val="minor"/>
    </font>
    <font>
      <b/>
      <sz val="11"/>
      <color rgb="FF3F3F3F"/>
      <name val="Helvetica"/>
      <charset val="0"/>
      <scheme val="minor"/>
    </font>
    <font>
      <sz val="11"/>
      <color rgb="FF9C0006"/>
      <name val="Helvetica"/>
      <charset val="0"/>
      <scheme val="minor"/>
    </font>
    <font>
      <b/>
      <sz val="11"/>
      <color theme="1"/>
      <name val="Helvetica"/>
      <charset val="0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7" tint="0.79934080019531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371318704794"/>
        <bgColor indexed="64"/>
      </patternFill>
    </fill>
    <fill>
      <patternFill patternType="solid">
        <fgColor theme="3" tint="0.799340800195319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340800195319"/>
        <bgColor indexed="64"/>
      </patternFill>
    </fill>
    <fill>
      <patternFill patternType="solid">
        <fgColor theme="5" tint="0.799340800195319"/>
        <bgColor indexed="64"/>
      </patternFill>
    </fill>
    <fill>
      <patternFill patternType="solid">
        <fgColor rgb="FFFCF5D6"/>
        <bgColor rgb="FF000000"/>
      </patternFill>
    </fill>
    <fill>
      <patternFill patternType="solid">
        <fgColor rgb="FFFFD5D2"/>
        <bgColor rgb="FF000000"/>
      </patternFill>
    </fill>
    <fill>
      <patternFill patternType="solid">
        <fgColor rgb="FFE5F1F7"/>
        <bgColor indexed="64"/>
      </patternFill>
    </fill>
    <fill>
      <patternFill patternType="solid">
        <fgColor rgb="FFE5F4FF"/>
        <bgColor indexed="64"/>
      </patternFill>
    </fill>
    <fill>
      <patternFill patternType="solid">
        <fgColor rgb="FFD9F0FF"/>
        <bgColor indexed="64"/>
      </patternFill>
    </fill>
    <fill>
      <patternFill patternType="solid">
        <fgColor rgb="FFFFE7E5"/>
        <bgColor indexed="64"/>
      </patternFill>
    </fill>
    <fill>
      <patternFill patternType="solid">
        <fgColor rgb="FFFFD7D5"/>
        <bgColor indexed="64"/>
      </patternFill>
    </fill>
    <fill>
      <patternFill patternType="solid">
        <fgColor rgb="FFECF8E4"/>
        <bgColor indexed="64"/>
      </patternFill>
    </fill>
    <fill>
      <patternFill patternType="solid">
        <fgColor rgb="FFE7F6DE"/>
        <bgColor indexed="64"/>
      </patternFill>
    </fill>
    <fill>
      <patternFill patternType="solid">
        <fgColor rgb="FFF3E4F8"/>
        <bgColor indexed="64"/>
      </patternFill>
    </fill>
    <fill>
      <patternFill patternType="solid">
        <fgColor rgb="FFEDD7F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1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2"/>
      </right>
      <top style="thin">
        <color indexed="8"/>
      </top>
      <bottom style="thin">
        <color indexed="8"/>
      </bottom>
      <diagonal/>
    </border>
    <border>
      <left style="thin">
        <color indexed="12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0"/>
      </bottom>
      <diagonal/>
    </border>
    <border>
      <left style="thin">
        <color indexed="8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2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77">
    <xf numFmtId="0" fontId="0" fillId="0" borderId="0" applyNumberFormat="0" applyFill="0" applyBorder="0" applyProtection="0">
      <alignment vertical="top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0" fillId="0" borderId="0" applyNumberFormat="0" applyFill="0" applyBorder="0" applyProtection="0">
      <alignment vertical="top" wrapText="1"/>
    </xf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32" fillId="51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41" fillId="46" borderId="27" applyNumberFormat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4" borderId="0" applyNumberFormat="0" applyBorder="0" applyAlignment="0" applyProtection="0">
      <alignment vertical="center"/>
    </xf>
    <xf numFmtId="44" fontId="19" fillId="0" borderId="0" applyFont="0" applyFill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28" fillId="43" borderId="0" applyNumberFormat="0" applyBorder="0" applyAlignment="0" applyProtection="0">
      <alignment vertical="center"/>
    </xf>
    <xf numFmtId="0" fontId="3" fillId="0" borderId="0">
      <alignment vertical="center"/>
    </xf>
    <xf numFmtId="0" fontId="28" fillId="40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48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39" fillId="39" borderId="27" applyNumberFormat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3" fillId="0" borderId="0">
      <alignment vertical="center"/>
    </xf>
    <xf numFmtId="0" fontId="37" fillId="38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6" fillId="0" borderId="31" applyNumberFormat="0" applyFill="0" applyAlignment="0" applyProtection="0">
      <alignment vertical="center"/>
    </xf>
    <xf numFmtId="0" fontId="3" fillId="0" borderId="0">
      <alignment vertical="center"/>
    </xf>
    <xf numFmtId="0" fontId="45" fillId="53" borderId="0" applyNumberFormat="0" applyBorder="0" applyAlignment="0" applyProtection="0">
      <alignment vertical="center"/>
    </xf>
    <xf numFmtId="0" fontId="3" fillId="0" borderId="0"/>
    <xf numFmtId="0" fontId="43" fillId="47" borderId="28" applyNumberFormat="0" applyAlignment="0" applyProtection="0">
      <alignment vertical="center"/>
    </xf>
    <xf numFmtId="0" fontId="3" fillId="0" borderId="0">
      <alignment vertical="center"/>
    </xf>
    <xf numFmtId="0" fontId="44" fillId="39" borderId="29" applyNumberFormat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" fillId="0" borderId="0">
      <alignment vertical="center"/>
    </xf>
    <xf numFmtId="0" fontId="38" fillId="0" borderId="0" applyNumberFormat="0" applyFill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42" fontId="19" fillId="0" borderId="0" applyFont="0" applyFill="0" applyBorder="0" applyAlignment="0" applyProtection="0">
      <alignment vertical="center"/>
    </xf>
    <xf numFmtId="0" fontId="0" fillId="0" borderId="0" applyNumberFormat="0" applyFill="0" applyBorder="0" applyProtection="0">
      <alignment vertical="top" wrapText="1"/>
    </xf>
    <xf numFmtId="0" fontId="32" fillId="41" borderId="0" applyNumberFormat="0" applyBorder="0" applyAlignment="0" applyProtection="0">
      <alignment vertical="center"/>
    </xf>
    <xf numFmtId="43" fontId="1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19" fillId="49" borderId="30" applyNumberFormat="0" applyFont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" fillId="0" borderId="0">
      <alignment vertical="center"/>
    </xf>
    <xf numFmtId="0" fontId="34" fillId="0" borderId="32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" fillId="0" borderId="0">
      <alignment vertical="center"/>
    </xf>
    <xf numFmtId="0" fontId="30" fillId="0" borderId="26" applyNumberFormat="0" applyFill="0" applyAlignment="0" applyProtection="0">
      <alignment vertical="center"/>
    </xf>
  </cellStyleXfs>
  <cellXfs count="188">
    <xf numFmtId="0" fontId="0" fillId="0" borderId="0" xfId="0" applyFont="1" applyAlignment="1">
      <alignment vertical="top" wrapText="1"/>
    </xf>
    <xf numFmtId="0" fontId="1" fillId="0" borderId="1" xfId="42" applyFont="1" applyFill="1" applyBorder="1" applyAlignment="1">
      <alignment horizontal="center" vertical="center" wrapText="1"/>
    </xf>
    <xf numFmtId="0" fontId="1" fillId="0" borderId="1" xfId="54" applyNumberFormat="1" applyFont="1" applyBorder="1" applyAlignment="1">
      <alignment horizontal="center" vertical="center" wrapText="1"/>
    </xf>
    <xf numFmtId="0" fontId="1" fillId="0" borderId="1" xfId="42" applyFont="1" applyBorder="1" applyAlignment="1">
      <alignment horizontal="center" vertical="center" wrapText="1"/>
    </xf>
    <xf numFmtId="0" fontId="2" fillId="0" borderId="1" xfId="54" applyNumberFormat="1" applyFont="1" applyBorder="1" applyAlignment="1">
      <alignment horizontal="center" vertical="center" wrapText="1"/>
    </xf>
    <xf numFmtId="0" fontId="0" fillId="0" borderId="0" xfId="0">
      <alignment vertical="top" wrapText="1"/>
    </xf>
    <xf numFmtId="0" fontId="0" fillId="0" borderId="0" xfId="54">
      <alignment vertical="top" wrapText="1"/>
    </xf>
    <xf numFmtId="0" fontId="0" fillId="0" borderId="0" xfId="54" applyAlignment="1">
      <alignment horizontal="center" vertical="top" wrapText="1"/>
    </xf>
    <xf numFmtId="0" fontId="0" fillId="0" borderId="2" xfId="0" applyFont="1" applyBorder="1" applyAlignment="1">
      <alignment horizontal="center" vertical="center" wrapText="1"/>
    </xf>
    <xf numFmtId="0" fontId="3" fillId="0" borderId="2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center" vertical="center"/>
    </xf>
    <xf numFmtId="49" fontId="4" fillId="0" borderId="2" xfId="0" applyNumberFormat="1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center" vertical="center" wrapText="1"/>
    </xf>
    <xf numFmtId="0" fontId="1" fillId="0" borderId="1" xfId="7" applyFont="1" applyFill="1" applyBorder="1" applyAlignment="1">
      <alignment horizontal="center" vertical="center" wrapText="1"/>
    </xf>
    <xf numFmtId="0" fontId="1" fillId="2" borderId="1" xfId="7" applyFont="1" applyFill="1" applyBorder="1" applyAlignment="1">
      <alignment horizontal="center" vertical="center" wrapText="1"/>
    </xf>
    <xf numFmtId="0" fontId="8" fillId="0" borderId="2" xfId="7" applyFont="1" applyFill="1" applyBorder="1" applyAlignment="1">
      <alignment horizontal="center" vertical="center" wrapText="1"/>
    </xf>
    <xf numFmtId="0" fontId="1" fillId="0" borderId="2" xfId="7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 applyProtection="1">
      <alignment horizontal="center" vertical="center"/>
    </xf>
    <xf numFmtId="0" fontId="0" fillId="0" borderId="2" xfId="0" applyNumberFormat="1" applyFont="1" applyFill="1" applyBorder="1" applyAlignment="1" applyProtection="1">
      <alignment horizontal="center" vertical="top" wrapText="1"/>
    </xf>
    <xf numFmtId="0" fontId="3" fillId="3" borderId="2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vertical="top" wrapText="1"/>
    </xf>
    <xf numFmtId="0" fontId="9" fillId="0" borderId="2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top" wrapText="1"/>
    </xf>
    <xf numFmtId="0" fontId="1" fillId="0" borderId="1" xfId="0" applyNumberFormat="1" applyFont="1" applyFill="1" applyBorder="1" applyAlignment="1" applyProtection="1">
      <alignment horizontal="center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1" fillId="0" borderId="1" xfId="0" applyNumberFormat="1" applyFont="1" applyFill="1" applyBorder="1" applyAlignment="1" applyProtection="1">
      <alignment horizontal="center" vertical="center" wrapText="1"/>
    </xf>
    <xf numFmtId="0" fontId="1" fillId="0" borderId="2" xfId="0" applyNumberFormat="1" applyFont="1" applyFill="1" applyBorder="1" applyAlignment="1" applyProtection="1">
      <alignment horizontal="center" vertical="top" wrapText="1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1" fillId="0" borderId="2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0" borderId="2" xfId="0" applyNumberFormat="1" applyFont="1" applyFill="1" applyBorder="1" applyAlignment="1" applyProtection="1">
      <alignment horizontal="center" vertical="center"/>
    </xf>
    <xf numFmtId="0" fontId="14" fillId="0" borderId="2" xfId="0" applyNumberFormat="1" applyFont="1" applyFill="1" applyBorder="1" applyAlignment="1" applyProtection="1">
      <alignment horizontal="center" vertical="center"/>
    </xf>
    <xf numFmtId="0" fontId="15" fillId="3" borderId="2" xfId="0" applyFont="1" applyFill="1" applyBorder="1" applyAlignment="1">
      <alignment horizontal="center"/>
    </xf>
    <xf numFmtId="0" fontId="10" fillId="0" borderId="2" xfId="0" applyNumberFormat="1" applyFont="1" applyFill="1" applyBorder="1" applyAlignment="1" applyProtection="1">
      <alignment horizontal="center" vertical="center"/>
    </xf>
    <xf numFmtId="49" fontId="16" fillId="5" borderId="1" xfId="0" applyNumberFormat="1" applyFont="1" applyFill="1" applyBorder="1" applyAlignment="1" applyProtection="1">
      <alignment horizontal="center" vertical="center"/>
    </xf>
    <xf numFmtId="49" fontId="0" fillId="5" borderId="5" xfId="0" applyNumberFormat="1" applyFont="1" applyFill="1" applyBorder="1" applyAlignment="1" applyProtection="1">
      <alignment horizontal="center" vertical="center" wrapText="1"/>
    </xf>
    <xf numFmtId="49" fontId="0" fillId="5" borderId="6" xfId="0" applyNumberFormat="1" applyFont="1" applyFill="1" applyBorder="1" applyAlignment="1" applyProtection="1">
      <alignment horizontal="center" vertical="center" wrapText="1"/>
    </xf>
    <xf numFmtId="0" fontId="6" fillId="0" borderId="0" xfId="0" applyNumberFormat="1" applyFont="1" applyFill="1" applyBorder="1" applyAlignment="1" applyProtection="1">
      <alignment horizontal="center" vertical="top" wrapText="1"/>
    </xf>
    <xf numFmtId="0" fontId="0" fillId="0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Border="1" applyAlignment="1" applyProtection="1">
      <alignment horizontal="center" vertical="top" wrapText="1"/>
    </xf>
    <xf numFmtId="49" fontId="0" fillId="5" borderId="5" xfId="0" applyNumberFormat="1" applyFont="1" applyFill="1" applyBorder="1" applyAlignment="1">
      <alignment horizontal="center" vertical="center" wrapText="1"/>
    </xf>
    <xf numFmtId="0" fontId="0" fillId="0" borderId="7" xfId="0" applyFont="1" applyBorder="1" applyAlignment="1">
      <alignment vertical="top" wrapText="1"/>
    </xf>
    <xf numFmtId="49" fontId="16" fillId="5" borderId="1" xfId="0" applyNumberFormat="1" applyFont="1" applyFill="1" applyBorder="1" applyAlignment="1">
      <alignment horizontal="center" vertical="center"/>
    </xf>
    <xf numFmtId="49" fontId="0" fillId="5" borderId="6" xfId="0" applyNumberFormat="1" applyFont="1" applyFill="1" applyBorder="1" applyAlignment="1">
      <alignment horizontal="center" vertical="center" wrapText="1"/>
    </xf>
    <xf numFmtId="0" fontId="0" fillId="0" borderId="8" xfId="0" applyFont="1" applyBorder="1" applyAlignment="1">
      <alignment vertical="top" wrapText="1"/>
    </xf>
    <xf numFmtId="49" fontId="17" fillId="5" borderId="6" xfId="0" applyNumberFormat="1" applyFont="1" applyFill="1" applyBorder="1" applyAlignment="1">
      <alignment horizontal="center" vertical="center" wrapText="1"/>
    </xf>
    <xf numFmtId="0" fontId="0" fillId="5" borderId="6" xfId="0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/>
    </xf>
    <xf numFmtId="0" fontId="16" fillId="5" borderId="1" xfId="0" applyNumberFormat="1" applyFont="1" applyFill="1" applyBorder="1" applyAlignment="1">
      <alignment horizontal="center" vertical="center"/>
    </xf>
    <xf numFmtId="0" fontId="18" fillId="0" borderId="9" xfId="0" applyNumberFormat="1" applyFont="1" applyBorder="1" applyAlignment="1">
      <alignment horizontal="center" vertical="top" wrapText="1"/>
    </xf>
    <xf numFmtId="0" fontId="18" fillId="0" borderId="10" xfId="0" applyNumberFormat="1" applyFont="1" applyBorder="1" applyAlignment="1">
      <alignment horizontal="center"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18" fillId="5" borderId="1" xfId="0" applyNumberFormat="1" applyFont="1" applyFill="1" applyBorder="1" applyAlignment="1">
      <alignment horizontal="center"/>
    </xf>
    <xf numFmtId="0" fontId="0" fillId="0" borderId="13" xfId="0" applyFont="1" applyBorder="1" applyAlignment="1">
      <alignment vertical="top" wrapText="1"/>
    </xf>
    <xf numFmtId="0" fontId="0" fillId="6" borderId="14" xfId="0" applyFont="1" applyFill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11" fillId="0" borderId="2" xfId="54" applyNumberFormat="1" applyFont="1" applyBorder="1" applyAlignment="1">
      <alignment horizontal="center" vertical="center" wrapText="1"/>
    </xf>
    <xf numFmtId="0" fontId="12" fillId="0" borderId="2" xfId="54" applyNumberFormat="1" applyFont="1" applyBorder="1" applyAlignment="1">
      <alignment horizontal="center" vertical="center" wrapText="1"/>
    </xf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Alignment="1" applyProtection="1">
      <alignment horizontal="center"/>
    </xf>
    <xf numFmtId="0" fontId="2" fillId="0" borderId="2" xfId="54" applyNumberFormat="1" applyFont="1" applyBorder="1" applyAlignment="1">
      <alignment horizontal="center" vertical="center" wrapText="1"/>
    </xf>
    <xf numFmtId="0" fontId="0" fillId="0" borderId="0" xfId="0" applyNumberFormat="1" applyFont="1" applyAlignment="1">
      <alignment vertical="top" wrapText="1"/>
    </xf>
    <xf numFmtId="0" fontId="3" fillId="0" borderId="2" xfId="0" applyNumberFormat="1" applyFont="1" applyFill="1" applyBorder="1" applyAlignment="1" applyProtection="1"/>
    <xf numFmtId="1" fontId="1" fillId="0" borderId="1" xfId="0" applyNumberFormat="1" applyFont="1" applyBorder="1" applyAlignment="1">
      <alignment horizontal="center" vertical="center"/>
    </xf>
    <xf numFmtId="0" fontId="13" fillId="3" borderId="17" xfId="7" applyNumberFormat="1" applyFont="1" applyFill="1" applyBorder="1" applyAlignment="1">
      <alignment horizontal="center" vertical="center" wrapText="1"/>
    </xf>
    <xf numFmtId="0" fontId="1" fillId="0" borderId="1" xfId="7" applyNumberFormat="1" applyFont="1" applyBorder="1" applyAlignment="1">
      <alignment horizontal="center" vertical="center" wrapText="1"/>
    </xf>
    <xf numFmtId="0" fontId="1" fillId="3" borderId="1" xfId="7" applyNumberFormat="1" applyFont="1" applyFill="1" applyBorder="1" applyAlignment="1">
      <alignment horizontal="center" vertical="center" wrapText="1"/>
    </xf>
    <xf numFmtId="0" fontId="19" fillId="7" borderId="18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 wrapText="1"/>
    </xf>
    <xf numFmtId="0" fontId="19" fillId="8" borderId="18" xfId="0" applyFont="1" applyFill="1" applyBorder="1" applyAlignment="1">
      <alignment horizontal="center" vertical="center"/>
    </xf>
    <xf numFmtId="0" fontId="20" fillId="8" borderId="18" xfId="0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20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176" fontId="21" fillId="0" borderId="20" xfId="0" applyNumberFormat="1" applyFont="1" applyBorder="1" applyAlignment="1">
      <alignment horizontal="center" vertical="center" wrapText="1"/>
    </xf>
    <xf numFmtId="176" fontId="21" fillId="0" borderId="19" xfId="0" applyNumberFormat="1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/>
    </xf>
    <xf numFmtId="0" fontId="3" fillId="3" borderId="21" xfId="13" applyFont="1" applyFill="1" applyBorder="1" applyAlignment="1">
      <alignment horizontal="center"/>
    </xf>
    <xf numFmtId="0" fontId="3" fillId="3" borderId="22" xfId="0" applyNumberFormat="1" applyFont="1" applyFill="1" applyBorder="1" applyAlignment="1" applyProtection="1">
      <alignment horizontal="center"/>
    </xf>
    <xf numFmtId="0" fontId="21" fillId="9" borderId="20" xfId="0" applyFont="1" applyFill="1" applyBorder="1" applyAlignment="1">
      <alignment horizontal="center" vertical="center" wrapText="1"/>
    </xf>
    <xf numFmtId="0" fontId="21" fillId="10" borderId="20" xfId="0" applyFont="1" applyFill="1" applyBorder="1" applyAlignment="1">
      <alignment horizontal="center" vertical="center" wrapText="1"/>
    </xf>
    <xf numFmtId="0" fontId="22" fillId="11" borderId="20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wrapText="1"/>
    </xf>
    <xf numFmtId="0" fontId="21" fillId="13" borderId="20" xfId="0" applyFont="1" applyFill="1" applyBorder="1" applyAlignment="1">
      <alignment horizontal="center" vertical="center" wrapText="1"/>
    </xf>
    <xf numFmtId="0" fontId="21" fillId="14" borderId="19" xfId="0" applyFont="1" applyFill="1" applyBorder="1" applyAlignment="1">
      <alignment horizontal="center" vertical="center" wrapText="1"/>
    </xf>
    <xf numFmtId="0" fontId="0" fillId="15" borderId="2" xfId="0" applyFont="1" applyFill="1" applyBorder="1" applyAlignment="1">
      <alignment horizontal="center" vertical="center" wrapText="1"/>
    </xf>
    <xf numFmtId="0" fontId="0" fillId="15" borderId="2" xfId="0" applyFont="1" applyFill="1" applyBorder="1" applyAlignment="1">
      <alignment horizontal="left" vertical="center" wrapText="1"/>
    </xf>
    <xf numFmtId="0" fontId="5" fillId="15" borderId="2" xfId="0" applyFont="1" applyFill="1" applyBorder="1" applyAlignment="1">
      <alignment vertical="center" wrapText="1"/>
    </xf>
    <xf numFmtId="0" fontId="0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vertical="center" wrapText="1"/>
    </xf>
    <xf numFmtId="0" fontId="0" fillId="0" borderId="2" xfId="0" applyFont="1" applyBorder="1" applyAlignment="1">
      <alignment vertical="top" wrapText="1"/>
    </xf>
    <xf numFmtId="0" fontId="0" fillId="3" borderId="0" xfId="0" applyFont="1" applyFill="1" applyAlignment="1">
      <alignment horizontal="center" vertical="center" wrapText="1"/>
    </xf>
    <xf numFmtId="0" fontId="0" fillId="3" borderId="0" xfId="0" applyFont="1" applyFill="1" applyAlignment="1">
      <alignment vertical="top" wrapText="1"/>
    </xf>
    <xf numFmtId="0" fontId="0" fillId="16" borderId="2" xfId="0" applyFont="1" applyFill="1" applyBorder="1" applyAlignment="1">
      <alignment horizontal="center" vertical="center" wrapText="1"/>
    </xf>
    <xf numFmtId="0" fontId="0" fillId="17" borderId="2" xfId="0" applyFont="1" applyFill="1" applyBorder="1" applyAlignment="1">
      <alignment horizontal="center" vertical="center" wrapText="1"/>
    </xf>
    <xf numFmtId="0" fontId="0" fillId="18" borderId="2" xfId="0" applyFont="1" applyFill="1" applyBorder="1" applyAlignment="1">
      <alignment horizontal="center" vertical="center" wrapText="1"/>
    </xf>
    <xf numFmtId="0" fontId="0" fillId="19" borderId="2" xfId="0" applyFont="1" applyFill="1" applyBorder="1" applyAlignment="1">
      <alignment horizontal="center" vertical="center" wrapText="1"/>
    </xf>
    <xf numFmtId="0" fontId="0" fillId="20" borderId="2" xfId="0" applyFont="1" applyFill="1" applyBorder="1" applyAlignment="1">
      <alignment horizontal="center" vertical="center" wrapText="1"/>
    </xf>
    <xf numFmtId="0" fontId="0" fillId="21" borderId="2" xfId="0" applyFont="1" applyFill="1" applyBorder="1" applyAlignment="1">
      <alignment horizontal="center" vertical="center" wrapText="1"/>
    </xf>
    <xf numFmtId="0" fontId="0" fillId="22" borderId="2" xfId="0" applyFont="1" applyFill="1" applyBorder="1" applyAlignment="1">
      <alignment horizontal="center" vertical="center" wrapText="1"/>
    </xf>
    <xf numFmtId="0" fontId="0" fillId="16" borderId="2" xfId="0" applyFont="1" applyFill="1" applyBorder="1" applyAlignment="1">
      <alignment horizontal="left" vertical="center" wrapText="1"/>
    </xf>
    <xf numFmtId="0" fontId="0" fillId="17" borderId="2" xfId="0" applyFont="1" applyFill="1" applyBorder="1" applyAlignment="1">
      <alignment horizontal="left" vertical="center" wrapText="1"/>
    </xf>
    <xf numFmtId="0" fontId="0" fillId="18" borderId="2" xfId="0" applyFont="1" applyFill="1" applyBorder="1" applyAlignment="1">
      <alignment horizontal="left" vertical="center" wrapText="1"/>
    </xf>
    <xf numFmtId="0" fontId="0" fillId="19" borderId="2" xfId="0" applyFont="1" applyFill="1" applyBorder="1" applyAlignment="1">
      <alignment horizontal="left" vertical="center" wrapText="1"/>
    </xf>
    <xf numFmtId="0" fontId="0" fillId="20" borderId="2" xfId="0" applyFont="1" applyFill="1" applyBorder="1" applyAlignment="1">
      <alignment horizontal="left" vertical="center" wrapText="1"/>
    </xf>
    <xf numFmtId="0" fontId="0" fillId="21" borderId="2" xfId="0" applyFont="1" applyFill="1" applyBorder="1" applyAlignment="1">
      <alignment horizontal="left" vertical="center" wrapText="1"/>
    </xf>
    <xf numFmtId="0" fontId="0" fillId="22" borderId="2" xfId="0" applyFont="1" applyFill="1" applyBorder="1" applyAlignment="1">
      <alignment horizontal="left" vertical="center" wrapText="1"/>
    </xf>
    <xf numFmtId="0" fontId="5" fillId="16" borderId="2" xfId="0" applyFont="1" applyFill="1" applyBorder="1" applyAlignment="1">
      <alignment horizontal="left" vertical="center" wrapText="1"/>
    </xf>
    <xf numFmtId="0" fontId="5" fillId="17" borderId="2" xfId="0" applyFont="1" applyFill="1" applyBorder="1" applyAlignment="1">
      <alignment horizontal="left" vertical="center" wrapText="1"/>
    </xf>
    <xf numFmtId="0" fontId="0" fillId="23" borderId="2" xfId="0" applyFont="1" applyFill="1" applyBorder="1" applyAlignment="1">
      <alignment horizontal="center" vertical="center" wrapText="1"/>
    </xf>
    <xf numFmtId="0" fontId="0" fillId="23" borderId="2" xfId="0" applyFont="1" applyFill="1" applyBorder="1" applyAlignment="1">
      <alignment horizontal="left" vertical="center" wrapText="1"/>
    </xf>
    <xf numFmtId="0" fontId="1" fillId="0" borderId="2" xfId="0" applyNumberFormat="1" applyFont="1" applyFill="1" applyBorder="1" applyAlignment="1" applyProtection="1">
      <alignment horizontal="center" vertical="center" wrapText="1"/>
    </xf>
    <xf numFmtId="0" fontId="14" fillId="0" borderId="2" xfId="0" applyNumberFormat="1" applyFont="1" applyFill="1" applyBorder="1" applyAlignment="1" applyProtection="1">
      <alignment horizontal="center" vertical="center" wrapText="1"/>
    </xf>
    <xf numFmtId="0" fontId="1" fillId="24" borderId="2" xfId="0" applyNumberFormat="1" applyFont="1" applyFill="1" applyBorder="1" applyAlignment="1" applyProtection="1">
      <alignment horizontal="center" vertical="center" wrapText="1"/>
    </xf>
    <xf numFmtId="0" fontId="14" fillId="24" borderId="2" xfId="0" applyNumberFormat="1" applyFont="1" applyFill="1" applyBorder="1" applyAlignment="1" applyProtection="1">
      <alignment horizontal="center" vertical="center" wrapText="1"/>
    </xf>
    <xf numFmtId="0" fontId="21" fillId="24" borderId="2" xfId="0" applyNumberFormat="1" applyFont="1" applyFill="1" applyBorder="1" applyAlignment="1" applyProtection="1">
      <alignment horizontal="center" vertical="center" wrapText="1"/>
    </xf>
    <xf numFmtId="0" fontId="23" fillId="24" borderId="2" xfId="0" applyNumberFormat="1" applyFont="1" applyFill="1" applyBorder="1" applyAlignment="1" applyProtection="1">
      <alignment horizontal="center" vertical="center" wrapText="1"/>
    </xf>
    <xf numFmtId="0" fontId="1" fillId="9" borderId="2" xfId="0" applyNumberFormat="1" applyFont="1" applyFill="1" applyBorder="1" applyAlignment="1" applyProtection="1">
      <alignment horizontal="center" vertical="center" wrapText="1"/>
    </xf>
    <xf numFmtId="0" fontId="21" fillId="9" borderId="2" xfId="0" applyNumberFormat="1" applyFont="1" applyFill="1" applyBorder="1" applyAlignment="1" applyProtection="1">
      <alignment horizontal="center" vertical="center" wrapText="1"/>
    </xf>
    <xf numFmtId="0" fontId="1" fillId="25" borderId="2" xfId="0" applyNumberFormat="1" applyFont="1" applyFill="1" applyBorder="1" applyAlignment="1" applyProtection="1">
      <alignment horizontal="center" vertical="center" wrapText="1"/>
    </xf>
    <xf numFmtId="0" fontId="21" fillId="25" borderId="2" xfId="0" applyNumberFormat="1" applyFont="1" applyFill="1" applyBorder="1" applyAlignment="1" applyProtection="1">
      <alignment horizontal="center" vertical="center" wrapText="1"/>
    </xf>
    <xf numFmtId="0" fontId="23" fillId="25" borderId="2" xfId="0" applyNumberFormat="1" applyFont="1" applyFill="1" applyBorder="1" applyAlignment="1" applyProtection="1">
      <alignment horizontal="center" vertical="center" wrapText="1"/>
    </xf>
    <xf numFmtId="0" fontId="1" fillId="4" borderId="2" xfId="0" applyNumberFormat="1" applyFont="1" applyFill="1" applyBorder="1" applyAlignment="1" applyProtection="1">
      <alignment horizontal="center" vertical="center" wrapText="1"/>
    </xf>
    <xf numFmtId="0" fontId="1" fillId="11" borderId="2" xfId="0" applyNumberFormat="1" applyFont="1" applyFill="1" applyBorder="1" applyAlignment="1" applyProtection="1">
      <alignment horizontal="center" vertical="center" wrapText="1"/>
    </xf>
    <xf numFmtId="0" fontId="23" fillId="4" borderId="2" xfId="0" applyNumberFormat="1" applyFont="1" applyFill="1" applyBorder="1" applyAlignment="1" applyProtection="1">
      <alignment horizontal="center" vertical="center" wrapText="1"/>
    </xf>
    <xf numFmtId="0" fontId="21" fillId="4" borderId="2" xfId="0" applyNumberFormat="1" applyFont="1" applyFill="1" applyBorder="1" applyAlignment="1" applyProtection="1">
      <alignment horizontal="center" vertical="center" wrapText="1"/>
    </xf>
    <xf numFmtId="0" fontId="21" fillId="11" borderId="2" xfId="0" applyNumberFormat="1" applyFont="1" applyFill="1" applyBorder="1" applyAlignment="1" applyProtection="1">
      <alignment horizontal="center" vertical="center" wrapText="1"/>
    </xf>
    <xf numFmtId="0" fontId="13" fillId="0" borderId="1" xfId="54" applyNumberFormat="1" applyFont="1" applyBorder="1" applyAlignment="1">
      <alignment horizontal="center" vertical="center" wrapText="1"/>
    </xf>
    <xf numFmtId="0" fontId="1" fillId="0" borderId="2" xfId="54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46" applyFont="1" applyBorder="1" applyAlignment="1">
      <alignment horizontal="center" vertical="center" wrapText="1"/>
    </xf>
    <xf numFmtId="0" fontId="21" fillId="0" borderId="1" xfId="0" applyNumberFormat="1" applyFont="1" applyBorder="1" applyAlignment="1">
      <alignment horizontal="center" vertical="center" wrapText="1"/>
    </xf>
    <xf numFmtId="0" fontId="10" fillId="0" borderId="1" xfId="0" applyNumberFormat="1" applyFont="1" applyBorder="1" applyAlignment="1">
      <alignment horizontal="center" vertical="center"/>
    </xf>
    <xf numFmtId="0" fontId="0" fillId="0" borderId="0" xfId="0" applyFill="1">
      <alignment vertical="top" wrapText="1"/>
    </xf>
    <xf numFmtId="0" fontId="0" fillId="0" borderId="0" xfId="0" applyFont="1" applyFill="1" applyAlignment="1">
      <alignment vertical="top" wrapText="1"/>
    </xf>
    <xf numFmtId="0" fontId="14" fillId="0" borderId="1" xfId="42" applyFont="1" applyFill="1" applyBorder="1" applyAlignment="1">
      <alignment horizontal="center" vertical="center" wrapText="1"/>
    </xf>
    <xf numFmtId="0" fontId="24" fillId="0" borderId="1" xfId="42" applyFont="1" applyFill="1" applyBorder="1" applyAlignment="1">
      <alignment horizontal="center" vertical="center" wrapText="1"/>
    </xf>
    <xf numFmtId="0" fontId="10" fillId="0" borderId="1" xfId="42" applyFont="1" applyFill="1" applyBorder="1" applyAlignment="1">
      <alignment horizontal="center" vertical="center" wrapText="1"/>
    </xf>
    <xf numFmtId="0" fontId="10" fillId="0" borderId="2" xfId="42" applyFont="1" applyFill="1" applyBorder="1" applyAlignment="1">
      <alignment horizontal="center" vertical="center" wrapText="1"/>
    </xf>
    <xf numFmtId="0" fontId="21" fillId="0" borderId="1" xfId="42" applyFont="1" applyFill="1" applyBorder="1" applyAlignment="1">
      <alignment horizontal="center" vertical="center" wrapText="1"/>
    </xf>
    <xf numFmtId="0" fontId="1" fillId="0" borderId="17" xfId="42" applyFont="1" applyFill="1" applyBorder="1" applyAlignment="1">
      <alignment horizontal="center" vertical="center" wrapText="1"/>
    </xf>
    <xf numFmtId="0" fontId="1" fillId="0" borderId="2" xfId="42" applyFont="1" applyFill="1" applyBorder="1" applyAlignment="1">
      <alignment horizontal="center" vertical="center" wrapText="1"/>
    </xf>
    <xf numFmtId="0" fontId="10" fillId="0" borderId="17" xfId="42" applyFont="1" applyFill="1" applyBorder="1" applyAlignment="1">
      <alignment horizontal="center" vertical="center" wrapText="1"/>
    </xf>
    <xf numFmtId="0" fontId="24" fillId="0" borderId="2" xfId="42" applyFont="1" applyFill="1" applyBorder="1" applyAlignment="1">
      <alignment horizontal="center" vertical="center" wrapText="1"/>
    </xf>
    <xf numFmtId="0" fontId="25" fillId="0" borderId="17" xfId="42" applyFont="1" applyFill="1" applyBorder="1" applyAlignment="1">
      <alignment horizontal="center" vertical="center" wrapText="1"/>
    </xf>
    <xf numFmtId="0" fontId="0" fillId="0" borderId="2" xfId="54" applyNumberFormat="1" applyFill="1" applyBorder="1" applyAlignment="1">
      <alignment horizontal="center" vertical="top" wrapText="1"/>
    </xf>
    <xf numFmtId="0" fontId="22" fillId="0" borderId="2" xfId="42" applyFont="1" applyFill="1" applyBorder="1" applyAlignment="1">
      <alignment horizontal="center" vertical="center" wrapText="1"/>
    </xf>
    <xf numFmtId="0" fontId="1" fillId="0" borderId="23" xfId="42" applyFont="1" applyFill="1" applyBorder="1" applyAlignment="1">
      <alignment horizontal="center" vertical="center" wrapText="1"/>
    </xf>
    <xf numFmtId="0" fontId="0" fillId="0" borderId="2" xfId="54" applyNumberFormat="1" applyFill="1" applyBorder="1">
      <alignment vertical="top" wrapText="1"/>
    </xf>
    <xf numFmtId="0" fontId="22" fillId="0" borderId="2" xfId="11" applyFont="1" applyFill="1" applyBorder="1" applyAlignment="1">
      <alignment horizontal="center" vertical="center" wrapText="1"/>
    </xf>
    <xf numFmtId="0" fontId="1" fillId="0" borderId="2" xfId="54" applyNumberFormat="1" applyFont="1" applyFill="1" applyBorder="1" applyAlignment="1">
      <alignment horizontal="center" vertical="center" wrapText="1"/>
    </xf>
    <xf numFmtId="0" fontId="1" fillId="0" borderId="1" xfId="54" applyNumberFormat="1" applyFont="1" applyFill="1" applyBorder="1" applyAlignment="1">
      <alignment horizontal="center" vertical="center" wrapText="1"/>
    </xf>
    <xf numFmtId="0" fontId="5" fillId="0" borderId="2" xfId="54" applyFont="1" applyFill="1" applyBorder="1">
      <alignment vertical="top" wrapText="1"/>
    </xf>
    <xf numFmtId="0" fontId="22" fillId="0" borderId="17" xfId="42" applyFont="1" applyFill="1" applyBorder="1" applyAlignment="1">
      <alignment horizontal="center" vertical="center" wrapText="1"/>
    </xf>
    <xf numFmtId="0" fontId="22" fillId="0" borderId="17" xfId="11" applyFont="1" applyFill="1" applyBorder="1" applyAlignment="1">
      <alignment horizontal="center" vertical="center" wrapText="1"/>
    </xf>
    <xf numFmtId="0" fontId="0" fillId="0" borderId="17" xfId="54" applyNumberFormat="1" applyFill="1" applyBorder="1">
      <alignment vertical="top" wrapText="1"/>
    </xf>
    <xf numFmtId="0" fontId="1" fillId="0" borderId="0" xfId="42" applyFont="1" applyFill="1" applyBorder="1" applyAlignment="1">
      <alignment horizontal="center" vertical="center" wrapText="1"/>
    </xf>
    <xf numFmtId="0" fontId="1" fillId="0" borderId="17" xfId="42" applyFont="1" applyBorder="1" applyAlignment="1">
      <alignment horizontal="center" vertical="center" wrapText="1"/>
    </xf>
    <xf numFmtId="0" fontId="1" fillId="0" borderId="2" xfId="42" applyFont="1" applyBorder="1" applyAlignment="1">
      <alignment horizontal="center" vertical="center" wrapText="1"/>
    </xf>
    <xf numFmtId="0" fontId="1" fillId="0" borderId="23" xfId="42" applyFont="1" applyBorder="1" applyAlignment="1">
      <alignment horizontal="center" vertical="center" wrapText="1"/>
    </xf>
    <xf numFmtId="0" fontId="26" fillId="0" borderId="0" xfId="0" applyNumberFormat="1" applyFont="1" applyAlignment="1">
      <alignment vertical="top" wrapText="1"/>
    </xf>
    <xf numFmtId="0" fontId="26" fillId="0" borderId="0" xfId="0" applyFont="1" applyAlignment="1">
      <alignment vertical="top" wrapText="1"/>
    </xf>
    <xf numFmtId="0" fontId="27" fillId="0" borderId="24" xfId="0" applyNumberFormat="1" applyFont="1" applyBorder="1" applyAlignment="1">
      <alignment horizontal="center"/>
    </xf>
    <xf numFmtId="1" fontId="1" fillId="0" borderId="24" xfId="0" applyNumberFormat="1" applyFont="1" applyBorder="1" applyAlignment="1">
      <alignment horizontal="center"/>
    </xf>
  </cellXfs>
  <cellStyles count="77">
    <cellStyle name="常规" xfId="0" builtinId="0"/>
    <cellStyle name="常规 10 2 2 2 2" xfId="1"/>
    <cellStyle name="常规 10 2 2 2 2 2" xfId="2"/>
    <cellStyle name="常规 11" xfId="3"/>
    <cellStyle name="常规 12" xfId="4"/>
    <cellStyle name="常规 13" xfId="5"/>
    <cellStyle name="常规 3 2" xfId="6"/>
    <cellStyle name="常规 4" xfId="7"/>
    <cellStyle name="常规 4 2" xfId="8"/>
    <cellStyle name="常规 4 3 2" xfId="9"/>
    <cellStyle name="常规 4 3 2 3" xfId="10"/>
    <cellStyle name="常规 4 3 2 4" xfId="11"/>
    <cellStyle name="常规 5" xfId="12"/>
    <cellStyle name="常规 5 2" xfId="13"/>
    <cellStyle name="常规 6" xfId="14"/>
    <cellStyle name="常规 9 2" xfId="15"/>
    <cellStyle name="常规 9 2 2" xfId="16"/>
    <cellStyle name="常规 9 2 3" xfId="17"/>
    <cellStyle name="常规 2 2 2 3" xfId="18"/>
    <cellStyle name="60% - 强调文字颜色 6" xfId="19" builtinId="52"/>
    <cellStyle name="20% - 强调文字颜色 4" xfId="20" builtinId="42"/>
    <cellStyle name="强调文字颜色 4" xfId="21" builtinId="41"/>
    <cellStyle name="输入" xfId="22" builtinId="20"/>
    <cellStyle name="40% - 强调文字颜色 3" xfId="23" builtinId="39"/>
    <cellStyle name="20% - 强调文字颜色 3" xfId="24" builtinId="38"/>
    <cellStyle name="货币" xfId="25" builtinId="4"/>
    <cellStyle name="强调文字颜色 3" xfId="26" builtinId="37"/>
    <cellStyle name="百分比" xfId="27" builtinId="5"/>
    <cellStyle name="60% - 强调文字颜色 2" xfId="28" builtinId="36"/>
    <cellStyle name="常规 2 2 2 2" xfId="29"/>
    <cellStyle name="60% - 强调文字颜色 5" xfId="30" builtinId="48"/>
    <cellStyle name="强调文字颜色 2" xfId="31" builtinId="33"/>
    <cellStyle name="60% - 强调文字颜色 1" xfId="32" builtinId="32"/>
    <cellStyle name="60% - 强调文字颜色 4" xfId="33" builtinId="44"/>
    <cellStyle name="计算" xfId="34" builtinId="22"/>
    <cellStyle name="强调文字颜色 1" xfId="35" builtinId="29"/>
    <cellStyle name="常规 4 3 2 2" xfId="36"/>
    <cellStyle name="适中" xfId="37" builtinId="28"/>
    <cellStyle name="20% - 强调文字颜色 5" xfId="38" builtinId="46"/>
    <cellStyle name="好" xfId="39" builtinId="26"/>
    <cellStyle name="20% - 强调文字颜色 1" xfId="40" builtinId="30"/>
    <cellStyle name="汇总" xfId="41" builtinId="25"/>
    <cellStyle name="常规 4 3 2 2 3" xfId="42"/>
    <cellStyle name="差" xfId="43" builtinId="27"/>
    <cellStyle name="常规 9 2 2 2" xfId="44"/>
    <cellStyle name="检查单元格" xfId="45" builtinId="23"/>
    <cellStyle name="常规 4 3" xfId="46"/>
    <cellStyle name="输出" xfId="47" builtinId="21"/>
    <cellStyle name="标题 1" xfId="48" builtinId="16"/>
    <cellStyle name="常规 2 2 2" xfId="49"/>
    <cellStyle name="解释性文本" xfId="50" builtinId="53"/>
    <cellStyle name="20% - 强调文字颜色 2" xfId="51" builtinId="34"/>
    <cellStyle name="标题 4" xfId="52" builtinId="19"/>
    <cellStyle name="货币[0]" xfId="53" builtinId="7"/>
    <cellStyle name="常规 2 2" xfId="54"/>
    <cellStyle name="40% - 强调文字颜色 4" xfId="55" builtinId="43"/>
    <cellStyle name="千位分隔" xfId="56" builtinId="3"/>
    <cellStyle name="常规 2 2 2 2 2" xfId="57"/>
    <cellStyle name="已访问的超链接" xfId="58" builtinId="9"/>
    <cellStyle name="标题" xfId="59" builtinId="15"/>
    <cellStyle name="40% - 强调文字颜色 2" xfId="60" builtinId="35"/>
    <cellStyle name="警告文本" xfId="61" builtinId="11"/>
    <cellStyle name="60% - 强调文字颜色 3" xfId="62" builtinId="40"/>
    <cellStyle name="注释" xfId="63" builtinId="10"/>
    <cellStyle name="20% - 强调文字颜色 6" xfId="64" builtinId="50"/>
    <cellStyle name="强调文字颜色 5" xfId="65" builtinId="45"/>
    <cellStyle name="40% - 强调文字颜色 6" xfId="66" builtinId="51"/>
    <cellStyle name="超链接" xfId="67" builtinId="8"/>
    <cellStyle name="千位分隔[0]" xfId="68" builtinId="6"/>
    <cellStyle name="标题 2" xfId="69" builtinId="17"/>
    <cellStyle name="40% - 强调文字颜色 5" xfId="70" builtinId="47"/>
    <cellStyle name="常规 4 3 2 2 2" xfId="71"/>
    <cellStyle name="标题 3" xfId="72" builtinId="18"/>
    <cellStyle name="强调文字颜色 6" xfId="73" builtinId="49"/>
    <cellStyle name="40% - 强调文字颜色 1" xfId="74" builtinId="31"/>
    <cellStyle name="常规 3" xfId="75"/>
    <cellStyle name="链接单元格" xfId="76" builtinId="24"/>
  </cellStyles>
  <dxfs count="4">
    <dxf>
      <fill>
        <patternFill patternType="solid">
          <bgColor theme="5" tint="0.396649067659536"/>
        </patternFill>
      </fill>
    </dxf>
    <dxf>
      <font>
        <color theme="0" tint="-0.249946592608417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AAAAAA"/>
      <rgbColor rgb="00FF0000"/>
      <rgbColor rgb="00000000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5" Type="http://schemas.openxmlformats.org/officeDocument/2006/relationships/sharedStrings" Target="sharedStrings.xml"/><Relationship Id="rId34" Type="http://schemas.openxmlformats.org/officeDocument/2006/relationships/styles" Target="styles.xml"/><Relationship Id="rId33" Type="http://schemas.openxmlformats.org/officeDocument/2006/relationships/theme" Target="theme/theme1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3"/>
  <sheetViews>
    <sheetView showGridLines="0" workbookViewId="0">
      <selection activeCell="C6" sqref="C6"/>
    </sheetView>
  </sheetViews>
  <sheetFormatPr defaultColWidth="6.59868421052632" defaultRowHeight="23.1" customHeight="1" outlineLevelCol="7"/>
  <cols>
    <col min="1" max="1" width="9.59868421052632" style="184" customWidth="1"/>
    <col min="2" max="2" width="6.59868421052632" style="184" customWidth="1"/>
    <col min="3" max="3" width="9.59868421052632" style="184" customWidth="1"/>
    <col min="4" max="4" width="9.5" style="184" customWidth="1"/>
    <col min="5" max="6" width="6.59868421052632" style="184" customWidth="1"/>
    <col min="7" max="7" width="9.69736842105263" style="184" customWidth="1"/>
    <col min="8" max="256" width="6.59868421052632" style="184" customWidth="1"/>
    <col min="257" max="16384" width="6.59868421052632" style="185"/>
  </cols>
  <sheetData>
    <row r="1" customHeight="1" spans="1:8">
      <c r="A1" s="186" t="s">
        <v>0</v>
      </c>
      <c r="B1" s="187"/>
      <c r="C1" s="187"/>
      <c r="D1" s="187"/>
      <c r="E1" s="187"/>
      <c r="F1" s="187"/>
      <c r="G1" s="186" t="s">
        <v>1</v>
      </c>
      <c r="H1" s="187"/>
    </row>
    <row r="2" customHeight="1" spans="1:8">
      <c r="A2" s="187"/>
      <c r="B2" s="186" t="s">
        <v>2</v>
      </c>
      <c r="C2" s="186" t="s">
        <v>3</v>
      </c>
      <c r="D2" s="186" t="s">
        <v>4</v>
      </c>
      <c r="E2" s="186" t="s">
        <v>5</v>
      </c>
      <c r="F2" s="187"/>
      <c r="G2" s="186" t="s">
        <v>6</v>
      </c>
      <c r="H2" s="186">
        <v>101</v>
      </c>
    </row>
    <row r="3" customHeight="1" spans="1:8">
      <c r="A3" s="186" t="s">
        <v>7</v>
      </c>
      <c r="B3" s="186">
        <v>1</v>
      </c>
      <c r="C3" s="186" t="s">
        <v>8</v>
      </c>
      <c r="D3" s="186"/>
      <c r="E3" s="186" t="s">
        <v>9</v>
      </c>
      <c r="F3" s="187"/>
      <c r="G3" s="186" t="s">
        <v>10</v>
      </c>
      <c r="H3" s="186">
        <v>102</v>
      </c>
    </row>
    <row r="4" customHeight="1" spans="1:8">
      <c r="A4" s="186" t="s">
        <v>11</v>
      </c>
      <c r="B4" s="186">
        <v>2</v>
      </c>
      <c r="C4" s="186" t="s">
        <v>8</v>
      </c>
      <c r="D4" s="186"/>
      <c r="E4" s="186" t="s">
        <v>9</v>
      </c>
      <c r="F4" s="187"/>
      <c r="G4" s="186" t="s">
        <v>12</v>
      </c>
      <c r="H4" s="186">
        <v>103</v>
      </c>
    </row>
    <row r="5" customHeight="1" spans="1:8">
      <c r="A5" s="186" t="s">
        <v>13</v>
      </c>
      <c r="B5" s="186">
        <v>3</v>
      </c>
      <c r="C5" s="186" t="s">
        <v>14</v>
      </c>
      <c r="D5" s="186" t="s">
        <v>15</v>
      </c>
      <c r="E5" s="186" t="s">
        <v>9</v>
      </c>
      <c r="F5" s="187"/>
      <c r="G5" s="186"/>
      <c r="H5" s="186"/>
    </row>
    <row r="6" customHeight="1" spans="1:8">
      <c r="A6" s="186" t="s">
        <v>16</v>
      </c>
      <c r="B6" s="186">
        <v>4</v>
      </c>
      <c r="C6" s="186" t="s">
        <v>8</v>
      </c>
      <c r="D6" s="186"/>
      <c r="E6" s="186" t="s">
        <v>9</v>
      </c>
      <c r="F6" s="187"/>
      <c r="G6" s="186"/>
      <c r="H6" s="186"/>
    </row>
    <row r="7" customHeight="1" spans="1:8">
      <c r="A7" s="186" t="s">
        <v>17</v>
      </c>
      <c r="B7" s="186">
        <v>5</v>
      </c>
      <c r="C7" s="186" t="s">
        <v>8</v>
      </c>
      <c r="D7" s="186"/>
      <c r="E7" s="186" t="s">
        <v>9</v>
      </c>
      <c r="F7" s="187"/>
      <c r="G7" s="187"/>
      <c r="H7" s="187"/>
    </row>
    <row r="8" customHeight="1" spans="1:8">
      <c r="A8" s="186" t="s">
        <v>18</v>
      </c>
      <c r="B8" s="186">
        <v>6</v>
      </c>
      <c r="C8" s="186" t="s">
        <v>8</v>
      </c>
      <c r="D8" s="186" t="s">
        <v>19</v>
      </c>
      <c r="E8" s="186" t="s">
        <v>9</v>
      </c>
      <c r="F8" s="187"/>
      <c r="G8" s="187"/>
      <c r="H8" s="187"/>
    </row>
    <row r="9" customHeight="1" spans="1:8">
      <c r="A9" s="186" t="s">
        <v>20</v>
      </c>
      <c r="B9" s="186">
        <v>7</v>
      </c>
      <c r="C9" s="186" t="s">
        <v>8</v>
      </c>
      <c r="D9" s="186"/>
      <c r="E9" s="186" t="s">
        <v>9</v>
      </c>
      <c r="F9" s="187"/>
      <c r="G9" s="187"/>
      <c r="H9" s="187"/>
    </row>
    <row r="10" customHeight="1" spans="1:8">
      <c r="A10" s="186" t="s">
        <v>21</v>
      </c>
      <c r="B10" s="186">
        <v>8</v>
      </c>
      <c r="C10" s="186" t="s">
        <v>8</v>
      </c>
      <c r="D10" s="186"/>
      <c r="E10" s="186" t="s">
        <v>9</v>
      </c>
      <c r="F10" s="187"/>
      <c r="G10" s="187"/>
      <c r="H10" s="187"/>
    </row>
    <row r="11" customHeight="1" spans="1:8">
      <c r="A11" s="186" t="s">
        <v>22</v>
      </c>
      <c r="B11" s="186">
        <v>9</v>
      </c>
      <c r="C11" s="186"/>
      <c r="D11" s="186"/>
      <c r="E11" s="186" t="s">
        <v>9</v>
      </c>
      <c r="F11" s="187"/>
      <c r="G11" s="187"/>
      <c r="H11" s="187"/>
    </row>
    <row r="12" customHeight="1" spans="1:8">
      <c r="A12" s="186" t="s">
        <v>23</v>
      </c>
      <c r="B12" s="186">
        <v>10</v>
      </c>
      <c r="C12" s="186" t="s">
        <v>8</v>
      </c>
      <c r="D12" s="186"/>
      <c r="E12" s="186" t="s">
        <v>9</v>
      </c>
      <c r="F12" s="187"/>
      <c r="G12" s="187"/>
      <c r="H12" s="187"/>
    </row>
    <row r="13" customHeight="1" spans="1:8">
      <c r="A13" s="186" t="s">
        <v>24</v>
      </c>
      <c r="B13" s="186">
        <v>11</v>
      </c>
      <c r="C13" s="186" t="s">
        <v>8</v>
      </c>
      <c r="D13" s="186"/>
      <c r="E13" s="186" t="s">
        <v>9</v>
      </c>
      <c r="F13" s="187"/>
      <c r="G13" s="187"/>
      <c r="H13" s="187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P187"/>
  <sheetViews>
    <sheetView tabSelected="1" zoomScale="90" zoomScaleNormal="90" workbookViewId="0">
      <pane ySplit="3" topLeftCell="A37" activePane="bottomLeft" state="frozen"/>
      <selection/>
      <selection pane="bottomLeft" activeCell="M67" sqref="M67"/>
    </sheetView>
  </sheetViews>
  <sheetFormatPr defaultColWidth="43.7960526315789" defaultRowHeight="15.2"/>
  <cols>
    <col min="1" max="1" width="11" style="158" customWidth="1"/>
    <col min="2" max="2" width="29.7960526315789" style="158" customWidth="1"/>
    <col min="3" max="3" width="17.1973684210526" style="158" customWidth="1"/>
    <col min="4" max="4" width="8.5" style="158" customWidth="1"/>
    <col min="5" max="5" width="9" style="158" customWidth="1"/>
    <col min="6" max="6" width="15.1973684210526" style="158" customWidth="1"/>
    <col min="7" max="7" width="6.40131578947368" style="158" customWidth="1"/>
    <col min="8" max="9" width="15.5" style="158" customWidth="1"/>
    <col min="10" max="10" width="7.5" style="158" customWidth="1"/>
    <col min="11" max="11" width="9.69736842105263" style="158" customWidth="1"/>
    <col min="12" max="12" width="24.9013157894737" style="158" customWidth="1"/>
    <col min="13" max="13" width="9.79605263157895" style="158" customWidth="1"/>
    <col min="14" max="14" width="14.4013157894737" style="158" customWidth="1"/>
    <col min="15" max="15" width="15.9013157894737" style="158" customWidth="1"/>
    <col min="16" max="16" width="11.1973684210526" style="158" customWidth="1"/>
    <col min="17" max="16384" width="43.7960526315789" style="158"/>
  </cols>
  <sheetData>
    <row r="1" ht="18" spans="1:16">
      <c r="A1" s="1" t="s">
        <v>25</v>
      </c>
      <c r="B1" s="1" t="s">
        <v>26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64" t="s">
        <v>34</v>
      </c>
      <c r="L1" s="165" t="s">
        <v>35</v>
      </c>
      <c r="M1" s="165" t="s">
        <v>36</v>
      </c>
      <c r="N1" s="169" t="s">
        <v>37</v>
      </c>
      <c r="O1" s="169" t="s">
        <v>38</v>
      </c>
      <c r="P1" s="169" t="s">
        <v>39</v>
      </c>
    </row>
    <row r="2" ht="18" spans="1:16">
      <c r="A2" s="1" t="s">
        <v>40</v>
      </c>
      <c r="B2" s="1" t="s">
        <v>41</v>
      </c>
      <c r="C2" s="1" t="s">
        <v>41</v>
      </c>
      <c r="D2" s="1" t="s">
        <v>40</v>
      </c>
      <c r="E2" s="1" t="s">
        <v>40</v>
      </c>
      <c r="F2" s="1" t="s">
        <v>40</v>
      </c>
      <c r="G2" s="1" t="s">
        <v>40</v>
      </c>
      <c r="H2" s="1" t="s">
        <v>42</v>
      </c>
      <c r="I2" s="1" t="s">
        <v>42</v>
      </c>
      <c r="J2" s="1" t="s">
        <v>40</v>
      </c>
      <c r="K2" s="164" t="s">
        <v>40</v>
      </c>
      <c r="L2" s="165" t="s">
        <v>41</v>
      </c>
      <c r="M2" s="165" t="s">
        <v>40</v>
      </c>
      <c r="N2" s="169" t="s">
        <v>40</v>
      </c>
      <c r="O2" s="169" t="s">
        <v>40</v>
      </c>
      <c r="P2" s="169" t="s">
        <v>43</v>
      </c>
    </row>
    <row r="3" ht="18" spans="1:16">
      <c r="A3" s="1" t="s">
        <v>44</v>
      </c>
      <c r="B3" s="159" t="s">
        <v>45</v>
      </c>
      <c r="C3" s="1" t="s">
        <v>46</v>
      </c>
      <c r="D3" s="1" t="s">
        <v>47</v>
      </c>
      <c r="E3" s="1" t="s">
        <v>48</v>
      </c>
      <c r="F3" s="1" t="s">
        <v>49</v>
      </c>
      <c r="G3" s="1" t="s">
        <v>50</v>
      </c>
      <c r="H3" s="1" t="s">
        <v>51</v>
      </c>
      <c r="I3" s="1" t="s">
        <v>52</v>
      </c>
      <c r="J3" s="1" t="s">
        <v>53</v>
      </c>
      <c r="K3" s="166" t="s">
        <v>54</v>
      </c>
      <c r="L3" s="165" t="s">
        <v>55</v>
      </c>
      <c r="M3" s="165" t="s">
        <v>56</v>
      </c>
      <c r="N3" s="170" t="s">
        <v>57</v>
      </c>
      <c r="O3" s="170" t="s">
        <v>58</v>
      </c>
      <c r="P3" s="171" t="s">
        <v>59</v>
      </c>
    </row>
    <row r="4" ht="18" spans="1:16">
      <c r="A4" s="1">
        <v>1</v>
      </c>
      <c r="B4" s="1" t="s">
        <v>60</v>
      </c>
      <c r="C4" s="1" t="s">
        <v>61</v>
      </c>
      <c r="D4" s="1">
        <v>11001</v>
      </c>
      <c r="E4" s="1">
        <v>1</v>
      </c>
      <c r="F4" s="1">
        <v>101</v>
      </c>
      <c r="G4" s="1">
        <v>2</v>
      </c>
      <c r="H4" s="1">
        <v>2</v>
      </c>
      <c r="I4" s="1">
        <v>2</v>
      </c>
      <c r="J4" s="1">
        <v>0</v>
      </c>
      <c r="K4" s="164">
        <f>I4+N4/100</f>
        <v>2</v>
      </c>
      <c r="L4" s="165" t="s">
        <v>61</v>
      </c>
      <c r="M4" s="172"/>
      <c r="N4" s="164">
        <v>0</v>
      </c>
      <c r="O4" s="164">
        <v>0</v>
      </c>
      <c r="P4" s="171">
        <f t="shared" ref="P4:P31" si="0">K4</f>
        <v>2</v>
      </c>
    </row>
    <row r="5" ht="18" spans="1:16">
      <c r="A5" s="1">
        <v>2</v>
      </c>
      <c r="B5" s="1" t="s">
        <v>62</v>
      </c>
      <c r="C5" s="1" t="s">
        <v>63</v>
      </c>
      <c r="D5" s="1">
        <v>11002</v>
      </c>
      <c r="E5" s="1">
        <v>1</v>
      </c>
      <c r="F5" s="1">
        <v>101</v>
      </c>
      <c r="G5" s="1">
        <v>2</v>
      </c>
      <c r="H5" s="1">
        <v>2</v>
      </c>
      <c r="I5" s="1">
        <v>2</v>
      </c>
      <c r="J5" s="1">
        <v>0</v>
      </c>
      <c r="K5" s="164">
        <v>2</v>
      </c>
      <c r="L5" s="165" t="s">
        <v>63</v>
      </c>
      <c r="M5" s="172"/>
      <c r="N5" s="164">
        <v>0</v>
      </c>
      <c r="O5" s="164">
        <v>0</v>
      </c>
      <c r="P5" s="171">
        <f t="shared" si="0"/>
        <v>2</v>
      </c>
    </row>
    <row r="6" ht="18" spans="1:16">
      <c r="A6" s="1">
        <v>3</v>
      </c>
      <c r="B6" s="1" t="s">
        <v>64</v>
      </c>
      <c r="C6" s="1" t="s">
        <v>65</v>
      </c>
      <c r="D6" s="1">
        <v>11003</v>
      </c>
      <c r="E6" s="1">
        <v>1</v>
      </c>
      <c r="F6" s="1">
        <v>101</v>
      </c>
      <c r="G6" s="1">
        <v>3</v>
      </c>
      <c r="H6" s="1">
        <v>3</v>
      </c>
      <c r="I6" s="1">
        <v>3</v>
      </c>
      <c r="J6" s="1">
        <v>0</v>
      </c>
      <c r="K6" s="164">
        <v>3</v>
      </c>
      <c r="L6" s="165" t="s">
        <v>65</v>
      </c>
      <c r="M6" s="172"/>
      <c r="N6" s="164">
        <v>0</v>
      </c>
      <c r="O6" s="164">
        <v>0</v>
      </c>
      <c r="P6" s="171">
        <f t="shared" si="0"/>
        <v>3</v>
      </c>
    </row>
    <row r="7" ht="18" spans="1:16">
      <c r="A7" s="1">
        <v>4</v>
      </c>
      <c r="B7" s="1" t="s">
        <v>66</v>
      </c>
      <c r="C7" s="159" t="s">
        <v>67</v>
      </c>
      <c r="D7" s="1">
        <v>11004</v>
      </c>
      <c r="E7" s="1">
        <v>1</v>
      </c>
      <c r="F7" s="1">
        <v>101</v>
      </c>
      <c r="G7" s="1">
        <v>4</v>
      </c>
      <c r="H7" s="1">
        <v>4</v>
      </c>
      <c r="I7" s="1">
        <v>4</v>
      </c>
      <c r="J7" s="1">
        <v>0</v>
      </c>
      <c r="K7" s="164">
        <v>4</v>
      </c>
      <c r="L7" s="165" t="s">
        <v>67</v>
      </c>
      <c r="M7" s="172"/>
      <c r="N7" s="164">
        <v>0</v>
      </c>
      <c r="O7" s="164">
        <v>0</v>
      </c>
      <c r="P7" s="171">
        <f t="shared" si="0"/>
        <v>4</v>
      </c>
    </row>
    <row r="8" ht="18" spans="1:16">
      <c r="A8" s="1">
        <v>5</v>
      </c>
      <c r="B8" s="1" t="s">
        <v>68</v>
      </c>
      <c r="C8" s="1" t="s">
        <v>69</v>
      </c>
      <c r="D8" s="1">
        <v>11005</v>
      </c>
      <c r="E8" s="1">
        <v>1</v>
      </c>
      <c r="F8" s="1">
        <v>101</v>
      </c>
      <c r="G8" s="1">
        <v>7</v>
      </c>
      <c r="H8" s="1">
        <v>7</v>
      </c>
      <c r="I8" s="1">
        <v>7</v>
      </c>
      <c r="J8" s="1">
        <v>0</v>
      </c>
      <c r="K8" s="164">
        <v>7</v>
      </c>
      <c r="L8" s="165" t="s">
        <v>69</v>
      </c>
      <c r="M8" s="172"/>
      <c r="N8" s="164">
        <v>0</v>
      </c>
      <c r="O8" s="164">
        <v>0</v>
      </c>
      <c r="P8" s="171">
        <f t="shared" si="0"/>
        <v>7</v>
      </c>
    </row>
    <row r="9" ht="18" spans="1:16">
      <c r="A9" s="1">
        <v>6</v>
      </c>
      <c r="B9" s="1" t="s">
        <v>70</v>
      </c>
      <c r="C9" s="1" t="s">
        <v>71</v>
      </c>
      <c r="D9" s="1">
        <v>11006</v>
      </c>
      <c r="E9" s="1">
        <v>1</v>
      </c>
      <c r="F9" s="1">
        <v>101</v>
      </c>
      <c r="G9" s="1">
        <v>3</v>
      </c>
      <c r="H9" s="1">
        <v>3</v>
      </c>
      <c r="I9" s="1">
        <v>3</v>
      </c>
      <c r="J9" s="1">
        <v>0</v>
      </c>
      <c r="K9" s="164">
        <v>3</v>
      </c>
      <c r="L9" s="165" t="s">
        <v>71</v>
      </c>
      <c r="M9" s="172"/>
      <c r="N9" s="164">
        <v>0</v>
      </c>
      <c r="O9" s="164">
        <v>0</v>
      </c>
      <c r="P9" s="171">
        <f t="shared" si="0"/>
        <v>3</v>
      </c>
    </row>
    <row r="10" ht="18" spans="1:16">
      <c r="A10" s="1">
        <v>7</v>
      </c>
      <c r="B10" s="1" t="s">
        <v>72</v>
      </c>
      <c r="C10" s="1" t="s">
        <v>73</v>
      </c>
      <c r="D10" s="1">
        <v>11007</v>
      </c>
      <c r="E10" s="1">
        <v>1</v>
      </c>
      <c r="F10" s="1">
        <v>101</v>
      </c>
      <c r="G10" s="1">
        <v>4</v>
      </c>
      <c r="H10" s="1">
        <v>4</v>
      </c>
      <c r="I10" s="1">
        <v>4</v>
      </c>
      <c r="J10" s="1">
        <v>0</v>
      </c>
      <c r="K10" s="164">
        <v>4</v>
      </c>
      <c r="L10" s="165" t="s">
        <v>73</v>
      </c>
      <c r="M10" s="172"/>
      <c r="N10" s="164">
        <v>100</v>
      </c>
      <c r="O10" s="164">
        <v>100</v>
      </c>
      <c r="P10" s="171">
        <f t="shared" si="0"/>
        <v>4</v>
      </c>
    </row>
    <row r="11" ht="18" spans="1:16">
      <c r="A11" s="1">
        <v>8</v>
      </c>
      <c r="B11" s="1" t="s">
        <v>74</v>
      </c>
      <c r="C11" s="1" t="s">
        <v>75</v>
      </c>
      <c r="D11" s="1">
        <v>11008</v>
      </c>
      <c r="E11" s="1">
        <v>1</v>
      </c>
      <c r="F11" s="1">
        <v>101</v>
      </c>
      <c r="G11" s="1">
        <v>5</v>
      </c>
      <c r="H11" s="1">
        <v>5</v>
      </c>
      <c r="I11" s="1">
        <v>5</v>
      </c>
      <c r="J11" s="1">
        <v>0</v>
      </c>
      <c r="K11" s="164">
        <v>5</v>
      </c>
      <c r="L11" s="165" t="s">
        <v>75</v>
      </c>
      <c r="M11" s="172"/>
      <c r="N11" s="164">
        <v>100</v>
      </c>
      <c r="O11" s="164">
        <v>100</v>
      </c>
      <c r="P11" s="171">
        <f t="shared" si="0"/>
        <v>5</v>
      </c>
    </row>
    <row r="12" ht="18" spans="1:16">
      <c r="A12" s="1">
        <v>9</v>
      </c>
      <c r="B12" s="1" t="s">
        <v>76</v>
      </c>
      <c r="C12" s="1" t="s">
        <v>77</v>
      </c>
      <c r="D12" s="1">
        <v>11009</v>
      </c>
      <c r="E12" s="1">
        <v>1</v>
      </c>
      <c r="F12" s="1">
        <v>101</v>
      </c>
      <c r="G12" s="1">
        <v>6</v>
      </c>
      <c r="H12" s="1">
        <v>6</v>
      </c>
      <c r="I12" s="1">
        <v>6</v>
      </c>
      <c r="J12" s="1">
        <v>0</v>
      </c>
      <c r="K12" s="164">
        <v>6</v>
      </c>
      <c r="L12" s="165" t="s">
        <v>77</v>
      </c>
      <c r="M12" s="172"/>
      <c r="N12" s="164">
        <v>100</v>
      </c>
      <c r="O12" s="164">
        <v>100</v>
      </c>
      <c r="P12" s="171">
        <f t="shared" si="0"/>
        <v>6</v>
      </c>
    </row>
    <row r="13" ht="18" spans="1:16">
      <c r="A13" s="1">
        <v>10</v>
      </c>
      <c r="B13" s="1" t="s">
        <v>78</v>
      </c>
      <c r="C13" s="1" t="s">
        <v>79</v>
      </c>
      <c r="D13" s="1">
        <v>11085</v>
      </c>
      <c r="E13" s="1">
        <v>1</v>
      </c>
      <c r="F13" s="1">
        <v>101</v>
      </c>
      <c r="G13" s="1">
        <v>4</v>
      </c>
      <c r="H13" s="1">
        <v>4</v>
      </c>
      <c r="I13" s="1">
        <v>4</v>
      </c>
      <c r="J13" s="1">
        <v>0</v>
      </c>
      <c r="K13" s="164">
        <v>4</v>
      </c>
      <c r="L13" s="165" t="s">
        <v>79</v>
      </c>
      <c r="M13" s="172"/>
      <c r="N13" s="164">
        <v>100</v>
      </c>
      <c r="O13" s="164">
        <v>100</v>
      </c>
      <c r="P13" s="171">
        <f t="shared" si="0"/>
        <v>4</v>
      </c>
    </row>
    <row r="14" ht="18" spans="1:16">
      <c r="A14" s="1">
        <v>11</v>
      </c>
      <c r="B14" s="1" t="s">
        <v>80</v>
      </c>
      <c r="C14" s="1" t="s">
        <v>81</v>
      </c>
      <c r="D14" s="1">
        <v>11010</v>
      </c>
      <c r="E14" s="1">
        <v>1</v>
      </c>
      <c r="F14" s="1">
        <v>101</v>
      </c>
      <c r="G14" s="1">
        <v>8</v>
      </c>
      <c r="H14" s="1">
        <v>8</v>
      </c>
      <c r="I14" s="1">
        <v>8</v>
      </c>
      <c r="J14" s="1">
        <v>0</v>
      </c>
      <c r="K14" s="164">
        <v>8</v>
      </c>
      <c r="L14" s="165" t="s">
        <v>81</v>
      </c>
      <c r="M14" s="172"/>
      <c r="N14" s="164">
        <v>100</v>
      </c>
      <c r="O14" s="164">
        <v>200</v>
      </c>
      <c r="P14" s="171">
        <f t="shared" si="0"/>
        <v>8</v>
      </c>
    </row>
    <row r="15" ht="18" spans="1:16">
      <c r="A15" s="1">
        <v>12</v>
      </c>
      <c r="B15" s="1" t="s">
        <v>82</v>
      </c>
      <c r="C15" s="1" t="s">
        <v>83</v>
      </c>
      <c r="D15" s="1">
        <v>11011</v>
      </c>
      <c r="E15" s="1">
        <v>1</v>
      </c>
      <c r="F15" s="1">
        <v>101</v>
      </c>
      <c r="G15" s="1">
        <v>7</v>
      </c>
      <c r="H15" s="1">
        <v>7</v>
      </c>
      <c r="I15" s="1">
        <v>7</v>
      </c>
      <c r="J15" s="1">
        <v>0</v>
      </c>
      <c r="K15" s="164">
        <v>7</v>
      </c>
      <c r="L15" s="165" t="s">
        <v>83</v>
      </c>
      <c r="M15" s="172"/>
      <c r="N15" s="164">
        <v>100</v>
      </c>
      <c r="O15" s="164">
        <v>200</v>
      </c>
      <c r="P15" s="171">
        <f t="shared" si="0"/>
        <v>7</v>
      </c>
    </row>
    <row r="16" ht="18" spans="1:16">
      <c r="A16" s="1">
        <v>13</v>
      </c>
      <c r="B16" s="1" t="s">
        <v>84</v>
      </c>
      <c r="C16" s="1" t="s">
        <v>85</v>
      </c>
      <c r="D16" s="1">
        <v>11012</v>
      </c>
      <c r="E16" s="1">
        <v>1</v>
      </c>
      <c r="F16" s="1">
        <v>101</v>
      </c>
      <c r="G16" s="1">
        <v>10</v>
      </c>
      <c r="H16" s="1">
        <v>10</v>
      </c>
      <c r="I16" s="1">
        <v>10</v>
      </c>
      <c r="J16" s="1">
        <v>0</v>
      </c>
      <c r="K16" s="164">
        <v>10</v>
      </c>
      <c r="L16" s="165" t="s">
        <v>85</v>
      </c>
      <c r="M16" s="172"/>
      <c r="N16" s="164">
        <v>100</v>
      </c>
      <c r="O16" s="164">
        <v>300</v>
      </c>
      <c r="P16" s="171">
        <f t="shared" si="0"/>
        <v>10</v>
      </c>
    </row>
    <row r="17" ht="18" spans="1:16">
      <c r="A17" s="1">
        <v>14</v>
      </c>
      <c r="B17" s="1" t="s">
        <v>86</v>
      </c>
      <c r="C17" s="1" t="s">
        <v>87</v>
      </c>
      <c r="D17" s="1">
        <v>11013</v>
      </c>
      <c r="E17" s="1">
        <v>1</v>
      </c>
      <c r="F17" s="1">
        <v>101</v>
      </c>
      <c r="G17" s="1">
        <v>18</v>
      </c>
      <c r="H17" s="1">
        <v>18</v>
      </c>
      <c r="I17" s="1">
        <v>18</v>
      </c>
      <c r="J17" s="1">
        <v>0</v>
      </c>
      <c r="K17" s="164">
        <v>18</v>
      </c>
      <c r="L17" s="165" t="s">
        <v>87</v>
      </c>
      <c r="M17" s="172"/>
      <c r="N17" s="164">
        <v>100</v>
      </c>
      <c r="O17" s="164">
        <v>300</v>
      </c>
      <c r="P17" s="171">
        <f t="shared" si="0"/>
        <v>18</v>
      </c>
    </row>
    <row r="18" ht="18" spans="1:16">
      <c r="A18" s="1">
        <v>15</v>
      </c>
      <c r="B18" s="1" t="s">
        <v>88</v>
      </c>
      <c r="C18" s="1" t="s">
        <v>89</v>
      </c>
      <c r="D18" s="1">
        <v>11235</v>
      </c>
      <c r="E18" s="1">
        <v>1</v>
      </c>
      <c r="F18" s="1">
        <v>101</v>
      </c>
      <c r="G18" s="1">
        <v>15</v>
      </c>
      <c r="H18" s="1">
        <v>15</v>
      </c>
      <c r="I18" s="1">
        <v>15</v>
      </c>
      <c r="J18" s="1">
        <v>0</v>
      </c>
      <c r="K18" s="164">
        <v>15</v>
      </c>
      <c r="L18" s="16" t="s">
        <v>89</v>
      </c>
      <c r="M18" s="172"/>
      <c r="N18" s="164">
        <v>100</v>
      </c>
      <c r="O18" s="164">
        <v>400</v>
      </c>
      <c r="P18" s="171">
        <f t="shared" si="0"/>
        <v>15</v>
      </c>
    </row>
    <row r="19" ht="18" spans="1:16">
      <c r="A19" s="1">
        <v>16</v>
      </c>
      <c r="B19" s="1" t="s">
        <v>90</v>
      </c>
      <c r="C19" s="1" t="s">
        <v>91</v>
      </c>
      <c r="D19" s="1">
        <v>11015</v>
      </c>
      <c r="E19" s="1">
        <v>1</v>
      </c>
      <c r="F19" s="1">
        <v>101</v>
      </c>
      <c r="G19" s="1">
        <v>12</v>
      </c>
      <c r="H19" s="1">
        <v>12</v>
      </c>
      <c r="I19" s="1">
        <v>12</v>
      </c>
      <c r="J19" s="1">
        <v>0</v>
      </c>
      <c r="K19" s="164">
        <v>12</v>
      </c>
      <c r="L19" s="165" t="s">
        <v>91</v>
      </c>
      <c r="M19" s="172"/>
      <c r="N19" s="164">
        <v>100</v>
      </c>
      <c r="O19" s="164">
        <v>500</v>
      </c>
      <c r="P19" s="171">
        <f t="shared" si="0"/>
        <v>12</v>
      </c>
    </row>
    <row r="20" ht="18" spans="1:16">
      <c r="A20" s="1">
        <v>17</v>
      </c>
      <c r="B20" s="1" t="s">
        <v>92</v>
      </c>
      <c r="C20" s="1" t="s">
        <v>93</v>
      </c>
      <c r="D20" s="1">
        <v>11016</v>
      </c>
      <c r="E20" s="1">
        <v>1</v>
      </c>
      <c r="F20" s="1">
        <v>101</v>
      </c>
      <c r="G20" s="1">
        <v>20</v>
      </c>
      <c r="H20" s="1">
        <v>20</v>
      </c>
      <c r="I20" s="1">
        <v>20</v>
      </c>
      <c r="J20" s="1">
        <v>0</v>
      </c>
      <c r="K20" s="164">
        <v>20</v>
      </c>
      <c r="L20" s="165" t="s">
        <v>93</v>
      </c>
      <c r="M20" s="172"/>
      <c r="N20" s="164">
        <v>100</v>
      </c>
      <c r="O20" s="164">
        <v>600</v>
      </c>
      <c r="P20" s="171">
        <f t="shared" si="0"/>
        <v>20</v>
      </c>
    </row>
    <row r="21" ht="18" spans="1:16">
      <c r="A21" s="1">
        <v>18</v>
      </c>
      <c r="B21" s="1" t="s">
        <v>94</v>
      </c>
      <c r="C21" s="1" t="s">
        <v>95</v>
      </c>
      <c r="D21" s="1">
        <v>11017</v>
      </c>
      <c r="E21" s="1">
        <v>1</v>
      </c>
      <c r="F21" s="1">
        <v>101</v>
      </c>
      <c r="G21" s="1">
        <v>9</v>
      </c>
      <c r="H21" s="1">
        <v>9</v>
      </c>
      <c r="I21" s="1">
        <v>9</v>
      </c>
      <c r="J21" s="1">
        <v>0</v>
      </c>
      <c r="K21" s="164">
        <v>9</v>
      </c>
      <c r="L21" s="165" t="s">
        <v>95</v>
      </c>
      <c r="M21" s="172"/>
      <c r="N21" s="164">
        <v>100</v>
      </c>
      <c r="O21" s="164">
        <v>700</v>
      </c>
      <c r="P21" s="171">
        <f t="shared" si="0"/>
        <v>9</v>
      </c>
    </row>
    <row r="22" ht="18" spans="1:16">
      <c r="A22" s="1">
        <v>19</v>
      </c>
      <c r="B22" s="1" t="s">
        <v>96</v>
      </c>
      <c r="C22" s="1" t="s">
        <v>97</v>
      </c>
      <c r="D22" s="1">
        <v>11020</v>
      </c>
      <c r="E22" s="1">
        <v>1</v>
      </c>
      <c r="F22" s="1">
        <v>101</v>
      </c>
      <c r="G22" s="1">
        <v>16</v>
      </c>
      <c r="H22" s="1">
        <v>16</v>
      </c>
      <c r="I22" s="1">
        <v>16</v>
      </c>
      <c r="J22" s="1">
        <v>0</v>
      </c>
      <c r="K22" s="164">
        <v>16</v>
      </c>
      <c r="L22" s="165" t="s">
        <v>97</v>
      </c>
      <c r="M22" s="172"/>
      <c r="N22" s="164">
        <v>100</v>
      </c>
      <c r="O22" s="164">
        <v>1200</v>
      </c>
      <c r="P22" s="171">
        <f t="shared" si="0"/>
        <v>16</v>
      </c>
    </row>
    <row r="23" ht="18" spans="1:16">
      <c r="A23" s="1">
        <v>20</v>
      </c>
      <c r="B23" s="1" t="s">
        <v>98</v>
      </c>
      <c r="C23" s="1" t="s">
        <v>99</v>
      </c>
      <c r="D23" s="1">
        <v>11024</v>
      </c>
      <c r="E23" s="1">
        <v>1</v>
      </c>
      <c r="F23" s="1">
        <v>101</v>
      </c>
      <c r="G23" s="1">
        <v>30</v>
      </c>
      <c r="H23" s="1">
        <v>30</v>
      </c>
      <c r="I23" s="1">
        <v>30</v>
      </c>
      <c r="J23" s="1">
        <v>0</v>
      </c>
      <c r="K23" s="164">
        <v>30</v>
      </c>
      <c r="L23" s="165" t="s">
        <v>99</v>
      </c>
      <c r="M23" s="172"/>
      <c r="N23" s="170">
        <v>100</v>
      </c>
      <c r="O23" s="173">
        <v>2500</v>
      </c>
      <c r="P23" s="171">
        <f t="shared" si="0"/>
        <v>30</v>
      </c>
    </row>
    <row r="24" ht="18" spans="1:16">
      <c r="A24" s="1">
        <v>21</v>
      </c>
      <c r="B24" s="1" t="s">
        <v>100</v>
      </c>
      <c r="C24" s="1" t="s">
        <v>101</v>
      </c>
      <c r="D24" s="1">
        <v>11090</v>
      </c>
      <c r="E24" s="1">
        <v>1</v>
      </c>
      <c r="F24" s="1">
        <v>101</v>
      </c>
      <c r="G24" s="1">
        <v>25</v>
      </c>
      <c r="H24" s="1">
        <v>25</v>
      </c>
      <c r="I24" s="1">
        <v>25</v>
      </c>
      <c r="J24" s="1">
        <v>0</v>
      </c>
      <c r="K24" s="164">
        <v>25</v>
      </c>
      <c r="L24" s="165" t="s">
        <v>101</v>
      </c>
      <c r="M24" s="172"/>
      <c r="N24" s="170">
        <v>100</v>
      </c>
      <c r="O24" s="173">
        <v>2200</v>
      </c>
      <c r="P24" s="171">
        <f t="shared" si="0"/>
        <v>25</v>
      </c>
    </row>
    <row r="25" ht="18" spans="1:16">
      <c r="A25" s="1">
        <v>22</v>
      </c>
      <c r="B25" s="1" t="s">
        <v>102</v>
      </c>
      <c r="C25" s="1" t="s">
        <v>103</v>
      </c>
      <c r="D25" s="1">
        <v>11025</v>
      </c>
      <c r="E25" s="1">
        <v>1</v>
      </c>
      <c r="F25" s="1">
        <v>101</v>
      </c>
      <c r="G25" s="1">
        <v>40</v>
      </c>
      <c r="H25" s="1">
        <v>40</v>
      </c>
      <c r="I25" s="1">
        <v>40</v>
      </c>
      <c r="J25" s="1">
        <v>0</v>
      </c>
      <c r="K25" s="164">
        <v>40</v>
      </c>
      <c r="L25" s="165" t="s">
        <v>103</v>
      </c>
      <c r="M25" s="172"/>
      <c r="N25" s="170">
        <v>100</v>
      </c>
      <c r="O25" s="173">
        <v>3000</v>
      </c>
      <c r="P25" s="171">
        <f t="shared" si="0"/>
        <v>40</v>
      </c>
    </row>
    <row r="26" ht="18" spans="1:16">
      <c r="A26" s="1">
        <v>23</v>
      </c>
      <c r="B26" s="1" t="s">
        <v>102</v>
      </c>
      <c r="C26" s="1" t="s">
        <v>103</v>
      </c>
      <c r="D26" s="1">
        <v>72025</v>
      </c>
      <c r="E26" s="1">
        <v>1</v>
      </c>
      <c r="F26" s="1">
        <v>101</v>
      </c>
      <c r="G26" s="1">
        <v>40</v>
      </c>
      <c r="H26" s="1">
        <v>40</v>
      </c>
      <c r="I26" s="1">
        <v>40</v>
      </c>
      <c r="J26" s="1">
        <v>0</v>
      </c>
      <c r="K26" s="164">
        <v>40</v>
      </c>
      <c r="L26" s="165" t="s">
        <v>103</v>
      </c>
      <c r="M26" s="165"/>
      <c r="N26" s="165">
        <f>K26*0.1</f>
        <v>4</v>
      </c>
      <c r="O26" s="165">
        <v>10000</v>
      </c>
      <c r="P26" s="171">
        <f t="shared" si="0"/>
        <v>40</v>
      </c>
    </row>
    <row r="27" ht="18" spans="1:16">
      <c r="A27" s="1">
        <v>24</v>
      </c>
      <c r="B27" s="1" t="s">
        <v>104</v>
      </c>
      <c r="C27" s="160" t="s">
        <v>105</v>
      </c>
      <c r="D27" s="1">
        <v>11211</v>
      </c>
      <c r="E27" s="1">
        <v>1</v>
      </c>
      <c r="F27" s="1">
        <v>101</v>
      </c>
      <c r="G27" s="1">
        <v>50</v>
      </c>
      <c r="H27" s="1">
        <v>50</v>
      </c>
      <c r="I27" s="1">
        <v>50</v>
      </c>
      <c r="J27" s="1">
        <v>0</v>
      </c>
      <c r="K27" s="164">
        <v>50</v>
      </c>
      <c r="L27" s="167" t="s">
        <v>105</v>
      </c>
      <c r="M27" s="165"/>
      <c r="N27" s="165">
        <f>K27*0.1</f>
        <v>5</v>
      </c>
      <c r="O27" s="165">
        <v>10000</v>
      </c>
      <c r="P27" s="171">
        <f t="shared" si="0"/>
        <v>50</v>
      </c>
    </row>
    <row r="28" ht="18" spans="1:16">
      <c r="A28" s="1">
        <v>25</v>
      </c>
      <c r="B28" s="1" t="s">
        <v>106</v>
      </c>
      <c r="C28" s="161" t="s">
        <v>107</v>
      </c>
      <c r="D28" s="1">
        <v>12028</v>
      </c>
      <c r="E28" s="1">
        <v>2</v>
      </c>
      <c r="F28" s="1">
        <v>101</v>
      </c>
      <c r="G28" s="1">
        <v>234</v>
      </c>
      <c r="H28" s="1">
        <v>234</v>
      </c>
      <c r="I28" s="1">
        <v>234</v>
      </c>
      <c r="J28" s="1">
        <v>234</v>
      </c>
      <c r="K28" s="164">
        <f t="shared" ref="K28:K30" si="1">H28</f>
        <v>234</v>
      </c>
      <c r="L28" s="162" t="s">
        <v>107</v>
      </c>
      <c r="M28" s="172"/>
      <c r="N28" s="170">
        <v>0</v>
      </c>
      <c r="O28" s="173">
        <v>0</v>
      </c>
      <c r="P28" s="171">
        <f t="shared" si="0"/>
        <v>234</v>
      </c>
    </row>
    <row r="29" ht="18" spans="1:16">
      <c r="A29" s="1">
        <v>27</v>
      </c>
      <c r="B29" s="1" t="s">
        <v>108</v>
      </c>
      <c r="C29" s="162" t="s">
        <v>109</v>
      </c>
      <c r="D29" s="1">
        <v>12032</v>
      </c>
      <c r="E29" s="1">
        <v>2</v>
      </c>
      <c r="F29" s="1">
        <v>101</v>
      </c>
      <c r="G29" s="1">
        <v>156</v>
      </c>
      <c r="H29" s="1">
        <v>156</v>
      </c>
      <c r="I29" s="1">
        <v>156</v>
      </c>
      <c r="J29" s="1">
        <v>156</v>
      </c>
      <c r="K29" s="164">
        <f t="shared" si="1"/>
        <v>156</v>
      </c>
      <c r="L29" s="162" t="s">
        <v>109</v>
      </c>
      <c r="M29" s="172"/>
      <c r="N29" s="170">
        <v>0</v>
      </c>
      <c r="O29" s="173">
        <v>0</v>
      </c>
      <c r="P29" s="171">
        <f t="shared" si="0"/>
        <v>156</v>
      </c>
    </row>
    <row r="30" ht="18" spans="1:16">
      <c r="A30" s="1">
        <v>28</v>
      </c>
      <c r="B30" s="1" t="s">
        <v>110</v>
      </c>
      <c r="C30" s="1" t="s">
        <v>111</v>
      </c>
      <c r="D30" s="1">
        <v>12031</v>
      </c>
      <c r="E30" s="1">
        <v>2</v>
      </c>
      <c r="F30" s="1">
        <v>101</v>
      </c>
      <c r="G30" s="1">
        <v>467</v>
      </c>
      <c r="H30" s="1">
        <v>467</v>
      </c>
      <c r="I30" s="1">
        <v>467</v>
      </c>
      <c r="J30" s="1">
        <v>467</v>
      </c>
      <c r="K30" s="164">
        <f t="shared" si="1"/>
        <v>467</v>
      </c>
      <c r="L30" s="165" t="s">
        <v>111</v>
      </c>
      <c r="M30" s="172"/>
      <c r="N30" s="170">
        <v>0</v>
      </c>
      <c r="O30" s="173">
        <v>0</v>
      </c>
      <c r="P30" s="171">
        <f t="shared" si="0"/>
        <v>467</v>
      </c>
    </row>
    <row r="31" ht="18" spans="1:16">
      <c r="A31" s="1">
        <v>29</v>
      </c>
      <c r="B31" s="1" t="s">
        <v>112</v>
      </c>
      <c r="C31" s="161" t="s">
        <v>113</v>
      </c>
      <c r="D31" s="1">
        <v>12213</v>
      </c>
      <c r="E31" s="1">
        <v>2</v>
      </c>
      <c r="F31" s="1">
        <v>101</v>
      </c>
      <c r="G31" s="1">
        <v>350</v>
      </c>
      <c r="H31" s="1">
        <v>350</v>
      </c>
      <c r="I31" s="1">
        <v>350</v>
      </c>
      <c r="J31" s="1">
        <v>0</v>
      </c>
      <c r="K31" s="164">
        <v>350</v>
      </c>
      <c r="L31" s="165" t="s">
        <v>113</v>
      </c>
      <c r="M31" s="165"/>
      <c r="N31" s="165">
        <f>K31*0.1</f>
        <v>35</v>
      </c>
      <c r="O31" s="165">
        <v>10000</v>
      </c>
      <c r="P31" s="171">
        <f t="shared" si="0"/>
        <v>350</v>
      </c>
    </row>
    <row r="32" ht="18" spans="1:16">
      <c r="A32" s="1">
        <v>30</v>
      </c>
      <c r="B32" s="1" t="s">
        <v>114</v>
      </c>
      <c r="C32" s="161" t="s">
        <v>115</v>
      </c>
      <c r="D32" s="1">
        <v>12232</v>
      </c>
      <c r="E32" s="1">
        <v>2</v>
      </c>
      <c r="F32" s="1">
        <v>101</v>
      </c>
      <c r="G32" s="1">
        <v>389</v>
      </c>
      <c r="H32" s="1">
        <v>389</v>
      </c>
      <c r="I32" s="1">
        <v>389</v>
      </c>
      <c r="J32" s="1">
        <v>0</v>
      </c>
      <c r="K32" s="164">
        <v>0</v>
      </c>
      <c r="L32" s="165" t="s">
        <v>115</v>
      </c>
      <c r="M32" s="165"/>
      <c r="N32" s="170">
        <v>0</v>
      </c>
      <c r="O32" s="173">
        <v>0</v>
      </c>
      <c r="P32" s="171">
        <f>I32</f>
        <v>389</v>
      </c>
    </row>
    <row r="33" ht="18" spans="1:16">
      <c r="A33" s="1">
        <v>31</v>
      </c>
      <c r="B33" s="1" t="s">
        <v>116</v>
      </c>
      <c r="C33" s="161" t="s">
        <v>117</v>
      </c>
      <c r="D33" s="1">
        <v>12233</v>
      </c>
      <c r="E33" s="1">
        <v>2</v>
      </c>
      <c r="F33" s="1">
        <v>101</v>
      </c>
      <c r="G33" s="1">
        <v>583</v>
      </c>
      <c r="H33" s="1">
        <v>583</v>
      </c>
      <c r="I33" s="1">
        <v>583</v>
      </c>
      <c r="J33" s="1">
        <v>0</v>
      </c>
      <c r="K33" s="164">
        <v>0</v>
      </c>
      <c r="L33" s="165" t="s">
        <v>117</v>
      </c>
      <c r="M33" s="165"/>
      <c r="N33" s="170">
        <v>0</v>
      </c>
      <c r="O33" s="173">
        <v>0</v>
      </c>
      <c r="P33" s="171">
        <f>I33</f>
        <v>583</v>
      </c>
    </row>
    <row r="34" ht="18" spans="1:16">
      <c r="A34" s="1">
        <v>32</v>
      </c>
      <c r="B34" s="1" t="s">
        <v>118</v>
      </c>
      <c r="C34" s="161" t="s">
        <v>119</v>
      </c>
      <c r="D34" s="1">
        <v>12234</v>
      </c>
      <c r="E34" s="1">
        <v>2</v>
      </c>
      <c r="F34" s="1">
        <v>101</v>
      </c>
      <c r="G34" s="1">
        <v>700</v>
      </c>
      <c r="H34" s="1">
        <v>700</v>
      </c>
      <c r="I34" s="1">
        <v>700</v>
      </c>
      <c r="J34" s="1">
        <v>0</v>
      </c>
      <c r="K34" s="164">
        <v>0</v>
      </c>
      <c r="L34" s="165" t="s">
        <v>119</v>
      </c>
      <c r="M34" s="165"/>
      <c r="N34" s="170">
        <v>0</v>
      </c>
      <c r="O34" s="173">
        <v>0</v>
      </c>
      <c r="P34" s="171">
        <f>I34</f>
        <v>700</v>
      </c>
    </row>
    <row r="35" ht="18" spans="1:16">
      <c r="A35" s="1">
        <v>33</v>
      </c>
      <c r="B35" s="1" t="s">
        <v>76</v>
      </c>
      <c r="C35" s="1" t="s">
        <v>77</v>
      </c>
      <c r="D35" s="1">
        <v>14009</v>
      </c>
      <c r="E35" s="1">
        <v>3</v>
      </c>
      <c r="F35" s="1">
        <v>101</v>
      </c>
      <c r="G35" s="1">
        <v>6</v>
      </c>
      <c r="H35" s="1">
        <v>40</v>
      </c>
      <c r="I35" s="1">
        <f t="shared" ref="I35:I43" si="2">H35</f>
        <v>40</v>
      </c>
      <c r="J35" s="1">
        <v>0</v>
      </c>
      <c r="K35" s="164">
        <v>310</v>
      </c>
      <c r="L35" s="165" t="s">
        <v>120</v>
      </c>
      <c r="M35" s="172"/>
      <c r="N35" s="170">
        <v>90</v>
      </c>
      <c r="O35" s="173">
        <v>1000</v>
      </c>
      <c r="P35" s="171">
        <f t="shared" ref="P35:P57" si="3">K35</f>
        <v>310</v>
      </c>
    </row>
    <row r="36" ht="18" spans="1:16">
      <c r="A36" s="1">
        <v>34</v>
      </c>
      <c r="B36" s="1" t="s">
        <v>82</v>
      </c>
      <c r="C36" s="1" t="s">
        <v>83</v>
      </c>
      <c r="D36" s="1">
        <v>14011</v>
      </c>
      <c r="E36" s="1">
        <v>3</v>
      </c>
      <c r="F36" s="1">
        <v>101</v>
      </c>
      <c r="G36" s="1">
        <v>7</v>
      </c>
      <c r="H36" s="1">
        <v>47</v>
      </c>
      <c r="I36" s="1">
        <f t="shared" si="2"/>
        <v>47</v>
      </c>
      <c r="J36" s="1">
        <v>0</v>
      </c>
      <c r="K36" s="164">
        <v>516</v>
      </c>
      <c r="L36" s="165" t="s">
        <v>121</v>
      </c>
      <c r="M36" s="172"/>
      <c r="N36" s="170">
        <v>150</v>
      </c>
      <c r="O36" s="173">
        <v>1000</v>
      </c>
      <c r="P36" s="171">
        <f t="shared" si="3"/>
        <v>516</v>
      </c>
    </row>
    <row r="37" ht="18" spans="1:16">
      <c r="A37" s="1">
        <v>35</v>
      </c>
      <c r="B37" s="1" t="s">
        <v>86</v>
      </c>
      <c r="C37" s="1" t="s">
        <v>87</v>
      </c>
      <c r="D37" s="1">
        <v>14013</v>
      </c>
      <c r="E37" s="1">
        <v>3</v>
      </c>
      <c r="F37" s="1">
        <v>101</v>
      </c>
      <c r="G37" s="1">
        <v>12</v>
      </c>
      <c r="H37" s="1">
        <v>80</v>
      </c>
      <c r="I37" s="1">
        <f t="shared" si="2"/>
        <v>80</v>
      </c>
      <c r="J37" s="1">
        <v>0</v>
      </c>
      <c r="K37" s="164">
        <v>722</v>
      </c>
      <c r="L37" s="165" t="s">
        <v>122</v>
      </c>
      <c r="M37" s="172"/>
      <c r="N37" s="170">
        <v>210</v>
      </c>
      <c r="O37" s="173">
        <v>1000</v>
      </c>
      <c r="P37" s="171">
        <f t="shared" si="3"/>
        <v>722</v>
      </c>
    </row>
    <row r="38" ht="18" spans="1:16">
      <c r="A38" s="1">
        <v>36</v>
      </c>
      <c r="B38" s="1" t="s">
        <v>90</v>
      </c>
      <c r="C38" s="1" t="s">
        <v>91</v>
      </c>
      <c r="D38" s="1">
        <v>14015</v>
      </c>
      <c r="E38" s="1">
        <v>3</v>
      </c>
      <c r="F38" s="1">
        <v>101</v>
      </c>
      <c r="G38" s="1">
        <v>10</v>
      </c>
      <c r="H38" s="1">
        <v>67</v>
      </c>
      <c r="I38" s="1">
        <f t="shared" si="2"/>
        <v>67</v>
      </c>
      <c r="J38" s="1">
        <v>0</v>
      </c>
      <c r="K38" s="164">
        <v>1031</v>
      </c>
      <c r="L38" s="165" t="s">
        <v>123</v>
      </c>
      <c r="M38" s="172"/>
      <c r="N38" s="170">
        <v>300</v>
      </c>
      <c r="O38" s="173">
        <v>1000</v>
      </c>
      <c r="P38" s="171">
        <f t="shared" si="3"/>
        <v>1031</v>
      </c>
    </row>
    <row r="39" ht="18" spans="1:16">
      <c r="A39" s="1">
        <v>37</v>
      </c>
      <c r="B39" s="1" t="s">
        <v>96</v>
      </c>
      <c r="C39" s="1" t="s">
        <v>97</v>
      </c>
      <c r="D39" s="1">
        <v>14020</v>
      </c>
      <c r="E39" s="1">
        <v>3</v>
      </c>
      <c r="F39" s="1">
        <v>101</v>
      </c>
      <c r="G39" s="1">
        <v>16</v>
      </c>
      <c r="H39" s="1">
        <v>107</v>
      </c>
      <c r="I39" s="1">
        <f t="shared" si="2"/>
        <v>107</v>
      </c>
      <c r="J39" s="1">
        <v>0</v>
      </c>
      <c r="K39" s="164">
        <v>2579</v>
      </c>
      <c r="L39" s="165" t="s">
        <v>124</v>
      </c>
      <c r="M39" s="172"/>
      <c r="N39" s="170">
        <v>190</v>
      </c>
      <c r="O39" s="173">
        <v>4000</v>
      </c>
      <c r="P39" s="171">
        <f t="shared" si="3"/>
        <v>2579</v>
      </c>
    </row>
    <row r="40" ht="18" spans="1:16">
      <c r="A40" s="1">
        <v>38</v>
      </c>
      <c r="B40" s="1" t="s">
        <v>98</v>
      </c>
      <c r="C40" s="1" t="s">
        <v>99</v>
      </c>
      <c r="D40" s="1">
        <v>14024</v>
      </c>
      <c r="E40" s="1">
        <v>3</v>
      </c>
      <c r="F40" s="1">
        <v>101</v>
      </c>
      <c r="G40" s="1">
        <v>60</v>
      </c>
      <c r="H40" s="1">
        <v>200</v>
      </c>
      <c r="I40" s="1">
        <f t="shared" si="2"/>
        <v>200</v>
      </c>
      <c r="J40" s="1">
        <v>0</v>
      </c>
      <c r="K40" s="164">
        <v>5166</v>
      </c>
      <c r="L40" s="165" t="s">
        <v>125</v>
      </c>
      <c r="M40" s="172"/>
      <c r="N40" s="170">
        <v>200</v>
      </c>
      <c r="O40" s="173">
        <v>8000</v>
      </c>
      <c r="P40" s="171">
        <f t="shared" si="3"/>
        <v>5166</v>
      </c>
    </row>
    <row r="41" ht="18" spans="1:16">
      <c r="A41" s="1">
        <v>39</v>
      </c>
      <c r="B41" s="1" t="s">
        <v>102</v>
      </c>
      <c r="C41" s="1" t="s">
        <v>103</v>
      </c>
      <c r="D41" s="1">
        <v>14025</v>
      </c>
      <c r="E41" s="1">
        <v>3</v>
      </c>
      <c r="F41" s="1">
        <v>101</v>
      </c>
      <c r="G41" s="1">
        <v>40</v>
      </c>
      <c r="H41" s="1">
        <v>267</v>
      </c>
      <c r="I41" s="1">
        <f t="shared" si="2"/>
        <v>267</v>
      </c>
      <c r="J41" s="1">
        <v>0</v>
      </c>
      <c r="K41" s="164">
        <v>6206</v>
      </c>
      <c r="L41" s="162" t="s">
        <v>126</v>
      </c>
      <c r="M41" s="172"/>
      <c r="N41" s="170">
        <v>200</v>
      </c>
      <c r="O41" s="173">
        <v>10000</v>
      </c>
      <c r="P41" s="171">
        <f t="shared" si="3"/>
        <v>6206</v>
      </c>
    </row>
    <row r="42" s="157" customFormat="1" ht="18" spans="1:16">
      <c r="A42" s="1">
        <v>40</v>
      </c>
      <c r="B42" s="1" t="s">
        <v>88</v>
      </c>
      <c r="C42" s="161" t="s">
        <v>89</v>
      </c>
      <c r="D42" s="1">
        <v>14235</v>
      </c>
      <c r="E42" s="1">
        <v>3</v>
      </c>
      <c r="F42" s="1">
        <v>101</v>
      </c>
      <c r="G42" s="1">
        <v>15</v>
      </c>
      <c r="H42" s="1">
        <v>100</v>
      </c>
      <c r="I42" s="1">
        <f t="shared" si="2"/>
        <v>100</v>
      </c>
      <c r="J42" s="1">
        <v>0</v>
      </c>
      <c r="K42" s="164">
        <v>930</v>
      </c>
      <c r="L42" s="162" t="s">
        <v>127</v>
      </c>
      <c r="M42" s="172"/>
      <c r="N42" s="170">
        <v>180</v>
      </c>
      <c r="O42" s="173">
        <v>1500</v>
      </c>
      <c r="P42" s="171">
        <f t="shared" si="3"/>
        <v>930</v>
      </c>
    </row>
    <row r="43" ht="18" spans="1:16">
      <c r="A43" s="1">
        <v>41</v>
      </c>
      <c r="B43" s="1" t="s">
        <v>100</v>
      </c>
      <c r="C43" s="1" t="s">
        <v>101</v>
      </c>
      <c r="D43" s="1">
        <v>14090</v>
      </c>
      <c r="E43" s="1">
        <v>3</v>
      </c>
      <c r="F43" s="1">
        <v>101</v>
      </c>
      <c r="G43" s="1">
        <v>25</v>
      </c>
      <c r="H43" s="1">
        <v>167</v>
      </c>
      <c r="I43" s="1">
        <f t="shared" si="2"/>
        <v>167</v>
      </c>
      <c r="J43" s="1">
        <v>0</v>
      </c>
      <c r="K43" s="164">
        <v>4650</v>
      </c>
      <c r="L43" s="165" t="s">
        <v>128</v>
      </c>
      <c r="M43" s="172"/>
      <c r="N43" s="170">
        <v>180</v>
      </c>
      <c r="O43" s="173">
        <v>8000</v>
      </c>
      <c r="P43" s="171">
        <f t="shared" si="3"/>
        <v>4650</v>
      </c>
    </row>
    <row r="44" ht="18" spans="1:16">
      <c r="A44" s="1">
        <v>42</v>
      </c>
      <c r="B44" s="1" t="s">
        <v>129</v>
      </c>
      <c r="C44" s="1" t="s">
        <v>130</v>
      </c>
      <c r="D44" s="1">
        <v>15033</v>
      </c>
      <c r="E44" s="1">
        <v>4</v>
      </c>
      <c r="F44" s="1">
        <v>103</v>
      </c>
      <c r="G44" s="1">
        <v>1</v>
      </c>
      <c r="H44" s="1">
        <v>350</v>
      </c>
      <c r="I44" s="1">
        <v>350</v>
      </c>
      <c r="J44" s="1">
        <v>0</v>
      </c>
      <c r="K44" s="168">
        <f t="shared" ref="K44:K57" si="4">H44</f>
        <v>350</v>
      </c>
      <c r="L44" s="165" t="s">
        <v>131</v>
      </c>
      <c r="M44" s="172"/>
      <c r="N44" s="170">
        <v>0</v>
      </c>
      <c r="O44" s="173">
        <v>0</v>
      </c>
      <c r="P44" s="171">
        <f t="shared" si="3"/>
        <v>350</v>
      </c>
    </row>
    <row r="45" ht="18" spans="1:16">
      <c r="A45" s="1">
        <v>43</v>
      </c>
      <c r="B45" s="1" t="s">
        <v>132</v>
      </c>
      <c r="C45" s="1" t="s">
        <v>133</v>
      </c>
      <c r="D45" s="1">
        <v>15034</v>
      </c>
      <c r="E45" s="1">
        <v>4</v>
      </c>
      <c r="F45" s="1">
        <v>103</v>
      </c>
      <c r="G45" s="1">
        <v>5</v>
      </c>
      <c r="H45" s="1">
        <v>2000</v>
      </c>
      <c r="I45" s="1">
        <v>2000</v>
      </c>
      <c r="J45" s="1">
        <v>0</v>
      </c>
      <c r="K45" s="168">
        <f t="shared" si="4"/>
        <v>2000</v>
      </c>
      <c r="L45" s="165" t="s">
        <v>134</v>
      </c>
      <c r="M45" s="172"/>
      <c r="N45" s="170">
        <v>0</v>
      </c>
      <c r="O45" s="173">
        <v>0</v>
      </c>
      <c r="P45" s="171">
        <f t="shared" si="3"/>
        <v>2000</v>
      </c>
    </row>
    <row r="46" ht="18" spans="1:16">
      <c r="A46" s="1">
        <v>44</v>
      </c>
      <c r="B46" s="1" t="s">
        <v>135</v>
      </c>
      <c r="C46" s="1" t="s">
        <v>136</v>
      </c>
      <c r="D46" s="1">
        <v>15035</v>
      </c>
      <c r="E46" s="1">
        <v>4</v>
      </c>
      <c r="F46" s="1">
        <v>103</v>
      </c>
      <c r="G46" s="1">
        <v>10</v>
      </c>
      <c r="H46" s="1">
        <v>12000</v>
      </c>
      <c r="I46" s="1">
        <f t="shared" ref="I46:I56" si="5">H46</f>
        <v>12000</v>
      </c>
      <c r="J46" s="1">
        <v>0</v>
      </c>
      <c r="K46" s="168">
        <f t="shared" si="4"/>
        <v>12000</v>
      </c>
      <c r="L46" s="165" t="s">
        <v>137</v>
      </c>
      <c r="M46" s="172"/>
      <c r="N46" s="170">
        <v>0</v>
      </c>
      <c r="O46" s="173">
        <v>0</v>
      </c>
      <c r="P46" s="171">
        <f t="shared" si="3"/>
        <v>12000</v>
      </c>
    </row>
    <row r="47" ht="18" spans="1:16">
      <c r="A47" s="1">
        <v>45</v>
      </c>
      <c r="B47" s="1" t="s">
        <v>138</v>
      </c>
      <c r="C47" s="1" t="s">
        <v>139</v>
      </c>
      <c r="D47" s="1">
        <v>15036</v>
      </c>
      <c r="E47" s="1">
        <v>4</v>
      </c>
      <c r="F47" s="1">
        <v>103</v>
      </c>
      <c r="G47" s="1">
        <v>40</v>
      </c>
      <c r="H47" s="1">
        <v>48000</v>
      </c>
      <c r="I47" s="1">
        <f t="shared" si="5"/>
        <v>48000</v>
      </c>
      <c r="J47" s="1">
        <v>0</v>
      </c>
      <c r="K47" s="168">
        <f t="shared" si="4"/>
        <v>48000</v>
      </c>
      <c r="L47" s="165" t="s">
        <v>140</v>
      </c>
      <c r="M47" s="172"/>
      <c r="N47" s="170">
        <v>0</v>
      </c>
      <c r="O47" s="173">
        <v>0</v>
      </c>
      <c r="P47" s="171">
        <f t="shared" si="3"/>
        <v>48000</v>
      </c>
    </row>
    <row r="48" ht="18" spans="1:16">
      <c r="A48" s="1">
        <v>46</v>
      </c>
      <c r="B48" s="1" t="s">
        <v>141</v>
      </c>
      <c r="C48" s="1" t="s">
        <v>142</v>
      </c>
      <c r="D48" s="1">
        <v>15037</v>
      </c>
      <c r="E48" s="1">
        <v>4</v>
      </c>
      <c r="F48" s="1">
        <v>103</v>
      </c>
      <c r="G48" s="1">
        <v>100</v>
      </c>
      <c r="H48" s="1">
        <v>120000</v>
      </c>
      <c r="I48" s="1">
        <f t="shared" si="5"/>
        <v>120000</v>
      </c>
      <c r="J48" s="1">
        <v>0</v>
      </c>
      <c r="K48" s="168">
        <f t="shared" si="4"/>
        <v>120000</v>
      </c>
      <c r="L48" s="165" t="s">
        <v>143</v>
      </c>
      <c r="M48" s="172"/>
      <c r="N48" s="170">
        <v>0</v>
      </c>
      <c r="O48" s="173">
        <v>0</v>
      </c>
      <c r="P48" s="171">
        <f t="shared" si="3"/>
        <v>120000</v>
      </c>
    </row>
    <row r="49" ht="18" spans="1:16">
      <c r="A49" s="1">
        <v>47</v>
      </c>
      <c r="B49" s="1" t="s">
        <v>144</v>
      </c>
      <c r="C49" s="1" t="s">
        <v>145</v>
      </c>
      <c r="D49" s="1">
        <v>15038</v>
      </c>
      <c r="E49" s="1">
        <v>4</v>
      </c>
      <c r="F49" s="1">
        <v>103</v>
      </c>
      <c r="G49" s="1">
        <v>200</v>
      </c>
      <c r="H49" s="1">
        <v>240000</v>
      </c>
      <c r="I49" s="1">
        <f t="shared" si="5"/>
        <v>240000</v>
      </c>
      <c r="J49" s="1">
        <v>0</v>
      </c>
      <c r="K49" s="168">
        <f t="shared" si="4"/>
        <v>240000</v>
      </c>
      <c r="L49" s="165" t="s">
        <v>146</v>
      </c>
      <c r="M49" s="172"/>
      <c r="N49" s="170">
        <v>0</v>
      </c>
      <c r="O49" s="173">
        <v>0</v>
      </c>
      <c r="P49" s="171">
        <f t="shared" si="3"/>
        <v>240000</v>
      </c>
    </row>
    <row r="50" ht="18" spans="1:16">
      <c r="A50" s="1">
        <v>48</v>
      </c>
      <c r="B50" s="1" t="s">
        <v>147</v>
      </c>
      <c r="C50" s="1" t="s">
        <v>148</v>
      </c>
      <c r="D50" s="1">
        <v>15039</v>
      </c>
      <c r="E50" s="1">
        <v>4</v>
      </c>
      <c r="F50" s="1">
        <v>103</v>
      </c>
      <c r="G50" s="1">
        <v>300</v>
      </c>
      <c r="H50" s="1">
        <v>360000</v>
      </c>
      <c r="I50" s="1">
        <f t="shared" si="5"/>
        <v>360000</v>
      </c>
      <c r="J50" s="1">
        <v>0</v>
      </c>
      <c r="K50" s="168">
        <f t="shared" si="4"/>
        <v>360000</v>
      </c>
      <c r="L50" s="165" t="s">
        <v>149</v>
      </c>
      <c r="M50" s="172"/>
      <c r="N50" s="170">
        <v>0</v>
      </c>
      <c r="O50" s="173">
        <v>0</v>
      </c>
      <c r="P50" s="171">
        <f t="shared" si="3"/>
        <v>360000</v>
      </c>
    </row>
    <row r="51" ht="18" spans="1:16">
      <c r="A51" s="1">
        <v>49</v>
      </c>
      <c r="B51" s="1" t="s">
        <v>150</v>
      </c>
      <c r="C51" s="1" t="s">
        <v>151</v>
      </c>
      <c r="D51" s="1">
        <v>15055</v>
      </c>
      <c r="E51" s="1">
        <v>4</v>
      </c>
      <c r="F51" s="1">
        <v>103</v>
      </c>
      <c r="G51" s="1">
        <v>1000</v>
      </c>
      <c r="H51" s="1">
        <v>1200000</v>
      </c>
      <c r="I51" s="1">
        <f t="shared" si="5"/>
        <v>1200000</v>
      </c>
      <c r="J51" s="1">
        <v>0</v>
      </c>
      <c r="K51" s="168">
        <f t="shared" si="4"/>
        <v>1200000</v>
      </c>
      <c r="L51" s="165" t="s">
        <v>152</v>
      </c>
      <c r="M51" s="172"/>
      <c r="N51" s="170">
        <v>0</v>
      </c>
      <c r="O51" s="173">
        <v>0</v>
      </c>
      <c r="P51" s="171">
        <f t="shared" si="3"/>
        <v>1200000</v>
      </c>
    </row>
    <row r="52" ht="18" spans="1:16">
      <c r="A52" s="1">
        <v>50</v>
      </c>
      <c r="B52" s="1" t="s">
        <v>153</v>
      </c>
      <c r="C52" s="1" t="s">
        <v>154</v>
      </c>
      <c r="D52" s="1">
        <v>15056</v>
      </c>
      <c r="E52" s="1">
        <v>4</v>
      </c>
      <c r="F52" s="1">
        <v>103</v>
      </c>
      <c r="G52" s="1">
        <v>2000</v>
      </c>
      <c r="H52" s="1">
        <v>2400000</v>
      </c>
      <c r="I52" s="1">
        <f t="shared" si="5"/>
        <v>2400000</v>
      </c>
      <c r="J52" s="1">
        <v>0</v>
      </c>
      <c r="K52" s="168">
        <f t="shared" si="4"/>
        <v>2400000</v>
      </c>
      <c r="L52" s="165" t="s">
        <v>155</v>
      </c>
      <c r="M52" s="172"/>
      <c r="N52" s="170">
        <v>0</v>
      </c>
      <c r="O52" s="173">
        <v>0</v>
      </c>
      <c r="P52" s="171">
        <f t="shared" si="3"/>
        <v>2400000</v>
      </c>
    </row>
    <row r="53" ht="18" spans="1:16">
      <c r="A53" s="1">
        <v>51</v>
      </c>
      <c r="B53" s="1" t="s">
        <v>156</v>
      </c>
      <c r="C53" s="1" t="s">
        <v>157</v>
      </c>
      <c r="D53" s="1">
        <v>15057</v>
      </c>
      <c r="E53" s="1">
        <v>4</v>
      </c>
      <c r="F53" s="1">
        <v>103</v>
      </c>
      <c r="G53" s="1">
        <v>5000</v>
      </c>
      <c r="H53" s="1">
        <v>6000000</v>
      </c>
      <c r="I53" s="1">
        <f t="shared" si="5"/>
        <v>6000000</v>
      </c>
      <c r="J53" s="1">
        <v>0</v>
      </c>
      <c r="K53" s="168">
        <f t="shared" si="4"/>
        <v>6000000</v>
      </c>
      <c r="L53" s="165" t="s">
        <v>158</v>
      </c>
      <c r="M53" s="172"/>
      <c r="N53" s="170">
        <v>0</v>
      </c>
      <c r="O53" s="173">
        <v>0</v>
      </c>
      <c r="P53" s="171">
        <f t="shared" si="3"/>
        <v>6000000</v>
      </c>
    </row>
    <row r="54" ht="18" spans="1:16">
      <c r="A54" s="1">
        <v>52</v>
      </c>
      <c r="B54" s="1" t="s">
        <v>159</v>
      </c>
      <c r="C54" s="1" t="s">
        <v>160</v>
      </c>
      <c r="D54" s="1">
        <v>15058</v>
      </c>
      <c r="E54" s="1">
        <v>4</v>
      </c>
      <c r="F54" s="1">
        <v>103</v>
      </c>
      <c r="G54" s="1">
        <v>10000</v>
      </c>
      <c r="H54" s="1">
        <v>12000000</v>
      </c>
      <c r="I54" s="1">
        <f t="shared" si="5"/>
        <v>12000000</v>
      </c>
      <c r="J54" s="1">
        <v>0</v>
      </c>
      <c r="K54" s="168">
        <f t="shared" si="4"/>
        <v>12000000</v>
      </c>
      <c r="L54" s="165" t="s">
        <v>161</v>
      </c>
      <c r="M54" s="172"/>
      <c r="N54" s="170">
        <v>0</v>
      </c>
      <c r="O54" s="173">
        <v>0</v>
      </c>
      <c r="P54" s="171">
        <f t="shared" si="3"/>
        <v>12000000</v>
      </c>
    </row>
    <row r="55" ht="18" spans="1:16">
      <c r="A55" s="1">
        <v>53</v>
      </c>
      <c r="B55" s="1" t="s">
        <v>162</v>
      </c>
      <c r="C55" s="1" t="s">
        <v>163</v>
      </c>
      <c r="D55" s="1">
        <v>15081</v>
      </c>
      <c r="E55" s="1">
        <v>4</v>
      </c>
      <c r="F55" s="1">
        <v>103</v>
      </c>
      <c r="G55" s="1">
        <v>500</v>
      </c>
      <c r="H55" s="1">
        <v>600000</v>
      </c>
      <c r="I55" s="1">
        <f t="shared" si="5"/>
        <v>600000</v>
      </c>
      <c r="J55" s="1">
        <v>0</v>
      </c>
      <c r="K55" s="168">
        <f t="shared" si="4"/>
        <v>600000</v>
      </c>
      <c r="L55" s="165" t="s">
        <v>164</v>
      </c>
      <c r="M55" s="172"/>
      <c r="N55" s="170">
        <v>0</v>
      </c>
      <c r="O55" s="173">
        <v>0</v>
      </c>
      <c r="P55" s="171">
        <f t="shared" si="3"/>
        <v>600000</v>
      </c>
    </row>
    <row r="56" ht="18" spans="1:16">
      <c r="A56" s="1">
        <v>54</v>
      </c>
      <c r="B56" s="1" t="s">
        <v>165</v>
      </c>
      <c r="C56" s="1" t="s">
        <v>166</v>
      </c>
      <c r="D56" s="1">
        <v>15082</v>
      </c>
      <c r="E56" s="1">
        <v>4</v>
      </c>
      <c r="F56" s="1">
        <v>103</v>
      </c>
      <c r="G56" s="1">
        <v>3000</v>
      </c>
      <c r="H56" s="1">
        <v>3600000</v>
      </c>
      <c r="I56" s="1">
        <f t="shared" si="5"/>
        <v>3600000</v>
      </c>
      <c r="J56" s="1">
        <v>0</v>
      </c>
      <c r="K56" s="168">
        <f t="shared" si="4"/>
        <v>3600000</v>
      </c>
      <c r="L56" s="165" t="s">
        <v>167</v>
      </c>
      <c r="M56" s="172"/>
      <c r="N56" s="170">
        <v>0</v>
      </c>
      <c r="O56" s="173">
        <v>0</v>
      </c>
      <c r="P56" s="171">
        <f t="shared" si="3"/>
        <v>3600000</v>
      </c>
    </row>
    <row r="57" ht="18" spans="1:16">
      <c r="A57" s="1">
        <v>55</v>
      </c>
      <c r="B57" s="1" t="s">
        <v>168</v>
      </c>
      <c r="C57" s="1" t="s">
        <v>169</v>
      </c>
      <c r="D57" s="1">
        <v>15115</v>
      </c>
      <c r="E57" s="1">
        <v>4</v>
      </c>
      <c r="F57" s="1">
        <v>103</v>
      </c>
      <c r="G57" s="1">
        <v>20</v>
      </c>
      <c r="H57" s="1">
        <v>12000</v>
      </c>
      <c r="I57" s="1">
        <v>12000</v>
      </c>
      <c r="J57" s="1">
        <v>0</v>
      </c>
      <c r="K57" s="168">
        <f t="shared" si="4"/>
        <v>12000</v>
      </c>
      <c r="L57" s="165" t="s">
        <v>170</v>
      </c>
      <c r="M57" s="172"/>
      <c r="N57" s="170">
        <v>0</v>
      </c>
      <c r="O57" s="173">
        <v>0</v>
      </c>
      <c r="P57" s="171">
        <f t="shared" si="3"/>
        <v>12000</v>
      </c>
    </row>
    <row r="58" ht="18" spans="1:16">
      <c r="A58" s="1">
        <v>56</v>
      </c>
      <c r="B58" s="1" t="s">
        <v>132</v>
      </c>
      <c r="C58" s="1" t="s">
        <v>171</v>
      </c>
      <c r="D58" s="1">
        <v>15123</v>
      </c>
      <c r="E58" s="1">
        <v>4</v>
      </c>
      <c r="F58" s="1">
        <v>103</v>
      </c>
      <c r="G58" s="1">
        <v>5</v>
      </c>
      <c r="H58" s="1">
        <v>50</v>
      </c>
      <c r="I58" s="1">
        <v>50</v>
      </c>
      <c r="J58" s="1">
        <v>0</v>
      </c>
      <c r="K58" s="164">
        <f>0.05*6*10000</f>
        <v>3000</v>
      </c>
      <c r="L58" s="165" t="s">
        <v>172</v>
      </c>
      <c r="M58" s="165"/>
      <c r="N58" s="165">
        <v>0</v>
      </c>
      <c r="O58" s="165">
        <v>0</v>
      </c>
      <c r="P58" s="171">
        <v>0</v>
      </c>
    </row>
    <row r="59" ht="18" spans="1:16">
      <c r="A59" s="1">
        <v>57</v>
      </c>
      <c r="B59" s="1" t="s">
        <v>135</v>
      </c>
      <c r="C59" s="163" t="s">
        <v>173</v>
      </c>
      <c r="D59" s="1">
        <v>15124</v>
      </c>
      <c r="E59" s="1">
        <v>4</v>
      </c>
      <c r="F59" s="1">
        <v>103</v>
      </c>
      <c r="G59" s="1">
        <v>10</v>
      </c>
      <c r="H59" s="1">
        <v>2000</v>
      </c>
      <c r="I59" s="1">
        <v>2000</v>
      </c>
      <c r="J59" s="1">
        <v>0</v>
      </c>
      <c r="K59" s="164">
        <f>0.1*6*10000</f>
        <v>6000</v>
      </c>
      <c r="L59" s="165" t="s">
        <v>174</v>
      </c>
      <c r="M59" s="165"/>
      <c r="N59" s="165">
        <v>0</v>
      </c>
      <c r="O59" s="165">
        <v>0</v>
      </c>
      <c r="P59" s="171">
        <v>0</v>
      </c>
    </row>
    <row r="60" ht="18" spans="1:16">
      <c r="A60" s="1">
        <v>58</v>
      </c>
      <c r="B60" s="1" t="s">
        <v>135</v>
      </c>
      <c r="C60" s="163" t="s">
        <v>173</v>
      </c>
      <c r="D60" s="1">
        <v>15125</v>
      </c>
      <c r="E60" s="1">
        <v>4</v>
      </c>
      <c r="F60" s="1">
        <v>103</v>
      </c>
      <c r="G60" s="1">
        <v>10</v>
      </c>
      <c r="H60" s="1">
        <v>3000</v>
      </c>
      <c r="I60" s="1">
        <v>3000</v>
      </c>
      <c r="J60" s="1">
        <v>0</v>
      </c>
      <c r="K60" s="164">
        <f>0.1*6*10000</f>
        <v>6000</v>
      </c>
      <c r="L60" s="165" t="s">
        <v>174</v>
      </c>
      <c r="M60" s="165"/>
      <c r="N60" s="165">
        <v>0</v>
      </c>
      <c r="O60" s="165">
        <v>0</v>
      </c>
      <c r="P60" s="171">
        <v>0</v>
      </c>
    </row>
    <row r="61" ht="18" spans="1:16">
      <c r="A61" s="1">
        <v>59</v>
      </c>
      <c r="B61" s="1" t="s">
        <v>138</v>
      </c>
      <c r="C61" s="163" t="s">
        <v>175</v>
      </c>
      <c r="D61" s="1">
        <v>15126</v>
      </c>
      <c r="E61" s="1">
        <v>4</v>
      </c>
      <c r="F61" s="1">
        <v>103</v>
      </c>
      <c r="G61" s="1">
        <v>40</v>
      </c>
      <c r="H61" s="1">
        <v>16000</v>
      </c>
      <c r="I61" s="1">
        <v>16000</v>
      </c>
      <c r="J61" s="1">
        <v>0</v>
      </c>
      <c r="K61" s="164">
        <f>0.4*6*10000</f>
        <v>24000</v>
      </c>
      <c r="L61" s="165" t="s">
        <v>176</v>
      </c>
      <c r="M61" s="165"/>
      <c r="N61" s="165">
        <v>0</v>
      </c>
      <c r="O61" s="165">
        <v>0</v>
      </c>
      <c r="P61" s="171">
        <v>0</v>
      </c>
    </row>
    <row r="62" ht="18" spans="1:16">
      <c r="A62" s="1">
        <v>60</v>
      </c>
      <c r="B62" s="1" t="s">
        <v>138</v>
      </c>
      <c r="C62" s="163" t="s">
        <v>175</v>
      </c>
      <c r="D62" s="1">
        <v>15127</v>
      </c>
      <c r="E62" s="1">
        <v>4</v>
      </c>
      <c r="F62" s="1">
        <v>103</v>
      </c>
      <c r="G62" s="1">
        <v>40</v>
      </c>
      <c r="H62" s="1">
        <v>20000</v>
      </c>
      <c r="I62" s="1">
        <v>20000</v>
      </c>
      <c r="J62" s="1">
        <v>0</v>
      </c>
      <c r="K62" s="164">
        <f>0.4*6*10000</f>
        <v>24000</v>
      </c>
      <c r="L62" s="165" t="s">
        <v>176</v>
      </c>
      <c r="M62" s="165"/>
      <c r="N62" s="165">
        <v>0</v>
      </c>
      <c r="O62" s="165">
        <v>0</v>
      </c>
      <c r="P62" s="171">
        <v>0</v>
      </c>
    </row>
    <row r="63" ht="18" spans="1:16">
      <c r="A63" s="1">
        <v>61</v>
      </c>
      <c r="B63" s="1" t="s">
        <v>141</v>
      </c>
      <c r="C63" s="163" t="s">
        <v>177</v>
      </c>
      <c r="D63" s="1">
        <v>15128</v>
      </c>
      <c r="E63" s="1">
        <v>4</v>
      </c>
      <c r="F63" s="1">
        <v>103</v>
      </c>
      <c r="G63" s="1">
        <v>100</v>
      </c>
      <c r="H63" s="1">
        <v>50000</v>
      </c>
      <c r="I63" s="1">
        <v>50000</v>
      </c>
      <c r="J63" s="1">
        <v>0</v>
      </c>
      <c r="K63" s="164">
        <f>1*6*10000</f>
        <v>60000</v>
      </c>
      <c r="L63" s="165" t="s">
        <v>178</v>
      </c>
      <c r="M63" s="174"/>
      <c r="N63" s="165">
        <v>0</v>
      </c>
      <c r="O63" s="165">
        <v>0</v>
      </c>
      <c r="P63" s="171">
        <v>0</v>
      </c>
    </row>
    <row r="64" ht="18" spans="1:16">
      <c r="A64" s="1">
        <v>62</v>
      </c>
      <c r="B64" s="1" t="s">
        <v>141</v>
      </c>
      <c r="C64" s="163" t="s">
        <v>177</v>
      </c>
      <c r="D64" s="1">
        <v>15129</v>
      </c>
      <c r="E64" s="1">
        <v>4</v>
      </c>
      <c r="F64" s="1">
        <v>103</v>
      </c>
      <c r="G64" s="1">
        <v>100</v>
      </c>
      <c r="H64" s="1">
        <v>60000</v>
      </c>
      <c r="I64" s="1">
        <v>60000</v>
      </c>
      <c r="J64" s="1">
        <v>0</v>
      </c>
      <c r="K64" s="164">
        <f>1*6*10000</f>
        <v>60000</v>
      </c>
      <c r="L64" s="165" t="s">
        <v>178</v>
      </c>
      <c r="M64" s="174"/>
      <c r="N64" s="165">
        <v>0</v>
      </c>
      <c r="O64" s="165">
        <v>0</v>
      </c>
      <c r="P64" s="171">
        <v>0</v>
      </c>
    </row>
    <row r="65" ht="18" spans="1:16">
      <c r="A65" s="1">
        <v>63</v>
      </c>
      <c r="B65" s="1" t="s">
        <v>179</v>
      </c>
      <c r="C65" s="161" t="s">
        <v>180</v>
      </c>
      <c r="D65" s="1">
        <v>16040</v>
      </c>
      <c r="E65" s="1">
        <v>5</v>
      </c>
      <c r="F65" s="1">
        <v>0</v>
      </c>
      <c r="G65" s="1">
        <v>0</v>
      </c>
      <c r="H65" s="1">
        <v>100</v>
      </c>
      <c r="I65" s="1">
        <v>120</v>
      </c>
      <c r="J65" s="1">
        <v>100</v>
      </c>
      <c r="K65" s="164">
        <v>0</v>
      </c>
      <c r="L65" s="165" t="s">
        <v>181</v>
      </c>
      <c r="M65" s="174">
        <v>2401</v>
      </c>
      <c r="N65" s="170">
        <v>0</v>
      </c>
      <c r="O65" s="173">
        <v>0</v>
      </c>
      <c r="P65" s="171">
        <f t="shared" ref="P65:P68" si="6">I65</f>
        <v>120</v>
      </c>
    </row>
    <row r="66" ht="18" spans="1:16">
      <c r="A66" s="1">
        <v>64</v>
      </c>
      <c r="B66" s="1" t="s">
        <v>182</v>
      </c>
      <c r="C66" s="1" t="s">
        <v>183</v>
      </c>
      <c r="D66" s="1">
        <v>22041</v>
      </c>
      <c r="E66" s="1">
        <v>6</v>
      </c>
      <c r="F66" s="1">
        <v>0</v>
      </c>
      <c r="G66" s="1">
        <v>0</v>
      </c>
      <c r="H66" s="1">
        <v>0</v>
      </c>
      <c r="I66" s="1">
        <v>0</v>
      </c>
      <c r="J66" s="1">
        <v>1</v>
      </c>
      <c r="K66" s="164">
        <v>0</v>
      </c>
      <c r="L66" s="165" t="s">
        <v>183</v>
      </c>
      <c r="M66" s="174"/>
      <c r="N66" s="170">
        <v>0</v>
      </c>
      <c r="O66" s="173">
        <v>0</v>
      </c>
      <c r="P66" s="171">
        <f t="shared" si="6"/>
        <v>0</v>
      </c>
    </row>
    <row r="67" ht="18" spans="1:16">
      <c r="A67" s="1">
        <v>65</v>
      </c>
      <c r="B67" s="1" t="s">
        <v>184</v>
      </c>
      <c r="C67" s="1" t="s">
        <v>185</v>
      </c>
      <c r="D67" s="1">
        <v>23042</v>
      </c>
      <c r="E67" s="1">
        <v>7</v>
      </c>
      <c r="F67" s="1">
        <v>0</v>
      </c>
      <c r="G67" s="1">
        <v>0</v>
      </c>
      <c r="H67" s="1">
        <v>0</v>
      </c>
      <c r="I67" s="1">
        <v>0</v>
      </c>
      <c r="J67" s="1">
        <v>1</v>
      </c>
      <c r="K67" s="164">
        <v>0</v>
      </c>
      <c r="L67" s="165" t="s">
        <v>185</v>
      </c>
      <c r="M67" s="174"/>
      <c r="N67" s="170">
        <v>0</v>
      </c>
      <c r="O67" s="173">
        <v>0</v>
      </c>
      <c r="P67" s="171">
        <f t="shared" si="6"/>
        <v>0</v>
      </c>
    </row>
    <row r="68" ht="18" spans="1:16">
      <c r="A68" s="1">
        <v>66</v>
      </c>
      <c r="B68" s="1" t="s">
        <v>186</v>
      </c>
      <c r="C68" s="1" t="s">
        <v>187</v>
      </c>
      <c r="D68" s="1">
        <v>26043</v>
      </c>
      <c r="E68" s="1">
        <v>10</v>
      </c>
      <c r="F68" s="1">
        <v>101</v>
      </c>
      <c r="G68" s="1">
        <v>1</v>
      </c>
      <c r="H68" s="1">
        <v>600</v>
      </c>
      <c r="I68" s="1">
        <v>3600</v>
      </c>
      <c r="J68" s="1">
        <v>0</v>
      </c>
      <c r="K68" s="164">
        <v>0</v>
      </c>
      <c r="L68" s="165" t="s">
        <v>188</v>
      </c>
      <c r="M68" s="174"/>
      <c r="N68" s="170">
        <v>0</v>
      </c>
      <c r="O68" s="173">
        <v>0</v>
      </c>
      <c r="P68" s="171">
        <f t="shared" si="6"/>
        <v>3600</v>
      </c>
    </row>
    <row r="69" ht="18" spans="1:16">
      <c r="A69" s="1">
        <v>67</v>
      </c>
      <c r="B69" s="1" t="s">
        <v>189</v>
      </c>
      <c r="C69" s="1" t="s">
        <v>190</v>
      </c>
      <c r="D69" s="1">
        <v>27044</v>
      </c>
      <c r="E69" s="1">
        <v>11</v>
      </c>
      <c r="F69" s="1">
        <v>2057</v>
      </c>
      <c r="G69" s="1">
        <v>1</v>
      </c>
      <c r="H69" s="1">
        <v>20600</v>
      </c>
      <c r="I69" s="1">
        <v>20600</v>
      </c>
      <c r="J69" s="1">
        <v>0</v>
      </c>
      <c r="K69" s="168">
        <f t="shared" ref="K69:K99" si="7">H69</f>
        <v>20600</v>
      </c>
      <c r="L69" s="165" t="s">
        <v>191</v>
      </c>
      <c r="M69" s="174"/>
      <c r="N69" s="170">
        <v>0</v>
      </c>
      <c r="O69" s="173">
        <v>0</v>
      </c>
      <c r="P69" s="171">
        <f t="shared" ref="P69:P116" si="8">K69</f>
        <v>20600</v>
      </c>
    </row>
    <row r="70" ht="18" spans="1:16">
      <c r="A70" s="1">
        <v>68</v>
      </c>
      <c r="B70" s="1" t="s">
        <v>192</v>
      </c>
      <c r="C70" s="1" t="s">
        <v>193</v>
      </c>
      <c r="D70" s="1">
        <v>27045</v>
      </c>
      <c r="E70" s="1">
        <v>11</v>
      </c>
      <c r="F70" s="1">
        <v>2061</v>
      </c>
      <c r="G70" s="1">
        <v>1</v>
      </c>
      <c r="H70" s="1">
        <v>128750</v>
      </c>
      <c r="I70" s="1">
        <v>128750</v>
      </c>
      <c r="J70" s="1">
        <v>0</v>
      </c>
      <c r="K70" s="168">
        <f t="shared" si="7"/>
        <v>128750</v>
      </c>
      <c r="L70" s="165" t="s">
        <v>194</v>
      </c>
      <c r="M70" s="174"/>
      <c r="N70" s="170">
        <v>0</v>
      </c>
      <c r="O70" s="173">
        <v>0</v>
      </c>
      <c r="P70" s="171">
        <f t="shared" si="8"/>
        <v>128750</v>
      </c>
    </row>
    <row r="71" ht="18" spans="1:16">
      <c r="A71" s="1">
        <v>69</v>
      </c>
      <c r="B71" s="1" t="s">
        <v>195</v>
      </c>
      <c r="C71" s="1" t="s">
        <v>196</v>
      </c>
      <c r="D71" s="1">
        <v>27046</v>
      </c>
      <c r="E71" s="1">
        <v>11</v>
      </c>
      <c r="F71" s="1">
        <v>2048</v>
      </c>
      <c r="G71" s="1">
        <v>1</v>
      </c>
      <c r="H71" s="1">
        <v>257500</v>
      </c>
      <c r="I71" s="1">
        <v>257500</v>
      </c>
      <c r="J71" s="1">
        <v>0</v>
      </c>
      <c r="K71" s="168">
        <f t="shared" si="7"/>
        <v>257500</v>
      </c>
      <c r="L71" s="165" t="s">
        <v>197</v>
      </c>
      <c r="M71" s="174"/>
      <c r="N71" s="170">
        <v>0</v>
      </c>
      <c r="O71" s="173">
        <v>0</v>
      </c>
      <c r="P71" s="171">
        <f t="shared" si="8"/>
        <v>257500</v>
      </c>
    </row>
    <row r="72" ht="18" spans="1:16">
      <c r="A72" s="1">
        <v>70</v>
      </c>
      <c r="B72" s="1" t="s">
        <v>198</v>
      </c>
      <c r="C72" s="1" t="s">
        <v>199</v>
      </c>
      <c r="D72" s="1">
        <v>27047</v>
      </c>
      <c r="E72" s="1">
        <v>11</v>
      </c>
      <c r="F72" s="1">
        <v>2062</v>
      </c>
      <c r="G72" s="1">
        <v>1</v>
      </c>
      <c r="H72" s="1">
        <v>618000</v>
      </c>
      <c r="I72" s="1">
        <v>618000</v>
      </c>
      <c r="J72" s="1">
        <v>0</v>
      </c>
      <c r="K72" s="168">
        <f t="shared" si="7"/>
        <v>618000</v>
      </c>
      <c r="L72" s="165" t="s">
        <v>200</v>
      </c>
      <c r="M72" s="174"/>
      <c r="N72" s="170">
        <v>0</v>
      </c>
      <c r="O72" s="173">
        <v>0</v>
      </c>
      <c r="P72" s="171">
        <f t="shared" si="8"/>
        <v>618000</v>
      </c>
    </row>
    <row r="73" ht="18" spans="1:16">
      <c r="A73" s="1">
        <v>71</v>
      </c>
      <c r="B73" s="1" t="s">
        <v>201</v>
      </c>
      <c r="C73" s="1" t="s">
        <v>202</v>
      </c>
      <c r="D73" s="1">
        <v>27048</v>
      </c>
      <c r="E73" s="1">
        <v>11</v>
      </c>
      <c r="F73" s="1">
        <v>2059</v>
      </c>
      <c r="G73" s="1">
        <v>1</v>
      </c>
      <c r="H73" s="1">
        <v>1545000</v>
      </c>
      <c r="I73" s="1">
        <v>1545000</v>
      </c>
      <c r="J73" s="1">
        <v>0</v>
      </c>
      <c r="K73" s="168">
        <f t="shared" si="7"/>
        <v>1545000</v>
      </c>
      <c r="L73" s="165" t="s">
        <v>203</v>
      </c>
      <c r="M73" s="174"/>
      <c r="N73" s="170">
        <v>0</v>
      </c>
      <c r="O73" s="173">
        <v>0</v>
      </c>
      <c r="P73" s="171">
        <f t="shared" si="8"/>
        <v>1545000</v>
      </c>
    </row>
    <row r="74" ht="18" spans="1:16">
      <c r="A74" s="1">
        <v>72</v>
      </c>
      <c r="B74" s="1" t="s">
        <v>204</v>
      </c>
      <c r="C74" s="1" t="s">
        <v>205</v>
      </c>
      <c r="D74" s="1">
        <v>27049</v>
      </c>
      <c r="E74" s="1">
        <v>11</v>
      </c>
      <c r="F74" s="1">
        <v>2050</v>
      </c>
      <c r="G74" s="1">
        <v>1</v>
      </c>
      <c r="H74" s="1">
        <v>3090000</v>
      </c>
      <c r="I74" s="1">
        <v>3090000</v>
      </c>
      <c r="J74" s="1">
        <v>0</v>
      </c>
      <c r="K74" s="168">
        <f t="shared" si="7"/>
        <v>3090000</v>
      </c>
      <c r="L74" s="165" t="s">
        <v>206</v>
      </c>
      <c r="M74" s="174"/>
      <c r="N74" s="170">
        <v>0</v>
      </c>
      <c r="O74" s="173">
        <v>0</v>
      </c>
      <c r="P74" s="171">
        <f t="shared" si="8"/>
        <v>3090000</v>
      </c>
    </row>
    <row r="75" ht="18" spans="1:16">
      <c r="A75" s="1">
        <v>73</v>
      </c>
      <c r="B75" s="1" t="s">
        <v>189</v>
      </c>
      <c r="C75" s="1" t="s">
        <v>190</v>
      </c>
      <c r="D75" s="1">
        <v>27079</v>
      </c>
      <c r="E75" s="1">
        <v>11</v>
      </c>
      <c r="F75" s="1">
        <v>2057</v>
      </c>
      <c r="G75" s="1">
        <v>1</v>
      </c>
      <c r="H75" s="1">
        <v>25750</v>
      </c>
      <c r="I75" s="1">
        <v>25750</v>
      </c>
      <c r="J75" s="1">
        <v>0</v>
      </c>
      <c r="K75" s="168">
        <f t="shared" si="7"/>
        <v>25750</v>
      </c>
      <c r="L75" s="165" t="s">
        <v>191</v>
      </c>
      <c r="M75" s="174"/>
      <c r="N75" s="170">
        <v>0</v>
      </c>
      <c r="O75" s="173">
        <v>0</v>
      </c>
      <c r="P75" s="171">
        <f t="shared" si="8"/>
        <v>25750</v>
      </c>
    </row>
    <row r="76" ht="18" spans="1:16">
      <c r="A76" s="1">
        <v>74</v>
      </c>
      <c r="B76" s="1" t="s">
        <v>192</v>
      </c>
      <c r="C76" s="1" t="s">
        <v>193</v>
      </c>
      <c r="D76" s="1">
        <v>27080</v>
      </c>
      <c r="E76" s="1">
        <v>11</v>
      </c>
      <c r="F76" s="1">
        <v>2061</v>
      </c>
      <c r="G76" s="1">
        <v>1</v>
      </c>
      <c r="H76" s="1">
        <v>154500</v>
      </c>
      <c r="I76" s="1">
        <v>154500</v>
      </c>
      <c r="J76" s="1">
        <v>0</v>
      </c>
      <c r="K76" s="168">
        <f t="shared" si="7"/>
        <v>154500</v>
      </c>
      <c r="L76" s="165" t="s">
        <v>194</v>
      </c>
      <c r="M76" s="172"/>
      <c r="N76" s="170">
        <v>0</v>
      </c>
      <c r="O76" s="173">
        <v>0</v>
      </c>
      <c r="P76" s="171">
        <f t="shared" si="8"/>
        <v>154500</v>
      </c>
    </row>
    <row r="77" ht="18" spans="1:16">
      <c r="A77" s="1">
        <v>75</v>
      </c>
      <c r="B77" s="1" t="s">
        <v>207</v>
      </c>
      <c r="C77" s="1" t="s">
        <v>208</v>
      </c>
      <c r="D77" s="1">
        <v>28050</v>
      </c>
      <c r="E77" s="1">
        <v>12</v>
      </c>
      <c r="F77" s="1">
        <v>1228</v>
      </c>
      <c r="G77" s="1">
        <v>1</v>
      </c>
      <c r="H77" s="1">
        <v>115</v>
      </c>
      <c r="I77" s="1">
        <v>115</v>
      </c>
      <c r="J77" s="1">
        <v>0</v>
      </c>
      <c r="K77" s="168">
        <f t="shared" si="7"/>
        <v>115</v>
      </c>
      <c r="L77" s="165" t="s">
        <v>208</v>
      </c>
      <c r="M77" s="176"/>
      <c r="N77" s="170">
        <v>0</v>
      </c>
      <c r="O77" s="173">
        <v>0</v>
      </c>
      <c r="P77" s="171">
        <f t="shared" si="8"/>
        <v>115</v>
      </c>
    </row>
    <row r="78" ht="18" spans="1:16">
      <c r="A78" s="1">
        <v>76</v>
      </c>
      <c r="B78" s="1" t="s">
        <v>209</v>
      </c>
      <c r="C78" s="1" t="s">
        <v>210</v>
      </c>
      <c r="D78" s="1">
        <v>28051</v>
      </c>
      <c r="E78" s="1">
        <v>12</v>
      </c>
      <c r="F78" s="1">
        <v>1228</v>
      </c>
      <c r="G78" s="1">
        <v>3</v>
      </c>
      <c r="H78" s="1">
        <v>345</v>
      </c>
      <c r="I78" s="1">
        <v>345</v>
      </c>
      <c r="J78" s="1">
        <v>0</v>
      </c>
      <c r="K78" s="168">
        <f t="shared" si="7"/>
        <v>345</v>
      </c>
      <c r="L78" s="165" t="s">
        <v>210</v>
      </c>
      <c r="M78" s="176"/>
      <c r="N78" s="170">
        <v>0</v>
      </c>
      <c r="O78" s="173">
        <v>0</v>
      </c>
      <c r="P78" s="171">
        <f t="shared" si="8"/>
        <v>345</v>
      </c>
    </row>
    <row r="79" ht="18" spans="1:16">
      <c r="A79" s="1">
        <v>77</v>
      </c>
      <c r="B79" s="1" t="s">
        <v>211</v>
      </c>
      <c r="C79" s="1" t="s">
        <v>212</v>
      </c>
      <c r="D79" s="1">
        <v>28052</v>
      </c>
      <c r="E79" s="1">
        <v>12</v>
      </c>
      <c r="F79" s="1">
        <v>1228</v>
      </c>
      <c r="G79" s="1">
        <v>10</v>
      </c>
      <c r="H79" s="1">
        <v>1150</v>
      </c>
      <c r="I79" s="1">
        <v>1150</v>
      </c>
      <c r="J79" s="1">
        <v>0</v>
      </c>
      <c r="K79" s="168">
        <f t="shared" si="7"/>
        <v>1150</v>
      </c>
      <c r="L79" s="165" t="s">
        <v>212</v>
      </c>
      <c r="M79" s="172"/>
      <c r="N79" s="170">
        <v>0</v>
      </c>
      <c r="O79" s="173">
        <v>0</v>
      </c>
      <c r="P79" s="171">
        <f t="shared" si="8"/>
        <v>1150</v>
      </c>
    </row>
    <row r="80" ht="18" spans="1:16">
      <c r="A80" s="1">
        <v>78</v>
      </c>
      <c r="B80" s="1" t="s">
        <v>213</v>
      </c>
      <c r="C80" s="1" t="s">
        <v>214</v>
      </c>
      <c r="D80" s="1">
        <v>28053</v>
      </c>
      <c r="E80" s="1">
        <v>12</v>
      </c>
      <c r="F80" s="1">
        <v>1228</v>
      </c>
      <c r="G80" s="1">
        <v>30</v>
      </c>
      <c r="H80" s="1">
        <v>3450</v>
      </c>
      <c r="I80" s="1">
        <v>3450</v>
      </c>
      <c r="J80" s="1">
        <v>0</v>
      </c>
      <c r="K80" s="168">
        <f t="shared" si="7"/>
        <v>3450</v>
      </c>
      <c r="L80" s="165" t="s">
        <v>214</v>
      </c>
      <c r="M80" s="172"/>
      <c r="N80" s="170">
        <v>0</v>
      </c>
      <c r="O80" s="173">
        <v>0</v>
      </c>
      <c r="P80" s="171">
        <f t="shared" si="8"/>
        <v>3450</v>
      </c>
    </row>
    <row r="81" ht="18" spans="1:16">
      <c r="A81" s="1">
        <v>79</v>
      </c>
      <c r="B81" s="1" t="s">
        <v>215</v>
      </c>
      <c r="C81" s="1" t="s">
        <v>216</v>
      </c>
      <c r="D81" s="1">
        <v>28070</v>
      </c>
      <c r="E81" s="1">
        <v>12</v>
      </c>
      <c r="F81" s="1">
        <v>1228</v>
      </c>
      <c r="G81" s="1">
        <v>100</v>
      </c>
      <c r="H81" s="1">
        <v>11500</v>
      </c>
      <c r="I81" s="1">
        <v>11500</v>
      </c>
      <c r="J81" s="1">
        <v>0</v>
      </c>
      <c r="K81" s="168">
        <f t="shared" si="7"/>
        <v>11500</v>
      </c>
      <c r="L81" s="165" t="s">
        <v>216</v>
      </c>
      <c r="M81" s="172"/>
      <c r="N81" s="170">
        <v>0</v>
      </c>
      <c r="O81" s="173">
        <v>0</v>
      </c>
      <c r="P81" s="171">
        <f t="shared" si="8"/>
        <v>11500</v>
      </c>
    </row>
    <row r="82" ht="18" spans="1:16">
      <c r="A82" s="1">
        <v>80</v>
      </c>
      <c r="B82" s="1" t="s">
        <v>217</v>
      </c>
      <c r="C82" s="1" t="s">
        <v>218</v>
      </c>
      <c r="D82" s="1">
        <v>28071</v>
      </c>
      <c r="E82" s="1">
        <v>12</v>
      </c>
      <c r="F82" s="1">
        <v>1228</v>
      </c>
      <c r="G82" s="1">
        <v>300</v>
      </c>
      <c r="H82" s="1">
        <v>34500</v>
      </c>
      <c r="I82" s="1">
        <v>34500</v>
      </c>
      <c r="J82" s="1">
        <v>0</v>
      </c>
      <c r="K82" s="168">
        <f t="shared" si="7"/>
        <v>34500</v>
      </c>
      <c r="L82" s="165" t="s">
        <v>218</v>
      </c>
      <c r="M82" s="172"/>
      <c r="N82" s="170">
        <v>0</v>
      </c>
      <c r="O82" s="173">
        <v>0</v>
      </c>
      <c r="P82" s="171">
        <f t="shared" si="8"/>
        <v>34500</v>
      </c>
    </row>
    <row r="83" ht="18" spans="1:16">
      <c r="A83" s="1">
        <v>81</v>
      </c>
      <c r="B83" s="1" t="s">
        <v>219</v>
      </c>
      <c r="C83" s="1" t="s">
        <v>220</v>
      </c>
      <c r="D83" s="1">
        <v>28072</v>
      </c>
      <c r="E83" s="1">
        <v>12</v>
      </c>
      <c r="F83" s="1">
        <v>1228</v>
      </c>
      <c r="G83" s="1">
        <v>400</v>
      </c>
      <c r="H83" s="1">
        <v>46000</v>
      </c>
      <c r="I83" s="1">
        <v>46000</v>
      </c>
      <c r="J83" s="1">
        <v>0</v>
      </c>
      <c r="K83" s="168">
        <f t="shared" si="7"/>
        <v>46000</v>
      </c>
      <c r="L83" s="165" t="s">
        <v>220</v>
      </c>
      <c r="M83" s="172"/>
      <c r="N83" s="170">
        <v>0</v>
      </c>
      <c r="O83" s="173">
        <v>0</v>
      </c>
      <c r="P83" s="171">
        <f t="shared" si="8"/>
        <v>46000</v>
      </c>
    </row>
    <row r="84" ht="18" spans="1:16">
      <c r="A84" s="1">
        <v>82</v>
      </c>
      <c r="B84" s="1" t="s">
        <v>221</v>
      </c>
      <c r="C84" s="1" t="s">
        <v>222</v>
      </c>
      <c r="D84" s="1">
        <v>28073</v>
      </c>
      <c r="E84" s="1">
        <v>12</v>
      </c>
      <c r="F84" s="1">
        <v>1228</v>
      </c>
      <c r="G84" s="1">
        <v>1000</v>
      </c>
      <c r="H84" s="1">
        <v>115000</v>
      </c>
      <c r="I84" s="1">
        <v>115000</v>
      </c>
      <c r="J84" s="1">
        <v>0</v>
      </c>
      <c r="K84" s="168">
        <f t="shared" si="7"/>
        <v>115000</v>
      </c>
      <c r="L84" s="165" t="s">
        <v>222</v>
      </c>
      <c r="M84" s="172"/>
      <c r="N84" s="170">
        <v>0</v>
      </c>
      <c r="O84" s="173">
        <v>0</v>
      </c>
      <c r="P84" s="171">
        <f t="shared" si="8"/>
        <v>115000</v>
      </c>
    </row>
    <row r="85" ht="18" spans="1:16">
      <c r="A85" s="1">
        <v>83</v>
      </c>
      <c r="B85" s="1" t="s">
        <v>223</v>
      </c>
      <c r="C85" s="1" t="s">
        <v>224</v>
      </c>
      <c r="D85" s="1">
        <v>28116</v>
      </c>
      <c r="E85" s="1">
        <v>12</v>
      </c>
      <c r="F85" s="1">
        <v>1228</v>
      </c>
      <c r="G85" s="1">
        <v>800</v>
      </c>
      <c r="H85" s="1">
        <v>92000</v>
      </c>
      <c r="I85" s="1">
        <v>92000</v>
      </c>
      <c r="J85" s="1">
        <v>0</v>
      </c>
      <c r="K85" s="168">
        <f t="shared" si="7"/>
        <v>92000</v>
      </c>
      <c r="L85" s="165" t="s">
        <v>224</v>
      </c>
      <c r="M85" s="172"/>
      <c r="N85" s="170">
        <v>0</v>
      </c>
      <c r="O85" s="173">
        <v>0</v>
      </c>
      <c r="P85" s="171">
        <f t="shared" si="8"/>
        <v>92000</v>
      </c>
    </row>
    <row r="86" ht="18" spans="1:16">
      <c r="A86" s="1">
        <v>84</v>
      </c>
      <c r="B86" s="1" t="s">
        <v>225</v>
      </c>
      <c r="C86" s="1" t="s">
        <v>226</v>
      </c>
      <c r="D86" s="1">
        <v>28117</v>
      </c>
      <c r="E86" s="1">
        <v>12</v>
      </c>
      <c r="F86" s="1">
        <v>1228</v>
      </c>
      <c r="G86" s="1">
        <v>3000</v>
      </c>
      <c r="H86" s="1">
        <v>345000</v>
      </c>
      <c r="I86" s="1">
        <v>345000</v>
      </c>
      <c r="J86" s="1">
        <v>0</v>
      </c>
      <c r="K86" s="168">
        <f t="shared" si="7"/>
        <v>345000</v>
      </c>
      <c r="L86" s="165" t="s">
        <v>226</v>
      </c>
      <c r="M86" s="172"/>
      <c r="N86" s="170">
        <v>0</v>
      </c>
      <c r="O86" s="173">
        <v>0</v>
      </c>
      <c r="P86" s="171">
        <f t="shared" si="8"/>
        <v>345000</v>
      </c>
    </row>
    <row r="87" ht="18" spans="1:16">
      <c r="A87" s="1">
        <v>85</v>
      </c>
      <c r="B87" s="1" t="s">
        <v>227</v>
      </c>
      <c r="C87" s="1" t="s">
        <v>228</v>
      </c>
      <c r="D87" s="1">
        <v>29054</v>
      </c>
      <c r="E87" s="1">
        <v>13</v>
      </c>
      <c r="F87" s="1">
        <v>46001</v>
      </c>
      <c r="G87" s="1">
        <v>1</v>
      </c>
      <c r="H87" s="1">
        <v>350</v>
      </c>
      <c r="I87" s="1">
        <v>350</v>
      </c>
      <c r="J87" s="1">
        <v>0</v>
      </c>
      <c r="K87" s="168">
        <f t="shared" si="7"/>
        <v>350</v>
      </c>
      <c r="L87" s="165" t="s">
        <v>229</v>
      </c>
      <c r="M87" s="172"/>
      <c r="N87" s="170">
        <v>0</v>
      </c>
      <c r="O87" s="173">
        <v>0</v>
      </c>
      <c r="P87" s="171">
        <f t="shared" si="8"/>
        <v>350</v>
      </c>
    </row>
    <row r="88" ht="18" spans="1:16">
      <c r="A88" s="1">
        <v>86</v>
      </c>
      <c r="B88" s="1" t="s">
        <v>227</v>
      </c>
      <c r="C88" s="1" t="s">
        <v>228</v>
      </c>
      <c r="D88" s="1">
        <v>29067</v>
      </c>
      <c r="E88" s="1">
        <v>13</v>
      </c>
      <c r="F88" s="1">
        <v>46002</v>
      </c>
      <c r="G88" s="1">
        <v>1</v>
      </c>
      <c r="H88" s="1">
        <v>15000</v>
      </c>
      <c r="I88" s="1">
        <v>15000</v>
      </c>
      <c r="J88" s="1">
        <v>0</v>
      </c>
      <c r="K88" s="168">
        <f t="shared" si="7"/>
        <v>15000</v>
      </c>
      <c r="L88" s="165" t="s">
        <v>230</v>
      </c>
      <c r="M88" s="172"/>
      <c r="N88" s="170">
        <v>0</v>
      </c>
      <c r="O88" s="173">
        <v>0</v>
      </c>
      <c r="P88" s="171">
        <f t="shared" si="8"/>
        <v>15000</v>
      </c>
    </row>
    <row r="89" ht="18" spans="1:16">
      <c r="A89" s="1">
        <v>87</v>
      </c>
      <c r="B89" s="1" t="s">
        <v>227</v>
      </c>
      <c r="C89" s="1" t="s">
        <v>228</v>
      </c>
      <c r="D89" s="1">
        <v>29068</v>
      </c>
      <c r="E89" s="1">
        <v>13</v>
      </c>
      <c r="F89" s="1">
        <v>46003</v>
      </c>
      <c r="G89" s="1">
        <v>1</v>
      </c>
      <c r="H89" s="1">
        <v>160000</v>
      </c>
      <c r="I89" s="1">
        <v>160000</v>
      </c>
      <c r="J89" s="1">
        <v>0</v>
      </c>
      <c r="K89" s="168">
        <f t="shared" si="7"/>
        <v>160000</v>
      </c>
      <c r="L89" s="165" t="s">
        <v>231</v>
      </c>
      <c r="M89" s="172"/>
      <c r="N89" s="170">
        <v>0</v>
      </c>
      <c r="O89" s="173">
        <v>0</v>
      </c>
      <c r="P89" s="171">
        <f t="shared" si="8"/>
        <v>160000</v>
      </c>
    </row>
    <row r="90" ht="18" spans="1:16">
      <c r="A90" s="1">
        <v>88</v>
      </c>
      <c r="B90" s="1" t="s">
        <v>227</v>
      </c>
      <c r="C90" s="1" t="s">
        <v>228</v>
      </c>
      <c r="D90" s="1">
        <v>29069</v>
      </c>
      <c r="E90" s="1">
        <v>13</v>
      </c>
      <c r="F90" s="1">
        <v>46004</v>
      </c>
      <c r="G90" s="1">
        <v>1</v>
      </c>
      <c r="H90" s="1">
        <v>1000000</v>
      </c>
      <c r="I90" s="1">
        <v>1000000</v>
      </c>
      <c r="J90" s="1">
        <v>0</v>
      </c>
      <c r="K90" s="168">
        <f t="shared" si="7"/>
        <v>1000000</v>
      </c>
      <c r="L90" s="165" t="s">
        <v>232</v>
      </c>
      <c r="M90" s="172"/>
      <c r="N90" s="170">
        <v>0</v>
      </c>
      <c r="O90" s="173">
        <v>0</v>
      </c>
      <c r="P90" s="171">
        <f t="shared" si="8"/>
        <v>1000000</v>
      </c>
    </row>
    <row r="91" ht="18" spans="1:16">
      <c r="A91" s="1">
        <v>89</v>
      </c>
      <c r="B91" s="1" t="s">
        <v>227</v>
      </c>
      <c r="C91" s="1" t="s">
        <v>228</v>
      </c>
      <c r="D91" s="1">
        <v>29100</v>
      </c>
      <c r="E91" s="1">
        <v>13</v>
      </c>
      <c r="F91" s="1">
        <v>46005</v>
      </c>
      <c r="G91" s="1">
        <v>1</v>
      </c>
      <c r="H91" s="1">
        <v>3000000</v>
      </c>
      <c r="I91" s="1">
        <v>3000000</v>
      </c>
      <c r="J91" s="1">
        <v>0</v>
      </c>
      <c r="K91" s="168">
        <f t="shared" si="7"/>
        <v>3000000</v>
      </c>
      <c r="L91" s="165" t="s">
        <v>233</v>
      </c>
      <c r="M91" s="172"/>
      <c r="N91" s="170">
        <v>0</v>
      </c>
      <c r="O91" s="173">
        <v>0</v>
      </c>
      <c r="P91" s="171">
        <f t="shared" si="8"/>
        <v>3000000</v>
      </c>
    </row>
    <row r="92" ht="18" spans="1:16">
      <c r="A92" s="1">
        <v>90</v>
      </c>
      <c r="B92" s="1" t="s">
        <v>234</v>
      </c>
      <c r="C92" s="1" t="s">
        <v>235</v>
      </c>
      <c r="D92" s="1">
        <v>30059</v>
      </c>
      <c r="E92" s="1">
        <v>14</v>
      </c>
      <c r="F92" s="1">
        <v>4141</v>
      </c>
      <c r="G92" s="1">
        <v>1</v>
      </c>
      <c r="H92" s="1">
        <v>1200000</v>
      </c>
      <c r="I92" s="1">
        <f>H92</f>
        <v>1200000</v>
      </c>
      <c r="J92" s="1">
        <v>0</v>
      </c>
      <c r="K92" s="168">
        <f t="shared" si="7"/>
        <v>1200000</v>
      </c>
      <c r="L92" s="1" t="s">
        <v>236</v>
      </c>
      <c r="M92" s="172"/>
      <c r="N92" s="170">
        <v>0</v>
      </c>
      <c r="O92" s="173">
        <v>0</v>
      </c>
      <c r="P92" s="171">
        <f t="shared" si="8"/>
        <v>1200000</v>
      </c>
    </row>
    <row r="93" ht="18" spans="1:16">
      <c r="A93" s="1">
        <v>91</v>
      </c>
      <c r="B93" s="1" t="s">
        <v>237</v>
      </c>
      <c r="C93" s="1" t="s">
        <v>238</v>
      </c>
      <c r="D93" s="1">
        <v>30060</v>
      </c>
      <c r="E93" s="1">
        <v>14</v>
      </c>
      <c r="F93" s="1">
        <v>4142</v>
      </c>
      <c r="G93" s="1">
        <v>1</v>
      </c>
      <c r="H93" s="1">
        <v>3600000</v>
      </c>
      <c r="I93" s="1">
        <f>H93</f>
        <v>3600000</v>
      </c>
      <c r="J93" s="1">
        <v>0</v>
      </c>
      <c r="K93" s="168">
        <f t="shared" si="7"/>
        <v>3600000</v>
      </c>
      <c r="L93" s="1" t="s">
        <v>239</v>
      </c>
      <c r="M93" s="172"/>
      <c r="N93" s="170">
        <v>0</v>
      </c>
      <c r="O93" s="173">
        <v>0</v>
      </c>
      <c r="P93" s="171">
        <f t="shared" si="8"/>
        <v>3600000</v>
      </c>
    </row>
    <row r="94" ht="18" spans="1:16">
      <c r="A94" s="1">
        <v>92</v>
      </c>
      <c r="B94" s="1" t="s">
        <v>240</v>
      </c>
      <c r="C94" s="1" t="s">
        <v>241</v>
      </c>
      <c r="D94" s="1">
        <v>30061</v>
      </c>
      <c r="E94" s="1">
        <v>14</v>
      </c>
      <c r="F94" s="1">
        <v>4144</v>
      </c>
      <c r="G94" s="1">
        <v>1</v>
      </c>
      <c r="H94" s="1">
        <v>12000000</v>
      </c>
      <c r="I94" s="1">
        <f>H94</f>
        <v>12000000</v>
      </c>
      <c r="J94" s="1">
        <v>0</v>
      </c>
      <c r="K94" s="168">
        <f t="shared" si="7"/>
        <v>12000000</v>
      </c>
      <c r="L94" s="1" t="s">
        <v>242</v>
      </c>
      <c r="M94" s="172"/>
      <c r="N94" s="170">
        <v>0</v>
      </c>
      <c r="O94" s="173">
        <v>0</v>
      </c>
      <c r="P94" s="171">
        <f t="shared" si="8"/>
        <v>12000000</v>
      </c>
    </row>
    <row r="95" ht="18" spans="1:16">
      <c r="A95" s="1">
        <v>93</v>
      </c>
      <c r="B95" s="1" t="s">
        <v>243</v>
      </c>
      <c r="C95" s="1" t="s">
        <v>244</v>
      </c>
      <c r="D95" s="1">
        <v>31062</v>
      </c>
      <c r="E95" s="1">
        <v>15</v>
      </c>
      <c r="F95" s="1">
        <v>4233</v>
      </c>
      <c r="G95" s="1">
        <v>1</v>
      </c>
      <c r="H95" s="1">
        <v>12000000</v>
      </c>
      <c r="I95" s="1">
        <f>H95</f>
        <v>12000000</v>
      </c>
      <c r="J95" s="1">
        <v>0</v>
      </c>
      <c r="K95" s="168">
        <f t="shared" si="7"/>
        <v>12000000</v>
      </c>
      <c r="L95" s="1" t="s">
        <v>245</v>
      </c>
      <c r="M95" s="172"/>
      <c r="N95" s="170">
        <v>0</v>
      </c>
      <c r="O95" s="173">
        <v>0</v>
      </c>
      <c r="P95" s="171">
        <f t="shared" si="8"/>
        <v>12000000</v>
      </c>
    </row>
    <row r="96" ht="18" spans="1:16">
      <c r="A96" s="1">
        <v>94</v>
      </c>
      <c r="B96" s="1" t="s">
        <v>246</v>
      </c>
      <c r="C96" s="1" t="s">
        <v>247</v>
      </c>
      <c r="D96" s="1">
        <v>32063</v>
      </c>
      <c r="E96" s="1">
        <v>16</v>
      </c>
      <c r="F96" s="1">
        <v>3106</v>
      </c>
      <c r="G96" s="1">
        <v>1</v>
      </c>
      <c r="H96" s="1">
        <v>300</v>
      </c>
      <c r="I96" s="1">
        <v>300</v>
      </c>
      <c r="J96" s="1">
        <v>0</v>
      </c>
      <c r="K96" s="168">
        <f t="shared" si="7"/>
        <v>300</v>
      </c>
      <c r="L96" s="1" t="s">
        <v>247</v>
      </c>
      <c r="M96" s="172"/>
      <c r="N96" s="170">
        <v>0</v>
      </c>
      <c r="O96" s="173">
        <v>0</v>
      </c>
      <c r="P96" s="171">
        <f t="shared" si="8"/>
        <v>300</v>
      </c>
    </row>
    <row r="97" ht="18" spans="1:16">
      <c r="A97" s="1">
        <v>95</v>
      </c>
      <c r="B97" s="1" t="s">
        <v>248</v>
      </c>
      <c r="C97" s="1" t="s">
        <v>249</v>
      </c>
      <c r="D97" s="1">
        <v>32064</v>
      </c>
      <c r="E97" s="1">
        <v>16</v>
      </c>
      <c r="F97" s="1">
        <v>3106</v>
      </c>
      <c r="G97" s="1">
        <v>5</v>
      </c>
      <c r="H97" s="1">
        <v>7500</v>
      </c>
      <c r="I97" s="1">
        <v>7500</v>
      </c>
      <c r="J97" s="1">
        <v>0</v>
      </c>
      <c r="K97" s="168">
        <f t="shared" si="7"/>
        <v>7500</v>
      </c>
      <c r="L97" s="1" t="s">
        <v>249</v>
      </c>
      <c r="M97" s="172"/>
      <c r="N97" s="170">
        <v>0</v>
      </c>
      <c r="O97" s="173">
        <v>0</v>
      </c>
      <c r="P97" s="171">
        <f t="shared" si="8"/>
        <v>7500</v>
      </c>
    </row>
    <row r="98" ht="18" spans="1:16">
      <c r="A98" s="1">
        <v>96</v>
      </c>
      <c r="B98" s="1" t="s">
        <v>250</v>
      </c>
      <c r="C98" s="1" t="s">
        <v>251</v>
      </c>
      <c r="D98" s="1">
        <v>32065</v>
      </c>
      <c r="E98" s="1">
        <v>16</v>
      </c>
      <c r="F98" s="1">
        <v>3106</v>
      </c>
      <c r="G98" s="1">
        <v>20</v>
      </c>
      <c r="H98" s="1">
        <v>30000</v>
      </c>
      <c r="I98" s="1">
        <v>30000</v>
      </c>
      <c r="J98" s="1">
        <v>0</v>
      </c>
      <c r="K98" s="168">
        <f t="shared" si="7"/>
        <v>30000</v>
      </c>
      <c r="L98" s="1" t="s">
        <v>251</v>
      </c>
      <c r="M98" s="172"/>
      <c r="N98" s="170">
        <v>0</v>
      </c>
      <c r="O98" s="173">
        <v>0</v>
      </c>
      <c r="P98" s="171">
        <f t="shared" si="8"/>
        <v>30000</v>
      </c>
    </row>
    <row r="99" ht="18" spans="1:16">
      <c r="A99" s="1">
        <v>97</v>
      </c>
      <c r="B99" s="1" t="s">
        <v>252</v>
      </c>
      <c r="C99" s="1" t="s">
        <v>253</v>
      </c>
      <c r="D99" s="1">
        <v>32066</v>
      </c>
      <c r="E99" s="1">
        <v>16</v>
      </c>
      <c r="F99" s="1">
        <v>3106</v>
      </c>
      <c r="G99" s="1">
        <v>50</v>
      </c>
      <c r="H99" s="1">
        <v>100000</v>
      </c>
      <c r="I99" s="1">
        <v>100000</v>
      </c>
      <c r="J99" s="1">
        <v>0</v>
      </c>
      <c r="K99" s="168">
        <f t="shared" si="7"/>
        <v>100000</v>
      </c>
      <c r="L99" s="1" t="s">
        <v>253</v>
      </c>
      <c r="M99" s="172"/>
      <c r="N99" s="170">
        <v>0</v>
      </c>
      <c r="O99" s="173">
        <v>0</v>
      </c>
      <c r="P99" s="171">
        <f t="shared" si="8"/>
        <v>100000</v>
      </c>
    </row>
    <row r="100" ht="18" spans="1:16">
      <c r="A100" s="1">
        <v>98</v>
      </c>
      <c r="B100" s="1" t="s">
        <v>254</v>
      </c>
      <c r="C100" s="1" t="s">
        <v>255</v>
      </c>
      <c r="D100" s="1">
        <v>33074</v>
      </c>
      <c r="E100" s="1">
        <v>17</v>
      </c>
      <c r="F100" s="1">
        <v>0</v>
      </c>
      <c r="G100" s="1">
        <v>2</v>
      </c>
      <c r="H100" s="1">
        <v>4800</v>
      </c>
      <c r="I100" s="1">
        <v>4800</v>
      </c>
      <c r="J100" s="1">
        <v>0</v>
      </c>
      <c r="K100" s="164">
        <v>0</v>
      </c>
      <c r="L100" s="1" t="s">
        <v>256</v>
      </c>
      <c r="M100" s="172"/>
      <c r="N100" s="170">
        <v>0</v>
      </c>
      <c r="O100" s="173">
        <v>0</v>
      </c>
      <c r="P100" s="171">
        <f t="shared" si="8"/>
        <v>0</v>
      </c>
    </row>
    <row r="101" ht="18" spans="1:16">
      <c r="A101" s="1">
        <v>99</v>
      </c>
      <c r="B101" s="1" t="s">
        <v>88</v>
      </c>
      <c r="C101" s="1" t="s">
        <v>89</v>
      </c>
      <c r="D101" s="1">
        <v>33075</v>
      </c>
      <c r="E101" s="1">
        <v>17</v>
      </c>
      <c r="F101" s="1">
        <v>0</v>
      </c>
      <c r="G101" s="1">
        <v>3</v>
      </c>
      <c r="H101" s="1">
        <v>3200</v>
      </c>
      <c r="I101" s="1">
        <v>3200</v>
      </c>
      <c r="J101" s="1">
        <v>0</v>
      </c>
      <c r="K101" s="164">
        <v>0</v>
      </c>
      <c r="L101" s="1" t="s">
        <v>257</v>
      </c>
      <c r="M101" s="172"/>
      <c r="N101" s="170">
        <v>0</v>
      </c>
      <c r="O101" s="173">
        <v>0</v>
      </c>
      <c r="P101" s="171">
        <f t="shared" si="8"/>
        <v>0</v>
      </c>
    </row>
    <row r="102" ht="18" spans="1:16">
      <c r="A102" s="1">
        <v>100</v>
      </c>
      <c r="B102" s="1" t="s">
        <v>258</v>
      </c>
      <c r="C102" s="1" t="s">
        <v>259</v>
      </c>
      <c r="D102" s="1">
        <v>33076</v>
      </c>
      <c r="E102" s="1">
        <v>17</v>
      </c>
      <c r="F102" s="1">
        <v>0</v>
      </c>
      <c r="G102" s="1">
        <v>4</v>
      </c>
      <c r="H102" s="1">
        <v>2400</v>
      </c>
      <c r="I102" s="1">
        <v>2400</v>
      </c>
      <c r="J102" s="1">
        <v>0</v>
      </c>
      <c r="K102" s="164">
        <v>0</v>
      </c>
      <c r="L102" s="1" t="s">
        <v>260</v>
      </c>
      <c r="M102" s="172"/>
      <c r="N102" s="170">
        <v>0</v>
      </c>
      <c r="O102" s="173">
        <v>0</v>
      </c>
      <c r="P102" s="171">
        <f t="shared" si="8"/>
        <v>0</v>
      </c>
    </row>
    <row r="103" ht="18" spans="1:16">
      <c r="A103" s="1">
        <v>101</v>
      </c>
      <c r="B103" s="1" t="s">
        <v>261</v>
      </c>
      <c r="C103" s="1" t="s">
        <v>262</v>
      </c>
      <c r="D103" s="1">
        <v>34077</v>
      </c>
      <c r="E103" s="1">
        <v>18</v>
      </c>
      <c r="F103" s="1">
        <v>0</v>
      </c>
      <c r="G103" s="1">
        <v>1</v>
      </c>
      <c r="H103" s="1">
        <v>2000</v>
      </c>
      <c r="I103" s="1">
        <v>2000</v>
      </c>
      <c r="J103" s="1">
        <v>0</v>
      </c>
      <c r="K103" s="164">
        <v>0</v>
      </c>
      <c r="L103" s="1" t="s">
        <v>263</v>
      </c>
      <c r="M103" s="172"/>
      <c r="N103" s="170">
        <v>0</v>
      </c>
      <c r="O103" s="173">
        <v>0</v>
      </c>
      <c r="P103" s="171">
        <f t="shared" si="8"/>
        <v>0</v>
      </c>
    </row>
    <row r="104" ht="18" spans="1:16">
      <c r="A104" s="1">
        <v>102</v>
      </c>
      <c r="B104" s="1" t="s">
        <v>264</v>
      </c>
      <c r="C104" s="1" t="s">
        <v>265</v>
      </c>
      <c r="D104" s="1">
        <v>35027</v>
      </c>
      <c r="E104" s="1">
        <v>19</v>
      </c>
      <c r="F104" s="1">
        <v>1301</v>
      </c>
      <c r="G104" s="1">
        <v>2</v>
      </c>
      <c r="H104" s="1">
        <f>2000*1.03</f>
        <v>2060</v>
      </c>
      <c r="I104" s="1">
        <f>H104</f>
        <v>2060</v>
      </c>
      <c r="J104" s="1">
        <v>2000</v>
      </c>
      <c r="K104" s="164">
        <f>J104</f>
        <v>2000</v>
      </c>
      <c r="L104" s="1" t="s">
        <v>266</v>
      </c>
      <c r="M104" s="172"/>
      <c r="N104" s="170">
        <v>0</v>
      </c>
      <c r="O104" s="173">
        <v>0</v>
      </c>
      <c r="P104" s="171">
        <f t="shared" si="8"/>
        <v>2000</v>
      </c>
    </row>
    <row r="105" ht="18" spans="1:16">
      <c r="A105" s="1">
        <v>103</v>
      </c>
      <c r="B105" s="1" t="s">
        <v>267</v>
      </c>
      <c r="C105" s="1" t="s">
        <v>268</v>
      </c>
      <c r="D105" s="1">
        <v>35030</v>
      </c>
      <c r="E105" s="1">
        <v>19</v>
      </c>
      <c r="F105" s="1">
        <v>1301</v>
      </c>
      <c r="G105" s="1">
        <v>4</v>
      </c>
      <c r="H105" s="1">
        <f>4000*1.03</f>
        <v>4120</v>
      </c>
      <c r="I105" s="1">
        <f>H105</f>
        <v>4120</v>
      </c>
      <c r="J105" s="1">
        <v>4000</v>
      </c>
      <c r="K105" s="164">
        <f>J105</f>
        <v>4000</v>
      </c>
      <c r="L105" s="1" t="s">
        <v>269</v>
      </c>
      <c r="M105" s="172"/>
      <c r="N105" s="170">
        <v>0</v>
      </c>
      <c r="O105" s="173">
        <v>0</v>
      </c>
      <c r="P105" s="171">
        <f t="shared" si="8"/>
        <v>4000</v>
      </c>
    </row>
    <row r="106" ht="18" spans="1:16">
      <c r="A106" s="1">
        <v>104</v>
      </c>
      <c r="B106" s="1" t="s">
        <v>110</v>
      </c>
      <c r="C106" s="1" t="s">
        <v>111</v>
      </c>
      <c r="D106" s="1">
        <v>35031</v>
      </c>
      <c r="E106" s="1">
        <v>19</v>
      </c>
      <c r="F106" s="1">
        <v>1301</v>
      </c>
      <c r="G106" s="1">
        <v>6</v>
      </c>
      <c r="H106" s="1">
        <f>6000*1.03</f>
        <v>6180</v>
      </c>
      <c r="I106" s="1">
        <f>H106</f>
        <v>6180</v>
      </c>
      <c r="J106" s="1">
        <v>6000</v>
      </c>
      <c r="K106" s="164">
        <f>J106</f>
        <v>6000</v>
      </c>
      <c r="L106" s="1" t="s">
        <v>270</v>
      </c>
      <c r="M106" s="172"/>
      <c r="N106" s="170">
        <v>0</v>
      </c>
      <c r="O106" s="173">
        <v>0</v>
      </c>
      <c r="P106" s="171">
        <f t="shared" si="8"/>
        <v>6000</v>
      </c>
    </row>
    <row r="107" ht="18" spans="1:16">
      <c r="A107" s="1">
        <v>105</v>
      </c>
      <c r="B107" s="1" t="s">
        <v>106</v>
      </c>
      <c r="C107" s="1" t="s">
        <v>271</v>
      </c>
      <c r="D107" s="1">
        <v>35028</v>
      </c>
      <c r="E107" s="1">
        <v>19</v>
      </c>
      <c r="F107" s="1">
        <v>1301</v>
      </c>
      <c r="G107" s="1">
        <v>3</v>
      </c>
      <c r="H107" s="1">
        <f>3000*103%</f>
        <v>3090</v>
      </c>
      <c r="I107" s="1">
        <f>H107</f>
        <v>3090</v>
      </c>
      <c r="J107" s="1">
        <v>3000</v>
      </c>
      <c r="K107" s="164">
        <v>3000</v>
      </c>
      <c r="L107" s="1" t="s">
        <v>272</v>
      </c>
      <c r="M107" s="172"/>
      <c r="N107" s="170">
        <v>0</v>
      </c>
      <c r="O107" s="173">
        <v>0</v>
      </c>
      <c r="P107" s="171">
        <f t="shared" si="8"/>
        <v>3000</v>
      </c>
    </row>
    <row r="108" ht="18" spans="1:16">
      <c r="A108" s="1">
        <v>106</v>
      </c>
      <c r="B108" s="1" t="s">
        <v>110</v>
      </c>
      <c r="C108" s="1" t="s">
        <v>111</v>
      </c>
      <c r="D108" s="1">
        <v>36031</v>
      </c>
      <c r="E108" s="1">
        <v>20</v>
      </c>
      <c r="F108" s="1">
        <v>0</v>
      </c>
      <c r="G108" s="1">
        <v>10</v>
      </c>
      <c r="H108" s="1">
        <v>880</v>
      </c>
      <c r="I108" s="1">
        <v>880</v>
      </c>
      <c r="J108" s="1">
        <v>0</v>
      </c>
      <c r="K108" s="164">
        <v>0</v>
      </c>
      <c r="L108" s="1" t="s">
        <v>273</v>
      </c>
      <c r="M108" s="172"/>
      <c r="N108" s="170">
        <v>0</v>
      </c>
      <c r="O108" s="173">
        <v>0</v>
      </c>
      <c r="P108" s="171">
        <f t="shared" si="8"/>
        <v>0</v>
      </c>
    </row>
    <row r="109" ht="18" spans="1:16">
      <c r="A109" s="1">
        <v>107</v>
      </c>
      <c r="B109" s="1" t="s">
        <v>274</v>
      </c>
      <c r="C109" s="1" t="s">
        <v>275</v>
      </c>
      <c r="D109" s="1">
        <v>36078</v>
      </c>
      <c r="E109" s="1">
        <v>20</v>
      </c>
      <c r="F109" s="1">
        <v>0</v>
      </c>
      <c r="G109" s="1">
        <v>20</v>
      </c>
      <c r="H109" s="1">
        <v>400</v>
      </c>
      <c r="I109" s="1">
        <v>400</v>
      </c>
      <c r="J109" s="1">
        <v>0</v>
      </c>
      <c r="K109" s="164">
        <v>0</v>
      </c>
      <c r="L109" s="1" t="s">
        <v>276</v>
      </c>
      <c r="M109" s="172"/>
      <c r="N109" s="170">
        <v>0</v>
      </c>
      <c r="O109" s="173">
        <v>0</v>
      </c>
      <c r="P109" s="171">
        <f t="shared" si="8"/>
        <v>0</v>
      </c>
    </row>
    <row r="110" ht="18" spans="1:16">
      <c r="A110" s="1">
        <v>108</v>
      </c>
      <c r="B110" s="1" t="s">
        <v>277</v>
      </c>
      <c r="C110" s="1" t="s">
        <v>278</v>
      </c>
      <c r="D110" s="1">
        <v>37083</v>
      </c>
      <c r="E110" s="1">
        <v>21</v>
      </c>
      <c r="F110" s="1" t="s">
        <v>279</v>
      </c>
      <c r="G110" s="1">
        <v>0</v>
      </c>
      <c r="H110" s="1">
        <v>40</v>
      </c>
      <c r="I110" s="1">
        <v>40</v>
      </c>
      <c r="J110" s="1">
        <v>0</v>
      </c>
      <c r="K110" s="164">
        <v>0</v>
      </c>
      <c r="L110" s="1" t="s">
        <v>278</v>
      </c>
      <c r="M110" s="172"/>
      <c r="N110" s="170">
        <v>0</v>
      </c>
      <c r="O110" s="173">
        <v>0</v>
      </c>
      <c r="P110" s="171">
        <f t="shared" si="8"/>
        <v>0</v>
      </c>
    </row>
    <row r="111" ht="18" spans="1:16">
      <c r="A111" s="1">
        <v>109</v>
      </c>
      <c r="B111" s="1" t="s">
        <v>277</v>
      </c>
      <c r="C111" s="1" t="s">
        <v>278</v>
      </c>
      <c r="D111" s="1">
        <v>37084</v>
      </c>
      <c r="E111" s="1">
        <v>21</v>
      </c>
      <c r="F111" s="1" t="s">
        <v>280</v>
      </c>
      <c r="G111" s="1">
        <v>0</v>
      </c>
      <c r="H111" s="1">
        <v>100</v>
      </c>
      <c r="I111" s="1">
        <v>100</v>
      </c>
      <c r="J111" s="1">
        <v>0</v>
      </c>
      <c r="K111" s="164">
        <v>0</v>
      </c>
      <c r="L111" s="1" t="s">
        <v>278</v>
      </c>
      <c r="M111" s="172"/>
      <c r="N111" s="170">
        <v>0</v>
      </c>
      <c r="O111" s="173">
        <v>0</v>
      </c>
      <c r="P111" s="171">
        <f t="shared" si="8"/>
        <v>0</v>
      </c>
    </row>
    <row r="112" ht="18" spans="1:16">
      <c r="A112" s="1">
        <v>110</v>
      </c>
      <c r="B112" s="1" t="s">
        <v>281</v>
      </c>
      <c r="C112" s="1" t="s">
        <v>282</v>
      </c>
      <c r="D112" s="1">
        <v>40099</v>
      </c>
      <c r="E112" s="1">
        <v>22</v>
      </c>
      <c r="F112" s="175">
        <v>48001</v>
      </c>
      <c r="G112" s="1">
        <v>1</v>
      </c>
      <c r="H112" s="1">
        <v>200</v>
      </c>
      <c r="I112" s="1">
        <v>200</v>
      </c>
      <c r="J112" s="1">
        <v>0</v>
      </c>
      <c r="K112" s="164">
        <f t="shared" ref="K112:K116" si="9">H112</f>
        <v>200</v>
      </c>
      <c r="L112" s="1" t="s">
        <v>283</v>
      </c>
      <c r="M112" s="172"/>
      <c r="N112" s="170">
        <v>0</v>
      </c>
      <c r="O112" s="173">
        <v>0</v>
      </c>
      <c r="P112" s="171">
        <f t="shared" si="8"/>
        <v>200</v>
      </c>
    </row>
    <row r="113" ht="18" spans="1:16">
      <c r="A113" s="1">
        <v>111</v>
      </c>
      <c r="B113" s="1" t="s">
        <v>281</v>
      </c>
      <c r="C113" s="1" t="s">
        <v>282</v>
      </c>
      <c r="D113" s="1">
        <v>41099</v>
      </c>
      <c r="E113" s="1">
        <v>22</v>
      </c>
      <c r="F113" s="175">
        <v>48002</v>
      </c>
      <c r="G113" s="1">
        <v>1</v>
      </c>
      <c r="H113" s="1">
        <v>300</v>
      </c>
      <c r="I113" s="1">
        <v>300</v>
      </c>
      <c r="J113" s="1">
        <v>0</v>
      </c>
      <c r="K113" s="164">
        <f t="shared" si="9"/>
        <v>300</v>
      </c>
      <c r="L113" s="1" t="s">
        <v>283</v>
      </c>
      <c r="M113" s="172"/>
      <c r="N113" s="170">
        <v>0</v>
      </c>
      <c r="O113" s="173">
        <v>0</v>
      </c>
      <c r="P113" s="171">
        <f t="shared" si="8"/>
        <v>300</v>
      </c>
    </row>
    <row r="114" ht="18" spans="1:16">
      <c r="A114" s="1">
        <v>112</v>
      </c>
      <c r="B114" s="1" t="s">
        <v>281</v>
      </c>
      <c r="C114" s="1" t="s">
        <v>282</v>
      </c>
      <c r="D114" s="1">
        <v>42099</v>
      </c>
      <c r="E114" s="1">
        <v>22</v>
      </c>
      <c r="F114" s="175">
        <v>48003</v>
      </c>
      <c r="G114" s="1">
        <v>1</v>
      </c>
      <c r="H114" s="1">
        <v>600</v>
      </c>
      <c r="I114" s="1">
        <v>600</v>
      </c>
      <c r="J114" s="1">
        <v>0</v>
      </c>
      <c r="K114" s="164">
        <f t="shared" si="9"/>
        <v>600</v>
      </c>
      <c r="L114" s="1" t="s">
        <v>283</v>
      </c>
      <c r="M114" s="172"/>
      <c r="N114" s="170">
        <v>0</v>
      </c>
      <c r="O114" s="173">
        <v>0</v>
      </c>
      <c r="P114" s="171">
        <f t="shared" si="8"/>
        <v>600</v>
      </c>
    </row>
    <row r="115" ht="18" spans="1:16">
      <c r="A115" s="1">
        <v>113</v>
      </c>
      <c r="B115" s="1" t="s">
        <v>281</v>
      </c>
      <c r="C115" s="1" t="s">
        <v>282</v>
      </c>
      <c r="D115" s="1">
        <v>43099</v>
      </c>
      <c r="E115" s="1">
        <v>22</v>
      </c>
      <c r="F115" s="175">
        <v>48004</v>
      </c>
      <c r="G115" s="1">
        <v>1</v>
      </c>
      <c r="H115" s="1">
        <v>750</v>
      </c>
      <c r="I115" s="1">
        <v>750</v>
      </c>
      <c r="J115" s="1">
        <v>0</v>
      </c>
      <c r="K115" s="164">
        <f t="shared" si="9"/>
        <v>750</v>
      </c>
      <c r="L115" s="1" t="s">
        <v>283</v>
      </c>
      <c r="M115" s="172"/>
      <c r="N115" s="170">
        <v>0</v>
      </c>
      <c r="O115" s="173">
        <v>0</v>
      </c>
      <c r="P115" s="171">
        <f t="shared" si="8"/>
        <v>750</v>
      </c>
    </row>
    <row r="116" ht="18" spans="1:16">
      <c r="A116" s="1">
        <v>114</v>
      </c>
      <c r="B116" s="1" t="s">
        <v>281</v>
      </c>
      <c r="C116" s="1" t="s">
        <v>282</v>
      </c>
      <c r="D116" s="1">
        <v>44099</v>
      </c>
      <c r="E116" s="1">
        <v>22</v>
      </c>
      <c r="F116" s="175">
        <v>48005</v>
      </c>
      <c r="G116" s="1">
        <v>1</v>
      </c>
      <c r="H116" s="1">
        <v>600</v>
      </c>
      <c r="I116" s="1">
        <v>600</v>
      </c>
      <c r="J116" s="1">
        <v>0</v>
      </c>
      <c r="K116" s="164">
        <f t="shared" si="9"/>
        <v>600</v>
      </c>
      <c r="L116" s="1" t="s">
        <v>283</v>
      </c>
      <c r="M116" s="172"/>
      <c r="N116" s="170">
        <v>0</v>
      </c>
      <c r="O116" s="173">
        <v>0</v>
      </c>
      <c r="P116" s="171">
        <f t="shared" si="8"/>
        <v>600</v>
      </c>
    </row>
    <row r="117" ht="18" spans="1:16">
      <c r="A117" s="1">
        <v>115</v>
      </c>
      <c r="B117" s="1" t="s">
        <v>284</v>
      </c>
      <c r="C117" s="161" t="s">
        <v>285</v>
      </c>
      <c r="D117" s="1">
        <v>59114</v>
      </c>
      <c r="E117" s="1">
        <v>27</v>
      </c>
      <c r="F117" s="1">
        <v>0</v>
      </c>
      <c r="G117" s="1">
        <v>0</v>
      </c>
      <c r="H117" s="1">
        <v>100</v>
      </c>
      <c r="I117" s="1">
        <v>6000</v>
      </c>
      <c r="J117" s="1">
        <v>0</v>
      </c>
      <c r="K117" s="164">
        <v>0</v>
      </c>
      <c r="L117" s="1" t="s">
        <v>286</v>
      </c>
      <c r="M117" s="172"/>
      <c r="N117" s="170">
        <v>0</v>
      </c>
      <c r="O117" s="173">
        <v>0</v>
      </c>
      <c r="P117" s="171">
        <f>H117</f>
        <v>100</v>
      </c>
    </row>
    <row r="118" ht="18" spans="1:16">
      <c r="A118" s="1">
        <v>116</v>
      </c>
      <c r="B118" s="1" t="s">
        <v>287</v>
      </c>
      <c r="C118" s="1" t="s">
        <v>288</v>
      </c>
      <c r="D118" s="1">
        <v>60118</v>
      </c>
      <c r="E118" s="1">
        <v>28</v>
      </c>
      <c r="F118" s="1">
        <v>0</v>
      </c>
      <c r="G118" s="1">
        <v>0</v>
      </c>
      <c r="H118" s="1">
        <v>100</v>
      </c>
      <c r="I118" s="1">
        <v>80</v>
      </c>
      <c r="J118" s="1">
        <v>100</v>
      </c>
      <c r="K118" s="164">
        <v>0</v>
      </c>
      <c r="L118" s="1" t="s">
        <v>289</v>
      </c>
      <c r="M118" s="165">
        <v>2701</v>
      </c>
      <c r="N118" s="170">
        <v>0</v>
      </c>
      <c r="O118" s="173">
        <v>0</v>
      </c>
      <c r="P118" s="171">
        <f t="shared" ref="P118:P119" si="10">I118</f>
        <v>80</v>
      </c>
    </row>
    <row r="119" ht="18" spans="1:16">
      <c r="A119" s="1">
        <v>117</v>
      </c>
      <c r="B119" s="1" t="s">
        <v>290</v>
      </c>
      <c r="C119" s="161" t="s">
        <v>291</v>
      </c>
      <c r="D119" s="1">
        <v>65119</v>
      </c>
      <c r="E119" s="1">
        <v>29</v>
      </c>
      <c r="F119" s="1">
        <v>0</v>
      </c>
      <c r="G119" s="1">
        <v>0</v>
      </c>
      <c r="H119" s="1">
        <v>280</v>
      </c>
      <c r="I119" s="1">
        <v>400</v>
      </c>
      <c r="J119" s="1">
        <v>100</v>
      </c>
      <c r="K119" s="1">
        <v>0</v>
      </c>
      <c r="L119" s="1" t="s">
        <v>292</v>
      </c>
      <c r="M119" s="164">
        <v>2801</v>
      </c>
      <c r="N119" s="177">
        <v>0</v>
      </c>
      <c r="O119" s="178">
        <v>0</v>
      </c>
      <c r="P119" s="171">
        <f t="shared" si="10"/>
        <v>400</v>
      </c>
    </row>
    <row r="120" ht="18" spans="1:16">
      <c r="A120" s="1">
        <v>118</v>
      </c>
      <c r="B120" s="1" t="s">
        <v>293</v>
      </c>
      <c r="C120" s="161" t="s">
        <v>294</v>
      </c>
      <c r="D120" s="1">
        <v>70122</v>
      </c>
      <c r="E120" s="1">
        <v>30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 t="s">
        <v>295</v>
      </c>
      <c r="M120" s="179"/>
      <c r="N120" s="177">
        <v>0</v>
      </c>
      <c r="O120" s="178">
        <v>0</v>
      </c>
      <c r="P120" s="171">
        <f t="shared" ref="P120:P132" si="11">K120</f>
        <v>0</v>
      </c>
    </row>
    <row r="121" ht="18" spans="1:16">
      <c r="A121" s="1">
        <v>119</v>
      </c>
      <c r="B121" s="1" t="s">
        <v>296</v>
      </c>
      <c r="C121" s="161" t="s">
        <v>297</v>
      </c>
      <c r="D121" s="1">
        <v>71201</v>
      </c>
      <c r="E121" s="1">
        <v>31</v>
      </c>
      <c r="F121" s="1">
        <v>101</v>
      </c>
      <c r="G121" s="1">
        <f>ROUND(H121*0.8,0)</f>
        <v>123</v>
      </c>
      <c r="H121" s="1">
        <v>154</v>
      </c>
      <c r="I121" s="1">
        <v>154</v>
      </c>
      <c r="J121" s="1">
        <v>0</v>
      </c>
      <c r="K121" s="1">
        <v>154</v>
      </c>
      <c r="L121" s="1" t="s">
        <v>297</v>
      </c>
      <c r="M121" s="179"/>
      <c r="N121" s="177">
        <v>0</v>
      </c>
      <c r="O121" s="178">
        <v>0</v>
      </c>
      <c r="P121" s="171">
        <f t="shared" si="11"/>
        <v>154</v>
      </c>
    </row>
    <row r="122" ht="18" spans="1:16">
      <c r="A122" s="1">
        <v>120</v>
      </c>
      <c r="B122" s="1" t="s">
        <v>298</v>
      </c>
      <c r="C122" s="161" t="s">
        <v>299</v>
      </c>
      <c r="D122" s="1">
        <v>71202</v>
      </c>
      <c r="E122" s="1">
        <v>31</v>
      </c>
      <c r="F122" s="1">
        <v>101</v>
      </c>
      <c r="G122" s="1">
        <f t="shared" ref="G122:G130" si="12">ROUND(H122*0.8,0)</f>
        <v>210</v>
      </c>
      <c r="H122" s="1">
        <v>263</v>
      </c>
      <c r="I122" s="1">
        <v>263</v>
      </c>
      <c r="J122" s="1">
        <v>0</v>
      </c>
      <c r="K122" s="1">
        <v>263</v>
      </c>
      <c r="L122" s="1" t="s">
        <v>299</v>
      </c>
      <c r="M122" s="164"/>
      <c r="N122" s="164">
        <v>0</v>
      </c>
      <c r="O122" s="164">
        <v>0</v>
      </c>
      <c r="P122" s="171">
        <f t="shared" si="11"/>
        <v>263</v>
      </c>
    </row>
    <row r="123" ht="18" spans="1:16">
      <c r="A123" s="1">
        <v>121</v>
      </c>
      <c r="B123" s="1" t="s">
        <v>300</v>
      </c>
      <c r="C123" s="1" t="s">
        <v>301</v>
      </c>
      <c r="D123" s="1">
        <v>71203</v>
      </c>
      <c r="E123" s="1">
        <v>31</v>
      </c>
      <c r="F123" s="1">
        <v>101</v>
      </c>
      <c r="G123" s="1">
        <f t="shared" si="12"/>
        <v>406</v>
      </c>
      <c r="H123" s="1">
        <v>507</v>
      </c>
      <c r="I123" s="1">
        <v>507</v>
      </c>
      <c r="J123" s="1">
        <v>0</v>
      </c>
      <c r="K123" s="1">
        <v>507</v>
      </c>
      <c r="L123" s="1" t="s">
        <v>301</v>
      </c>
      <c r="M123" s="164">
        <v>2901</v>
      </c>
      <c r="N123" s="164">
        <v>0</v>
      </c>
      <c r="O123" s="164">
        <v>0</v>
      </c>
      <c r="P123" s="171">
        <f t="shared" si="11"/>
        <v>507</v>
      </c>
    </row>
    <row r="124" ht="18" spans="1:16">
      <c r="A124" s="1">
        <v>122</v>
      </c>
      <c r="B124" s="1" t="s">
        <v>302</v>
      </c>
      <c r="C124" s="1" t="s">
        <v>303</v>
      </c>
      <c r="D124" s="1">
        <v>73204</v>
      </c>
      <c r="E124" s="1">
        <v>31</v>
      </c>
      <c r="F124" s="1">
        <v>101</v>
      </c>
      <c r="G124" s="1">
        <f t="shared" si="12"/>
        <v>175</v>
      </c>
      <c r="H124" s="1">
        <v>219</v>
      </c>
      <c r="I124" s="1">
        <v>219</v>
      </c>
      <c r="J124" s="1">
        <v>0</v>
      </c>
      <c r="K124" s="1">
        <v>219</v>
      </c>
      <c r="L124" s="1" t="s">
        <v>303</v>
      </c>
      <c r="M124" s="164"/>
      <c r="N124" s="164">
        <v>0</v>
      </c>
      <c r="O124" s="164">
        <v>0</v>
      </c>
      <c r="P124" s="171">
        <f t="shared" si="11"/>
        <v>219</v>
      </c>
    </row>
    <row r="125" ht="18" spans="1:16">
      <c r="A125" s="1">
        <v>123</v>
      </c>
      <c r="B125" s="1" t="s">
        <v>304</v>
      </c>
      <c r="C125" s="1" t="s">
        <v>305</v>
      </c>
      <c r="D125" s="1">
        <v>73205</v>
      </c>
      <c r="E125" s="1">
        <v>31</v>
      </c>
      <c r="F125" s="1">
        <v>101</v>
      </c>
      <c r="G125" s="1">
        <f t="shared" si="12"/>
        <v>300</v>
      </c>
      <c r="H125" s="1">
        <v>375</v>
      </c>
      <c r="I125" s="1">
        <v>375</v>
      </c>
      <c r="J125" s="1">
        <v>0</v>
      </c>
      <c r="K125" s="1">
        <v>375</v>
      </c>
      <c r="L125" s="1" t="s">
        <v>305</v>
      </c>
      <c r="M125" s="164"/>
      <c r="N125" s="164">
        <v>0</v>
      </c>
      <c r="O125" s="164">
        <v>0</v>
      </c>
      <c r="P125" s="171">
        <f t="shared" si="11"/>
        <v>375</v>
      </c>
    </row>
    <row r="126" ht="18" spans="1:16">
      <c r="A126" s="1">
        <v>124</v>
      </c>
      <c r="B126" s="1" t="s">
        <v>306</v>
      </c>
      <c r="C126" s="1" t="s">
        <v>307</v>
      </c>
      <c r="D126" s="1">
        <v>73206</v>
      </c>
      <c r="E126" s="1">
        <v>31</v>
      </c>
      <c r="F126" s="1">
        <v>101</v>
      </c>
      <c r="G126" s="1">
        <f t="shared" si="12"/>
        <v>380</v>
      </c>
      <c r="H126" s="1">
        <v>475</v>
      </c>
      <c r="I126" s="1">
        <v>475</v>
      </c>
      <c r="J126" s="1">
        <v>0</v>
      </c>
      <c r="K126" s="1">
        <v>475</v>
      </c>
      <c r="L126" s="1" t="s">
        <v>307</v>
      </c>
      <c r="M126" s="164"/>
      <c r="N126" s="164">
        <v>0</v>
      </c>
      <c r="O126" s="164">
        <v>0</v>
      </c>
      <c r="P126" s="171">
        <f t="shared" si="11"/>
        <v>475</v>
      </c>
    </row>
    <row r="127" ht="18" spans="1:16">
      <c r="A127" s="1">
        <v>125</v>
      </c>
      <c r="B127" s="1" t="s">
        <v>308</v>
      </c>
      <c r="C127" s="1" t="s">
        <v>309</v>
      </c>
      <c r="D127" s="1">
        <v>74207</v>
      </c>
      <c r="E127" s="1">
        <v>31</v>
      </c>
      <c r="F127" s="1">
        <v>101</v>
      </c>
      <c r="G127" s="1">
        <f t="shared" si="12"/>
        <v>486</v>
      </c>
      <c r="H127" s="1">
        <v>608</v>
      </c>
      <c r="I127" s="1">
        <v>608</v>
      </c>
      <c r="J127" s="1">
        <v>0</v>
      </c>
      <c r="K127" s="1">
        <v>608</v>
      </c>
      <c r="L127" s="1" t="s">
        <v>310</v>
      </c>
      <c r="M127" s="164">
        <v>3001</v>
      </c>
      <c r="N127" s="164">
        <v>0</v>
      </c>
      <c r="O127" s="164">
        <v>0</v>
      </c>
      <c r="P127" s="171">
        <f t="shared" si="11"/>
        <v>608</v>
      </c>
    </row>
    <row r="128" ht="18" spans="1:16">
      <c r="A128" s="1">
        <v>126</v>
      </c>
      <c r="B128" s="1" t="s">
        <v>311</v>
      </c>
      <c r="C128" s="1" t="s">
        <v>312</v>
      </c>
      <c r="D128" s="1">
        <v>74215</v>
      </c>
      <c r="E128" s="1">
        <v>31</v>
      </c>
      <c r="F128" s="1">
        <v>101</v>
      </c>
      <c r="G128" s="1">
        <f t="shared" si="12"/>
        <v>320</v>
      </c>
      <c r="H128" s="1">
        <v>400</v>
      </c>
      <c r="I128" s="1">
        <v>400</v>
      </c>
      <c r="J128" s="1">
        <v>0</v>
      </c>
      <c r="K128" s="164">
        <v>400</v>
      </c>
      <c r="L128" s="161" t="s">
        <v>313</v>
      </c>
      <c r="M128" s="180"/>
      <c r="N128" s="164">
        <v>0</v>
      </c>
      <c r="O128" s="164">
        <v>0</v>
      </c>
      <c r="P128" s="171">
        <f t="shared" si="11"/>
        <v>400</v>
      </c>
    </row>
    <row r="129" ht="18" spans="1:16">
      <c r="A129" s="1">
        <v>127</v>
      </c>
      <c r="B129" s="1" t="s">
        <v>314</v>
      </c>
      <c r="C129" s="1" t="s">
        <v>315</v>
      </c>
      <c r="D129" s="1">
        <v>75208</v>
      </c>
      <c r="E129" s="1">
        <v>31</v>
      </c>
      <c r="F129" s="1">
        <v>101</v>
      </c>
      <c r="G129" s="1">
        <f t="shared" si="12"/>
        <v>400</v>
      </c>
      <c r="H129" s="1">
        <v>500</v>
      </c>
      <c r="I129" s="1">
        <v>500</v>
      </c>
      <c r="J129" s="1">
        <v>0</v>
      </c>
      <c r="K129" s="164">
        <v>500</v>
      </c>
      <c r="L129" s="1" t="s">
        <v>315</v>
      </c>
      <c r="M129" s="165"/>
      <c r="N129" s="165">
        <v>0</v>
      </c>
      <c r="O129" s="165">
        <v>0</v>
      </c>
      <c r="P129" s="171">
        <f t="shared" si="11"/>
        <v>500</v>
      </c>
    </row>
    <row r="130" ht="18" spans="1:16">
      <c r="A130" s="1">
        <v>128</v>
      </c>
      <c r="B130" s="1" t="s">
        <v>316</v>
      </c>
      <c r="C130" s="1" t="s">
        <v>317</v>
      </c>
      <c r="D130" s="1">
        <v>75216</v>
      </c>
      <c r="E130" s="1">
        <v>31</v>
      </c>
      <c r="F130" s="1">
        <v>101</v>
      </c>
      <c r="G130" s="1">
        <f t="shared" si="12"/>
        <v>576</v>
      </c>
      <c r="H130" s="1">
        <v>720</v>
      </c>
      <c r="I130" s="1">
        <v>720</v>
      </c>
      <c r="J130" s="1">
        <v>0</v>
      </c>
      <c r="K130" s="164">
        <v>720</v>
      </c>
      <c r="L130" s="1" t="s">
        <v>317</v>
      </c>
      <c r="M130" s="164">
        <v>3101</v>
      </c>
      <c r="N130" s="165">
        <v>0</v>
      </c>
      <c r="O130" s="165">
        <v>0</v>
      </c>
      <c r="P130" s="171">
        <f t="shared" si="11"/>
        <v>720</v>
      </c>
    </row>
    <row r="131" ht="18" spans="1:16">
      <c r="A131" s="1">
        <v>129</v>
      </c>
      <c r="B131" s="1" t="s">
        <v>318</v>
      </c>
      <c r="C131" s="1" t="s">
        <v>319</v>
      </c>
      <c r="D131" s="1">
        <v>75209</v>
      </c>
      <c r="E131" s="1">
        <v>38</v>
      </c>
      <c r="F131" s="1">
        <v>0</v>
      </c>
      <c r="G131" s="1">
        <v>0</v>
      </c>
      <c r="H131" s="1">
        <v>60</v>
      </c>
      <c r="I131" s="1">
        <v>60</v>
      </c>
      <c r="J131" s="1">
        <v>0</v>
      </c>
      <c r="K131" s="164">
        <v>60</v>
      </c>
      <c r="L131" s="161" t="s">
        <v>319</v>
      </c>
      <c r="M131" s="164"/>
      <c r="N131" s="165">
        <v>0</v>
      </c>
      <c r="O131" s="165">
        <v>0</v>
      </c>
      <c r="P131" s="171">
        <f t="shared" si="11"/>
        <v>60</v>
      </c>
    </row>
    <row r="132" ht="18" spans="1:16">
      <c r="A132" s="1">
        <v>130</v>
      </c>
      <c r="B132" s="1" t="s">
        <v>320</v>
      </c>
      <c r="C132" s="1" t="s">
        <v>321</v>
      </c>
      <c r="D132" s="1">
        <v>75210</v>
      </c>
      <c r="E132" s="1">
        <v>38</v>
      </c>
      <c r="F132" s="1">
        <v>0</v>
      </c>
      <c r="G132" s="1">
        <v>0</v>
      </c>
      <c r="H132" s="1">
        <v>150</v>
      </c>
      <c r="I132" s="1">
        <v>150</v>
      </c>
      <c r="J132" s="1">
        <v>0</v>
      </c>
      <c r="K132" s="164">
        <v>150</v>
      </c>
      <c r="L132" s="161" t="s">
        <v>321</v>
      </c>
      <c r="M132" s="164"/>
      <c r="N132" s="165">
        <v>0</v>
      </c>
      <c r="O132" s="165">
        <v>0</v>
      </c>
      <c r="P132" s="171">
        <f t="shared" si="11"/>
        <v>150</v>
      </c>
    </row>
    <row r="133" ht="18" spans="1:16">
      <c r="A133" s="1">
        <v>131</v>
      </c>
      <c r="B133" s="1" t="s">
        <v>322</v>
      </c>
      <c r="C133" s="1" t="s">
        <v>323</v>
      </c>
      <c r="D133" s="1">
        <v>76217</v>
      </c>
      <c r="E133" s="1">
        <v>32</v>
      </c>
      <c r="F133" s="1">
        <v>101</v>
      </c>
      <c r="G133" s="1">
        <v>60</v>
      </c>
      <c r="H133" s="1">
        <v>60</v>
      </c>
      <c r="I133" s="1">
        <v>60</v>
      </c>
      <c r="J133" s="1">
        <v>0</v>
      </c>
      <c r="K133" s="164">
        <v>0</v>
      </c>
      <c r="L133" s="161" t="s">
        <v>323</v>
      </c>
      <c r="M133" s="164"/>
      <c r="N133" s="170">
        <v>0</v>
      </c>
      <c r="O133" s="173">
        <v>0</v>
      </c>
      <c r="P133" s="171">
        <f t="shared" ref="P133:P146" si="13">I133</f>
        <v>60</v>
      </c>
    </row>
    <row r="134" ht="18" spans="1:16">
      <c r="A134" s="1">
        <v>132</v>
      </c>
      <c r="B134" s="1" t="s">
        <v>324</v>
      </c>
      <c r="C134" s="161" t="s">
        <v>325</v>
      </c>
      <c r="D134" s="1">
        <v>76218</v>
      </c>
      <c r="E134" s="1">
        <v>32</v>
      </c>
      <c r="F134" s="1">
        <v>101</v>
      </c>
      <c r="G134" s="1">
        <v>75</v>
      </c>
      <c r="H134" s="1">
        <v>75</v>
      </c>
      <c r="I134" s="1">
        <v>75</v>
      </c>
      <c r="J134" s="1">
        <v>0</v>
      </c>
      <c r="K134" s="164">
        <v>0</v>
      </c>
      <c r="L134" s="1" t="s">
        <v>325</v>
      </c>
      <c r="M134" s="164"/>
      <c r="N134" s="170">
        <v>0</v>
      </c>
      <c r="O134" s="173">
        <v>0</v>
      </c>
      <c r="P134" s="171">
        <f t="shared" si="13"/>
        <v>75</v>
      </c>
    </row>
    <row r="135" ht="18" spans="1:16">
      <c r="A135" s="1">
        <v>133</v>
      </c>
      <c r="B135" s="1" t="s">
        <v>326</v>
      </c>
      <c r="C135" s="161" t="s">
        <v>327</v>
      </c>
      <c r="D135" s="1">
        <v>76219</v>
      </c>
      <c r="E135" s="1">
        <v>32</v>
      </c>
      <c r="F135" s="1">
        <v>101</v>
      </c>
      <c r="G135" s="1">
        <v>100</v>
      </c>
      <c r="H135" s="1">
        <v>100</v>
      </c>
      <c r="I135" s="1">
        <v>100</v>
      </c>
      <c r="J135" s="1">
        <v>0</v>
      </c>
      <c r="K135" s="164">
        <v>0</v>
      </c>
      <c r="L135" s="1" t="s">
        <v>327</v>
      </c>
      <c r="M135" s="164"/>
      <c r="N135" s="170">
        <v>0</v>
      </c>
      <c r="O135" s="173">
        <v>0</v>
      </c>
      <c r="P135" s="171">
        <f t="shared" si="13"/>
        <v>100</v>
      </c>
    </row>
    <row r="136" ht="18" spans="1:16">
      <c r="A136" s="1">
        <v>134</v>
      </c>
      <c r="B136" s="1" t="s">
        <v>328</v>
      </c>
      <c r="C136" s="161" t="s">
        <v>329</v>
      </c>
      <c r="D136" s="1">
        <v>76220</v>
      </c>
      <c r="E136" s="1">
        <v>32</v>
      </c>
      <c r="F136" s="1">
        <v>101</v>
      </c>
      <c r="G136" s="1">
        <v>80</v>
      </c>
      <c r="H136" s="1">
        <v>80</v>
      </c>
      <c r="I136" s="1">
        <v>80</v>
      </c>
      <c r="J136" s="1">
        <v>0</v>
      </c>
      <c r="K136" s="164">
        <v>0</v>
      </c>
      <c r="L136" s="161" t="s">
        <v>329</v>
      </c>
      <c r="M136" s="164"/>
      <c r="N136" s="170">
        <v>0</v>
      </c>
      <c r="O136" s="173">
        <v>0</v>
      </c>
      <c r="P136" s="171">
        <f t="shared" si="13"/>
        <v>80</v>
      </c>
    </row>
    <row r="137" ht="18" spans="1:16">
      <c r="A137" s="1">
        <v>135</v>
      </c>
      <c r="B137" s="1" t="s">
        <v>330</v>
      </c>
      <c r="C137" s="161" t="s">
        <v>331</v>
      </c>
      <c r="D137" s="1">
        <v>76221</v>
      </c>
      <c r="E137" s="1">
        <v>32</v>
      </c>
      <c r="F137" s="1">
        <v>101</v>
      </c>
      <c r="G137" s="1">
        <v>120</v>
      </c>
      <c r="H137" s="1">
        <v>120</v>
      </c>
      <c r="I137" s="1">
        <v>120</v>
      </c>
      <c r="J137" s="1">
        <v>0</v>
      </c>
      <c r="K137" s="164">
        <v>0</v>
      </c>
      <c r="L137" s="1" t="s">
        <v>331</v>
      </c>
      <c r="M137" s="164"/>
      <c r="N137" s="170">
        <v>0</v>
      </c>
      <c r="O137" s="173">
        <v>0</v>
      </c>
      <c r="P137" s="171">
        <f t="shared" si="13"/>
        <v>120</v>
      </c>
    </row>
    <row r="138" ht="18" spans="1:16">
      <c r="A138" s="1">
        <v>136</v>
      </c>
      <c r="B138" s="1" t="s">
        <v>332</v>
      </c>
      <c r="C138" s="161" t="s">
        <v>333</v>
      </c>
      <c r="D138" s="1">
        <v>76222</v>
      </c>
      <c r="E138" s="1">
        <v>32</v>
      </c>
      <c r="F138" s="1">
        <v>101</v>
      </c>
      <c r="G138" s="1">
        <v>120</v>
      </c>
      <c r="H138" s="1">
        <v>120</v>
      </c>
      <c r="I138" s="1">
        <v>120</v>
      </c>
      <c r="J138" s="1">
        <v>0</v>
      </c>
      <c r="K138" s="164">
        <v>0</v>
      </c>
      <c r="L138" s="1" t="s">
        <v>333</v>
      </c>
      <c r="M138" s="164"/>
      <c r="N138" s="170">
        <v>0</v>
      </c>
      <c r="O138" s="173">
        <v>0</v>
      </c>
      <c r="P138" s="171">
        <f t="shared" si="13"/>
        <v>120</v>
      </c>
    </row>
    <row r="139" ht="18" spans="1:16">
      <c r="A139" s="1">
        <v>137</v>
      </c>
      <c r="B139" s="1" t="s">
        <v>334</v>
      </c>
      <c r="C139" s="161" t="s">
        <v>335</v>
      </c>
      <c r="D139" s="1">
        <v>76223</v>
      </c>
      <c r="E139" s="1">
        <v>32</v>
      </c>
      <c r="F139" s="1">
        <v>101</v>
      </c>
      <c r="G139" s="1">
        <v>90</v>
      </c>
      <c r="H139" s="1">
        <v>90</v>
      </c>
      <c r="I139" s="1">
        <v>90</v>
      </c>
      <c r="J139" s="1">
        <v>0</v>
      </c>
      <c r="K139" s="164">
        <v>0</v>
      </c>
      <c r="L139" s="1" t="s">
        <v>335</v>
      </c>
      <c r="M139" s="164"/>
      <c r="N139" s="170">
        <v>0</v>
      </c>
      <c r="O139" s="173">
        <v>0</v>
      </c>
      <c r="P139" s="171">
        <f t="shared" si="13"/>
        <v>90</v>
      </c>
    </row>
    <row r="140" ht="18" spans="1:16">
      <c r="A140" s="1">
        <v>138</v>
      </c>
      <c r="B140" s="1" t="s">
        <v>336</v>
      </c>
      <c r="C140" s="161" t="s">
        <v>337</v>
      </c>
      <c r="D140" s="1">
        <v>76224</v>
      </c>
      <c r="E140" s="1">
        <v>32</v>
      </c>
      <c r="F140" s="1">
        <v>101</v>
      </c>
      <c r="G140" s="1">
        <v>160</v>
      </c>
      <c r="H140" s="1">
        <v>160</v>
      </c>
      <c r="I140" s="1">
        <v>160</v>
      </c>
      <c r="J140" s="1">
        <v>0</v>
      </c>
      <c r="K140" s="164">
        <v>0</v>
      </c>
      <c r="L140" s="1" t="s">
        <v>337</v>
      </c>
      <c r="M140" s="164"/>
      <c r="N140" s="170">
        <v>0</v>
      </c>
      <c r="O140" s="173">
        <v>0</v>
      </c>
      <c r="P140" s="171">
        <f t="shared" si="13"/>
        <v>160</v>
      </c>
    </row>
    <row r="141" ht="18" spans="1:16">
      <c r="A141" s="1">
        <v>139</v>
      </c>
      <c r="B141" s="1" t="s">
        <v>338</v>
      </c>
      <c r="C141" s="161" t="s">
        <v>339</v>
      </c>
      <c r="D141" s="1">
        <v>76225</v>
      </c>
      <c r="E141" s="1">
        <v>32</v>
      </c>
      <c r="F141" s="1">
        <v>101</v>
      </c>
      <c r="G141" s="1">
        <v>200</v>
      </c>
      <c r="H141" s="1">
        <v>200</v>
      </c>
      <c r="I141" s="1">
        <v>200</v>
      </c>
      <c r="J141" s="1">
        <v>0</v>
      </c>
      <c r="K141" s="164">
        <v>0</v>
      </c>
      <c r="L141" s="1" t="s">
        <v>339</v>
      </c>
      <c r="M141" s="164"/>
      <c r="N141" s="170">
        <v>0</v>
      </c>
      <c r="O141" s="173">
        <v>0</v>
      </c>
      <c r="P141" s="171">
        <f t="shared" si="13"/>
        <v>200</v>
      </c>
    </row>
    <row r="142" ht="18" spans="1:16">
      <c r="A142" s="1">
        <v>140</v>
      </c>
      <c r="B142" s="1" t="s">
        <v>340</v>
      </c>
      <c r="C142" s="161" t="s">
        <v>341</v>
      </c>
      <c r="D142" s="1">
        <v>76226</v>
      </c>
      <c r="E142" s="1">
        <v>32</v>
      </c>
      <c r="F142" s="1">
        <v>101</v>
      </c>
      <c r="G142" s="1">
        <v>240</v>
      </c>
      <c r="H142" s="1">
        <v>240</v>
      </c>
      <c r="I142" s="1">
        <v>240</v>
      </c>
      <c r="J142" s="1">
        <v>0</v>
      </c>
      <c r="K142" s="164">
        <v>0</v>
      </c>
      <c r="L142" s="1" t="s">
        <v>341</v>
      </c>
      <c r="M142" s="164"/>
      <c r="N142" s="170">
        <v>0</v>
      </c>
      <c r="O142" s="173">
        <v>0</v>
      </c>
      <c r="P142" s="171">
        <f t="shared" si="13"/>
        <v>240</v>
      </c>
    </row>
    <row r="143" ht="18" spans="1:16">
      <c r="A143" s="1">
        <v>141</v>
      </c>
      <c r="B143" s="1" t="s">
        <v>342</v>
      </c>
      <c r="C143" s="161" t="s">
        <v>343</v>
      </c>
      <c r="D143" s="1">
        <v>76227</v>
      </c>
      <c r="E143" s="1">
        <v>32</v>
      </c>
      <c r="F143" s="1">
        <v>101</v>
      </c>
      <c r="G143" s="1">
        <v>320</v>
      </c>
      <c r="H143" s="1">
        <v>320</v>
      </c>
      <c r="I143" s="1">
        <v>320</v>
      </c>
      <c r="J143" s="1">
        <v>0</v>
      </c>
      <c r="K143" s="164">
        <v>0</v>
      </c>
      <c r="L143" s="1" t="s">
        <v>343</v>
      </c>
      <c r="M143" s="164"/>
      <c r="N143" s="170">
        <v>0</v>
      </c>
      <c r="O143" s="173">
        <v>0</v>
      </c>
      <c r="P143" s="171">
        <f t="shared" si="13"/>
        <v>320</v>
      </c>
    </row>
    <row r="144" ht="18" spans="1:16">
      <c r="A144" s="1">
        <v>142</v>
      </c>
      <c r="B144" s="1" t="s">
        <v>344</v>
      </c>
      <c r="C144" s="161" t="s">
        <v>345</v>
      </c>
      <c r="D144" s="1">
        <v>77228</v>
      </c>
      <c r="E144" s="1">
        <v>33</v>
      </c>
      <c r="F144" s="1">
        <v>101</v>
      </c>
      <c r="G144" s="1">
        <v>198</v>
      </c>
      <c r="H144" s="1">
        <v>198</v>
      </c>
      <c r="I144" s="1">
        <v>198</v>
      </c>
      <c r="J144" s="1">
        <v>0</v>
      </c>
      <c r="K144" s="164">
        <v>0</v>
      </c>
      <c r="L144" s="1" t="s">
        <v>345</v>
      </c>
      <c r="M144" s="164">
        <v>3201</v>
      </c>
      <c r="N144" s="170">
        <v>0</v>
      </c>
      <c r="O144" s="173">
        <v>0</v>
      </c>
      <c r="P144" s="171">
        <f t="shared" si="13"/>
        <v>198</v>
      </c>
    </row>
    <row r="145" ht="18" spans="1:16">
      <c r="A145" s="1">
        <v>143</v>
      </c>
      <c r="B145" s="1" t="s">
        <v>346</v>
      </c>
      <c r="C145" s="161" t="s">
        <v>347</v>
      </c>
      <c r="D145" s="1">
        <v>78229</v>
      </c>
      <c r="E145" s="1">
        <v>34</v>
      </c>
      <c r="F145" s="1">
        <v>101</v>
      </c>
      <c r="G145" s="1">
        <v>504</v>
      </c>
      <c r="H145" s="1">
        <v>504</v>
      </c>
      <c r="I145" s="1">
        <v>504</v>
      </c>
      <c r="J145" s="1">
        <v>0</v>
      </c>
      <c r="K145" s="164">
        <v>0</v>
      </c>
      <c r="L145" s="1" t="s">
        <v>347</v>
      </c>
      <c r="M145" s="164">
        <v>3301</v>
      </c>
      <c r="N145" s="170">
        <v>0</v>
      </c>
      <c r="O145" s="173">
        <v>0</v>
      </c>
      <c r="P145" s="171">
        <f t="shared" si="13"/>
        <v>504</v>
      </c>
    </row>
    <row r="146" ht="18" spans="1:16">
      <c r="A146" s="1">
        <v>144</v>
      </c>
      <c r="B146" s="1" t="s">
        <v>348</v>
      </c>
      <c r="C146" s="161" t="s">
        <v>349</v>
      </c>
      <c r="D146" s="1">
        <v>79230</v>
      </c>
      <c r="E146" s="1">
        <v>35</v>
      </c>
      <c r="F146" s="1">
        <v>101</v>
      </c>
      <c r="G146" s="1">
        <v>315</v>
      </c>
      <c r="H146" s="1">
        <v>315</v>
      </c>
      <c r="I146" s="1">
        <v>315</v>
      </c>
      <c r="J146" s="1">
        <v>0</v>
      </c>
      <c r="K146" s="1">
        <v>0</v>
      </c>
      <c r="L146" s="1" t="s">
        <v>349</v>
      </c>
      <c r="M146" s="164">
        <v>3401</v>
      </c>
      <c r="N146" s="177">
        <v>0</v>
      </c>
      <c r="O146" s="178">
        <v>0</v>
      </c>
      <c r="P146" s="171">
        <f t="shared" si="13"/>
        <v>315</v>
      </c>
    </row>
    <row r="147" ht="18" spans="1:16">
      <c r="A147" s="1">
        <v>145</v>
      </c>
      <c r="B147" s="1" t="s">
        <v>350</v>
      </c>
      <c r="C147" s="1" t="s">
        <v>351</v>
      </c>
      <c r="D147" s="1">
        <v>11018</v>
      </c>
      <c r="E147" s="1">
        <v>36</v>
      </c>
      <c r="F147" s="1">
        <v>101</v>
      </c>
      <c r="G147" s="1">
        <v>60</v>
      </c>
      <c r="H147" s="1">
        <v>60</v>
      </c>
      <c r="I147" s="1">
        <v>60</v>
      </c>
      <c r="J147" s="1">
        <v>0</v>
      </c>
      <c r="K147" s="1">
        <v>410</v>
      </c>
      <c r="L147" s="1" t="s">
        <v>351</v>
      </c>
      <c r="M147" s="179"/>
      <c r="N147" s="177">
        <v>100</v>
      </c>
      <c r="O147" s="178">
        <v>1000</v>
      </c>
      <c r="P147" s="171">
        <f t="shared" ref="P147:P154" si="14">K147</f>
        <v>410</v>
      </c>
    </row>
    <row r="148" ht="18" spans="1:16">
      <c r="A148" s="1">
        <v>146</v>
      </c>
      <c r="B148" s="1" t="s">
        <v>352</v>
      </c>
      <c r="C148" s="1" t="s">
        <v>353</v>
      </c>
      <c r="D148" s="1">
        <v>11092</v>
      </c>
      <c r="E148" s="1">
        <v>36</v>
      </c>
      <c r="F148" s="1">
        <v>101</v>
      </c>
      <c r="G148" s="1">
        <v>120</v>
      </c>
      <c r="H148" s="1">
        <v>120</v>
      </c>
      <c r="I148" s="1">
        <v>120</v>
      </c>
      <c r="J148" s="1">
        <v>0</v>
      </c>
      <c r="K148" s="1">
        <v>461</v>
      </c>
      <c r="L148" s="1" t="s">
        <v>353</v>
      </c>
      <c r="M148" s="179"/>
      <c r="N148" s="177">
        <v>100</v>
      </c>
      <c r="O148" s="178">
        <v>1100</v>
      </c>
      <c r="P148" s="171">
        <f t="shared" si="14"/>
        <v>461</v>
      </c>
    </row>
    <row r="149" ht="18" spans="1:16">
      <c r="A149" s="1">
        <v>147</v>
      </c>
      <c r="B149" s="1" t="s">
        <v>354</v>
      </c>
      <c r="C149" s="1" t="s">
        <v>355</v>
      </c>
      <c r="D149" s="1">
        <v>11021</v>
      </c>
      <c r="E149" s="1">
        <v>36</v>
      </c>
      <c r="F149" s="1">
        <v>101</v>
      </c>
      <c r="G149" s="1">
        <v>100</v>
      </c>
      <c r="H149" s="1">
        <v>100</v>
      </c>
      <c r="I149" s="1">
        <v>100</v>
      </c>
      <c r="J149" s="1">
        <v>0</v>
      </c>
      <c r="K149" s="1">
        <v>615</v>
      </c>
      <c r="L149" s="1" t="s">
        <v>355</v>
      </c>
      <c r="M149" s="179"/>
      <c r="N149" s="177">
        <v>100</v>
      </c>
      <c r="O149" s="178">
        <v>1500</v>
      </c>
      <c r="P149" s="171">
        <f t="shared" si="14"/>
        <v>615</v>
      </c>
    </row>
    <row r="150" ht="18" spans="1:16">
      <c r="A150" s="1">
        <v>148</v>
      </c>
      <c r="B150" s="1" t="s">
        <v>356</v>
      </c>
      <c r="C150" s="1" t="s">
        <v>357</v>
      </c>
      <c r="D150" s="1">
        <v>11026</v>
      </c>
      <c r="E150" s="1">
        <v>36</v>
      </c>
      <c r="F150" s="1">
        <v>101</v>
      </c>
      <c r="G150" s="1">
        <v>160</v>
      </c>
      <c r="H150" s="1">
        <v>160</v>
      </c>
      <c r="I150" s="1">
        <v>160</v>
      </c>
      <c r="J150" s="1">
        <v>0</v>
      </c>
      <c r="K150" s="1">
        <v>1640</v>
      </c>
      <c r="L150" s="1" t="s">
        <v>357</v>
      </c>
      <c r="M150" s="179"/>
      <c r="N150" s="177">
        <v>100</v>
      </c>
      <c r="O150" s="178">
        <v>4000</v>
      </c>
      <c r="P150" s="171">
        <f t="shared" si="14"/>
        <v>1640</v>
      </c>
    </row>
    <row r="151" ht="18" spans="1:16">
      <c r="A151" s="1">
        <v>149</v>
      </c>
      <c r="B151" s="1" t="s">
        <v>358</v>
      </c>
      <c r="C151" s="160" t="s">
        <v>359</v>
      </c>
      <c r="D151" s="1">
        <v>11027</v>
      </c>
      <c r="E151" s="1">
        <v>36</v>
      </c>
      <c r="F151" s="1">
        <v>101</v>
      </c>
      <c r="G151" s="1">
        <v>200</v>
      </c>
      <c r="H151" s="1">
        <v>200</v>
      </c>
      <c r="I151" s="1">
        <v>200</v>
      </c>
      <c r="J151" s="1">
        <v>0</v>
      </c>
      <c r="K151" s="1">
        <v>200</v>
      </c>
      <c r="L151" s="160" t="s">
        <v>359</v>
      </c>
      <c r="M151" s="164"/>
      <c r="N151" s="164">
        <f>K151*0.1</f>
        <v>20</v>
      </c>
      <c r="O151" s="164">
        <v>10000</v>
      </c>
      <c r="P151" s="171">
        <f t="shared" si="14"/>
        <v>200</v>
      </c>
    </row>
    <row r="152" ht="18" spans="1:16">
      <c r="A152" s="1">
        <v>150</v>
      </c>
      <c r="B152" s="1" t="s">
        <v>360</v>
      </c>
      <c r="C152" s="161" t="s">
        <v>361</v>
      </c>
      <c r="D152" s="1">
        <v>11214</v>
      </c>
      <c r="E152" s="1">
        <v>36</v>
      </c>
      <c r="F152" s="1">
        <v>101</v>
      </c>
      <c r="G152" s="1">
        <v>80</v>
      </c>
      <c r="H152" s="1">
        <v>80</v>
      </c>
      <c r="I152" s="1">
        <v>80</v>
      </c>
      <c r="J152" s="1">
        <v>0</v>
      </c>
      <c r="K152" s="1">
        <v>80</v>
      </c>
      <c r="L152" s="1" t="s">
        <v>361</v>
      </c>
      <c r="M152" s="164"/>
      <c r="N152" s="164">
        <f>K152*0.1</f>
        <v>8</v>
      </c>
      <c r="O152" s="164">
        <v>10000</v>
      </c>
      <c r="P152" s="171">
        <f t="shared" si="14"/>
        <v>80</v>
      </c>
    </row>
    <row r="153" ht="18" spans="1:16">
      <c r="A153" s="1">
        <v>151</v>
      </c>
      <c r="B153" s="1" t="s">
        <v>360</v>
      </c>
      <c r="C153" s="161" t="s">
        <v>362</v>
      </c>
      <c r="D153" s="1">
        <v>11231</v>
      </c>
      <c r="E153" s="1">
        <v>36</v>
      </c>
      <c r="F153" s="1">
        <v>101</v>
      </c>
      <c r="G153" s="1">
        <v>250</v>
      </c>
      <c r="H153" s="1">
        <v>250</v>
      </c>
      <c r="I153" s="1">
        <v>250</v>
      </c>
      <c r="J153" s="1">
        <v>0</v>
      </c>
      <c r="K153" s="1">
        <v>250</v>
      </c>
      <c r="L153" s="161" t="s">
        <v>362</v>
      </c>
      <c r="M153" s="164"/>
      <c r="N153" s="164">
        <f>K153*0.1</f>
        <v>25</v>
      </c>
      <c r="O153" s="164">
        <v>10000</v>
      </c>
      <c r="P153" s="171">
        <f t="shared" si="14"/>
        <v>250</v>
      </c>
    </row>
    <row r="154" ht="18" spans="1:16">
      <c r="A154" s="1">
        <v>152</v>
      </c>
      <c r="B154" s="1" t="s">
        <v>363</v>
      </c>
      <c r="C154" s="1" t="s">
        <v>364</v>
      </c>
      <c r="D154" s="1">
        <v>80029</v>
      </c>
      <c r="E154" s="1">
        <v>37</v>
      </c>
      <c r="F154" s="1">
        <v>101</v>
      </c>
      <c r="G154" s="1">
        <v>250</v>
      </c>
      <c r="H154" s="1">
        <v>250</v>
      </c>
      <c r="I154" s="1">
        <v>250</v>
      </c>
      <c r="J154" s="1">
        <v>250</v>
      </c>
      <c r="K154" s="164">
        <f t="shared" ref="K154" si="15">H154</f>
        <v>250</v>
      </c>
      <c r="L154" s="165" t="s">
        <v>364</v>
      </c>
      <c r="M154" s="172"/>
      <c r="N154" s="170">
        <v>0</v>
      </c>
      <c r="O154" s="173">
        <v>0</v>
      </c>
      <c r="P154" s="171">
        <f t="shared" si="14"/>
        <v>250</v>
      </c>
    </row>
    <row r="155" ht="18" spans="1:16">
      <c r="A155" s="1">
        <v>153</v>
      </c>
      <c r="B155" s="1" t="s">
        <v>62</v>
      </c>
      <c r="C155" s="1" t="s">
        <v>63</v>
      </c>
      <c r="D155" s="1">
        <v>74002</v>
      </c>
      <c r="E155" s="1">
        <v>38</v>
      </c>
      <c r="F155" s="1">
        <v>0</v>
      </c>
      <c r="G155" s="1">
        <v>0</v>
      </c>
      <c r="H155" s="1">
        <v>2</v>
      </c>
      <c r="I155" s="1">
        <v>2</v>
      </c>
      <c r="J155" s="1">
        <v>0</v>
      </c>
      <c r="K155" s="164">
        <v>2</v>
      </c>
      <c r="L155" s="165" t="s">
        <v>63</v>
      </c>
      <c r="M155" s="172"/>
      <c r="N155" s="170">
        <v>0</v>
      </c>
      <c r="O155" s="173">
        <v>0</v>
      </c>
      <c r="P155" s="171">
        <v>2</v>
      </c>
    </row>
    <row r="156" ht="18" spans="1:16">
      <c r="A156" s="1">
        <v>154</v>
      </c>
      <c r="B156" s="1" t="s">
        <v>64</v>
      </c>
      <c r="C156" s="1" t="s">
        <v>65</v>
      </c>
      <c r="D156" s="1">
        <v>74003</v>
      </c>
      <c r="E156" s="1">
        <v>38</v>
      </c>
      <c r="F156" s="1">
        <v>0</v>
      </c>
      <c r="G156" s="1">
        <v>0</v>
      </c>
      <c r="H156" s="1">
        <v>3</v>
      </c>
      <c r="I156" s="1">
        <v>3</v>
      </c>
      <c r="J156" s="1">
        <v>0</v>
      </c>
      <c r="K156" s="164">
        <v>3</v>
      </c>
      <c r="L156" s="165" t="s">
        <v>65</v>
      </c>
      <c r="M156" s="172"/>
      <c r="N156" s="170">
        <v>0</v>
      </c>
      <c r="O156" s="173">
        <v>0</v>
      </c>
      <c r="P156" s="171">
        <v>3</v>
      </c>
    </row>
    <row r="157" ht="18" spans="1:16">
      <c r="A157" s="1">
        <v>155</v>
      </c>
      <c r="B157" s="1" t="s">
        <v>66</v>
      </c>
      <c r="C157" s="1" t="s">
        <v>67</v>
      </c>
      <c r="D157" s="1">
        <v>74004</v>
      </c>
      <c r="E157" s="1">
        <v>38</v>
      </c>
      <c r="F157" s="1">
        <v>0</v>
      </c>
      <c r="G157" s="1">
        <v>0</v>
      </c>
      <c r="H157" s="1">
        <v>4</v>
      </c>
      <c r="I157" s="1">
        <v>4</v>
      </c>
      <c r="J157" s="1">
        <v>0</v>
      </c>
      <c r="K157" s="164">
        <v>4</v>
      </c>
      <c r="L157" s="165" t="s">
        <v>67</v>
      </c>
      <c r="M157" s="172"/>
      <c r="N157" s="170">
        <v>0</v>
      </c>
      <c r="O157" s="173">
        <v>0</v>
      </c>
      <c r="P157" s="171">
        <v>4</v>
      </c>
    </row>
    <row r="158" ht="18" spans="1:16">
      <c r="A158" s="1">
        <v>156</v>
      </c>
      <c r="B158" s="1" t="s">
        <v>68</v>
      </c>
      <c r="C158" s="1" t="s">
        <v>69</v>
      </c>
      <c r="D158" s="1">
        <v>74005</v>
      </c>
      <c r="E158" s="1">
        <v>38</v>
      </c>
      <c r="F158" s="1">
        <v>0</v>
      </c>
      <c r="G158" s="1">
        <v>0</v>
      </c>
      <c r="H158" s="1">
        <v>7</v>
      </c>
      <c r="I158" s="1">
        <v>7</v>
      </c>
      <c r="J158" s="1">
        <v>0</v>
      </c>
      <c r="K158" s="164">
        <v>7</v>
      </c>
      <c r="L158" s="165" t="s">
        <v>69</v>
      </c>
      <c r="M158" s="172"/>
      <c r="N158" s="164">
        <v>0</v>
      </c>
      <c r="O158" s="164">
        <v>0</v>
      </c>
      <c r="P158" s="171">
        <f t="shared" ref="P158" si="16">K158</f>
        <v>7</v>
      </c>
    </row>
    <row r="159" ht="18" spans="1:16">
      <c r="A159" s="1">
        <v>157</v>
      </c>
      <c r="B159" s="1" t="s">
        <v>70</v>
      </c>
      <c r="C159" s="1" t="s">
        <v>71</v>
      </c>
      <c r="D159" s="1">
        <v>74006</v>
      </c>
      <c r="E159" s="1">
        <v>38</v>
      </c>
      <c r="F159" s="1">
        <v>0</v>
      </c>
      <c r="G159" s="1">
        <v>0</v>
      </c>
      <c r="H159" s="1">
        <v>3</v>
      </c>
      <c r="I159" s="1">
        <v>3</v>
      </c>
      <c r="J159" s="1">
        <v>0</v>
      </c>
      <c r="K159" s="164">
        <v>3</v>
      </c>
      <c r="L159" s="165" t="s">
        <v>71</v>
      </c>
      <c r="M159" s="172"/>
      <c r="N159" s="170">
        <v>0</v>
      </c>
      <c r="O159" s="173">
        <v>0</v>
      </c>
      <c r="P159" s="171">
        <v>3</v>
      </c>
    </row>
    <row r="160" ht="18" spans="1:16">
      <c r="A160" s="1">
        <v>158</v>
      </c>
      <c r="B160" s="1" t="s">
        <v>72</v>
      </c>
      <c r="C160" s="1" t="s">
        <v>73</v>
      </c>
      <c r="D160" s="1">
        <v>74007</v>
      </c>
      <c r="E160" s="1">
        <v>38</v>
      </c>
      <c r="F160" s="1">
        <v>0</v>
      </c>
      <c r="G160" s="1">
        <v>0</v>
      </c>
      <c r="H160" s="1">
        <v>4</v>
      </c>
      <c r="I160" s="1">
        <v>4</v>
      </c>
      <c r="J160" s="1">
        <v>0</v>
      </c>
      <c r="K160" s="164">
        <v>4</v>
      </c>
      <c r="L160" s="165" t="s">
        <v>73</v>
      </c>
      <c r="M160" s="172"/>
      <c r="N160" s="170">
        <v>0</v>
      </c>
      <c r="O160" s="170">
        <v>0</v>
      </c>
      <c r="P160" s="171">
        <v>4</v>
      </c>
    </row>
    <row r="161" ht="18" spans="1:16">
      <c r="A161" s="1">
        <v>159</v>
      </c>
      <c r="B161" s="1" t="s">
        <v>74</v>
      </c>
      <c r="C161" s="1" t="s">
        <v>75</v>
      </c>
      <c r="D161" s="1">
        <v>74008</v>
      </c>
      <c r="E161" s="1">
        <v>38</v>
      </c>
      <c r="F161" s="1">
        <v>0</v>
      </c>
      <c r="G161" s="1">
        <v>0</v>
      </c>
      <c r="H161" s="1">
        <v>5</v>
      </c>
      <c r="I161" s="1">
        <v>5</v>
      </c>
      <c r="J161" s="1">
        <v>0</v>
      </c>
      <c r="K161" s="164">
        <v>5</v>
      </c>
      <c r="L161" s="165" t="s">
        <v>75</v>
      </c>
      <c r="M161" s="172"/>
      <c r="N161" s="170">
        <v>0</v>
      </c>
      <c r="O161" s="170">
        <v>0</v>
      </c>
      <c r="P161" s="171">
        <v>5</v>
      </c>
    </row>
    <row r="162" ht="18" spans="1:16">
      <c r="A162" s="1">
        <v>160</v>
      </c>
      <c r="B162" s="1" t="s">
        <v>76</v>
      </c>
      <c r="C162" s="1" t="s">
        <v>77</v>
      </c>
      <c r="D162" s="1">
        <v>74009</v>
      </c>
      <c r="E162" s="1">
        <v>38</v>
      </c>
      <c r="F162" s="1">
        <v>0</v>
      </c>
      <c r="G162" s="1">
        <v>0</v>
      </c>
      <c r="H162" s="1">
        <v>6</v>
      </c>
      <c r="I162" s="1">
        <v>6</v>
      </c>
      <c r="J162" s="1">
        <v>0</v>
      </c>
      <c r="K162" s="164">
        <v>6</v>
      </c>
      <c r="L162" s="165" t="s">
        <v>77</v>
      </c>
      <c r="M162" s="172"/>
      <c r="N162" s="170">
        <v>0</v>
      </c>
      <c r="O162" s="170">
        <v>0</v>
      </c>
      <c r="P162" s="171">
        <v>6</v>
      </c>
    </row>
    <row r="163" s="157" customFormat="1" ht="18" spans="1:16">
      <c r="A163" s="1">
        <v>161</v>
      </c>
      <c r="B163" s="3" t="s">
        <v>94</v>
      </c>
      <c r="C163" s="3" t="s">
        <v>95</v>
      </c>
      <c r="D163" s="3">
        <v>74017</v>
      </c>
      <c r="E163" s="3">
        <v>38</v>
      </c>
      <c r="F163" s="3">
        <v>0</v>
      </c>
      <c r="G163" s="3">
        <v>0</v>
      </c>
      <c r="H163" s="3">
        <v>9</v>
      </c>
      <c r="I163" s="3">
        <v>9</v>
      </c>
      <c r="J163" s="3">
        <v>0</v>
      </c>
      <c r="K163" s="181">
        <v>9</v>
      </c>
      <c r="L163" s="182" t="s">
        <v>95</v>
      </c>
      <c r="M163" s="172"/>
      <c r="N163" s="170">
        <v>0</v>
      </c>
      <c r="O163" s="170">
        <v>0</v>
      </c>
      <c r="P163" s="183">
        <f t="shared" ref="P163:P165" si="17">K163</f>
        <v>9</v>
      </c>
    </row>
    <row r="164" s="157" customFormat="1" ht="18" spans="1:16">
      <c r="A164" s="1">
        <v>162</v>
      </c>
      <c r="B164" s="3" t="s">
        <v>96</v>
      </c>
      <c r="C164" s="3" t="s">
        <v>97</v>
      </c>
      <c r="D164" s="3">
        <v>74020</v>
      </c>
      <c r="E164" s="3">
        <v>38</v>
      </c>
      <c r="F164" s="3">
        <v>0</v>
      </c>
      <c r="G164" s="3">
        <v>0</v>
      </c>
      <c r="H164" s="3">
        <v>16</v>
      </c>
      <c r="I164" s="3">
        <v>16</v>
      </c>
      <c r="J164" s="3">
        <v>0</v>
      </c>
      <c r="K164" s="181">
        <v>16</v>
      </c>
      <c r="L164" s="182" t="s">
        <v>97</v>
      </c>
      <c r="M164" s="172"/>
      <c r="N164" s="170">
        <v>0</v>
      </c>
      <c r="O164" s="170">
        <v>0</v>
      </c>
      <c r="P164" s="183">
        <f t="shared" si="17"/>
        <v>16</v>
      </c>
    </row>
    <row r="165" s="157" customFormat="1" ht="18" spans="1:16">
      <c r="A165" s="1">
        <v>163</v>
      </c>
      <c r="B165" s="3" t="s">
        <v>102</v>
      </c>
      <c r="C165" s="3" t="s">
        <v>103</v>
      </c>
      <c r="D165" s="3">
        <v>74025</v>
      </c>
      <c r="E165" s="3">
        <v>38</v>
      </c>
      <c r="F165" s="3">
        <v>0</v>
      </c>
      <c r="G165" s="3">
        <v>0</v>
      </c>
      <c r="H165" s="3">
        <v>40</v>
      </c>
      <c r="I165" s="3">
        <v>40</v>
      </c>
      <c r="J165" s="3">
        <v>0</v>
      </c>
      <c r="K165" s="181">
        <v>40</v>
      </c>
      <c r="L165" s="182" t="s">
        <v>103</v>
      </c>
      <c r="M165" s="172"/>
      <c r="N165" s="170">
        <v>0</v>
      </c>
      <c r="O165" s="170">
        <v>0</v>
      </c>
      <c r="P165" s="183">
        <f t="shared" si="17"/>
        <v>40</v>
      </c>
    </row>
    <row r="166" ht="17.6" spans="1:1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64"/>
      <c r="L166" s="165"/>
      <c r="M166" s="172"/>
      <c r="N166" s="170"/>
      <c r="O166" s="173"/>
      <c r="P166" s="171"/>
    </row>
    <row r="167" ht="17.6" spans="1:1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64"/>
      <c r="L167" s="165"/>
      <c r="M167" s="172"/>
      <c r="N167" s="170"/>
      <c r="O167" s="173"/>
      <c r="P167" s="171"/>
    </row>
    <row r="168" ht="17.6" spans="1:1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64"/>
      <c r="L168" s="165"/>
      <c r="M168" s="172"/>
      <c r="N168" s="170"/>
      <c r="O168" s="173"/>
      <c r="P168" s="171"/>
    </row>
    <row r="169" ht="17.6" spans="1:1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64"/>
      <c r="L169" s="165"/>
      <c r="M169" s="172"/>
      <c r="N169" s="170"/>
      <c r="O169" s="173"/>
      <c r="P169" s="171"/>
    </row>
    <row r="170" ht="17.6" spans="1:1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64"/>
      <c r="L170" s="165"/>
      <c r="M170" s="172"/>
      <c r="N170" s="170"/>
      <c r="O170" s="173"/>
      <c r="P170" s="171"/>
    </row>
    <row r="171" ht="17.6" spans="1:1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64"/>
      <c r="L171" s="165"/>
      <c r="M171" s="172"/>
      <c r="N171" s="170"/>
      <c r="O171" s="173"/>
      <c r="P171" s="171"/>
    </row>
    <row r="172" ht="17.6" spans="1:1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64"/>
      <c r="L172" s="165"/>
      <c r="M172" s="172"/>
      <c r="N172" s="170"/>
      <c r="O172" s="173"/>
      <c r="P172" s="171"/>
    </row>
    <row r="173" ht="17.6" spans="1:1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64"/>
      <c r="L173" s="165"/>
      <c r="M173" s="172"/>
      <c r="N173" s="170"/>
      <c r="O173" s="173"/>
      <c r="P173" s="171"/>
    </row>
    <row r="174" ht="17.6" spans="1:1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64"/>
      <c r="L174" s="165"/>
      <c r="M174" s="172"/>
      <c r="N174" s="170"/>
      <c r="O174" s="173"/>
      <c r="P174" s="171"/>
    </row>
    <row r="175" ht="17.6" spans="1:1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64"/>
      <c r="L175" s="165"/>
      <c r="M175" s="172"/>
      <c r="N175" s="170"/>
      <c r="O175" s="173"/>
      <c r="P175" s="171"/>
    </row>
    <row r="176" ht="17.6" spans="1:1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64"/>
      <c r="L176" s="165"/>
      <c r="M176" s="172"/>
      <c r="N176" s="170"/>
      <c r="O176" s="173"/>
      <c r="P176" s="171"/>
    </row>
    <row r="177" ht="17.6" spans="1:1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64"/>
      <c r="L177" s="165"/>
      <c r="M177" s="172"/>
      <c r="N177" s="170"/>
      <c r="O177" s="173"/>
      <c r="P177" s="171"/>
    </row>
    <row r="178" ht="17.6" spans="1:1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64"/>
      <c r="L178" s="165"/>
      <c r="M178" s="172"/>
      <c r="N178" s="170"/>
      <c r="O178" s="173"/>
      <c r="P178" s="171"/>
    </row>
    <row r="179" ht="17.6" spans="1:1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64"/>
      <c r="L179" s="165"/>
      <c r="M179" s="172"/>
      <c r="N179" s="170"/>
      <c r="O179" s="173"/>
      <c r="P179" s="171"/>
    </row>
    <row r="180" ht="17.6" spans="1:1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64"/>
      <c r="L180" s="165"/>
      <c r="M180" s="172"/>
      <c r="N180" s="170"/>
      <c r="O180" s="173"/>
      <c r="P180" s="171"/>
    </row>
    <row r="181" ht="17.6" spans="1:1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64"/>
      <c r="L181" s="165"/>
      <c r="M181" s="172"/>
      <c r="N181" s="170"/>
      <c r="O181" s="173"/>
      <c r="P181" s="171"/>
    </row>
    <row r="182" ht="17.6" spans="1:1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64"/>
      <c r="L182" s="165"/>
      <c r="M182" s="172"/>
      <c r="N182" s="170"/>
      <c r="O182" s="173"/>
      <c r="P182" s="171"/>
    </row>
    <row r="183" ht="17.6" spans="1:1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64"/>
      <c r="L183" s="165"/>
      <c r="M183" s="172"/>
      <c r="N183" s="170"/>
      <c r="O183" s="173"/>
      <c r="P183" s="171"/>
    </row>
    <row r="184" ht="17.6" spans="1:1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64"/>
      <c r="L184" s="165"/>
      <c r="M184" s="172"/>
      <c r="N184" s="170"/>
      <c r="O184" s="173"/>
      <c r="P184" s="171"/>
    </row>
    <row r="185" ht="17.6" spans="1:1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64"/>
      <c r="L185" s="165"/>
      <c r="M185" s="172"/>
      <c r="N185" s="170"/>
      <c r="O185" s="173"/>
      <c r="P185" s="171"/>
    </row>
    <row r="186" ht="17.6" spans="1:1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64"/>
      <c r="L186" s="165"/>
      <c r="M186" s="172"/>
      <c r="N186" s="170"/>
      <c r="O186" s="173"/>
      <c r="P186" s="171"/>
    </row>
    <row r="187" ht="17.6" spans="1:1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64"/>
      <c r="L187" s="165"/>
      <c r="M187" s="172"/>
      <c r="N187" s="170"/>
      <c r="O187" s="173"/>
      <c r="P187" s="171"/>
    </row>
  </sheetData>
  <sortState ref="A5:R153">
    <sortCondition ref="E5:E153"/>
  </sortState>
  <conditionalFormatting sqref="N42:O42">
    <cfRule type="expression" dxfId="0" priority="4">
      <formula>N42&lt;&gt;#REF!</formula>
    </cfRule>
  </conditionalFormatting>
  <conditionalFormatting sqref="N143:O143">
    <cfRule type="expression" dxfId="0" priority="9">
      <formula>N143&lt;&gt;#REF!</formula>
    </cfRule>
  </conditionalFormatting>
  <conditionalFormatting sqref="N144:O144">
    <cfRule type="expression" dxfId="0" priority="8">
      <formula>N144&lt;&gt;#REF!</formula>
    </cfRule>
  </conditionalFormatting>
  <conditionalFormatting sqref="N165:O165">
    <cfRule type="expression" dxfId="0" priority="1">
      <formula>N165&lt;&gt;#REF!</formula>
    </cfRule>
  </conditionalFormatting>
  <conditionalFormatting sqref="N3:O3 N23:O41 N129:O142">
    <cfRule type="expression" dxfId="0" priority="10">
      <formula>N3&lt;&gt;#REF!</formula>
    </cfRule>
  </conditionalFormatting>
  <conditionalFormatting sqref="N43:O118 N145:O145">
    <cfRule type="expression" dxfId="0" priority="7">
      <formula>N43&lt;&gt;#REF!</formula>
    </cfRule>
  </conditionalFormatting>
  <conditionalFormatting sqref="N154:O157 N159:O187">
    <cfRule type="expression" dxfId="0" priority="3">
      <formula>N154&lt;&gt;#REF!</formula>
    </cfRule>
  </conditionalFormatting>
  <pageMargins left="0.699305555555556" right="0.699305555555556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178"/>
  <sheetViews>
    <sheetView workbookViewId="0">
      <pane xSplit="1" ySplit="3" topLeftCell="B147" activePane="bottomRight" state="frozen"/>
      <selection/>
      <selection pane="topRight"/>
      <selection pane="bottomLeft"/>
      <selection pane="bottomRight" activeCell="K176" sqref="K176"/>
    </sheetView>
  </sheetViews>
  <sheetFormatPr defaultColWidth="9" defaultRowHeight="15.75" customHeight="1"/>
  <cols>
    <col min="1" max="1" width="14.1973684210526" customWidth="1"/>
  </cols>
  <sheetData>
    <row r="1" customHeight="1" spans="1:14">
      <c r="A1" s="25" t="s">
        <v>365</v>
      </c>
      <c r="B1" s="25" t="s">
        <v>366</v>
      </c>
      <c r="C1" s="25" t="s">
        <v>367</v>
      </c>
      <c r="D1" s="25" t="s">
        <v>368</v>
      </c>
      <c r="E1" s="25" t="s">
        <v>369</v>
      </c>
      <c r="F1" s="25" t="s">
        <v>33</v>
      </c>
      <c r="G1" s="25" t="s">
        <v>370</v>
      </c>
      <c r="H1" s="25" t="s">
        <v>371</v>
      </c>
      <c r="I1" s="25" t="s">
        <v>372</v>
      </c>
      <c r="J1" s="25" t="s">
        <v>373</v>
      </c>
      <c r="K1" s="25" t="s">
        <v>374</v>
      </c>
      <c r="L1" s="25" t="s">
        <v>375</v>
      </c>
      <c r="M1" s="25" t="s">
        <v>376</v>
      </c>
      <c r="N1" s="25" t="s">
        <v>377</v>
      </c>
    </row>
    <row r="2" customHeight="1" spans="1:14">
      <c r="A2" s="25" t="s">
        <v>41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42</v>
      </c>
      <c r="J2" s="25" t="s">
        <v>42</v>
      </c>
      <c r="K2" s="25" t="s">
        <v>40</v>
      </c>
      <c r="L2" s="25" t="s">
        <v>40</v>
      </c>
      <c r="M2" s="25" t="s">
        <v>40</v>
      </c>
      <c r="N2" s="25" t="s">
        <v>40</v>
      </c>
    </row>
    <row r="3" customHeight="1" spans="1:14">
      <c r="A3" s="25" t="s">
        <v>378</v>
      </c>
      <c r="B3" s="25" t="s">
        <v>379</v>
      </c>
      <c r="C3" s="25" t="s">
        <v>380</v>
      </c>
      <c r="D3" s="25" t="s">
        <v>381</v>
      </c>
      <c r="E3" s="25" t="s">
        <v>382</v>
      </c>
      <c r="F3" s="25" t="s">
        <v>33</v>
      </c>
      <c r="G3" s="25" t="s">
        <v>383</v>
      </c>
      <c r="H3" s="25" t="s">
        <v>384</v>
      </c>
      <c r="I3" s="25" t="s">
        <v>385</v>
      </c>
      <c r="J3" s="25" t="s">
        <v>386</v>
      </c>
      <c r="K3" s="25" t="s">
        <v>387</v>
      </c>
      <c r="L3" s="25" t="s">
        <v>388</v>
      </c>
      <c r="M3" s="25" t="s">
        <v>389</v>
      </c>
      <c r="N3" s="155" t="s">
        <v>390</v>
      </c>
    </row>
    <row r="4" customHeight="1" spans="1:14">
      <c r="A4" s="155" t="s">
        <v>391</v>
      </c>
      <c r="B4" s="25">
        <v>5101</v>
      </c>
      <c r="C4" s="25">
        <v>1</v>
      </c>
      <c r="D4" s="25">
        <v>20</v>
      </c>
      <c r="E4" s="25">
        <v>20</v>
      </c>
      <c r="F4" s="25">
        <v>0</v>
      </c>
      <c r="G4" s="25">
        <v>0</v>
      </c>
      <c r="H4" s="25">
        <v>1</v>
      </c>
      <c r="I4" s="25">
        <v>1.2</v>
      </c>
      <c r="J4" s="25">
        <v>0</v>
      </c>
      <c r="K4" s="25">
        <v>50</v>
      </c>
      <c r="L4" s="25">
        <v>2201</v>
      </c>
      <c r="M4" s="25" t="s">
        <v>392</v>
      </c>
      <c r="N4" s="25">
        <v>0</v>
      </c>
    </row>
    <row r="5" customHeight="1" spans="1:14">
      <c r="A5" s="155" t="s">
        <v>391</v>
      </c>
      <c r="B5" s="25">
        <v>5101</v>
      </c>
      <c r="C5" s="25">
        <v>2</v>
      </c>
      <c r="D5" s="25">
        <v>22</v>
      </c>
      <c r="E5" s="25">
        <v>22</v>
      </c>
      <c r="F5" s="25">
        <v>0</v>
      </c>
      <c r="G5" s="25">
        <v>0</v>
      </c>
      <c r="H5" s="25">
        <v>1</v>
      </c>
      <c r="I5" s="25">
        <v>1.2</v>
      </c>
      <c r="J5" s="25">
        <v>0</v>
      </c>
      <c r="K5" s="25">
        <v>50</v>
      </c>
      <c r="L5" s="25">
        <v>2201</v>
      </c>
      <c r="M5" s="25" t="s">
        <v>392</v>
      </c>
      <c r="N5" s="25">
        <v>0</v>
      </c>
    </row>
    <row r="6" customHeight="1" spans="1:14">
      <c r="A6" s="155" t="s">
        <v>391</v>
      </c>
      <c r="B6" s="25">
        <v>5101</v>
      </c>
      <c r="C6" s="25">
        <v>3</v>
      </c>
      <c r="D6" s="25">
        <v>24</v>
      </c>
      <c r="E6" s="25">
        <v>24</v>
      </c>
      <c r="F6" s="25">
        <v>0</v>
      </c>
      <c r="G6" s="25">
        <v>0</v>
      </c>
      <c r="H6" s="25">
        <v>1</v>
      </c>
      <c r="I6" s="25">
        <v>1.2</v>
      </c>
      <c r="J6" s="25">
        <v>0</v>
      </c>
      <c r="K6" s="25">
        <v>50</v>
      </c>
      <c r="L6" s="25">
        <v>2201</v>
      </c>
      <c r="M6" s="25" t="s">
        <v>392</v>
      </c>
      <c r="N6" s="25">
        <v>0</v>
      </c>
    </row>
    <row r="7" customHeight="1" spans="1:14">
      <c r="A7" s="155" t="s">
        <v>391</v>
      </c>
      <c r="B7" s="25">
        <v>5101</v>
      </c>
      <c r="C7" s="25">
        <v>4</v>
      </c>
      <c r="D7" s="25">
        <v>26</v>
      </c>
      <c r="E7" s="25">
        <v>26</v>
      </c>
      <c r="F7" s="25">
        <v>0</v>
      </c>
      <c r="G7" s="25">
        <v>0</v>
      </c>
      <c r="H7" s="25">
        <v>1</v>
      </c>
      <c r="I7" s="25">
        <v>1.2</v>
      </c>
      <c r="J7" s="25">
        <v>0</v>
      </c>
      <c r="K7" s="25">
        <v>50</v>
      </c>
      <c r="L7" s="25">
        <v>2201</v>
      </c>
      <c r="M7" s="25" t="s">
        <v>392</v>
      </c>
      <c r="N7" s="25">
        <v>0</v>
      </c>
    </row>
    <row r="8" customHeight="1" spans="1:14">
      <c r="A8" s="155" t="s">
        <v>391</v>
      </c>
      <c r="B8" s="25">
        <v>5101</v>
      </c>
      <c r="C8" s="25">
        <v>5</v>
      </c>
      <c r="D8" s="25">
        <v>28</v>
      </c>
      <c r="E8" s="25">
        <v>28</v>
      </c>
      <c r="F8" s="25">
        <v>0</v>
      </c>
      <c r="G8" s="25">
        <v>0</v>
      </c>
      <c r="H8" s="25">
        <v>1</v>
      </c>
      <c r="I8" s="25">
        <v>1.2</v>
      </c>
      <c r="J8" s="25">
        <v>0</v>
      </c>
      <c r="K8" s="25">
        <v>50</v>
      </c>
      <c r="L8" s="25">
        <v>2201</v>
      </c>
      <c r="M8" s="25" t="s">
        <v>392</v>
      </c>
      <c r="N8" s="25">
        <v>0</v>
      </c>
    </row>
    <row r="9" customHeight="1" spans="1:14">
      <c r="A9" s="155" t="s">
        <v>391</v>
      </c>
      <c r="B9" s="25">
        <v>5101</v>
      </c>
      <c r="C9" s="25">
        <v>6</v>
      </c>
      <c r="D9" s="25">
        <v>30</v>
      </c>
      <c r="E9" s="25">
        <v>30</v>
      </c>
      <c r="F9" s="25">
        <v>0</v>
      </c>
      <c r="G9" s="25">
        <v>0</v>
      </c>
      <c r="H9" s="25">
        <v>1</v>
      </c>
      <c r="I9" s="25">
        <v>1.2</v>
      </c>
      <c r="J9" s="25">
        <v>0</v>
      </c>
      <c r="K9" s="25">
        <v>50</v>
      </c>
      <c r="L9" s="25">
        <v>2201</v>
      </c>
      <c r="M9" s="25" t="s">
        <v>392</v>
      </c>
      <c r="N9" s="25">
        <v>0</v>
      </c>
    </row>
    <row r="10" customHeight="1" spans="1:14">
      <c r="A10" s="155" t="s">
        <v>391</v>
      </c>
      <c r="B10" s="25">
        <v>5101</v>
      </c>
      <c r="C10" s="25">
        <v>7</v>
      </c>
      <c r="D10" s="25">
        <v>32</v>
      </c>
      <c r="E10" s="25">
        <v>32</v>
      </c>
      <c r="F10" s="25">
        <v>0</v>
      </c>
      <c r="G10" s="25">
        <v>0</v>
      </c>
      <c r="H10" s="25">
        <v>1</v>
      </c>
      <c r="I10" s="25">
        <v>1.2</v>
      </c>
      <c r="J10" s="25">
        <v>0</v>
      </c>
      <c r="K10" s="25">
        <v>50</v>
      </c>
      <c r="L10" s="25">
        <v>2201</v>
      </c>
      <c r="M10" s="25" t="s">
        <v>392</v>
      </c>
      <c r="N10" s="25">
        <v>0</v>
      </c>
    </row>
    <row r="11" customHeight="1" spans="1:14">
      <c r="A11" s="155" t="s">
        <v>391</v>
      </c>
      <c r="B11" s="25">
        <v>5101</v>
      </c>
      <c r="C11" s="25">
        <v>8</v>
      </c>
      <c r="D11" s="25">
        <v>34</v>
      </c>
      <c r="E11" s="25">
        <v>34</v>
      </c>
      <c r="F11" s="25">
        <v>0</v>
      </c>
      <c r="G11" s="25">
        <v>0</v>
      </c>
      <c r="H11" s="25">
        <v>1</v>
      </c>
      <c r="I11" s="25">
        <v>1.2</v>
      </c>
      <c r="J11" s="25">
        <v>0</v>
      </c>
      <c r="K11" s="25">
        <v>50</v>
      </c>
      <c r="L11" s="25">
        <v>2201</v>
      </c>
      <c r="M11" s="25" t="s">
        <v>392</v>
      </c>
      <c r="N11" s="25">
        <v>0</v>
      </c>
    </row>
    <row r="12" customHeight="1" spans="1:14">
      <c r="A12" s="155" t="s">
        <v>391</v>
      </c>
      <c r="B12" s="25">
        <v>5101</v>
      </c>
      <c r="C12" s="25">
        <v>9</v>
      </c>
      <c r="D12" s="25">
        <v>36</v>
      </c>
      <c r="E12" s="25">
        <v>36</v>
      </c>
      <c r="F12" s="25">
        <v>0</v>
      </c>
      <c r="G12" s="25">
        <v>0</v>
      </c>
      <c r="H12" s="25">
        <v>1</v>
      </c>
      <c r="I12" s="25">
        <v>1.2</v>
      </c>
      <c r="J12" s="25">
        <v>0</v>
      </c>
      <c r="K12" s="25">
        <v>50</v>
      </c>
      <c r="L12" s="25">
        <v>2201</v>
      </c>
      <c r="M12" s="25" t="s">
        <v>392</v>
      </c>
      <c r="N12" s="25">
        <v>0</v>
      </c>
    </row>
    <row r="13" customHeight="1" spans="1:14">
      <c r="A13" s="155" t="s">
        <v>391</v>
      </c>
      <c r="B13" s="25">
        <v>5101</v>
      </c>
      <c r="C13" s="25">
        <v>10</v>
      </c>
      <c r="D13" s="25">
        <v>38</v>
      </c>
      <c r="E13" s="25">
        <v>38</v>
      </c>
      <c r="F13" s="25">
        <v>0</v>
      </c>
      <c r="G13" s="25">
        <v>0</v>
      </c>
      <c r="H13" s="25">
        <v>1</v>
      </c>
      <c r="I13" s="25">
        <v>1.2</v>
      </c>
      <c r="J13" s="25">
        <v>0</v>
      </c>
      <c r="K13" s="25">
        <v>50</v>
      </c>
      <c r="L13" s="25">
        <v>2201</v>
      </c>
      <c r="M13" s="25" t="s">
        <v>392</v>
      </c>
      <c r="N13" s="25">
        <v>0</v>
      </c>
    </row>
    <row r="14" customHeight="1" spans="1:14">
      <c r="A14" s="155" t="s">
        <v>391</v>
      </c>
      <c r="B14" s="25">
        <v>5101</v>
      </c>
      <c r="C14" s="25">
        <v>11</v>
      </c>
      <c r="D14" s="25">
        <v>40</v>
      </c>
      <c r="E14" s="25">
        <v>40</v>
      </c>
      <c r="F14" s="25">
        <v>0</v>
      </c>
      <c r="G14" s="25">
        <v>0</v>
      </c>
      <c r="H14" s="25">
        <v>1</v>
      </c>
      <c r="I14" s="25">
        <v>1.2</v>
      </c>
      <c r="J14" s="25">
        <v>0</v>
      </c>
      <c r="K14" s="25">
        <v>50</v>
      </c>
      <c r="L14" s="25">
        <v>2201</v>
      </c>
      <c r="M14" s="25" t="s">
        <v>392</v>
      </c>
      <c r="N14" s="25">
        <v>0</v>
      </c>
    </row>
    <row r="15" customHeight="1" spans="1:14">
      <c r="A15" s="155" t="s">
        <v>391</v>
      </c>
      <c r="B15" s="25">
        <v>5101</v>
      </c>
      <c r="C15" s="25">
        <v>12</v>
      </c>
      <c r="D15" s="25">
        <v>42</v>
      </c>
      <c r="E15" s="25">
        <v>42</v>
      </c>
      <c r="F15" s="25">
        <v>0</v>
      </c>
      <c r="G15" s="25">
        <v>0</v>
      </c>
      <c r="H15" s="25">
        <v>1</v>
      </c>
      <c r="I15" s="25">
        <v>1.2</v>
      </c>
      <c r="J15" s="25">
        <v>0</v>
      </c>
      <c r="K15" s="25">
        <v>50</v>
      </c>
      <c r="L15" s="25">
        <v>2201</v>
      </c>
      <c r="M15" s="25" t="s">
        <v>392</v>
      </c>
      <c r="N15" s="25">
        <v>0</v>
      </c>
    </row>
    <row r="16" customHeight="1" spans="1:14">
      <c r="A16" s="155" t="s">
        <v>391</v>
      </c>
      <c r="B16" s="25">
        <v>5101</v>
      </c>
      <c r="C16" s="25">
        <v>13</v>
      </c>
      <c r="D16" s="25">
        <v>44</v>
      </c>
      <c r="E16" s="25">
        <v>44</v>
      </c>
      <c r="F16" s="25">
        <v>0</v>
      </c>
      <c r="G16" s="25">
        <v>0</v>
      </c>
      <c r="H16" s="25">
        <v>1</v>
      </c>
      <c r="I16" s="25">
        <v>1.2</v>
      </c>
      <c r="J16" s="25">
        <v>0</v>
      </c>
      <c r="K16" s="25">
        <v>50</v>
      </c>
      <c r="L16" s="25">
        <v>2201</v>
      </c>
      <c r="M16" s="25" t="s">
        <v>392</v>
      </c>
      <c r="N16" s="25">
        <v>0</v>
      </c>
    </row>
    <row r="17" customHeight="1" spans="1:14">
      <c r="A17" s="155" t="s">
        <v>391</v>
      </c>
      <c r="B17" s="25">
        <v>5101</v>
      </c>
      <c r="C17" s="25">
        <v>14</v>
      </c>
      <c r="D17" s="25">
        <v>46</v>
      </c>
      <c r="E17" s="25">
        <v>46</v>
      </c>
      <c r="F17" s="25">
        <v>0</v>
      </c>
      <c r="G17" s="25">
        <v>0</v>
      </c>
      <c r="H17" s="25">
        <v>1</v>
      </c>
      <c r="I17" s="25">
        <v>1.2</v>
      </c>
      <c r="J17" s="25">
        <v>0</v>
      </c>
      <c r="K17" s="25">
        <v>50</v>
      </c>
      <c r="L17" s="25">
        <v>2201</v>
      </c>
      <c r="M17" s="25" t="s">
        <v>392</v>
      </c>
      <c r="N17" s="25">
        <v>0</v>
      </c>
    </row>
    <row r="18" customHeight="1" spans="1:14">
      <c r="A18" s="155" t="s">
        <v>391</v>
      </c>
      <c r="B18" s="25">
        <v>5101</v>
      </c>
      <c r="C18" s="25">
        <v>15</v>
      </c>
      <c r="D18" s="25">
        <v>48</v>
      </c>
      <c r="E18" s="25">
        <v>48</v>
      </c>
      <c r="F18" s="25">
        <v>0</v>
      </c>
      <c r="G18" s="25">
        <v>0</v>
      </c>
      <c r="H18" s="25">
        <v>1</v>
      </c>
      <c r="I18" s="25">
        <v>1.2</v>
      </c>
      <c r="J18" s="25">
        <v>0</v>
      </c>
      <c r="K18" s="25">
        <v>50</v>
      </c>
      <c r="L18" s="25">
        <v>2201</v>
      </c>
      <c r="M18" s="25" t="s">
        <v>392</v>
      </c>
      <c r="N18" s="25">
        <v>0</v>
      </c>
    </row>
    <row r="19" customHeight="1" spans="1:14">
      <c r="A19" s="155" t="s">
        <v>391</v>
      </c>
      <c r="B19" s="25">
        <v>5101</v>
      </c>
      <c r="C19" s="25">
        <v>16</v>
      </c>
      <c r="D19" s="25">
        <v>50</v>
      </c>
      <c r="E19" s="25">
        <v>50</v>
      </c>
      <c r="F19" s="25">
        <v>0</v>
      </c>
      <c r="G19" s="25">
        <v>0</v>
      </c>
      <c r="H19" s="25">
        <v>1</v>
      </c>
      <c r="I19" s="25">
        <v>1.2</v>
      </c>
      <c r="J19" s="25">
        <v>0</v>
      </c>
      <c r="K19" s="25">
        <v>50</v>
      </c>
      <c r="L19" s="25">
        <v>2201</v>
      </c>
      <c r="M19" s="25" t="s">
        <v>392</v>
      </c>
      <c r="N19" s="25">
        <v>0</v>
      </c>
    </row>
    <row r="20" customHeight="1" spans="1:14">
      <c r="A20" s="155" t="s">
        <v>391</v>
      </c>
      <c r="B20" s="25">
        <v>5101</v>
      </c>
      <c r="C20" s="25">
        <v>17</v>
      </c>
      <c r="D20" s="25">
        <v>52</v>
      </c>
      <c r="E20" s="25">
        <v>52</v>
      </c>
      <c r="F20" s="25">
        <v>0</v>
      </c>
      <c r="G20" s="25">
        <v>0</v>
      </c>
      <c r="H20" s="25">
        <v>1</v>
      </c>
      <c r="I20" s="25">
        <v>1.2</v>
      </c>
      <c r="J20" s="25">
        <v>0</v>
      </c>
      <c r="K20" s="25">
        <v>50</v>
      </c>
      <c r="L20" s="25">
        <v>2201</v>
      </c>
      <c r="M20" s="25" t="s">
        <v>392</v>
      </c>
      <c r="N20" s="25">
        <v>0</v>
      </c>
    </row>
    <row r="21" customHeight="1" spans="1:14">
      <c r="A21" s="155" t="s">
        <v>391</v>
      </c>
      <c r="B21" s="25">
        <v>5101</v>
      </c>
      <c r="C21" s="25">
        <v>18</v>
      </c>
      <c r="D21" s="25">
        <v>54</v>
      </c>
      <c r="E21" s="25">
        <v>54</v>
      </c>
      <c r="F21" s="25">
        <v>0</v>
      </c>
      <c r="G21" s="25">
        <v>0</v>
      </c>
      <c r="H21" s="25">
        <v>1</v>
      </c>
      <c r="I21" s="25">
        <v>1.2</v>
      </c>
      <c r="J21" s="25">
        <v>0</v>
      </c>
      <c r="K21" s="25">
        <v>50</v>
      </c>
      <c r="L21" s="25">
        <v>2201</v>
      </c>
      <c r="M21" s="25" t="s">
        <v>392</v>
      </c>
      <c r="N21" s="25">
        <v>0</v>
      </c>
    </row>
    <row r="22" customHeight="1" spans="1:14">
      <c r="A22" s="155" t="s">
        <v>391</v>
      </c>
      <c r="B22" s="25">
        <v>5101</v>
      </c>
      <c r="C22" s="25">
        <v>19</v>
      </c>
      <c r="D22" s="25">
        <v>56</v>
      </c>
      <c r="E22" s="25">
        <v>56</v>
      </c>
      <c r="F22" s="25">
        <v>0</v>
      </c>
      <c r="G22" s="25">
        <v>0</v>
      </c>
      <c r="H22" s="25">
        <v>1</v>
      </c>
      <c r="I22" s="25">
        <v>1.2</v>
      </c>
      <c r="J22" s="25">
        <v>0</v>
      </c>
      <c r="K22" s="25">
        <v>50</v>
      </c>
      <c r="L22" s="25">
        <v>2201</v>
      </c>
      <c r="M22" s="25" t="s">
        <v>392</v>
      </c>
      <c r="N22" s="25">
        <v>0</v>
      </c>
    </row>
    <row r="23" customHeight="1" spans="1:14">
      <c r="A23" s="155" t="s">
        <v>391</v>
      </c>
      <c r="B23" s="25">
        <v>5101</v>
      </c>
      <c r="C23" s="25">
        <v>20</v>
      </c>
      <c r="D23" s="25">
        <v>58</v>
      </c>
      <c r="E23" s="25">
        <v>58</v>
      </c>
      <c r="F23" s="25">
        <v>0</v>
      </c>
      <c r="G23" s="25">
        <v>0</v>
      </c>
      <c r="H23" s="25">
        <v>1</v>
      </c>
      <c r="I23" s="25">
        <v>1.2</v>
      </c>
      <c r="J23" s="25">
        <v>0</v>
      </c>
      <c r="K23" s="25">
        <v>50</v>
      </c>
      <c r="L23" s="25">
        <v>2201</v>
      </c>
      <c r="M23" s="25" t="s">
        <v>392</v>
      </c>
      <c r="N23" s="25">
        <v>0</v>
      </c>
    </row>
    <row r="24" customHeight="1" spans="1:14">
      <c r="A24" s="155" t="s">
        <v>391</v>
      </c>
      <c r="B24" s="25">
        <v>5101</v>
      </c>
      <c r="C24" s="25">
        <v>21</v>
      </c>
      <c r="D24" s="25">
        <v>60</v>
      </c>
      <c r="E24" s="25">
        <v>60</v>
      </c>
      <c r="F24" s="25">
        <v>0</v>
      </c>
      <c r="G24" s="25">
        <v>0</v>
      </c>
      <c r="H24" s="25">
        <v>1</v>
      </c>
      <c r="I24" s="25">
        <v>1.2</v>
      </c>
      <c r="J24" s="25">
        <v>0</v>
      </c>
      <c r="K24" s="25">
        <v>50</v>
      </c>
      <c r="L24" s="25">
        <v>2201</v>
      </c>
      <c r="M24" s="25" t="s">
        <v>392</v>
      </c>
      <c r="N24" s="25">
        <v>0</v>
      </c>
    </row>
    <row r="25" customHeight="1" spans="1:14">
      <c r="A25" s="155" t="s">
        <v>391</v>
      </c>
      <c r="B25" s="25">
        <v>5101</v>
      </c>
      <c r="C25" s="25">
        <v>22</v>
      </c>
      <c r="D25" s="25">
        <v>62</v>
      </c>
      <c r="E25" s="25">
        <v>62</v>
      </c>
      <c r="F25" s="25">
        <v>0</v>
      </c>
      <c r="G25" s="25">
        <v>0</v>
      </c>
      <c r="H25" s="25">
        <v>1</v>
      </c>
      <c r="I25" s="25">
        <v>1.2</v>
      </c>
      <c r="J25" s="25">
        <v>0</v>
      </c>
      <c r="K25" s="25">
        <v>50</v>
      </c>
      <c r="L25" s="25">
        <v>2201</v>
      </c>
      <c r="M25" s="25" t="s">
        <v>392</v>
      </c>
      <c r="N25" s="25">
        <v>0</v>
      </c>
    </row>
    <row r="26" customHeight="1" spans="1:14">
      <c r="A26" s="155" t="s">
        <v>391</v>
      </c>
      <c r="B26" s="25">
        <v>5101</v>
      </c>
      <c r="C26" s="25">
        <v>23</v>
      </c>
      <c r="D26" s="25">
        <v>64</v>
      </c>
      <c r="E26" s="25">
        <v>64</v>
      </c>
      <c r="F26" s="25">
        <v>0</v>
      </c>
      <c r="G26" s="25">
        <v>0</v>
      </c>
      <c r="H26" s="25">
        <v>1</v>
      </c>
      <c r="I26" s="25">
        <v>1.2</v>
      </c>
      <c r="J26" s="25">
        <v>0</v>
      </c>
      <c r="K26" s="25">
        <v>50</v>
      </c>
      <c r="L26" s="25">
        <v>2201</v>
      </c>
      <c r="M26" s="25" t="s">
        <v>392</v>
      </c>
      <c r="N26" s="25">
        <v>0</v>
      </c>
    </row>
    <row r="27" customHeight="1" spans="1:14">
      <c r="A27" s="155" t="s">
        <v>391</v>
      </c>
      <c r="B27" s="25">
        <v>5101</v>
      </c>
      <c r="C27" s="25">
        <v>24</v>
      </c>
      <c r="D27" s="25">
        <v>66</v>
      </c>
      <c r="E27" s="25">
        <v>66</v>
      </c>
      <c r="F27" s="25">
        <v>0</v>
      </c>
      <c r="G27" s="25">
        <v>0</v>
      </c>
      <c r="H27" s="25">
        <v>1</v>
      </c>
      <c r="I27" s="25">
        <v>1.2</v>
      </c>
      <c r="J27" s="25">
        <v>0</v>
      </c>
      <c r="K27" s="25">
        <v>50</v>
      </c>
      <c r="L27" s="25">
        <v>2201</v>
      </c>
      <c r="M27" s="25" t="s">
        <v>392</v>
      </c>
      <c r="N27" s="25">
        <v>0</v>
      </c>
    </row>
    <row r="28" customHeight="1" spans="1:14">
      <c r="A28" s="155" t="s">
        <v>391</v>
      </c>
      <c r="B28" s="25">
        <v>5101</v>
      </c>
      <c r="C28" s="25">
        <v>25</v>
      </c>
      <c r="D28" s="25">
        <v>70</v>
      </c>
      <c r="E28" s="25">
        <v>70</v>
      </c>
      <c r="F28" s="25">
        <v>0</v>
      </c>
      <c r="G28" s="25">
        <v>0</v>
      </c>
      <c r="H28" s="25">
        <v>1</v>
      </c>
      <c r="I28" s="25">
        <v>1.2</v>
      </c>
      <c r="J28" s="25">
        <v>0</v>
      </c>
      <c r="K28" s="25">
        <v>50</v>
      </c>
      <c r="L28" s="25">
        <v>2201</v>
      </c>
      <c r="M28" s="25" t="s">
        <v>392</v>
      </c>
      <c r="N28" s="25">
        <v>0</v>
      </c>
    </row>
    <row r="29" customHeight="1" spans="1:14">
      <c r="A29" s="155" t="s">
        <v>393</v>
      </c>
      <c r="B29" s="25">
        <v>5103</v>
      </c>
      <c r="C29" s="25">
        <v>1</v>
      </c>
      <c r="D29" s="25">
        <v>24</v>
      </c>
      <c r="E29" s="25">
        <v>0</v>
      </c>
      <c r="F29" s="25">
        <v>0</v>
      </c>
      <c r="G29" s="25">
        <v>2.4</v>
      </c>
      <c r="H29" s="25">
        <v>10</v>
      </c>
      <c r="I29" s="25">
        <v>0.3</v>
      </c>
      <c r="J29" s="25">
        <v>0</v>
      </c>
      <c r="K29" s="25">
        <v>45</v>
      </c>
      <c r="L29" s="31">
        <v>2203</v>
      </c>
      <c r="M29" s="25" t="s">
        <v>392</v>
      </c>
      <c r="N29" s="25">
        <v>1</v>
      </c>
    </row>
    <row r="30" customHeight="1" spans="1:14">
      <c r="A30" s="155" t="s">
        <v>393</v>
      </c>
      <c r="B30" s="25">
        <v>5103</v>
      </c>
      <c r="C30" s="25">
        <v>2</v>
      </c>
      <c r="D30" s="25">
        <v>26</v>
      </c>
      <c r="E30" s="25">
        <v>0</v>
      </c>
      <c r="F30" s="25">
        <v>0</v>
      </c>
      <c r="G30" s="25">
        <v>2.6</v>
      </c>
      <c r="H30" s="25">
        <v>10</v>
      </c>
      <c r="I30" s="25">
        <v>0.3</v>
      </c>
      <c r="J30" s="25">
        <v>0</v>
      </c>
      <c r="K30" s="25">
        <v>45</v>
      </c>
      <c r="L30" s="31">
        <v>2203</v>
      </c>
      <c r="M30" s="25" t="s">
        <v>392</v>
      </c>
      <c r="N30" s="25">
        <v>1</v>
      </c>
    </row>
    <row r="31" customHeight="1" spans="1:14">
      <c r="A31" s="155" t="s">
        <v>393</v>
      </c>
      <c r="B31" s="25">
        <v>5103</v>
      </c>
      <c r="C31" s="25">
        <v>3</v>
      </c>
      <c r="D31" s="25">
        <v>28</v>
      </c>
      <c r="E31" s="25">
        <v>0</v>
      </c>
      <c r="F31" s="25">
        <v>0</v>
      </c>
      <c r="G31" s="25">
        <v>2.8</v>
      </c>
      <c r="H31" s="25">
        <v>10</v>
      </c>
      <c r="I31" s="25">
        <v>0.3</v>
      </c>
      <c r="J31" s="25">
        <v>0</v>
      </c>
      <c r="K31" s="25">
        <v>45</v>
      </c>
      <c r="L31" s="31">
        <v>2203</v>
      </c>
      <c r="M31" s="25" t="s">
        <v>392</v>
      </c>
      <c r="N31" s="25">
        <v>1</v>
      </c>
    </row>
    <row r="32" customHeight="1" spans="1:14">
      <c r="A32" s="155" t="s">
        <v>393</v>
      </c>
      <c r="B32" s="25">
        <v>5103</v>
      </c>
      <c r="C32" s="25">
        <v>4</v>
      </c>
      <c r="D32" s="25">
        <v>30</v>
      </c>
      <c r="E32" s="25">
        <v>0</v>
      </c>
      <c r="F32" s="25">
        <v>0</v>
      </c>
      <c r="G32" s="25">
        <v>3</v>
      </c>
      <c r="H32" s="25">
        <v>10</v>
      </c>
      <c r="I32" s="25">
        <v>0.3</v>
      </c>
      <c r="J32" s="25">
        <v>0</v>
      </c>
      <c r="K32" s="25">
        <v>45</v>
      </c>
      <c r="L32" s="31">
        <v>2203</v>
      </c>
      <c r="M32" s="25" t="s">
        <v>392</v>
      </c>
      <c r="N32" s="25">
        <v>1</v>
      </c>
    </row>
    <row r="33" customHeight="1" spans="1:14">
      <c r="A33" s="155" t="s">
        <v>393</v>
      </c>
      <c r="B33" s="25">
        <v>5103</v>
      </c>
      <c r="C33" s="25">
        <v>5</v>
      </c>
      <c r="D33" s="25">
        <v>32</v>
      </c>
      <c r="E33" s="25">
        <v>0</v>
      </c>
      <c r="F33" s="25">
        <v>0</v>
      </c>
      <c r="G33" s="25">
        <v>3.2</v>
      </c>
      <c r="H33" s="25">
        <v>10</v>
      </c>
      <c r="I33" s="25">
        <v>0.3</v>
      </c>
      <c r="J33" s="25">
        <v>0</v>
      </c>
      <c r="K33" s="25">
        <v>45</v>
      </c>
      <c r="L33" s="31">
        <v>2203</v>
      </c>
      <c r="M33" s="25" t="s">
        <v>392</v>
      </c>
      <c r="N33" s="25">
        <v>1</v>
      </c>
    </row>
    <row r="34" customHeight="1" spans="1:14">
      <c r="A34" s="155" t="s">
        <v>393</v>
      </c>
      <c r="B34" s="25">
        <v>5103</v>
      </c>
      <c r="C34" s="25">
        <v>6</v>
      </c>
      <c r="D34" s="25">
        <v>36</v>
      </c>
      <c r="E34" s="25">
        <v>0</v>
      </c>
      <c r="F34" s="25">
        <v>0</v>
      </c>
      <c r="G34" s="25">
        <v>3.6</v>
      </c>
      <c r="H34" s="25">
        <v>10</v>
      </c>
      <c r="I34" s="25">
        <v>0.3</v>
      </c>
      <c r="J34" s="25">
        <v>0</v>
      </c>
      <c r="K34" s="25">
        <v>45</v>
      </c>
      <c r="L34" s="31">
        <v>2203</v>
      </c>
      <c r="M34" s="25" t="s">
        <v>392</v>
      </c>
      <c r="N34" s="25">
        <v>1</v>
      </c>
    </row>
    <row r="35" customHeight="1" spans="1:14">
      <c r="A35" s="155" t="s">
        <v>393</v>
      </c>
      <c r="B35" s="25">
        <v>5103</v>
      </c>
      <c r="C35" s="25">
        <v>7</v>
      </c>
      <c r="D35" s="25">
        <v>38</v>
      </c>
      <c r="E35" s="25">
        <v>0</v>
      </c>
      <c r="F35" s="25">
        <v>0</v>
      </c>
      <c r="G35" s="25">
        <v>3.8</v>
      </c>
      <c r="H35" s="25">
        <v>10</v>
      </c>
      <c r="I35" s="25">
        <v>0.3</v>
      </c>
      <c r="J35" s="25">
        <v>0</v>
      </c>
      <c r="K35" s="25">
        <v>45</v>
      </c>
      <c r="L35" s="31">
        <v>2203</v>
      </c>
      <c r="M35" s="25" t="s">
        <v>392</v>
      </c>
      <c r="N35" s="25">
        <v>1</v>
      </c>
    </row>
    <row r="36" customHeight="1" spans="1:14">
      <c r="A36" s="155" t="s">
        <v>393</v>
      </c>
      <c r="B36" s="25">
        <v>5103</v>
      </c>
      <c r="C36" s="25">
        <v>8</v>
      </c>
      <c r="D36" s="25">
        <v>40</v>
      </c>
      <c r="E36" s="25">
        <v>0</v>
      </c>
      <c r="F36" s="25">
        <v>0</v>
      </c>
      <c r="G36" s="25">
        <v>4</v>
      </c>
      <c r="H36" s="25">
        <v>10</v>
      </c>
      <c r="I36" s="25">
        <v>0.3</v>
      </c>
      <c r="J36" s="25">
        <v>0</v>
      </c>
      <c r="K36" s="25">
        <v>45</v>
      </c>
      <c r="L36" s="31">
        <v>2203</v>
      </c>
      <c r="M36" s="25" t="s">
        <v>392</v>
      </c>
      <c r="N36" s="25">
        <v>1</v>
      </c>
    </row>
    <row r="37" customHeight="1" spans="1:14">
      <c r="A37" s="155" t="s">
        <v>393</v>
      </c>
      <c r="B37" s="25">
        <v>5103</v>
      </c>
      <c r="C37" s="25">
        <v>9</v>
      </c>
      <c r="D37" s="25">
        <v>42</v>
      </c>
      <c r="E37" s="25">
        <v>0</v>
      </c>
      <c r="F37" s="25">
        <v>0</v>
      </c>
      <c r="G37" s="25">
        <v>4.2</v>
      </c>
      <c r="H37" s="25">
        <v>10</v>
      </c>
      <c r="I37" s="25">
        <v>0.3</v>
      </c>
      <c r="J37" s="25">
        <v>0</v>
      </c>
      <c r="K37" s="25">
        <v>45</v>
      </c>
      <c r="L37" s="31">
        <v>2203</v>
      </c>
      <c r="M37" s="25" t="s">
        <v>392</v>
      </c>
      <c r="N37" s="25">
        <v>1</v>
      </c>
    </row>
    <row r="38" customHeight="1" spans="1:14">
      <c r="A38" s="155" t="s">
        <v>393</v>
      </c>
      <c r="B38" s="25">
        <v>5103</v>
      </c>
      <c r="C38" s="25">
        <v>10</v>
      </c>
      <c r="D38" s="25">
        <v>44</v>
      </c>
      <c r="E38" s="25">
        <v>0</v>
      </c>
      <c r="F38" s="25">
        <v>0</v>
      </c>
      <c r="G38" s="25">
        <v>4.4</v>
      </c>
      <c r="H38" s="25">
        <v>10</v>
      </c>
      <c r="I38" s="25">
        <v>0.3</v>
      </c>
      <c r="J38" s="25">
        <v>0</v>
      </c>
      <c r="K38" s="25">
        <v>45</v>
      </c>
      <c r="L38" s="31">
        <v>2203</v>
      </c>
      <c r="M38" s="25" t="s">
        <v>392</v>
      </c>
      <c r="N38" s="25">
        <v>1</v>
      </c>
    </row>
    <row r="39" customHeight="1" spans="1:14">
      <c r="A39" s="155" t="s">
        <v>393</v>
      </c>
      <c r="B39" s="25">
        <v>5103</v>
      </c>
      <c r="C39" s="25">
        <v>11</v>
      </c>
      <c r="D39" s="25">
        <v>48</v>
      </c>
      <c r="E39" s="25">
        <v>0</v>
      </c>
      <c r="F39" s="25">
        <v>0</v>
      </c>
      <c r="G39" s="25">
        <v>4.8</v>
      </c>
      <c r="H39" s="25">
        <v>10</v>
      </c>
      <c r="I39" s="25">
        <v>0.3</v>
      </c>
      <c r="J39" s="25">
        <v>0</v>
      </c>
      <c r="K39" s="25">
        <v>45</v>
      </c>
      <c r="L39" s="31">
        <v>2203</v>
      </c>
      <c r="M39" s="25" t="s">
        <v>392</v>
      </c>
      <c r="N39" s="25">
        <v>1</v>
      </c>
    </row>
    <row r="40" customHeight="1" spans="1:14">
      <c r="A40" s="155" t="s">
        <v>393</v>
      </c>
      <c r="B40" s="25">
        <v>5103</v>
      </c>
      <c r="C40" s="25">
        <v>12</v>
      </c>
      <c r="D40" s="25">
        <v>50</v>
      </c>
      <c r="E40" s="25">
        <v>0</v>
      </c>
      <c r="F40" s="25">
        <v>0</v>
      </c>
      <c r="G40" s="25">
        <v>5</v>
      </c>
      <c r="H40" s="25">
        <v>10</v>
      </c>
      <c r="I40" s="25">
        <v>0.3</v>
      </c>
      <c r="J40" s="25">
        <v>0</v>
      </c>
      <c r="K40" s="25">
        <v>45</v>
      </c>
      <c r="L40" s="31">
        <v>2203</v>
      </c>
      <c r="M40" s="25" t="s">
        <v>392</v>
      </c>
      <c r="N40" s="25">
        <v>1</v>
      </c>
    </row>
    <row r="41" customHeight="1" spans="1:14">
      <c r="A41" s="155" t="s">
        <v>393</v>
      </c>
      <c r="B41" s="25">
        <v>5103</v>
      </c>
      <c r="C41" s="25">
        <v>13</v>
      </c>
      <c r="D41" s="25">
        <v>52</v>
      </c>
      <c r="E41" s="25">
        <v>0</v>
      </c>
      <c r="F41" s="25">
        <v>0</v>
      </c>
      <c r="G41" s="25">
        <v>5.2</v>
      </c>
      <c r="H41" s="25">
        <v>10</v>
      </c>
      <c r="I41" s="25">
        <v>0.3</v>
      </c>
      <c r="J41" s="25">
        <v>0</v>
      </c>
      <c r="K41" s="25">
        <v>45</v>
      </c>
      <c r="L41" s="31">
        <v>2203</v>
      </c>
      <c r="M41" s="25" t="s">
        <v>392</v>
      </c>
      <c r="N41" s="25">
        <v>1</v>
      </c>
    </row>
    <row r="42" customHeight="1" spans="1:14">
      <c r="A42" s="155" t="s">
        <v>393</v>
      </c>
      <c r="B42" s="25">
        <v>5103</v>
      </c>
      <c r="C42" s="25">
        <v>14</v>
      </c>
      <c r="D42" s="25">
        <v>54</v>
      </c>
      <c r="E42" s="25">
        <v>0</v>
      </c>
      <c r="F42" s="25">
        <v>0</v>
      </c>
      <c r="G42" s="25">
        <v>5.4</v>
      </c>
      <c r="H42" s="25">
        <v>10</v>
      </c>
      <c r="I42" s="25">
        <v>0.3</v>
      </c>
      <c r="J42" s="25">
        <v>0</v>
      </c>
      <c r="K42" s="25">
        <v>45</v>
      </c>
      <c r="L42" s="31">
        <v>2203</v>
      </c>
      <c r="M42" s="25" t="s">
        <v>392</v>
      </c>
      <c r="N42" s="25">
        <v>1</v>
      </c>
    </row>
    <row r="43" customHeight="1" spans="1:14">
      <c r="A43" s="155" t="s">
        <v>393</v>
      </c>
      <c r="B43" s="25">
        <v>5103</v>
      </c>
      <c r="C43" s="25">
        <v>15</v>
      </c>
      <c r="D43" s="25">
        <v>56</v>
      </c>
      <c r="E43" s="25">
        <v>0</v>
      </c>
      <c r="F43" s="25">
        <v>0</v>
      </c>
      <c r="G43" s="25">
        <v>5.6</v>
      </c>
      <c r="H43" s="25">
        <v>10</v>
      </c>
      <c r="I43" s="25">
        <v>0.3</v>
      </c>
      <c r="J43" s="25">
        <v>0</v>
      </c>
      <c r="K43" s="25">
        <v>45</v>
      </c>
      <c r="L43" s="31">
        <v>2203</v>
      </c>
      <c r="M43" s="25" t="s">
        <v>392</v>
      </c>
      <c r="N43" s="25">
        <v>1</v>
      </c>
    </row>
    <row r="44" customHeight="1" spans="1:14">
      <c r="A44" s="155" t="s">
        <v>393</v>
      </c>
      <c r="B44" s="25">
        <v>5103</v>
      </c>
      <c r="C44" s="25">
        <v>16</v>
      </c>
      <c r="D44" s="25">
        <v>60</v>
      </c>
      <c r="E44" s="25">
        <v>0</v>
      </c>
      <c r="F44" s="25">
        <v>0</v>
      </c>
      <c r="G44" s="25">
        <v>6</v>
      </c>
      <c r="H44" s="25">
        <v>10</v>
      </c>
      <c r="I44" s="25">
        <v>0.3</v>
      </c>
      <c r="J44" s="25">
        <v>0</v>
      </c>
      <c r="K44" s="25">
        <v>45</v>
      </c>
      <c r="L44" s="31">
        <v>2203</v>
      </c>
      <c r="M44" s="25" t="s">
        <v>392</v>
      </c>
      <c r="N44" s="25">
        <v>1</v>
      </c>
    </row>
    <row r="45" customHeight="1" spans="1:14">
      <c r="A45" s="155" t="s">
        <v>393</v>
      </c>
      <c r="B45" s="25">
        <v>5103</v>
      </c>
      <c r="C45" s="25">
        <v>17</v>
      </c>
      <c r="D45" s="25">
        <v>62</v>
      </c>
      <c r="E45" s="25">
        <v>0</v>
      </c>
      <c r="F45" s="25">
        <v>0</v>
      </c>
      <c r="G45" s="25">
        <v>6.2</v>
      </c>
      <c r="H45" s="25">
        <v>10</v>
      </c>
      <c r="I45" s="25">
        <v>0.3</v>
      </c>
      <c r="J45" s="25">
        <v>0</v>
      </c>
      <c r="K45" s="25">
        <v>45</v>
      </c>
      <c r="L45" s="31">
        <v>2203</v>
      </c>
      <c r="M45" s="25" t="s">
        <v>392</v>
      </c>
      <c r="N45" s="25">
        <v>1</v>
      </c>
    </row>
    <row r="46" customHeight="1" spans="1:14">
      <c r="A46" s="155" t="s">
        <v>393</v>
      </c>
      <c r="B46" s="25">
        <v>5103</v>
      </c>
      <c r="C46" s="25">
        <v>18</v>
      </c>
      <c r="D46" s="25">
        <v>64</v>
      </c>
      <c r="E46" s="25">
        <v>0</v>
      </c>
      <c r="F46" s="25">
        <v>0</v>
      </c>
      <c r="G46" s="25">
        <v>6.4</v>
      </c>
      <c r="H46" s="25">
        <v>10</v>
      </c>
      <c r="I46" s="25">
        <v>0.3</v>
      </c>
      <c r="J46" s="25">
        <v>0</v>
      </c>
      <c r="K46" s="25">
        <v>45</v>
      </c>
      <c r="L46" s="31">
        <v>2203</v>
      </c>
      <c r="M46" s="25" t="s">
        <v>392</v>
      </c>
      <c r="N46" s="25">
        <v>1</v>
      </c>
    </row>
    <row r="47" customHeight="1" spans="1:14">
      <c r="A47" s="155" t="s">
        <v>393</v>
      </c>
      <c r="B47" s="25">
        <v>5103</v>
      </c>
      <c r="C47" s="25">
        <v>19</v>
      </c>
      <c r="D47" s="25">
        <v>66</v>
      </c>
      <c r="E47" s="25">
        <v>0</v>
      </c>
      <c r="F47" s="25">
        <v>0</v>
      </c>
      <c r="G47" s="25">
        <v>6.6</v>
      </c>
      <c r="H47" s="25">
        <v>10</v>
      </c>
      <c r="I47" s="25">
        <v>0.3</v>
      </c>
      <c r="J47" s="25">
        <v>0</v>
      </c>
      <c r="K47" s="25">
        <v>45</v>
      </c>
      <c r="L47" s="31">
        <v>2203</v>
      </c>
      <c r="M47" s="25" t="s">
        <v>392</v>
      </c>
      <c r="N47" s="25">
        <v>1</v>
      </c>
    </row>
    <row r="48" customHeight="1" spans="1:14">
      <c r="A48" s="155" t="s">
        <v>393</v>
      </c>
      <c r="B48" s="25">
        <v>5103</v>
      </c>
      <c r="C48" s="25">
        <v>20</v>
      </c>
      <c r="D48" s="25">
        <v>70</v>
      </c>
      <c r="E48" s="25">
        <v>0</v>
      </c>
      <c r="F48" s="25">
        <v>0</v>
      </c>
      <c r="G48" s="25">
        <v>7</v>
      </c>
      <c r="H48" s="25">
        <v>10</v>
      </c>
      <c r="I48" s="25">
        <v>0.3</v>
      </c>
      <c r="J48" s="25">
        <v>0</v>
      </c>
      <c r="K48" s="25">
        <v>45</v>
      </c>
      <c r="L48" s="31">
        <v>2203</v>
      </c>
      <c r="M48" s="25" t="s">
        <v>392</v>
      </c>
      <c r="N48" s="25">
        <v>1</v>
      </c>
    </row>
    <row r="49" customHeight="1" spans="1:14">
      <c r="A49" s="155" t="s">
        <v>393</v>
      </c>
      <c r="B49" s="25">
        <v>5103</v>
      </c>
      <c r="C49" s="25">
        <v>21</v>
      </c>
      <c r="D49" s="25">
        <v>74</v>
      </c>
      <c r="E49" s="25">
        <v>0</v>
      </c>
      <c r="F49" s="25">
        <v>0</v>
      </c>
      <c r="G49" s="25">
        <v>7.4</v>
      </c>
      <c r="H49" s="25">
        <v>10</v>
      </c>
      <c r="I49" s="25">
        <v>0.3</v>
      </c>
      <c r="J49" s="25">
        <v>0</v>
      </c>
      <c r="K49" s="25">
        <v>45</v>
      </c>
      <c r="L49" s="31">
        <v>2203</v>
      </c>
      <c r="M49" s="25" t="s">
        <v>392</v>
      </c>
      <c r="N49" s="25">
        <v>1</v>
      </c>
    </row>
    <row r="50" customHeight="1" spans="1:14">
      <c r="A50" s="155" t="s">
        <v>393</v>
      </c>
      <c r="B50" s="25">
        <v>5103</v>
      </c>
      <c r="C50" s="25">
        <v>22</v>
      </c>
      <c r="D50" s="25">
        <v>78</v>
      </c>
      <c r="E50" s="25">
        <v>0</v>
      </c>
      <c r="F50" s="25">
        <v>0</v>
      </c>
      <c r="G50" s="25">
        <v>7.8</v>
      </c>
      <c r="H50" s="25">
        <v>10</v>
      </c>
      <c r="I50" s="25">
        <v>0.3</v>
      </c>
      <c r="J50" s="25">
        <v>0</v>
      </c>
      <c r="K50" s="25">
        <v>45</v>
      </c>
      <c r="L50" s="31">
        <v>2203</v>
      </c>
      <c r="M50" s="25" t="s">
        <v>392</v>
      </c>
      <c r="N50" s="25">
        <v>1</v>
      </c>
    </row>
    <row r="51" customHeight="1" spans="1:14">
      <c r="A51" s="155" t="s">
        <v>393</v>
      </c>
      <c r="B51" s="25">
        <v>5103</v>
      </c>
      <c r="C51" s="25">
        <v>23</v>
      </c>
      <c r="D51" s="25">
        <v>82</v>
      </c>
      <c r="E51" s="25">
        <v>0</v>
      </c>
      <c r="F51" s="25">
        <v>0</v>
      </c>
      <c r="G51" s="25">
        <v>8.2</v>
      </c>
      <c r="H51" s="25">
        <v>10</v>
      </c>
      <c r="I51" s="25">
        <v>0.3</v>
      </c>
      <c r="J51" s="25">
        <v>0</v>
      </c>
      <c r="K51" s="25">
        <v>45</v>
      </c>
      <c r="L51" s="31">
        <v>2203</v>
      </c>
      <c r="M51" s="25" t="s">
        <v>392</v>
      </c>
      <c r="N51" s="25">
        <v>1</v>
      </c>
    </row>
    <row r="52" customHeight="1" spans="1:14">
      <c r="A52" s="155" t="s">
        <v>393</v>
      </c>
      <c r="B52" s="25">
        <v>5103</v>
      </c>
      <c r="C52" s="25">
        <v>24</v>
      </c>
      <c r="D52" s="25">
        <v>86</v>
      </c>
      <c r="E52" s="25">
        <v>0</v>
      </c>
      <c r="F52" s="25">
        <v>0</v>
      </c>
      <c r="G52" s="25">
        <v>8.6</v>
      </c>
      <c r="H52" s="25">
        <v>10</v>
      </c>
      <c r="I52" s="25">
        <v>0.3</v>
      </c>
      <c r="J52" s="25">
        <v>0</v>
      </c>
      <c r="K52" s="25">
        <v>45</v>
      </c>
      <c r="L52" s="31">
        <v>2203</v>
      </c>
      <c r="M52" s="25" t="s">
        <v>392</v>
      </c>
      <c r="N52" s="25">
        <v>1</v>
      </c>
    </row>
    <row r="53" customHeight="1" spans="1:14">
      <c r="A53" s="155" t="s">
        <v>393</v>
      </c>
      <c r="B53" s="25">
        <v>5103</v>
      </c>
      <c r="C53" s="25">
        <v>25</v>
      </c>
      <c r="D53" s="25">
        <v>90</v>
      </c>
      <c r="E53" s="25">
        <v>0</v>
      </c>
      <c r="F53" s="25">
        <v>0</v>
      </c>
      <c r="G53" s="25">
        <v>9</v>
      </c>
      <c r="H53" s="25">
        <v>10</v>
      </c>
      <c r="I53" s="25">
        <v>0.3</v>
      </c>
      <c r="J53" s="25">
        <v>0</v>
      </c>
      <c r="K53" s="25">
        <v>45</v>
      </c>
      <c r="L53" s="31">
        <v>2203</v>
      </c>
      <c r="M53" s="25" t="s">
        <v>392</v>
      </c>
      <c r="N53" s="25">
        <v>1</v>
      </c>
    </row>
    <row r="54" customHeight="1" spans="1:14">
      <c r="A54" s="155" t="s">
        <v>394</v>
      </c>
      <c r="B54" s="25">
        <v>5105</v>
      </c>
      <c r="C54" s="25">
        <v>1</v>
      </c>
      <c r="D54" s="25">
        <v>20</v>
      </c>
      <c r="E54" s="25">
        <v>2</v>
      </c>
      <c r="F54" s="25">
        <v>0</v>
      </c>
      <c r="G54" s="25">
        <v>0</v>
      </c>
      <c r="H54" s="25">
        <v>10</v>
      </c>
      <c r="I54" s="25">
        <v>0.33</v>
      </c>
      <c r="J54" s="25">
        <v>0</v>
      </c>
      <c r="K54" s="25">
        <v>45</v>
      </c>
      <c r="L54" s="31">
        <v>2205</v>
      </c>
      <c r="M54" s="25" t="s">
        <v>392</v>
      </c>
      <c r="N54" s="25">
        <v>1</v>
      </c>
    </row>
    <row r="55" customHeight="1" spans="1:14">
      <c r="A55" s="155" t="s">
        <v>394</v>
      </c>
      <c r="B55" s="25">
        <v>5105</v>
      </c>
      <c r="C55" s="25">
        <v>2</v>
      </c>
      <c r="D55" s="25">
        <v>22</v>
      </c>
      <c r="E55" s="25">
        <v>2</v>
      </c>
      <c r="F55" s="25">
        <v>0</v>
      </c>
      <c r="G55" s="25">
        <v>0</v>
      </c>
      <c r="H55" s="25">
        <v>11</v>
      </c>
      <c r="I55" s="25">
        <v>0.33</v>
      </c>
      <c r="J55" s="25">
        <v>0</v>
      </c>
      <c r="K55" s="25">
        <v>45</v>
      </c>
      <c r="L55" s="31">
        <v>2205</v>
      </c>
      <c r="M55" s="25" t="s">
        <v>392</v>
      </c>
      <c r="N55" s="25">
        <v>1</v>
      </c>
    </row>
    <row r="56" customHeight="1" spans="1:14">
      <c r="A56" s="155" t="s">
        <v>394</v>
      </c>
      <c r="B56" s="25">
        <v>5105</v>
      </c>
      <c r="C56" s="25">
        <v>3</v>
      </c>
      <c r="D56" s="25">
        <v>24</v>
      </c>
      <c r="E56" s="25">
        <v>2</v>
      </c>
      <c r="F56" s="25">
        <v>0</v>
      </c>
      <c r="G56" s="25">
        <v>0</v>
      </c>
      <c r="H56" s="25">
        <v>12</v>
      </c>
      <c r="I56" s="25">
        <v>0.33</v>
      </c>
      <c r="J56" s="25">
        <v>0</v>
      </c>
      <c r="K56" s="25">
        <v>45</v>
      </c>
      <c r="L56" s="31">
        <v>2205</v>
      </c>
      <c r="M56" s="25" t="s">
        <v>392</v>
      </c>
      <c r="N56" s="25">
        <v>1</v>
      </c>
    </row>
    <row r="57" customHeight="1" spans="1:14">
      <c r="A57" s="155" t="s">
        <v>394</v>
      </c>
      <c r="B57" s="25">
        <v>5105</v>
      </c>
      <c r="C57" s="25">
        <v>4</v>
      </c>
      <c r="D57" s="25">
        <v>26</v>
      </c>
      <c r="E57" s="25">
        <v>2</v>
      </c>
      <c r="F57" s="25">
        <v>0</v>
      </c>
      <c r="G57" s="25">
        <v>0</v>
      </c>
      <c r="H57" s="25">
        <v>13</v>
      </c>
      <c r="I57" s="25">
        <v>0.33</v>
      </c>
      <c r="J57" s="25">
        <v>0</v>
      </c>
      <c r="K57" s="25">
        <v>45</v>
      </c>
      <c r="L57" s="31">
        <v>2205</v>
      </c>
      <c r="M57" s="25" t="s">
        <v>392</v>
      </c>
      <c r="N57" s="25">
        <v>1</v>
      </c>
    </row>
    <row r="58" customHeight="1" spans="1:14">
      <c r="A58" s="155" t="s">
        <v>394</v>
      </c>
      <c r="B58" s="25">
        <v>5105</v>
      </c>
      <c r="C58" s="25">
        <v>5</v>
      </c>
      <c r="D58" s="25">
        <v>28</v>
      </c>
      <c r="E58" s="25">
        <v>2</v>
      </c>
      <c r="F58" s="25">
        <v>0</v>
      </c>
      <c r="G58" s="25">
        <v>0</v>
      </c>
      <c r="H58" s="25">
        <v>14</v>
      </c>
      <c r="I58" s="25">
        <v>0.33</v>
      </c>
      <c r="J58" s="25">
        <v>0</v>
      </c>
      <c r="K58" s="25">
        <v>45</v>
      </c>
      <c r="L58" s="31">
        <v>2205</v>
      </c>
      <c r="M58" s="25" t="s">
        <v>392</v>
      </c>
      <c r="N58" s="25">
        <v>1</v>
      </c>
    </row>
    <row r="59" customHeight="1" spans="1:14">
      <c r="A59" s="155" t="s">
        <v>394</v>
      </c>
      <c r="B59" s="25">
        <v>5105</v>
      </c>
      <c r="C59" s="25">
        <v>6</v>
      </c>
      <c r="D59" s="25">
        <v>30</v>
      </c>
      <c r="E59" s="25">
        <v>2</v>
      </c>
      <c r="F59" s="25">
        <v>0</v>
      </c>
      <c r="G59" s="25">
        <v>0</v>
      </c>
      <c r="H59" s="25">
        <v>15</v>
      </c>
      <c r="I59" s="25">
        <v>0.31</v>
      </c>
      <c r="J59" s="25">
        <v>0</v>
      </c>
      <c r="K59" s="25">
        <v>45</v>
      </c>
      <c r="L59" s="31">
        <v>2205</v>
      </c>
      <c r="M59" s="25" t="s">
        <v>392</v>
      </c>
      <c r="N59" s="25">
        <v>1</v>
      </c>
    </row>
    <row r="60" customHeight="1" spans="1:14">
      <c r="A60" s="155" t="s">
        <v>394</v>
      </c>
      <c r="B60" s="25">
        <v>5105</v>
      </c>
      <c r="C60" s="25">
        <v>7</v>
      </c>
      <c r="D60" s="25">
        <v>32</v>
      </c>
      <c r="E60" s="25">
        <v>2</v>
      </c>
      <c r="F60" s="25">
        <v>0</v>
      </c>
      <c r="G60" s="25">
        <v>0</v>
      </c>
      <c r="H60" s="25">
        <v>16</v>
      </c>
      <c r="I60" s="25">
        <v>0.31</v>
      </c>
      <c r="J60" s="25">
        <v>0</v>
      </c>
      <c r="K60" s="25">
        <v>45</v>
      </c>
      <c r="L60" s="31">
        <v>2205</v>
      </c>
      <c r="M60" s="25" t="s">
        <v>392</v>
      </c>
      <c r="N60" s="25">
        <v>1</v>
      </c>
    </row>
    <row r="61" customHeight="1" spans="1:14">
      <c r="A61" s="155" t="s">
        <v>394</v>
      </c>
      <c r="B61" s="25">
        <v>5105</v>
      </c>
      <c r="C61" s="25">
        <v>8</v>
      </c>
      <c r="D61" s="25">
        <v>34</v>
      </c>
      <c r="E61" s="25">
        <v>2</v>
      </c>
      <c r="F61" s="25">
        <v>0</v>
      </c>
      <c r="G61" s="25">
        <v>0</v>
      </c>
      <c r="H61" s="25">
        <v>17</v>
      </c>
      <c r="I61" s="25">
        <v>0.31</v>
      </c>
      <c r="J61" s="25">
        <v>0</v>
      </c>
      <c r="K61" s="25">
        <v>45</v>
      </c>
      <c r="L61" s="31">
        <v>2205</v>
      </c>
      <c r="M61" s="25" t="s">
        <v>392</v>
      </c>
      <c r="N61" s="25">
        <v>1</v>
      </c>
    </row>
    <row r="62" customHeight="1" spans="1:14">
      <c r="A62" s="155" t="s">
        <v>394</v>
      </c>
      <c r="B62" s="25">
        <v>5105</v>
      </c>
      <c r="C62" s="25">
        <v>9</v>
      </c>
      <c r="D62" s="25">
        <v>36</v>
      </c>
      <c r="E62" s="25">
        <v>2</v>
      </c>
      <c r="F62" s="25">
        <v>0</v>
      </c>
      <c r="G62" s="25">
        <v>0</v>
      </c>
      <c r="H62" s="25">
        <v>18</v>
      </c>
      <c r="I62" s="25">
        <v>0.31</v>
      </c>
      <c r="J62" s="25">
        <v>0</v>
      </c>
      <c r="K62" s="25">
        <v>45</v>
      </c>
      <c r="L62" s="31">
        <v>2205</v>
      </c>
      <c r="M62" s="25" t="s">
        <v>392</v>
      </c>
      <c r="N62" s="25">
        <v>1</v>
      </c>
    </row>
    <row r="63" customHeight="1" spans="1:14">
      <c r="A63" s="155" t="s">
        <v>394</v>
      </c>
      <c r="B63" s="25">
        <v>5105</v>
      </c>
      <c r="C63" s="25">
        <v>10</v>
      </c>
      <c r="D63" s="25">
        <v>38</v>
      </c>
      <c r="E63" s="25">
        <v>2</v>
      </c>
      <c r="F63" s="25">
        <v>0</v>
      </c>
      <c r="G63" s="25">
        <v>0</v>
      </c>
      <c r="H63" s="25">
        <v>19</v>
      </c>
      <c r="I63" s="25">
        <v>0.31</v>
      </c>
      <c r="J63" s="25">
        <v>0</v>
      </c>
      <c r="K63" s="25">
        <v>45</v>
      </c>
      <c r="L63" s="31">
        <v>2205</v>
      </c>
      <c r="M63" s="25" t="s">
        <v>392</v>
      </c>
      <c r="N63" s="25">
        <v>1</v>
      </c>
    </row>
    <row r="64" customHeight="1" spans="1:14">
      <c r="A64" s="155" t="s">
        <v>394</v>
      </c>
      <c r="B64" s="25">
        <v>5105</v>
      </c>
      <c r="C64" s="25">
        <v>11</v>
      </c>
      <c r="D64" s="25">
        <v>40</v>
      </c>
      <c r="E64" s="25">
        <v>2</v>
      </c>
      <c r="F64" s="25">
        <v>0</v>
      </c>
      <c r="G64" s="25">
        <v>0</v>
      </c>
      <c r="H64" s="25">
        <v>20</v>
      </c>
      <c r="I64" s="25">
        <v>0.29</v>
      </c>
      <c r="J64" s="25">
        <v>0</v>
      </c>
      <c r="K64" s="25">
        <v>45</v>
      </c>
      <c r="L64" s="31">
        <v>2205</v>
      </c>
      <c r="M64" s="25" t="s">
        <v>392</v>
      </c>
      <c r="N64" s="25">
        <v>1</v>
      </c>
    </row>
    <row r="65" customHeight="1" spans="1:14">
      <c r="A65" s="155" t="s">
        <v>394</v>
      </c>
      <c r="B65" s="25">
        <v>5105</v>
      </c>
      <c r="C65" s="25">
        <v>12</v>
      </c>
      <c r="D65" s="25">
        <v>42</v>
      </c>
      <c r="E65" s="25">
        <v>2</v>
      </c>
      <c r="F65" s="25">
        <v>0</v>
      </c>
      <c r="G65" s="25">
        <v>0</v>
      </c>
      <c r="H65" s="25">
        <v>21</v>
      </c>
      <c r="I65" s="25">
        <v>0.29</v>
      </c>
      <c r="J65" s="25">
        <v>0</v>
      </c>
      <c r="K65" s="25">
        <v>45</v>
      </c>
      <c r="L65" s="31">
        <v>2205</v>
      </c>
      <c r="M65" s="25" t="s">
        <v>392</v>
      </c>
      <c r="N65" s="25">
        <v>1</v>
      </c>
    </row>
    <row r="66" customHeight="1" spans="1:14">
      <c r="A66" s="155" t="s">
        <v>394</v>
      </c>
      <c r="B66" s="25">
        <v>5105</v>
      </c>
      <c r="C66" s="25">
        <v>13</v>
      </c>
      <c r="D66" s="25">
        <v>44</v>
      </c>
      <c r="E66" s="25">
        <v>2</v>
      </c>
      <c r="F66" s="25">
        <v>0</v>
      </c>
      <c r="G66" s="25">
        <v>0</v>
      </c>
      <c r="H66" s="25">
        <v>22</v>
      </c>
      <c r="I66" s="25">
        <v>0.29</v>
      </c>
      <c r="J66" s="25">
        <v>0</v>
      </c>
      <c r="K66" s="25">
        <v>45</v>
      </c>
      <c r="L66" s="31">
        <v>2205</v>
      </c>
      <c r="M66" s="25" t="s">
        <v>392</v>
      </c>
      <c r="N66" s="25">
        <v>1</v>
      </c>
    </row>
    <row r="67" customHeight="1" spans="1:14">
      <c r="A67" s="155" t="s">
        <v>394</v>
      </c>
      <c r="B67" s="25">
        <v>5105</v>
      </c>
      <c r="C67" s="25">
        <v>14</v>
      </c>
      <c r="D67" s="25">
        <v>46</v>
      </c>
      <c r="E67" s="25">
        <v>2</v>
      </c>
      <c r="F67" s="25">
        <v>0</v>
      </c>
      <c r="G67" s="25">
        <v>0</v>
      </c>
      <c r="H67" s="25">
        <v>23</v>
      </c>
      <c r="I67" s="25">
        <v>0.29</v>
      </c>
      <c r="J67" s="25">
        <v>0</v>
      </c>
      <c r="K67" s="25">
        <v>45</v>
      </c>
      <c r="L67" s="31">
        <v>2205</v>
      </c>
      <c r="M67" s="25" t="s">
        <v>392</v>
      </c>
      <c r="N67" s="25">
        <v>1</v>
      </c>
    </row>
    <row r="68" customHeight="1" spans="1:14">
      <c r="A68" s="155" t="s">
        <v>394</v>
      </c>
      <c r="B68" s="25">
        <v>5105</v>
      </c>
      <c r="C68" s="25">
        <v>15</v>
      </c>
      <c r="D68" s="25">
        <v>48</v>
      </c>
      <c r="E68" s="25">
        <v>2</v>
      </c>
      <c r="F68" s="25">
        <v>0</v>
      </c>
      <c r="G68" s="25">
        <v>0</v>
      </c>
      <c r="H68" s="25">
        <v>24</v>
      </c>
      <c r="I68" s="25">
        <v>0.29</v>
      </c>
      <c r="J68" s="25">
        <v>0</v>
      </c>
      <c r="K68" s="25">
        <v>45</v>
      </c>
      <c r="L68" s="31">
        <v>2205</v>
      </c>
      <c r="M68" s="25" t="s">
        <v>392</v>
      </c>
      <c r="N68" s="25">
        <v>1</v>
      </c>
    </row>
    <row r="69" customHeight="1" spans="1:14">
      <c r="A69" s="155" t="s">
        <v>394</v>
      </c>
      <c r="B69" s="25">
        <v>5105</v>
      </c>
      <c r="C69" s="25">
        <v>16</v>
      </c>
      <c r="D69" s="25">
        <v>50</v>
      </c>
      <c r="E69" s="25">
        <v>2</v>
      </c>
      <c r="F69" s="25">
        <v>0</v>
      </c>
      <c r="G69" s="25">
        <v>0</v>
      </c>
      <c r="H69" s="25">
        <v>25</v>
      </c>
      <c r="I69" s="25">
        <v>0.27</v>
      </c>
      <c r="J69" s="25">
        <v>0</v>
      </c>
      <c r="K69" s="25">
        <v>45</v>
      </c>
      <c r="L69" s="31">
        <v>2205</v>
      </c>
      <c r="M69" s="25" t="s">
        <v>392</v>
      </c>
      <c r="N69" s="25">
        <v>1</v>
      </c>
    </row>
    <row r="70" customHeight="1" spans="1:14">
      <c r="A70" s="155" t="s">
        <v>394</v>
      </c>
      <c r="B70" s="25">
        <v>5105</v>
      </c>
      <c r="C70" s="25">
        <v>17</v>
      </c>
      <c r="D70" s="25">
        <v>52</v>
      </c>
      <c r="E70" s="25">
        <v>2</v>
      </c>
      <c r="F70" s="25">
        <v>0</v>
      </c>
      <c r="G70" s="25">
        <v>0</v>
      </c>
      <c r="H70" s="25">
        <v>26</v>
      </c>
      <c r="I70" s="25">
        <v>0.27</v>
      </c>
      <c r="J70" s="25">
        <v>0</v>
      </c>
      <c r="K70" s="25">
        <v>45</v>
      </c>
      <c r="L70" s="31">
        <v>2205</v>
      </c>
      <c r="M70" s="25" t="s">
        <v>392</v>
      </c>
      <c r="N70" s="25">
        <v>1</v>
      </c>
    </row>
    <row r="71" customHeight="1" spans="1:14">
      <c r="A71" s="155" t="s">
        <v>394</v>
      </c>
      <c r="B71" s="25">
        <v>5105</v>
      </c>
      <c r="C71" s="25">
        <v>18</v>
      </c>
      <c r="D71" s="25">
        <v>54</v>
      </c>
      <c r="E71" s="25">
        <v>2</v>
      </c>
      <c r="F71" s="25">
        <v>0</v>
      </c>
      <c r="G71" s="25">
        <v>0</v>
      </c>
      <c r="H71" s="25">
        <v>27</v>
      </c>
      <c r="I71" s="25">
        <v>0.27</v>
      </c>
      <c r="J71" s="25">
        <v>0</v>
      </c>
      <c r="K71" s="25">
        <v>45</v>
      </c>
      <c r="L71" s="31">
        <v>2205</v>
      </c>
      <c r="M71" s="25" t="s">
        <v>392</v>
      </c>
      <c r="N71" s="25">
        <v>1</v>
      </c>
    </row>
    <row r="72" customHeight="1" spans="1:14">
      <c r="A72" s="155" t="s">
        <v>394</v>
      </c>
      <c r="B72" s="25">
        <v>5105</v>
      </c>
      <c r="C72" s="25">
        <v>19</v>
      </c>
      <c r="D72" s="25">
        <v>56</v>
      </c>
      <c r="E72" s="25">
        <v>2</v>
      </c>
      <c r="F72" s="25">
        <v>0</v>
      </c>
      <c r="G72" s="25">
        <v>0</v>
      </c>
      <c r="H72" s="25">
        <v>28</v>
      </c>
      <c r="I72" s="25">
        <v>0.27</v>
      </c>
      <c r="J72" s="25">
        <v>0</v>
      </c>
      <c r="K72" s="25">
        <v>45</v>
      </c>
      <c r="L72" s="31">
        <v>2205</v>
      </c>
      <c r="M72" s="25" t="s">
        <v>392</v>
      </c>
      <c r="N72" s="25">
        <v>1</v>
      </c>
    </row>
    <row r="73" customHeight="1" spans="1:14">
      <c r="A73" s="155" t="s">
        <v>394</v>
      </c>
      <c r="B73" s="25">
        <v>5105</v>
      </c>
      <c r="C73" s="25">
        <v>20</v>
      </c>
      <c r="D73" s="25">
        <v>58</v>
      </c>
      <c r="E73" s="25">
        <v>2</v>
      </c>
      <c r="F73" s="25">
        <v>0</v>
      </c>
      <c r="G73" s="25">
        <v>0</v>
      </c>
      <c r="H73" s="25">
        <v>29</v>
      </c>
      <c r="I73" s="25">
        <v>0.27</v>
      </c>
      <c r="J73" s="25">
        <v>0</v>
      </c>
      <c r="K73" s="25">
        <v>45</v>
      </c>
      <c r="L73" s="31">
        <v>2205</v>
      </c>
      <c r="M73" s="25" t="s">
        <v>392</v>
      </c>
      <c r="N73" s="25">
        <v>1</v>
      </c>
    </row>
    <row r="74" customHeight="1" spans="1:14">
      <c r="A74" s="155" t="s">
        <v>394</v>
      </c>
      <c r="B74" s="25">
        <v>5105</v>
      </c>
      <c r="C74" s="25">
        <v>21</v>
      </c>
      <c r="D74" s="25">
        <v>60</v>
      </c>
      <c r="E74" s="25">
        <v>2</v>
      </c>
      <c r="F74" s="25">
        <v>0</v>
      </c>
      <c r="G74" s="25">
        <v>0</v>
      </c>
      <c r="H74" s="25">
        <v>30</v>
      </c>
      <c r="I74" s="25">
        <v>0.25</v>
      </c>
      <c r="J74" s="25">
        <v>0</v>
      </c>
      <c r="K74" s="25">
        <v>45</v>
      </c>
      <c r="L74" s="31">
        <v>2205</v>
      </c>
      <c r="M74" s="25" t="s">
        <v>392</v>
      </c>
      <c r="N74" s="25">
        <v>1</v>
      </c>
    </row>
    <row r="75" customHeight="1" spans="1:14">
      <c r="A75" s="155" t="s">
        <v>394</v>
      </c>
      <c r="B75" s="25">
        <v>5105</v>
      </c>
      <c r="C75" s="25">
        <v>22</v>
      </c>
      <c r="D75" s="25">
        <v>62</v>
      </c>
      <c r="E75" s="25">
        <v>2</v>
      </c>
      <c r="F75" s="25">
        <v>0</v>
      </c>
      <c r="G75" s="25">
        <v>0</v>
      </c>
      <c r="H75" s="25">
        <v>31</v>
      </c>
      <c r="I75" s="25">
        <v>0.25</v>
      </c>
      <c r="J75" s="25">
        <v>0</v>
      </c>
      <c r="K75" s="25">
        <v>45</v>
      </c>
      <c r="L75" s="31">
        <v>2205</v>
      </c>
      <c r="M75" s="25" t="s">
        <v>392</v>
      </c>
      <c r="N75" s="25">
        <v>1</v>
      </c>
    </row>
    <row r="76" customHeight="1" spans="1:14">
      <c r="A76" s="155" t="s">
        <v>394</v>
      </c>
      <c r="B76" s="25">
        <v>5105</v>
      </c>
      <c r="C76" s="25">
        <v>23</v>
      </c>
      <c r="D76" s="25">
        <v>64</v>
      </c>
      <c r="E76" s="25">
        <v>2</v>
      </c>
      <c r="F76" s="25">
        <v>0</v>
      </c>
      <c r="G76" s="25">
        <v>0</v>
      </c>
      <c r="H76" s="25">
        <v>32</v>
      </c>
      <c r="I76" s="25">
        <v>0.25</v>
      </c>
      <c r="J76" s="25">
        <v>0</v>
      </c>
      <c r="K76" s="25">
        <v>45</v>
      </c>
      <c r="L76" s="31">
        <v>2205</v>
      </c>
      <c r="M76" s="25" t="s">
        <v>392</v>
      </c>
      <c r="N76" s="25">
        <v>1</v>
      </c>
    </row>
    <row r="77" customHeight="1" spans="1:14">
      <c r="A77" s="155" t="s">
        <v>394</v>
      </c>
      <c r="B77" s="25">
        <v>5105</v>
      </c>
      <c r="C77" s="25">
        <v>24</v>
      </c>
      <c r="D77" s="25">
        <v>66</v>
      </c>
      <c r="E77" s="25">
        <v>2</v>
      </c>
      <c r="F77" s="25">
        <v>0</v>
      </c>
      <c r="G77" s="25">
        <v>0</v>
      </c>
      <c r="H77" s="25">
        <v>33</v>
      </c>
      <c r="I77" s="25">
        <v>0.25</v>
      </c>
      <c r="J77" s="25">
        <v>0</v>
      </c>
      <c r="K77" s="25">
        <v>45</v>
      </c>
      <c r="L77" s="31">
        <v>2205</v>
      </c>
      <c r="M77" s="25" t="s">
        <v>392</v>
      </c>
      <c r="N77" s="25">
        <v>1</v>
      </c>
    </row>
    <row r="78" customHeight="1" spans="1:14">
      <c r="A78" s="155" t="s">
        <v>394</v>
      </c>
      <c r="B78" s="25">
        <v>5105</v>
      </c>
      <c r="C78" s="25">
        <v>25</v>
      </c>
      <c r="D78" s="25">
        <v>70</v>
      </c>
      <c r="E78" s="25">
        <v>2</v>
      </c>
      <c r="F78" s="25">
        <v>0</v>
      </c>
      <c r="G78" s="25">
        <v>0</v>
      </c>
      <c r="H78" s="25">
        <v>35</v>
      </c>
      <c r="I78" s="25">
        <v>0.25</v>
      </c>
      <c r="J78" s="25">
        <v>0</v>
      </c>
      <c r="K78" s="25">
        <v>45</v>
      </c>
      <c r="L78" s="31">
        <v>2205</v>
      </c>
      <c r="M78" s="25" t="s">
        <v>392</v>
      </c>
      <c r="N78" s="25">
        <v>1</v>
      </c>
    </row>
    <row r="79" customHeight="1" spans="1:14">
      <c r="A79" s="155" t="s">
        <v>395</v>
      </c>
      <c r="B79" s="25">
        <v>5106</v>
      </c>
      <c r="C79" s="25">
        <v>1</v>
      </c>
      <c r="D79" s="25">
        <v>24</v>
      </c>
      <c r="E79" s="25">
        <v>0</v>
      </c>
      <c r="F79" s="25">
        <v>0</v>
      </c>
      <c r="G79" s="25">
        <v>12</v>
      </c>
      <c r="H79" s="25">
        <v>2</v>
      </c>
      <c r="I79" s="25">
        <v>1</v>
      </c>
      <c r="J79" s="25">
        <v>0</v>
      </c>
      <c r="K79" s="25">
        <v>50</v>
      </c>
      <c r="L79" s="31">
        <v>2206</v>
      </c>
      <c r="M79" s="25" t="s">
        <v>392</v>
      </c>
      <c r="N79" s="25">
        <v>0</v>
      </c>
    </row>
    <row r="80" customHeight="1" spans="1:14">
      <c r="A80" s="155" t="s">
        <v>395</v>
      </c>
      <c r="B80" s="25">
        <v>5106</v>
      </c>
      <c r="C80" s="25">
        <v>2</v>
      </c>
      <c r="D80" s="25">
        <v>26</v>
      </c>
      <c r="E80" s="25">
        <v>0</v>
      </c>
      <c r="F80" s="25">
        <v>0</v>
      </c>
      <c r="G80" s="25">
        <v>13</v>
      </c>
      <c r="H80" s="25">
        <v>2</v>
      </c>
      <c r="I80" s="25">
        <v>1</v>
      </c>
      <c r="J80" s="25">
        <v>0</v>
      </c>
      <c r="K80" s="25">
        <v>50</v>
      </c>
      <c r="L80" s="31">
        <v>2206</v>
      </c>
      <c r="M80" s="25" t="s">
        <v>392</v>
      </c>
      <c r="N80" s="25">
        <v>0</v>
      </c>
    </row>
    <row r="81" customHeight="1" spans="1:14">
      <c r="A81" s="155" t="s">
        <v>395</v>
      </c>
      <c r="B81" s="25">
        <v>5106</v>
      </c>
      <c r="C81" s="25">
        <v>3</v>
      </c>
      <c r="D81" s="25">
        <v>28</v>
      </c>
      <c r="E81" s="25">
        <v>0</v>
      </c>
      <c r="F81" s="25">
        <v>0</v>
      </c>
      <c r="G81" s="25">
        <v>14</v>
      </c>
      <c r="H81" s="25">
        <v>2</v>
      </c>
      <c r="I81" s="25">
        <v>1</v>
      </c>
      <c r="J81" s="25">
        <v>0</v>
      </c>
      <c r="K81" s="25">
        <v>50</v>
      </c>
      <c r="L81" s="31">
        <v>2206</v>
      </c>
      <c r="M81" s="25" t="s">
        <v>392</v>
      </c>
      <c r="N81" s="25">
        <v>0</v>
      </c>
    </row>
    <row r="82" customHeight="1" spans="1:14">
      <c r="A82" s="155" t="s">
        <v>395</v>
      </c>
      <c r="B82" s="25">
        <v>5106</v>
      </c>
      <c r="C82" s="25">
        <v>4</v>
      </c>
      <c r="D82" s="25">
        <v>30</v>
      </c>
      <c r="E82" s="25">
        <v>0</v>
      </c>
      <c r="F82" s="25">
        <v>0</v>
      </c>
      <c r="G82" s="25">
        <v>15</v>
      </c>
      <c r="H82" s="25">
        <v>2</v>
      </c>
      <c r="I82" s="25">
        <v>1</v>
      </c>
      <c r="J82" s="25">
        <v>0</v>
      </c>
      <c r="K82" s="25">
        <v>50</v>
      </c>
      <c r="L82" s="31">
        <v>2206</v>
      </c>
      <c r="M82" s="25" t="s">
        <v>392</v>
      </c>
      <c r="N82" s="25">
        <v>0</v>
      </c>
    </row>
    <row r="83" customHeight="1" spans="1:14">
      <c r="A83" s="155" t="s">
        <v>395</v>
      </c>
      <c r="B83" s="25">
        <v>5106</v>
      </c>
      <c r="C83" s="25">
        <v>5</v>
      </c>
      <c r="D83" s="25">
        <v>32</v>
      </c>
      <c r="E83" s="25">
        <v>0</v>
      </c>
      <c r="F83" s="25">
        <v>0</v>
      </c>
      <c r="G83" s="25">
        <v>16</v>
      </c>
      <c r="H83" s="25">
        <v>2</v>
      </c>
      <c r="I83" s="25">
        <v>1</v>
      </c>
      <c r="J83" s="25">
        <v>0</v>
      </c>
      <c r="K83" s="25">
        <v>50</v>
      </c>
      <c r="L83" s="31">
        <v>2206</v>
      </c>
      <c r="M83" s="25" t="s">
        <v>392</v>
      </c>
      <c r="N83" s="25">
        <v>0</v>
      </c>
    </row>
    <row r="84" customHeight="1" spans="1:14">
      <c r="A84" s="155" t="s">
        <v>395</v>
      </c>
      <c r="B84" s="25">
        <v>5106</v>
      </c>
      <c r="C84" s="25">
        <v>6</v>
      </c>
      <c r="D84" s="25">
        <v>36</v>
      </c>
      <c r="E84" s="25">
        <v>0</v>
      </c>
      <c r="F84" s="25">
        <v>0</v>
      </c>
      <c r="G84" s="25">
        <v>18</v>
      </c>
      <c r="H84" s="25">
        <v>2</v>
      </c>
      <c r="I84" s="25">
        <v>1</v>
      </c>
      <c r="J84" s="25">
        <v>0</v>
      </c>
      <c r="K84" s="25">
        <v>50</v>
      </c>
      <c r="L84" s="31">
        <v>2206</v>
      </c>
      <c r="M84" s="25" t="s">
        <v>392</v>
      </c>
      <c r="N84" s="25">
        <v>0</v>
      </c>
    </row>
    <row r="85" customHeight="1" spans="1:14">
      <c r="A85" s="155" t="s">
        <v>395</v>
      </c>
      <c r="B85" s="25">
        <v>5106</v>
      </c>
      <c r="C85" s="25">
        <v>7</v>
      </c>
      <c r="D85" s="25">
        <v>38</v>
      </c>
      <c r="E85" s="25">
        <v>0</v>
      </c>
      <c r="F85" s="25">
        <v>0</v>
      </c>
      <c r="G85" s="25">
        <v>19</v>
      </c>
      <c r="H85" s="25">
        <v>2</v>
      </c>
      <c r="I85" s="25">
        <v>1</v>
      </c>
      <c r="J85" s="25">
        <v>0</v>
      </c>
      <c r="K85" s="25">
        <v>50</v>
      </c>
      <c r="L85" s="31">
        <v>2206</v>
      </c>
      <c r="M85" s="25" t="s">
        <v>392</v>
      </c>
      <c r="N85" s="25">
        <v>0</v>
      </c>
    </row>
    <row r="86" customHeight="1" spans="1:14">
      <c r="A86" s="155" t="s">
        <v>395</v>
      </c>
      <c r="B86" s="25">
        <v>5106</v>
      </c>
      <c r="C86" s="25">
        <v>8</v>
      </c>
      <c r="D86" s="25">
        <v>40</v>
      </c>
      <c r="E86" s="25">
        <v>0</v>
      </c>
      <c r="F86" s="25">
        <v>0</v>
      </c>
      <c r="G86" s="25">
        <v>20</v>
      </c>
      <c r="H86" s="25">
        <v>2</v>
      </c>
      <c r="I86" s="25">
        <v>1</v>
      </c>
      <c r="J86" s="25">
        <v>0</v>
      </c>
      <c r="K86" s="25">
        <v>50</v>
      </c>
      <c r="L86" s="31">
        <v>2206</v>
      </c>
      <c r="M86" s="25" t="s">
        <v>392</v>
      </c>
      <c r="N86" s="25">
        <v>0</v>
      </c>
    </row>
    <row r="87" customHeight="1" spans="1:14">
      <c r="A87" s="155" t="s">
        <v>395</v>
      </c>
      <c r="B87" s="25">
        <v>5106</v>
      </c>
      <c r="C87" s="25">
        <v>9</v>
      </c>
      <c r="D87" s="25">
        <v>42</v>
      </c>
      <c r="E87" s="25">
        <v>0</v>
      </c>
      <c r="F87" s="25">
        <v>0</v>
      </c>
      <c r="G87" s="25">
        <v>21</v>
      </c>
      <c r="H87" s="25">
        <v>2</v>
      </c>
      <c r="I87" s="25">
        <v>1</v>
      </c>
      <c r="J87" s="25">
        <v>0</v>
      </c>
      <c r="K87" s="25">
        <v>50</v>
      </c>
      <c r="L87" s="31">
        <v>2206</v>
      </c>
      <c r="M87" s="25" t="s">
        <v>392</v>
      </c>
      <c r="N87" s="25">
        <v>0</v>
      </c>
    </row>
    <row r="88" customHeight="1" spans="1:14">
      <c r="A88" s="155" t="s">
        <v>395</v>
      </c>
      <c r="B88" s="25">
        <v>5106</v>
      </c>
      <c r="C88" s="25">
        <v>10</v>
      </c>
      <c r="D88" s="25">
        <v>44</v>
      </c>
      <c r="E88" s="25">
        <v>0</v>
      </c>
      <c r="F88" s="25">
        <v>0</v>
      </c>
      <c r="G88" s="25">
        <v>22</v>
      </c>
      <c r="H88" s="25">
        <v>2</v>
      </c>
      <c r="I88" s="25">
        <v>1</v>
      </c>
      <c r="J88" s="25">
        <v>0</v>
      </c>
      <c r="K88" s="25">
        <v>50</v>
      </c>
      <c r="L88" s="31">
        <v>2206</v>
      </c>
      <c r="M88" s="25" t="s">
        <v>392</v>
      </c>
      <c r="N88" s="25">
        <v>0</v>
      </c>
    </row>
    <row r="89" customHeight="1" spans="1:14">
      <c r="A89" s="155" t="s">
        <v>395</v>
      </c>
      <c r="B89" s="25">
        <v>5106</v>
      </c>
      <c r="C89" s="25">
        <v>11</v>
      </c>
      <c r="D89" s="25">
        <v>48</v>
      </c>
      <c r="E89" s="25">
        <v>0</v>
      </c>
      <c r="F89" s="25">
        <v>0</v>
      </c>
      <c r="G89" s="25">
        <v>24</v>
      </c>
      <c r="H89" s="25">
        <v>2</v>
      </c>
      <c r="I89" s="25">
        <v>1</v>
      </c>
      <c r="J89" s="25">
        <v>0</v>
      </c>
      <c r="K89" s="25">
        <v>50</v>
      </c>
      <c r="L89" s="31">
        <v>2206</v>
      </c>
      <c r="M89" s="25" t="s">
        <v>392</v>
      </c>
      <c r="N89" s="25">
        <v>0</v>
      </c>
    </row>
    <row r="90" customHeight="1" spans="1:14">
      <c r="A90" s="155" t="s">
        <v>395</v>
      </c>
      <c r="B90" s="25">
        <v>5106</v>
      </c>
      <c r="C90" s="25">
        <v>12</v>
      </c>
      <c r="D90" s="25">
        <v>50</v>
      </c>
      <c r="E90" s="25">
        <v>0</v>
      </c>
      <c r="F90" s="25">
        <v>0</v>
      </c>
      <c r="G90" s="25">
        <v>25</v>
      </c>
      <c r="H90" s="25">
        <v>2</v>
      </c>
      <c r="I90" s="25">
        <v>1</v>
      </c>
      <c r="J90" s="25">
        <v>0</v>
      </c>
      <c r="K90" s="25">
        <v>50</v>
      </c>
      <c r="L90" s="31">
        <v>2206</v>
      </c>
      <c r="M90" s="25" t="s">
        <v>392</v>
      </c>
      <c r="N90" s="25">
        <v>0</v>
      </c>
    </row>
    <row r="91" customHeight="1" spans="1:14">
      <c r="A91" s="155" t="s">
        <v>395</v>
      </c>
      <c r="B91" s="25">
        <v>5106</v>
      </c>
      <c r="C91" s="25">
        <v>13</v>
      </c>
      <c r="D91" s="25">
        <v>52</v>
      </c>
      <c r="E91" s="25">
        <v>0</v>
      </c>
      <c r="F91" s="25">
        <v>0</v>
      </c>
      <c r="G91" s="25">
        <v>26</v>
      </c>
      <c r="H91" s="25">
        <v>2</v>
      </c>
      <c r="I91" s="25">
        <v>1</v>
      </c>
      <c r="J91" s="25">
        <v>0</v>
      </c>
      <c r="K91" s="25">
        <v>50</v>
      </c>
      <c r="L91" s="31">
        <v>2206</v>
      </c>
      <c r="M91" s="25" t="s">
        <v>392</v>
      </c>
      <c r="N91" s="25">
        <v>0</v>
      </c>
    </row>
    <row r="92" customHeight="1" spans="1:14">
      <c r="A92" s="155" t="s">
        <v>395</v>
      </c>
      <c r="B92" s="25">
        <v>5106</v>
      </c>
      <c r="C92" s="25">
        <v>14</v>
      </c>
      <c r="D92" s="25">
        <v>54</v>
      </c>
      <c r="E92" s="25">
        <v>0</v>
      </c>
      <c r="F92" s="25">
        <v>0</v>
      </c>
      <c r="G92" s="25">
        <v>27</v>
      </c>
      <c r="H92" s="25">
        <v>2</v>
      </c>
      <c r="I92" s="25">
        <v>1</v>
      </c>
      <c r="J92" s="25">
        <v>0</v>
      </c>
      <c r="K92" s="25">
        <v>50</v>
      </c>
      <c r="L92" s="31">
        <v>2206</v>
      </c>
      <c r="M92" s="25" t="s">
        <v>392</v>
      </c>
      <c r="N92" s="25">
        <v>0</v>
      </c>
    </row>
    <row r="93" customHeight="1" spans="1:14">
      <c r="A93" s="155" t="s">
        <v>395</v>
      </c>
      <c r="B93" s="25">
        <v>5106</v>
      </c>
      <c r="C93" s="25">
        <v>15</v>
      </c>
      <c r="D93" s="25">
        <v>56</v>
      </c>
      <c r="E93" s="25">
        <v>0</v>
      </c>
      <c r="F93" s="25">
        <v>0</v>
      </c>
      <c r="G93" s="25">
        <v>28</v>
      </c>
      <c r="H93" s="25">
        <v>2</v>
      </c>
      <c r="I93" s="25">
        <v>1</v>
      </c>
      <c r="J93" s="25">
        <v>0</v>
      </c>
      <c r="K93" s="25">
        <v>50</v>
      </c>
      <c r="L93" s="31">
        <v>2206</v>
      </c>
      <c r="M93" s="25" t="s">
        <v>392</v>
      </c>
      <c r="N93" s="25">
        <v>0</v>
      </c>
    </row>
    <row r="94" customHeight="1" spans="1:14">
      <c r="A94" s="155" t="s">
        <v>395</v>
      </c>
      <c r="B94" s="25">
        <v>5106</v>
      </c>
      <c r="C94" s="25">
        <v>16</v>
      </c>
      <c r="D94" s="25">
        <v>60</v>
      </c>
      <c r="E94" s="25">
        <v>0</v>
      </c>
      <c r="F94" s="25">
        <v>0</v>
      </c>
      <c r="G94" s="25">
        <v>30</v>
      </c>
      <c r="H94" s="25">
        <v>2</v>
      </c>
      <c r="I94" s="25">
        <v>1</v>
      </c>
      <c r="J94" s="25">
        <v>0</v>
      </c>
      <c r="K94" s="25">
        <v>50</v>
      </c>
      <c r="L94" s="31">
        <v>2206</v>
      </c>
      <c r="M94" s="25" t="s">
        <v>392</v>
      </c>
      <c r="N94" s="25">
        <v>0</v>
      </c>
    </row>
    <row r="95" customHeight="1" spans="1:14">
      <c r="A95" s="155" t="s">
        <v>395</v>
      </c>
      <c r="B95" s="25">
        <v>5106</v>
      </c>
      <c r="C95" s="25">
        <v>17</v>
      </c>
      <c r="D95" s="25">
        <v>62</v>
      </c>
      <c r="E95" s="25">
        <v>0</v>
      </c>
      <c r="F95" s="25">
        <v>0</v>
      </c>
      <c r="G95" s="25">
        <v>31</v>
      </c>
      <c r="H95" s="25">
        <v>2</v>
      </c>
      <c r="I95" s="25">
        <v>1</v>
      </c>
      <c r="J95" s="25">
        <v>0</v>
      </c>
      <c r="K95" s="25">
        <v>50</v>
      </c>
      <c r="L95" s="31">
        <v>2206</v>
      </c>
      <c r="M95" s="25" t="s">
        <v>392</v>
      </c>
      <c r="N95" s="25">
        <v>0</v>
      </c>
    </row>
    <row r="96" customHeight="1" spans="1:14">
      <c r="A96" s="155" t="s">
        <v>395</v>
      </c>
      <c r="B96" s="25">
        <v>5106</v>
      </c>
      <c r="C96" s="25">
        <v>18</v>
      </c>
      <c r="D96" s="25">
        <v>64</v>
      </c>
      <c r="E96" s="25">
        <v>0</v>
      </c>
      <c r="F96" s="25">
        <v>0</v>
      </c>
      <c r="G96" s="25">
        <v>32</v>
      </c>
      <c r="H96" s="25">
        <v>2</v>
      </c>
      <c r="I96" s="25">
        <v>1</v>
      </c>
      <c r="J96" s="25">
        <v>0</v>
      </c>
      <c r="K96" s="25">
        <v>50</v>
      </c>
      <c r="L96" s="31">
        <v>2206</v>
      </c>
      <c r="M96" s="25" t="s">
        <v>392</v>
      </c>
      <c r="N96" s="25">
        <v>0</v>
      </c>
    </row>
    <row r="97" customHeight="1" spans="1:14">
      <c r="A97" s="155" t="s">
        <v>395</v>
      </c>
      <c r="B97" s="25">
        <v>5106</v>
      </c>
      <c r="C97" s="25">
        <v>19</v>
      </c>
      <c r="D97" s="25">
        <v>66</v>
      </c>
      <c r="E97" s="25">
        <v>0</v>
      </c>
      <c r="F97" s="25">
        <v>0</v>
      </c>
      <c r="G97" s="25">
        <v>33</v>
      </c>
      <c r="H97" s="25">
        <v>2</v>
      </c>
      <c r="I97" s="25">
        <v>1</v>
      </c>
      <c r="J97" s="25">
        <v>0</v>
      </c>
      <c r="K97" s="25">
        <v>50</v>
      </c>
      <c r="L97" s="31">
        <v>2206</v>
      </c>
      <c r="M97" s="25" t="s">
        <v>392</v>
      </c>
      <c r="N97" s="25">
        <v>0</v>
      </c>
    </row>
    <row r="98" customHeight="1" spans="1:14">
      <c r="A98" s="155" t="s">
        <v>395</v>
      </c>
      <c r="B98" s="25">
        <v>5106</v>
      </c>
      <c r="C98" s="25">
        <v>20</v>
      </c>
      <c r="D98" s="25">
        <v>70</v>
      </c>
      <c r="E98" s="25">
        <v>0</v>
      </c>
      <c r="F98" s="25">
        <v>0</v>
      </c>
      <c r="G98" s="25">
        <v>35</v>
      </c>
      <c r="H98" s="25">
        <v>2</v>
      </c>
      <c r="I98" s="25">
        <v>1</v>
      </c>
      <c r="J98" s="25">
        <v>0</v>
      </c>
      <c r="K98" s="25">
        <v>50</v>
      </c>
      <c r="L98" s="31">
        <v>2206</v>
      </c>
      <c r="M98" s="25" t="s">
        <v>392</v>
      </c>
      <c r="N98" s="25">
        <v>0</v>
      </c>
    </row>
    <row r="99" customHeight="1" spans="1:14">
      <c r="A99" s="155" t="s">
        <v>395</v>
      </c>
      <c r="B99" s="25">
        <v>5106</v>
      </c>
      <c r="C99" s="25">
        <v>21</v>
      </c>
      <c r="D99" s="25">
        <v>74</v>
      </c>
      <c r="E99" s="25">
        <v>0</v>
      </c>
      <c r="F99" s="25">
        <v>0</v>
      </c>
      <c r="G99" s="25">
        <v>37</v>
      </c>
      <c r="H99" s="25">
        <v>2</v>
      </c>
      <c r="I99" s="25">
        <v>1</v>
      </c>
      <c r="J99" s="25">
        <v>0</v>
      </c>
      <c r="K99" s="25">
        <v>50</v>
      </c>
      <c r="L99" s="31">
        <v>2206</v>
      </c>
      <c r="M99" s="25" t="s">
        <v>392</v>
      </c>
      <c r="N99" s="25">
        <v>0</v>
      </c>
    </row>
    <row r="100" customHeight="1" spans="1:14">
      <c r="A100" s="155" t="s">
        <v>395</v>
      </c>
      <c r="B100" s="25">
        <v>5106</v>
      </c>
      <c r="C100" s="25">
        <v>22</v>
      </c>
      <c r="D100" s="25">
        <v>78</v>
      </c>
      <c r="E100" s="25">
        <v>0</v>
      </c>
      <c r="F100" s="25">
        <v>0</v>
      </c>
      <c r="G100" s="25">
        <v>39</v>
      </c>
      <c r="H100" s="25">
        <v>2</v>
      </c>
      <c r="I100" s="25">
        <v>1</v>
      </c>
      <c r="J100" s="25">
        <v>0</v>
      </c>
      <c r="K100" s="25">
        <v>50</v>
      </c>
      <c r="L100" s="31">
        <v>2206</v>
      </c>
      <c r="M100" s="25" t="s">
        <v>392</v>
      </c>
      <c r="N100" s="25">
        <v>0</v>
      </c>
    </row>
    <row r="101" customHeight="1" spans="1:14">
      <c r="A101" s="155" t="s">
        <v>395</v>
      </c>
      <c r="B101" s="25">
        <v>5106</v>
      </c>
      <c r="C101" s="25">
        <v>23</v>
      </c>
      <c r="D101" s="25">
        <v>82</v>
      </c>
      <c r="E101" s="25">
        <v>0</v>
      </c>
      <c r="F101" s="25">
        <v>0</v>
      </c>
      <c r="G101" s="25">
        <v>41</v>
      </c>
      <c r="H101" s="25">
        <v>2</v>
      </c>
      <c r="I101" s="25">
        <v>1</v>
      </c>
      <c r="J101" s="25">
        <v>0</v>
      </c>
      <c r="K101" s="25">
        <v>50</v>
      </c>
      <c r="L101" s="31">
        <v>2206</v>
      </c>
      <c r="M101" s="25" t="s">
        <v>392</v>
      </c>
      <c r="N101" s="25">
        <v>0</v>
      </c>
    </row>
    <row r="102" customHeight="1" spans="1:14">
      <c r="A102" s="155" t="s">
        <v>395</v>
      </c>
      <c r="B102" s="25">
        <v>5106</v>
      </c>
      <c r="C102" s="25">
        <v>24</v>
      </c>
      <c r="D102" s="25">
        <v>86</v>
      </c>
      <c r="E102" s="25">
        <v>0</v>
      </c>
      <c r="F102" s="25">
        <v>0</v>
      </c>
      <c r="G102" s="25">
        <v>43</v>
      </c>
      <c r="H102" s="25">
        <v>2</v>
      </c>
      <c r="I102" s="25">
        <v>1</v>
      </c>
      <c r="J102" s="25">
        <v>0</v>
      </c>
      <c r="K102" s="25">
        <v>50</v>
      </c>
      <c r="L102" s="31">
        <v>2206</v>
      </c>
      <c r="M102" s="25" t="s">
        <v>392</v>
      </c>
      <c r="N102" s="25">
        <v>0</v>
      </c>
    </row>
    <row r="103" customHeight="1" spans="1:14">
      <c r="A103" s="155" t="s">
        <v>395</v>
      </c>
      <c r="B103" s="25">
        <v>5106</v>
      </c>
      <c r="C103" s="25">
        <v>25</v>
      </c>
      <c r="D103" s="25">
        <v>90</v>
      </c>
      <c r="E103" s="25">
        <v>0</v>
      </c>
      <c r="F103" s="25">
        <v>0</v>
      </c>
      <c r="G103" s="25">
        <v>45</v>
      </c>
      <c r="H103" s="25">
        <v>2</v>
      </c>
      <c r="I103" s="25">
        <v>1</v>
      </c>
      <c r="J103" s="25">
        <v>0</v>
      </c>
      <c r="K103" s="25">
        <v>50</v>
      </c>
      <c r="L103" s="31">
        <v>2206</v>
      </c>
      <c r="M103" s="25" t="s">
        <v>392</v>
      </c>
      <c r="N103" s="25">
        <v>0</v>
      </c>
    </row>
    <row r="104" customHeight="1" spans="1:14">
      <c r="A104" s="155" t="s">
        <v>396</v>
      </c>
      <c r="B104" s="25">
        <v>5108</v>
      </c>
      <c r="C104" s="25">
        <v>1</v>
      </c>
      <c r="D104" s="25">
        <v>30</v>
      </c>
      <c r="E104" s="25">
        <v>30</v>
      </c>
      <c r="F104" s="25">
        <v>0</v>
      </c>
      <c r="G104" s="25">
        <v>0</v>
      </c>
      <c r="H104" s="25">
        <v>1</v>
      </c>
      <c r="I104" s="25">
        <v>3.6</v>
      </c>
      <c r="J104" s="25">
        <v>0</v>
      </c>
      <c r="K104" s="25">
        <v>50</v>
      </c>
      <c r="L104" s="31">
        <v>2208</v>
      </c>
      <c r="M104" s="25" t="s">
        <v>392</v>
      </c>
      <c r="N104" s="25">
        <v>0</v>
      </c>
    </row>
    <row r="105" customHeight="1" spans="1:14">
      <c r="A105" s="155" t="s">
        <v>396</v>
      </c>
      <c r="B105" s="25">
        <v>5108</v>
      </c>
      <c r="C105" s="25">
        <v>2</v>
      </c>
      <c r="D105" s="25">
        <v>32</v>
      </c>
      <c r="E105" s="25">
        <v>32</v>
      </c>
      <c r="F105" s="25">
        <v>0</v>
      </c>
      <c r="G105" s="25">
        <v>0</v>
      </c>
      <c r="H105" s="25">
        <v>1</v>
      </c>
      <c r="I105" s="25">
        <v>3.6</v>
      </c>
      <c r="J105" s="25">
        <v>0</v>
      </c>
      <c r="K105" s="25">
        <v>50</v>
      </c>
      <c r="L105" s="31">
        <v>2208</v>
      </c>
      <c r="M105" s="25" t="s">
        <v>392</v>
      </c>
      <c r="N105" s="25">
        <v>0</v>
      </c>
    </row>
    <row r="106" customHeight="1" spans="1:14">
      <c r="A106" s="155" t="s">
        <v>396</v>
      </c>
      <c r="B106" s="25">
        <v>5108</v>
      </c>
      <c r="C106" s="25">
        <v>3</v>
      </c>
      <c r="D106" s="25">
        <v>34</v>
      </c>
      <c r="E106" s="25">
        <v>34</v>
      </c>
      <c r="F106" s="25">
        <v>0</v>
      </c>
      <c r="G106" s="25">
        <v>0</v>
      </c>
      <c r="H106" s="25">
        <v>1</v>
      </c>
      <c r="I106" s="25">
        <v>3.6</v>
      </c>
      <c r="J106" s="25">
        <v>0</v>
      </c>
      <c r="K106" s="25">
        <v>50</v>
      </c>
      <c r="L106" s="31">
        <v>2208</v>
      </c>
      <c r="M106" s="25" t="s">
        <v>392</v>
      </c>
      <c r="N106" s="25">
        <v>0</v>
      </c>
    </row>
    <row r="107" customHeight="1" spans="1:14">
      <c r="A107" s="155" t="s">
        <v>396</v>
      </c>
      <c r="B107" s="25">
        <v>5108</v>
      </c>
      <c r="C107" s="25">
        <v>4</v>
      </c>
      <c r="D107" s="25">
        <v>36</v>
      </c>
      <c r="E107" s="25">
        <v>36</v>
      </c>
      <c r="F107" s="25">
        <v>0</v>
      </c>
      <c r="G107" s="25">
        <v>0</v>
      </c>
      <c r="H107" s="25">
        <v>1</v>
      </c>
      <c r="I107" s="25">
        <v>3.6</v>
      </c>
      <c r="J107" s="25">
        <v>0</v>
      </c>
      <c r="K107" s="25">
        <v>50</v>
      </c>
      <c r="L107" s="31">
        <v>2208</v>
      </c>
      <c r="M107" s="25" t="s">
        <v>392</v>
      </c>
      <c r="N107" s="25">
        <v>0</v>
      </c>
    </row>
    <row r="108" customHeight="1" spans="1:14">
      <c r="A108" s="155" t="s">
        <v>396</v>
      </c>
      <c r="B108" s="25">
        <v>5108</v>
      </c>
      <c r="C108" s="25">
        <v>5</v>
      </c>
      <c r="D108" s="25">
        <v>38</v>
      </c>
      <c r="E108" s="25">
        <v>38</v>
      </c>
      <c r="F108" s="25">
        <v>0</v>
      </c>
      <c r="G108" s="25">
        <v>0</v>
      </c>
      <c r="H108" s="25">
        <v>1</v>
      </c>
      <c r="I108" s="25">
        <v>3.6</v>
      </c>
      <c r="J108" s="25">
        <v>0</v>
      </c>
      <c r="K108" s="25">
        <v>50</v>
      </c>
      <c r="L108" s="31">
        <v>2208</v>
      </c>
      <c r="M108" s="25" t="s">
        <v>392</v>
      </c>
      <c r="N108" s="25">
        <v>0</v>
      </c>
    </row>
    <row r="109" customHeight="1" spans="1:14">
      <c r="A109" s="155" t="s">
        <v>396</v>
      </c>
      <c r="B109" s="25">
        <v>5108</v>
      </c>
      <c r="C109" s="25">
        <v>6</v>
      </c>
      <c r="D109" s="25">
        <v>40</v>
      </c>
      <c r="E109" s="25">
        <v>40</v>
      </c>
      <c r="F109" s="25">
        <v>0</v>
      </c>
      <c r="G109" s="25">
        <v>0</v>
      </c>
      <c r="H109" s="25">
        <v>1</v>
      </c>
      <c r="I109" s="25">
        <v>3.6</v>
      </c>
      <c r="J109" s="25">
        <v>0</v>
      </c>
      <c r="K109" s="25">
        <v>50</v>
      </c>
      <c r="L109" s="31">
        <v>2208</v>
      </c>
      <c r="M109" s="25" t="s">
        <v>392</v>
      </c>
      <c r="N109" s="25">
        <v>0</v>
      </c>
    </row>
    <row r="110" customHeight="1" spans="1:14">
      <c r="A110" s="155" t="s">
        <v>396</v>
      </c>
      <c r="B110" s="25">
        <v>5108</v>
      </c>
      <c r="C110" s="25">
        <v>7</v>
      </c>
      <c r="D110" s="25">
        <v>44</v>
      </c>
      <c r="E110" s="25">
        <v>44</v>
      </c>
      <c r="F110" s="25">
        <v>0</v>
      </c>
      <c r="G110" s="25">
        <v>0</v>
      </c>
      <c r="H110" s="25">
        <v>1</v>
      </c>
      <c r="I110" s="25">
        <v>3.6</v>
      </c>
      <c r="J110" s="25">
        <v>0</v>
      </c>
      <c r="K110" s="25">
        <v>50</v>
      </c>
      <c r="L110" s="31">
        <v>2208</v>
      </c>
      <c r="M110" s="25" t="s">
        <v>392</v>
      </c>
      <c r="N110" s="25">
        <v>0</v>
      </c>
    </row>
    <row r="111" customHeight="1" spans="1:14">
      <c r="A111" s="155" t="s">
        <v>396</v>
      </c>
      <c r="B111" s="25">
        <v>5108</v>
      </c>
      <c r="C111" s="25">
        <v>8</v>
      </c>
      <c r="D111" s="25">
        <v>48</v>
      </c>
      <c r="E111" s="25">
        <v>48</v>
      </c>
      <c r="F111" s="25">
        <v>0</v>
      </c>
      <c r="G111" s="25">
        <v>0</v>
      </c>
      <c r="H111" s="25">
        <v>1</v>
      </c>
      <c r="I111" s="25">
        <v>3.6</v>
      </c>
      <c r="J111" s="25">
        <v>0</v>
      </c>
      <c r="K111" s="25">
        <v>50</v>
      </c>
      <c r="L111" s="31">
        <v>2208</v>
      </c>
      <c r="M111" s="25" t="s">
        <v>392</v>
      </c>
      <c r="N111" s="25">
        <v>0</v>
      </c>
    </row>
    <row r="112" customHeight="1" spans="1:14">
      <c r="A112" s="155" t="s">
        <v>396</v>
      </c>
      <c r="B112" s="25">
        <v>5108</v>
      </c>
      <c r="C112" s="25">
        <v>9</v>
      </c>
      <c r="D112" s="25">
        <v>52</v>
      </c>
      <c r="E112" s="25">
        <v>52</v>
      </c>
      <c r="F112" s="25">
        <v>0</v>
      </c>
      <c r="G112" s="25">
        <v>0</v>
      </c>
      <c r="H112" s="25">
        <v>1</v>
      </c>
      <c r="I112" s="25">
        <v>3.6</v>
      </c>
      <c r="J112" s="25">
        <v>0</v>
      </c>
      <c r="K112" s="25">
        <v>50</v>
      </c>
      <c r="L112" s="31">
        <v>2208</v>
      </c>
      <c r="M112" s="25" t="s">
        <v>392</v>
      </c>
      <c r="N112" s="25">
        <v>0</v>
      </c>
    </row>
    <row r="113" customHeight="1" spans="1:14">
      <c r="A113" s="155" t="s">
        <v>396</v>
      </c>
      <c r="B113" s="25">
        <v>5108</v>
      </c>
      <c r="C113" s="25">
        <v>10</v>
      </c>
      <c r="D113" s="25">
        <v>56</v>
      </c>
      <c r="E113" s="25">
        <v>56</v>
      </c>
      <c r="F113" s="25">
        <v>0</v>
      </c>
      <c r="G113" s="25">
        <v>0</v>
      </c>
      <c r="H113" s="25">
        <v>1</v>
      </c>
      <c r="I113" s="25">
        <v>3.6</v>
      </c>
      <c r="J113" s="25">
        <v>0</v>
      </c>
      <c r="K113" s="25">
        <v>50</v>
      </c>
      <c r="L113" s="31">
        <v>2208</v>
      </c>
      <c r="M113" s="25" t="s">
        <v>392</v>
      </c>
      <c r="N113" s="25">
        <v>0</v>
      </c>
    </row>
    <row r="114" customHeight="1" spans="1:14">
      <c r="A114" s="155" t="s">
        <v>396</v>
      </c>
      <c r="B114" s="25">
        <v>5108</v>
      </c>
      <c r="C114" s="25">
        <v>11</v>
      </c>
      <c r="D114" s="25">
        <v>60</v>
      </c>
      <c r="E114" s="25">
        <v>60</v>
      </c>
      <c r="F114" s="25">
        <v>0</v>
      </c>
      <c r="G114" s="25">
        <v>0</v>
      </c>
      <c r="H114" s="25">
        <v>1</v>
      </c>
      <c r="I114" s="25">
        <v>3.6</v>
      </c>
      <c r="J114" s="25">
        <v>0</v>
      </c>
      <c r="K114" s="25">
        <v>50</v>
      </c>
      <c r="L114" s="31">
        <v>2208</v>
      </c>
      <c r="M114" s="25" t="s">
        <v>392</v>
      </c>
      <c r="N114" s="25">
        <v>0</v>
      </c>
    </row>
    <row r="115" customHeight="1" spans="1:14">
      <c r="A115" s="155" t="s">
        <v>396</v>
      </c>
      <c r="B115" s="25">
        <v>5108</v>
      </c>
      <c r="C115" s="25">
        <v>12</v>
      </c>
      <c r="D115" s="25">
        <v>64</v>
      </c>
      <c r="E115" s="25">
        <v>64</v>
      </c>
      <c r="F115" s="25">
        <v>0</v>
      </c>
      <c r="G115" s="25">
        <v>0</v>
      </c>
      <c r="H115" s="25">
        <v>1</v>
      </c>
      <c r="I115" s="25">
        <v>3.6</v>
      </c>
      <c r="J115" s="25">
        <v>0</v>
      </c>
      <c r="K115" s="25">
        <v>50</v>
      </c>
      <c r="L115" s="31">
        <v>2208</v>
      </c>
      <c r="M115" s="25" t="s">
        <v>392</v>
      </c>
      <c r="N115" s="25">
        <v>0</v>
      </c>
    </row>
    <row r="116" customHeight="1" spans="1:14">
      <c r="A116" s="155" t="s">
        <v>396</v>
      </c>
      <c r="B116" s="25">
        <v>5108</v>
      </c>
      <c r="C116" s="25">
        <v>13</v>
      </c>
      <c r="D116" s="25">
        <v>68</v>
      </c>
      <c r="E116" s="25">
        <v>68</v>
      </c>
      <c r="F116" s="25">
        <v>0</v>
      </c>
      <c r="G116" s="25">
        <v>0</v>
      </c>
      <c r="H116" s="25">
        <v>1</v>
      </c>
      <c r="I116" s="25">
        <v>3.6</v>
      </c>
      <c r="J116" s="25">
        <v>0</v>
      </c>
      <c r="K116" s="25">
        <v>50</v>
      </c>
      <c r="L116" s="31">
        <v>2208</v>
      </c>
      <c r="M116" s="25" t="s">
        <v>392</v>
      </c>
      <c r="N116" s="25">
        <v>0</v>
      </c>
    </row>
    <row r="117" customHeight="1" spans="1:14">
      <c r="A117" s="155" t="s">
        <v>396</v>
      </c>
      <c r="B117" s="25">
        <v>5108</v>
      </c>
      <c r="C117" s="25">
        <v>14</v>
      </c>
      <c r="D117" s="25">
        <v>72</v>
      </c>
      <c r="E117" s="25">
        <v>72</v>
      </c>
      <c r="F117" s="25">
        <v>0</v>
      </c>
      <c r="G117" s="25">
        <v>0</v>
      </c>
      <c r="H117" s="25">
        <v>1</v>
      </c>
      <c r="I117" s="25">
        <v>3.6</v>
      </c>
      <c r="J117" s="25">
        <v>0</v>
      </c>
      <c r="K117" s="25">
        <v>50</v>
      </c>
      <c r="L117" s="31">
        <v>2208</v>
      </c>
      <c r="M117" s="25" t="s">
        <v>392</v>
      </c>
      <c r="N117" s="25">
        <v>0</v>
      </c>
    </row>
    <row r="118" customHeight="1" spans="1:14">
      <c r="A118" s="155" t="s">
        <v>396</v>
      </c>
      <c r="B118" s="25">
        <v>5108</v>
      </c>
      <c r="C118" s="25">
        <v>15</v>
      </c>
      <c r="D118" s="25">
        <v>76</v>
      </c>
      <c r="E118" s="25">
        <v>76</v>
      </c>
      <c r="F118" s="25">
        <v>0</v>
      </c>
      <c r="G118" s="25">
        <v>0</v>
      </c>
      <c r="H118" s="25">
        <v>1</v>
      </c>
      <c r="I118" s="25">
        <v>3.6</v>
      </c>
      <c r="J118" s="25">
        <v>0</v>
      </c>
      <c r="K118" s="25">
        <v>50</v>
      </c>
      <c r="L118" s="31">
        <v>2208</v>
      </c>
      <c r="M118" s="25" t="s">
        <v>392</v>
      </c>
      <c r="N118" s="25">
        <v>0</v>
      </c>
    </row>
    <row r="119" customHeight="1" spans="1:14">
      <c r="A119" s="155" t="s">
        <v>396</v>
      </c>
      <c r="B119" s="25">
        <v>5108</v>
      </c>
      <c r="C119" s="25">
        <v>16</v>
      </c>
      <c r="D119" s="25">
        <v>80</v>
      </c>
      <c r="E119" s="25">
        <v>80</v>
      </c>
      <c r="F119" s="25">
        <v>0</v>
      </c>
      <c r="G119" s="25">
        <v>0</v>
      </c>
      <c r="H119" s="25">
        <v>1</v>
      </c>
      <c r="I119" s="25">
        <v>3.6</v>
      </c>
      <c r="J119" s="25">
        <v>0</v>
      </c>
      <c r="K119" s="25">
        <v>50</v>
      </c>
      <c r="L119" s="31">
        <v>2208</v>
      </c>
      <c r="M119" s="25" t="s">
        <v>392</v>
      </c>
      <c r="N119" s="25">
        <v>0</v>
      </c>
    </row>
    <row r="120" customHeight="1" spans="1:14">
      <c r="A120" s="155" t="s">
        <v>396</v>
      </c>
      <c r="B120" s="25">
        <v>5108</v>
      </c>
      <c r="C120" s="25">
        <v>17</v>
      </c>
      <c r="D120" s="25">
        <v>84</v>
      </c>
      <c r="E120" s="25">
        <v>84</v>
      </c>
      <c r="F120" s="25">
        <v>0</v>
      </c>
      <c r="G120" s="25">
        <v>0</v>
      </c>
      <c r="H120" s="25">
        <v>1</v>
      </c>
      <c r="I120" s="25">
        <v>3.6</v>
      </c>
      <c r="J120" s="25">
        <v>0</v>
      </c>
      <c r="K120" s="25">
        <v>50</v>
      </c>
      <c r="L120" s="31">
        <v>2208</v>
      </c>
      <c r="M120" s="25" t="s">
        <v>392</v>
      </c>
      <c r="N120" s="25">
        <v>0</v>
      </c>
    </row>
    <row r="121" customHeight="1" spans="1:14">
      <c r="A121" s="155" t="s">
        <v>396</v>
      </c>
      <c r="B121" s="25">
        <v>5108</v>
      </c>
      <c r="C121" s="25">
        <v>18</v>
      </c>
      <c r="D121" s="25">
        <v>88</v>
      </c>
      <c r="E121" s="25">
        <v>88</v>
      </c>
      <c r="F121" s="25">
        <v>0</v>
      </c>
      <c r="G121" s="25">
        <v>0</v>
      </c>
      <c r="H121" s="25">
        <v>1</v>
      </c>
      <c r="I121" s="25">
        <v>3.6</v>
      </c>
      <c r="J121" s="25">
        <v>0</v>
      </c>
      <c r="K121" s="25">
        <v>50</v>
      </c>
      <c r="L121" s="31">
        <v>2208</v>
      </c>
      <c r="M121" s="25" t="s">
        <v>392</v>
      </c>
      <c r="N121" s="25">
        <v>0</v>
      </c>
    </row>
    <row r="122" customHeight="1" spans="1:14">
      <c r="A122" s="155" t="s">
        <v>396</v>
      </c>
      <c r="B122" s="25">
        <v>5108</v>
      </c>
      <c r="C122" s="25">
        <v>19</v>
      </c>
      <c r="D122" s="25">
        <v>92</v>
      </c>
      <c r="E122" s="25">
        <v>92</v>
      </c>
      <c r="F122" s="25">
        <v>0</v>
      </c>
      <c r="G122" s="25">
        <v>0</v>
      </c>
      <c r="H122" s="25">
        <v>1</v>
      </c>
      <c r="I122" s="25">
        <v>3.6</v>
      </c>
      <c r="J122" s="25">
        <v>0</v>
      </c>
      <c r="K122" s="25">
        <v>50</v>
      </c>
      <c r="L122" s="31">
        <v>2208</v>
      </c>
      <c r="M122" s="25" t="s">
        <v>392</v>
      </c>
      <c r="N122" s="25">
        <v>0</v>
      </c>
    </row>
    <row r="123" customHeight="1" spans="1:14">
      <c r="A123" s="155" t="s">
        <v>396</v>
      </c>
      <c r="B123" s="25">
        <v>5108</v>
      </c>
      <c r="C123" s="25">
        <v>20</v>
      </c>
      <c r="D123" s="25">
        <v>96</v>
      </c>
      <c r="E123" s="25">
        <v>96</v>
      </c>
      <c r="F123" s="25">
        <v>0</v>
      </c>
      <c r="G123" s="25">
        <v>0</v>
      </c>
      <c r="H123" s="25">
        <v>1</v>
      </c>
      <c r="I123" s="25">
        <v>3.6</v>
      </c>
      <c r="J123" s="25">
        <v>0</v>
      </c>
      <c r="K123" s="25">
        <v>50</v>
      </c>
      <c r="L123" s="31">
        <v>2208</v>
      </c>
      <c r="M123" s="25" t="s">
        <v>392</v>
      </c>
      <c r="N123" s="25">
        <v>0</v>
      </c>
    </row>
    <row r="124" customHeight="1" spans="1:14">
      <c r="A124" s="155" t="s">
        <v>396</v>
      </c>
      <c r="B124" s="25">
        <v>5108</v>
      </c>
      <c r="C124" s="25">
        <v>21</v>
      </c>
      <c r="D124" s="25">
        <v>100</v>
      </c>
      <c r="E124" s="25">
        <v>100</v>
      </c>
      <c r="F124" s="25">
        <v>0</v>
      </c>
      <c r="G124" s="25">
        <v>0</v>
      </c>
      <c r="H124" s="25">
        <v>1</v>
      </c>
      <c r="I124" s="25">
        <v>3.6</v>
      </c>
      <c r="J124" s="25">
        <v>0</v>
      </c>
      <c r="K124" s="25">
        <v>50</v>
      </c>
      <c r="L124" s="31">
        <v>2208</v>
      </c>
      <c r="M124" s="25" t="s">
        <v>392</v>
      </c>
      <c r="N124" s="25">
        <v>0</v>
      </c>
    </row>
    <row r="125" customHeight="1" spans="1:14">
      <c r="A125" s="155" t="s">
        <v>396</v>
      </c>
      <c r="B125" s="25">
        <v>5108</v>
      </c>
      <c r="C125" s="25">
        <v>22</v>
      </c>
      <c r="D125" s="25">
        <v>104</v>
      </c>
      <c r="E125" s="25">
        <v>104</v>
      </c>
      <c r="F125" s="25">
        <v>0</v>
      </c>
      <c r="G125" s="25">
        <v>0</v>
      </c>
      <c r="H125" s="25">
        <v>1</v>
      </c>
      <c r="I125" s="25">
        <v>3.6</v>
      </c>
      <c r="J125" s="25">
        <v>0</v>
      </c>
      <c r="K125" s="25">
        <v>50</v>
      </c>
      <c r="L125" s="31">
        <v>2208</v>
      </c>
      <c r="M125" s="25" t="s">
        <v>392</v>
      </c>
      <c r="N125" s="25">
        <v>0</v>
      </c>
    </row>
    <row r="126" customHeight="1" spans="1:14">
      <c r="A126" s="155" t="s">
        <v>396</v>
      </c>
      <c r="B126" s="25">
        <v>5108</v>
      </c>
      <c r="C126" s="25">
        <v>23</v>
      </c>
      <c r="D126" s="25">
        <v>108</v>
      </c>
      <c r="E126" s="25">
        <v>108</v>
      </c>
      <c r="F126" s="25">
        <v>0</v>
      </c>
      <c r="G126" s="25">
        <v>0</v>
      </c>
      <c r="H126" s="25">
        <v>1</v>
      </c>
      <c r="I126" s="25">
        <v>3.6</v>
      </c>
      <c r="J126" s="25">
        <v>0</v>
      </c>
      <c r="K126" s="25">
        <v>50</v>
      </c>
      <c r="L126" s="31">
        <v>2208</v>
      </c>
      <c r="M126" s="25" t="s">
        <v>392</v>
      </c>
      <c r="N126" s="25">
        <v>0</v>
      </c>
    </row>
    <row r="127" customHeight="1" spans="1:14">
      <c r="A127" s="155" t="s">
        <v>396</v>
      </c>
      <c r="B127" s="25">
        <v>5108</v>
      </c>
      <c r="C127" s="25">
        <v>24</v>
      </c>
      <c r="D127" s="25">
        <v>112</v>
      </c>
      <c r="E127" s="25">
        <v>112</v>
      </c>
      <c r="F127" s="25">
        <v>0</v>
      </c>
      <c r="G127" s="25">
        <v>0</v>
      </c>
      <c r="H127" s="25">
        <v>1</v>
      </c>
      <c r="I127" s="25">
        <v>3.6</v>
      </c>
      <c r="J127" s="25">
        <v>0</v>
      </c>
      <c r="K127" s="25">
        <v>50</v>
      </c>
      <c r="L127" s="31">
        <v>2208</v>
      </c>
      <c r="M127" s="25" t="s">
        <v>392</v>
      </c>
      <c r="N127" s="25">
        <v>0</v>
      </c>
    </row>
    <row r="128" customHeight="1" spans="1:14">
      <c r="A128" s="155" t="s">
        <v>396</v>
      </c>
      <c r="B128" s="25">
        <v>5108</v>
      </c>
      <c r="C128" s="25">
        <v>25</v>
      </c>
      <c r="D128" s="25">
        <v>120</v>
      </c>
      <c r="E128" s="25">
        <v>120</v>
      </c>
      <c r="F128" s="25">
        <v>0</v>
      </c>
      <c r="G128" s="25">
        <v>0</v>
      </c>
      <c r="H128" s="25">
        <v>1</v>
      </c>
      <c r="I128" s="25">
        <v>3.6</v>
      </c>
      <c r="J128" s="25">
        <v>0</v>
      </c>
      <c r="K128" s="25">
        <v>50</v>
      </c>
      <c r="L128" s="31">
        <v>2208</v>
      </c>
      <c r="M128" s="25" t="s">
        <v>392</v>
      </c>
      <c r="N128" s="25">
        <v>0</v>
      </c>
    </row>
    <row r="129" customHeight="1" spans="1:14">
      <c r="A129" s="155" t="s">
        <v>397</v>
      </c>
      <c r="B129" s="25">
        <v>5109</v>
      </c>
      <c r="C129" s="25">
        <v>1</v>
      </c>
      <c r="D129" s="25">
        <v>30</v>
      </c>
      <c r="E129" s="25">
        <v>1</v>
      </c>
      <c r="F129" s="25">
        <v>0</v>
      </c>
      <c r="G129" s="25">
        <v>0</v>
      </c>
      <c r="H129" s="25">
        <v>1</v>
      </c>
      <c r="I129" s="25">
        <v>0.25</v>
      </c>
      <c r="J129" s="25">
        <v>7.5</v>
      </c>
      <c r="K129" s="25">
        <v>50</v>
      </c>
      <c r="L129" s="31">
        <v>2209</v>
      </c>
      <c r="M129" s="25" t="s">
        <v>392</v>
      </c>
      <c r="N129" s="25">
        <v>0</v>
      </c>
    </row>
    <row r="130" customHeight="1" spans="1:14">
      <c r="A130" s="155" t="s">
        <v>397</v>
      </c>
      <c r="B130" s="25">
        <v>5109</v>
      </c>
      <c r="C130" s="25">
        <v>2</v>
      </c>
      <c r="D130" s="25">
        <v>32</v>
      </c>
      <c r="E130" s="25">
        <v>1</v>
      </c>
      <c r="F130" s="25">
        <v>0</v>
      </c>
      <c r="G130" s="25">
        <v>0</v>
      </c>
      <c r="H130" s="25">
        <v>1</v>
      </c>
      <c r="I130" s="25">
        <v>0.25</v>
      </c>
      <c r="J130" s="25">
        <v>8</v>
      </c>
      <c r="K130" s="25">
        <v>50</v>
      </c>
      <c r="L130" s="31">
        <v>2209</v>
      </c>
      <c r="M130" s="25" t="s">
        <v>392</v>
      </c>
      <c r="N130" s="25">
        <v>0</v>
      </c>
    </row>
    <row r="131" customHeight="1" spans="1:14">
      <c r="A131" s="155" t="s">
        <v>397</v>
      </c>
      <c r="B131" s="25">
        <v>5109</v>
      </c>
      <c r="C131" s="25">
        <v>3</v>
      </c>
      <c r="D131" s="25">
        <v>34</v>
      </c>
      <c r="E131" s="25">
        <v>1</v>
      </c>
      <c r="F131" s="25">
        <v>0</v>
      </c>
      <c r="G131" s="25">
        <v>0</v>
      </c>
      <c r="H131" s="25">
        <v>1</v>
      </c>
      <c r="I131" s="25">
        <v>0.25</v>
      </c>
      <c r="J131" s="25">
        <v>8.5</v>
      </c>
      <c r="K131" s="25">
        <v>50</v>
      </c>
      <c r="L131" s="31">
        <v>2209</v>
      </c>
      <c r="M131" s="25" t="s">
        <v>392</v>
      </c>
      <c r="N131" s="25">
        <v>0</v>
      </c>
    </row>
    <row r="132" customHeight="1" spans="1:14">
      <c r="A132" s="155" t="s">
        <v>397</v>
      </c>
      <c r="B132" s="25">
        <v>5109</v>
      </c>
      <c r="C132" s="25">
        <v>4</v>
      </c>
      <c r="D132" s="25">
        <v>36</v>
      </c>
      <c r="E132" s="25">
        <v>1</v>
      </c>
      <c r="F132" s="25">
        <v>0</v>
      </c>
      <c r="G132" s="25">
        <v>0</v>
      </c>
      <c r="H132" s="25">
        <v>1</v>
      </c>
      <c r="I132" s="25">
        <v>0.25</v>
      </c>
      <c r="J132" s="25">
        <v>9</v>
      </c>
      <c r="K132" s="25">
        <v>50</v>
      </c>
      <c r="L132" s="31">
        <v>2209</v>
      </c>
      <c r="M132" s="25" t="s">
        <v>392</v>
      </c>
      <c r="N132" s="25">
        <v>0</v>
      </c>
    </row>
    <row r="133" customHeight="1" spans="1:14">
      <c r="A133" s="155" t="s">
        <v>397</v>
      </c>
      <c r="B133" s="25">
        <v>5109</v>
      </c>
      <c r="C133" s="25">
        <v>5</v>
      </c>
      <c r="D133" s="25">
        <v>38</v>
      </c>
      <c r="E133" s="25">
        <v>1</v>
      </c>
      <c r="F133" s="25">
        <v>0</v>
      </c>
      <c r="G133" s="25">
        <v>0</v>
      </c>
      <c r="H133" s="25">
        <v>1</v>
      </c>
      <c r="I133" s="25">
        <v>0.25</v>
      </c>
      <c r="J133" s="25">
        <v>9.5</v>
      </c>
      <c r="K133" s="25">
        <v>50</v>
      </c>
      <c r="L133" s="31">
        <v>2209</v>
      </c>
      <c r="M133" s="25" t="s">
        <v>392</v>
      </c>
      <c r="N133" s="25">
        <v>0</v>
      </c>
    </row>
    <row r="134" customHeight="1" spans="1:14">
      <c r="A134" s="155" t="s">
        <v>397</v>
      </c>
      <c r="B134" s="25">
        <v>5109</v>
      </c>
      <c r="C134" s="25">
        <v>6</v>
      </c>
      <c r="D134" s="25">
        <v>40</v>
      </c>
      <c r="E134" s="25">
        <v>1</v>
      </c>
      <c r="F134" s="25">
        <v>0</v>
      </c>
      <c r="G134" s="25">
        <v>0</v>
      </c>
      <c r="H134" s="25">
        <v>1</v>
      </c>
      <c r="I134" s="25">
        <v>0.25</v>
      </c>
      <c r="J134" s="25">
        <v>10</v>
      </c>
      <c r="K134" s="25">
        <v>50</v>
      </c>
      <c r="L134" s="31">
        <v>2209</v>
      </c>
      <c r="M134" s="25" t="s">
        <v>392</v>
      </c>
      <c r="N134" s="25">
        <v>0</v>
      </c>
    </row>
    <row r="135" customHeight="1" spans="1:14">
      <c r="A135" s="155" t="s">
        <v>397</v>
      </c>
      <c r="B135" s="25">
        <v>5109</v>
      </c>
      <c r="C135" s="25">
        <v>7</v>
      </c>
      <c r="D135" s="25">
        <v>44</v>
      </c>
      <c r="E135" s="25">
        <v>1.1</v>
      </c>
      <c r="F135" s="25">
        <v>0</v>
      </c>
      <c r="G135" s="25">
        <v>0</v>
      </c>
      <c r="H135" s="25">
        <v>1</v>
      </c>
      <c r="I135" s="25">
        <v>0.25</v>
      </c>
      <c r="J135" s="25">
        <v>10</v>
      </c>
      <c r="K135" s="25">
        <v>50</v>
      </c>
      <c r="L135" s="31">
        <v>2209</v>
      </c>
      <c r="M135" s="25" t="s">
        <v>392</v>
      </c>
      <c r="N135" s="25">
        <v>0</v>
      </c>
    </row>
    <row r="136" customHeight="1" spans="1:14">
      <c r="A136" s="155" t="s">
        <v>397</v>
      </c>
      <c r="B136" s="25">
        <v>5109</v>
      </c>
      <c r="C136" s="25">
        <v>8</v>
      </c>
      <c r="D136" s="25">
        <v>48</v>
      </c>
      <c r="E136" s="25">
        <v>1.2</v>
      </c>
      <c r="F136" s="25">
        <v>0</v>
      </c>
      <c r="G136" s="25">
        <v>0</v>
      </c>
      <c r="H136" s="25">
        <v>1</v>
      </c>
      <c r="I136" s="25">
        <v>0.25</v>
      </c>
      <c r="J136" s="25">
        <v>10</v>
      </c>
      <c r="K136" s="25">
        <v>50</v>
      </c>
      <c r="L136" s="31">
        <v>2209</v>
      </c>
      <c r="M136" s="25" t="s">
        <v>392</v>
      </c>
      <c r="N136" s="25">
        <v>0</v>
      </c>
    </row>
    <row r="137" customHeight="1" spans="1:14">
      <c r="A137" s="155" t="s">
        <v>397</v>
      </c>
      <c r="B137" s="25">
        <v>5109</v>
      </c>
      <c r="C137" s="25">
        <v>9</v>
      </c>
      <c r="D137" s="25">
        <v>52</v>
      </c>
      <c r="E137" s="25">
        <v>1.3</v>
      </c>
      <c r="F137" s="25">
        <v>0</v>
      </c>
      <c r="G137" s="25">
        <v>0</v>
      </c>
      <c r="H137" s="25">
        <v>1</v>
      </c>
      <c r="I137" s="25">
        <v>0.25</v>
      </c>
      <c r="J137" s="25">
        <v>10</v>
      </c>
      <c r="K137" s="25">
        <v>50</v>
      </c>
      <c r="L137" s="31">
        <v>2209</v>
      </c>
      <c r="M137" s="25" t="s">
        <v>392</v>
      </c>
      <c r="N137" s="25">
        <v>0</v>
      </c>
    </row>
    <row r="138" customHeight="1" spans="1:14">
      <c r="A138" s="155" t="s">
        <v>397</v>
      </c>
      <c r="B138" s="25">
        <v>5109</v>
      </c>
      <c r="C138" s="25">
        <v>10</v>
      </c>
      <c r="D138" s="25">
        <v>56</v>
      </c>
      <c r="E138" s="25">
        <v>1.4</v>
      </c>
      <c r="F138" s="25">
        <v>0</v>
      </c>
      <c r="G138" s="25">
        <v>0</v>
      </c>
      <c r="H138" s="25">
        <v>1</v>
      </c>
      <c r="I138" s="25">
        <v>0.25</v>
      </c>
      <c r="J138" s="25">
        <v>10</v>
      </c>
      <c r="K138" s="25">
        <v>50</v>
      </c>
      <c r="L138" s="31">
        <v>2209</v>
      </c>
      <c r="M138" s="25" t="s">
        <v>392</v>
      </c>
      <c r="N138" s="25">
        <v>0</v>
      </c>
    </row>
    <row r="139" customHeight="1" spans="1:14">
      <c r="A139" s="155" t="s">
        <v>397</v>
      </c>
      <c r="B139" s="25">
        <v>5109</v>
      </c>
      <c r="C139" s="25">
        <v>11</v>
      </c>
      <c r="D139" s="25">
        <v>60</v>
      </c>
      <c r="E139" s="25">
        <v>1.5</v>
      </c>
      <c r="F139" s="25">
        <v>0</v>
      </c>
      <c r="G139" s="25">
        <v>0</v>
      </c>
      <c r="H139" s="25">
        <v>1</v>
      </c>
      <c r="I139" s="25">
        <v>0.25</v>
      </c>
      <c r="J139" s="25">
        <v>10</v>
      </c>
      <c r="K139" s="25">
        <v>50</v>
      </c>
      <c r="L139" s="31">
        <v>2209</v>
      </c>
      <c r="M139" s="25" t="s">
        <v>392</v>
      </c>
      <c r="N139" s="25">
        <v>0</v>
      </c>
    </row>
    <row r="140" customHeight="1" spans="1:14">
      <c r="A140" s="155" t="s">
        <v>397</v>
      </c>
      <c r="B140" s="25">
        <v>5109</v>
      </c>
      <c r="C140" s="25">
        <v>12</v>
      </c>
      <c r="D140" s="25">
        <v>64</v>
      </c>
      <c r="E140" s="25">
        <v>1.6</v>
      </c>
      <c r="F140" s="25">
        <v>0</v>
      </c>
      <c r="G140" s="25">
        <v>0</v>
      </c>
      <c r="H140" s="25">
        <v>1</v>
      </c>
      <c r="I140" s="25">
        <v>0.25</v>
      </c>
      <c r="J140" s="25">
        <v>10</v>
      </c>
      <c r="K140" s="25">
        <v>50</v>
      </c>
      <c r="L140" s="31">
        <v>2209</v>
      </c>
      <c r="M140" s="25" t="s">
        <v>392</v>
      </c>
      <c r="N140" s="25">
        <v>0</v>
      </c>
    </row>
    <row r="141" customHeight="1" spans="1:14">
      <c r="A141" s="155" t="s">
        <v>397</v>
      </c>
      <c r="B141" s="25">
        <v>5109</v>
      </c>
      <c r="C141" s="25">
        <v>13</v>
      </c>
      <c r="D141" s="25">
        <v>68</v>
      </c>
      <c r="E141" s="25">
        <v>1.7</v>
      </c>
      <c r="F141" s="25">
        <v>0</v>
      </c>
      <c r="G141" s="25">
        <v>0</v>
      </c>
      <c r="H141" s="25">
        <v>1</v>
      </c>
      <c r="I141" s="25">
        <v>0.25</v>
      </c>
      <c r="J141" s="25">
        <v>10</v>
      </c>
      <c r="K141" s="25">
        <v>50</v>
      </c>
      <c r="L141" s="31">
        <v>2209</v>
      </c>
      <c r="M141" s="25" t="s">
        <v>392</v>
      </c>
      <c r="N141" s="25">
        <v>0</v>
      </c>
    </row>
    <row r="142" customHeight="1" spans="1:14">
      <c r="A142" s="155" t="s">
        <v>397</v>
      </c>
      <c r="B142" s="25">
        <v>5109</v>
      </c>
      <c r="C142" s="25">
        <v>14</v>
      </c>
      <c r="D142" s="25">
        <v>72</v>
      </c>
      <c r="E142" s="25">
        <v>1.8</v>
      </c>
      <c r="F142" s="25">
        <v>0</v>
      </c>
      <c r="G142" s="25">
        <v>0</v>
      </c>
      <c r="H142" s="25">
        <v>1</v>
      </c>
      <c r="I142" s="25">
        <v>0.25</v>
      </c>
      <c r="J142" s="25">
        <v>10</v>
      </c>
      <c r="K142" s="25">
        <v>50</v>
      </c>
      <c r="L142" s="31">
        <v>2209</v>
      </c>
      <c r="M142" s="25" t="s">
        <v>392</v>
      </c>
      <c r="N142" s="25">
        <v>0</v>
      </c>
    </row>
    <row r="143" customHeight="1" spans="1:14">
      <c r="A143" s="155" t="s">
        <v>397</v>
      </c>
      <c r="B143" s="25">
        <v>5109</v>
      </c>
      <c r="C143" s="25">
        <v>15</v>
      </c>
      <c r="D143" s="25">
        <v>76</v>
      </c>
      <c r="E143" s="25">
        <v>1.9</v>
      </c>
      <c r="F143" s="25">
        <v>0</v>
      </c>
      <c r="G143" s="25">
        <v>0</v>
      </c>
      <c r="H143" s="25">
        <v>1</v>
      </c>
      <c r="I143" s="25">
        <v>0.25</v>
      </c>
      <c r="J143" s="25">
        <v>10</v>
      </c>
      <c r="K143" s="25">
        <v>50</v>
      </c>
      <c r="L143" s="31">
        <v>2209</v>
      </c>
      <c r="M143" s="25" t="s">
        <v>392</v>
      </c>
      <c r="N143" s="25">
        <v>0</v>
      </c>
    </row>
    <row r="144" customHeight="1" spans="1:14">
      <c r="A144" s="155" t="s">
        <v>397</v>
      </c>
      <c r="B144" s="25">
        <v>5109</v>
      </c>
      <c r="C144" s="25">
        <v>16</v>
      </c>
      <c r="D144" s="25">
        <v>80</v>
      </c>
      <c r="E144" s="25">
        <v>2</v>
      </c>
      <c r="F144" s="25">
        <v>0</v>
      </c>
      <c r="G144" s="25">
        <v>0</v>
      </c>
      <c r="H144" s="25">
        <v>1</v>
      </c>
      <c r="I144" s="25">
        <v>0.25</v>
      </c>
      <c r="J144" s="25">
        <v>10</v>
      </c>
      <c r="K144" s="25">
        <v>50</v>
      </c>
      <c r="L144" s="31">
        <v>2209</v>
      </c>
      <c r="M144" s="25" t="s">
        <v>392</v>
      </c>
      <c r="N144" s="25">
        <v>0</v>
      </c>
    </row>
    <row r="145" customHeight="1" spans="1:14">
      <c r="A145" s="155" t="s">
        <v>397</v>
      </c>
      <c r="B145" s="25">
        <v>5109</v>
      </c>
      <c r="C145" s="25">
        <v>17</v>
      </c>
      <c r="D145" s="25">
        <v>84</v>
      </c>
      <c r="E145" s="25">
        <v>2</v>
      </c>
      <c r="F145" s="25">
        <v>0</v>
      </c>
      <c r="G145" s="25">
        <v>0</v>
      </c>
      <c r="H145" s="25">
        <v>1</v>
      </c>
      <c r="I145" s="25">
        <v>0.25</v>
      </c>
      <c r="J145" s="25">
        <v>10.5</v>
      </c>
      <c r="K145" s="25">
        <v>50</v>
      </c>
      <c r="L145" s="31">
        <v>2209</v>
      </c>
      <c r="M145" s="25" t="s">
        <v>392</v>
      </c>
      <c r="N145" s="25">
        <v>0</v>
      </c>
    </row>
    <row r="146" customHeight="1" spans="1:14">
      <c r="A146" s="155" t="s">
        <v>397</v>
      </c>
      <c r="B146" s="25">
        <v>5109</v>
      </c>
      <c r="C146" s="25">
        <v>18</v>
      </c>
      <c r="D146" s="25">
        <v>88</v>
      </c>
      <c r="E146" s="25">
        <v>2</v>
      </c>
      <c r="F146" s="25">
        <v>0</v>
      </c>
      <c r="G146" s="25">
        <v>0</v>
      </c>
      <c r="H146" s="25">
        <v>1</v>
      </c>
      <c r="I146" s="25">
        <v>0.25</v>
      </c>
      <c r="J146" s="25">
        <v>11</v>
      </c>
      <c r="K146" s="25">
        <v>50</v>
      </c>
      <c r="L146" s="31">
        <v>2209</v>
      </c>
      <c r="M146" s="25" t="s">
        <v>392</v>
      </c>
      <c r="N146" s="25">
        <v>0</v>
      </c>
    </row>
    <row r="147" customHeight="1" spans="1:14">
      <c r="A147" s="155" t="s">
        <v>397</v>
      </c>
      <c r="B147" s="25">
        <v>5109</v>
      </c>
      <c r="C147" s="25">
        <v>19</v>
      </c>
      <c r="D147" s="25">
        <v>92</v>
      </c>
      <c r="E147" s="25">
        <v>2</v>
      </c>
      <c r="F147" s="25">
        <v>0</v>
      </c>
      <c r="G147" s="25">
        <v>0</v>
      </c>
      <c r="H147" s="25">
        <v>1</v>
      </c>
      <c r="I147" s="25">
        <v>0.25</v>
      </c>
      <c r="J147" s="25">
        <v>11.5</v>
      </c>
      <c r="K147" s="25">
        <v>50</v>
      </c>
      <c r="L147" s="31">
        <v>2209</v>
      </c>
      <c r="M147" s="25" t="s">
        <v>392</v>
      </c>
      <c r="N147" s="25">
        <v>0</v>
      </c>
    </row>
    <row r="148" customHeight="1" spans="1:14">
      <c r="A148" s="155" t="s">
        <v>397</v>
      </c>
      <c r="B148" s="25">
        <v>5109</v>
      </c>
      <c r="C148" s="25">
        <v>20</v>
      </c>
      <c r="D148" s="25">
        <v>96</v>
      </c>
      <c r="E148" s="25">
        <v>2</v>
      </c>
      <c r="F148" s="25">
        <v>0</v>
      </c>
      <c r="G148" s="25">
        <v>0</v>
      </c>
      <c r="H148" s="25">
        <v>1</v>
      </c>
      <c r="I148" s="25">
        <v>0.25</v>
      </c>
      <c r="J148" s="25">
        <v>12</v>
      </c>
      <c r="K148" s="25">
        <v>50</v>
      </c>
      <c r="L148" s="31">
        <v>2209</v>
      </c>
      <c r="M148" s="25" t="s">
        <v>392</v>
      </c>
      <c r="N148" s="25">
        <v>0</v>
      </c>
    </row>
    <row r="149" customHeight="1" spans="1:14">
      <c r="A149" s="155" t="s">
        <v>397</v>
      </c>
      <c r="B149" s="25">
        <v>5109</v>
      </c>
      <c r="C149" s="25">
        <v>21</v>
      </c>
      <c r="D149" s="25">
        <v>100</v>
      </c>
      <c r="E149" s="25">
        <v>2</v>
      </c>
      <c r="F149" s="25">
        <v>0</v>
      </c>
      <c r="G149" s="25">
        <v>0</v>
      </c>
      <c r="H149" s="25">
        <v>1</v>
      </c>
      <c r="I149" s="25">
        <v>0.25</v>
      </c>
      <c r="J149" s="25">
        <v>12.5</v>
      </c>
      <c r="K149" s="25">
        <v>50</v>
      </c>
      <c r="L149" s="31">
        <v>2209</v>
      </c>
      <c r="M149" s="25" t="s">
        <v>392</v>
      </c>
      <c r="N149" s="25">
        <v>0</v>
      </c>
    </row>
    <row r="150" customHeight="1" spans="1:14">
      <c r="A150" s="155" t="s">
        <v>397</v>
      </c>
      <c r="B150" s="25">
        <v>5109</v>
      </c>
      <c r="C150" s="25">
        <v>22</v>
      </c>
      <c r="D150" s="25">
        <v>104</v>
      </c>
      <c r="E150" s="25">
        <v>2</v>
      </c>
      <c r="F150" s="25">
        <v>0</v>
      </c>
      <c r="G150" s="25">
        <v>0</v>
      </c>
      <c r="H150" s="25">
        <v>1</v>
      </c>
      <c r="I150" s="25">
        <v>0.25</v>
      </c>
      <c r="J150" s="25">
        <v>13</v>
      </c>
      <c r="K150" s="25">
        <v>50</v>
      </c>
      <c r="L150" s="31">
        <v>2209</v>
      </c>
      <c r="M150" s="25" t="s">
        <v>392</v>
      </c>
      <c r="N150" s="25">
        <v>0</v>
      </c>
    </row>
    <row r="151" customHeight="1" spans="1:14">
      <c r="A151" s="155" t="s">
        <v>397</v>
      </c>
      <c r="B151" s="25">
        <v>5109</v>
      </c>
      <c r="C151" s="25">
        <v>23</v>
      </c>
      <c r="D151" s="25">
        <v>108</v>
      </c>
      <c r="E151" s="25">
        <v>2</v>
      </c>
      <c r="F151" s="25">
        <v>0</v>
      </c>
      <c r="G151" s="25">
        <v>0</v>
      </c>
      <c r="H151" s="25">
        <v>1</v>
      </c>
      <c r="I151" s="25">
        <v>0.25</v>
      </c>
      <c r="J151" s="25">
        <v>13.5</v>
      </c>
      <c r="K151" s="25">
        <v>50</v>
      </c>
      <c r="L151" s="31">
        <v>2209</v>
      </c>
      <c r="M151" s="25" t="s">
        <v>392</v>
      </c>
      <c r="N151" s="25">
        <v>0</v>
      </c>
    </row>
    <row r="152" customHeight="1" spans="1:14">
      <c r="A152" s="155" t="s">
        <v>397</v>
      </c>
      <c r="B152" s="25">
        <v>5109</v>
      </c>
      <c r="C152" s="25">
        <v>24</v>
      </c>
      <c r="D152" s="25">
        <v>112</v>
      </c>
      <c r="E152" s="25">
        <v>2</v>
      </c>
      <c r="F152" s="25">
        <v>0</v>
      </c>
      <c r="G152" s="25">
        <v>0</v>
      </c>
      <c r="H152" s="25">
        <v>1</v>
      </c>
      <c r="I152" s="25">
        <v>0.25</v>
      </c>
      <c r="J152" s="25">
        <v>14</v>
      </c>
      <c r="K152" s="25">
        <v>50</v>
      </c>
      <c r="L152" s="31">
        <v>2209</v>
      </c>
      <c r="M152" s="25" t="s">
        <v>392</v>
      </c>
      <c r="N152" s="25">
        <v>0</v>
      </c>
    </row>
    <row r="153" customHeight="1" spans="1:14">
      <c r="A153" s="155" t="s">
        <v>397</v>
      </c>
      <c r="B153" s="25">
        <v>5109</v>
      </c>
      <c r="C153" s="25">
        <v>25</v>
      </c>
      <c r="D153" s="25">
        <v>120</v>
      </c>
      <c r="E153" s="25">
        <v>2</v>
      </c>
      <c r="F153" s="25">
        <v>0</v>
      </c>
      <c r="G153" s="25">
        <v>0</v>
      </c>
      <c r="H153" s="25">
        <v>1</v>
      </c>
      <c r="I153" s="25">
        <v>0.25</v>
      </c>
      <c r="J153" s="25">
        <v>15</v>
      </c>
      <c r="K153" s="25">
        <v>50</v>
      </c>
      <c r="L153" s="31">
        <v>2209</v>
      </c>
      <c r="M153" s="25" t="s">
        <v>392</v>
      </c>
      <c r="N153" s="25">
        <v>0</v>
      </c>
    </row>
    <row r="154" customHeight="1" spans="1:14">
      <c r="A154" s="155" t="s">
        <v>398</v>
      </c>
      <c r="B154" s="25">
        <v>5110</v>
      </c>
      <c r="C154" s="25">
        <v>1</v>
      </c>
      <c r="D154" s="25">
        <v>60</v>
      </c>
      <c r="E154" s="25">
        <v>1</v>
      </c>
      <c r="F154" s="25">
        <v>0</v>
      </c>
      <c r="G154" s="25">
        <v>0</v>
      </c>
      <c r="H154" s="25">
        <v>30</v>
      </c>
      <c r="I154" s="25">
        <v>0.15</v>
      </c>
      <c r="J154" s="25">
        <v>0</v>
      </c>
      <c r="K154" s="25">
        <v>45</v>
      </c>
      <c r="L154" s="25">
        <v>2210</v>
      </c>
      <c r="M154" s="25" t="s">
        <v>392</v>
      </c>
      <c r="N154" s="25">
        <v>0</v>
      </c>
    </row>
    <row r="155" customHeight="1" spans="1:14">
      <c r="A155" s="155" t="s">
        <v>398</v>
      </c>
      <c r="B155" s="25">
        <v>5110</v>
      </c>
      <c r="C155" s="25">
        <v>2</v>
      </c>
      <c r="D155" s="25">
        <v>66</v>
      </c>
      <c r="E155" s="25">
        <v>1.1</v>
      </c>
      <c r="F155" s="25">
        <v>0</v>
      </c>
      <c r="G155" s="25">
        <v>0</v>
      </c>
      <c r="H155" s="25">
        <v>30</v>
      </c>
      <c r="I155" s="25">
        <v>0.15</v>
      </c>
      <c r="J155" s="25">
        <v>0</v>
      </c>
      <c r="K155" s="25">
        <v>45</v>
      </c>
      <c r="L155" s="25">
        <v>2210</v>
      </c>
      <c r="M155" s="25" t="s">
        <v>392</v>
      </c>
      <c r="N155" s="25">
        <v>0</v>
      </c>
    </row>
    <row r="156" customHeight="1" spans="1:14">
      <c r="A156" s="155" t="s">
        <v>398</v>
      </c>
      <c r="B156" s="25">
        <v>5110</v>
      </c>
      <c r="C156" s="25">
        <v>3</v>
      </c>
      <c r="D156" s="25">
        <v>72</v>
      </c>
      <c r="E156" s="25">
        <v>1.2</v>
      </c>
      <c r="F156" s="25">
        <v>0</v>
      </c>
      <c r="G156" s="25">
        <v>0</v>
      </c>
      <c r="H156" s="25">
        <v>30</v>
      </c>
      <c r="I156" s="25">
        <v>0.15</v>
      </c>
      <c r="J156" s="25">
        <v>0</v>
      </c>
      <c r="K156" s="25">
        <v>45</v>
      </c>
      <c r="L156" s="25">
        <v>2210</v>
      </c>
      <c r="M156" s="25" t="s">
        <v>392</v>
      </c>
      <c r="N156" s="25">
        <v>0</v>
      </c>
    </row>
    <row r="157" customHeight="1" spans="1:14">
      <c r="A157" s="155" t="s">
        <v>398</v>
      </c>
      <c r="B157" s="25">
        <v>5110</v>
      </c>
      <c r="C157" s="25">
        <v>4</v>
      </c>
      <c r="D157" s="25">
        <v>78</v>
      </c>
      <c r="E157" s="25">
        <v>1.3</v>
      </c>
      <c r="F157" s="25">
        <v>0</v>
      </c>
      <c r="G157" s="25">
        <v>0</v>
      </c>
      <c r="H157" s="25">
        <v>30</v>
      </c>
      <c r="I157" s="25">
        <v>0.15</v>
      </c>
      <c r="J157" s="25">
        <v>0</v>
      </c>
      <c r="K157" s="25">
        <v>45</v>
      </c>
      <c r="L157" s="25">
        <v>2210</v>
      </c>
      <c r="M157" s="25" t="s">
        <v>392</v>
      </c>
      <c r="N157" s="25">
        <v>0</v>
      </c>
    </row>
    <row r="158" customHeight="1" spans="1:14">
      <c r="A158" s="155" t="s">
        <v>398</v>
      </c>
      <c r="B158" s="25">
        <v>5110</v>
      </c>
      <c r="C158" s="25">
        <v>5</v>
      </c>
      <c r="D158" s="25">
        <v>84</v>
      </c>
      <c r="E158" s="25">
        <v>1.4</v>
      </c>
      <c r="F158" s="25">
        <v>0</v>
      </c>
      <c r="G158" s="25">
        <v>0</v>
      </c>
      <c r="H158" s="25">
        <v>30</v>
      </c>
      <c r="I158" s="25">
        <v>0.15</v>
      </c>
      <c r="J158" s="25">
        <v>0</v>
      </c>
      <c r="K158" s="25">
        <v>45</v>
      </c>
      <c r="L158" s="25">
        <v>2210</v>
      </c>
      <c r="M158" s="25" t="s">
        <v>392</v>
      </c>
      <c r="N158" s="25">
        <v>0</v>
      </c>
    </row>
    <row r="159" customHeight="1" spans="1:14">
      <c r="A159" s="155" t="s">
        <v>398</v>
      </c>
      <c r="B159" s="25">
        <v>5110</v>
      </c>
      <c r="C159" s="25">
        <v>6</v>
      </c>
      <c r="D159" s="25">
        <v>90</v>
      </c>
      <c r="E159" s="25">
        <v>1.5</v>
      </c>
      <c r="F159" s="25">
        <v>0</v>
      </c>
      <c r="G159" s="25">
        <v>0</v>
      </c>
      <c r="H159" s="25">
        <v>30</v>
      </c>
      <c r="I159" s="25">
        <v>0.15</v>
      </c>
      <c r="J159" s="25">
        <v>0</v>
      </c>
      <c r="K159" s="25">
        <v>45</v>
      </c>
      <c r="L159" s="25">
        <v>2210</v>
      </c>
      <c r="M159" s="25" t="s">
        <v>392</v>
      </c>
      <c r="N159" s="25">
        <v>0</v>
      </c>
    </row>
    <row r="160" customHeight="1" spans="1:14">
      <c r="A160" s="155" t="s">
        <v>398</v>
      </c>
      <c r="B160" s="25">
        <v>5110</v>
      </c>
      <c r="C160" s="25">
        <v>7</v>
      </c>
      <c r="D160" s="25">
        <v>96</v>
      </c>
      <c r="E160" s="25">
        <v>1.6</v>
      </c>
      <c r="F160" s="25">
        <v>0</v>
      </c>
      <c r="G160" s="25">
        <v>0</v>
      </c>
      <c r="H160" s="25">
        <v>30</v>
      </c>
      <c r="I160" s="25">
        <v>0.15</v>
      </c>
      <c r="J160" s="25">
        <v>0</v>
      </c>
      <c r="K160" s="25">
        <v>45</v>
      </c>
      <c r="L160" s="25">
        <v>2210</v>
      </c>
      <c r="M160" s="25" t="s">
        <v>392</v>
      </c>
      <c r="N160" s="25">
        <v>0</v>
      </c>
    </row>
    <row r="161" customHeight="1" spans="1:14">
      <c r="A161" s="155" t="s">
        <v>398</v>
      </c>
      <c r="B161" s="25">
        <v>5110</v>
      </c>
      <c r="C161" s="25">
        <v>8</v>
      </c>
      <c r="D161" s="25">
        <v>102</v>
      </c>
      <c r="E161" s="25">
        <v>1.7</v>
      </c>
      <c r="F161" s="25">
        <v>0</v>
      </c>
      <c r="G161" s="25">
        <v>0</v>
      </c>
      <c r="H161" s="25">
        <v>30</v>
      </c>
      <c r="I161" s="25">
        <v>0.15</v>
      </c>
      <c r="J161" s="25">
        <v>0</v>
      </c>
      <c r="K161" s="25">
        <v>45</v>
      </c>
      <c r="L161" s="25">
        <v>2210</v>
      </c>
      <c r="M161" s="25" t="s">
        <v>392</v>
      </c>
      <c r="N161" s="25">
        <v>0</v>
      </c>
    </row>
    <row r="162" customHeight="1" spans="1:14">
      <c r="A162" s="155" t="s">
        <v>398</v>
      </c>
      <c r="B162" s="25">
        <v>5110</v>
      </c>
      <c r="C162" s="25">
        <v>9</v>
      </c>
      <c r="D162" s="25">
        <v>108</v>
      </c>
      <c r="E162" s="25">
        <v>1.8</v>
      </c>
      <c r="F162" s="25">
        <v>0</v>
      </c>
      <c r="G162" s="25">
        <v>0</v>
      </c>
      <c r="H162" s="25">
        <v>30</v>
      </c>
      <c r="I162" s="25">
        <v>0.15</v>
      </c>
      <c r="J162" s="25">
        <v>0</v>
      </c>
      <c r="K162" s="25">
        <v>45</v>
      </c>
      <c r="L162" s="25">
        <v>2210</v>
      </c>
      <c r="M162" s="25" t="s">
        <v>392</v>
      </c>
      <c r="N162" s="25">
        <v>0</v>
      </c>
    </row>
    <row r="163" customHeight="1" spans="1:14">
      <c r="A163" s="155" t="s">
        <v>398</v>
      </c>
      <c r="B163" s="25">
        <v>5110</v>
      </c>
      <c r="C163" s="25">
        <v>10</v>
      </c>
      <c r="D163" s="25">
        <v>114</v>
      </c>
      <c r="E163" s="25">
        <v>1.9</v>
      </c>
      <c r="F163" s="25">
        <v>0</v>
      </c>
      <c r="G163" s="25">
        <v>0</v>
      </c>
      <c r="H163" s="25">
        <v>30</v>
      </c>
      <c r="I163" s="25">
        <v>0.15</v>
      </c>
      <c r="J163" s="25">
        <v>0</v>
      </c>
      <c r="K163" s="25">
        <v>45</v>
      </c>
      <c r="L163" s="25">
        <v>2210</v>
      </c>
      <c r="M163" s="25" t="s">
        <v>392</v>
      </c>
      <c r="N163" s="25">
        <v>0</v>
      </c>
    </row>
    <row r="164" customHeight="1" spans="1:14">
      <c r="A164" s="155" t="s">
        <v>398</v>
      </c>
      <c r="B164" s="25">
        <v>5110</v>
      </c>
      <c r="C164" s="25">
        <v>11</v>
      </c>
      <c r="D164" s="25">
        <v>120</v>
      </c>
      <c r="E164" s="25">
        <v>2</v>
      </c>
      <c r="F164" s="25">
        <v>0</v>
      </c>
      <c r="G164" s="25">
        <v>0</v>
      </c>
      <c r="H164" s="25">
        <v>30</v>
      </c>
      <c r="I164" s="25">
        <v>0.15</v>
      </c>
      <c r="J164" s="25">
        <v>0</v>
      </c>
      <c r="K164" s="25">
        <v>45</v>
      </c>
      <c r="L164" s="25">
        <v>2210</v>
      </c>
      <c r="M164" s="25" t="s">
        <v>392</v>
      </c>
      <c r="N164" s="25">
        <v>0</v>
      </c>
    </row>
    <row r="165" customHeight="1" spans="1:14">
      <c r="A165" s="155" t="s">
        <v>398</v>
      </c>
      <c r="B165" s="25">
        <v>5110</v>
      </c>
      <c r="C165" s="25">
        <v>12</v>
      </c>
      <c r="D165" s="25">
        <v>128</v>
      </c>
      <c r="E165" s="25">
        <v>2</v>
      </c>
      <c r="F165" s="25">
        <v>0</v>
      </c>
      <c r="G165" s="25">
        <v>0</v>
      </c>
      <c r="H165" s="25">
        <v>32</v>
      </c>
      <c r="I165" s="25">
        <v>0.15</v>
      </c>
      <c r="J165" s="25">
        <v>0</v>
      </c>
      <c r="K165" s="25">
        <v>45</v>
      </c>
      <c r="L165" s="25">
        <v>2210</v>
      </c>
      <c r="M165" s="25" t="s">
        <v>392</v>
      </c>
      <c r="N165" s="25">
        <v>0</v>
      </c>
    </row>
    <row r="166" customHeight="1" spans="1:14">
      <c r="A166" s="155" t="s">
        <v>398</v>
      </c>
      <c r="B166" s="25">
        <v>5110</v>
      </c>
      <c r="C166" s="25">
        <v>13</v>
      </c>
      <c r="D166" s="25">
        <v>136</v>
      </c>
      <c r="E166" s="25">
        <v>2</v>
      </c>
      <c r="F166" s="25">
        <v>0</v>
      </c>
      <c r="G166" s="25">
        <v>0</v>
      </c>
      <c r="H166" s="25">
        <v>34</v>
      </c>
      <c r="I166" s="25">
        <v>0.15</v>
      </c>
      <c r="J166" s="25">
        <v>0</v>
      </c>
      <c r="K166" s="25">
        <v>45</v>
      </c>
      <c r="L166" s="25">
        <v>2210</v>
      </c>
      <c r="M166" s="25" t="s">
        <v>392</v>
      </c>
      <c r="N166" s="25">
        <v>0</v>
      </c>
    </row>
    <row r="167" customHeight="1" spans="1:14">
      <c r="A167" s="155" t="s">
        <v>398</v>
      </c>
      <c r="B167" s="25">
        <v>5110</v>
      </c>
      <c r="C167" s="25">
        <v>14</v>
      </c>
      <c r="D167" s="25">
        <v>144</v>
      </c>
      <c r="E167" s="25">
        <v>2</v>
      </c>
      <c r="F167" s="25">
        <v>0</v>
      </c>
      <c r="G167" s="25">
        <v>0</v>
      </c>
      <c r="H167" s="25">
        <v>36</v>
      </c>
      <c r="I167" s="25">
        <v>0.15</v>
      </c>
      <c r="J167" s="25">
        <v>0</v>
      </c>
      <c r="K167" s="25">
        <v>45</v>
      </c>
      <c r="L167" s="25">
        <v>2210</v>
      </c>
      <c r="M167" s="25" t="s">
        <v>392</v>
      </c>
      <c r="N167" s="25">
        <v>0</v>
      </c>
    </row>
    <row r="168" customHeight="1" spans="1:14">
      <c r="A168" s="155" t="s">
        <v>398</v>
      </c>
      <c r="B168" s="25">
        <v>5110</v>
      </c>
      <c r="C168" s="25">
        <v>15</v>
      </c>
      <c r="D168" s="25">
        <v>152</v>
      </c>
      <c r="E168" s="25">
        <v>2</v>
      </c>
      <c r="F168" s="25">
        <v>0</v>
      </c>
      <c r="G168" s="25">
        <v>0</v>
      </c>
      <c r="H168" s="25">
        <v>38</v>
      </c>
      <c r="I168" s="25">
        <v>0.15</v>
      </c>
      <c r="J168" s="25">
        <v>0</v>
      </c>
      <c r="K168" s="25">
        <v>45</v>
      </c>
      <c r="L168" s="25">
        <v>2210</v>
      </c>
      <c r="M168" s="25" t="s">
        <v>392</v>
      </c>
      <c r="N168" s="25">
        <v>0</v>
      </c>
    </row>
    <row r="169" customHeight="1" spans="1:14">
      <c r="A169" s="155" t="s">
        <v>398</v>
      </c>
      <c r="B169" s="25">
        <v>5110</v>
      </c>
      <c r="C169" s="25">
        <v>16</v>
      </c>
      <c r="D169" s="25">
        <v>160</v>
      </c>
      <c r="E169" s="25">
        <v>2</v>
      </c>
      <c r="F169" s="25">
        <v>0</v>
      </c>
      <c r="G169" s="25">
        <v>0</v>
      </c>
      <c r="H169" s="25">
        <v>40</v>
      </c>
      <c r="I169" s="25">
        <v>0.15</v>
      </c>
      <c r="J169" s="25">
        <v>0</v>
      </c>
      <c r="K169" s="25">
        <v>45</v>
      </c>
      <c r="L169" s="25">
        <v>2210</v>
      </c>
      <c r="M169" s="25" t="s">
        <v>392</v>
      </c>
      <c r="N169" s="25">
        <v>0</v>
      </c>
    </row>
    <row r="170" customHeight="1" spans="1:14">
      <c r="A170" s="155" t="s">
        <v>398</v>
      </c>
      <c r="B170" s="25">
        <v>5110</v>
      </c>
      <c r="C170" s="25">
        <v>17</v>
      </c>
      <c r="D170" s="25">
        <v>168</v>
      </c>
      <c r="E170" s="25">
        <v>2</v>
      </c>
      <c r="F170" s="25">
        <v>0</v>
      </c>
      <c r="G170" s="25">
        <v>0</v>
      </c>
      <c r="H170" s="25">
        <v>42</v>
      </c>
      <c r="I170" s="25">
        <v>0.15</v>
      </c>
      <c r="J170" s="25">
        <v>0</v>
      </c>
      <c r="K170" s="25">
        <v>45</v>
      </c>
      <c r="L170" s="25">
        <v>2210</v>
      </c>
      <c r="M170" s="25" t="s">
        <v>392</v>
      </c>
      <c r="N170" s="25">
        <v>0</v>
      </c>
    </row>
    <row r="171" customHeight="1" spans="1:14">
      <c r="A171" s="155" t="s">
        <v>398</v>
      </c>
      <c r="B171" s="25">
        <v>5110</v>
      </c>
      <c r="C171" s="25">
        <v>18</v>
      </c>
      <c r="D171" s="25">
        <v>176</v>
      </c>
      <c r="E171" s="25">
        <v>2</v>
      </c>
      <c r="F171" s="25">
        <v>0</v>
      </c>
      <c r="G171" s="25">
        <v>0</v>
      </c>
      <c r="H171" s="25">
        <v>44</v>
      </c>
      <c r="I171" s="25">
        <v>0.15</v>
      </c>
      <c r="J171" s="25">
        <v>0</v>
      </c>
      <c r="K171" s="25">
        <v>45</v>
      </c>
      <c r="L171" s="25">
        <v>2210</v>
      </c>
      <c r="M171" s="25" t="s">
        <v>392</v>
      </c>
      <c r="N171" s="25">
        <v>0</v>
      </c>
    </row>
    <row r="172" customHeight="1" spans="1:14">
      <c r="A172" s="155" t="s">
        <v>398</v>
      </c>
      <c r="B172" s="25">
        <v>5110</v>
      </c>
      <c r="C172" s="25">
        <v>19</v>
      </c>
      <c r="D172" s="25">
        <v>184</v>
      </c>
      <c r="E172" s="25">
        <v>2</v>
      </c>
      <c r="F172" s="25">
        <v>0</v>
      </c>
      <c r="G172" s="25">
        <v>0</v>
      </c>
      <c r="H172" s="25">
        <v>46</v>
      </c>
      <c r="I172" s="25">
        <v>0.15</v>
      </c>
      <c r="J172" s="25">
        <v>0</v>
      </c>
      <c r="K172" s="25">
        <v>45</v>
      </c>
      <c r="L172" s="25">
        <v>2210</v>
      </c>
      <c r="M172" s="25" t="s">
        <v>392</v>
      </c>
      <c r="N172" s="25">
        <v>0</v>
      </c>
    </row>
    <row r="173" customHeight="1" spans="1:14">
      <c r="A173" s="155" t="s">
        <v>398</v>
      </c>
      <c r="B173" s="25">
        <v>5110</v>
      </c>
      <c r="C173" s="25">
        <v>20</v>
      </c>
      <c r="D173" s="25">
        <v>192</v>
      </c>
      <c r="E173" s="25">
        <v>2</v>
      </c>
      <c r="F173" s="25">
        <v>0</v>
      </c>
      <c r="G173" s="25">
        <v>0</v>
      </c>
      <c r="H173" s="25">
        <v>48</v>
      </c>
      <c r="I173" s="25">
        <v>0.15</v>
      </c>
      <c r="J173" s="25">
        <v>0</v>
      </c>
      <c r="K173" s="25">
        <v>45</v>
      </c>
      <c r="L173" s="25">
        <v>2210</v>
      </c>
      <c r="M173" s="25" t="s">
        <v>392</v>
      </c>
      <c r="N173" s="25">
        <v>0</v>
      </c>
    </row>
    <row r="174" customHeight="1" spans="1:14">
      <c r="A174" s="155" t="s">
        <v>398</v>
      </c>
      <c r="B174" s="25">
        <v>5110</v>
      </c>
      <c r="C174" s="25">
        <v>21</v>
      </c>
      <c r="D174" s="25">
        <v>200</v>
      </c>
      <c r="E174" s="25">
        <v>2</v>
      </c>
      <c r="F174" s="25">
        <v>0</v>
      </c>
      <c r="G174" s="25">
        <v>0</v>
      </c>
      <c r="H174" s="25">
        <v>50</v>
      </c>
      <c r="I174" s="25">
        <v>0.15</v>
      </c>
      <c r="J174" s="25">
        <v>0</v>
      </c>
      <c r="K174" s="25">
        <v>45</v>
      </c>
      <c r="L174" s="25">
        <v>2210</v>
      </c>
      <c r="M174" s="25" t="s">
        <v>392</v>
      </c>
      <c r="N174" s="25">
        <v>0</v>
      </c>
    </row>
    <row r="175" customHeight="1" spans="1:14">
      <c r="A175" s="155" t="s">
        <v>398</v>
      </c>
      <c r="B175" s="25">
        <v>5110</v>
      </c>
      <c r="C175" s="25">
        <v>22</v>
      </c>
      <c r="D175" s="25">
        <v>208</v>
      </c>
      <c r="E175" s="25">
        <v>2</v>
      </c>
      <c r="F175" s="25">
        <v>0</v>
      </c>
      <c r="G175" s="25">
        <v>0</v>
      </c>
      <c r="H175" s="25">
        <v>52</v>
      </c>
      <c r="I175" s="25">
        <v>0.15</v>
      </c>
      <c r="J175" s="25">
        <v>0</v>
      </c>
      <c r="K175" s="25">
        <v>45</v>
      </c>
      <c r="L175" s="25">
        <v>2210</v>
      </c>
      <c r="M175" s="25" t="s">
        <v>392</v>
      </c>
      <c r="N175" s="25">
        <v>0</v>
      </c>
    </row>
    <row r="176" customHeight="1" spans="1:14">
      <c r="A176" s="155" t="s">
        <v>398</v>
      </c>
      <c r="B176" s="25">
        <v>5110</v>
      </c>
      <c r="C176" s="25">
        <v>23</v>
      </c>
      <c r="D176" s="25">
        <v>216</v>
      </c>
      <c r="E176" s="25">
        <v>2</v>
      </c>
      <c r="F176" s="25">
        <v>0</v>
      </c>
      <c r="G176" s="25">
        <v>0</v>
      </c>
      <c r="H176" s="25">
        <v>54</v>
      </c>
      <c r="I176" s="25">
        <v>0.15</v>
      </c>
      <c r="J176" s="25">
        <v>0</v>
      </c>
      <c r="K176" s="25">
        <v>45</v>
      </c>
      <c r="L176" s="25">
        <v>2210</v>
      </c>
      <c r="M176" s="25" t="s">
        <v>392</v>
      </c>
      <c r="N176" s="25">
        <v>0</v>
      </c>
    </row>
    <row r="177" customHeight="1" spans="1:14">
      <c r="A177" s="155" t="s">
        <v>398</v>
      </c>
      <c r="B177" s="25">
        <v>5110</v>
      </c>
      <c r="C177" s="25">
        <v>24</v>
      </c>
      <c r="D177" s="25">
        <v>224</v>
      </c>
      <c r="E177" s="25">
        <v>2</v>
      </c>
      <c r="F177" s="25">
        <v>0</v>
      </c>
      <c r="G177" s="25">
        <v>0</v>
      </c>
      <c r="H177" s="25">
        <v>56</v>
      </c>
      <c r="I177" s="25">
        <v>0.15</v>
      </c>
      <c r="J177" s="25">
        <v>0</v>
      </c>
      <c r="K177" s="25">
        <v>45</v>
      </c>
      <c r="L177" s="25">
        <v>2210</v>
      </c>
      <c r="M177" s="25" t="s">
        <v>392</v>
      </c>
      <c r="N177" s="25">
        <v>0</v>
      </c>
    </row>
    <row r="178" customHeight="1" spans="1:14">
      <c r="A178" s="155" t="s">
        <v>398</v>
      </c>
      <c r="B178" s="25">
        <v>5110</v>
      </c>
      <c r="C178" s="25">
        <v>25</v>
      </c>
      <c r="D178" s="25">
        <v>240</v>
      </c>
      <c r="E178" s="25">
        <v>2</v>
      </c>
      <c r="F178" s="25">
        <v>0</v>
      </c>
      <c r="G178" s="25">
        <v>0</v>
      </c>
      <c r="H178" s="25">
        <v>60</v>
      </c>
      <c r="I178" s="25">
        <v>0.15</v>
      </c>
      <c r="J178" s="25">
        <v>0</v>
      </c>
      <c r="K178" s="25">
        <v>45</v>
      </c>
      <c r="L178" s="25">
        <v>2210</v>
      </c>
      <c r="M178" s="25" t="s">
        <v>392</v>
      </c>
      <c r="N178" s="25">
        <v>0</v>
      </c>
    </row>
  </sheetData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J38"/>
  <sheetViews>
    <sheetView workbookViewId="0">
      <selection activeCell="G6" sqref="G6"/>
    </sheetView>
  </sheetViews>
  <sheetFormatPr defaultColWidth="11.0986842105263" defaultRowHeight="15.2"/>
  <cols>
    <col min="1" max="1" width="22.6973684210526" customWidth="1"/>
    <col min="4" max="5" width="11.5986842105263" customWidth="1"/>
    <col min="6" max="6" width="12.9013157894737" customWidth="1"/>
    <col min="8" max="8" width="14.5986842105263" customWidth="1"/>
    <col min="9" max="9" width="13.1973684210526" customWidth="1"/>
    <col min="10" max="10" width="45.6973684210526" customWidth="1"/>
  </cols>
  <sheetData>
    <row r="1" ht="23.1" customHeight="1" spans="1:10">
      <c r="A1" s="25" t="s">
        <v>365</v>
      </c>
      <c r="B1" s="25" t="s">
        <v>366</v>
      </c>
      <c r="C1" s="25" t="s">
        <v>367</v>
      </c>
      <c r="D1" s="25" t="s">
        <v>399</v>
      </c>
      <c r="E1" s="25" t="s">
        <v>400</v>
      </c>
      <c r="F1" s="25" t="s">
        <v>34</v>
      </c>
      <c r="H1" s="31" t="s">
        <v>401</v>
      </c>
      <c r="I1" s="31" t="s">
        <v>400</v>
      </c>
      <c r="J1" s="31" t="s">
        <v>402</v>
      </c>
    </row>
    <row r="2" ht="23.1" customHeight="1" spans="1:10">
      <c r="A2" s="25" t="s">
        <v>41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H2" s="31" t="s">
        <v>40</v>
      </c>
      <c r="I2" s="31" t="s">
        <v>40</v>
      </c>
      <c r="J2" s="31" t="s">
        <v>41</v>
      </c>
    </row>
    <row r="3" ht="23.1" customHeight="1" spans="1:10">
      <c r="A3" s="25" t="s">
        <v>378</v>
      </c>
      <c r="B3" s="25" t="s">
        <v>379</v>
      </c>
      <c r="C3" s="25" t="s">
        <v>403</v>
      </c>
      <c r="D3" s="25" t="s">
        <v>404</v>
      </c>
      <c r="E3" s="25" t="s">
        <v>405</v>
      </c>
      <c r="F3" s="25" t="s">
        <v>406</v>
      </c>
      <c r="H3" s="31" t="s">
        <v>407</v>
      </c>
      <c r="I3" s="31" t="s">
        <v>405</v>
      </c>
      <c r="J3" s="31" t="s">
        <v>408</v>
      </c>
    </row>
    <row r="4" ht="23.1" customHeight="1" spans="1:10">
      <c r="A4" s="155" t="s">
        <v>391</v>
      </c>
      <c r="B4" s="25">
        <v>5101</v>
      </c>
      <c r="C4" s="25">
        <v>1</v>
      </c>
      <c r="D4" s="25">
        <v>0</v>
      </c>
      <c r="E4" s="25">
        <v>0</v>
      </c>
      <c r="F4" s="25">
        <v>0</v>
      </c>
      <c r="H4" s="31">
        <v>1</v>
      </c>
      <c r="I4" s="31">
        <v>1</v>
      </c>
      <c r="J4" s="156" t="s">
        <v>409</v>
      </c>
    </row>
    <row r="5" ht="23.1" customHeight="1" spans="1:10">
      <c r="A5" s="155" t="s">
        <v>391</v>
      </c>
      <c r="B5" s="25">
        <v>5101</v>
      </c>
      <c r="C5" s="25">
        <v>2</v>
      </c>
      <c r="D5" s="25">
        <v>25</v>
      </c>
      <c r="E5" s="25">
        <v>1</v>
      </c>
      <c r="F5" s="25">
        <v>30</v>
      </c>
      <c r="H5" s="31">
        <v>2</v>
      </c>
      <c r="I5" s="31">
        <v>2</v>
      </c>
      <c r="J5" s="156" t="s">
        <v>410</v>
      </c>
    </row>
    <row r="6" ht="23.1" customHeight="1" spans="1:10">
      <c r="A6" s="155" t="s">
        <v>391</v>
      </c>
      <c r="B6" s="25">
        <v>5101</v>
      </c>
      <c r="C6" s="25">
        <v>3</v>
      </c>
      <c r="D6" s="25">
        <v>25</v>
      </c>
      <c r="E6" s="25">
        <v>1</v>
      </c>
      <c r="F6" s="25">
        <v>300</v>
      </c>
      <c r="H6" s="31">
        <v>3</v>
      </c>
      <c r="I6" s="31">
        <v>1</v>
      </c>
      <c r="J6" s="156" t="s">
        <v>411</v>
      </c>
    </row>
    <row r="7" ht="23.1" customHeight="1" spans="1:10">
      <c r="A7" s="155" t="s">
        <v>391</v>
      </c>
      <c r="B7" s="25">
        <v>5101</v>
      </c>
      <c r="C7" s="25">
        <v>4</v>
      </c>
      <c r="D7" s="25">
        <v>1</v>
      </c>
      <c r="E7" s="25">
        <v>1</v>
      </c>
      <c r="F7" s="25">
        <v>10</v>
      </c>
      <c r="H7" s="31">
        <v>4</v>
      </c>
      <c r="I7" s="31">
        <v>1</v>
      </c>
      <c r="J7" s="156" t="s">
        <v>412</v>
      </c>
    </row>
    <row r="8" ht="23.1" customHeight="1" spans="1:10">
      <c r="A8" s="155" t="s">
        <v>391</v>
      </c>
      <c r="B8" s="25">
        <v>5101</v>
      </c>
      <c r="C8" s="25">
        <v>5</v>
      </c>
      <c r="D8" s="25">
        <v>25</v>
      </c>
      <c r="E8" s="25">
        <v>1</v>
      </c>
      <c r="F8" s="25">
        <v>3000</v>
      </c>
      <c r="H8" s="31">
        <v>5</v>
      </c>
      <c r="I8" s="31">
        <v>1</v>
      </c>
      <c r="J8" s="156" t="s">
        <v>413</v>
      </c>
    </row>
    <row r="9" ht="23.1" customHeight="1" spans="1:10">
      <c r="A9" s="155" t="s">
        <v>393</v>
      </c>
      <c r="B9" s="25">
        <v>5103</v>
      </c>
      <c r="C9" s="25">
        <v>1</v>
      </c>
      <c r="D9" s="25">
        <v>0</v>
      </c>
      <c r="E9" s="25">
        <v>0</v>
      </c>
      <c r="F9" s="25">
        <v>0</v>
      </c>
      <c r="H9" s="31">
        <v>6</v>
      </c>
      <c r="I9" s="31">
        <v>1</v>
      </c>
      <c r="J9" s="156" t="s">
        <v>414</v>
      </c>
    </row>
    <row r="10" ht="23.1" customHeight="1" spans="1:10">
      <c r="A10" s="155" t="s">
        <v>393</v>
      </c>
      <c r="B10" s="25">
        <v>5103</v>
      </c>
      <c r="C10" s="25">
        <v>2</v>
      </c>
      <c r="D10" s="25">
        <v>25</v>
      </c>
      <c r="E10" s="25">
        <v>1</v>
      </c>
      <c r="F10" s="25">
        <v>30</v>
      </c>
      <c r="H10" s="31">
        <v>7</v>
      </c>
      <c r="I10" s="31">
        <v>2</v>
      </c>
      <c r="J10" s="156" t="s">
        <v>415</v>
      </c>
    </row>
    <row r="11" ht="23.1" customHeight="1" spans="1:10">
      <c r="A11" s="155" t="s">
        <v>393</v>
      </c>
      <c r="B11" s="25">
        <v>5103</v>
      </c>
      <c r="C11" s="25">
        <v>3</v>
      </c>
      <c r="D11" s="25">
        <v>25</v>
      </c>
      <c r="E11" s="25">
        <v>1</v>
      </c>
      <c r="F11" s="25">
        <v>300</v>
      </c>
      <c r="H11" s="31">
        <v>8</v>
      </c>
      <c r="I11" s="31">
        <v>0</v>
      </c>
      <c r="J11" s="156" t="s">
        <v>416</v>
      </c>
    </row>
    <row r="12" ht="23.1" customHeight="1" spans="1:10">
      <c r="A12" s="155" t="s">
        <v>393</v>
      </c>
      <c r="B12" s="25">
        <v>5103</v>
      </c>
      <c r="C12" s="25">
        <v>4</v>
      </c>
      <c r="D12" s="25">
        <v>1</v>
      </c>
      <c r="E12" s="25">
        <v>1</v>
      </c>
      <c r="F12" s="25">
        <v>9</v>
      </c>
      <c r="H12" s="31">
        <v>9</v>
      </c>
      <c r="I12" s="31">
        <v>2</v>
      </c>
      <c r="J12" s="156" t="s">
        <v>417</v>
      </c>
    </row>
    <row r="13" ht="23.1" customHeight="1" spans="1:10">
      <c r="A13" s="155" t="s">
        <v>393</v>
      </c>
      <c r="B13" s="25">
        <v>5103</v>
      </c>
      <c r="C13" s="25">
        <v>5</v>
      </c>
      <c r="D13" s="25">
        <v>25</v>
      </c>
      <c r="E13" s="25">
        <v>1</v>
      </c>
      <c r="F13" s="25">
        <v>3000</v>
      </c>
      <c r="H13" s="31">
        <v>10</v>
      </c>
      <c r="I13" s="31">
        <v>0</v>
      </c>
      <c r="J13" s="156" t="s">
        <v>418</v>
      </c>
    </row>
    <row r="14" ht="23.1" customHeight="1" spans="1:10">
      <c r="A14" s="155" t="s">
        <v>394</v>
      </c>
      <c r="B14" s="25">
        <v>5105</v>
      </c>
      <c r="C14" s="25">
        <v>1</v>
      </c>
      <c r="D14" s="25">
        <v>0</v>
      </c>
      <c r="E14" s="25">
        <v>0</v>
      </c>
      <c r="F14" s="25">
        <v>0</v>
      </c>
      <c r="H14" s="31">
        <v>11</v>
      </c>
      <c r="I14" s="31">
        <v>2</v>
      </c>
      <c r="J14" s="156" t="s">
        <v>419</v>
      </c>
    </row>
    <row r="15" ht="23.1" customHeight="1" spans="1:10">
      <c r="A15" s="155" t="s">
        <v>394</v>
      </c>
      <c r="B15" s="25">
        <v>5105</v>
      </c>
      <c r="C15" s="25">
        <v>2</v>
      </c>
      <c r="D15" s="25">
        <v>25</v>
      </c>
      <c r="E15" s="25">
        <v>1</v>
      </c>
      <c r="F15" s="25">
        <v>30</v>
      </c>
      <c r="H15" s="31">
        <v>12</v>
      </c>
      <c r="I15" s="31">
        <v>2</v>
      </c>
      <c r="J15" s="156" t="s">
        <v>420</v>
      </c>
    </row>
    <row r="16" ht="23.1" customHeight="1" spans="1:10">
      <c r="A16" s="155" t="s">
        <v>394</v>
      </c>
      <c r="B16" s="25">
        <v>5105</v>
      </c>
      <c r="C16" s="25">
        <v>3</v>
      </c>
      <c r="D16" s="25">
        <v>25</v>
      </c>
      <c r="E16" s="25">
        <v>1</v>
      </c>
      <c r="F16" s="25">
        <v>300</v>
      </c>
      <c r="H16" s="31">
        <v>13</v>
      </c>
      <c r="I16" s="31">
        <v>2</v>
      </c>
      <c r="J16" s="156" t="s">
        <v>421</v>
      </c>
    </row>
    <row r="17" ht="23.1" customHeight="1" spans="1:10">
      <c r="A17" s="155" t="s">
        <v>394</v>
      </c>
      <c r="B17" s="25">
        <v>5105</v>
      </c>
      <c r="C17" s="25">
        <v>4</v>
      </c>
      <c r="D17" s="25">
        <v>1</v>
      </c>
      <c r="E17" s="25">
        <v>1</v>
      </c>
      <c r="F17" s="25">
        <v>9</v>
      </c>
      <c r="H17" s="31">
        <v>14</v>
      </c>
      <c r="I17" s="31">
        <v>2</v>
      </c>
      <c r="J17" s="156" t="s">
        <v>422</v>
      </c>
    </row>
    <row r="18" ht="23.1" customHeight="1" spans="1:10">
      <c r="A18" s="155" t="s">
        <v>394</v>
      </c>
      <c r="B18" s="25">
        <v>5105</v>
      </c>
      <c r="C18" s="25">
        <v>5</v>
      </c>
      <c r="D18" s="25">
        <v>25</v>
      </c>
      <c r="E18" s="25">
        <v>1</v>
      </c>
      <c r="F18" s="25">
        <v>3000</v>
      </c>
      <c r="H18" s="31">
        <v>15</v>
      </c>
      <c r="I18" s="31">
        <v>2</v>
      </c>
      <c r="J18" s="156" t="s">
        <v>423</v>
      </c>
    </row>
    <row r="19" ht="23.1" customHeight="1" spans="1:10">
      <c r="A19" s="155" t="s">
        <v>395</v>
      </c>
      <c r="B19" s="25">
        <v>5106</v>
      </c>
      <c r="C19" s="25">
        <v>1</v>
      </c>
      <c r="D19" s="25">
        <v>0</v>
      </c>
      <c r="E19" s="25">
        <v>0</v>
      </c>
      <c r="F19" s="25">
        <v>0</v>
      </c>
      <c r="H19" s="31">
        <v>16</v>
      </c>
      <c r="I19" s="31">
        <v>2</v>
      </c>
      <c r="J19" s="156" t="s">
        <v>424</v>
      </c>
    </row>
    <row r="20" ht="23.1" customHeight="1" spans="1:10">
      <c r="A20" s="155" t="s">
        <v>395</v>
      </c>
      <c r="B20" s="25">
        <v>5106</v>
      </c>
      <c r="C20" s="25">
        <v>2</v>
      </c>
      <c r="D20" s="25">
        <v>25</v>
      </c>
      <c r="E20" s="25">
        <v>1</v>
      </c>
      <c r="F20" s="25">
        <v>30</v>
      </c>
      <c r="H20" s="31">
        <v>17</v>
      </c>
      <c r="I20" s="31">
        <v>1</v>
      </c>
      <c r="J20" s="156" t="s">
        <v>425</v>
      </c>
    </row>
    <row r="21" ht="23.1" customHeight="1" spans="1:10">
      <c r="A21" s="155" t="s">
        <v>395</v>
      </c>
      <c r="B21" s="25">
        <v>5106</v>
      </c>
      <c r="C21" s="25">
        <v>3</v>
      </c>
      <c r="D21" s="25">
        <v>25</v>
      </c>
      <c r="E21" s="25">
        <v>1</v>
      </c>
      <c r="F21" s="25">
        <v>300</v>
      </c>
      <c r="H21" s="31">
        <v>18</v>
      </c>
      <c r="I21" s="31">
        <v>2</v>
      </c>
      <c r="J21" s="156" t="s">
        <v>426</v>
      </c>
    </row>
    <row r="22" ht="23.1" customHeight="1" spans="1:10">
      <c r="A22" s="155" t="s">
        <v>395</v>
      </c>
      <c r="B22" s="25">
        <v>5106</v>
      </c>
      <c r="C22" s="25">
        <v>4</v>
      </c>
      <c r="D22" s="25">
        <v>1</v>
      </c>
      <c r="E22" s="25">
        <v>1</v>
      </c>
      <c r="F22" s="25">
        <v>10</v>
      </c>
      <c r="H22" s="31">
        <v>19</v>
      </c>
      <c r="I22" s="31">
        <v>2</v>
      </c>
      <c r="J22" s="156" t="s">
        <v>427</v>
      </c>
    </row>
    <row r="23" ht="23.1" customHeight="1" spans="1:10">
      <c r="A23" s="155" t="s">
        <v>395</v>
      </c>
      <c r="B23" s="25">
        <v>5106</v>
      </c>
      <c r="C23" s="25">
        <v>5</v>
      </c>
      <c r="D23" s="25">
        <v>25</v>
      </c>
      <c r="E23" s="25">
        <v>1</v>
      </c>
      <c r="F23" s="25">
        <v>3000</v>
      </c>
      <c r="H23" s="31">
        <v>20</v>
      </c>
      <c r="I23" s="31">
        <v>2</v>
      </c>
      <c r="J23" s="156" t="s">
        <v>428</v>
      </c>
    </row>
    <row r="24" ht="23.1" customHeight="1" spans="1:10">
      <c r="A24" s="155" t="s">
        <v>396</v>
      </c>
      <c r="B24" s="25">
        <v>5108</v>
      </c>
      <c r="C24" s="25">
        <v>1</v>
      </c>
      <c r="D24" s="25">
        <v>0</v>
      </c>
      <c r="E24" s="25">
        <v>0</v>
      </c>
      <c r="F24" s="25">
        <v>0</v>
      </c>
      <c r="H24" s="31">
        <v>21</v>
      </c>
      <c r="I24" s="31">
        <v>2</v>
      </c>
      <c r="J24" s="156" t="s">
        <v>429</v>
      </c>
    </row>
    <row r="25" ht="23.1" customHeight="1" spans="1:10">
      <c r="A25" s="155" t="s">
        <v>396</v>
      </c>
      <c r="B25" s="25">
        <v>5108</v>
      </c>
      <c r="C25" s="25">
        <v>2</v>
      </c>
      <c r="D25" s="25">
        <v>25</v>
      </c>
      <c r="E25" s="25">
        <v>1</v>
      </c>
      <c r="F25" s="25">
        <v>30</v>
      </c>
      <c r="H25" s="31">
        <v>22</v>
      </c>
      <c r="I25" s="31">
        <v>1</v>
      </c>
      <c r="J25" s="156" t="s">
        <v>430</v>
      </c>
    </row>
    <row r="26" ht="23.1" customHeight="1" spans="1:10">
      <c r="A26" s="155" t="s">
        <v>396</v>
      </c>
      <c r="B26" s="25">
        <v>5108</v>
      </c>
      <c r="C26" s="25">
        <v>3</v>
      </c>
      <c r="D26" s="25">
        <v>25</v>
      </c>
      <c r="E26" s="25">
        <v>1</v>
      </c>
      <c r="F26" s="25">
        <v>300</v>
      </c>
      <c r="H26" s="31">
        <v>23</v>
      </c>
      <c r="I26" s="31">
        <v>2</v>
      </c>
      <c r="J26" s="156" t="s">
        <v>431</v>
      </c>
    </row>
    <row r="27" ht="23.1" customHeight="1" spans="1:10">
      <c r="A27" s="155" t="s">
        <v>396</v>
      </c>
      <c r="B27" s="25">
        <v>5108</v>
      </c>
      <c r="C27" s="25">
        <v>4</v>
      </c>
      <c r="D27" s="25">
        <v>1</v>
      </c>
      <c r="E27" s="25">
        <v>1</v>
      </c>
      <c r="F27" s="25">
        <v>10</v>
      </c>
      <c r="H27" s="31">
        <v>24</v>
      </c>
      <c r="I27" s="31">
        <v>2</v>
      </c>
      <c r="J27" s="156" t="s">
        <v>432</v>
      </c>
    </row>
    <row r="28" ht="23.1" customHeight="1" spans="1:10">
      <c r="A28" s="155" t="s">
        <v>396</v>
      </c>
      <c r="B28" s="25">
        <v>5108</v>
      </c>
      <c r="C28" s="25">
        <v>5</v>
      </c>
      <c r="D28" s="25">
        <v>25</v>
      </c>
      <c r="E28" s="25">
        <v>1</v>
      </c>
      <c r="F28" s="25">
        <v>3000</v>
      </c>
      <c r="H28" s="31">
        <v>25</v>
      </c>
      <c r="I28" s="31">
        <v>1</v>
      </c>
      <c r="J28" s="156" t="s">
        <v>433</v>
      </c>
    </row>
    <row r="29" ht="23.1" customHeight="1" spans="1:6">
      <c r="A29" s="155" t="s">
        <v>397</v>
      </c>
      <c r="B29" s="25">
        <v>5109</v>
      </c>
      <c r="C29" s="25">
        <v>1</v>
      </c>
      <c r="D29" s="25">
        <v>0</v>
      </c>
      <c r="E29" s="25">
        <v>0</v>
      </c>
      <c r="F29" s="25">
        <v>0</v>
      </c>
    </row>
    <row r="30" ht="23.1" customHeight="1" spans="1:6">
      <c r="A30" s="155" t="s">
        <v>397</v>
      </c>
      <c r="B30" s="25">
        <v>5109</v>
      </c>
      <c r="C30" s="25">
        <v>2</v>
      </c>
      <c r="D30" s="25">
        <v>25</v>
      </c>
      <c r="E30" s="25">
        <v>1</v>
      </c>
      <c r="F30" s="25">
        <v>30</v>
      </c>
    </row>
    <row r="31" ht="23.1" customHeight="1" spans="1:6">
      <c r="A31" s="155" t="s">
        <v>397</v>
      </c>
      <c r="B31" s="25">
        <v>5109</v>
      </c>
      <c r="C31" s="25">
        <v>3</v>
      </c>
      <c r="D31" s="25">
        <v>25</v>
      </c>
      <c r="E31" s="25">
        <v>1</v>
      </c>
      <c r="F31" s="25">
        <v>300</v>
      </c>
    </row>
    <row r="32" ht="23.1" customHeight="1" spans="1:6">
      <c r="A32" s="155" t="s">
        <v>397</v>
      </c>
      <c r="B32" s="25">
        <v>5109</v>
      </c>
      <c r="C32" s="25">
        <v>4</v>
      </c>
      <c r="D32" s="25">
        <v>1</v>
      </c>
      <c r="E32" s="25">
        <v>1</v>
      </c>
      <c r="F32" s="25">
        <v>10</v>
      </c>
    </row>
    <row r="33" ht="23.1" customHeight="1" spans="1:6">
      <c r="A33" s="155" t="s">
        <v>397</v>
      </c>
      <c r="B33" s="25">
        <v>5109</v>
      </c>
      <c r="C33" s="25">
        <v>5</v>
      </c>
      <c r="D33" s="25">
        <v>25</v>
      </c>
      <c r="E33" s="25">
        <v>1</v>
      </c>
      <c r="F33" s="25">
        <v>3000</v>
      </c>
    </row>
    <row r="34" ht="23.1" customHeight="1" spans="1:6">
      <c r="A34" s="155" t="s">
        <v>398</v>
      </c>
      <c r="B34" s="25">
        <v>5110</v>
      </c>
      <c r="C34" s="25">
        <v>1</v>
      </c>
      <c r="D34" s="25">
        <v>0</v>
      </c>
      <c r="E34" s="25">
        <v>0</v>
      </c>
      <c r="F34" s="25">
        <v>0</v>
      </c>
    </row>
    <row r="35" ht="23.1" customHeight="1" spans="1:6">
      <c r="A35" s="155" t="s">
        <v>398</v>
      </c>
      <c r="B35" s="25">
        <v>5110</v>
      </c>
      <c r="C35" s="25">
        <v>2</v>
      </c>
      <c r="D35" s="25">
        <v>25</v>
      </c>
      <c r="E35" s="25">
        <v>1</v>
      </c>
      <c r="F35" s="25">
        <v>30</v>
      </c>
    </row>
    <row r="36" ht="23.1" customHeight="1" spans="1:6">
      <c r="A36" s="155" t="s">
        <v>398</v>
      </c>
      <c r="B36" s="25">
        <v>5110</v>
      </c>
      <c r="C36" s="25">
        <v>3</v>
      </c>
      <c r="D36" s="25">
        <v>25</v>
      </c>
      <c r="E36" s="25">
        <v>1</v>
      </c>
      <c r="F36" s="25">
        <v>300</v>
      </c>
    </row>
    <row r="37" ht="23.1" customHeight="1" spans="1:6">
      <c r="A37" s="155" t="s">
        <v>398</v>
      </c>
      <c r="B37" s="25">
        <v>5110</v>
      </c>
      <c r="C37" s="25">
        <v>4</v>
      </c>
      <c r="D37" s="25">
        <v>1</v>
      </c>
      <c r="E37" s="25">
        <v>1</v>
      </c>
      <c r="F37" s="25">
        <v>9</v>
      </c>
    </row>
    <row r="38" ht="23.1" customHeight="1" spans="1:6">
      <c r="A38" s="155" t="s">
        <v>398</v>
      </c>
      <c r="B38" s="25">
        <v>5110</v>
      </c>
      <c r="C38" s="25">
        <v>5</v>
      </c>
      <c r="D38" s="25">
        <v>25</v>
      </c>
      <c r="E38" s="25">
        <v>1</v>
      </c>
      <c r="F38" s="25">
        <v>3000</v>
      </c>
    </row>
  </sheetData>
  <pageMargins left="0.75" right="0.75" top="1" bottom="1" header="0.511805555555556" footer="0.511805555555556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10"/>
  <sheetViews>
    <sheetView zoomScale="120" zoomScaleNormal="120" workbookViewId="0">
      <selection activeCell="D13" sqref="D13"/>
    </sheetView>
  </sheetViews>
  <sheetFormatPr defaultColWidth="9" defaultRowHeight="15.2"/>
  <cols>
    <col min="1" max="3" width="9" style="6"/>
    <col min="4" max="5" width="12.1973684210526" style="6" customWidth="1"/>
    <col min="6" max="16384" width="9" style="6"/>
  </cols>
  <sheetData>
    <row r="1" ht="18" spans="1:14">
      <c r="A1" s="2" t="s">
        <v>434</v>
      </c>
      <c r="B1" s="2" t="s">
        <v>372</v>
      </c>
      <c r="C1" s="2" t="s">
        <v>435</v>
      </c>
      <c r="D1" s="2" t="s">
        <v>31</v>
      </c>
      <c r="E1" s="2" t="s">
        <v>436</v>
      </c>
      <c r="F1" s="2" t="s">
        <v>32</v>
      </c>
      <c r="G1" s="2" t="s">
        <v>437</v>
      </c>
      <c r="H1" s="2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</row>
    <row r="2" ht="18" spans="1:14">
      <c r="A2" s="2" t="s">
        <v>40</v>
      </c>
      <c r="B2" s="2" t="s">
        <v>40</v>
      </c>
      <c r="C2" s="2" t="s">
        <v>40</v>
      </c>
      <c r="D2" s="2" t="s">
        <v>40</v>
      </c>
      <c r="E2" s="2" t="s">
        <v>40</v>
      </c>
      <c r="F2" s="2" t="s">
        <v>40</v>
      </c>
      <c r="G2" s="2" t="s">
        <v>40</v>
      </c>
      <c r="H2" s="2" t="s">
        <v>40</v>
      </c>
      <c r="I2" s="2" t="s">
        <v>40</v>
      </c>
      <c r="J2" s="2" t="s">
        <v>40</v>
      </c>
      <c r="K2" s="2" t="s">
        <v>40</v>
      </c>
      <c r="L2" s="2" t="s">
        <v>40</v>
      </c>
      <c r="M2" s="2" t="s">
        <v>40</v>
      </c>
      <c r="N2" s="2" t="s">
        <v>40</v>
      </c>
    </row>
    <row r="3" ht="21" spans="1:14">
      <c r="A3" s="151" t="s">
        <v>445</v>
      </c>
      <c r="B3" s="151" t="s">
        <v>446</v>
      </c>
      <c r="C3" s="2" t="s">
        <v>447</v>
      </c>
      <c r="D3" s="2" t="s">
        <v>448</v>
      </c>
      <c r="E3" s="2" t="s">
        <v>447</v>
      </c>
      <c r="F3" s="2" t="s">
        <v>448</v>
      </c>
      <c r="G3" s="2" t="s">
        <v>447</v>
      </c>
      <c r="H3" s="2" t="s">
        <v>448</v>
      </c>
      <c r="I3" s="2" t="s">
        <v>447</v>
      </c>
      <c r="J3" s="2" t="s">
        <v>448</v>
      </c>
      <c r="K3" s="2" t="s">
        <v>447</v>
      </c>
      <c r="L3" s="2" t="s">
        <v>448</v>
      </c>
      <c r="M3" s="2" t="s">
        <v>447</v>
      </c>
      <c r="N3" s="2" t="s">
        <v>448</v>
      </c>
    </row>
    <row r="4" ht="17.6" spans="1:14">
      <c r="A4" s="2">
        <v>44411</v>
      </c>
      <c r="B4" s="152">
        <v>60</v>
      </c>
      <c r="C4" s="152">
        <v>60118</v>
      </c>
      <c r="D4" s="152">
        <v>5000</v>
      </c>
      <c r="E4" s="154">
        <v>77228</v>
      </c>
      <c r="F4" s="2">
        <v>2000</v>
      </c>
      <c r="G4" s="154">
        <v>16040</v>
      </c>
      <c r="H4" s="2">
        <v>3000</v>
      </c>
      <c r="I4" s="2"/>
      <c r="J4" s="2"/>
      <c r="K4" s="2"/>
      <c r="L4" s="2"/>
      <c r="M4" s="2"/>
      <c r="N4" s="2"/>
    </row>
    <row r="5" ht="17.6" spans="1:14">
      <c r="A5" s="2">
        <v>44412</v>
      </c>
      <c r="B5" s="152">
        <v>60</v>
      </c>
      <c r="C5" s="152">
        <v>60118</v>
      </c>
      <c r="D5" s="152">
        <v>4500</v>
      </c>
      <c r="E5" s="154">
        <v>16040</v>
      </c>
      <c r="F5" s="2">
        <v>2500</v>
      </c>
      <c r="G5" s="154">
        <v>77228</v>
      </c>
      <c r="H5" s="2">
        <v>1800</v>
      </c>
      <c r="I5" s="2">
        <v>79230</v>
      </c>
      <c r="J5" s="2">
        <v>1200</v>
      </c>
      <c r="K5" s="2"/>
      <c r="L5" s="2"/>
      <c r="M5" s="2"/>
      <c r="N5" s="2"/>
    </row>
    <row r="6" ht="17.6" spans="1:14">
      <c r="A6" s="2">
        <v>44413</v>
      </c>
      <c r="B6" s="152">
        <v>60</v>
      </c>
      <c r="C6" s="152">
        <v>60118</v>
      </c>
      <c r="D6" s="152">
        <v>3500</v>
      </c>
      <c r="E6" s="154">
        <v>16040</v>
      </c>
      <c r="F6" s="2">
        <v>2500</v>
      </c>
      <c r="G6" s="154">
        <v>77228</v>
      </c>
      <c r="H6" s="2">
        <v>2000</v>
      </c>
      <c r="I6" s="2">
        <v>79230</v>
      </c>
      <c r="J6" s="2">
        <v>1000</v>
      </c>
      <c r="K6" s="2">
        <v>65119</v>
      </c>
      <c r="L6" s="2">
        <v>1000</v>
      </c>
      <c r="M6" s="2"/>
      <c r="N6" s="2"/>
    </row>
    <row r="7" ht="17.6" spans="1:14">
      <c r="A7" s="2">
        <v>44414</v>
      </c>
      <c r="B7" s="152">
        <v>60</v>
      </c>
      <c r="C7" s="152">
        <v>60118</v>
      </c>
      <c r="D7" s="152">
        <v>3000</v>
      </c>
      <c r="E7" s="154">
        <v>16040</v>
      </c>
      <c r="F7" s="2">
        <v>2500</v>
      </c>
      <c r="G7" s="154">
        <v>77228</v>
      </c>
      <c r="H7" s="2">
        <v>2000</v>
      </c>
      <c r="I7" s="2">
        <v>79230</v>
      </c>
      <c r="J7" s="2">
        <v>1000</v>
      </c>
      <c r="K7" s="2">
        <v>65119</v>
      </c>
      <c r="L7" s="2">
        <v>1000</v>
      </c>
      <c r="M7" s="2">
        <v>78229</v>
      </c>
      <c r="N7" s="2">
        <v>500</v>
      </c>
    </row>
    <row r="8" ht="17.6" spans="1:14">
      <c r="A8" s="2">
        <v>44415</v>
      </c>
      <c r="B8" s="152">
        <v>60</v>
      </c>
      <c r="C8" s="152">
        <v>60118</v>
      </c>
      <c r="D8" s="152">
        <v>3000</v>
      </c>
      <c r="E8" s="154">
        <v>16040</v>
      </c>
      <c r="F8" s="2">
        <v>2500</v>
      </c>
      <c r="G8" s="154">
        <v>77228</v>
      </c>
      <c r="H8" s="2">
        <v>2000</v>
      </c>
      <c r="I8" s="2">
        <v>79230</v>
      </c>
      <c r="J8" s="2">
        <v>1000</v>
      </c>
      <c r="K8" s="2">
        <v>65119</v>
      </c>
      <c r="L8" s="2">
        <v>1000</v>
      </c>
      <c r="M8" s="2">
        <v>78229</v>
      </c>
      <c r="N8" s="2">
        <v>500</v>
      </c>
    </row>
    <row r="9" s="5" customFormat="1" ht="17.6" spans="1:14">
      <c r="A9" s="26">
        <v>44501</v>
      </c>
      <c r="B9" s="153">
        <v>60</v>
      </c>
      <c r="C9" s="152">
        <v>60118</v>
      </c>
      <c r="D9" s="152">
        <v>3500</v>
      </c>
      <c r="E9" s="154">
        <v>16040</v>
      </c>
      <c r="F9" s="2">
        <v>2500</v>
      </c>
      <c r="G9" s="154">
        <v>77228</v>
      </c>
      <c r="H9" s="2">
        <v>2000</v>
      </c>
      <c r="I9" s="2">
        <v>79230</v>
      </c>
      <c r="J9" s="2">
        <v>1000</v>
      </c>
      <c r="K9" s="2">
        <v>65119</v>
      </c>
      <c r="L9" s="2">
        <v>1000</v>
      </c>
      <c r="M9" s="26"/>
      <c r="N9" s="26"/>
    </row>
    <row r="10" s="5" customFormat="1" ht="17.6" spans="1:14">
      <c r="A10" s="25">
        <v>44601</v>
      </c>
      <c r="B10" s="152">
        <v>60</v>
      </c>
      <c r="C10" s="152">
        <v>60118</v>
      </c>
      <c r="D10" s="152">
        <v>3500</v>
      </c>
      <c r="E10" s="154">
        <v>16040</v>
      </c>
      <c r="F10" s="2">
        <v>2500</v>
      </c>
      <c r="G10" s="154">
        <v>77228</v>
      </c>
      <c r="H10" s="2">
        <v>2000</v>
      </c>
      <c r="I10" s="2">
        <v>79230</v>
      </c>
      <c r="J10" s="2">
        <v>1000</v>
      </c>
      <c r="K10" s="2">
        <v>65119</v>
      </c>
      <c r="L10" s="2">
        <v>1000</v>
      </c>
      <c r="M10" s="25"/>
      <c r="N10" s="25"/>
    </row>
  </sheetData>
  <pageMargins left="0.75" right="0.75" top="1" bottom="1" header="0.511805555555556" footer="0.511805555555556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topLeftCell="A7" workbookViewId="0">
      <selection activeCell="K39" sqref="K39"/>
    </sheetView>
  </sheetViews>
  <sheetFormatPr defaultColWidth="8.90131578947368" defaultRowHeight="15.2"/>
  <cols>
    <col min="1" max="1" width="10.5" customWidth="1"/>
    <col min="4" max="4" width="18.5986842105263" customWidth="1"/>
    <col min="8" max="8" width="11.9013157894737" customWidth="1"/>
    <col min="9" max="9" width="14.5" customWidth="1"/>
    <col min="10" max="10" width="15.0986842105263" customWidth="1"/>
    <col min="11" max="11" width="9.90131578947368" customWidth="1"/>
    <col min="13" max="13" width="12.5986842105263" customWidth="1"/>
    <col min="14" max="14" width="8.5" customWidth="1"/>
    <col min="15" max="15" width="27.0986842105263" customWidth="1"/>
    <col min="16" max="16" width="42" customWidth="1"/>
    <col min="17" max="17" width="14" customWidth="1"/>
    <col min="19" max="19" width="31.0986842105263" customWidth="1"/>
  </cols>
  <sheetData>
    <row r="1" ht="18" spans="1:19">
      <c r="A1" s="8" t="s">
        <v>449</v>
      </c>
      <c r="C1" s="135" t="s">
        <v>450</v>
      </c>
      <c r="D1" s="135" t="s">
        <v>451</v>
      </c>
      <c r="E1" s="135" t="s">
        <v>28</v>
      </c>
      <c r="F1" s="135" t="s">
        <v>26</v>
      </c>
      <c r="G1" s="135" t="s">
        <v>452</v>
      </c>
      <c r="H1" s="135" t="s">
        <v>453</v>
      </c>
      <c r="I1" s="135" t="s">
        <v>454</v>
      </c>
      <c r="J1" s="135" t="s">
        <v>455</v>
      </c>
      <c r="K1" s="135" t="s">
        <v>456</v>
      </c>
      <c r="M1" s="135" t="s">
        <v>457</v>
      </c>
      <c r="N1" s="135" t="s">
        <v>450</v>
      </c>
      <c r="O1" s="135" t="s">
        <v>456</v>
      </c>
      <c r="P1" s="135" t="s">
        <v>458</v>
      </c>
      <c r="Q1" s="135" t="s">
        <v>459</v>
      </c>
      <c r="R1" s="135" t="s">
        <v>456</v>
      </c>
      <c r="S1" s="135" t="s">
        <v>460</v>
      </c>
    </row>
    <row r="2" ht="18" spans="1:19">
      <c r="A2" s="8" t="s">
        <v>461</v>
      </c>
      <c r="C2" s="135" t="s">
        <v>40</v>
      </c>
      <c r="D2" s="135" t="s">
        <v>461</v>
      </c>
      <c r="E2" s="135" t="s">
        <v>40</v>
      </c>
      <c r="F2" s="135" t="s">
        <v>461</v>
      </c>
      <c r="G2" s="135" t="s">
        <v>461</v>
      </c>
      <c r="H2" s="135" t="s">
        <v>40</v>
      </c>
      <c r="I2" s="135" t="s">
        <v>40</v>
      </c>
      <c r="J2" s="135" t="s">
        <v>461</v>
      </c>
      <c r="K2" s="135" t="s">
        <v>461</v>
      </c>
      <c r="M2" s="135" t="s">
        <v>40</v>
      </c>
      <c r="N2" s="135" t="s">
        <v>40</v>
      </c>
      <c r="O2" s="135" t="s">
        <v>461</v>
      </c>
      <c r="P2" s="135" t="s">
        <v>461</v>
      </c>
      <c r="Q2" s="135" t="s">
        <v>40</v>
      </c>
      <c r="R2" s="135" t="s">
        <v>461</v>
      </c>
      <c r="S2" s="135" t="s">
        <v>461</v>
      </c>
    </row>
    <row r="3" ht="18" spans="1:19">
      <c r="A3" s="13" t="s">
        <v>462</v>
      </c>
      <c r="C3" s="135" t="s">
        <v>463</v>
      </c>
      <c r="D3" s="135" t="s">
        <v>464</v>
      </c>
      <c r="E3" s="135" t="s">
        <v>8</v>
      </c>
      <c r="F3" s="135" t="s">
        <v>465</v>
      </c>
      <c r="G3" s="135" t="s">
        <v>466</v>
      </c>
      <c r="H3" s="135" t="s">
        <v>467</v>
      </c>
      <c r="I3" s="135" t="s">
        <v>468</v>
      </c>
      <c r="J3" s="135" t="s">
        <v>469</v>
      </c>
      <c r="K3" s="135" t="s">
        <v>470</v>
      </c>
      <c r="M3" s="136" t="s">
        <v>471</v>
      </c>
      <c r="N3" s="136" t="s">
        <v>472</v>
      </c>
      <c r="O3" s="135" t="s">
        <v>473</v>
      </c>
      <c r="P3" s="135" t="s">
        <v>474</v>
      </c>
      <c r="Q3" s="135" t="s">
        <v>475</v>
      </c>
      <c r="R3" s="135" t="s">
        <v>476</v>
      </c>
      <c r="S3" s="135" t="s">
        <v>477</v>
      </c>
    </row>
    <row r="4" ht="88" spans="1:19">
      <c r="A4" s="8" t="s">
        <v>478</v>
      </c>
      <c r="C4" s="135">
        <v>1</v>
      </c>
      <c r="D4" s="135" t="s">
        <v>479</v>
      </c>
      <c r="E4" s="135">
        <v>1</v>
      </c>
      <c r="F4" s="135" t="s">
        <v>480</v>
      </c>
      <c r="G4" s="135" t="s">
        <v>481</v>
      </c>
      <c r="H4" s="135">
        <v>30</v>
      </c>
      <c r="I4" s="135">
        <v>300</v>
      </c>
      <c r="J4" s="135" t="s">
        <v>482</v>
      </c>
      <c r="K4" s="136" t="s">
        <v>483</v>
      </c>
      <c r="M4" s="87">
        <v>10</v>
      </c>
      <c r="N4" s="137">
        <v>1</v>
      </c>
      <c r="O4" s="137" t="s">
        <v>484</v>
      </c>
      <c r="P4" s="137" t="s">
        <v>485</v>
      </c>
      <c r="Q4" s="137">
        <v>0</v>
      </c>
      <c r="R4" s="138" t="s">
        <v>486</v>
      </c>
      <c r="S4" s="137" t="s">
        <v>487</v>
      </c>
    </row>
    <row r="5" ht="88" spans="3:19">
      <c r="C5" s="135">
        <v>2</v>
      </c>
      <c r="D5" s="135" t="s">
        <v>488</v>
      </c>
      <c r="E5" s="135">
        <v>2</v>
      </c>
      <c r="F5" s="135" t="s">
        <v>489</v>
      </c>
      <c r="G5" s="135" t="s">
        <v>481</v>
      </c>
      <c r="H5" s="135">
        <v>198</v>
      </c>
      <c r="I5" s="135">
        <v>1980</v>
      </c>
      <c r="J5" s="135" t="s">
        <v>490</v>
      </c>
      <c r="K5" s="136" t="s">
        <v>491</v>
      </c>
      <c r="M5" s="87">
        <v>15</v>
      </c>
      <c r="N5" s="137">
        <v>1</v>
      </c>
      <c r="O5" s="138" t="s">
        <v>6</v>
      </c>
      <c r="P5" s="137" t="s">
        <v>492</v>
      </c>
      <c r="Q5" s="137">
        <v>0</v>
      </c>
      <c r="R5" s="138" t="s">
        <v>493</v>
      </c>
      <c r="S5" s="137" t="s">
        <v>494</v>
      </c>
    </row>
    <row r="6" ht="88" spans="3:19">
      <c r="C6" s="135">
        <v>3</v>
      </c>
      <c r="D6" s="135" t="s">
        <v>495</v>
      </c>
      <c r="E6" s="135">
        <v>3</v>
      </c>
      <c r="F6" s="135" t="s">
        <v>496</v>
      </c>
      <c r="G6" s="135" t="s">
        <v>481</v>
      </c>
      <c r="H6" s="135">
        <v>328</v>
      </c>
      <c r="I6" s="135">
        <v>3280</v>
      </c>
      <c r="J6" s="135" t="s">
        <v>497</v>
      </c>
      <c r="K6" s="136" t="s">
        <v>498</v>
      </c>
      <c r="M6" s="87">
        <v>20</v>
      </c>
      <c r="N6" s="137">
        <v>1</v>
      </c>
      <c r="O6" s="138" t="s">
        <v>6</v>
      </c>
      <c r="P6" s="137" t="s">
        <v>499</v>
      </c>
      <c r="Q6" s="137">
        <v>0</v>
      </c>
      <c r="R6" s="137" t="s">
        <v>6</v>
      </c>
      <c r="S6" s="137" t="s">
        <v>500</v>
      </c>
    </row>
    <row r="7" ht="88" spans="3:19">
      <c r="C7" s="135">
        <v>4</v>
      </c>
      <c r="D7" s="135" t="s">
        <v>501</v>
      </c>
      <c r="E7" s="135">
        <v>4</v>
      </c>
      <c r="F7" s="135" t="s">
        <v>502</v>
      </c>
      <c r="G7" s="135" t="s">
        <v>481</v>
      </c>
      <c r="H7" s="135">
        <v>648</v>
      </c>
      <c r="I7" s="135">
        <v>6480</v>
      </c>
      <c r="J7" s="135" t="s">
        <v>503</v>
      </c>
      <c r="K7" s="136" t="s">
        <v>504</v>
      </c>
      <c r="M7" s="87">
        <v>25</v>
      </c>
      <c r="N7" s="137">
        <v>1</v>
      </c>
      <c r="O7" s="137" t="s">
        <v>6</v>
      </c>
      <c r="P7" s="137" t="s">
        <v>505</v>
      </c>
      <c r="Q7" s="137">
        <v>0</v>
      </c>
      <c r="R7" s="137" t="s">
        <v>6</v>
      </c>
      <c r="S7" s="137" t="s">
        <v>506</v>
      </c>
    </row>
    <row r="8" ht="88" spans="3:19">
      <c r="C8" s="135">
        <v>5</v>
      </c>
      <c r="D8" s="135" t="s">
        <v>507</v>
      </c>
      <c r="E8" s="135">
        <v>4</v>
      </c>
      <c r="F8" s="135" t="s">
        <v>502</v>
      </c>
      <c r="G8" s="135" t="s">
        <v>481</v>
      </c>
      <c r="H8" s="135">
        <v>328</v>
      </c>
      <c r="I8" s="135">
        <v>3280</v>
      </c>
      <c r="J8" s="135" t="s">
        <v>497</v>
      </c>
      <c r="K8" s="136" t="s">
        <v>508</v>
      </c>
      <c r="M8" s="87">
        <v>30</v>
      </c>
      <c r="N8" s="137">
        <v>1</v>
      </c>
      <c r="O8" s="137" t="s">
        <v>509</v>
      </c>
      <c r="P8" s="137" t="s">
        <v>510</v>
      </c>
      <c r="Q8" s="137">
        <v>0</v>
      </c>
      <c r="R8" s="137" t="s">
        <v>6</v>
      </c>
      <c r="S8" s="137" t="s">
        <v>511</v>
      </c>
    </row>
    <row r="9" ht="88" spans="3:19">
      <c r="C9" s="135">
        <v>6</v>
      </c>
      <c r="D9" s="135" t="s">
        <v>512</v>
      </c>
      <c r="E9" s="135">
        <v>5</v>
      </c>
      <c r="F9" s="135" t="s">
        <v>513</v>
      </c>
      <c r="G9" s="135" t="s">
        <v>481</v>
      </c>
      <c r="H9" s="135">
        <v>648</v>
      </c>
      <c r="I9" s="135">
        <v>6480</v>
      </c>
      <c r="J9" s="135" t="s">
        <v>503</v>
      </c>
      <c r="K9" s="136" t="s">
        <v>514</v>
      </c>
      <c r="M9" s="87">
        <v>35</v>
      </c>
      <c r="N9" s="137">
        <v>1</v>
      </c>
      <c r="O9" s="137" t="s">
        <v>6</v>
      </c>
      <c r="P9" s="137" t="s">
        <v>515</v>
      </c>
      <c r="Q9" s="137">
        <v>0</v>
      </c>
      <c r="R9" s="137" t="s">
        <v>6</v>
      </c>
      <c r="S9" s="137" t="s">
        <v>516</v>
      </c>
    </row>
    <row r="10" ht="88" spans="3:19">
      <c r="C10" s="135">
        <v>7</v>
      </c>
      <c r="D10" s="135" t="s">
        <v>517</v>
      </c>
      <c r="E10" s="135">
        <v>5</v>
      </c>
      <c r="F10" s="135" t="s">
        <v>513</v>
      </c>
      <c r="G10" s="135" t="s">
        <v>481</v>
      </c>
      <c r="H10" s="135">
        <v>328</v>
      </c>
      <c r="I10" s="135">
        <v>3280</v>
      </c>
      <c r="J10" s="135" t="s">
        <v>497</v>
      </c>
      <c r="K10" s="136" t="s">
        <v>518</v>
      </c>
      <c r="M10" s="87">
        <v>40</v>
      </c>
      <c r="N10" s="137">
        <v>1</v>
      </c>
      <c r="O10" s="137" t="s">
        <v>519</v>
      </c>
      <c r="P10" s="139" t="s">
        <v>520</v>
      </c>
      <c r="Q10" s="137">
        <v>15000</v>
      </c>
      <c r="R10" s="137" t="s">
        <v>6</v>
      </c>
      <c r="S10" s="137" t="s">
        <v>521</v>
      </c>
    </row>
    <row r="11" ht="18" spans="13:19">
      <c r="M11" s="87">
        <v>45</v>
      </c>
      <c r="N11" s="137">
        <v>1</v>
      </c>
      <c r="O11" s="137" t="s">
        <v>6</v>
      </c>
      <c r="P11" s="137" t="s">
        <v>522</v>
      </c>
      <c r="Q11" s="137">
        <v>0</v>
      </c>
      <c r="R11" s="137" t="s">
        <v>6</v>
      </c>
      <c r="S11" s="137" t="s">
        <v>523</v>
      </c>
    </row>
    <row r="12" ht="18" spans="13:19">
      <c r="M12" s="87">
        <v>50</v>
      </c>
      <c r="N12" s="137">
        <v>1</v>
      </c>
      <c r="O12" s="137" t="s">
        <v>524</v>
      </c>
      <c r="P12" s="137" t="s">
        <v>525</v>
      </c>
      <c r="Q12" s="137">
        <v>15000</v>
      </c>
      <c r="R12" s="137" t="s">
        <v>6</v>
      </c>
      <c r="S12" s="137" t="s">
        <v>526</v>
      </c>
    </row>
    <row r="13" ht="18" spans="13:19">
      <c r="M13" s="87">
        <v>60</v>
      </c>
      <c r="N13" s="137">
        <v>1</v>
      </c>
      <c r="O13" s="137" t="s">
        <v>6</v>
      </c>
      <c r="P13" s="137" t="s">
        <v>527</v>
      </c>
      <c r="Q13" s="137">
        <v>0</v>
      </c>
      <c r="R13" s="137" t="s">
        <v>6</v>
      </c>
      <c r="S13" s="137" t="s">
        <v>528</v>
      </c>
    </row>
    <row r="14" ht="18" spans="13:19">
      <c r="M14" s="87">
        <v>70</v>
      </c>
      <c r="N14" s="137">
        <v>1</v>
      </c>
      <c r="O14" s="137" t="s">
        <v>529</v>
      </c>
      <c r="P14" s="139" t="s">
        <v>530</v>
      </c>
      <c r="Q14" s="137">
        <v>15000</v>
      </c>
      <c r="R14" s="137" t="s">
        <v>6</v>
      </c>
      <c r="S14" s="137" t="s">
        <v>531</v>
      </c>
    </row>
    <row r="15" ht="18" spans="13:19">
      <c r="M15" s="87">
        <v>80</v>
      </c>
      <c r="N15" s="141">
        <v>2</v>
      </c>
      <c r="O15" s="141" t="s">
        <v>6</v>
      </c>
      <c r="P15" s="141" t="s">
        <v>532</v>
      </c>
      <c r="Q15" s="141">
        <v>0</v>
      </c>
      <c r="R15" s="141" t="s">
        <v>6</v>
      </c>
      <c r="S15" s="141" t="s">
        <v>533</v>
      </c>
    </row>
    <row r="16" ht="18" spans="13:19">
      <c r="M16" s="87">
        <v>90</v>
      </c>
      <c r="N16" s="141">
        <v>2</v>
      </c>
      <c r="O16" s="141" t="s">
        <v>534</v>
      </c>
      <c r="P16" s="141" t="s">
        <v>535</v>
      </c>
      <c r="Q16" s="141">
        <v>20000</v>
      </c>
      <c r="R16" s="141" t="s">
        <v>6</v>
      </c>
      <c r="S16" s="141" t="s">
        <v>536</v>
      </c>
    </row>
    <row r="17" ht="18" spans="13:19">
      <c r="M17" s="87">
        <v>100</v>
      </c>
      <c r="N17" s="141">
        <v>2</v>
      </c>
      <c r="O17" s="141" t="s">
        <v>6</v>
      </c>
      <c r="P17" s="141" t="s">
        <v>537</v>
      </c>
      <c r="Q17" s="141">
        <v>0</v>
      </c>
      <c r="R17" s="141" t="s">
        <v>6</v>
      </c>
      <c r="S17" s="141" t="s">
        <v>538</v>
      </c>
    </row>
    <row r="18" ht="18" spans="13:19">
      <c r="M18" s="87">
        <v>150</v>
      </c>
      <c r="N18" s="141">
        <v>2</v>
      </c>
      <c r="O18" s="141" t="s">
        <v>539</v>
      </c>
      <c r="P18" s="142" t="s">
        <v>540</v>
      </c>
      <c r="Q18" s="141">
        <v>20000</v>
      </c>
      <c r="R18" s="141" t="s">
        <v>6</v>
      </c>
      <c r="S18" s="141" t="s">
        <v>541</v>
      </c>
    </row>
    <row r="19" ht="18" spans="13:19">
      <c r="M19" s="87">
        <v>200</v>
      </c>
      <c r="N19" s="141">
        <v>2</v>
      </c>
      <c r="O19" s="141" t="s">
        <v>6</v>
      </c>
      <c r="P19" s="141" t="s">
        <v>542</v>
      </c>
      <c r="Q19" s="141">
        <v>0</v>
      </c>
      <c r="R19" s="141" t="s">
        <v>6</v>
      </c>
      <c r="S19" s="141" t="s">
        <v>543</v>
      </c>
    </row>
    <row r="20" ht="18" spans="13:19">
      <c r="M20" s="87">
        <v>250</v>
      </c>
      <c r="N20" s="143">
        <v>3</v>
      </c>
      <c r="O20" s="143" t="s">
        <v>519</v>
      </c>
      <c r="P20" s="144" t="s">
        <v>544</v>
      </c>
      <c r="Q20" s="143">
        <v>30000</v>
      </c>
      <c r="R20" s="143" t="s">
        <v>6</v>
      </c>
      <c r="S20" s="143" t="s">
        <v>541</v>
      </c>
    </row>
    <row r="21" ht="18" spans="13:19">
      <c r="M21" s="87">
        <v>300</v>
      </c>
      <c r="N21" s="143">
        <v>3</v>
      </c>
      <c r="O21" s="143" t="s">
        <v>6</v>
      </c>
      <c r="P21" s="143" t="s">
        <v>545</v>
      </c>
      <c r="Q21" s="143">
        <v>0</v>
      </c>
      <c r="R21" s="143" t="s">
        <v>6</v>
      </c>
      <c r="S21" s="143" t="s">
        <v>546</v>
      </c>
    </row>
    <row r="22" ht="18" spans="13:19">
      <c r="M22" s="87">
        <v>350</v>
      </c>
      <c r="N22" s="143">
        <v>3</v>
      </c>
      <c r="O22" s="143" t="s">
        <v>547</v>
      </c>
      <c r="P22" s="143" t="s">
        <v>548</v>
      </c>
      <c r="Q22" s="143">
        <v>30000</v>
      </c>
      <c r="R22" s="143" t="s">
        <v>6</v>
      </c>
      <c r="S22" s="143" t="s">
        <v>549</v>
      </c>
    </row>
    <row r="23" ht="18" spans="13:19">
      <c r="M23" s="87">
        <v>400</v>
      </c>
      <c r="N23" s="143">
        <v>3</v>
      </c>
      <c r="O23" s="143" t="s">
        <v>6</v>
      </c>
      <c r="P23" s="143" t="s">
        <v>487</v>
      </c>
      <c r="Q23" s="143">
        <v>0</v>
      </c>
      <c r="R23" s="143" t="s">
        <v>6</v>
      </c>
      <c r="S23" s="143" t="s">
        <v>550</v>
      </c>
    </row>
    <row r="24" ht="18" spans="13:19">
      <c r="M24" s="87">
        <v>450</v>
      </c>
      <c r="N24" s="143">
        <v>3</v>
      </c>
      <c r="O24" s="143" t="s">
        <v>551</v>
      </c>
      <c r="P24" s="144" t="s">
        <v>552</v>
      </c>
      <c r="Q24" s="143">
        <v>30000</v>
      </c>
      <c r="R24" s="143" t="s">
        <v>6</v>
      </c>
      <c r="S24" s="143" t="s">
        <v>553</v>
      </c>
    </row>
    <row r="25" ht="18" spans="13:19">
      <c r="M25" s="87">
        <v>500</v>
      </c>
      <c r="N25" s="146">
        <v>4</v>
      </c>
      <c r="O25" s="146" t="s">
        <v>6</v>
      </c>
      <c r="P25" s="146" t="s">
        <v>494</v>
      </c>
      <c r="Q25" s="146">
        <v>0</v>
      </c>
      <c r="R25" s="146" t="s">
        <v>6</v>
      </c>
      <c r="S25" s="146" t="s">
        <v>553</v>
      </c>
    </row>
    <row r="26" ht="18" spans="13:19">
      <c r="M26" s="87">
        <v>600</v>
      </c>
      <c r="N26" s="146">
        <v>4</v>
      </c>
      <c r="O26" s="146" t="s">
        <v>554</v>
      </c>
      <c r="P26" s="146" t="s">
        <v>555</v>
      </c>
      <c r="Q26" s="146">
        <v>40000</v>
      </c>
      <c r="R26" s="146" t="s">
        <v>6</v>
      </c>
      <c r="S26" s="146" t="s">
        <v>556</v>
      </c>
    </row>
    <row r="27" ht="18" spans="13:19">
      <c r="M27" s="87">
        <v>700</v>
      </c>
      <c r="N27" s="146">
        <v>4</v>
      </c>
      <c r="O27" s="146" t="s">
        <v>6</v>
      </c>
      <c r="P27" s="146" t="s">
        <v>500</v>
      </c>
      <c r="Q27" s="146">
        <v>0</v>
      </c>
      <c r="R27" s="146" t="s">
        <v>6</v>
      </c>
      <c r="S27" s="146" t="s">
        <v>557</v>
      </c>
    </row>
    <row r="28" ht="18" spans="13:19">
      <c r="M28" s="87">
        <v>800</v>
      </c>
      <c r="N28" s="146">
        <v>4</v>
      </c>
      <c r="O28" s="146" t="s">
        <v>558</v>
      </c>
      <c r="P28" s="146" t="s">
        <v>559</v>
      </c>
      <c r="Q28" s="146">
        <v>40000</v>
      </c>
      <c r="R28" s="146" t="s">
        <v>6</v>
      </c>
      <c r="S28" s="146" t="s">
        <v>560</v>
      </c>
    </row>
    <row r="29" ht="18" spans="13:19">
      <c r="M29" s="87">
        <v>900</v>
      </c>
      <c r="N29" s="146">
        <v>4</v>
      </c>
      <c r="O29" s="146" t="s">
        <v>6</v>
      </c>
      <c r="P29" s="146" t="s">
        <v>511</v>
      </c>
      <c r="Q29" s="146">
        <v>0</v>
      </c>
      <c r="R29" s="146" t="s">
        <v>6</v>
      </c>
      <c r="S29" s="146" t="s">
        <v>561</v>
      </c>
    </row>
    <row r="30" ht="18" spans="13:19">
      <c r="M30" s="87">
        <v>1000</v>
      </c>
      <c r="N30" s="147">
        <v>5</v>
      </c>
      <c r="O30" s="147" t="s">
        <v>6</v>
      </c>
      <c r="P30" s="147" t="s">
        <v>494</v>
      </c>
      <c r="Q30" s="147">
        <v>0</v>
      </c>
      <c r="R30" s="147" t="s">
        <v>6</v>
      </c>
      <c r="S30" s="147" t="s">
        <v>546</v>
      </c>
    </row>
    <row r="31" ht="18" spans="13:19">
      <c r="M31" s="87">
        <v>1500</v>
      </c>
      <c r="N31" s="147">
        <v>5</v>
      </c>
      <c r="O31" s="147" t="s">
        <v>554</v>
      </c>
      <c r="P31" s="147" t="s">
        <v>555</v>
      </c>
      <c r="Q31" s="147">
        <v>40000</v>
      </c>
      <c r="R31" s="147" t="s">
        <v>6</v>
      </c>
      <c r="S31" s="147" t="s">
        <v>543</v>
      </c>
    </row>
    <row r="32" ht="18" spans="13:19">
      <c r="M32" s="87">
        <v>2000</v>
      </c>
      <c r="N32" s="147">
        <v>5</v>
      </c>
      <c r="O32" s="147" t="s">
        <v>6</v>
      </c>
      <c r="P32" s="147" t="s">
        <v>500</v>
      </c>
      <c r="Q32" s="147">
        <v>0</v>
      </c>
      <c r="R32" s="147" t="s">
        <v>6</v>
      </c>
      <c r="S32" s="147" t="s">
        <v>562</v>
      </c>
    </row>
    <row r="33" ht="18" spans="13:19">
      <c r="M33" s="87">
        <v>2500</v>
      </c>
      <c r="N33" s="147">
        <v>5</v>
      </c>
      <c r="O33" s="147" t="s">
        <v>558</v>
      </c>
      <c r="P33" s="147" t="s">
        <v>559</v>
      </c>
      <c r="Q33" s="147">
        <v>40000</v>
      </c>
      <c r="R33" s="147" t="s">
        <v>6</v>
      </c>
      <c r="S33" s="147" t="s">
        <v>563</v>
      </c>
    </row>
    <row r="34" ht="18" spans="13:19">
      <c r="M34" s="87">
        <v>3000</v>
      </c>
      <c r="N34" s="147">
        <v>5</v>
      </c>
      <c r="O34" s="147" t="s">
        <v>6</v>
      </c>
      <c r="P34" s="147" t="s">
        <v>511</v>
      </c>
      <c r="Q34" s="147">
        <v>0</v>
      </c>
      <c r="R34" s="147" t="s">
        <v>6</v>
      </c>
      <c r="S34" s="147" t="s">
        <v>553</v>
      </c>
    </row>
    <row r="35" ht="18" spans="13:19">
      <c r="M35" s="87">
        <v>3500</v>
      </c>
      <c r="N35" s="146">
        <v>6</v>
      </c>
      <c r="O35" s="146" t="s">
        <v>564</v>
      </c>
      <c r="P35" s="146" t="s">
        <v>565</v>
      </c>
      <c r="Q35" s="146">
        <v>50000</v>
      </c>
      <c r="R35" s="146" t="s">
        <v>6</v>
      </c>
      <c r="S35" s="146" t="s">
        <v>556</v>
      </c>
    </row>
    <row r="36" ht="18" spans="13:19">
      <c r="M36" s="87">
        <v>4000</v>
      </c>
      <c r="N36" s="146">
        <v>6</v>
      </c>
      <c r="O36" s="146" t="s">
        <v>6</v>
      </c>
      <c r="P36" s="146" t="s">
        <v>521</v>
      </c>
      <c r="Q36" s="146">
        <v>0</v>
      </c>
      <c r="R36" s="146" t="s">
        <v>6</v>
      </c>
      <c r="S36" s="146" t="s">
        <v>557</v>
      </c>
    </row>
    <row r="37" ht="18" spans="13:19">
      <c r="M37" s="87">
        <v>4500</v>
      </c>
      <c r="N37" s="146">
        <v>6</v>
      </c>
      <c r="O37" s="146" t="s">
        <v>566</v>
      </c>
      <c r="P37" s="146" t="s">
        <v>567</v>
      </c>
      <c r="Q37" s="146">
        <v>50000</v>
      </c>
      <c r="R37" s="146" t="s">
        <v>6</v>
      </c>
      <c r="S37" s="146" t="s">
        <v>560</v>
      </c>
    </row>
    <row r="38" ht="18" spans="13:19">
      <c r="M38" s="87">
        <v>5000</v>
      </c>
      <c r="N38" s="146">
        <v>6</v>
      </c>
      <c r="O38" s="146" t="s">
        <v>6</v>
      </c>
      <c r="P38" s="146" t="s">
        <v>531</v>
      </c>
      <c r="Q38" s="146">
        <v>0</v>
      </c>
      <c r="R38" s="146" t="s">
        <v>6</v>
      </c>
      <c r="S38" s="146" t="s">
        <v>561</v>
      </c>
    </row>
    <row r="39" ht="18" spans="13:19">
      <c r="M39" s="87">
        <v>5500</v>
      </c>
      <c r="N39" s="146">
        <v>6</v>
      </c>
      <c r="O39" s="146" t="s">
        <v>568</v>
      </c>
      <c r="P39" s="149" t="s">
        <v>569</v>
      </c>
      <c r="Q39" s="146">
        <v>100000</v>
      </c>
      <c r="R39" s="146" t="s">
        <v>6</v>
      </c>
      <c r="S39" s="146" t="s">
        <v>570</v>
      </c>
    </row>
    <row r="40" ht="18" spans="13:19">
      <c r="M40" s="87">
        <v>6000</v>
      </c>
      <c r="N40" s="147">
        <v>7</v>
      </c>
      <c r="O40" s="147" t="s">
        <v>564</v>
      </c>
      <c r="P40" s="147" t="s">
        <v>565</v>
      </c>
      <c r="Q40" s="147">
        <v>50000</v>
      </c>
      <c r="R40" s="147" t="s">
        <v>6</v>
      </c>
      <c r="S40" s="147" t="s">
        <v>543</v>
      </c>
    </row>
    <row r="41" ht="18" spans="13:19">
      <c r="M41" s="87">
        <v>7000</v>
      </c>
      <c r="N41" s="147">
        <v>7</v>
      </c>
      <c r="O41" s="147" t="s">
        <v>6</v>
      </c>
      <c r="P41" s="147" t="s">
        <v>521</v>
      </c>
      <c r="Q41" s="147">
        <v>0</v>
      </c>
      <c r="R41" s="147" t="s">
        <v>6</v>
      </c>
      <c r="S41" s="147" t="s">
        <v>562</v>
      </c>
    </row>
    <row r="42" ht="18" spans="13:19">
      <c r="M42" s="87">
        <v>8000</v>
      </c>
      <c r="N42" s="147">
        <v>7</v>
      </c>
      <c r="O42" s="147" t="s">
        <v>566</v>
      </c>
      <c r="P42" s="147" t="s">
        <v>567</v>
      </c>
      <c r="Q42" s="147">
        <v>50000</v>
      </c>
      <c r="R42" s="147" t="s">
        <v>6</v>
      </c>
      <c r="S42" s="147" t="s">
        <v>550</v>
      </c>
    </row>
    <row r="43" ht="18" spans="13:19">
      <c r="M43" s="87">
        <v>9000</v>
      </c>
      <c r="N43" s="147">
        <v>7</v>
      </c>
      <c r="O43" s="147" t="s">
        <v>6</v>
      </c>
      <c r="P43" s="147" t="s">
        <v>531</v>
      </c>
      <c r="Q43" s="147">
        <v>0</v>
      </c>
      <c r="R43" s="147" t="s">
        <v>6</v>
      </c>
      <c r="S43" s="147" t="s">
        <v>553</v>
      </c>
    </row>
    <row r="44" ht="18" spans="13:19">
      <c r="M44" s="87">
        <v>10000</v>
      </c>
      <c r="N44" s="147">
        <v>7</v>
      </c>
      <c r="O44" s="147" t="s">
        <v>568</v>
      </c>
      <c r="P44" s="150" t="s">
        <v>569</v>
      </c>
      <c r="Q44" s="147">
        <v>100000</v>
      </c>
      <c r="R44" s="147" t="s">
        <v>6</v>
      </c>
      <c r="S44" s="147" t="s">
        <v>556</v>
      </c>
    </row>
  </sheetData>
  <conditionalFormatting sqref="M4:M44">
    <cfRule type="cellIs" dxfId="1" priority="1" operator="equal">
      <formula>"-"</formula>
    </cfRule>
    <cfRule type="cellIs" dxfId="2" priority="2" operator="equal">
      <formula>0</formula>
    </cfRule>
  </conditionalFormatting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workbookViewId="0">
      <selection activeCell="M3" sqref="M3"/>
    </sheetView>
  </sheetViews>
  <sheetFormatPr defaultColWidth="8.90131578947368" defaultRowHeight="15.2"/>
  <cols>
    <col min="1" max="1" width="10.5" customWidth="1"/>
    <col min="4" max="4" width="18.5986842105263" customWidth="1"/>
    <col min="8" max="8" width="11.9013157894737" customWidth="1"/>
    <col min="9" max="9" width="14.5" customWidth="1"/>
    <col min="10" max="10" width="15.0986842105263" customWidth="1"/>
    <col min="11" max="11" width="11.4013157894737" customWidth="1"/>
    <col min="13" max="13" width="12.5986842105263" customWidth="1"/>
    <col min="14" max="14" width="8.5" customWidth="1"/>
    <col min="15" max="15" width="27.0986842105263" customWidth="1"/>
    <col min="16" max="16" width="42" customWidth="1"/>
    <col min="17" max="17" width="14" customWidth="1"/>
    <col min="19" max="19" width="31.0986842105263" customWidth="1"/>
  </cols>
  <sheetData>
    <row r="1" ht="18" spans="1:19">
      <c r="A1" s="8" t="s">
        <v>449</v>
      </c>
      <c r="C1" s="135" t="s">
        <v>450</v>
      </c>
      <c r="D1" s="135" t="s">
        <v>451</v>
      </c>
      <c r="E1" s="135" t="s">
        <v>28</v>
      </c>
      <c r="F1" s="135" t="s">
        <v>26</v>
      </c>
      <c r="G1" s="135" t="s">
        <v>452</v>
      </c>
      <c r="H1" s="135" t="s">
        <v>453</v>
      </c>
      <c r="I1" s="135" t="s">
        <v>454</v>
      </c>
      <c r="J1" s="135" t="s">
        <v>455</v>
      </c>
      <c r="K1" s="135" t="s">
        <v>456</v>
      </c>
      <c r="M1" s="135" t="s">
        <v>457</v>
      </c>
      <c r="N1" s="135" t="s">
        <v>450</v>
      </c>
      <c r="O1" s="135" t="s">
        <v>456</v>
      </c>
      <c r="P1" s="135" t="s">
        <v>458</v>
      </c>
      <c r="Q1" s="135" t="s">
        <v>459</v>
      </c>
      <c r="R1" s="135" t="s">
        <v>456</v>
      </c>
      <c r="S1" s="135" t="s">
        <v>460</v>
      </c>
    </row>
    <row r="2" ht="18" spans="1:19">
      <c r="A2" s="8" t="s">
        <v>461</v>
      </c>
      <c r="C2" s="135" t="s">
        <v>40</v>
      </c>
      <c r="D2" s="135" t="s">
        <v>461</v>
      </c>
      <c r="E2" s="135" t="s">
        <v>40</v>
      </c>
      <c r="F2" s="135" t="s">
        <v>461</v>
      </c>
      <c r="G2" s="135" t="s">
        <v>461</v>
      </c>
      <c r="H2" s="135" t="s">
        <v>40</v>
      </c>
      <c r="I2" s="135" t="s">
        <v>40</v>
      </c>
      <c r="J2" s="135" t="s">
        <v>461</v>
      </c>
      <c r="K2" s="135" t="s">
        <v>461</v>
      </c>
      <c r="M2" s="135" t="s">
        <v>40</v>
      </c>
      <c r="N2" s="135" t="s">
        <v>40</v>
      </c>
      <c r="O2" s="135" t="s">
        <v>461</v>
      </c>
      <c r="P2" s="135" t="s">
        <v>461</v>
      </c>
      <c r="Q2" s="135" t="s">
        <v>40</v>
      </c>
      <c r="R2" s="135" t="s">
        <v>461</v>
      </c>
      <c r="S2" s="135" t="s">
        <v>461</v>
      </c>
    </row>
    <row r="3" ht="18" spans="1:19">
      <c r="A3" s="13" t="s">
        <v>462</v>
      </c>
      <c r="C3" s="135" t="s">
        <v>463</v>
      </c>
      <c r="D3" s="135" t="s">
        <v>464</v>
      </c>
      <c r="E3" s="135" t="s">
        <v>8</v>
      </c>
      <c r="F3" s="135" t="s">
        <v>465</v>
      </c>
      <c r="G3" s="135" t="s">
        <v>466</v>
      </c>
      <c r="H3" s="135" t="s">
        <v>467</v>
      </c>
      <c r="I3" s="135" t="s">
        <v>468</v>
      </c>
      <c r="J3" s="135" t="s">
        <v>469</v>
      </c>
      <c r="K3" s="135" t="s">
        <v>470</v>
      </c>
      <c r="M3" s="136" t="s">
        <v>471</v>
      </c>
      <c r="N3" s="136" t="s">
        <v>472</v>
      </c>
      <c r="O3" s="135" t="s">
        <v>473</v>
      </c>
      <c r="P3" s="135" t="s">
        <v>474</v>
      </c>
      <c r="Q3" s="135" t="s">
        <v>475</v>
      </c>
      <c r="R3" s="135" t="s">
        <v>476</v>
      </c>
      <c r="S3" s="135" t="s">
        <v>477</v>
      </c>
    </row>
    <row r="4" ht="88" spans="1:19">
      <c r="A4" s="8" t="s">
        <v>478</v>
      </c>
      <c r="C4" s="135">
        <v>1</v>
      </c>
      <c r="D4" s="135" t="s">
        <v>479</v>
      </c>
      <c r="E4" s="135">
        <v>1</v>
      </c>
      <c r="F4" s="135" t="s">
        <v>480</v>
      </c>
      <c r="G4" s="135" t="s">
        <v>571</v>
      </c>
      <c r="H4" s="135">
        <v>30</v>
      </c>
      <c r="I4" s="135">
        <v>300</v>
      </c>
      <c r="J4" s="135" t="s">
        <v>482</v>
      </c>
      <c r="K4" s="136" t="s">
        <v>483</v>
      </c>
      <c r="M4" s="137">
        <v>10</v>
      </c>
      <c r="N4" s="137">
        <v>1</v>
      </c>
      <c r="O4" s="137" t="s">
        <v>484</v>
      </c>
      <c r="P4" s="137" t="s">
        <v>485</v>
      </c>
      <c r="Q4" s="137">
        <v>0</v>
      </c>
      <c r="R4" s="138" t="s">
        <v>486</v>
      </c>
      <c r="S4" s="137" t="s">
        <v>487</v>
      </c>
    </row>
    <row r="5" ht="88" spans="3:19">
      <c r="C5" s="135">
        <v>2</v>
      </c>
      <c r="D5" s="135" t="s">
        <v>488</v>
      </c>
      <c r="E5" s="135">
        <v>2</v>
      </c>
      <c r="F5" s="135" t="s">
        <v>489</v>
      </c>
      <c r="G5" s="135" t="s">
        <v>571</v>
      </c>
      <c r="H5" s="135">
        <v>198</v>
      </c>
      <c r="I5" s="135">
        <v>1980</v>
      </c>
      <c r="J5" s="135" t="s">
        <v>490</v>
      </c>
      <c r="K5" s="136" t="s">
        <v>491</v>
      </c>
      <c r="M5" s="137">
        <v>11</v>
      </c>
      <c r="N5" s="137">
        <v>1</v>
      </c>
      <c r="O5" s="138" t="s">
        <v>6</v>
      </c>
      <c r="P5" s="137" t="s">
        <v>492</v>
      </c>
      <c r="Q5" s="137">
        <v>0</v>
      </c>
      <c r="R5" s="138" t="s">
        <v>493</v>
      </c>
      <c r="S5" s="137" t="s">
        <v>494</v>
      </c>
    </row>
    <row r="6" ht="88" spans="3:19">
      <c r="C6" s="135">
        <v>3</v>
      </c>
      <c r="D6" s="135" t="s">
        <v>495</v>
      </c>
      <c r="E6" s="135">
        <v>3</v>
      </c>
      <c r="F6" s="135" t="s">
        <v>496</v>
      </c>
      <c r="G6" s="135" t="s">
        <v>571</v>
      </c>
      <c r="H6" s="135">
        <v>328</v>
      </c>
      <c r="I6" s="135">
        <v>3280</v>
      </c>
      <c r="J6" s="135" t="s">
        <v>497</v>
      </c>
      <c r="K6" s="136" t="s">
        <v>498</v>
      </c>
      <c r="M6" s="137">
        <v>12</v>
      </c>
      <c r="N6" s="137">
        <v>1</v>
      </c>
      <c r="O6" s="138" t="s">
        <v>6</v>
      </c>
      <c r="P6" s="137" t="s">
        <v>499</v>
      </c>
      <c r="Q6" s="137">
        <v>0</v>
      </c>
      <c r="R6" s="137" t="s">
        <v>6</v>
      </c>
      <c r="S6" s="137" t="s">
        <v>500</v>
      </c>
    </row>
    <row r="7" ht="88" spans="3:19">
      <c r="C7" s="135">
        <v>4</v>
      </c>
      <c r="D7" s="135" t="s">
        <v>501</v>
      </c>
      <c r="E7" s="135">
        <v>4</v>
      </c>
      <c r="F7" s="135" t="s">
        <v>502</v>
      </c>
      <c r="G7" s="135" t="s">
        <v>571</v>
      </c>
      <c r="H7" s="135">
        <v>648</v>
      </c>
      <c r="I7" s="135">
        <v>6480</v>
      </c>
      <c r="J7" s="135" t="s">
        <v>503</v>
      </c>
      <c r="K7" s="136" t="s">
        <v>504</v>
      </c>
      <c r="M7" s="137">
        <v>13</v>
      </c>
      <c r="N7" s="137">
        <v>1</v>
      </c>
      <c r="O7" s="137" t="s">
        <v>6</v>
      </c>
      <c r="P7" s="137" t="s">
        <v>505</v>
      </c>
      <c r="Q7" s="137">
        <v>0</v>
      </c>
      <c r="R7" s="137" t="s">
        <v>6</v>
      </c>
      <c r="S7" s="137" t="s">
        <v>506</v>
      </c>
    </row>
    <row r="8" ht="88" spans="3:19">
      <c r="C8" s="135">
        <v>5</v>
      </c>
      <c r="D8" s="135" t="s">
        <v>507</v>
      </c>
      <c r="E8" s="135">
        <v>4</v>
      </c>
      <c r="F8" s="135" t="s">
        <v>502</v>
      </c>
      <c r="G8" s="135" t="s">
        <v>571</v>
      </c>
      <c r="H8" s="135">
        <v>328</v>
      </c>
      <c r="I8" s="135">
        <v>3280</v>
      </c>
      <c r="J8" s="135" t="s">
        <v>497</v>
      </c>
      <c r="K8" s="136" t="s">
        <v>508</v>
      </c>
      <c r="M8" s="137">
        <v>14</v>
      </c>
      <c r="N8" s="137">
        <v>1</v>
      </c>
      <c r="O8" s="137" t="s">
        <v>509</v>
      </c>
      <c r="P8" s="137" t="s">
        <v>510</v>
      </c>
      <c r="Q8" s="137">
        <v>0</v>
      </c>
      <c r="R8" s="137" t="s">
        <v>6</v>
      </c>
      <c r="S8" s="137" t="s">
        <v>511</v>
      </c>
    </row>
    <row r="9" ht="88" spans="3:19">
      <c r="C9" s="135">
        <v>6</v>
      </c>
      <c r="D9" s="135" t="s">
        <v>512</v>
      </c>
      <c r="E9" s="135">
        <v>5</v>
      </c>
      <c r="F9" s="135" t="s">
        <v>513</v>
      </c>
      <c r="G9" s="135" t="s">
        <v>571</v>
      </c>
      <c r="H9" s="135">
        <v>648</v>
      </c>
      <c r="I9" s="135">
        <v>6480</v>
      </c>
      <c r="J9" s="135" t="s">
        <v>503</v>
      </c>
      <c r="K9" s="136" t="s">
        <v>514</v>
      </c>
      <c r="M9" s="137">
        <v>15</v>
      </c>
      <c r="N9" s="137">
        <v>1</v>
      </c>
      <c r="O9" s="137" t="s">
        <v>6</v>
      </c>
      <c r="P9" s="137" t="s">
        <v>515</v>
      </c>
      <c r="Q9" s="137">
        <v>0</v>
      </c>
      <c r="R9" s="137" t="s">
        <v>6</v>
      </c>
      <c r="S9" s="137" t="s">
        <v>516</v>
      </c>
    </row>
    <row r="10" ht="88" spans="3:19">
      <c r="C10" s="135">
        <v>7</v>
      </c>
      <c r="D10" s="135" t="s">
        <v>517</v>
      </c>
      <c r="E10" s="135">
        <v>5</v>
      </c>
      <c r="F10" s="135" t="s">
        <v>513</v>
      </c>
      <c r="G10" s="135" t="s">
        <v>571</v>
      </c>
      <c r="H10" s="135">
        <v>328</v>
      </c>
      <c r="I10" s="135">
        <v>3280</v>
      </c>
      <c r="J10" s="135" t="s">
        <v>497</v>
      </c>
      <c r="K10" s="136" t="s">
        <v>518</v>
      </c>
      <c r="M10" s="137">
        <v>16</v>
      </c>
      <c r="N10" s="137">
        <v>1</v>
      </c>
      <c r="O10" s="137" t="s">
        <v>519</v>
      </c>
      <c r="P10" s="139" t="s">
        <v>520</v>
      </c>
      <c r="Q10" s="137">
        <v>15000</v>
      </c>
      <c r="R10" s="137" t="s">
        <v>6</v>
      </c>
      <c r="S10" s="137" t="s">
        <v>521</v>
      </c>
    </row>
    <row r="11" ht="18" spans="13:19">
      <c r="M11" s="137">
        <v>17</v>
      </c>
      <c r="N11" s="137">
        <v>1</v>
      </c>
      <c r="O11" s="137" t="s">
        <v>6</v>
      </c>
      <c r="P11" s="137" t="s">
        <v>522</v>
      </c>
      <c r="Q11" s="137">
        <v>0</v>
      </c>
      <c r="R11" s="137" t="s">
        <v>6</v>
      </c>
      <c r="S11" s="137" t="s">
        <v>523</v>
      </c>
    </row>
    <row r="12" ht="21" spans="13:19">
      <c r="M12" s="137">
        <v>18</v>
      </c>
      <c r="N12" s="137">
        <v>1</v>
      </c>
      <c r="O12" s="140" t="s">
        <v>566</v>
      </c>
      <c r="P12" s="137" t="s">
        <v>572</v>
      </c>
      <c r="Q12" s="137">
        <v>15000</v>
      </c>
      <c r="R12" s="137" t="s">
        <v>6</v>
      </c>
      <c r="S12" s="137" t="s">
        <v>526</v>
      </c>
    </row>
    <row r="13" ht="18" spans="13:19">
      <c r="M13" s="137">
        <v>19</v>
      </c>
      <c r="N13" s="137">
        <v>1</v>
      </c>
      <c r="O13" s="137" t="s">
        <v>6</v>
      </c>
      <c r="P13" s="137" t="s">
        <v>527</v>
      </c>
      <c r="Q13" s="137">
        <v>0</v>
      </c>
      <c r="R13" s="137" t="s">
        <v>6</v>
      </c>
      <c r="S13" s="137" t="s">
        <v>528</v>
      </c>
    </row>
    <row r="14" ht="18" spans="13:19">
      <c r="M14" s="137">
        <v>20</v>
      </c>
      <c r="N14" s="137">
        <v>1</v>
      </c>
      <c r="O14" s="137" t="s">
        <v>529</v>
      </c>
      <c r="P14" s="139" t="s">
        <v>530</v>
      </c>
      <c r="Q14" s="137">
        <v>15000</v>
      </c>
      <c r="R14" s="137" t="s">
        <v>6</v>
      </c>
      <c r="S14" s="137" t="s">
        <v>531</v>
      </c>
    </row>
    <row r="15" ht="18" spans="13:19">
      <c r="M15" s="141">
        <v>21</v>
      </c>
      <c r="N15" s="141">
        <v>2</v>
      </c>
      <c r="O15" s="141" t="s">
        <v>6</v>
      </c>
      <c r="P15" s="141" t="s">
        <v>532</v>
      </c>
      <c r="Q15" s="141">
        <v>0</v>
      </c>
      <c r="R15" s="141" t="s">
        <v>6</v>
      </c>
      <c r="S15" s="141" t="s">
        <v>533</v>
      </c>
    </row>
    <row r="16" ht="18" spans="13:19">
      <c r="M16" s="141">
        <v>22</v>
      </c>
      <c r="N16" s="141">
        <v>2</v>
      </c>
      <c r="O16" s="141" t="s">
        <v>534</v>
      </c>
      <c r="P16" s="141" t="s">
        <v>535</v>
      </c>
      <c r="Q16" s="141">
        <v>20000</v>
      </c>
      <c r="R16" s="141" t="s">
        <v>6</v>
      </c>
      <c r="S16" s="141" t="s">
        <v>536</v>
      </c>
    </row>
    <row r="17" ht="18" spans="13:19">
      <c r="M17" s="141">
        <v>23</v>
      </c>
      <c r="N17" s="141">
        <v>2</v>
      </c>
      <c r="O17" s="141" t="s">
        <v>6</v>
      </c>
      <c r="P17" s="141" t="s">
        <v>537</v>
      </c>
      <c r="Q17" s="141">
        <v>0</v>
      </c>
      <c r="R17" s="141" t="s">
        <v>6</v>
      </c>
      <c r="S17" s="141" t="s">
        <v>538</v>
      </c>
    </row>
    <row r="18" ht="18" spans="13:19">
      <c r="M18" s="141">
        <v>24</v>
      </c>
      <c r="N18" s="141">
        <v>2</v>
      </c>
      <c r="O18" s="141" t="s">
        <v>539</v>
      </c>
      <c r="P18" s="142" t="s">
        <v>540</v>
      </c>
      <c r="Q18" s="141">
        <v>20000</v>
      </c>
      <c r="R18" s="141" t="s">
        <v>6</v>
      </c>
      <c r="S18" s="141" t="s">
        <v>541</v>
      </c>
    </row>
    <row r="19" ht="18" spans="13:19">
      <c r="M19" s="141">
        <v>25</v>
      </c>
      <c r="N19" s="141">
        <v>2</v>
      </c>
      <c r="O19" s="141" t="s">
        <v>6</v>
      </c>
      <c r="P19" s="141" t="s">
        <v>542</v>
      </c>
      <c r="Q19" s="141">
        <v>0</v>
      </c>
      <c r="R19" s="141" t="s">
        <v>6</v>
      </c>
      <c r="S19" s="141" t="s">
        <v>543</v>
      </c>
    </row>
    <row r="20" ht="18" spans="13:19">
      <c r="M20" s="143">
        <v>26</v>
      </c>
      <c r="N20" s="143">
        <v>3</v>
      </c>
      <c r="O20" s="143" t="s">
        <v>519</v>
      </c>
      <c r="P20" s="144" t="s">
        <v>544</v>
      </c>
      <c r="Q20" s="143">
        <v>30000</v>
      </c>
      <c r="R20" s="143" t="s">
        <v>6</v>
      </c>
      <c r="S20" s="143" t="s">
        <v>541</v>
      </c>
    </row>
    <row r="21" ht="18" spans="13:19">
      <c r="M21" s="143">
        <v>27</v>
      </c>
      <c r="N21" s="143">
        <v>3</v>
      </c>
      <c r="O21" s="143" t="s">
        <v>6</v>
      </c>
      <c r="P21" s="143" t="s">
        <v>545</v>
      </c>
      <c r="Q21" s="143">
        <v>0</v>
      </c>
      <c r="R21" s="143" t="s">
        <v>6</v>
      </c>
      <c r="S21" s="143" t="s">
        <v>546</v>
      </c>
    </row>
    <row r="22" ht="21" spans="13:19">
      <c r="M22" s="143">
        <v>28</v>
      </c>
      <c r="N22" s="143">
        <v>3</v>
      </c>
      <c r="O22" s="145" t="s">
        <v>566</v>
      </c>
      <c r="P22" s="143" t="s">
        <v>573</v>
      </c>
      <c r="Q22" s="143">
        <v>30000</v>
      </c>
      <c r="R22" s="143" t="s">
        <v>6</v>
      </c>
      <c r="S22" s="143" t="s">
        <v>549</v>
      </c>
    </row>
    <row r="23" ht="18" spans="13:19">
      <c r="M23" s="143">
        <v>29</v>
      </c>
      <c r="N23" s="143">
        <v>3</v>
      </c>
      <c r="O23" s="143" t="s">
        <v>6</v>
      </c>
      <c r="P23" s="143" t="s">
        <v>487</v>
      </c>
      <c r="Q23" s="143">
        <v>0</v>
      </c>
      <c r="R23" s="143" t="s">
        <v>6</v>
      </c>
      <c r="S23" s="143" t="s">
        <v>550</v>
      </c>
    </row>
    <row r="24" ht="18" spans="13:19">
      <c r="M24" s="143">
        <v>30</v>
      </c>
      <c r="N24" s="143">
        <v>3</v>
      </c>
      <c r="O24" s="143" t="s">
        <v>551</v>
      </c>
      <c r="P24" s="144" t="s">
        <v>552</v>
      </c>
      <c r="Q24" s="143">
        <v>30000</v>
      </c>
      <c r="R24" s="143" t="s">
        <v>6</v>
      </c>
      <c r="S24" s="143" t="s">
        <v>553</v>
      </c>
    </row>
    <row r="25" ht="18" spans="13:19">
      <c r="M25" s="146">
        <v>31</v>
      </c>
      <c r="N25" s="146">
        <v>4</v>
      </c>
      <c r="O25" s="146" t="s">
        <v>6</v>
      </c>
      <c r="P25" s="146" t="s">
        <v>494</v>
      </c>
      <c r="Q25" s="146">
        <v>0</v>
      </c>
      <c r="R25" s="146" t="s">
        <v>6</v>
      </c>
      <c r="S25" s="146" t="s">
        <v>553</v>
      </c>
    </row>
    <row r="26" ht="18" spans="13:19">
      <c r="M26" s="146">
        <v>32</v>
      </c>
      <c r="N26" s="146">
        <v>4</v>
      </c>
      <c r="O26" s="146" t="s">
        <v>554</v>
      </c>
      <c r="P26" s="146" t="s">
        <v>555</v>
      </c>
      <c r="Q26" s="146">
        <v>40000</v>
      </c>
      <c r="R26" s="146" t="s">
        <v>6</v>
      </c>
      <c r="S26" s="146" t="s">
        <v>556</v>
      </c>
    </row>
    <row r="27" ht="18" spans="13:19">
      <c r="M27" s="146">
        <v>33</v>
      </c>
      <c r="N27" s="146">
        <v>4</v>
      </c>
      <c r="O27" s="146" t="s">
        <v>6</v>
      </c>
      <c r="P27" s="146" t="s">
        <v>500</v>
      </c>
      <c r="Q27" s="146">
        <v>0</v>
      </c>
      <c r="R27" s="146" t="s">
        <v>6</v>
      </c>
      <c r="S27" s="146" t="s">
        <v>557</v>
      </c>
    </row>
    <row r="28" ht="18" spans="13:19">
      <c r="M28" s="146">
        <v>34</v>
      </c>
      <c r="N28" s="146">
        <v>4</v>
      </c>
      <c r="O28" s="146" t="s">
        <v>558</v>
      </c>
      <c r="P28" s="146" t="s">
        <v>559</v>
      </c>
      <c r="Q28" s="146">
        <v>40000</v>
      </c>
      <c r="R28" s="146" t="s">
        <v>6</v>
      </c>
      <c r="S28" s="146" t="s">
        <v>560</v>
      </c>
    </row>
    <row r="29" ht="18" spans="13:19">
      <c r="M29" s="146">
        <v>35</v>
      </c>
      <c r="N29" s="146">
        <v>4</v>
      </c>
      <c r="O29" s="146" t="s">
        <v>6</v>
      </c>
      <c r="P29" s="146" t="s">
        <v>511</v>
      </c>
      <c r="Q29" s="146">
        <v>0</v>
      </c>
      <c r="R29" s="146" t="s">
        <v>6</v>
      </c>
      <c r="S29" s="146" t="s">
        <v>561</v>
      </c>
    </row>
    <row r="30" ht="18" spans="13:19">
      <c r="M30" s="147">
        <v>31</v>
      </c>
      <c r="N30" s="147">
        <v>5</v>
      </c>
      <c r="O30" s="147" t="s">
        <v>6</v>
      </c>
      <c r="P30" s="147" t="s">
        <v>494</v>
      </c>
      <c r="Q30" s="147">
        <v>0</v>
      </c>
      <c r="R30" s="147" t="s">
        <v>6</v>
      </c>
      <c r="S30" s="147" t="s">
        <v>546</v>
      </c>
    </row>
    <row r="31" ht="18" spans="13:19">
      <c r="M31" s="147">
        <v>32</v>
      </c>
      <c r="N31" s="147">
        <v>5</v>
      </c>
      <c r="O31" s="147" t="s">
        <v>554</v>
      </c>
      <c r="P31" s="147" t="s">
        <v>555</v>
      </c>
      <c r="Q31" s="147">
        <v>40000</v>
      </c>
      <c r="R31" s="147" t="s">
        <v>6</v>
      </c>
      <c r="S31" s="147" t="s">
        <v>543</v>
      </c>
    </row>
    <row r="32" ht="18" spans="13:19">
      <c r="M32" s="147">
        <v>33</v>
      </c>
      <c r="N32" s="147">
        <v>5</v>
      </c>
      <c r="O32" s="147" t="s">
        <v>6</v>
      </c>
      <c r="P32" s="147" t="s">
        <v>500</v>
      </c>
      <c r="Q32" s="147">
        <v>0</v>
      </c>
      <c r="R32" s="147" t="s">
        <v>6</v>
      </c>
      <c r="S32" s="147" t="s">
        <v>562</v>
      </c>
    </row>
    <row r="33" ht="18" spans="13:19">
      <c r="M33" s="147">
        <v>34</v>
      </c>
      <c r="N33" s="147">
        <v>5</v>
      </c>
      <c r="O33" s="147" t="s">
        <v>558</v>
      </c>
      <c r="P33" s="147" t="s">
        <v>559</v>
      </c>
      <c r="Q33" s="147">
        <v>40000</v>
      </c>
      <c r="R33" s="147" t="s">
        <v>6</v>
      </c>
      <c r="S33" s="147" t="s">
        <v>563</v>
      </c>
    </row>
    <row r="34" ht="18" spans="13:19">
      <c r="M34" s="147">
        <v>35</v>
      </c>
      <c r="N34" s="147">
        <v>5</v>
      </c>
      <c r="O34" s="147" t="s">
        <v>6</v>
      </c>
      <c r="P34" s="147" t="s">
        <v>511</v>
      </c>
      <c r="Q34" s="147">
        <v>0</v>
      </c>
      <c r="R34" s="147" t="s">
        <v>6</v>
      </c>
      <c r="S34" s="147" t="s">
        <v>553</v>
      </c>
    </row>
    <row r="35" ht="21" spans="13:19">
      <c r="M35" s="146">
        <v>36</v>
      </c>
      <c r="N35" s="146">
        <v>6</v>
      </c>
      <c r="O35" s="148" t="s">
        <v>574</v>
      </c>
      <c r="P35" s="146" t="s">
        <v>575</v>
      </c>
      <c r="Q35" s="146">
        <v>50000</v>
      </c>
      <c r="R35" s="146" t="s">
        <v>6</v>
      </c>
      <c r="S35" s="146" t="s">
        <v>556</v>
      </c>
    </row>
    <row r="36" ht="18" spans="13:19">
      <c r="M36" s="146">
        <v>37</v>
      </c>
      <c r="N36" s="146">
        <v>6</v>
      </c>
      <c r="O36" s="146" t="s">
        <v>6</v>
      </c>
      <c r="P36" s="146" t="s">
        <v>521</v>
      </c>
      <c r="Q36" s="146">
        <v>0</v>
      </c>
      <c r="R36" s="146" t="s">
        <v>6</v>
      </c>
      <c r="S36" s="146" t="s">
        <v>557</v>
      </c>
    </row>
    <row r="37" ht="18" spans="13:19">
      <c r="M37" s="146">
        <v>38</v>
      </c>
      <c r="N37" s="146">
        <v>6</v>
      </c>
      <c r="O37" s="146" t="s">
        <v>566</v>
      </c>
      <c r="P37" s="146" t="s">
        <v>567</v>
      </c>
      <c r="Q37" s="146">
        <v>50000</v>
      </c>
      <c r="R37" s="146" t="s">
        <v>6</v>
      </c>
      <c r="S37" s="146" t="s">
        <v>560</v>
      </c>
    </row>
    <row r="38" ht="18" spans="13:19">
      <c r="M38" s="146">
        <v>39</v>
      </c>
      <c r="N38" s="146">
        <v>6</v>
      </c>
      <c r="O38" s="146" t="s">
        <v>6</v>
      </c>
      <c r="P38" s="146" t="s">
        <v>531</v>
      </c>
      <c r="Q38" s="146">
        <v>0</v>
      </c>
      <c r="R38" s="146" t="s">
        <v>6</v>
      </c>
      <c r="S38" s="146" t="s">
        <v>561</v>
      </c>
    </row>
    <row r="39" ht="18" spans="13:19">
      <c r="M39" s="146">
        <v>40</v>
      </c>
      <c r="N39" s="146">
        <v>6</v>
      </c>
      <c r="O39" s="146" t="s">
        <v>568</v>
      </c>
      <c r="P39" s="149" t="s">
        <v>569</v>
      </c>
      <c r="Q39" s="146">
        <v>100000</v>
      </c>
      <c r="R39" s="146" t="s">
        <v>6</v>
      </c>
      <c r="S39" s="146" t="s">
        <v>570</v>
      </c>
    </row>
    <row r="40" ht="18" spans="13:19">
      <c r="M40" s="147">
        <v>36</v>
      </c>
      <c r="N40" s="147">
        <v>7</v>
      </c>
      <c r="O40" s="147" t="s">
        <v>574</v>
      </c>
      <c r="P40" s="147" t="s">
        <v>575</v>
      </c>
      <c r="Q40" s="147">
        <v>50000</v>
      </c>
      <c r="R40" s="147" t="s">
        <v>6</v>
      </c>
      <c r="S40" s="147" t="s">
        <v>543</v>
      </c>
    </row>
    <row r="41" ht="18" spans="13:19">
      <c r="M41" s="147">
        <v>37</v>
      </c>
      <c r="N41" s="147">
        <v>7</v>
      </c>
      <c r="O41" s="147" t="s">
        <v>6</v>
      </c>
      <c r="P41" s="147" t="s">
        <v>521</v>
      </c>
      <c r="Q41" s="147">
        <v>0</v>
      </c>
      <c r="R41" s="147" t="s">
        <v>6</v>
      </c>
      <c r="S41" s="147" t="s">
        <v>562</v>
      </c>
    </row>
    <row r="42" ht="18" spans="13:19">
      <c r="M42" s="147">
        <v>38</v>
      </c>
      <c r="N42" s="147">
        <v>7</v>
      </c>
      <c r="O42" s="147" t="s">
        <v>566</v>
      </c>
      <c r="P42" s="147" t="s">
        <v>567</v>
      </c>
      <c r="Q42" s="147">
        <v>50000</v>
      </c>
      <c r="R42" s="147" t="s">
        <v>6</v>
      </c>
      <c r="S42" s="147" t="s">
        <v>550</v>
      </c>
    </row>
    <row r="43" ht="18" spans="13:19">
      <c r="M43" s="147">
        <v>39</v>
      </c>
      <c r="N43" s="147">
        <v>7</v>
      </c>
      <c r="O43" s="147" t="s">
        <v>6</v>
      </c>
      <c r="P43" s="147" t="s">
        <v>531</v>
      </c>
      <c r="Q43" s="147">
        <v>0</v>
      </c>
      <c r="R43" s="147" t="s">
        <v>6</v>
      </c>
      <c r="S43" s="147" t="s">
        <v>553</v>
      </c>
    </row>
    <row r="44" ht="18" spans="13:19">
      <c r="M44" s="147">
        <v>40</v>
      </c>
      <c r="N44" s="147">
        <v>7</v>
      </c>
      <c r="O44" s="147" t="s">
        <v>568</v>
      </c>
      <c r="P44" s="150" t="s">
        <v>569</v>
      </c>
      <c r="Q44" s="147">
        <v>100000</v>
      </c>
      <c r="R44" s="147" t="s">
        <v>6</v>
      </c>
      <c r="S44" s="147" t="s">
        <v>556</v>
      </c>
    </row>
  </sheetData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T83"/>
  <sheetViews>
    <sheetView topLeftCell="A55" workbookViewId="0">
      <selection activeCell="C73" sqref="C73"/>
    </sheetView>
  </sheetViews>
  <sheetFormatPr defaultColWidth="8.69736842105263" defaultRowHeight="15" customHeight="1"/>
  <cols>
    <col min="1" max="1" width="7.59868421052632" style="116" customWidth="1"/>
    <col min="2" max="2" width="6.40131578947368" style="116" customWidth="1"/>
    <col min="3" max="3" width="25.7960526315789" style="116" customWidth="1"/>
    <col min="4" max="4" width="4.59868421052632" style="116" customWidth="1"/>
    <col min="5" max="5" width="8.69736842105263" style="116"/>
    <col min="6" max="6" width="10" style="116" customWidth="1"/>
    <col min="7" max="7" width="8.29605263157895" style="116" customWidth="1"/>
    <col min="8" max="8" width="8.19736842105263" style="116" customWidth="1"/>
    <col min="9" max="9" width="9.59868421052632" style="116" customWidth="1"/>
    <col min="10" max="10" width="28.2960526315789" style="116" customWidth="1"/>
    <col min="11" max="11" width="27.0986842105263" style="116" customWidth="1"/>
    <col min="12" max="14" width="8.69736842105263" style="116"/>
    <col min="15" max="15" width="10.6973684210526" style="116" customWidth="1"/>
    <col min="16" max="16" width="52.7960526315789" style="116" customWidth="1"/>
    <col min="17" max="17" width="10.5" style="116" customWidth="1"/>
    <col min="18" max="18" width="10.5986842105263" style="116" customWidth="1"/>
    <col min="19" max="19" width="9.69736842105263" style="116" customWidth="1"/>
    <col min="20" max="20" width="10.5" style="116" customWidth="1"/>
    <col min="21" max="21" width="10.0986842105263" style="116" customWidth="1"/>
    <col min="22" max="16384" width="8.69736842105263" style="116"/>
  </cols>
  <sheetData>
    <row r="1" s="115" customFormat="1" ht="14.25" customHeight="1" spans="1:20">
      <c r="A1" s="8" t="s">
        <v>28</v>
      </c>
      <c r="B1" s="8" t="s">
        <v>576</v>
      </c>
      <c r="C1" s="8" t="s">
        <v>577</v>
      </c>
      <c r="E1" s="8" t="s">
        <v>28</v>
      </c>
      <c r="F1" s="8" t="s">
        <v>576</v>
      </c>
      <c r="G1" s="8" t="s">
        <v>578</v>
      </c>
      <c r="H1" s="8" t="s">
        <v>579</v>
      </c>
      <c r="I1" s="8" t="s">
        <v>580</v>
      </c>
      <c r="J1" s="8" t="s">
        <v>581</v>
      </c>
      <c r="K1" s="8" t="s">
        <v>582</v>
      </c>
      <c r="L1" s="8" t="s">
        <v>582</v>
      </c>
      <c r="M1" s="8" t="s">
        <v>582</v>
      </c>
      <c r="N1" s="8" t="s">
        <v>582</v>
      </c>
      <c r="O1" s="8" t="s">
        <v>583</v>
      </c>
      <c r="P1" s="8" t="s">
        <v>584</v>
      </c>
      <c r="Q1" s="8" t="s">
        <v>585</v>
      </c>
      <c r="R1" s="8" t="s">
        <v>586</v>
      </c>
      <c r="S1" s="8" t="s">
        <v>587</v>
      </c>
      <c r="T1" s="8" t="s">
        <v>588</v>
      </c>
    </row>
    <row r="2" ht="14.25" customHeight="1" spans="1:20">
      <c r="A2" s="8" t="s">
        <v>461</v>
      </c>
      <c r="B2" s="8" t="s">
        <v>40</v>
      </c>
      <c r="C2" s="8" t="s">
        <v>461</v>
      </c>
      <c r="E2" s="8" t="s">
        <v>461</v>
      </c>
      <c r="F2" s="8" t="s">
        <v>40</v>
      </c>
      <c r="G2" s="8" t="s">
        <v>40</v>
      </c>
      <c r="H2" s="8" t="s">
        <v>40</v>
      </c>
      <c r="I2" s="8" t="s">
        <v>40</v>
      </c>
      <c r="J2" s="8" t="s">
        <v>41</v>
      </c>
      <c r="K2" s="8" t="s">
        <v>41</v>
      </c>
      <c r="L2" s="8" t="s">
        <v>41</v>
      </c>
      <c r="M2" s="8" t="s">
        <v>41</v>
      </c>
      <c r="N2" s="8" t="s">
        <v>41</v>
      </c>
      <c r="O2" s="8" t="s">
        <v>40</v>
      </c>
      <c r="P2" s="8" t="s">
        <v>41</v>
      </c>
      <c r="Q2" s="8" t="s">
        <v>41</v>
      </c>
      <c r="R2" s="8" t="s">
        <v>41</v>
      </c>
      <c r="S2" s="8" t="s">
        <v>41</v>
      </c>
      <c r="T2" s="8" t="s">
        <v>41</v>
      </c>
    </row>
    <row r="3" ht="14.25" customHeight="1" spans="1:20">
      <c r="A3" s="13" t="s">
        <v>8</v>
      </c>
      <c r="B3" s="13" t="s">
        <v>589</v>
      </c>
      <c r="C3" s="8" t="s">
        <v>590</v>
      </c>
      <c r="E3" s="13" t="s">
        <v>8</v>
      </c>
      <c r="F3" s="13" t="s">
        <v>589</v>
      </c>
      <c r="G3" s="13" t="s">
        <v>591</v>
      </c>
      <c r="H3" s="13" t="s">
        <v>592</v>
      </c>
      <c r="I3" s="13" t="s">
        <v>593</v>
      </c>
      <c r="J3" s="13" t="s">
        <v>594</v>
      </c>
      <c r="K3" s="13" t="s">
        <v>594</v>
      </c>
      <c r="L3" s="13" t="s">
        <v>594</v>
      </c>
      <c r="M3" s="13" t="s">
        <v>594</v>
      </c>
      <c r="N3" s="13" t="s">
        <v>594</v>
      </c>
      <c r="O3" s="13" t="s">
        <v>595</v>
      </c>
      <c r="P3" s="13" t="s">
        <v>596</v>
      </c>
      <c r="Q3" s="13" t="s">
        <v>596</v>
      </c>
      <c r="R3" s="13" t="s">
        <v>596</v>
      </c>
      <c r="S3" s="13" t="s">
        <v>596</v>
      </c>
      <c r="T3" s="13" t="s">
        <v>596</v>
      </c>
    </row>
    <row r="4" ht="14.25" customHeight="1" spans="1:20">
      <c r="A4" s="8" t="s">
        <v>597</v>
      </c>
      <c r="B4" s="8">
        <v>0</v>
      </c>
      <c r="C4" s="8" t="s">
        <v>598</v>
      </c>
      <c r="E4" s="117" t="s">
        <v>597</v>
      </c>
      <c r="F4" s="117">
        <v>0</v>
      </c>
      <c r="G4" s="117">
        <v>1</v>
      </c>
      <c r="H4" s="117">
        <v>-1</v>
      </c>
      <c r="I4" s="117">
        <v>1</v>
      </c>
      <c r="J4" s="124" t="s">
        <v>599</v>
      </c>
      <c r="K4" s="124" t="s">
        <v>600</v>
      </c>
      <c r="L4" s="117"/>
      <c r="M4" s="117"/>
      <c r="N4" s="117"/>
      <c r="O4" s="117">
        <v>1</v>
      </c>
      <c r="P4" s="131" t="s">
        <v>601</v>
      </c>
      <c r="Q4" s="117"/>
      <c r="R4" s="117"/>
      <c r="S4" s="117"/>
      <c r="T4" s="117"/>
    </row>
    <row r="5" ht="14.25" customHeight="1" spans="1:20">
      <c r="A5" s="8" t="s">
        <v>602</v>
      </c>
      <c r="B5" s="8">
        <v>0</v>
      </c>
      <c r="C5" s="8" t="s">
        <v>603</v>
      </c>
      <c r="E5" s="117" t="s">
        <v>597</v>
      </c>
      <c r="F5" s="117">
        <v>0</v>
      </c>
      <c r="G5" s="117">
        <v>2</v>
      </c>
      <c r="H5" s="117">
        <v>-1</v>
      </c>
      <c r="I5" s="117">
        <v>1</v>
      </c>
      <c r="J5" s="124" t="s">
        <v>604</v>
      </c>
      <c r="K5" s="124" t="s">
        <v>600</v>
      </c>
      <c r="L5" s="117"/>
      <c r="M5" s="117"/>
      <c r="N5" s="117"/>
      <c r="O5" s="117">
        <v>1</v>
      </c>
      <c r="P5" s="131" t="s">
        <v>605</v>
      </c>
      <c r="Q5" s="117"/>
      <c r="R5" s="117"/>
      <c r="S5" s="117"/>
      <c r="T5" s="117"/>
    </row>
    <row r="6" ht="14.25" customHeight="1" spans="1:20">
      <c r="A6" s="8" t="s">
        <v>606</v>
      </c>
      <c r="B6" s="8">
        <v>0</v>
      </c>
      <c r="C6" s="8" t="s">
        <v>607</v>
      </c>
      <c r="E6" s="117" t="s">
        <v>597</v>
      </c>
      <c r="F6" s="117">
        <v>0</v>
      </c>
      <c r="G6" s="117">
        <v>3</v>
      </c>
      <c r="H6" s="117">
        <v>99</v>
      </c>
      <c r="I6" s="117">
        <v>1</v>
      </c>
      <c r="J6" s="124" t="s">
        <v>604</v>
      </c>
      <c r="K6" s="124" t="s">
        <v>600</v>
      </c>
      <c r="L6" s="117"/>
      <c r="M6" s="117"/>
      <c r="N6" s="117"/>
      <c r="O6" s="117">
        <v>1</v>
      </c>
      <c r="P6" s="131" t="s">
        <v>608</v>
      </c>
      <c r="Q6" s="117"/>
      <c r="R6" s="117"/>
      <c r="S6" s="117"/>
      <c r="T6" s="117"/>
    </row>
    <row r="7" ht="14.25" customHeight="1" spans="1:20">
      <c r="A7" s="8" t="s">
        <v>609</v>
      </c>
      <c r="B7" s="8">
        <v>0</v>
      </c>
      <c r="C7" s="8" t="s">
        <v>610</v>
      </c>
      <c r="E7" s="117" t="s">
        <v>597</v>
      </c>
      <c r="F7" s="117">
        <v>0</v>
      </c>
      <c r="G7" s="117">
        <v>4</v>
      </c>
      <c r="H7" s="117">
        <v>99</v>
      </c>
      <c r="I7" s="117">
        <v>1</v>
      </c>
      <c r="J7" s="124" t="s">
        <v>611</v>
      </c>
      <c r="K7" s="124" t="s">
        <v>600</v>
      </c>
      <c r="L7" s="117"/>
      <c r="M7" s="117"/>
      <c r="N7" s="117"/>
      <c r="O7" s="117">
        <v>1</v>
      </c>
      <c r="P7" s="131" t="s">
        <v>612</v>
      </c>
      <c r="Q7" s="117"/>
      <c r="R7" s="117"/>
      <c r="S7" s="117"/>
      <c r="T7" s="117"/>
    </row>
    <row r="8" ht="14.25" customHeight="1" spans="1:20">
      <c r="A8" s="8" t="s">
        <v>597</v>
      </c>
      <c r="B8" s="8">
        <v>1</v>
      </c>
      <c r="C8" s="8" t="s">
        <v>613</v>
      </c>
      <c r="E8" s="117" t="s">
        <v>597</v>
      </c>
      <c r="F8" s="117">
        <v>0</v>
      </c>
      <c r="G8" s="117">
        <v>5</v>
      </c>
      <c r="H8" s="117">
        <v>99</v>
      </c>
      <c r="I8" s="117">
        <v>2</v>
      </c>
      <c r="J8" s="124" t="s">
        <v>599</v>
      </c>
      <c r="K8" s="124" t="s">
        <v>614</v>
      </c>
      <c r="L8" s="117"/>
      <c r="M8" s="117"/>
      <c r="N8" s="117"/>
      <c r="O8" s="117">
        <v>1</v>
      </c>
      <c r="P8" s="131" t="s">
        <v>615</v>
      </c>
      <c r="Q8" s="117"/>
      <c r="R8" s="117"/>
      <c r="S8" s="117"/>
      <c r="T8" s="117"/>
    </row>
    <row r="9" ht="14.25" customHeight="1" spans="1:20">
      <c r="A9" s="8" t="s">
        <v>602</v>
      </c>
      <c r="B9" s="8">
        <v>1</v>
      </c>
      <c r="C9" s="8" t="s">
        <v>616</v>
      </c>
      <c r="E9" s="117" t="s">
        <v>597</v>
      </c>
      <c r="F9" s="117">
        <v>0</v>
      </c>
      <c r="G9" s="117">
        <v>6</v>
      </c>
      <c r="H9" s="117">
        <v>99</v>
      </c>
      <c r="I9" s="117">
        <v>2</v>
      </c>
      <c r="J9" s="124" t="s">
        <v>617</v>
      </c>
      <c r="K9" s="124" t="s">
        <v>618</v>
      </c>
      <c r="L9" s="117"/>
      <c r="M9" s="117"/>
      <c r="N9" s="117"/>
      <c r="O9" s="117">
        <v>1</v>
      </c>
      <c r="P9" s="131" t="s">
        <v>619</v>
      </c>
      <c r="Q9" s="117"/>
      <c r="R9" s="117"/>
      <c r="S9" s="117"/>
      <c r="T9" s="117"/>
    </row>
    <row r="10" ht="14.25" customHeight="1" spans="1:20">
      <c r="A10" s="8" t="s">
        <v>606</v>
      </c>
      <c r="B10" s="8">
        <v>1</v>
      </c>
      <c r="C10" s="8" t="s">
        <v>620</v>
      </c>
      <c r="E10" s="117" t="s">
        <v>597</v>
      </c>
      <c r="F10" s="117">
        <v>0</v>
      </c>
      <c r="G10" s="117">
        <v>7</v>
      </c>
      <c r="H10" s="117">
        <v>99</v>
      </c>
      <c r="I10" s="117">
        <v>2</v>
      </c>
      <c r="J10" s="124" t="s">
        <v>621</v>
      </c>
      <c r="K10" s="124" t="s">
        <v>622</v>
      </c>
      <c r="L10" s="117"/>
      <c r="M10" s="117"/>
      <c r="N10" s="117"/>
      <c r="O10" s="117">
        <v>1</v>
      </c>
      <c r="P10" s="131" t="s">
        <v>623</v>
      </c>
      <c r="Q10" s="117"/>
      <c r="R10" s="117"/>
      <c r="S10" s="117"/>
      <c r="T10" s="117"/>
    </row>
    <row r="11" ht="14.25" customHeight="1" spans="1:20">
      <c r="A11" s="8" t="s">
        <v>609</v>
      </c>
      <c r="B11" s="8">
        <v>1</v>
      </c>
      <c r="C11" s="8" t="s">
        <v>624</v>
      </c>
      <c r="E11" s="118" t="s">
        <v>597</v>
      </c>
      <c r="F11" s="118">
        <v>1</v>
      </c>
      <c r="G11" s="118">
        <v>1</v>
      </c>
      <c r="H11" s="118">
        <v>-1</v>
      </c>
      <c r="I11" s="118">
        <v>1</v>
      </c>
      <c r="J11" s="125" t="s">
        <v>625</v>
      </c>
      <c r="K11" s="125" t="s">
        <v>600</v>
      </c>
      <c r="L11" s="118"/>
      <c r="M11" s="118"/>
      <c r="N11" s="118"/>
      <c r="O11" s="118">
        <v>1</v>
      </c>
      <c r="P11" s="132" t="s">
        <v>601</v>
      </c>
      <c r="Q11" s="118"/>
      <c r="R11" s="118"/>
      <c r="S11" s="118"/>
      <c r="T11" s="118"/>
    </row>
    <row r="12" ht="14.25" customHeight="1" spans="5:20">
      <c r="E12" s="118" t="s">
        <v>597</v>
      </c>
      <c r="F12" s="118">
        <v>1</v>
      </c>
      <c r="G12" s="118">
        <v>2</v>
      </c>
      <c r="H12" s="118">
        <v>-1</v>
      </c>
      <c r="I12" s="118">
        <v>1</v>
      </c>
      <c r="J12" s="125" t="s">
        <v>626</v>
      </c>
      <c r="K12" s="125" t="s">
        <v>600</v>
      </c>
      <c r="L12" s="118"/>
      <c r="M12" s="118"/>
      <c r="N12" s="118"/>
      <c r="O12" s="118">
        <v>1</v>
      </c>
      <c r="P12" s="132" t="s">
        <v>605</v>
      </c>
      <c r="Q12" s="118"/>
      <c r="R12" s="118"/>
      <c r="S12" s="118"/>
      <c r="T12" s="118"/>
    </row>
    <row r="13" ht="14.25" customHeight="1" spans="5:20">
      <c r="E13" s="118" t="s">
        <v>597</v>
      </c>
      <c r="F13" s="118">
        <v>1</v>
      </c>
      <c r="G13" s="118">
        <v>3</v>
      </c>
      <c r="H13" s="118">
        <v>99</v>
      </c>
      <c r="I13" s="118">
        <v>1</v>
      </c>
      <c r="J13" s="125" t="s">
        <v>626</v>
      </c>
      <c r="K13" s="125" t="s">
        <v>600</v>
      </c>
      <c r="L13" s="118"/>
      <c r="M13" s="118"/>
      <c r="N13" s="118"/>
      <c r="O13" s="118">
        <v>1</v>
      </c>
      <c r="P13" s="132" t="s">
        <v>608</v>
      </c>
      <c r="Q13" s="118"/>
      <c r="R13" s="118"/>
      <c r="S13" s="118"/>
      <c r="T13" s="118"/>
    </row>
    <row r="14" ht="14.25" customHeight="1" spans="5:20">
      <c r="E14" s="118" t="s">
        <v>597</v>
      </c>
      <c r="F14" s="118">
        <v>1</v>
      </c>
      <c r="G14" s="118">
        <v>4</v>
      </c>
      <c r="H14" s="118">
        <v>99</v>
      </c>
      <c r="I14" s="118">
        <v>1</v>
      </c>
      <c r="J14" s="125" t="s">
        <v>627</v>
      </c>
      <c r="K14" s="125" t="s">
        <v>600</v>
      </c>
      <c r="L14" s="118"/>
      <c r="M14" s="118"/>
      <c r="N14" s="118"/>
      <c r="O14" s="118">
        <v>1</v>
      </c>
      <c r="P14" s="132" t="s">
        <v>628</v>
      </c>
      <c r="Q14" s="118"/>
      <c r="R14" s="118"/>
      <c r="S14" s="118"/>
      <c r="T14" s="118"/>
    </row>
    <row r="15" ht="14.25" customHeight="1" spans="5:20">
      <c r="E15" s="118" t="s">
        <v>597</v>
      </c>
      <c r="F15" s="118">
        <v>1</v>
      </c>
      <c r="G15" s="118">
        <v>5</v>
      </c>
      <c r="H15" s="118">
        <v>99</v>
      </c>
      <c r="I15" s="118">
        <v>1</v>
      </c>
      <c r="J15" s="125" t="s">
        <v>629</v>
      </c>
      <c r="K15" s="125" t="s">
        <v>600</v>
      </c>
      <c r="L15" s="118"/>
      <c r="M15" s="118"/>
      <c r="N15" s="118"/>
      <c r="O15" s="118">
        <v>1</v>
      </c>
      <c r="P15" s="132" t="s">
        <v>630</v>
      </c>
      <c r="Q15" s="118"/>
      <c r="R15" s="118"/>
      <c r="S15" s="118"/>
      <c r="T15" s="118"/>
    </row>
    <row r="16" ht="14.25" customHeight="1" spans="5:20">
      <c r="E16" s="118" t="s">
        <v>597</v>
      </c>
      <c r="F16" s="118">
        <v>1</v>
      </c>
      <c r="G16" s="118">
        <v>6</v>
      </c>
      <c r="H16" s="118">
        <v>99</v>
      </c>
      <c r="I16" s="118">
        <v>1</v>
      </c>
      <c r="J16" s="125" t="s">
        <v>631</v>
      </c>
      <c r="K16" s="125" t="s">
        <v>600</v>
      </c>
      <c r="L16" s="118"/>
      <c r="M16" s="118"/>
      <c r="N16" s="118"/>
      <c r="O16" s="118">
        <v>1</v>
      </c>
      <c r="P16" s="132" t="s">
        <v>612</v>
      </c>
      <c r="Q16" s="118"/>
      <c r="R16" s="118"/>
      <c r="S16" s="118"/>
      <c r="T16" s="118"/>
    </row>
    <row r="17" ht="14.25" customHeight="1" spans="5:20">
      <c r="E17" s="118" t="s">
        <v>597</v>
      </c>
      <c r="F17" s="118">
        <v>1</v>
      </c>
      <c r="G17" s="118">
        <v>7</v>
      </c>
      <c r="H17" s="118">
        <v>99</v>
      </c>
      <c r="I17" s="118">
        <v>1</v>
      </c>
      <c r="J17" s="125" t="s">
        <v>632</v>
      </c>
      <c r="K17" s="125" t="s">
        <v>600</v>
      </c>
      <c r="L17" s="118"/>
      <c r="M17" s="118"/>
      <c r="N17" s="118"/>
      <c r="O17" s="118">
        <v>1</v>
      </c>
      <c r="P17" s="132" t="s">
        <v>633</v>
      </c>
      <c r="Q17" s="118"/>
      <c r="R17" s="118"/>
      <c r="S17" s="118"/>
      <c r="T17" s="118"/>
    </row>
    <row r="18" ht="14.25" customHeight="1" spans="5:20">
      <c r="E18" s="118" t="s">
        <v>597</v>
      </c>
      <c r="F18" s="118">
        <v>1</v>
      </c>
      <c r="G18" s="118">
        <v>8</v>
      </c>
      <c r="H18" s="118">
        <v>99</v>
      </c>
      <c r="I18" s="118">
        <v>1</v>
      </c>
      <c r="J18" s="125" t="s">
        <v>634</v>
      </c>
      <c r="K18" s="125" t="s">
        <v>600</v>
      </c>
      <c r="L18" s="118"/>
      <c r="M18" s="118"/>
      <c r="N18" s="118"/>
      <c r="O18" s="118">
        <v>1</v>
      </c>
      <c r="P18" s="132" t="s">
        <v>635</v>
      </c>
      <c r="Q18" s="118"/>
      <c r="R18" s="118"/>
      <c r="S18" s="118"/>
      <c r="T18" s="118"/>
    </row>
    <row r="19" ht="14.25" customHeight="1" spans="5:20">
      <c r="E19" s="118" t="s">
        <v>597</v>
      </c>
      <c r="F19" s="118">
        <v>1</v>
      </c>
      <c r="G19" s="118">
        <v>9</v>
      </c>
      <c r="H19" s="118">
        <v>99</v>
      </c>
      <c r="I19" s="118">
        <v>1</v>
      </c>
      <c r="J19" s="125" t="s">
        <v>636</v>
      </c>
      <c r="K19" s="125" t="s">
        <v>600</v>
      </c>
      <c r="L19" s="118"/>
      <c r="M19" s="118"/>
      <c r="N19" s="118"/>
      <c r="O19" s="118">
        <v>1</v>
      </c>
      <c r="P19" s="132" t="s">
        <v>637</v>
      </c>
      <c r="Q19" s="118"/>
      <c r="R19" s="118"/>
      <c r="S19" s="118"/>
      <c r="T19" s="118"/>
    </row>
    <row r="20" ht="14.25" customHeight="1" spans="5:20">
      <c r="E20" s="118" t="s">
        <v>597</v>
      </c>
      <c r="F20" s="118">
        <v>1</v>
      </c>
      <c r="G20" s="118">
        <v>10</v>
      </c>
      <c r="H20" s="118">
        <v>99</v>
      </c>
      <c r="I20" s="118">
        <v>1</v>
      </c>
      <c r="J20" s="125" t="s">
        <v>627</v>
      </c>
      <c r="K20" s="125" t="s">
        <v>600</v>
      </c>
      <c r="L20" s="118"/>
      <c r="M20" s="118"/>
      <c r="N20" s="118"/>
      <c r="O20" s="118">
        <v>1</v>
      </c>
      <c r="P20" s="132" t="s">
        <v>619</v>
      </c>
      <c r="Q20" s="118"/>
      <c r="R20" s="118"/>
      <c r="S20" s="118"/>
      <c r="T20" s="118"/>
    </row>
    <row r="21" ht="14.25" customHeight="1" spans="5:20">
      <c r="E21" s="118" t="s">
        <v>597</v>
      </c>
      <c r="F21" s="118">
        <v>1</v>
      </c>
      <c r="G21" s="118">
        <v>11</v>
      </c>
      <c r="H21" s="118">
        <v>99</v>
      </c>
      <c r="I21" s="118">
        <v>1</v>
      </c>
      <c r="J21" s="125" t="s">
        <v>638</v>
      </c>
      <c r="K21" s="125" t="s">
        <v>600</v>
      </c>
      <c r="L21" s="118"/>
      <c r="M21" s="118"/>
      <c r="N21" s="118"/>
      <c r="O21" s="118">
        <v>1</v>
      </c>
      <c r="P21" s="132" t="s">
        <v>623</v>
      </c>
      <c r="Q21" s="118"/>
      <c r="R21" s="118"/>
      <c r="S21" s="118"/>
      <c r="T21" s="118"/>
    </row>
    <row r="22" ht="14.25" customHeight="1" spans="5:20">
      <c r="E22" s="119" t="s">
        <v>602</v>
      </c>
      <c r="F22" s="119">
        <v>0</v>
      </c>
      <c r="G22" s="119">
        <v>1</v>
      </c>
      <c r="H22" s="119">
        <v>-1</v>
      </c>
      <c r="I22" s="119">
        <v>1</v>
      </c>
      <c r="J22" s="126" t="s">
        <v>639</v>
      </c>
      <c r="K22" s="126" t="s">
        <v>600</v>
      </c>
      <c r="L22" s="119"/>
      <c r="M22" s="119"/>
      <c r="N22" s="119"/>
      <c r="O22" s="119">
        <v>1</v>
      </c>
      <c r="P22" s="126" t="s">
        <v>640</v>
      </c>
      <c r="Q22" s="126"/>
      <c r="R22" s="126"/>
      <c r="S22" s="126"/>
      <c r="T22" s="126"/>
    </row>
    <row r="23" ht="14.25" customHeight="1" spans="5:20">
      <c r="E23" s="119" t="s">
        <v>602</v>
      </c>
      <c r="F23" s="119">
        <v>0</v>
      </c>
      <c r="G23" s="119">
        <v>2</v>
      </c>
      <c r="H23" s="119">
        <v>2</v>
      </c>
      <c r="I23" s="119">
        <v>1</v>
      </c>
      <c r="J23" s="126" t="s">
        <v>641</v>
      </c>
      <c r="K23" s="126" t="s">
        <v>600</v>
      </c>
      <c r="L23" s="119"/>
      <c r="M23" s="119"/>
      <c r="N23" s="119"/>
      <c r="O23" s="119">
        <v>1</v>
      </c>
      <c r="P23" s="126" t="s">
        <v>642</v>
      </c>
      <c r="Q23" s="126"/>
      <c r="R23" s="126"/>
      <c r="S23" s="126"/>
      <c r="T23" s="126"/>
    </row>
    <row r="24" ht="14.25" customHeight="1" spans="5:20">
      <c r="E24" s="119" t="s">
        <v>602</v>
      </c>
      <c r="F24" s="119">
        <v>0</v>
      </c>
      <c r="G24" s="119">
        <v>3</v>
      </c>
      <c r="H24" s="119">
        <v>3</v>
      </c>
      <c r="I24" s="119">
        <v>1</v>
      </c>
      <c r="J24" s="126" t="s">
        <v>643</v>
      </c>
      <c r="K24" s="126" t="s">
        <v>600</v>
      </c>
      <c r="L24" s="119"/>
      <c r="M24" s="119"/>
      <c r="N24" s="119"/>
      <c r="O24" s="119">
        <v>1</v>
      </c>
      <c r="P24" s="126" t="s">
        <v>608</v>
      </c>
      <c r="Q24" s="126"/>
      <c r="R24" s="126"/>
      <c r="S24" s="126"/>
      <c r="T24" s="126"/>
    </row>
    <row r="25" ht="14.25" customHeight="1" spans="5:20">
      <c r="E25" s="119" t="s">
        <v>602</v>
      </c>
      <c r="F25" s="119">
        <v>0</v>
      </c>
      <c r="G25" s="119">
        <v>4</v>
      </c>
      <c r="H25" s="119">
        <v>-1</v>
      </c>
      <c r="I25" s="119">
        <v>1</v>
      </c>
      <c r="J25" s="126" t="s">
        <v>644</v>
      </c>
      <c r="K25" s="126" t="s">
        <v>600</v>
      </c>
      <c r="L25" s="119"/>
      <c r="M25" s="119"/>
      <c r="N25" s="119"/>
      <c r="O25" s="119">
        <v>1</v>
      </c>
      <c r="P25" s="126" t="s">
        <v>628</v>
      </c>
      <c r="Q25" s="126"/>
      <c r="R25" s="126"/>
      <c r="S25" s="126"/>
      <c r="T25" s="126"/>
    </row>
    <row r="26" ht="14.25" customHeight="1" spans="5:20">
      <c r="E26" s="119" t="s">
        <v>602</v>
      </c>
      <c r="F26" s="119">
        <v>0</v>
      </c>
      <c r="G26" s="119">
        <v>5</v>
      </c>
      <c r="H26" s="119">
        <v>-1</v>
      </c>
      <c r="I26" s="119">
        <v>1</v>
      </c>
      <c r="J26" s="126" t="s">
        <v>645</v>
      </c>
      <c r="K26" s="126" t="s">
        <v>600</v>
      </c>
      <c r="L26" s="119"/>
      <c r="M26" s="119"/>
      <c r="N26" s="119"/>
      <c r="O26" s="119">
        <v>1</v>
      </c>
      <c r="P26" s="126" t="s">
        <v>646</v>
      </c>
      <c r="Q26" s="126"/>
      <c r="R26" s="126"/>
      <c r="S26" s="126"/>
      <c r="T26" s="126"/>
    </row>
    <row r="27" ht="14.25" customHeight="1" spans="5:20">
      <c r="E27" s="119" t="s">
        <v>602</v>
      </c>
      <c r="F27" s="119">
        <v>0</v>
      </c>
      <c r="G27" s="119">
        <v>6</v>
      </c>
      <c r="H27" s="119">
        <v>2</v>
      </c>
      <c r="I27" s="119">
        <v>2</v>
      </c>
      <c r="J27" s="126" t="s">
        <v>647</v>
      </c>
      <c r="K27" s="126" t="s">
        <v>614</v>
      </c>
      <c r="L27" s="119"/>
      <c r="M27" s="119"/>
      <c r="N27" s="119"/>
      <c r="O27" s="119">
        <v>1</v>
      </c>
      <c r="P27" s="126" t="s">
        <v>615</v>
      </c>
      <c r="Q27" s="126"/>
      <c r="R27" s="126"/>
      <c r="S27" s="126"/>
      <c r="T27" s="126"/>
    </row>
    <row r="28" ht="14.25" customHeight="1" spans="5:20">
      <c r="E28" s="119" t="s">
        <v>602</v>
      </c>
      <c r="F28" s="119">
        <v>0</v>
      </c>
      <c r="G28" s="119">
        <v>7</v>
      </c>
      <c r="H28" s="119">
        <v>2</v>
      </c>
      <c r="I28" s="119">
        <v>2</v>
      </c>
      <c r="J28" s="126" t="s">
        <v>639</v>
      </c>
      <c r="K28" s="126" t="s">
        <v>618</v>
      </c>
      <c r="L28" s="119"/>
      <c r="M28" s="119"/>
      <c r="N28" s="119"/>
      <c r="O28" s="119">
        <v>1</v>
      </c>
      <c r="P28" s="126" t="s">
        <v>619</v>
      </c>
      <c r="Q28" s="126"/>
      <c r="R28" s="126"/>
      <c r="S28" s="126"/>
      <c r="T28" s="126"/>
    </row>
    <row r="29" ht="14.25" customHeight="1" spans="5:20">
      <c r="E29" s="119" t="s">
        <v>602</v>
      </c>
      <c r="F29" s="119">
        <v>0</v>
      </c>
      <c r="G29" s="119">
        <v>8</v>
      </c>
      <c r="H29" s="119">
        <v>2</v>
      </c>
      <c r="I29" s="119">
        <v>2</v>
      </c>
      <c r="J29" s="126" t="s">
        <v>648</v>
      </c>
      <c r="K29" s="126" t="s">
        <v>622</v>
      </c>
      <c r="L29" s="119"/>
      <c r="M29" s="119"/>
      <c r="N29" s="119"/>
      <c r="O29" s="119">
        <v>1</v>
      </c>
      <c r="P29" s="126" t="s">
        <v>623</v>
      </c>
      <c r="Q29" s="126"/>
      <c r="R29" s="126"/>
      <c r="S29" s="126"/>
      <c r="T29" s="126"/>
    </row>
    <row r="30" ht="14.25" customHeight="1" spans="5:20">
      <c r="E30" s="119" t="s">
        <v>602</v>
      </c>
      <c r="F30" s="119">
        <v>0</v>
      </c>
      <c r="G30" s="119">
        <v>9</v>
      </c>
      <c r="H30" s="119">
        <v>2</v>
      </c>
      <c r="I30" s="119">
        <v>1</v>
      </c>
      <c r="J30" s="126" t="s">
        <v>649</v>
      </c>
      <c r="K30" s="126" t="s">
        <v>600</v>
      </c>
      <c r="L30" s="119"/>
      <c r="M30" s="119"/>
      <c r="N30" s="119"/>
      <c r="O30" s="119">
        <v>1</v>
      </c>
      <c r="P30" s="126" t="s">
        <v>650</v>
      </c>
      <c r="Q30" s="126"/>
      <c r="R30" s="126"/>
      <c r="S30" s="126"/>
      <c r="T30" s="126"/>
    </row>
    <row r="31" ht="14.25" customHeight="1" spans="5:20">
      <c r="E31" s="119" t="s">
        <v>602</v>
      </c>
      <c r="F31" s="119">
        <v>0</v>
      </c>
      <c r="G31" s="119">
        <v>10</v>
      </c>
      <c r="H31" s="119">
        <v>2</v>
      </c>
      <c r="I31" s="119">
        <v>1</v>
      </c>
      <c r="J31" s="126" t="s">
        <v>651</v>
      </c>
      <c r="K31" s="126" t="s">
        <v>600</v>
      </c>
      <c r="L31" s="119"/>
      <c r="M31" s="119"/>
      <c r="N31" s="119"/>
      <c r="O31" s="119">
        <v>1</v>
      </c>
      <c r="P31" s="126" t="s">
        <v>652</v>
      </c>
      <c r="Q31" s="126"/>
      <c r="R31" s="126"/>
      <c r="S31" s="126"/>
      <c r="T31" s="126"/>
    </row>
    <row r="32" ht="14.25" customHeight="1" spans="5:20">
      <c r="E32" s="120" t="s">
        <v>602</v>
      </c>
      <c r="F32" s="120">
        <v>0</v>
      </c>
      <c r="G32" s="120">
        <v>1</v>
      </c>
      <c r="H32" s="120">
        <v>2</v>
      </c>
      <c r="I32" s="120">
        <v>1</v>
      </c>
      <c r="J32" s="127" t="s">
        <v>653</v>
      </c>
      <c r="K32" s="127" t="s">
        <v>600</v>
      </c>
      <c r="L32" s="120"/>
      <c r="M32" s="120"/>
      <c r="N32" s="120"/>
      <c r="O32" s="120">
        <v>1</v>
      </c>
      <c r="P32" s="127" t="s">
        <v>640</v>
      </c>
      <c r="Q32" s="127"/>
      <c r="R32" s="127"/>
      <c r="S32" s="127"/>
      <c r="T32" s="127"/>
    </row>
    <row r="33" ht="14.25" customHeight="1" spans="5:20">
      <c r="E33" s="120" t="s">
        <v>602</v>
      </c>
      <c r="F33" s="120">
        <v>0</v>
      </c>
      <c r="G33" s="120">
        <v>2</v>
      </c>
      <c r="H33" s="120">
        <v>2</v>
      </c>
      <c r="I33" s="120">
        <v>1</v>
      </c>
      <c r="J33" s="127" t="s">
        <v>654</v>
      </c>
      <c r="K33" s="127" t="s">
        <v>600</v>
      </c>
      <c r="L33" s="120"/>
      <c r="M33" s="120"/>
      <c r="N33" s="120"/>
      <c r="O33" s="120">
        <v>1</v>
      </c>
      <c r="P33" s="127" t="s">
        <v>642</v>
      </c>
      <c r="Q33" s="127"/>
      <c r="R33" s="127"/>
      <c r="S33" s="127"/>
      <c r="T33" s="127"/>
    </row>
    <row r="34" ht="14.25" customHeight="1" spans="5:20">
      <c r="E34" s="120" t="s">
        <v>602</v>
      </c>
      <c r="F34" s="120">
        <v>0</v>
      </c>
      <c r="G34" s="120">
        <v>3</v>
      </c>
      <c r="H34" s="120">
        <v>2</v>
      </c>
      <c r="I34" s="120">
        <v>1</v>
      </c>
      <c r="J34" s="127" t="s">
        <v>655</v>
      </c>
      <c r="K34" s="127" t="s">
        <v>600</v>
      </c>
      <c r="L34" s="120"/>
      <c r="M34" s="120"/>
      <c r="N34" s="120"/>
      <c r="O34" s="120">
        <v>1</v>
      </c>
      <c r="P34" s="127" t="s">
        <v>608</v>
      </c>
      <c r="Q34" s="127"/>
      <c r="R34" s="127"/>
      <c r="S34" s="127"/>
      <c r="T34" s="127"/>
    </row>
    <row r="35" ht="14.25" customHeight="1" spans="5:20">
      <c r="E35" s="120" t="s">
        <v>602</v>
      </c>
      <c r="F35" s="120">
        <v>0</v>
      </c>
      <c r="G35" s="120">
        <v>4</v>
      </c>
      <c r="H35" s="120">
        <v>2</v>
      </c>
      <c r="I35" s="120">
        <v>1</v>
      </c>
      <c r="J35" s="127" t="s">
        <v>656</v>
      </c>
      <c r="K35" s="127" t="s">
        <v>600</v>
      </c>
      <c r="L35" s="120"/>
      <c r="M35" s="120"/>
      <c r="N35" s="120"/>
      <c r="O35" s="120">
        <v>1</v>
      </c>
      <c r="P35" s="127" t="s">
        <v>628</v>
      </c>
      <c r="Q35" s="127"/>
      <c r="R35" s="127"/>
      <c r="S35" s="127"/>
      <c r="T35" s="127"/>
    </row>
    <row r="36" ht="14.25" customHeight="1" spans="5:20">
      <c r="E36" s="120" t="s">
        <v>602</v>
      </c>
      <c r="F36" s="120">
        <v>0</v>
      </c>
      <c r="G36" s="120">
        <v>5</v>
      </c>
      <c r="H36" s="120">
        <v>2</v>
      </c>
      <c r="I36" s="120">
        <v>1</v>
      </c>
      <c r="J36" s="127" t="s">
        <v>657</v>
      </c>
      <c r="K36" s="127" t="s">
        <v>600</v>
      </c>
      <c r="L36" s="120"/>
      <c r="M36" s="120"/>
      <c r="N36" s="120"/>
      <c r="O36" s="120">
        <v>1</v>
      </c>
      <c r="P36" s="127" t="s">
        <v>637</v>
      </c>
      <c r="Q36" s="127"/>
      <c r="R36" s="127"/>
      <c r="S36" s="127"/>
      <c r="T36" s="127"/>
    </row>
    <row r="37" ht="14.25" customHeight="1" spans="5:20">
      <c r="E37" s="120" t="s">
        <v>602</v>
      </c>
      <c r="F37" s="120">
        <v>0</v>
      </c>
      <c r="G37" s="120">
        <v>6</v>
      </c>
      <c r="H37" s="120">
        <v>2</v>
      </c>
      <c r="I37" s="120">
        <v>1</v>
      </c>
      <c r="J37" s="127" t="s">
        <v>656</v>
      </c>
      <c r="K37" s="127" t="s">
        <v>600</v>
      </c>
      <c r="L37" s="120"/>
      <c r="M37" s="120"/>
      <c r="N37" s="120"/>
      <c r="O37" s="120">
        <v>1</v>
      </c>
      <c r="P37" s="127" t="s">
        <v>619</v>
      </c>
      <c r="Q37" s="127"/>
      <c r="R37" s="127"/>
      <c r="S37" s="127"/>
      <c r="T37" s="127"/>
    </row>
    <row r="38" ht="14.25" customHeight="1" spans="5:20">
      <c r="E38" s="120" t="s">
        <v>602</v>
      </c>
      <c r="F38" s="120">
        <v>0</v>
      </c>
      <c r="G38" s="120">
        <v>7</v>
      </c>
      <c r="H38" s="120">
        <v>2</v>
      </c>
      <c r="I38" s="120">
        <v>1</v>
      </c>
      <c r="J38" s="127" t="s">
        <v>658</v>
      </c>
      <c r="K38" s="127" t="s">
        <v>600</v>
      </c>
      <c r="L38" s="120"/>
      <c r="M38" s="120"/>
      <c r="N38" s="120"/>
      <c r="O38" s="120">
        <v>1</v>
      </c>
      <c r="P38" s="127" t="s">
        <v>623</v>
      </c>
      <c r="Q38" s="127"/>
      <c r="R38" s="127"/>
      <c r="S38" s="127"/>
      <c r="T38" s="127"/>
    </row>
    <row r="39" ht="14.25" customHeight="1" spans="5:20">
      <c r="E39" s="120" t="s">
        <v>602</v>
      </c>
      <c r="F39" s="120">
        <v>0</v>
      </c>
      <c r="G39" s="120">
        <v>8</v>
      </c>
      <c r="H39" s="120">
        <v>2</v>
      </c>
      <c r="I39" s="120">
        <v>1</v>
      </c>
      <c r="J39" s="127" t="s">
        <v>657</v>
      </c>
      <c r="K39" s="127" t="s">
        <v>600</v>
      </c>
      <c r="L39" s="120"/>
      <c r="M39" s="120"/>
      <c r="N39" s="120"/>
      <c r="O39" s="120">
        <v>1</v>
      </c>
      <c r="P39" s="127" t="s">
        <v>646</v>
      </c>
      <c r="Q39" s="127"/>
      <c r="R39" s="127"/>
      <c r="S39" s="127"/>
      <c r="T39" s="127"/>
    </row>
    <row r="40" ht="14.25" customHeight="1" spans="5:20">
      <c r="E40" s="120" t="s">
        <v>602</v>
      </c>
      <c r="F40" s="120">
        <v>0</v>
      </c>
      <c r="G40" s="120">
        <v>9</v>
      </c>
      <c r="H40" s="120">
        <v>2</v>
      </c>
      <c r="I40" s="120">
        <v>1</v>
      </c>
      <c r="J40" s="127" t="s">
        <v>659</v>
      </c>
      <c r="K40" s="127" t="s">
        <v>600</v>
      </c>
      <c r="L40" s="120"/>
      <c r="M40" s="120"/>
      <c r="N40" s="120"/>
      <c r="O40" s="120">
        <v>1</v>
      </c>
      <c r="P40" s="127" t="s">
        <v>633</v>
      </c>
      <c r="Q40" s="127"/>
      <c r="R40" s="127"/>
      <c r="S40" s="127"/>
      <c r="T40" s="127"/>
    </row>
    <row r="41" ht="14.25" customHeight="1" spans="5:20">
      <c r="E41" s="120" t="s">
        <v>602</v>
      </c>
      <c r="F41" s="120">
        <v>0</v>
      </c>
      <c r="G41" s="120">
        <v>10</v>
      </c>
      <c r="H41" s="120">
        <v>2</v>
      </c>
      <c r="I41" s="120">
        <v>1</v>
      </c>
      <c r="J41" s="127" t="s">
        <v>660</v>
      </c>
      <c r="K41" s="127" t="s">
        <v>600</v>
      </c>
      <c r="L41" s="120"/>
      <c r="M41" s="120"/>
      <c r="N41" s="120"/>
      <c r="O41" s="120">
        <v>1</v>
      </c>
      <c r="P41" s="127" t="s">
        <v>635</v>
      </c>
      <c r="Q41" s="127"/>
      <c r="R41" s="127"/>
      <c r="S41" s="127"/>
      <c r="T41" s="127"/>
    </row>
    <row r="42" ht="14.25" customHeight="1" spans="5:20">
      <c r="E42" s="120" t="s">
        <v>602</v>
      </c>
      <c r="F42" s="120">
        <v>0</v>
      </c>
      <c r="G42" s="120">
        <v>11</v>
      </c>
      <c r="H42" s="120">
        <v>2</v>
      </c>
      <c r="I42" s="120">
        <v>1</v>
      </c>
      <c r="J42" s="127" t="s">
        <v>661</v>
      </c>
      <c r="K42" s="127" t="s">
        <v>600</v>
      </c>
      <c r="L42" s="120"/>
      <c r="M42" s="120"/>
      <c r="N42" s="120"/>
      <c r="O42" s="120">
        <v>1</v>
      </c>
      <c r="P42" s="127" t="s">
        <v>662</v>
      </c>
      <c r="Q42" s="127"/>
      <c r="R42" s="127"/>
      <c r="S42" s="127"/>
      <c r="T42" s="127"/>
    </row>
    <row r="43" ht="14.25" customHeight="1" spans="5:20">
      <c r="E43" s="120" t="s">
        <v>602</v>
      </c>
      <c r="F43" s="120">
        <v>0</v>
      </c>
      <c r="G43" s="120">
        <v>12</v>
      </c>
      <c r="H43" s="120">
        <v>2</v>
      </c>
      <c r="I43" s="120">
        <v>1</v>
      </c>
      <c r="J43" s="127" t="s">
        <v>663</v>
      </c>
      <c r="K43" s="127" t="s">
        <v>600</v>
      </c>
      <c r="L43" s="120"/>
      <c r="M43" s="120"/>
      <c r="N43" s="120"/>
      <c r="O43" s="120">
        <v>1</v>
      </c>
      <c r="P43" s="127" t="s">
        <v>664</v>
      </c>
      <c r="Q43" s="127"/>
      <c r="R43" s="127"/>
      <c r="S43" s="127"/>
      <c r="T43" s="127"/>
    </row>
    <row r="44" ht="14.25" customHeight="1" spans="5:20">
      <c r="E44" s="121" t="s">
        <v>606</v>
      </c>
      <c r="F44" s="121">
        <v>0</v>
      </c>
      <c r="G44" s="121">
        <v>1</v>
      </c>
      <c r="H44" s="121">
        <v>-1</v>
      </c>
      <c r="I44" s="121">
        <v>1</v>
      </c>
      <c r="J44" s="128" t="s">
        <v>665</v>
      </c>
      <c r="K44" s="128" t="s">
        <v>600</v>
      </c>
      <c r="L44" s="121"/>
      <c r="M44" s="121"/>
      <c r="N44" s="121"/>
      <c r="O44" s="121">
        <v>1</v>
      </c>
      <c r="P44" s="128" t="s">
        <v>605</v>
      </c>
      <c r="Q44" s="128"/>
      <c r="R44" s="128"/>
      <c r="S44" s="128"/>
      <c r="T44" s="128"/>
    </row>
    <row r="45" ht="14.25" customHeight="1" spans="5:20">
      <c r="E45" s="121" t="s">
        <v>606</v>
      </c>
      <c r="F45" s="121">
        <v>0</v>
      </c>
      <c r="G45" s="121">
        <v>2</v>
      </c>
      <c r="H45" s="121">
        <v>-1</v>
      </c>
      <c r="I45" s="121">
        <v>1</v>
      </c>
      <c r="J45" s="128" t="s">
        <v>666</v>
      </c>
      <c r="K45" s="128" t="s">
        <v>600</v>
      </c>
      <c r="L45" s="121"/>
      <c r="M45" s="121"/>
      <c r="N45" s="121"/>
      <c r="O45" s="121">
        <v>1</v>
      </c>
      <c r="P45" s="128" t="s">
        <v>667</v>
      </c>
      <c r="Q45" s="128"/>
      <c r="R45" s="128"/>
      <c r="S45" s="128"/>
      <c r="T45" s="128"/>
    </row>
    <row r="46" ht="14.25" customHeight="1" spans="5:20">
      <c r="E46" s="121" t="s">
        <v>606</v>
      </c>
      <c r="F46" s="121">
        <v>0</v>
      </c>
      <c r="G46" s="121">
        <v>3</v>
      </c>
      <c r="H46" s="121">
        <v>99</v>
      </c>
      <c r="I46" s="121">
        <v>1</v>
      </c>
      <c r="J46" s="128" t="s">
        <v>665</v>
      </c>
      <c r="K46" s="128" t="s">
        <v>600</v>
      </c>
      <c r="L46" s="121"/>
      <c r="M46" s="121"/>
      <c r="N46" s="121"/>
      <c r="O46" s="121">
        <v>1</v>
      </c>
      <c r="P46" s="128" t="s">
        <v>608</v>
      </c>
      <c r="Q46" s="128"/>
      <c r="R46" s="128"/>
      <c r="S46" s="128"/>
      <c r="T46" s="128"/>
    </row>
    <row r="47" ht="14.25" customHeight="1" spans="5:20">
      <c r="E47" s="121" t="s">
        <v>606</v>
      </c>
      <c r="F47" s="121">
        <v>0</v>
      </c>
      <c r="G47" s="121">
        <v>4</v>
      </c>
      <c r="H47" s="121">
        <v>99</v>
      </c>
      <c r="I47" s="121">
        <v>1</v>
      </c>
      <c r="J47" s="128" t="s">
        <v>668</v>
      </c>
      <c r="K47" s="128" t="s">
        <v>600</v>
      </c>
      <c r="L47" s="121"/>
      <c r="M47" s="121"/>
      <c r="N47" s="121"/>
      <c r="O47" s="121">
        <v>1</v>
      </c>
      <c r="P47" s="128" t="s">
        <v>628</v>
      </c>
      <c r="Q47" s="128"/>
      <c r="R47" s="128"/>
      <c r="S47" s="128"/>
      <c r="T47" s="128"/>
    </row>
    <row r="48" ht="14.25" customHeight="1" spans="5:20">
      <c r="E48" s="121" t="s">
        <v>606</v>
      </c>
      <c r="F48" s="121">
        <v>0</v>
      </c>
      <c r="G48" s="121">
        <v>5</v>
      </c>
      <c r="H48" s="121">
        <v>99</v>
      </c>
      <c r="I48" s="121">
        <v>1</v>
      </c>
      <c r="J48" s="128" t="s">
        <v>669</v>
      </c>
      <c r="K48" s="128" t="s">
        <v>600</v>
      </c>
      <c r="L48" s="121"/>
      <c r="M48" s="121"/>
      <c r="N48" s="121"/>
      <c r="O48" s="121">
        <v>1</v>
      </c>
      <c r="P48" s="128" t="s">
        <v>630</v>
      </c>
      <c r="Q48" s="128"/>
      <c r="R48" s="128"/>
      <c r="S48" s="128"/>
      <c r="T48" s="128"/>
    </row>
    <row r="49" ht="14.25" customHeight="1" spans="5:20">
      <c r="E49" s="121" t="s">
        <v>606</v>
      </c>
      <c r="F49" s="121">
        <v>0</v>
      </c>
      <c r="G49" s="121">
        <v>6</v>
      </c>
      <c r="H49" s="121">
        <v>99</v>
      </c>
      <c r="I49" s="121">
        <v>1</v>
      </c>
      <c r="J49" s="128" t="s">
        <v>670</v>
      </c>
      <c r="K49" s="128" t="s">
        <v>600</v>
      </c>
      <c r="L49" s="121"/>
      <c r="M49" s="121"/>
      <c r="N49" s="121"/>
      <c r="O49" s="121">
        <v>1</v>
      </c>
      <c r="P49" s="128" t="s">
        <v>671</v>
      </c>
      <c r="Q49" s="128"/>
      <c r="R49" s="128"/>
      <c r="S49" s="128"/>
      <c r="T49" s="128"/>
    </row>
    <row r="50" ht="14.25" customHeight="1" spans="5:20">
      <c r="E50" s="121" t="s">
        <v>606</v>
      </c>
      <c r="F50" s="121">
        <v>0</v>
      </c>
      <c r="G50" s="121">
        <v>7</v>
      </c>
      <c r="H50" s="121">
        <v>99</v>
      </c>
      <c r="I50" s="121">
        <v>2</v>
      </c>
      <c r="J50" s="128" t="s">
        <v>672</v>
      </c>
      <c r="K50" s="128" t="s">
        <v>614</v>
      </c>
      <c r="L50" s="121"/>
      <c r="M50" s="121"/>
      <c r="N50" s="121"/>
      <c r="O50" s="121">
        <v>1</v>
      </c>
      <c r="P50" s="128" t="s">
        <v>615</v>
      </c>
      <c r="Q50" s="128"/>
      <c r="R50" s="128"/>
      <c r="S50" s="128"/>
      <c r="T50" s="128"/>
    </row>
    <row r="51" ht="14.25" customHeight="1" spans="5:20">
      <c r="E51" s="121" t="s">
        <v>606</v>
      </c>
      <c r="F51" s="121">
        <v>0</v>
      </c>
      <c r="G51" s="121">
        <v>8</v>
      </c>
      <c r="H51" s="121">
        <v>99</v>
      </c>
      <c r="I51" s="121">
        <v>2</v>
      </c>
      <c r="J51" s="128" t="s">
        <v>673</v>
      </c>
      <c r="K51" s="128" t="s">
        <v>618</v>
      </c>
      <c r="L51" s="121"/>
      <c r="M51" s="121"/>
      <c r="N51" s="121"/>
      <c r="O51" s="121">
        <v>1</v>
      </c>
      <c r="P51" s="128" t="s">
        <v>619</v>
      </c>
      <c r="Q51" s="128"/>
      <c r="R51" s="128"/>
      <c r="S51" s="128"/>
      <c r="T51" s="128"/>
    </row>
    <row r="52" ht="14.25" customHeight="1" spans="5:20">
      <c r="E52" s="121" t="s">
        <v>606</v>
      </c>
      <c r="F52" s="121">
        <v>0</v>
      </c>
      <c r="G52" s="121">
        <v>9</v>
      </c>
      <c r="H52" s="121">
        <v>99</v>
      </c>
      <c r="I52" s="121">
        <v>2</v>
      </c>
      <c r="J52" s="128" t="s">
        <v>674</v>
      </c>
      <c r="K52" s="128" t="s">
        <v>622</v>
      </c>
      <c r="L52" s="121"/>
      <c r="M52" s="121"/>
      <c r="N52" s="121"/>
      <c r="O52" s="121">
        <v>1</v>
      </c>
      <c r="P52" s="128" t="s">
        <v>623</v>
      </c>
      <c r="Q52" s="128"/>
      <c r="R52" s="128"/>
      <c r="S52" s="128"/>
      <c r="T52" s="128"/>
    </row>
    <row r="53" ht="14.25" customHeight="1" spans="5:20">
      <c r="E53" s="122" t="s">
        <v>606</v>
      </c>
      <c r="F53" s="122">
        <v>0</v>
      </c>
      <c r="G53" s="122">
        <v>1</v>
      </c>
      <c r="H53" s="122">
        <v>2</v>
      </c>
      <c r="I53" s="122">
        <v>1</v>
      </c>
      <c r="J53" s="129" t="s">
        <v>675</v>
      </c>
      <c r="K53" s="129" t="s">
        <v>600</v>
      </c>
      <c r="L53" s="122"/>
      <c r="M53" s="122"/>
      <c r="N53" s="122"/>
      <c r="O53" s="122">
        <v>1</v>
      </c>
      <c r="P53" s="129" t="s">
        <v>605</v>
      </c>
      <c r="Q53" s="129"/>
      <c r="R53" s="129"/>
      <c r="S53" s="129"/>
      <c r="T53" s="129"/>
    </row>
    <row r="54" ht="14.25" customHeight="1" spans="5:20">
      <c r="E54" s="122" t="s">
        <v>606</v>
      </c>
      <c r="F54" s="122">
        <v>0</v>
      </c>
      <c r="G54" s="122">
        <v>2</v>
      </c>
      <c r="H54" s="122">
        <v>2</v>
      </c>
      <c r="I54" s="122">
        <v>1</v>
      </c>
      <c r="J54" s="129" t="s">
        <v>676</v>
      </c>
      <c r="K54" s="129" t="s">
        <v>600</v>
      </c>
      <c r="L54" s="122"/>
      <c r="M54" s="122"/>
      <c r="N54" s="122"/>
      <c r="O54" s="122">
        <v>1</v>
      </c>
      <c r="P54" s="129" t="s">
        <v>667</v>
      </c>
      <c r="Q54" s="129"/>
      <c r="R54" s="129"/>
      <c r="S54" s="129"/>
      <c r="T54" s="129"/>
    </row>
    <row r="55" ht="14.25" customHeight="1" spans="5:20">
      <c r="E55" s="122" t="s">
        <v>606</v>
      </c>
      <c r="F55" s="122">
        <v>0</v>
      </c>
      <c r="G55" s="122">
        <v>3</v>
      </c>
      <c r="H55" s="122">
        <v>2</v>
      </c>
      <c r="I55" s="122">
        <v>1</v>
      </c>
      <c r="J55" s="129" t="s">
        <v>677</v>
      </c>
      <c r="K55" s="129" t="s">
        <v>600</v>
      </c>
      <c r="L55" s="122"/>
      <c r="M55" s="122"/>
      <c r="N55" s="122"/>
      <c r="O55" s="122">
        <v>1</v>
      </c>
      <c r="P55" s="129" t="s">
        <v>678</v>
      </c>
      <c r="Q55" s="129"/>
      <c r="R55" s="129"/>
      <c r="S55" s="129"/>
      <c r="T55" s="129"/>
    </row>
    <row r="56" ht="14.25" customHeight="1" spans="5:20">
      <c r="E56" s="122" t="s">
        <v>606</v>
      </c>
      <c r="F56" s="122">
        <v>0</v>
      </c>
      <c r="G56" s="122">
        <v>4</v>
      </c>
      <c r="H56" s="122">
        <v>2</v>
      </c>
      <c r="I56" s="122">
        <v>1</v>
      </c>
      <c r="J56" s="129" t="s">
        <v>679</v>
      </c>
      <c r="K56" s="129" t="s">
        <v>600</v>
      </c>
      <c r="L56" s="122"/>
      <c r="M56" s="122"/>
      <c r="N56" s="122"/>
      <c r="O56" s="122">
        <v>1</v>
      </c>
      <c r="P56" s="129" t="s">
        <v>680</v>
      </c>
      <c r="Q56" s="129"/>
      <c r="R56" s="129"/>
      <c r="S56" s="129"/>
      <c r="T56" s="129"/>
    </row>
    <row r="57" ht="14.25" customHeight="1" spans="5:20">
      <c r="E57" s="122" t="s">
        <v>606</v>
      </c>
      <c r="F57" s="122">
        <v>0</v>
      </c>
      <c r="G57" s="122">
        <v>5</v>
      </c>
      <c r="H57" s="122">
        <v>2</v>
      </c>
      <c r="I57" s="122">
        <v>1</v>
      </c>
      <c r="J57" s="129" t="s">
        <v>676</v>
      </c>
      <c r="K57" s="129" t="s">
        <v>600</v>
      </c>
      <c r="L57" s="122"/>
      <c r="M57" s="122"/>
      <c r="N57" s="122"/>
      <c r="O57" s="122">
        <v>1</v>
      </c>
      <c r="P57" s="129" t="s">
        <v>681</v>
      </c>
      <c r="Q57" s="129"/>
      <c r="R57" s="129"/>
      <c r="S57" s="129"/>
      <c r="T57" s="129"/>
    </row>
    <row r="58" ht="14.25" customHeight="1" spans="5:20">
      <c r="E58" s="122" t="s">
        <v>606</v>
      </c>
      <c r="F58" s="122">
        <v>0</v>
      </c>
      <c r="G58" s="122">
        <v>6</v>
      </c>
      <c r="H58" s="122">
        <v>2</v>
      </c>
      <c r="I58" s="122">
        <v>1</v>
      </c>
      <c r="J58" s="129" t="s">
        <v>682</v>
      </c>
      <c r="K58" s="129" t="s">
        <v>600</v>
      </c>
      <c r="L58" s="122"/>
      <c r="M58" s="122"/>
      <c r="N58" s="122"/>
      <c r="O58" s="122">
        <v>1</v>
      </c>
      <c r="P58" s="129" t="s">
        <v>637</v>
      </c>
      <c r="Q58" s="129"/>
      <c r="R58" s="129"/>
      <c r="S58" s="129"/>
      <c r="T58" s="129"/>
    </row>
    <row r="59" ht="14.25" customHeight="1" spans="5:20">
      <c r="E59" s="122" t="s">
        <v>606</v>
      </c>
      <c r="F59" s="122">
        <v>0</v>
      </c>
      <c r="G59" s="122">
        <v>7</v>
      </c>
      <c r="H59" s="122">
        <v>2</v>
      </c>
      <c r="I59" s="122">
        <v>1</v>
      </c>
      <c r="J59" s="129" t="s">
        <v>677</v>
      </c>
      <c r="K59" s="129" t="s">
        <v>600</v>
      </c>
      <c r="L59" s="122"/>
      <c r="M59" s="122"/>
      <c r="N59" s="122"/>
      <c r="O59" s="122">
        <v>1</v>
      </c>
      <c r="P59" s="129" t="s">
        <v>619</v>
      </c>
      <c r="Q59" s="129"/>
      <c r="R59" s="129"/>
      <c r="S59" s="129"/>
      <c r="T59" s="129"/>
    </row>
    <row r="60" ht="14.25" customHeight="1" spans="5:20">
      <c r="E60" s="122" t="s">
        <v>606</v>
      </c>
      <c r="F60" s="122">
        <v>0</v>
      </c>
      <c r="G60" s="122">
        <v>8</v>
      </c>
      <c r="H60" s="122">
        <v>2</v>
      </c>
      <c r="I60" s="122">
        <v>1</v>
      </c>
      <c r="J60" s="129" t="s">
        <v>676</v>
      </c>
      <c r="K60" s="129" t="s">
        <v>600</v>
      </c>
      <c r="L60" s="122"/>
      <c r="M60" s="122"/>
      <c r="N60" s="122"/>
      <c r="O60" s="122">
        <v>1</v>
      </c>
      <c r="P60" s="129" t="s">
        <v>623</v>
      </c>
      <c r="Q60" s="129"/>
      <c r="R60" s="129"/>
      <c r="S60" s="129"/>
      <c r="T60" s="129"/>
    </row>
    <row r="61" ht="14.25" customHeight="1" spans="5:20">
      <c r="E61" s="122" t="s">
        <v>606</v>
      </c>
      <c r="F61" s="122">
        <v>0</v>
      </c>
      <c r="G61" s="122">
        <v>9</v>
      </c>
      <c r="H61" s="122">
        <v>2</v>
      </c>
      <c r="I61" s="122">
        <v>1</v>
      </c>
      <c r="J61" s="129" t="s">
        <v>683</v>
      </c>
      <c r="K61" s="129" t="s">
        <v>600</v>
      </c>
      <c r="L61" s="122"/>
      <c r="M61" s="122"/>
      <c r="N61" s="122"/>
      <c r="O61" s="122">
        <v>1</v>
      </c>
      <c r="P61" s="129" t="s">
        <v>612</v>
      </c>
      <c r="Q61" s="129"/>
      <c r="R61" s="129"/>
      <c r="S61" s="129"/>
      <c r="T61" s="129"/>
    </row>
    <row r="62" ht="14.25" customHeight="1" spans="5:20">
      <c r="E62" s="122" t="s">
        <v>606</v>
      </c>
      <c r="F62" s="122">
        <v>0</v>
      </c>
      <c r="G62" s="122">
        <v>10</v>
      </c>
      <c r="H62" s="122">
        <v>2</v>
      </c>
      <c r="I62" s="122">
        <v>1</v>
      </c>
      <c r="J62" s="129" t="s">
        <v>684</v>
      </c>
      <c r="K62" s="129" t="s">
        <v>600</v>
      </c>
      <c r="L62" s="122"/>
      <c r="M62" s="122"/>
      <c r="N62" s="122"/>
      <c r="O62" s="122">
        <v>1</v>
      </c>
      <c r="P62" s="129" t="s">
        <v>633</v>
      </c>
      <c r="Q62" s="129"/>
      <c r="R62" s="129"/>
      <c r="S62" s="129"/>
      <c r="T62" s="129"/>
    </row>
    <row r="63" ht="14.25" customHeight="1" spans="5:20">
      <c r="E63" s="122" t="s">
        <v>606</v>
      </c>
      <c r="F63" s="122">
        <v>0</v>
      </c>
      <c r="G63" s="122">
        <v>11</v>
      </c>
      <c r="H63" s="122">
        <v>2</v>
      </c>
      <c r="I63" s="122">
        <v>1</v>
      </c>
      <c r="J63" s="129" t="s">
        <v>685</v>
      </c>
      <c r="K63" s="129" t="s">
        <v>600</v>
      </c>
      <c r="L63" s="122"/>
      <c r="M63" s="122"/>
      <c r="N63" s="122"/>
      <c r="O63" s="122">
        <v>1</v>
      </c>
      <c r="P63" s="129" t="s">
        <v>635</v>
      </c>
      <c r="Q63" s="129"/>
      <c r="R63" s="129"/>
      <c r="S63" s="129"/>
      <c r="T63" s="129"/>
    </row>
    <row r="64" ht="14.25" customHeight="1" spans="5:20">
      <c r="E64" s="123" t="s">
        <v>609</v>
      </c>
      <c r="F64" s="123">
        <v>0</v>
      </c>
      <c r="G64" s="123">
        <v>1</v>
      </c>
      <c r="H64" s="123">
        <v>-1</v>
      </c>
      <c r="I64" s="123">
        <v>1</v>
      </c>
      <c r="J64" s="130" t="s">
        <v>686</v>
      </c>
      <c r="K64" s="130" t="s">
        <v>600</v>
      </c>
      <c r="L64" s="123"/>
      <c r="M64" s="123"/>
      <c r="N64" s="123"/>
      <c r="O64" s="123">
        <v>1</v>
      </c>
      <c r="P64" s="130" t="s">
        <v>605</v>
      </c>
      <c r="Q64" s="130"/>
      <c r="R64" s="130"/>
      <c r="S64" s="130"/>
      <c r="T64" s="130"/>
    </row>
    <row r="65" ht="14.25" customHeight="1" spans="5:20">
      <c r="E65" s="123" t="s">
        <v>609</v>
      </c>
      <c r="F65" s="123">
        <v>0</v>
      </c>
      <c r="G65" s="123">
        <v>2</v>
      </c>
      <c r="H65" s="123">
        <v>-1</v>
      </c>
      <c r="I65" s="123">
        <v>1</v>
      </c>
      <c r="J65" s="130" t="s">
        <v>687</v>
      </c>
      <c r="K65" s="130" t="s">
        <v>600</v>
      </c>
      <c r="L65" s="123"/>
      <c r="M65" s="123"/>
      <c r="N65" s="123"/>
      <c r="O65" s="123">
        <v>1</v>
      </c>
      <c r="P65" s="130" t="s">
        <v>667</v>
      </c>
      <c r="Q65" s="130"/>
      <c r="R65" s="130"/>
      <c r="S65" s="130"/>
      <c r="T65" s="130"/>
    </row>
    <row r="66" ht="14.25" customHeight="1" spans="5:20">
      <c r="E66" s="123" t="s">
        <v>609</v>
      </c>
      <c r="F66" s="123">
        <v>0</v>
      </c>
      <c r="G66" s="123">
        <v>3</v>
      </c>
      <c r="H66" s="123">
        <v>99</v>
      </c>
      <c r="I66" s="123">
        <v>1</v>
      </c>
      <c r="J66" s="130" t="s">
        <v>686</v>
      </c>
      <c r="K66" s="130" t="s">
        <v>600</v>
      </c>
      <c r="L66" s="123"/>
      <c r="M66" s="123"/>
      <c r="N66" s="123"/>
      <c r="O66" s="123">
        <v>1</v>
      </c>
      <c r="P66" s="130" t="s">
        <v>608</v>
      </c>
      <c r="Q66" s="130"/>
      <c r="R66" s="130"/>
      <c r="S66" s="130"/>
      <c r="T66" s="130"/>
    </row>
    <row r="67" ht="14.25" customHeight="1" spans="5:20">
      <c r="E67" s="123" t="s">
        <v>609</v>
      </c>
      <c r="F67" s="123">
        <v>0</v>
      </c>
      <c r="G67" s="123">
        <v>4</v>
      </c>
      <c r="H67" s="123">
        <v>99</v>
      </c>
      <c r="I67" s="123">
        <v>1</v>
      </c>
      <c r="J67" s="130" t="s">
        <v>688</v>
      </c>
      <c r="K67" s="130" t="s">
        <v>600</v>
      </c>
      <c r="L67" s="123"/>
      <c r="M67" s="123"/>
      <c r="N67" s="123"/>
      <c r="O67" s="123">
        <v>1</v>
      </c>
      <c r="P67" s="130" t="s">
        <v>628</v>
      </c>
      <c r="Q67" s="130"/>
      <c r="R67" s="130"/>
      <c r="S67" s="130"/>
      <c r="T67" s="130"/>
    </row>
    <row r="68" ht="14.25" customHeight="1" spans="5:20">
      <c r="E68" s="123" t="s">
        <v>609</v>
      </c>
      <c r="F68" s="123">
        <v>0</v>
      </c>
      <c r="G68" s="123">
        <v>5</v>
      </c>
      <c r="H68" s="123">
        <v>99</v>
      </c>
      <c r="I68" s="123">
        <v>1</v>
      </c>
      <c r="J68" s="130" t="s">
        <v>689</v>
      </c>
      <c r="K68" s="130" t="s">
        <v>600</v>
      </c>
      <c r="L68" s="123"/>
      <c r="M68" s="123"/>
      <c r="N68" s="123"/>
      <c r="O68" s="123">
        <v>1</v>
      </c>
      <c r="P68" s="130" t="s">
        <v>630</v>
      </c>
      <c r="Q68" s="130"/>
      <c r="R68" s="130"/>
      <c r="S68" s="130"/>
      <c r="T68" s="130"/>
    </row>
    <row r="69" ht="14.25" customHeight="1" spans="5:20">
      <c r="E69" s="123" t="s">
        <v>609</v>
      </c>
      <c r="F69" s="123">
        <v>0</v>
      </c>
      <c r="G69" s="123">
        <v>6</v>
      </c>
      <c r="H69" s="123">
        <v>99</v>
      </c>
      <c r="I69" s="123">
        <v>2</v>
      </c>
      <c r="J69" s="130" t="s">
        <v>690</v>
      </c>
      <c r="K69" s="130" t="s">
        <v>618</v>
      </c>
      <c r="L69" s="123"/>
      <c r="M69" s="123"/>
      <c r="N69" s="123"/>
      <c r="O69" s="123">
        <v>1</v>
      </c>
      <c r="P69" s="130" t="s">
        <v>691</v>
      </c>
      <c r="Q69" s="130"/>
      <c r="R69" s="130"/>
      <c r="S69" s="130"/>
      <c r="T69" s="130"/>
    </row>
    <row r="70" ht="14.25" customHeight="1" spans="5:20">
      <c r="E70" s="123" t="s">
        <v>609</v>
      </c>
      <c r="F70" s="123">
        <v>0</v>
      </c>
      <c r="G70" s="123">
        <v>7</v>
      </c>
      <c r="H70" s="123">
        <v>99</v>
      </c>
      <c r="I70" s="123">
        <v>2</v>
      </c>
      <c r="J70" s="130" t="s">
        <v>692</v>
      </c>
      <c r="K70" s="130" t="s">
        <v>622</v>
      </c>
      <c r="L70" s="123"/>
      <c r="M70" s="123"/>
      <c r="N70" s="123"/>
      <c r="O70" s="123">
        <v>1</v>
      </c>
      <c r="P70" s="130" t="s">
        <v>693</v>
      </c>
      <c r="Q70" s="130"/>
      <c r="R70" s="130"/>
      <c r="S70" s="130"/>
      <c r="T70" s="130"/>
    </row>
    <row r="71" ht="14.25" customHeight="1" spans="5:20">
      <c r="E71" s="123" t="s">
        <v>609</v>
      </c>
      <c r="F71" s="123">
        <v>0</v>
      </c>
      <c r="G71" s="123">
        <v>8</v>
      </c>
      <c r="H71" s="123">
        <v>99</v>
      </c>
      <c r="I71" s="123">
        <v>2</v>
      </c>
      <c r="J71" s="130" t="s">
        <v>689</v>
      </c>
      <c r="K71" s="130" t="s">
        <v>694</v>
      </c>
      <c r="L71" s="123"/>
      <c r="M71" s="123"/>
      <c r="N71" s="123"/>
      <c r="O71" s="123">
        <v>1</v>
      </c>
      <c r="P71" s="130" t="s">
        <v>695</v>
      </c>
      <c r="Q71" s="130"/>
      <c r="R71" s="130"/>
      <c r="S71" s="130"/>
      <c r="T71" s="130"/>
    </row>
    <row r="72" ht="14.25" customHeight="1" spans="5:20">
      <c r="E72" s="123" t="s">
        <v>609</v>
      </c>
      <c r="F72" s="123">
        <v>0</v>
      </c>
      <c r="G72" s="123">
        <v>9</v>
      </c>
      <c r="H72" s="123">
        <v>99</v>
      </c>
      <c r="I72" s="123">
        <v>1</v>
      </c>
      <c r="J72" s="130" t="s">
        <v>686</v>
      </c>
      <c r="K72" s="130" t="s">
        <v>600</v>
      </c>
      <c r="L72" s="123"/>
      <c r="M72" s="123"/>
      <c r="N72" s="123"/>
      <c r="O72" s="123">
        <v>1</v>
      </c>
      <c r="P72" s="130" t="s">
        <v>696</v>
      </c>
      <c r="Q72" s="130"/>
      <c r="R72" s="130"/>
      <c r="S72" s="130"/>
      <c r="T72" s="130"/>
    </row>
    <row r="73" ht="14.25" customHeight="1" spans="5:20">
      <c r="E73" s="133" t="s">
        <v>609</v>
      </c>
      <c r="F73" s="133">
        <v>0</v>
      </c>
      <c r="G73" s="133">
        <v>1</v>
      </c>
      <c r="H73" s="133">
        <v>2</v>
      </c>
      <c r="I73" s="133">
        <v>1</v>
      </c>
      <c r="J73" s="134" t="s">
        <v>697</v>
      </c>
      <c r="K73" s="134" t="s">
        <v>600</v>
      </c>
      <c r="L73" s="133"/>
      <c r="M73" s="133"/>
      <c r="N73" s="133"/>
      <c r="O73" s="133">
        <v>1</v>
      </c>
      <c r="P73" s="134" t="s">
        <v>605</v>
      </c>
      <c r="Q73" s="134"/>
      <c r="R73" s="134"/>
      <c r="S73" s="134"/>
      <c r="T73" s="134"/>
    </row>
    <row r="74" ht="14.25" customHeight="1" spans="5:20">
      <c r="E74" s="133" t="s">
        <v>609</v>
      </c>
      <c r="F74" s="133">
        <v>0</v>
      </c>
      <c r="G74" s="133">
        <v>2</v>
      </c>
      <c r="H74" s="133">
        <v>2</v>
      </c>
      <c r="I74" s="133">
        <v>1</v>
      </c>
      <c r="J74" s="134" t="s">
        <v>698</v>
      </c>
      <c r="K74" s="134" t="s">
        <v>600</v>
      </c>
      <c r="L74" s="133"/>
      <c r="M74" s="133"/>
      <c r="N74" s="133"/>
      <c r="O74" s="133">
        <v>1</v>
      </c>
      <c r="P74" s="134" t="s">
        <v>667</v>
      </c>
      <c r="Q74" s="134"/>
      <c r="R74" s="134"/>
      <c r="S74" s="134"/>
      <c r="T74" s="134"/>
    </row>
    <row r="75" ht="14.25" customHeight="1" spans="5:20">
      <c r="E75" s="133" t="s">
        <v>609</v>
      </c>
      <c r="F75" s="133">
        <v>0</v>
      </c>
      <c r="G75" s="133">
        <v>3</v>
      </c>
      <c r="H75" s="133">
        <v>2</v>
      </c>
      <c r="I75" s="133">
        <v>1</v>
      </c>
      <c r="J75" s="134" t="s">
        <v>697</v>
      </c>
      <c r="K75" s="134" t="s">
        <v>600</v>
      </c>
      <c r="L75" s="133"/>
      <c r="M75" s="133"/>
      <c r="N75" s="133"/>
      <c r="O75" s="133">
        <v>1</v>
      </c>
      <c r="P75" s="134" t="s">
        <v>608</v>
      </c>
      <c r="Q75" s="134"/>
      <c r="R75" s="134"/>
      <c r="S75" s="134"/>
      <c r="T75" s="134"/>
    </row>
    <row r="76" ht="14.25" customHeight="1" spans="5:20">
      <c r="E76" s="133" t="s">
        <v>609</v>
      </c>
      <c r="F76" s="133">
        <v>0</v>
      </c>
      <c r="G76" s="133">
        <v>4</v>
      </c>
      <c r="H76" s="133">
        <v>2</v>
      </c>
      <c r="I76" s="133">
        <v>1</v>
      </c>
      <c r="J76" s="134" t="s">
        <v>699</v>
      </c>
      <c r="K76" s="134" t="s">
        <v>600</v>
      </c>
      <c r="L76" s="133"/>
      <c r="M76" s="133"/>
      <c r="N76" s="133"/>
      <c r="O76" s="133">
        <v>1</v>
      </c>
      <c r="P76" s="134" t="s">
        <v>628</v>
      </c>
      <c r="Q76" s="134"/>
      <c r="R76" s="134"/>
      <c r="S76" s="134"/>
      <c r="T76" s="134"/>
    </row>
    <row r="77" ht="14.25" customHeight="1" spans="5:20">
      <c r="E77" s="133" t="s">
        <v>609</v>
      </c>
      <c r="F77" s="133">
        <v>0</v>
      </c>
      <c r="G77" s="133">
        <v>5</v>
      </c>
      <c r="H77" s="133">
        <v>2</v>
      </c>
      <c r="I77" s="133">
        <v>1</v>
      </c>
      <c r="J77" s="134" t="s">
        <v>700</v>
      </c>
      <c r="K77" s="134" t="s">
        <v>600</v>
      </c>
      <c r="L77" s="133"/>
      <c r="M77" s="133"/>
      <c r="N77" s="133"/>
      <c r="O77" s="133">
        <v>1</v>
      </c>
      <c r="P77" s="134" t="s">
        <v>630</v>
      </c>
      <c r="Q77" s="134"/>
      <c r="R77" s="134"/>
      <c r="S77" s="134"/>
      <c r="T77" s="134"/>
    </row>
    <row r="78" ht="14.25" customHeight="1" spans="5:20">
      <c r="E78" s="133" t="s">
        <v>609</v>
      </c>
      <c r="F78" s="133">
        <v>0</v>
      </c>
      <c r="G78" s="133">
        <v>6</v>
      </c>
      <c r="H78" s="133">
        <v>2</v>
      </c>
      <c r="I78" s="133">
        <v>1</v>
      </c>
      <c r="J78" s="134" t="s">
        <v>697</v>
      </c>
      <c r="K78" s="134" t="s">
        <v>600</v>
      </c>
      <c r="L78" s="133"/>
      <c r="M78" s="133"/>
      <c r="N78" s="133"/>
      <c r="O78" s="133">
        <v>1</v>
      </c>
      <c r="P78" s="134" t="s">
        <v>701</v>
      </c>
      <c r="Q78" s="134"/>
      <c r="R78" s="134"/>
      <c r="S78" s="134"/>
      <c r="T78" s="134"/>
    </row>
    <row r="79" ht="14.25" customHeight="1" spans="5:20">
      <c r="E79" s="133" t="s">
        <v>609</v>
      </c>
      <c r="F79" s="133">
        <v>0</v>
      </c>
      <c r="G79" s="133">
        <v>7</v>
      </c>
      <c r="H79" s="133">
        <v>2</v>
      </c>
      <c r="I79" s="133">
        <v>1</v>
      </c>
      <c r="J79" s="134" t="s">
        <v>699</v>
      </c>
      <c r="K79" s="134" t="s">
        <v>600</v>
      </c>
      <c r="L79" s="133"/>
      <c r="M79" s="133"/>
      <c r="N79" s="133"/>
      <c r="O79" s="133">
        <v>1</v>
      </c>
      <c r="P79" s="134" t="s">
        <v>619</v>
      </c>
      <c r="Q79" s="134"/>
      <c r="R79" s="134"/>
      <c r="S79" s="134"/>
      <c r="T79" s="134"/>
    </row>
    <row r="80" ht="14.25" customHeight="1" spans="5:20">
      <c r="E80" s="133" t="s">
        <v>609</v>
      </c>
      <c r="F80" s="133">
        <v>0</v>
      </c>
      <c r="G80" s="133">
        <v>8</v>
      </c>
      <c r="H80" s="133">
        <v>2</v>
      </c>
      <c r="I80" s="133">
        <v>1</v>
      </c>
      <c r="J80" s="134" t="s">
        <v>698</v>
      </c>
      <c r="K80" s="134" t="s">
        <v>600</v>
      </c>
      <c r="L80" s="133"/>
      <c r="M80" s="133"/>
      <c r="N80" s="133"/>
      <c r="O80" s="133">
        <v>1</v>
      </c>
      <c r="P80" s="134" t="s">
        <v>623</v>
      </c>
      <c r="Q80" s="134"/>
      <c r="R80" s="134"/>
      <c r="S80" s="134"/>
      <c r="T80" s="134"/>
    </row>
    <row r="81" ht="14.25" customHeight="1" spans="5:20">
      <c r="E81" s="133" t="s">
        <v>609</v>
      </c>
      <c r="F81" s="133">
        <v>0</v>
      </c>
      <c r="G81" s="133">
        <v>9</v>
      </c>
      <c r="H81" s="133">
        <v>2</v>
      </c>
      <c r="I81" s="133">
        <v>1</v>
      </c>
      <c r="J81" s="134" t="s">
        <v>697</v>
      </c>
      <c r="K81" s="134" t="s">
        <v>600</v>
      </c>
      <c r="L81" s="133"/>
      <c r="M81" s="133"/>
      <c r="N81" s="133"/>
      <c r="O81" s="133">
        <v>1</v>
      </c>
      <c r="P81" s="134" t="s">
        <v>696</v>
      </c>
      <c r="Q81" s="134"/>
      <c r="R81" s="134"/>
      <c r="S81" s="134"/>
      <c r="T81" s="134"/>
    </row>
    <row r="82" ht="14.25" customHeight="1" spans="5:20">
      <c r="E82" s="133" t="s">
        <v>609</v>
      </c>
      <c r="F82" s="133">
        <v>0</v>
      </c>
      <c r="G82" s="133">
        <v>10</v>
      </c>
      <c r="H82" s="133">
        <v>2</v>
      </c>
      <c r="I82" s="133">
        <v>1</v>
      </c>
      <c r="J82" s="134" t="s">
        <v>702</v>
      </c>
      <c r="K82" s="134" t="s">
        <v>600</v>
      </c>
      <c r="L82" s="133"/>
      <c r="M82" s="133"/>
      <c r="N82" s="133"/>
      <c r="O82" s="133">
        <v>1</v>
      </c>
      <c r="P82" s="134" t="s">
        <v>633</v>
      </c>
      <c r="Q82" s="134"/>
      <c r="R82" s="134"/>
      <c r="S82" s="134"/>
      <c r="T82" s="134"/>
    </row>
    <row r="83" ht="14.25" customHeight="1" spans="5:20">
      <c r="E83" s="133" t="s">
        <v>609</v>
      </c>
      <c r="F83" s="133">
        <v>0</v>
      </c>
      <c r="G83" s="133">
        <v>11</v>
      </c>
      <c r="H83" s="133">
        <v>2</v>
      </c>
      <c r="I83" s="133">
        <v>1</v>
      </c>
      <c r="J83" s="134" t="s">
        <v>703</v>
      </c>
      <c r="K83" s="134" t="s">
        <v>600</v>
      </c>
      <c r="L83" s="133"/>
      <c r="M83" s="133"/>
      <c r="N83" s="133"/>
      <c r="O83" s="133">
        <v>1</v>
      </c>
      <c r="P83" s="134" t="s">
        <v>635</v>
      </c>
      <c r="Q83" s="134"/>
      <c r="R83" s="134"/>
      <c r="S83" s="134"/>
      <c r="T83" s="134"/>
    </row>
  </sheetData>
  <pageMargins left="0.75" right="0.75" top="1" bottom="1" header="0.511805555555556" footer="0.511805555555556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47"/>
  <sheetViews>
    <sheetView topLeftCell="C11" workbookViewId="0">
      <selection activeCell="H18" sqref="H18"/>
    </sheetView>
  </sheetViews>
  <sheetFormatPr defaultColWidth="8.69736842105263" defaultRowHeight="26.25" customHeight="1"/>
  <cols>
    <col min="2" max="3" width="10.6973684210526" customWidth="1"/>
    <col min="4" max="4" width="14.6973684210526" customWidth="1"/>
    <col min="9" max="9" width="13.0986842105263" customWidth="1"/>
    <col min="10" max="10" width="29.5986842105263" customWidth="1"/>
    <col min="11" max="11" width="79.0986842105263" customWidth="1"/>
  </cols>
  <sheetData>
    <row r="1" customHeight="1" spans="1:11">
      <c r="A1" s="8" t="s">
        <v>28</v>
      </c>
      <c r="B1" s="8" t="s">
        <v>576</v>
      </c>
      <c r="C1" s="8" t="s">
        <v>704</v>
      </c>
      <c r="D1" s="8" t="s">
        <v>577</v>
      </c>
      <c r="F1" s="8" t="s">
        <v>28</v>
      </c>
      <c r="G1" s="8" t="s">
        <v>576</v>
      </c>
      <c r="H1" s="8" t="s">
        <v>457</v>
      </c>
      <c r="I1" s="8" t="s">
        <v>456</v>
      </c>
      <c r="J1" s="8" t="s">
        <v>705</v>
      </c>
      <c r="K1" s="8" t="s">
        <v>706</v>
      </c>
    </row>
    <row r="2" customHeight="1" spans="1:11">
      <c r="A2" s="8" t="s">
        <v>461</v>
      </c>
      <c r="B2" s="8" t="s">
        <v>40</v>
      </c>
      <c r="C2" s="8" t="s">
        <v>40</v>
      </c>
      <c r="D2" s="8" t="s">
        <v>461</v>
      </c>
      <c r="F2" s="8" t="s">
        <v>461</v>
      </c>
      <c r="G2" s="8" t="s">
        <v>40</v>
      </c>
      <c r="H2" s="8" t="s">
        <v>40</v>
      </c>
      <c r="I2" s="8" t="s">
        <v>461</v>
      </c>
      <c r="J2" s="8" t="s">
        <v>41</v>
      </c>
      <c r="K2" s="8" t="s">
        <v>41</v>
      </c>
    </row>
    <row r="3" customHeight="1" spans="1:11">
      <c r="A3" s="13" t="s">
        <v>8</v>
      </c>
      <c r="B3" s="13" t="s">
        <v>589</v>
      </c>
      <c r="C3" s="13" t="s">
        <v>707</v>
      </c>
      <c r="D3" s="8" t="s">
        <v>590</v>
      </c>
      <c r="F3" s="13" t="s">
        <v>8</v>
      </c>
      <c r="G3" s="13" t="s">
        <v>589</v>
      </c>
      <c r="H3" s="13" t="s">
        <v>708</v>
      </c>
      <c r="I3" s="8" t="s">
        <v>55</v>
      </c>
      <c r="J3" s="8" t="s">
        <v>594</v>
      </c>
      <c r="K3" s="8" t="s">
        <v>596</v>
      </c>
    </row>
    <row r="4" customHeight="1" spans="1:11">
      <c r="A4" s="8" t="s">
        <v>597</v>
      </c>
      <c r="B4" s="8">
        <v>0</v>
      </c>
      <c r="C4" s="8">
        <v>5</v>
      </c>
      <c r="D4" s="8" t="s">
        <v>709</v>
      </c>
      <c r="F4" s="109" t="s">
        <v>597</v>
      </c>
      <c r="G4" s="109">
        <v>0</v>
      </c>
      <c r="H4" s="109">
        <v>1</v>
      </c>
      <c r="I4" s="109"/>
      <c r="J4" s="110" t="s">
        <v>710</v>
      </c>
      <c r="K4" s="111" t="s">
        <v>711</v>
      </c>
    </row>
    <row r="5" customHeight="1" spans="1:11">
      <c r="A5" s="8" t="s">
        <v>597</v>
      </c>
      <c r="B5" s="8">
        <v>1</v>
      </c>
      <c r="C5" s="8">
        <v>5</v>
      </c>
      <c r="D5" s="8" t="s">
        <v>712</v>
      </c>
      <c r="F5" s="109" t="s">
        <v>597</v>
      </c>
      <c r="G5" s="109">
        <v>0</v>
      </c>
      <c r="H5" s="109">
        <v>1</v>
      </c>
      <c r="I5" s="109"/>
      <c r="J5" s="110" t="s">
        <v>713</v>
      </c>
      <c r="K5" s="111" t="s">
        <v>714</v>
      </c>
    </row>
    <row r="6" customHeight="1" spans="1:11">
      <c r="A6" s="8" t="s">
        <v>602</v>
      </c>
      <c r="B6" s="8">
        <v>0</v>
      </c>
      <c r="C6" s="8">
        <v>5</v>
      </c>
      <c r="D6" s="8" t="s">
        <v>715</v>
      </c>
      <c r="F6" s="109" t="s">
        <v>597</v>
      </c>
      <c r="G6" s="109">
        <v>0</v>
      </c>
      <c r="H6" s="109">
        <v>1</v>
      </c>
      <c r="I6" s="109"/>
      <c r="J6" s="110" t="s">
        <v>716</v>
      </c>
      <c r="K6" s="111" t="s">
        <v>717</v>
      </c>
    </row>
    <row r="7" customHeight="1" spans="1:11">
      <c r="A7" s="8" t="s">
        <v>602</v>
      </c>
      <c r="B7" s="8">
        <v>1</v>
      </c>
      <c r="C7" s="8">
        <v>5</v>
      </c>
      <c r="D7" s="8" t="s">
        <v>715</v>
      </c>
      <c r="F7" s="109" t="s">
        <v>597</v>
      </c>
      <c r="G7" s="109">
        <v>0</v>
      </c>
      <c r="H7" s="109">
        <v>30000</v>
      </c>
      <c r="I7" s="109"/>
      <c r="J7" s="110" t="s">
        <v>718</v>
      </c>
      <c r="K7" s="111" t="s">
        <v>719</v>
      </c>
    </row>
    <row r="8" customHeight="1" spans="1:11">
      <c r="A8" s="8" t="s">
        <v>606</v>
      </c>
      <c r="B8" s="8">
        <v>0</v>
      </c>
      <c r="C8" s="8">
        <v>5</v>
      </c>
      <c r="D8" s="8" t="s">
        <v>720</v>
      </c>
      <c r="F8" s="109" t="s">
        <v>597</v>
      </c>
      <c r="G8" s="109">
        <v>1</v>
      </c>
      <c r="H8" s="109">
        <v>1</v>
      </c>
      <c r="I8" s="109"/>
      <c r="J8" s="110" t="s">
        <v>721</v>
      </c>
      <c r="K8" s="111" t="s">
        <v>722</v>
      </c>
    </row>
    <row r="9" customHeight="1" spans="1:11">
      <c r="A9" s="8" t="s">
        <v>606</v>
      </c>
      <c r="B9" s="8">
        <v>1</v>
      </c>
      <c r="C9" s="8">
        <v>5</v>
      </c>
      <c r="D9" s="8" t="s">
        <v>720</v>
      </c>
      <c r="F9" s="109" t="s">
        <v>597</v>
      </c>
      <c r="G9" s="109">
        <v>1</v>
      </c>
      <c r="H9" s="109">
        <v>1</v>
      </c>
      <c r="I9" s="109"/>
      <c r="J9" s="110" t="s">
        <v>723</v>
      </c>
      <c r="K9" s="111" t="s">
        <v>724</v>
      </c>
    </row>
    <row r="10" customHeight="1" spans="1:11">
      <c r="A10" s="8" t="s">
        <v>609</v>
      </c>
      <c r="B10" s="8">
        <v>0</v>
      </c>
      <c r="C10" s="8">
        <v>5</v>
      </c>
      <c r="D10" s="8" t="s">
        <v>725</v>
      </c>
      <c r="F10" s="109" t="s">
        <v>597</v>
      </c>
      <c r="G10" s="109">
        <v>1</v>
      </c>
      <c r="H10" s="109">
        <v>100000</v>
      </c>
      <c r="I10" s="109"/>
      <c r="J10" s="110" t="s">
        <v>726</v>
      </c>
      <c r="K10" s="111" t="s">
        <v>727</v>
      </c>
    </row>
    <row r="11" customHeight="1" spans="1:11">
      <c r="A11" s="8" t="s">
        <v>609</v>
      </c>
      <c r="B11" s="8">
        <v>1</v>
      </c>
      <c r="C11" s="8">
        <v>5</v>
      </c>
      <c r="D11" s="8" t="s">
        <v>728</v>
      </c>
      <c r="F11" s="8" t="s">
        <v>602</v>
      </c>
      <c r="G11" s="8">
        <v>0</v>
      </c>
      <c r="H11" s="8">
        <v>1</v>
      </c>
      <c r="I11" s="8"/>
      <c r="J11" s="112" t="s">
        <v>729</v>
      </c>
      <c r="K11" s="113" t="s">
        <v>730</v>
      </c>
    </row>
    <row r="12" customHeight="1" spans="6:11">
      <c r="F12" s="8" t="s">
        <v>602</v>
      </c>
      <c r="G12" s="8">
        <v>0</v>
      </c>
      <c r="H12" s="8">
        <v>1</v>
      </c>
      <c r="I12" s="8"/>
      <c r="J12" s="112" t="s">
        <v>731</v>
      </c>
      <c r="K12" s="113" t="s">
        <v>732</v>
      </c>
    </row>
    <row r="13" customHeight="1" spans="6:11">
      <c r="F13" s="8" t="s">
        <v>602</v>
      </c>
      <c r="G13" s="8">
        <v>0</v>
      </c>
      <c r="H13" s="8">
        <v>1</v>
      </c>
      <c r="I13" s="8"/>
      <c r="J13" s="112" t="s">
        <v>733</v>
      </c>
      <c r="K13" s="113" t="s">
        <v>734</v>
      </c>
    </row>
    <row r="14" customHeight="1" spans="6:11">
      <c r="F14" s="8" t="s">
        <v>602</v>
      </c>
      <c r="G14" s="8">
        <v>0</v>
      </c>
      <c r="H14" s="8">
        <v>1</v>
      </c>
      <c r="I14" s="8"/>
      <c r="J14" s="112" t="s">
        <v>735</v>
      </c>
      <c r="K14" s="113" t="s">
        <v>736</v>
      </c>
    </row>
    <row r="15" customHeight="1" spans="6:11">
      <c r="F15" s="8" t="s">
        <v>602</v>
      </c>
      <c r="G15" s="8">
        <v>0</v>
      </c>
      <c r="H15" s="8">
        <v>1</v>
      </c>
      <c r="I15" s="8"/>
      <c r="J15" s="112" t="s">
        <v>737</v>
      </c>
      <c r="K15" s="113" t="s">
        <v>738</v>
      </c>
    </row>
    <row r="16" customHeight="1" spans="6:11">
      <c r="F16" s="8" t="s">
        <v>602</v>
      </c>
      <c r="G16" s="8">
        <v>0</v>
      </c>
      <c r="H16" s="8">
        <v>1</v>
      </c>
      <c r="I16" s="8"/>
      <c r="J16" s="112" t="s">
        <v>739</v>
      </c>
      <c r="K16" s="113" t="s">
        <v>740</v>
      </c>
    </row>
    <row r="17" customHeight="1" spans="6:11">
      <c r="F17" s="8" t="s">
        <v>602</v>
      </c>
      <c r="G17" s="8">
        <v>0</v>
      </c>
      <c r="H17" s="8">
        <v>1</v>
      </c>
      <c r="I17" s="8"/>
      <c r="J17" s="112" t="s">
        <v>741</v>
      </c>
      <c r="K17" s="113" t="s">
        <v>742</v>
      </c>
    </row>
    <row r="18" customHeight="1" spans="6:11">
      <c r="F18" s="8" t="s">
        <v>602</v>
      </c>
      <c r="G18" s="8">
        <v>0</v>
      </c>
      <c r="H18" s="8">
        <v>1</v>
      </c>
      <c r="I18" s="8"/>
      <c r="J18" s="112" t="s">
        <v>743</v>
      </c>
      <c r="K18" s="113" t="s">
        <v>744</v>
      </c>
    </row>
    <row r="19" customHeight="1" spans="6:11">
      <c r="F19" s="8" t="s">
        <v>602</v>
      </c>
      <c r="G19" s="8">
        <v>0</v>
      </c>
      <c r="H19" s="8">
        <v>1</v>
      </c>
      <c r="I19" s="8"/>
      <c r="J19" s="112" t="s">
        <v>745</v>
      </c>
      <c r="K19" s="113" t="s">
        <v>746</v>
      </c>
    </row>
    <row r="20" customHeight="1" spans="6:11">
      <c r="F20" s="8" t="s">
        <v>602</v>
      </c>
      <c r="G20" s="8">
        <v>0</v>
      </c>
      <c r="H20" s="8">
        <v>3000</v>
      </c>
      <c r="I20" s="8"/>
      <c r="J20" s="112" t="s">
        <v>747</v>
      </c>
      <c r="K20" s="113" t="s">
        <v>748</v>
      </c>
    </row>
    <row r="21" customHeight="1" spans="6:11">
      <c r="F21" s="8" t="s">
        <v>602</v>
      </c>
      <c r="G21" s="8">
        <v>0</v>
      </c>
      <c r="H21" s="8">
        <v>3000</v>
      </c>
      <c r="I21" s="8"/>
      <c r="J21" s="112" t="s">
        <v>749</v>
      </c>
      <c r="K21" s="113" t="s">
        <v>750</v>
      </c>
    </row>
    <row r="22" customHeight="1" spans="6:11">
      <c r="F22" s="8" t="s">
        <v>602</v>
      </c>
      <c r="G22" s="8">
        <v>0</v>
      </c>
      <c r="H22" s="8">
        <v>3000</v>
      </c>
      <c r="I22" s="8"/>
      <c r="J22" s="112" t="s">
        <v>751</v>
      </c>
      <c r="K22" s="113" t="s">
        <v>752</v>
      </c>
    </row>
    <row r="23" customHeight="1" spans="6:11">
      <c r="F23" s="8" t="s">
        <v>602</v>
      </c>
      <c r="G23" s="8">
        <v>1</v>
      </c>
      <c r="H23" s="8">
        <v>1</v>
      </c>
      <c r="I23" s="8"/>
      <c r="J23" s="112" t="s">
        <v>753</v>
      </c>
      <c r="K23" s="113" t="s">
        <v>742</v>
      </c>
    </row>
    <row r="24" customHeight="1" spans="6:11">
      <c r="F24" s="8" t="s">
        <v>602</v>
      </c>
      <c r="G24" s="8">
        <v>1</v>
      </c>
      <c r="H24" s="8">
        <v>1</v>
      </c>
      <c r="I24" s="8"/>
      <c r="J24" s="112" t="s">
        <v>754</v>
      </c>
      <c r="K24" s="113" t="s">
        <v>744</v>
      </c>
    </row>
    <row r="25" customHeight="1" spans="6:11">
      <c r="F25" s="8" t="s">
        <v>602</v>
      </c>
      <c r="G25" s="8">
        <v>1</v>
      </c>
      <c r="H25" s="8">
        <v>1</v>
      </c>
      <c r="I25" s="8"/>
      <c r="J25" s="112" t="s">
        <v>755</v>
      </c>
      <c r="K25" s="113" t="s">
        <v>746</v>
      </c>
    </row>
    <row r="26" customHeight="1" spans="6:11">
      <c r="F26" s="8" t="s">
        <v>602</v>
      </c>
      <c r="G26" s="8">
        <v>1</v>
      </c>
      <c r="H26" s="8">
        <v>1</v>
      </c>
      <c r="I26" s="8"/>
      <c r="J26" s="112" t="s">
        <v>756</v>
      </c>
      <c r="K26" s="113" t="s">
        <v>748</v>
      </c>
    </row>
    <row r="27" customHeight="1" spans="6:11">
      <c r="F27" s="8" t="s">
        <v>602</v>
      </c>
      <c r="G27" s="8">
        <v>1</v>
      </c>
      <c r="H27" s="8">
        <v>1</v>
      </c>
      <c r="I27" s="8"/>
      <c r="J27" s="112" t="s">
        <v>757</v>
      </c>
      <c r="K27" s="113" t="s">
        <v>750</v>
      </c>
    </row>
    <row r="28" customHeight="1" spans="6:11">
      <c r="F28" s="8" t="s">
        <v>602</v>
      </c>
      <c r="G28" s="8">
        <v>1</v>
      </c>
      <c r="H28" s="8">
        <v>1</v>
      </c>
      <c r="I28" s="8"/>
      <c r="J28" s="112" t="s">
        <v>758</v>
      </c>
      <c r="K28" s="113" t="s">
        <v>752</v>
      </c>
    </row>
    <row r="29" customHeight="1" spans="6:11">
      <c r="F29" s="8" t="s">
        <v>602</v>
      </c>
      <c r="G29" s="8">
        <v>1</v>
      </c>
      <c r="H29" s="8">
        <v>10000</v>
      </c>
      <c r="I29" s="8"/>
      <c r="J29" s="112" t="s">
        <v>759</v>
      </c>
      <c r="K29" s="113" t="s">
        <v>760</v>
      </c>
    </row>
    <row r="30" customHeight="1" spans="6:11">
      <c r="F30" s="8" t="s">
        <v>602</v>
      </c>
      <c r="G30" s="8">
        <v>1</v>
      </c>
      <c r="H30" s="8">
        <v>10000</v>
      </c>
      <c r="I30" s="8"/>
      <c r="J30" s="112" t="s">
        <v>761</v>
      </c>
      <c r="K30" s="113" t="s">
        <v>762</v>
      </c>
    </row>
    <row r="31" customHeight="1" spans="6:11">
      <c r="F31" s="8" t="s">
        <v>602</v>
      </c>
      <c r="G31" s="8">
        <v>1</v>
      </c>
      <c r="H31" s="8">
        <v>10000</v>
      </c>
      <c r="I31" s="8"/>
      <c r="J31" s="112" t="s">
        <v>763</v>
      </c>
      <c r="K31" s="113" t="s">
        <v>764</v>
      </c>
    </row>
    <row r="32" customHeight="1" spans="6:11">
      <c r="F32" s="109" t="s">
        <v>606</v>
      </c>
      <c r="G32" s="109">
        <v>0</v>
      </c>
      <c r="H32" s="109">
        <v>1</v>
      </c>
      <c r="I32" s="109"/>
      <c r="J32" s="110" t="s">
        <v>765</v>
      </c>
      <c r="K32" s="111" t="s">
        <v>766</v>
      </c>
    </row>
    <row r="33" customHeight="1" spans="6:11">
      <c r="F33" s="109" t="s">
        <v>606</v>
      </c>
      <c r="G33" s="109">
        <v>0</v>
      </c>
      <c r="H33" s="109">
        <v>1</v>
      </c>
      <c r="I33" s="109"/>
      <c r="J33" s="110" t="s">
        <v>767</v>
      </c>
      <c r="K33" s="111" t="s">
        <v>768</v>
      </c>
    </row>
    <row r="34" customHeight="1" spans="6:11">
      <c r="F34" s="109" t="s">
        <v>606</v>
      </c>
      <c r="G34" s="109">
        <v>0</v>
      </c>
      <c r="H34" s="109">
        <v>1</v>
      </c>
      <c r="I34" s="109"/>
      <c r="J34" s="110" t="s">
        <v>769</v>
      </c>
      <c r="K34" s="111" t="s">
        <v>770</v>
      </c>
    </row>
    <row r="35" customHeight="1" spans="6:11">
      <c r="F35" s="109" t="s">
        <v>606</v>
      </c>
      <c r="G35" s="109">
        <v>0</v>
      </c>
      <c r="H35" s="109">
        <v>1</v>
      </c>
      <c r="I35" s="109"/>
      <c r="J35" s="110" t="s">
        <v>771</v>
      </c>
      <c r="K35" s="111" t="s">
        <v>772</v>
      </c>
    </row>
    <row r="36" customHeight="1" spans="6:11">
      <c r="F36" s="109" t="s">
        <v>606</v>
      </c>
      <c r="G36" s="109">
        <v>0</v>
      </c>
      <c r="H36" s="109">
        <v>1</v>
      </c>
      <c r="I36" s="109"/>
      <c r="J36" s="110" t="s">
        <v>773</v>
      </c>
      <c r="K36" s="111" t="s">
        <v>774</v>
      </c>
    </row>
    <row r="37" customHeight="1" spans="6:11">
      <c r="F37" s="109" t="s">
        <v>606</v>
      </c>
      <c r="G37" s="109">
        <v>1</v>
      </c>
      <c r="H37" s="109">
        <v>1</v>
      </c>
      <c r="I37" s="109"/>
      <c r="J37" s="110" t="s">
        <v>775</v>
      </c>
      <c r="K37" s="111" t="s">
        <v>776</v>
      </c>
    </row>
    <row r="38" customHeight="1" spans="6:11">
      <c r="F38" s="109" t="s">
        <v>606</v>
      </c>
      <c r="G38" s="109">
        <v>1</v>
      </c>
      <c r="H38" s="109">
        <v>1</v>
      </c>
      <c r="I38" s="109"/>
      <c r="J38" s="110" t="s">
        <v>777</v>
      </c>
      <c r="K38" s="111" t="s">
        <v>778</v>
      </c>
    </row>
    <row r="39" customHeight="1" spans="6:11">
      <c r="F39" s="109" t="s">
        <v>606</v>
      </c>
      <c r="G39" s="109">
        <v>1</v>
      </c>
      <c r="H39" s="109">
        <v>1</v>
      </c>
      <c r="I39" s="109"/>
      <c r="J39" s="110" t="s">
        <v>779</v>
      </c>
      <c r="K39" s="111" t="s">
        <v>780</v>
      </c>
    </row>
    <row r="40" customHeight="1" spans="6:11">
      <c r="F40" s="109" t="s">
        <v>606</v>
      </c>
      <c r="G40" s="109">
        <v>1</v>
      </c>
      <c r="H40" s="109">
        <v>1</v>
      </c>
      <c r="I40" s="109"/>
      <c r="J40" s="110" t="s">
        <v>781</v>
      </c>
      <c r="K40" s="111" t="s">
        <v>782</v>
      </c>
    </row>
    <row r="41" customHeight="1" spans="6:11">
      <c r="F41" s="109" t="s">
        <v>606</v>
      </c>
      <c r="G41" s="109">
        <v>1</v>
      </c>
      <c r="H41" s="109">
        <v>1</v>
      </c>
      <c r="I41" s="109"/>
      <c r="J41" s="110" t="s">
        <v>783</v>
      </c>
      <c r="K41" s="111" t="s">
        <v>784</v>
      </c>
    </row>
    <row r="42" customHeight="1" spans="6:11">
      <c r="F42" s="8" t="s">
        <v>609</v>
      </c>
      <c r="G42" s="8">
        <v>0</v>
      </c>
      <c r="H42" s="8">
        <v>1</v>
      </c>
      <c r="I42" s="8"/>
      <c r="J42" s="112" t="s">
        <v>785</v>
      </c>
      <c r="K42" s="114" t="s">
        <v>786</v>
      </c>
    </row>
    <row r="43" customHeight="1" spans="6:11">
      <c r="F43" s="8" t="s">
        <v>609</v>
      </c>
      <c r="G43" s="8">
        <v>0</v>
      </c>
      <c r="H43" s="8">
        <v>1</v>
      </c>
      <c r="I43" s="8"/>
      <c r="J43" s="112" t="s">
        <v>787</v>
      </c>
      <c r="K43" s="114" t="s">
        <v>788</v>
      </c>
    </row>
    <row r="44" customHeight="1" spans="6:11">
      <c r="F44" s="8" t="s">
        <v>609</v>
      </c>
      <c r="G44" s="8">
        <v>0</v>
      </c>
      <c r="H44" s="8">
        <v>1</v>
      </c>
      <c r="I44" s="8"/>
      <c r="J44" s="112" t="s">
        <v>789</v>
      </c>
      <c r="K44" s="114" t="s">
        <v>790</v>
      </c>
    </row>
    <row r="45" customHeight="1" spans="6:11">
      <c r="F45" s="8" t="s">
        <v>609</v>
      </c>
      <c r="G45" s="8">
        <v>1</v>
      </c>
      <c r="H45" s="8">
        <v>1</v>
      </c>
      <c r="I45" s="8"/>
      <c r="J45" s="112" t="s">
        <v>791</v>
      </c>
      <c r="K45" s="114" t="s">
        <v>792</v>
      </c>
    </row>
    <row r="46" customHeight="1" spans="6:11">
      <c r="F46" s="8" t="s">
        <v>609</v>
      </c>
      <c r="G46" s="8">
        <v>1</v>
      </c>
      <c r="H46" s="8">
        <v>1</v>
      </c>
      <c r="I46" s="8"/>
      <c r="J46" s="112" t="s">
        <v>793</v>
      </c>
      <c r="K46" s="114" t="s">
        <v>794</v>
      </c>
    </row>
    <row r="47" customHeight="1" spans="6:11">
      <c r="F47" s="8" t="s">
        <v>609</v>
      </c>
      <c r="G47" s="8">
        <v>1</v>
      </c>
      <c r="H47" s="8">
        <v>1</v>
      </c>
      <c r="I47" s="8"/>
      <c r="J47" s="112" t="s">
        <v>795</v>
      </c>
      <c r="K47" s="114" t="s">
        <v>796</v>
      </c>
    </row>
  </sheetData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11"/>
  <sheetViews>
    <sheetView workbookViewId="0">
      <selection activeCell="G11" sqref="G11"/>
    </sheetView>
  </sheetViews>
  <sheetFormatPr defaultColWidth="8.69736842105263" defaultRowHeight="15.2" outlineLevelCol="6"/>
  <cols>
    <col min="2" max="2" width="12.5" customWidth="1"/>
    <col min="3" max="3" width="75.1973684210526" customWidth="1"/>
    <col min="4" max="4" width="15.5986842105263" customWidth="1"/>
    <col min="5" max="5" width="20.0986842105263" customWidth="1"/>
    <col min="6" max="6" width="7.09868421052632" customWidth="1"/>
    <col min="7" max="7" width="35.4013157894737" customWidth="1"/>
  </cols>
  <sheetData>
    <row r="1" ht="16" spans="1:7">
      <c r="A1" s="8" t="s">
        <v>797</v>
      </c>
      <c r="B1" s="8" t="s">
        <v>576</v>
      </c>
      <c r="C1" s="8" t="s">
        <v>798</v>
      </c>
      <c r="D1" s="8" t="s">
        <v>799</v>
      </c>
      <c r="E1" s="8" t="s">
        <v>800</v>
      </c>
      <c r="F1" s="8" t="s">
        <v>28</v>
      </c>
      <c r="G1" s="8" t="s">
        <v>801</v>
      </c>
    </row>
    <row r="2" ht="16" spans="1:7">
      <c r="A2" s="8" t="s">
        <v>40</v>
      </c>
      <c r="B2" s="8" t="s">
        <v>40</v>
      </c>
      <c r="C2" s="8" t="s">
        <v>461</v>
      </c>
      <c r="D2" s="8" t="s">
        <v>42</v>
      </c>
      <c r="E2" s="8" t="s">
        <v>42</v>
      </c>
      <c r="F2" s="8" t="s">
        <v>461</v>
      </c>
      <c r="G2" s="8" t="s">
        <v>461</v>
      </c>
    </row>
    <row r="3" ht="16" spans="1:7">
      <c r="A3" s="8" t="s">
        <v>802</v>
      </c>
      <c r="B3" s="13" t="s">
        <v>589</v>
      </c>
      <c r="C3" s="12" t="s">
        <v>803</v>
      </c>
      <c r="D3" s="13" t="s">
        <v>804</v>
      </c>
      <c r="E3" s="13" t="s">
        <v>805</v>
      </c>
      <c r="F3" s="13" t="s">
        <v>8</v>
      </c>
      <c r="G3" s="13" t="s">
        <v>806</v>
      </c>
    </row>
    <row r="4" ht="65.1" customHeight="1" spans="1:7">
      <c r="A4" s="8">
        <v>44411</v>
      </c>
      <c r="B4" s="8">
        <v>0</v>
      </c>
      <c r="C4" s="12" t="s">
        <v>807</v>
      </c>
      <c r="D4" s="8">
        <v>0.25</v>
      </c>
      <c r="E4" s="8">
        <v>0.05</v>
      </c>
      <c r="F4" s="8" t="s">
        <v>597</v>
      </c>
      <c r="G4" s="8" t="s">
        <v>808</v>
      </c>
    </row>
    <row r="5" ht="65.1" customHeight="1" spans="1:7">
      <c r="A5" s="8">
        <v>44411</v>
      </c>
      <c r="B5" s="8">
        <v>1</v>
      </c>
      <c r="C5" s="12" t="s">
        <v>809</v>
      </c>
      <c r="D5" s="8">
        <v>0.25</v>
      </c>
      <c r="E5" s="8">
        <v>0.05</v>
      </c>
      <c r="F5" s="8" t="s">
        <v>597</v>
      </c>
      <c r="G5" s="8" t="s">
        <v>808</v>
      </c>
    </row>
    <row r="6" ht="61" spans="1:7">
      <c r="A6" s="8">
        <v>44412</v>
      </c>
      <c r="B6" s="8">
        <v>0</v>
      </c>
      <c r="C6" s="12" t="s">
        <v>810</v>
      </c>
      <c r="D6" s="8">
        <v>0.25</v>
      </c>
      <c r="E6" s="8">
        <v>0.05</v>
      </c>
      <c r="F6" s="8" t="s">
        <v>602</v>
      </c>
      <c r="G6" s="8" t="s">
        <v>811</v>
      </c>
    </row>
    <row r="7" ht="61" spans="1:7">
      <c r="A7" s="8">
        <v>44412</v>
      </c>
      <c r="B7" s="8">
        <v>1</v>
      </c>
      <c r="C7" s="12" t="s">
        <v>812</v>
      </c>
      <c r="D7" s="8">
        <v>0.25</v>
      </c>
      <c r="E7" s="8">
        <v>0.05</v>
      </c>
      <c r="F7" s="8" t="s">
        <v>602</v>
      </c>
      <c r="G7" s="8" t="s">
        <v>811</v>
      </c>
    </row>
    <row r="8" ht="61" spans="1:7">
      <c r="A8" s="8">
        <v>44414</v>
      </c>
      <c r="B8" s="8">
        <v>0</v>
      </c>
      <c r="C8" s="12" t="s">
        <v>813</v>
      </c>
      <c r="D8" s="8">
        <v>0.25</v>
      </c>
      <c r="E8" s="8">
        <v>0.05</v>
      </c>
      <c r="F8" s="8" t="s">
        <v>606</v>
      </c>
      <c r="G8" s="8" t="s">
        <v>814</v>
      </c>
    </row>
    <row r="9" ht="61" spans="1:7">
      <c r="A9" s="8">
        <v>44414</v>
      </c>
      <c r="B9" s="8">
        <v>1</v>
      </c>
      <c r="C9" s="12" t="s">
        <v>815</v>
      </c>
      <c r="D9" s="8">
        <v>0.25</v>
      </c>
      <c r="E9" s="8">
        <v>0.05</v>
      </c>
      <c r="F9" s="8" t="s">
        <v>606</v>
      </c>
      <c r="G9" s="8" t="s">
        <v>814</v>
      </c>
    </row>
    <row r="10" ht="84" customHeight="1" spans="1:7">
      <c r="A10" s="8">
        <v>44415</v>
      </c>
      <c r="B10" s="8">
        <v>0</v>
      </c>
      <c r="C10" s="12" t="s">
        <v>816</v>
      </c>
      <c r="D10" s="8">
        <v>0.25</v>
      </c>
      <c r="E10" s="8">
        <v>0.05</v>
      </c>
      <c r="F10" s="8" t="s">
        <v>609</v>
      </c>
      <c r="G10" s="8" t="s">
        <v>817</v>
      </c>
    </row>
    <row r="11" ht="84" customHeight="1" spans="1:7">
      <c r="A11" s="8">
        <v>44415</v>
      </c>
      <c r="B11" s="8">
        <v>1</v>
      </c>
      <c r="C11" s="12" t="s">
        <v>818</v>
      </c>
      <c r="D11" s="8">
        <v>0.25</v>
      </c>
      <c r="E11" s="8">
        <v>0.05</v>
      </c>
      <c r="F11" s="8" t="s">
        <v>609</v>
      </c>
      <c r="G11" s="8" t="s">
        <v>817</v>
      </c>
    </row>
  </sheetData>
  <pageMargins left="0.75" right="0.75" top="1" bottom="1" header="0.511805555555556" footer="0.511805555555556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A10"/>
  <sheetViews>
    <sheetView workbookViewId="0">
      <pane xSplit="3" topLeftCell="T1" activePane="topRight" state="frozen"/>
      <selection/>
      <selection pane="topRight" activeCell="Q28" sqref="Q28"/>
    </sheetView>
  </sheetViews>
  <sheetFormatPr defaultColWidth="11.0986842105263" defaultRowHeight="15.2"/>
  <cols>
    <col min="1" max="1" width="24.0986842105263" customWidth="1"/>
    <col min="3" max="3" width="14.0986842105263" customWidth="1"/>
    <col min="4" max="5" width="13.4013157894737" customWidth="1"/>
    <col min="6" max="6" width="19.9013157894737" customWidth="1"/>
    <col min="7" max="7" width="13.4013157894737" customWidth="1"/>
    <col min="8" max="8" width="19.9013157894737" customWidth="1"/>
    <col min="11" max="11" width="13.5986842105263" customWidth="1"/>
    <col min="12" max="13" width="12.0986842105263" customWidth="1"/>
    <col min="14" max="15" width="33.0986842105263" customWidth="1"/>
    <col min="16" max="16" width="10.9013157894737" customWidth="1"/>
    <col min="17" max="21" width="31.6973684210526" customWidth="1"/>
  </cols>
  <sheetData>
    <row r="1" ht="23.1" customHeight="1" spans="1:27">
      <c r="A1" s="92" t="s">
        <v>819</v>
      </c>
      <c r="B1" s="93" t="s">
        <v>820</v>
      </c>
      <c r="C1" s="93" t="s">
        <v>821</v>
      </c>
      <c r="D1" s="93" t="s">
        <v>822</v>
      </c>
      <c r="E1" s="93" t="s">
        <v>823</v>
      </c>
      <c r="F1" s="93" t="s">
        <v>824</v>
      </c>
      <c r="G1" s="93" t="s">
        <v>825</v>
      </c>
      <c r="H1" s="93" t="s">
        <v>826</v>
      </c>
      <c r="I1" s="93" t="s">
        <v>827</v>
      </c>
      <c r="J1" s="93" t="s">
        <v>828</v>
      </c>
      <c r="K1" s="97" t="s">
        <v>829</v>
      </c>
      <c r="L1" s="93" t="s">
        <v>830</v>
      </c>
      <c r="M1" s="91" t="s">
        <v>831</v>
      </c>
      <c r="N1" s="91" t="s">
        <v>832</v>
      </c>
      <c r="O1" s="91" t="s">
        <v>833</v>
      </c>
      <c r="P1" s="93" t="s">
        <v>834</v>
      </c>
      <c r="Q1" s="93" t="s">
        <v>835</v>
      </c>
      <c r="R1" s="101" t="s">
        <v>836</v>
      </c>
      <c r="S1" s="101" t="s">
        <v>837</v>
      </c>
      <c r="T1" s="93"/>
      <c r="U1" s="93" t="s">
        <v>838</v>
      </c>
      <c r="V1" s="93" t="s">
        <v>839</v>
      </c>
      <c r="W1" s="93" t="s">
        <v>831</v>
      </c>
      <c r="X1" s="93" t="s">
        <v>839</v>
      </c>
      <c r="Y1" s="93" t="s">
        <v>831</v>
      </c>
      <c r="Z1" s="93" t="s">
        <v>839</v>
      </c>
      <c r="AA1" s="93" t="s">
        <v>831</v>
      </c>
    </row>
    <row r="2" ht="23.1" customHeight="1" spans="1:27">
      <c r="A2" s="94" t="s">
        <v>41</v>
      </c>
      <c r="B2" s="91" t="s">
        <v>40</v>
      </c>
      <c r="C2" s="91" t="s">
        <v>40</v>
      </c>
      <c r="D2" s="91" t="s">
        <v>40</v>
      </c>
      <c r="E2" s="91" t="s">
        <v>40</v>
      </c>
      <c r="F2" s="91" t="s">
        <v>40</v>
      </c>
      <c r="G2" s="91" t="s">
        <v>40</v>
      </c>
      <c r="H2" s="91" t="s">
        <v>40</v>
      </c>
      <c r="I2" s="91" t="s">
        <v>40</v>
      </c>
      <c r="J2" s="91" t="s">
        <v>40</v>
      </c>
      <c r="K2" s="98" t="s">
        <v>42</v>
      </c>
      <c r="L2" s="91" t="s">
        <v>40</v>
      </c>
      <c r="M2" s="91" t="s">
        <v>40</v>
      </c>
      <c r="N2" s="91" t="s">
        <v>41</v>
      </c>
      <c r="O2" s="91" t="s">
        <v>41</v>
      </c>
      <c r="P2" s="91" t="s">
        <v>40</v>
      </c>
      <c r="Q2" s="93" t="s">
        <v>840</v>
      </c>
      <c r="R2" s="102" t="s">
        <v>40</v>
      </c>
      <c r="S2" s="102" t="s">
        <v>40</v>
      </c>
      <c r="T2" s="93" t="s">
        <v>40</v>
      </c>
      <c r="U2" s="93" t="s">
        <v>40</v>
      </c>
      <c r="V2" s="93" t="s">
        <v>42</v>
      </c>
      <c r="W2" s="93" t="s">
        <v>42</v>
      </c>
      <c r="X2" s="93" t="s">
        <v>42</v>
      </c>
      <c r="Y2" s="93" t="s">
        <v>42</v>
      </c>
      <c r="Z2" s="93" t="s">
        <v>42</v>
      </c>
      <c r="AA2" s="93" t="s">
        <v>42</v>
      </c>
    </row>
    <row r="3" ht="23.1" customHeight="1" spans="1:27">
      <c r="A3" s="94" t="s">
        <v>841</v>
      </c>
      <c r="B3" s="91" t="s">
        <v>842</v>
      </c>
      <c r="C3" s="91" t="s">
        <v>843</v>
      </c>
      <c r="D3" s="91" t="s">
        <v>844</v>
      </c>
      <c r="E3" s="91" t="s">
        <v>845</v>
      </c>
      <c r="F3" s="96" t="s">
        <v>846</v>
      </c>
      <c r="G3" s="96" t="s">
        <v>847</v>
      </c>
      <c r="H3" s="96" t="s">
        <v>846</v>
      </c>
      <c r="I3" s="99" t="s">
        <v>848</v>
      </c>
      <c r="J3" s="99" t="s">
        <v>849</v>
      </c>
      <c r="K3" s="98" t="s">
        <v>850</v>
      </c>
      <c r="L3" s="91" t="s">
        <v>851</v>
      </c>
      <c r="M3" s="91" t="s">
        <v>852</v>
      </c>
      <c r="N3" s="91" t="s">
        <v>55</v>
      </c>
      <c r="O3" s="91" t="s">
        <v>55</v>
      </c>
      <c r="P3" s="91" t="s">
        <v>853</v>
      </c>
      <c r="Q3" s="93" t="s">
        <v>854</v>
      </c>
      <c r="R3" s="22" t="s">
        <v>855</v>
      </c>
      <c r="S3" s="22" t="s">
        <v>856</v>
      </c>
      <c r="T3" s="101" t="s">
        <v>857</v>
      </c>
      <c r="U3" s="101" t="s">
        <v>858</v>
      </c>
      <c r="V3" s="93" t="s">
        <v>859</v>
      </c>
      <c r="W3" s="93" t="s">
        <v>860</v>
      </c>
      <c r="X3" s="93" t="s">
        <v>859</v>
      </c>
      <c r="Y3" s="93" t="s">
        <v>860</v>
      </c>
      <c r="Z3" s="93" t="s">
        <v>859</v>
      </c>
      <c r="AA3" s="93" t="s">
        <v>860</v>
      </c>
    </row>
    <row r="4" ht="23.1" customHeight="1" spans="1:27">
      <c r="A4" s="94" t="s">
        <v>861</v>
      </c>
      <c r="B4" s="91">
        <v>0</v>
      </c>
      <c r="C4" s="91">
        <v>1</v>
      </c>
      <c r="D4" s="91">
        <v>1</v>
      </c>
      <c r="E4" s="91">
        <v>3</v>
      </c>
      <c r="F4" s="91">
        <v>1</v>
      </c>
      <c r="G4" s="91">
        <v>3</v>
      </c>
      <c r="H4" s="91">
        <v>1</v>
      </c>
      <c r="I4" s="91">
        <v>0</v>
      </c>
      <c r="J4" s="91">
        <v>0</v>
      </c>
      <c r="K4" s="91">
        <v>0</v>
      </c>
      <c r="L4" s="91">
        <v>0</v>
      </c>
      <c r="M4" s="91">
        <v>0</v>
      </c>
      <c r="N4" s="91"/>
      <c r="O4" s="91"/>
      <c r="P4" s="91">
        <v>0</v>
      </c>
      <c r="Q4" s="93" t="s">
        <v>862</v>
      </c>
      <c r="R4" s="22">
        <v>0</v>
      </c>
      <c r="S4" s="102">
        <v>0</v>
      </c>
      <c r="T4" s="102">
        <v>0</v>
      </c>
      <c r="U4" s="102">
        <v>0</v>
      </c>
      <c r="V4" s="103">
        <v>1</v>
      </c>
      <c r="W4" s="103">
        <v>0.7</v>
      </c>
      <c r="X4" s="103">
        <v>2.4</v>
      </c>
      <c r="Y4" s="103">
        <v>0.1</v>
      </c>
      <c r="Z4" s="103">
        <v>0</v>
      </c>
      <c r="AA4" s="103">
        <v>0.2</v>
      </c>
    </row>
    <row r="5" ht="23.1" customHeight="1" spans="1:27">
      <c r="A5" s="94" t="s">
        <v>863</v>
      </c>
      <c r="B5" s="91">
        <v>1288</v>
      </c>
      <c r="C5" s="91">
        <v>1</v>
      </c>
      <c r="D5" s="91">
        <v>1</v>
      </c>
      <c r="E5" s="91">
        <v>3</v>
      </c>
      <c r="F5" s="91">
        <v>5</v>
      </c>
      <c r="G5" s="91">
        <v>3</v>
      </c>
      <c r="H5" s="91">
        <v>10</v>
      </c>
      <c r="I5" s="91">
        <v>0</v>
      </c>
      <c r="J5" s="91">
        <v>0</v>
      </c>
      <c r="K5" s="91">
        <v>0.2</v>
      </c>
      <c r="L5" s="91">
        <v>1</v>
      </c>
      <c r="M5" s="91">
        <v>10000</v>
      </c>
      <c r="N5" s="91" t="s">
        <v>864</v>
      </c>
      <c r="O5" s="91" t="s">
        <v>865</v>
      </c>
      <c r="P5" s="91">
        <v>20000</v>
      </c>
      <c r="Q5" s="93" t="s">
        <v>866</v>
      </c>
      <c r="R5" s="22">
        <v>0</v>
      </c>
      <c r="S5" s="22">
        <v>0</v>
      </c>
      <c r="T5" s="102">
        <v>0</v>
      </c>
      <c r="U5" s="22">
        <v>0</v>
      </c>
      <c r="V5" s="103">
        <v>0.95</v>
      </c>
      <c r="W5" s="103">
        <v>0.7</v>
      </c>
      <c r="X5" s="103">
        <v>2.8</v>
      </c>
      <c r="Y5" s="103">
        <v>0.1</v>
      </c>
      <c r="Z5" s="103">
        <v>0</v>
      </c>
      <c r="AA5" s="103">
        <v>0.2</v>
      </c>
    </row>
    <row r="6" ht="23.1" customHeight="1" spans="1:27">
      <c r="A6" s="95" t="s">
        <v>867</v>
      </c>
      <c r="B6" s="91">
        <v>1165</v>
      </c>
      <c r="C6" s="91">
        <v>1</v>
      </c>
      <c r="D6" s="91">
        <v>1</v>
      </c>
      <c r="E6" s="91">
        <v>3</v>
      </c>
      <c r="F6" s="91">
        <v>10</v>
      </c>
      <c r="G6" s="91">
        <v>3</v>
      </c>
      <c r="H6" s="91">
        <v>50</v>
      </c>
      <c r="I6" s="91">
        <v>0</v>
      </c>
      <c r="J6" s="91">
        <v>0</v>
      </c>
      <c r="K6" s="91">
        <v>0.2</v>
      </c>
      <c r="L6" s="91">
        <v>1</v>
      </c>
      <c r="M6" s="91">
        <v>10000</v>
      </c>
      <c r="N6" s="91" t="s">
        <v>864</v>
      </c>
      <c r="O6" s="91" t="s">
        <v>865</v>
      </c>
      <c r="P6" s="91">
        <v>40000</v>
      </c>
      <c r="Q6" s="93" t="s">
        <v>868</v>
      </c>
      <c r="R6" s="22">
        <v>0</v>
      </c>
      <c r="S6" s="22">
        <v>0</v>
      </c>
      <c r="T6" s="22">
        <v>0</v>
      </c>
      <c r="U6" s="22">
        <v>0</v>
      </c>
      <c r="V6" s="104">
        <v>0.95</v>
      </c>
      <c r="W6" s="104">
        <v>0.7</v>
      </c>
      <c r="X6" s="104">
        <v>2.8</v>
      </c>
      <c r="Y6" s="104">
        <v>0.1</v>
      </c>
      <c r="Z6" s="104">
        <v>0</v>
      </c>
      <c r="AA6" s="104">
        <v>0.2</v>
      </c>
    </row>
    <row r="7" ht="23.1" customHeight="1" spans="1:27">
      <c r="A7" s="95" t="s">
        <v>869</v>
      </c>
      <c r="B7" s="91">
        <v>1166</v>
      </c>
      <c r="C7" s="91">
        <v>1</v>
      </c>
      <c r="D7" s="91">
        <v>1</v>
      </c>
      <c r="E7" s="91">
        <v>3</v>
      </c>
      <c r="F7" s="91">
        <v>20</v>
      </c>
      <c r="G7" s="91">
        <v>3</v>
      </c>
      <c r="H7" s="91">
        <v>50</v>
      </c>
      <c r="I7" s="91">
        <v>0</v>
      </c>
      <c r="J7" s="91">
        <v>0</v>
      </c>
      <c r="K7" s="91">
        <v>1.5</v>
      </c>
      <c r="L7" s="100">
        <v>2</v>
      </c>
      <c r="M7" s="100">
        <v>200</v>
      </c>
      <c r="N7" s="91" t="s">
        <v>864</v>
      </c>
      <c r="O7" s="91" t="s">
        <v>865</v>
      </c>
      <c r="P7" s="91">
        <v>250000</v>
      </c>
      <c r="Q7" s="93" t="s">
        <v>870</v>
      </c>
      <c r="R7" s="22">
        <v>1200</v>
      </c>
      <c r="S7" s="102">
        <v>200</v>
      </c>
      <c r="T7" s="22">
        <v>6</v>
      </c>
      <c r="U7" s="22">
        <v>2</v>
      </c>
      <c r="V7" s="105">
        <v>1</v>
      </c>
      <c r="W7" s="105">
        <v>0.7</v>
      </c>
      <c r="X7" s="105">
        <v>2</v>
      </c>
      <c r="Y7" s="105">
        <v>0.1</v>
      </c>
      <c r="Z7" s="105">
        <v>0.2</v>
      </c>
      <c r="AA7" s="105">
        <v>0.2</v>
      </c>
    </row>
    <row r="8" ht="23.1" customHeight="1" spans="1:27">
      <c r="A8" s="95" t="s">
        <v>871</v>
      </c>
      <c r="B8" s="91">
        <v>1167</v>
      </c>
      <c r="C8" s="91">
        <v>1</v>
      </c>
      <c r="D8" s="91">
        <v>1</v>
      </c>
      <c r="E8" s="91">
        <v>3</v>
      </c>
      <c r="F8" s="91">
        <v>30</v>
      </c>
      <c r="G8" s="91">
        <v>3</v>
      </c>
      <c r="H8" s="91">
        <v>50</v>
      </c>
      <c r="I8" s="91">
        <v>0</v>
      </c>
      <c r="J8" s="91">
        <v>0</v>
      </c>
      <c r="K8" s="91">
        <v>2</v>
      </c>
      <c r="L8" s="100">
        <v>2</v>
      </c>
      <c r="M8" s="100">
        <v>200</v>
      </c>
      <c r="N8" s="91" t="s">
        <v>864</v>
      </c>
      <c r="O8" s="91" t="s">
        <v>865</v>
      </c>
      <c r="P8" s="91">
        <v>500000</v>
      </c>
      <c r="Q8" s="93" t="s">
        <v>872</v>
      </c>
      <c r="R8" s="22">
        <v>1200</v>
      </c>
      <c r="S8" s="102">
        <v>180</v>
      </c>
      <c r="T8" s="102">
        <v>6</v>
      </c>
      <c r="U8" s="102">
        <v>2</v>
      </c>
      <c r="V8" s="106">
        <v>0.96</v>
      </c>
      <c r="W8" s="106">
        <v>0.7</v>
      </c>
      <c r="X8" s="106">
        <v>2.2</v>
      </c>
      <c r="Y8" s="106">
        <v>0.1</v>
      </c>
      <c r="Z8" s="106">
        <v>0.2</v>
      </c>
      <c r="AA8" s="106">
        <v>0.2</v>
      </c>
    </row>
    <row r="9" ht="23.1" customHeight="1" spans="1:27">
      <c r="A9" s="94" t="s">
        <v>873</v>
      </c>
      <c r="B9" s="91">
        <v>1289</v>
      </c>
      <c r="C9" s="91">
        <v>1</v>
      </c>
      <c r="D9" s="91">
        <v>2</v>
      </c>
      <c r="E9" s="91">
        <v>3</v>
      </c>
      <c r="F9" s="91">
        <v>40</v>
      </c>
      <c r="G9" s="91">
        <v>3</v>
      </c>
      <c r="H9" s="91">
        <v>50</v>
      </c>
      <c r="I9" s="91">
        <v>0</v>
      </c>
      <c r="J9" s="91">
        <v>0</v>
      </c>
      <c r="K9" s="91">
        <v>2.2</v>
      </c>
      <c r="L9" s="100">
        <v>2</v>
      </c>
      <c r="M9" s="100">
        <v>200</v>
      </c>
      <c r="N9" s="91" t="s">
        <v>864</v>
      </c>
      <c r="O9" s="91" t="s">
        <v>865</v>
      </c>
      <c r="P9" s="100">
        <v>666666</v>
      </c>
      <c r="Q9" s="93" t="s">
        <v>874</v>
      </c>
      <c r="R9" s="22">
        <v>1200</v>
      </c>
      <c r="S9" s="22">
        <v>200</v>
      </c>
      <c r="T9" s="22">
        <v>6</v>
      </c>
      <c r="U9" s="22">
        <v>2</v>
      </c>
      <c r="V9" s="107">
        <v>0.96</v>
      </c>
      <c r="W9" s="107">
        <v>0.7</v>
      </c>
      <c r="X9" s="107">
        <v>2</v>
      </c>
      <c r="Y9" s="107">
        <v>0.1</v>
      </c>
      <c r="Z9" s="107">
        <v>0.25</v>
      </c>
      <c r="AA9" s="107">
        <v>0.2</v>
      </c>
    </row>
    <row r="10" ht="23.1" customHeight="1" spans="1:27">
      <c r="A10" s="95" t="s">
        <v>875</v>
      </c>
      <c r="B10" s="91">
        <v>1290</v>
      </c>
      <c r="C10" s="91">
        <v>1</v>
      </c>
      <c r="D10" s="91">
        <v>2</v>
      </c>
      <c r="E10" s="91">
        <v>3</v>
      </c>
      <c r="F10" s="91">
        <v>50</v>
      </c>
      <c r="G10" s="91">
        <v>3</v>
      </c>
      <c r="H10" s="91">
        <v>50</v>
      </c>
      <c r="I10" s="91">
        <v>0</v>
      </c>
      <c r="J10" s="91">
        <v>0</v>
      </c>
      <c r="K10" s="91">
        <v>2.4</v>
      </c>
      <c r="L10" s="100">
        <v>2</v>
      </c>
      <c r="M10" s="100">
        <v>200</v>
      </c>
      <c r="N10" s="91" t="s">
        <v>864</v>
      </c>
      <c r="O10" s="91" t="s">
        <v>865</v>
      </c>
      <c r="P10" s="100">
        <v>666666</v>
      </c>
      <c r="Q10" s="93" t="s">
        <v>876</v>
      </c>
      <c r="R10" s="22">
        <v>1200</v>
      </c>
      <c r="S10" s="22">
        <v>180</v>
      </c>
      <c r="T10" s="22">
        <v>6</v>
      </c>
      <c r="U10" s="22">
        <v>2</v>
      </c>
      <c r="V10" s="108">
        <v>0.96</v>
      </c>
      <c r="W10" s="108">
        <v>0.72</v>
      </c>
      <c r="X10" s="108">
        <v>2.4</v>
      </c>
      <c r="Y10" s="108">
        <v>0.08</v>
      </c>
      <c r="Z10" s="108">
        <v>0.25</v>
      </c>
      <c r="AA10" s="108">
        <v>0.2</v>
      </c>
    </row>
  </sheetData>
  <pageMargins left="0.699305555555556" right="0.699305555555556" top="0.75" bottom="0.75" header="0.3" footer="0.3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22"/>
  <sheetViews>
    <sheetView workbookViewId="0">
      <selection activeCell="C17" sqref="C17"/>
    </sheetView>
  </sheetViews>
  <sheetFormatPr defaultColWidth="11.0986842105263" defaultRowHeight="23.1" customHeight="1" outlineLevelCol="3"/>
  <cols>
    <col min="4" max="4" width="13.4013157894737" customWidth="1"/>
  </cols>
  <sheetData>
    <row r="1" customHeight="1" spans="1:4">
      <c r="A1" s="91" t="s">
        <v>877</v>
      </c>
      <c r="B1" s="91" t="s">
        <v>878</v>
      </c>
      <c r="C1" s="91" t="s">
        <v>879</v>
      </c>
      <c r="D1" s="91" t="s">
        <v>880</v>
      </c>
    </row>
    <row r="2" customHeight="1" spans="1:4">
      <c r="A2" s="91" t="s">
        <v>40</v>
      </c>
      <c r="B2" s="91" t="s">
        <v>40</v>
      </c>
      <c r="C2" s="91" t="s">
        <v>40</v>
      </c>
      <c r="D2" s="91" t="s">
        <v>40</v>
      </c>
    </row>
    <row r="3" customHeight="1" spans="1:4">
      <c r="A3" s="91" t="s">
        <v>881</v>
      </c>
      <c r="B3" s="91" t="s">
        <v>882</v>
      </c>
      <c r="C3" s="91" t="s">
        <v>883</v>
      </c>
      <c r="D3" s="91" t="s">
        <v>884</v>
      </c>
    </row>
    <row r="4" customHeight="1" spans="1:4">
      <c r="A4" s="91">
        <v>1352</v>
      </c>
      <c r="B4" s="91">
        <v>1288</v>
      </c>
      <c r="C4" s="91">
        <v>1352</v>
      </c>
      <c r="D4" s="91">
        <v>20</v>
      </c>
    </row>
    <row r="5" customHeight="1" spans="1:4">
      <c r="A5" s="91">
        <v>1353</v>
      </c>
      <c r="B5" s="91">
        <v>1165</v>
      </c>
      <c r="C5" s="91">
        <v>1353</v>
      </c>
      <c r="D5" s="91">
        <v>20</v>
      </c>
    </row>
    <row r="6" customHeight="1" spans="1:4">
      <c r="A6" s="91">
        <v>1354</v>
      </c>
      <c r="B6" s="91">
        <v>1166</v>
      </c>
      <c r="C6" s="91">
        <v>1354</v>
      </c>
      <c r="D6" s="91">
        <v>20</v>
      </c>
    </row>
    <row r="7" customHeight="1" spans="1:4">
      <c r="A7" s="91">
        <v>1355</v>
      </c>
      <c r="B7" s="91">
        <v>1167</v>
      </c>
      <c r="C7" s="91">
        <v>1355</v>
      </c>
      <c r="D7" s="91">
        <v>20</v>
      </c>
    </row>
    <row r="8" customHeight="1" spans="1:4">
      <c r="A8" s="91">
        <v>1356</v>
      </c>
      <c r="B8" s="91">
        <v>1289</v>
      </c>
      <c r="C8" s="91">
        <v>1356</v>
      </c>
      <c r="D8" s="91">
        <v>20</v>
      </c>
    </row>
    <row r="9" customHeight="1" spans="1:4">
      <c r="A9" s="91">
        <v>1357</v>
      </c>
      <c r="B9" s="91">
        <v>1290</v>
      </c>
      <c r="C9" s="91">
        <v>1357</v>
      </c>
      <c r="D9" s="91">
        <v>20</v>
      </c>
    </row>
    <row r="10" customHeight="1" spans="1:4">
      <c r="A10" s="91">
        <v>1366</v>
      </c>
      <c r="B10" s="91">
        <v>0</v>
      </c>
      <c r="C10" s="91">
        <v>1366</v>
      </c>
      <c r="D10" s="91">
        <v>20</v>
      </c>
    </row>
    <row r="11" customHeight="1" spans="1:4">
      <c r="A11" s="91">
        <v>1395</v>
      </c>
      <c r="B11" s="91">
        <v>1288</v>
      </c>
      <c r="C11" s="91">
        <v>1395</v>
      </c>
      <c r="D11" s="91">
        <v>20</v>
      </c>
    </row>
    <row r="12" customHeight="1" spans="1:4">
      <c r="A12" s="91">
        <v>1471</v>
      </c>
      <c r="B12" s="91">
        <v>1165</v>
      </c>
      <c r="C12" s="91">
        <v>1471</v>
      </c>
      <c r="D12" s="91">
        <v>20</v>
      </c>
    </row>
    <row r="13" customHeight="1" spans="1:4">
      <c r="A13" s="91">
        <v>1472</v>
      </c>
      <c r="B13" s="91">
        <v>1165</v>
      </c>
      <c r="C13" s="91">
        <v>1472</v>
      </c>
      <c r="D13" s="91">
        <v>20</v>
      </c>
    </row>
    <row r="14" customHeight="1" spans="1:4">
      <c r="A14" s="91">
        <v>1473</v>
      </c>
      <c r="B14" s="91">
        <v>1166</v>
      </c>
      <c r="C14" s="91">
        <v>1473</v>
      </c>
      <c r="D14" s="91">
        <v>20</v>
      </c>
    </row>
    <row r="15" customHeight="1" spans="1:4">
      <c r="A15" s="91">
        <v>1475</v>
      </c>
      <c r="B15" s="91">
        <v>1167</v>
      </c>
      <c r="C15" s="91">
        <v>1475</v>
      </c>
      <c r="D15" s="91">
        <v>20</v>
      </c>
    </row>
    <row r="16" customHeight="1" spans="1:4">
      <c r="A16" s="91">
        <v>1476</v>
      </c>
      <c r="B16" s="91">
        <v>1167</v>
      </c>
      <c r="C16" s="91">
        <v>1476</v>
      </c>
      <c r="D16" s="91">
        <v>20</v>
      </c>
    </row>
    <row r="17" ht="23.25" customHeight="1" spans="1:4">
      <c r="A17" s="91">
        <v>1477</v>
      </c>
      <c r="B17" s="91">
        <v>1289</v>
      </c>
      <c r="C17" s="91">
        <v>1477</v>
      </c>
      <c r="D17" s="91">
        <v>20</v>
      </c>
    </row>
    <row r="18" ht="23.25" customHeight="1" spans="1:4">
      <c r="A18" s="91">
        <v>1478</v>
      </c>
      <c r="B18" s="91">
        <v>1289</v>
      </c>
      <c r="C18" s="91">
        <v>1478</v>
      </c>
      <c r="D18" s="91">
        <v>20</v>
      </c>
    </row>
    <row r="19" customHeight="1" spans="1:4">
      <c r="A19" s="91">
        <v>1479</v>
      </c>
      <c r="B19" s="91">
        <v>1290</v>
      </c>
      <c r="C19" s="91">
        <v>1479</v>
      </c>
      <c r="D19" s="91">
        <v>20</v>
      </c>
    </row>
    <row r="20" customHeight="1" spans="1:4">
      <c r="A20" s="91">
        <v>14182</v>
      </c>
      <c r="B20" s="91">
        <v>0</v>
      </c>
      <c r="C20" s="91">
        <v>1366</v>
      </c>
      <c r="D20" s="91">
        <v>20</v>
      </c>
    </row>
    <row r="21" customHeight="1" spans="1:4">
      <c r="A21" s="91">
        <v>14183</v>
      </c>
      <c r="B21" s="91">
        <v>0</v>
      </c>
      <c r="C21" s="91">
        <v>1366</v>
      </c>
      <c r="D21" s="91">
        <v>20</v>
      </c>
    </row>
    <row r="22" customHeight="1" spans="1:4">
      <c r="A22" s="91">
        <v>14184</v>
      </c>
      <c r="B22" s="91">
        <v>0</v>
      </c>
      <c r="C22" s="91">
        <v>1366</v>
      </c>
      <c r="D22" s="91">
        <v>20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V54"/>
  <sheetViews>
    <sheetView showGridLines="0" workbookViewId="0">
      <pane xSplit="1" topLeftCell="E1" activePane="topRight" state="frozen"/>
      <selection/>
      <selection pane="topRight" activeCell="T19" sqref="T19"/>
    </sheetView>
  </sheetViews>
  <sheetFormatPr defaultColWidth="9" defaultRowHeight="17.25" customHeight="1"/>
  <cols>
    <col min="1" max="1" width="9.19736842105263" customWidth="1"/>
    <col min="2" max="2" width="9.40131578947368" customWidth="1"/>
    <col min="3" max="3" width="7.59868421052632" customWidth="1"/>
    <col min="4" max="4" width="9.40131578947368" customWidth="1"/>
    <col min="5" max="5" width="7.59868421052632" customWidth="1"/>
    <col min="6" max="6" width="9.40131578947368" customWidth="1"/>
    <col min="7" max="7" width="7.59868421052632" customWidth="1"/>
    <col min="8" max="8" width="11.0986842105263" customWidth="1"/>
    <col min="9" max="9" width="22.0986842105263" customWidth="1"/>
    <col min="10" max="10" width="7.59868421052632" customWidth="1"/>
    <col min="11" max="11" width="16.4013157894737" customWidth="1"/>
    <col min="12" max="12" width="7.59868421052632" customWidth="1"/>
    <col min="13" max="13" width="5.69736842105263" customWidth="1"/>
    <col min="14" max="14" width="16.4013157894737" customWidth="1"/>
    <col min="15" max="15" width="7.59868421052632" customWidth="1"/>
    <col min="16" max="16" width="5.69736842105263" customWidth="1"/>
    <col min="17" max="17" width="16.4013157894737" customWidth="1"/>
    <col min="18" max="18" width="7.59868421052632" customWidth="1"/>
    <col min="19" max="19" width="5.69736842105263" customWidth="1"/>
  </cols>
  <sheetData>
    <row r="1" customHeight="1" spans="1:22">
      <c r="A1" s="87" t="s">
        <v>885</v>
      </c>
      <c r="B1" s="87" t="s">
        <v>879</v>
      </c>
      <c r="C1" s="87" t="s">
        <v>886</v>
      </c>
      <c r="D1" s="87" t="s">
        <v>879</v>
      </c>
      <c r="E1" s="87" t="s">
        <v>886</v>
      </c>
      <c r="F1" s="87" t="s">
        <v>879</v>
      </c>
      <c r="G1" s="87" t="s">
        <v>886</v>
      </c>
      <c r="H1" s="87" t="s">
        <v>887</v>
      </c>
      <c r="I1" s="87" t="s">
        <v>879</v>
      </c>
      <c r="J1" s="87" t="s">
        <v>886</v>
      </c>
      <c r="K1" s="89" t="s">
        <v>879</v>
      </c>
      <c r="L1" s="87" t="s">
        <v>886</v>
      </c>
      <c r="M1" s="87" t="s">
        <v>888</v>
      </c>
      <c r="N1" s="89" t="s">
        <v>879</v>
      </c>
      <c r="O1" s="87" t="s">
        <v>886</v>
      </c>
      <c r="P1" s="87" t="s">
        <v>888</v>
      </c>
      <c r="Q1" s="89" t="s">
        <v>879</v>
      </c>
      <c r="R1" s="87" t="s">
        <v>886</v>
      </c>
      <c r="S1" s="87" t="s">
        <v>888</v>
      </c>
      <c r="T1" s="87" t="s">
        <v>889</v>
      </c>
      <c r="U1" s="87" t="s">
        <v>890</v>
      </c>
      <c r="V1" s="87" t="s">
        <v>891</v>
      </c>
    </row>
    <row r="2" customHeight="1" spans="1:22">
      <c r="A2" s="87" t="s">
        <v>40</v>
      </c>
      <c r="B2" s="87" t="s">
        <v>40</v>
      </c>
      <c r="C2" s="87" t="s">
        <v>40</v>
      </c>
      <c r="D2" s="87" t="s">
        <v>40</v>
      </c>
      <c r="E2" s="87" t="s">
        <v>40</v>
      </c>
      <c r="F2" s="87" t="s">
        <v>40</v>
      </c>
      <c r="G2" s="87" t="s">
        <v>40</v>
      </c>
      <c r="H2" s="87" t="s">
        <v>40</v>
      </c>
      <c r="I2" s="87" t="s">
        <v>40</v>
      </c>
      <c r="J2" s="87" t="s">
        <v>40</v>
      </c>
      <c r="K2" s="89" t="s">
        <v>40</v>
      </c>
      <c r="L2" s="87" t="s">
        <v>40</v>
      </c>
      <c r="M2" s="87" t="s">
        <v>40</v>
      </c>
      <c r="N2" s="89" t="s">
        <v>40</v>
      </c>
      <c r="O2" s="87" t="s">
        <v>40</v>
      </c>
      <c r="P2" s="87" t="s">
        <v>40</v>
      </c>
      <c r="Q2" s="89" t="s">
        <v>40</v>
      </c>
      <c r="R2" s="87" t="s">
        <v>40</v>
      </c>
      <c r="S2" s="87" t="s">
        <v>40</v>
      </c>
      <c r="T2" s="87" t="s">
        <v>42</v>
      </c>
      <c r="U2" s="87" t="s">
        <v>42</v>
      </c>
      <c r="V2" s="87" t="s">
        <v>40</v>
      </c>
    </row>
    <row r="3" customHeight="1" spans="1:22">
      <c r="A3" s="88" t="s">
        <v>892</v>
      </c>
      <c r="B3" s="88" t="s">
        <v>893</v>
      </c>
      <c r="C3" s="88" t="s">
        <v>894</v>
      </c>
      <c r="D3" s="88" t="s">
        <v>893</v>
      </c>
      <c r="E3" s="88" t="s">
        <v>894</v>
      </c>
      <c r="F3" s="88" t="s">
        <v>893</v>
      </c>
      <c r="G3" s="88" t="s">
        <v>894</v>
      </c>
      <c r="H3" s="88" t="s">
        <v>895</v>
      </c>
      <c r="I3" s="88" t="s">
        <v>896</v>
      </c>
      <c r="J3" s="88" t="s">
        <v>894</v>
      </c>
      <c r="K3" s="90" t="s">
        <v>897</v>
      </c>
      <c r="L3" s="88" t="s">
        <v>898</v>
      </c>
      <c r="M3" s="88" t="s">
        <v>899</v>
      </c>
      <c r="N3" s="90" t="s">
        <v>897</v>
      </c>
      <c r="O3" s="88" t="s">
        <v>898</v>
      </c>
      <c r="P3" s="88" t="s">
        <v>899</v>
      </c>
      <c r="Q3" s="90" t="s">
        <v>897</v>
      </c>
      <c r="R3" s="88" t="s">
        <v>898</v>
      </c>
      <c r="S3" s="88" t="s">
        <v>899</v>
      </c>
      <c r="T3" s="88" t="s">
        <v>900</v>
      </c>
      <c r="U3" s="88" t="s">
        <v>901</v>
      </c>
      <c r="V3" s="87" t="s">
        <v>902</v>
      </c>
    </row>
    <row r="4" customHeight="1" spans="1:22">
      <c r="A4" s="87">
        <v>2101</v>
      </c>
      <c r="B4" s="87">
        <v>0</v>
      </c>
      <c r="C4" s="87">
        <v>0</v>
      </c>
      <c r="D4" s="87">
        <v>0</v>
      </c>
      <c r="E4" s="87">
        <v>0</v>
      </c>
      <c r="F4" s="87">
        <v>0</v>
      </c>
      <c r="G4" s="87">
        <v>0</v>
      </c>
      <c r="H4" s="87">
        <v>10000</v>
      </c>
      <c r="I4" s="87">
        <v>0</v>
      </c>
      <c r="J4" s="87">
        <v>0</v>
      </c>
      <c r="K4" s="87">
        <v>0</v>
      </c>
      <c r="L4" s="87">
        <v>0</v>
      </c>
      <c r="M4" s="87">
        <v>0</v>
      </c>
      <c r="N4" s="87">
        <v>0</v>
      </c>
      <c r="O4" s="87">
        <v>0</v>
      </c>
      <c r="P4" s="87">
        <v>0</v>
      </c>
      <c r="Q4" s="87">
        <v>0</v>
      </c>
      <c r="R4" s="87">
        <v>0</v>
      </c>
      <c r="S4" s="87">
        <v>0</v>
      </c>
      <c r="T4" s="87">
        <v>0.25</v>
      </c>
      <c r="U4" s="87">
        <v>0</v>
      </c>
      <c r="V4" s="87">
        <v>10</v>
      </c>
    </row>
    <row r="5" customHeight="1" spans="1:22">
      <c r="A5" s="87">
        <v>2102</v>
      </c>
      <c r="B5" s="87">
        <v>1137</v>
      </c>
      <c r="C5" s="87">
        <v>1</v>
      </c>
      <c r="D5" s="87">
        <v>0</v>
      </c>
      <c r="E5" s="87">
        <v>0</v>
      </c>
      <c r="F5" s="87">
        <v>0</v>
      </c>
      <c r="G5" s="87">
        <v>0</v>
      </c>
      <c r="H5" s="87">
        <v>10000</v>
      </c>
      <c r="I5" s="87">
        <v>0</v>
      </c>
      <c r="J5" s="87">
        <v>0</v>
      </c>
      <c r="K5" s="87">
        <v>0</v>
      </c>
      <c r="L5" s="87">
        <v>0</v>
      </c>
      <c r="M5" s="87">
        <v>0</v>
      </c>
      <c r="N5" s="87">
        <v>0</v>
      </c>
      <c r="O5" s="87">
        <v>0</v>
      </c>
      <c r="P5" s="87">
        <v>0</v>
      </c>
      <c r="Q5" s="87">
        <v>0</v>
      </c>
      <c r="R5" s="87">
        <v>0</v>
      </c>
      <c r="S5" s="87">
        <v>0</v>
      </c>
      <c r="T5" s="87">
        <v>0.25</v>
      </c>
      <c r="U5" s="87">
        <v>0</v>
      </c>
      <c r="V5" s="87">
        <v>15</v>
      </c>
    </row>
    <row r="6" customHeight="1" spans="1:22">
      <c r="A6" s="87">
        <v>2103</v>
      </c>
      <c r="B6" s="87">
        <v>1137</v>
      </c>
      <c r="C6" s="87">
        <v>2</v>
      </c>
      <c r="D6" s="87">
        <v>0</v>
      </c>
      <c r="E6" s="87">
        <v>0</v>
      </c>
      <c r="F6" s="87">
        <v>0</v>
      </c>
      <c r="G6" s="87">
        <v>0</v>
      </c>
      <c r="H6" s="87">
        <v>10000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  <c r="O6" s="87">
        <v>0</v>
      </c>
      <c r="P6" s="87">
        <v>0</v>
      </c>
      <c r="Q6" s="87">
        <v>0</v>
      </c>
      <c r="R6" s="87">
        <v>0</v>
      </c>
      <c r="S6" s="87">
        <v>0</v>
      </c>
      <c r="T6" s="87">
        <v>0.25</v>
      </c>
      <c r="U6" s="87">
        <v>0</v>
      </c>
      <c r="V6" s="87">
        <v>20</v>
      </c>
    </row>
    <row r="7" customHeight="1" spans="1:22">
      <c r="A7" s="87">
        <v>2104</v>
      </c>
      <c r="B7" s="87">
        <v>1137</v>
      </c>
      <c r="C7" s="87">
        <v>3</v>
      </c>
      <c r="D7" s="87">
        <v>0</v>
      </c>
      <c r="E7" s="87">
        <v>0</v>
      </c>
      <c r="F7" s="87">
        <v>0</v>
      </c>
      <c r="G7" s="87">
        <v>0</v>
      </c>
      <c r="H7" s="87">
        <v>10000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  <c r="O7" s="87">
        <v>0</v>
      </c>
      <c r="P7" s="87">
        <v>0</v>
      </c>
      <c r="Q7" s="87">
        <v>0</v>
      </c>
      <c r="R7" s="87">
        <v>0</v>
      </c>
      <c r="S7" s="87">
        <v>0</v>
      </c>
      <c r="T7" s="87">
        <v>0.25</v>
      </c>
      <c r="U7" s="87">
        <v>0</v>
      </c>
      <c r="V7" s="87">
        <v>25</v>
      </c>
    </row>
    <row r="8" customHeight="1" spans="1:22">
      <c r="A8" s="87">
        <v>2105</v>
      </c>
      <c r="B8" s="87">
        <v>1137</v>
      </c>
      <c r="C8" s="87">
        <v>3</v>
      </c>
      <c r="D8" s="87">
        <v>0</v>
      </c>
      <c r="E8" s="87">
        <v>0</v>
      </c>
      <c r="F8" s="87">
        <v>0</v>
      </c>
      <c r="G8" s="87">
        <v>0</v>
      </c>
      <c r="H8" s="87">
        <v>10000</v>
      </c>
      <c r="I8" s="87">
        <v>0</v>
      </c>
      <c r="J8" s="87">
        <v>0</v>
      </c>
      <c r="K8" s="87">
        <v>0</v>
      </c>
      <c r="L8" s="87">
        <v>0</v>
      </c>
      <c r="M8" s="87">
        <v>0</v>
      </c>
      <c r="N8" s="87">
        <v>0</v>
      </c>
      <c r="O8" s="87">
        <v>0</v>
      </c>
      <c r="P8" s="87">
        <v>0</v>
      </c>
      <c r="Q8" s="87">
        <v>0</v>
      </c>
      <c r="R8" s="87">
        <v>0</v>
      </c>
      <c r="S8" s="87">
        <v>0</v>
      </c>
      <c r="T8" s="87">
        <v>0.25</v>
      </c>
      <c r="U8" s="87">
        <v>0</v>
      </c>
      <c r="V8" s="87">
        <v>30</v>
      </c>
    </row>
    <row r="9" customHeight="1" spans="1:22">
      <c r="A9" s="87">
        <v>2106</v>
      </c>
      <c r="B9" s="87">
        <v>1137</v>
      </c>
      <c r="C9" s="87">
        <v>4</v>
      </c>
      <c r="D9" s="87">
        <v>0</v>
      </c>
      <c r="E9" s="87">
        <v>0</v>
      </c>
      <c r="F9" s="87">
        <v>0</v>
      </c>
      <c r="G9" s="87">
        <v>0</v>
      </c>
      <c r="H9" s="87">
        <v>10000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  <c r="O9" s="87">
        <v>0</v>
      </c>
      <c r="P9" s="87">
        <v>0</v>
      </c>
      <c r="Q9" s="87">
        <v>0</v>
      </c>
      <c r="R9" s="87">
        <v>0</v>
      </c>
      <c r="S9" s="87">
        <v>0</v>
      </c>
      <c r="T9" s="87">
        <v>0.25</v>
      </c>
      <c r="U9" s="87">
        <v>0</v>
      </c>
      <c r="V9" s="87">
        <v>40</v>
      </c>
    </row>
    <row r="10" customHeight="1" spans="1:22">
      <c r="A10" s="87">
        <v>2107</v>
      </c>
      <c r="B10" s="87">
        <v>1137</v>
      </c>
      <c r="C10" s="87">
        <v>4</v>
      </c>
      <c r="D10" s="87">
        <v>0</v>
      </c>
      <c r="E10" s="87">
        <v>0</v>
      </c>
      <c r="F10" s="87">
        <v>0</v>
      </c>
      <c r="G10" s="87">
        <v>0</v>
      </c>
      <c r="H10" s="87">
        <v>10000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  <c r="O10" s="87">
        <v>0</v>
      </c>
      <c r="P10" s="87">
        <v>0</v>
      </c>
      <c r="Q10" s="87">
        <v>0</v>
      </c>
      <c r="R10" s="87">
        <v>0</v>
      </c>
      <c r="S10" s="87">
        <v>0</v>
      </c>
      <c r="T10" s="87">
        <v>0.25</v>
      </c>
      <c r="U10" s="87">
        <v>0</v>
      </c>
      <c r="V10" s="87">
        <v>50</v>
      </c>
    </row>
    <row r="11" customHeight="1" spans="1:22">
      <c r="A11" s="87">
        <v>2108</v>
      </c>
      <c r="B11" s="87">
        <v>1137</v>
      </c>
      <c r="C11" s="87">
        <v>5</v>
      </c>
      <c r="D11" s="87">
        <v>0</v>
      </c>
      <c r="E11" s="87">
        <v>0</v>
      </c>
      <c r="F11" s="87">
        <v>0</v>
      </c>
      <c r="G11" s="87">
        <v>0</v>
      </c>
      <c r="H11" s="87">
        <v>10000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  <c r="O11" s="87">
        <v>0</v>
      </c>
      <c r="P11" s="87">
        <v>0</v>
      </c>
      <c r="Q11" s="87">
        <v>0</v>
      </c>
      <c r="R11" s="87">
        <v>0</v>
      </c>
      <c r="S11" s="87">
        <v>0</v>
      </c>
      <c r="T11" s="87">
        <v>0.25</v>
      </c>
      <c r="U11" s="87">
        <v>0</v>
      </c>
      <c r="V11" s="87">
        <v>60</v>
      </c>
    </row>
    <row r="12" customHeight="1" spans="1:22">
      <c r="A12" s="87">
        <v>2109</v>
      </c>
      <c r="B12" s="87">
        <v>1137</v>
      </c>
      <c r="C12" s="87">
        <v>5</v>
      </c>
      <c r="D12" s="87">
        <v>0</v>
      </c>
      <c r="E12" s="87">
        <v>0</v>
      </c>
      <c r="F12" s="87">
        <v>0</v>
      </c>
      <c r="G12" s="87">
        <v>0</v>
      </c>
      <c r="H12" s="87">
        <v>10000</v>
      </c>
      <c r="I12" s="87">
        <v>0</v>
      </c>
      <c r="J12" s="87">
        <v>0</v>
      </c>
      <c r="K12" s="87">
        <v>0</v>
      </c>
      <c r="L12" s="87">
        <v>0</v>
      </c>
      <c r="M12" s="87">
        <v>0</v>
      </c>
      <c r="N12" s="87">
        <v>0</v>
      </c>
      <c r="O12" s="87">
        <v>0</v>
      </c>
      <c r="P12" s="87">
        <v>0</v>
      </c>
      <c r="Q12" s="87">
        <v>0</v>
      </c>
      <c r="R12" s="87">
        <v>0</v>
      </c>
      <c r="S12" s="87">
        <v>0</v>
      </c>
      <c r="T12" s="87">
        <v>0.25</v>
      </c>
      <c r="U12" s="87">
        <v>0</v>
      </c>
      <c r="V12" s="87">
        <v>70</v>
      </c>
    </row>
    <row r="13" customHeight="1" spans="1:22">
      <c r="A13" s="87">
        <v>2110</v>
      </c>
      <c r="B13" s="87">
        <v>1137</v>
      </c>
      <c r="C13" s="87">
        <v>6</v>
      </c>
      <c r="D13" s="87">
        <v>0</v>
      </c>
      <c r="E13" s="87">
        <v>0</v>
      </c>
      <c r="F13" s="87">
        <v>0</v>
      </c>
      <c r="G13" s="87">
        <v>0</v>
      </c>
      <c r="H13" s="87">
        <v>10000</v>
      </c>
      <c r="I13" s="87">
        <v>0</v>
      </c>
      <c r="J13" s="87">
        <v>0</v>
      </c>
      <c r="K13" s="87">
        <v>0</v>
      </c>
      <c r="L13" s="87">
        <v>0</v>
      </c>
      <c r="M13" s="87">
        <v>0</v>
      </c>
      <c r="N13" s="87">
        <v>0</v>
      </c>
      <c r="O13" s="87">
        <v>0</v>
      </c>
      <c r="P13" s="87">
        <v>0</v>
      </c>
      <c r="Q13" s="87">
        <v>0</v>
      </c>
      <c r="R13" s="87">
        <v>0</v>
      </c>
      <c r="S13" s="87">
        <v>0</v>
      </c>
      <c r="T13" s="87">
        <v>0.25</v>
      </c>
      <c r="U13" s="87">
        <v>0</v>
      </c>
      <c r="V13" s="87">
        <v>80</v>
      </c>
    </row>
    <row r="14" customHeight="1" spans="1:22">
      <c r="A14" s="87">
        <v>2111</v>
      </c>
      <c r="B14" s="87">
        <v>1137</v>
      </c>
      <c r="C14" s="87">
        <v>6</v>
      </c>
      <c r="D14" s="87">
        <v>0</v>
      </c>
      <c r="E14" s="87">
        <v>0</v>
      </c>
      <c r="F14" s="87">
        <v>0</v>
      </c>
      <c r="G14" s="87">
        <v>0</v>
      </c>
      <c r="H14" s="87">
        <v>10000</v>
      </c>
      <c r="I14" s="87">
        <v>0</v>
      </c>
      <c r="J14" s="87">
        <v>0</v>
      </c>
      <c r="K14" s="87">
        <v>0</v>
      </c>
      <c r="L14" s="87">
        <v>0</v>
      </c>
      <c r="M14" s="87">
        <v>0</v>
      </c>
      <c r="N14" s="87">
        <v>0</v>
      </c>
      <c r="O14" s="87">
        <v>0</v>
      </c>
      <c r="P14" s="87">
        <v>0</v>
      </c>
      <c r="Q14" s="87">
        <v>0</v>
      </c>
      <c r="R14" s="87">
        <v>0</v>
      </c>
      <c r="S14" s="87">
        <v>0</v>
      </c>
      <c r="T14" s="87">
        <v>0.25</v>
      </c>
      <c r="U14" s="87">
        <v>0</v>
      </c>
      <c r="V14" s="87">
        <v>90</v>
      </c>
    </row>
    <row r="15" customHeight="1" spans="1:22">
      <c r="A15" s="87">
        <v>2112</v>
      </c>
      <c r="B15" s="87">
        <v>1137</v>
      </c>
      <c r="C15" s="87">
        <v>8</v>
      </c>
      <c r="D15" s="87">
        <v>0</v>
      </c>
      <c r="E15" s="87">
        <v>0</v>
      </c>
      <c r="F15" s="87">
        <v>0</v>
      </c>
      <c r="G15" s="87">
        <v>0</v>
      </c>
      <c r="H15" s="87">
        <v>10000</v>
      </c>
      <c r="I15" s="87">
        <v>0</v>
      </c>
      <c r="J15" s="87">
        <v>0</v>
      </c>
      <c r="K15" s="87">
        <v>0</v>
      </c>
      <c r="L15" s="87">
        <v>0</v>
      </c>
      <c r="M15" s="87">
        <v>0</v>
      </c>
      <c r="N15" s="87">
        <v>0</v>
      </c>
      <c r="O15" s="87">
        <v>0</v>
      </c>
      <c r="P15" s="87">
        <v>0</v>
      </c>
      <c r="Q15" s="87">
        <v>0</v>
      </c>
      <c r="R15" s="87">
        <v>0</v>
      </c>
      <c r="S15" s="87">
        <v>0</v>
      </c>
      <c r="T15" s="87">
        <v>0.25</v>
      </c>
      <c r="U15" s="87">
        <v>0</v>
      </c>
      <c r="V15" s="87">
        <v>100</v>
      </c>
    </row>
    <row r="16" customHeight="1" spans="1:22">
      <c r="A16" s="87">
        <v>2113</v>
      </c>
      <c r="B16" s="87">
        <v>1137</v>
      </c>
      <c r="C16" s="87">
        <v>8</v>
      </c>
      <c r="D16" s="87">
        <v>0</v>
      </c>
      <c r="E16" s="87">
        <v>0</v>
      </c>
      <c r="F16" s="87">
        <v>0</v>
      </c>
      <c r="G16" s="87">
        <v>0</v>
      </c>
      <c r="H16" s="87">
        <v>10000</v>
      </c>
      <c r="I16" s="87">
        <v>0</v>
      </c>
      <c r="J16" s="87">
        <v>0</v>
      </c>
      <c r="K16" s="87">
        <v>0</v>
      </c>
      <c r="L16" s="87">
        <v>0</v>
      </c>
      <c r="M16" s="87">
        <v>0</v>
      </c>
      <c r="N16" s="87">
        <v>0</v>
      </c>
      <c r="O16" s="87">
        <v>0</v>
      </c>
      <c r="P16" s="87">
        <v>0</v>
      </c>
      <c r="Q16" s="87">
        <v>0</v>
      </c>
      <c r="R16" s="87">
        <v>0</v>
      </c>
      <c r="S16" s="87">
        <v>0</v>
      </c>
      <c r="T16" s="87">
        <v>0.25</v>
      </c>
      <c r="U16" s="87">
        <v>0</v>
      </c>
      <c r="V16" s="87">
        <v>150</v>
      </c>
    </row>
    <row r="17" customHeight="1" spans="1:22">
      <c r="A17" s="87">
        <v>2114</v>
      </c>
      <c r="B17" s="87">
        <v>1137</v>
      </c>
      <c r="C17" s="87">
        <v>10</v>
      </c>
      <c r="D17" s="87">
        <v>0</v>
      </c>
      <c r="E17" s="87">
        <v>0</v>
      </c>
      <c r="F17" s="87">
        <v>0</v>
      </c>
      <c r="G17" s="87">
        <v>0</v>
      </c>
      <c r="H17" s="87">
        <v>10000</v>
      </c>
      <c r="I17" s="87">
        <v>0</v>
      </c>
      <c r="J17" s="87">
        <v>0</v>
      </c>
      <c r="K17" s="87">
        <v>0</v>
      </c>
      <c r="L17" s="87">
        <v>0</v>
      </c>
      <c r="M17" s="87">
        <v>0</v>
      </c>
      <c r="N17" s="87">
        <v>0</v>
      </c>
      <c r="O17" s="87">
        <v>0</v>
      </c>
      <c r="P17" s="87">
        <v>0</v>
      </c>
      <c r="Q17" s="87">
        <v>0</v>
      </c>
      <c r="R17" s="87">
        <v>0</v>
      </c>
      <c r="S17" s="87">
        <v>0</v>
      </c>
      <c r="T17" s="87">
        <v>0.25</v>
      </c>
      <c r="U17" s="87">
        <v>0</v>
      </c>
      <c r="V17" s="87">
        <v>200</v>
      </c>
    </row>
    <row r="18" customHeight="1" spans="1:22">
      <c r="A18" s="87">
        <v>2115</v>
      </c>
      <c r="B18" s="87">
        <v>1137</v>
      </c>
      <c r="C18" s="87">
        <v>10</v>
      </c>
      <c r="D18" s="87">
        <v>0</v>
      </c>
      <c r="E18" s="87">
        <v>0</v>
      </c>
      <c r="F18" s="87">
        <v>0</v>
      </c>
      <c r="G18" s="87">
        <v>0</v>
      </c>
      <c r="H18" s="87">
        <v>10000</v>
      </c>
      <c r="I18" s="87">
        <v>0</v>
      </c>
      <c r="J18" s="87">
        <v>0</v>
      </c>
      <c r="K18" s="87">
        <v>0</v>
      </c>
      <c r="L18" s="87">
        <v>0</v>
      </c>
      <c r="M18" s="87">
        <v>0</v>
      </c>
      <c r="N18" s="87">
        <v>0</v>
      </c>
      <c r="O18" s="87">
        <v>0</v>
      </c>
      <c r="P18" s="87">
        <v>0</v>
      </c>
      <c r="Q18" s="87">
        <v>0</v>
      </c>
      <c r="R18" s="87">
        <v>0</v>
      </c>
      <c r="S18" s="87">
        <v>0</v>
      </c>
      <c r="T18" s="87">
        <v>0.25</v>
      </c>
      <c r="U18" s="87">
        <v>0</v>
      </c>
      <c r="V18" s="87">
        <v>250</v>
      </c>
    </row>
    <row r="19" customHeight="1" spans="1:22">
      <c r="A19" s="87">
        <v>2116</v>
      </c>
      <c r="B19" s="87">
        <v>1137</v>
      </c>
      <c r="C19" s="87">
        <v>12</v>
      </c>
      <c r="D19" s="87">
        <v>0</v>
      </c>
      <c r="E19" s="87">
        <v>0</v>
      </c>
      <c r="F19" s="87">
        <v>0</v>
      </c>
      <c r="G19" s="87">
        <v>0</v>
      </c>
      <c r="H19" s="87">
        <v>10000</v>
      </c>
      <c r="I19" s="87">
        <v>0</v>
      </c>
      <c r="J19" s="87">
        <v>0</v>
      </c>
      <c r="K19" s="87">
        <v>0</v>
      </c>
      <c r="L19" s="87">
        <v>0</v>
      </c>
      <c r="M19" s="87">
        <v>0</v>
      </c>
      <c r="N19" s="87">
        <v>0</v>
      </c>
      <c r="O19" s="87">
        <v>0</v>
      </c>
      <c r="P19" s="87">
        <v>0</v>
      </c>
      <c r="Q19" s="87">
        <v>0</v>
      </c>
      <c r="R19" s="87">
        <v>0</v>
      </c>
      <c r="S19" s="87">
        <v>0</v>
      </c>
      <c r="T19" s="87">
        <v>0.25</v>
      </c>
      <c r="U19" s="87">
        <v>0</v>
      </c>
      <c r="V19" s="87">
        <v>300</v>
      </c>
    </row>
    <row r="20" customHeight="1" spans="1:22">
      <c r="A20" s="87">
        <v>2117</v>
      </c>
      <c r="B20" s="87">
        <v>1137</v>
      </c>
      <c r="C20" s="87">
        <v>12</v>
      </c>
      <c r="D20" s="87">
        <v>0</v>
      </c>
      <c r="E20" s="87">
        <v>0</v>
      </c>
      <c r="F20" s="87">
        <v>0</v>
      </c>
      <c r="G20" s="87">
        <v>0</v>
      </c>
      <c r="H20" s="87">
        <v>10000</v>
      </c>
      <c r="I20" s="87">
        <v>0</v>
      </c>
      <c r="J20" s="87">
        <v>0</v>
      </c>
      <c r="K20" s="87">
        <v>0</v>
      </c>
      <c r="L20" s="87">
        <v>0</v>
      </c>
      <c r="M20" s="87">
        <v>0</v>
      </c>
      <c r="N20" s="87">
        <v>0</v>
      </c>
      <c r="O20" s="87">
        <v>0</v>
      </c>
      <c r="P20" s="87">
        <v>0</v>
      </c>
      <c r="Q20" s="87">
        <v>0</v>
      </c>
      <c r="R20" s="87">
        <v>0</v>
      </c>
      <c r="S20" s="87">
        <v>0</v>
      </c>
      <c r="T20" s="87">
        <v>0.25</v>
      </c>
      <c r="U20" s="87">
        <v>0</v>
      </c>
      <c r="V20" s="87">
        <v>350</v>
      </c>
    </row>
    <row r="21" customHeight="1" spans="1:22">
      <c r="A21" s="87">
        <v>2118</v>
      </c>
      <c r="B21" s="87">
        <v>1137</v>
      </c>
      <c r="C21" s="87">
        <v>15</v>
      </c>
      <c r="D21" s="87">
        <v>0</v>
      </c>
      <c r="E21" s="87">
        <v>0</v>
      </c>
      <c r="F21" s="87">
        <v>0</v>
      </c>
      <c r="G21" s="87">
        <v>0</v>
      </c>
      <c r="H21" s="87">
        <v>10000</v>
      </c>
      <c r="I21" s="87">
        <v>0</v>
      </c>
      <c r="J21" s="87">
        <v>0</v>
      </c>
      <c r="K21" s="87">
        <v>0</v>
      </c>
      <c r="L21" s="87">
        <v>0</v>
      </c>
      <c r="M21" s="87">
        <v>0</v>
      </c>
      <c r="N21" s="87">
        <v>0</v>
      </c>
      <c r="O21" s="87">
        <v>0</v>
      </c>
      <c r="P21" s="87">
        <v>0</v>
      </c>
      <c r="Q21" s="87">
        <v>0</v>
      </c>
      <c r="R21" s="87">
        <v>0</v>
      </c>
      <c r="S21" s="87">
        <v>0</v>
      </c>
      <c r="T21" s="87">
        <v>0.25</v>
      </c>
      <c r="U21" s="87">
        <v>0</v>
      </c>
      <c r="V21" s="87">
        <v>400</v>
      </c>
    </row>
    <row r="22" customHeight="1" spans="1:22">
      <c r="A22" s="87">
        <v>2119</v>
      </c>
      <c r="B22" s="87">
        <v>1137</v>
      </c>
      <c r="C22" s="87">
        <v>15</v>
      </c>
      <c r="D22" s="87">
        <v>0</v>
      </c>
      <c r="E22" s="87">
        <v>0</v>
      </c>
      <c r="F22" s="87">
        <v>0</v>
      </c>
      <c r="G22" s="87">
        <v>0</v>
      </c>
      <c r="H22" s="87">
        <v>10000</v>
      </c>
      <c r="I22" s="87">
        <v>0</v>
      </c>
      <c r="J22" s="87">
        <v>0</v>
      </c>
      <c r="K22" s="87">
        <v>0</v>
      </c>
      <c r="L22" s="87">
        <v>0</v>
      </c>
      <c r="M22" s="87">
        <v>0</v>
      </c>
      <c r="N22" s="87">
        <v>0</v>
      </c>
      <c r="O22" s="87">
        <v>0</v>
      </c>
      <c r="P22" s="87">
        <v>0</v>
      </c>
      <c r="Q22" s="87">
        <v>0</v>
      </c>
      <c r="R22" s="87">
        <v>0</v>
      </c>
      <c r="S22" s="87">
        <v>0</v>
      </c>
      <c r="T22" s="87">
        <v>0.25</v>
      </c>
      <c r="U22" s="87">
        <v>0</v>
      </c>
      <c r="V22" s="87">
        <v>450</v>
      </c>
    </row>
    <row r="23" customHeight="1" spans="1:22">
      <c r="A23" s="87">
        <v>2120</v>
      </c>
      <c r="B23" s="87">
        <v>1137</v>
      </c>
      <c r="C23" s="87">
        <v>20</v>
      </c>
      <c r="D23" s="87">
        <v>0</v>
      </c>
      <c r="E23" s="87">
        <v>0</v>
      </c>
      <c r="F23" s="87">
        <v>0</v>
      </c>
      <c r="G23" s="87">
        <v>0</v>
      </c>
      <c r="H23" s="87">
        <v>10000</v>
      </c>
      <c r="I23" s="87">
        <v>0</v>
      </c>
      <c r="J23" s="87">
        <v>0</v>
      </c>
      <c r="K23" s="87">
        <v>0</v>
      </c>
      <c r="L23" s="87">
        <v>0</v>
      </c>
      <c r="M23" s="87">
        <v>0</v>
      </c>
      <c r="N23" s="87">
        <v>0</v>
      </c>
      <c r="O23" s="87">
        <v>0</v>
      </c>
      <c r="P23" s="87">
        <v>0</v>
      </c>
      <c r="Q23" s="87">
        <v>0</v>
      </c>
      <c r="R23" s="87">
        <v>0</v>
      </c>
      <c r="S23" s="87">
        <v>0</v>
      </c>
      <c r="T23" s="87">
        <v>0.25</v>
      </c>
      <c r="U23" s="87">
        <v>0</v>
      </c>
      <c r="V23" s="87">
        <v>500</v>
      </c>
    </row>
    <row r="24" customHeight="1" spans="1:22">
      <c r="A24" s="87">
        <v>2121</v>
      </c>
      <c r="B24" s="87">
        <v>1137</v>
      </c>
      <c r="C24" s="87">
        <v>20</v>
      </c>
      <c r="D24" s="87">
        <v>0</v>
      </c>
      <c r="E24" s="87">
        <v>0</v>
      </c>
      <c r="F24" s="87">
        <v>0</v>
      </c>
      <c r="G24" s="87">
        <v>0</v>
      </c>
      <c r="H24" s="87">
        <v>10000</v>
      </c>
      <c r="I24" s="87">
        <v>0</v>
      </c>
      <c r="J24" s="87">
        <v>0</v>
      </c>
      <c r="K24" s="87">
        <v>0</v>
      </c>
      <c r="L24" s="87">
        <v>0</v>
      </c>
      <c r="M24" s="87">
        <v>0</v>
      </c>
      <c r="N24" s="87">
        <v>0</v>
      </c>
      <c r="O24" s="87">
        <v>0</v>
      </c>
      <c r="P24" s="87">
        <v>0</v>
      </c>
      <c r="Q24" s="87">
        <v>0</v>
      </c>
      <c r="R24" s="87">
        <v>0</v>
      </c>
      <c r="S24" s="87">
        <v>0</v>
      </c>
      <c r="T24" s="87">
        <v>0.25</v>
      </c>
      <c r="U24" s="87">
        <v>0</v>
      </c>
      <c r="V24" s="87">
        <v>600</v>
      </c>
    </row>
    <row r="25" customHeight="1" spans="1:22">
      <c r="A25" s="87">
        <v>2122</v>
      </c>
      <c r="B25" s="87">
        <v>1137</v>
      </c>
      <c r="C25" s="87">
        <v>20</v>
      </c>
      <c r="D25" s="87">
        <v>0</v>
      </c>
      <c r="E25" s="87">
        <v>0</v>
      </c>
      <c r="F25" s="87">
        <v>0</v>
      </c>
      <c r="G25" s="87">
        <v>0</v>
      </c>
      <c r="H25" s="87">
        <v>10000</v>
      </c>
      <c r="I25" s="87">
        <v>0</v>
      </c>
      <c r="J25" s="87">
        <v>0</v>
      </c>
      <c r="K25" s="87">
        <v>0</v>
      </c>
      <c r="L25" s="87">
        <v>0</v>
      </c>
      <c r="M25" s="87">
        <v>0</v>
      </c>
      <c r="N25" s="87">
        <v>0</v>
      </c>
      <c r="O25" s="87">
        <v>0</v>
      </c>
      <c r="P25" s="87">
        <v>0</v>
      </c>
      <c r="Q25" s="87">
        <v>0</v>
      </c>
      <c r="R25" s="87">
        <v>0</v>
      </c>
      <c r="S25" s="87">
        <v>0</v>
      </c>
      <c r="T25" s="87">
        <v>0.25</v>
      </c>
      <c r="U25" s="87">
        <v>0</v>
      </c>
      <c r="V25" s="87">
        <v>700</v>
      </c>
    </row>
    <row r="26" customHeight="1" spans="1:22">
      <c r="A26" s="87">
        <v>2123</v>
      </c>
      <c r="B26" s="87">
        <v>1137</v>
      </c>
      <c r="C26" s="87">
        <v>20</v>
      </c>
      <c r="D26" s="87">
        <v>0</v>
      </c>
      <c r="E26" s="87">
        <v>0</v>
      </c>
      <c r="F26" s="87">
        <v>0</v>
      </c>
      <c r="G26" s="87">
        <v>0</v>
      </c>
      <c r="H26" s="87">
        <v>10000</v>
      </c>
      <c r="I26" s="87">
        <v>0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 s="87">
        <v>0</v>
      </c>
      <c r="P26" s="87">
        <v>0</v>
      </c>
      <c r="Q26" s="87">
        <v>0</v>
      </c>
      <c r="R26" s="87">
        <v>0</v>
      </c>
      <c r="S26" s="87">
        <v>0</v>
      </c>
      <c r="T26" s="87">
        <v>0.25</v>
      </c>
      <c r="U26" s="87">
        <v>0</v>
      </c>
      <c r="V26" s="87">
        <v>800</v>
      </c>
    </row>
    <row r="27" customHeight="1" spans="1:22">
      <c r="A27" s="87">
        <v>2124</v>
      </c>
      <c r="B27" s="87">
        <v>1137</v>
      </c>
      <c r="C27" s="87">
        <v>20</v>
      </c>
      <c r="D27" s="87">
        <v>0</v>
      </c>
      <c r="E27" s="87">
        <v>0</v>
      </c>
      <c r="F27" s="87">
        <v>0</v>
      </c>
      <c r="G27" s="87">
        <v>0</v>
      </c>
      <c r="H27" s="87">
        <v>10000</v>
      </c>
      <c r="I27" s="87">
        <v>0</v>
      </c>
      <c r="J27" s="87">
        <v>0</v>
      </c>
      <c r="K27" s="87">
        <v>0</v>
      </c>
      <c r="L27" s="87">
        <v>0</v>
      </c>
      <c r="M27" s="87">
        <v>0</v>
      </c>
      <c r="N27" s="87">
        <v>0</v>
      </c>
      <c r="O27" s="87">
        <v>0</v>
      </c>
      <c r="P27" s="87">
        <v>0</v>
      </c>
      <c r="Q27" s="87">
        <v>0</v>
      </c>
      <c r="R27" s="87">
        <v>0</v>
      </c>
      <c r="S27" s="87">
        <v>0</v>
      </c>
      <c r="T27" s="87">
        <v>0.25</v>
      </c>
      <c r="U27" s="87">
        <v>0</v>
      </c>
      <c r="V27" s="87">
        <v>900</v>
      </c>
    </row>
    <row r="28" customHeight="1" spans="1:22">
      <c r="A28" s="87">
        <v>2125</v>
      </c>
      <c r="B28" s="87">
        <v>1137</v>
      </c>
      <c r="C28" s="87">
        <v>25</v>
      </c>
      <c r="D28" s="87">
        <v>0</v>
      </c>
      <c r="E28" s="87">
        <v>0</v>
      </c>
      <c r="F28" s="87">
        <v>0</v>
      </c>
      <c r="G28" s="87">
        <v>0</v>
      </c>
      <c r="H28" s="87">
        <v>10000</v>
      </c>
      <c r="I28" s="87">
        <v>0</v>
      </c>
      <c r="J28" s="87">
        <v>0</v>
      </c>
      <c r="K28" s="87">
        <v>0</v>
      </c>
      <c r="L28" s="87">
        <v>0</v>
      </c>
      <c r="M28" s="87">
        <v>0</v>
      </c>
      <c r="N28" s="87">
        <v>0</v>
      </c>
      <c r="O28" s="87">
        <v>0</v>
      </c>
      <c r="P28" s="87">
        <v>0</v>
      </c>
      <c r="Q28" s="87">
        <v>0</v>
      </c>
      <c r="R28" s="87">
        <v>0</v>
      </c>
      <c r="S28" s="87">
        <v>0</v>
      </c>
      <c r="T28" s="87">
        <v>0.25</v>
      </c>
      <c r="U28" s="87">
        <v>0</v>
      </c>
      <c r="V28" s="87">
        <v>1000</v>
      </c>
    </row>
    <row r="29" customHeight="1" spans="1:22">
      <c r="A29" s="87">
        <v>2126</v>
      </c>
      <c r="B29" s="87">
        <v>1137</v>
      </c>
      <c r="C29" s="87">
        <v>25</v>
      </c>
      <c r="D29" s="87">
        <v>0</v>
      </c>
      <c r="E29" s="87">
        <v>0</v>
      </c>
      <c r="F29" s="87">
        <v>0</v>
      </c>
      <c r="G29" s="87">
        <v>0</v>
      </c>
      <c r="H29" s="87">
        <v>10000</v>
      </c>
      <c r="I29" s="87">
        <v>0</v>
      </c>
      <c r="J29" s="87">
        <v>0</v>
      </c>
      <c r="K29" s="87">
        <v>0</v>
      </c>
      <c r="L29" s="87">
        <v>0</v>
      </c>
      <c r="M29" s="87">
        <v>0</v>
      </c>
      <c r="N29" s="87">
        <v>0</v>
      </c>
      <c r="O29" s="87">
        <v>0</v>
      </c>
      <c r="P29" s="87">
        <v>0</v>
      </c>
      <c r="Q29" s="87">
        <v>0</v>
      </c>
      <c r="R29" s="87">
        <v>0</v>
      </c>
      <c r="S29" s="87">
        <v>0</v>
      </c>
      <c r="T29" s="87">
        <v>0.25</v>
      </c>
      <c r="U29" s="87">
        <v>0</v>
      </c>
      <c r="V29" s="87">
        <v>1500</v>
      </c>
    </row>
    <row r="30" customHeight="1" spans="1:22">
      <c r="A30" s="87">
        <v>2127</v>
      </c>
      <c r="B30" s="87">
        <v>1137</v>
      </c>
      <c r="C30" s="87">
        <v>25</v>
      </c>
      <c r="D30" s="87">
        <v>0</v>
      </c>
      <c r="E30" s="87">
        <v>0</v>
      </c>
      <c r="F30" s="87">
        <v>0</v>
      </c>
      <c r="G30" s="87">
        <v>0</v>
      </c>
      <c r="H30" s="87">
        <v>10000</v>
      </c>
      <c r="I30" s="87">
        <v>0</v>
      </c>
      <c r="J30" s="87">
        <v>0</v>
      </c>
      <c r="K30" s="87">
        <v>0</v>
      </c>
      <c r="L30" s="87">
        <v>0</v>
      </c>
      <c r="M30" s="87">
        <v>0</v>
      </c>
      <c r="N30" s="87">
        <v>0</v>
      </c>
      <c r="O30" s="87">
        <v>0</v>
      </c>
      <c r="P30" s="87">
        <v>0</v>
      </c>
      <c r="Q30" s="87">
        <v>0</v>
      </c>
      <c r="R30" s="87">
        <v>0</v>
      </c>
      <c r="S30" s="87">
        <v>0</v>
      </c>
      <c r="T30" s="87">
        <v>0.25</v>
      </c>
      <c r="U30" s="87">
        <v>0</v>
      </c>
      <c r="V30" s="87">
        <v>2000</v>
      </c>
    </row>
    <row r="31" customHeight="1" spans="1:22">
      <c r="A31" s="87">
        <v>2128</v>
      </c>
      <c r="B31" s="87">
        <v>1137</v>
      </c>
      <c r="C31" s="87">
        <v>30</v>
      </c>
      <c r="D31" s="87">
        <v>0</v>
      </c>
      <c r="E31" s="87">
        <v>0</v>
      </c>
      <c r="F31" s="87">
        <v>0</v>
      </c>
      <c r="G31" s="87">
        <v>0</v>
      </c>
      <c r="H31" s="87">
        <v>10000</v>
      </c>
      <c r="I31" s="87">
        <v>0</v>
      </c>
      <c r="J31" s="87">
        <v>0</v>
      </c>
      <c r="K31" s="87">
        <v>0</v>
      </c>
      <c r="L31" s="87">
        <v>0</v>
      </c>
      <c r="M31" s="87">
        <v>0</v>
      </c>
      <c r="N31" s="87">
        <v>0</v>
      </c>
      <c r="O31" s="87">
        <v>0</v>
      </c>
      <c r="P31" s="87">
        <v>0</v>
      </c>
      <c r="Q31" s="87">
        <v>0</v>
      </c>
      <c r="R31" s="87">
        <v>0</v>
      </c>
      <c r="S31" s="87">
        <v>0</v>
      </c>
      <c r="T31" s="87">
        <v>0.25</v>
      </c>
      <c r="U31" s="87">
        <v>0</v>
      </c>
      <c r="V31" s="87">
        <v>2500</v>
      </c>
    </row>
    <row r="32" customHeight="1" spans="1:22">
      <c r="A32" s="87">
        <v>2129</v>
      </c>
      <c r="B32" s="87">
        <v>1137</v>
      </c>
      <c r="C32" s="87">
        <v>30</v>
      </c>
      <c r="D32" s="87">
        <v>0</v>
      </c>
      <c r="E32" s="87">
        <v>0</v>
      </c>
      <c r="F32" s="87">
        <v>0</v>
      </c>
      <c r="G32" s="87">
        <v>0</v>
      </c>
      <c r="H32" s="87">
        <v>10000</v>
      </c>
      <c r="I32" s="87">
        <v>0</v>
      </c>
      <c r="J32" s="87">
        <v>0</v>
      </c>
      <c r="K32" s="87">
        <v>0</v>
      </c>
      <c r="L32" s="87">
        <v>0</v>
      </c>
      <c r="M32" s="87">
        <v>0</v>
      </c>
      <c r="N32" s="87">
        <v>0</v>
      </c>
      <c r="O32" s="87">
        <v>0</v>
      </c>
      <c r="P32" s="87">
        <v>0</v>
      </c>
      <c r="Q32" s="87">
        <v>0</v>
      </c>
      <c r="R32" s="87">
        <v>0</v>
      </c>
      <c r="S32" s="87">
        <v>0</v>
      </c>
      <c r="T32" s="87">
        <v>0.25</v>
      </c>
      <c r="U32" s="87">
        <v>0</v>
      </c>
      <c r="V32" s="87">
        <v>3000</v>
      </c>
    </row>
    <row r="33" customHeight="1" spans="1:22">
      <c r="A33" s="87">
        <v>2130</v>
      </c>
      <c r="B33" s="87">
        <v>1137</v>
      </c>
      <c r="C33" s="87">
        <v>30</v>
      </c>
      <c r="D33" s="87">
        <v>0</v>
      </c>
      <c r="E33" s="87">
        <v>0</v>
      </c>
      <c r="F33" s="87">
        <v>0</v>
      </c>
      <c r="G33" s="87">
        <v>0</v>
      </c>
      <c r="H33" s="87">
        <v>10000</v>
      </c>
      <c r="I33" s="87">
        <v>0</v>
      </c>
      <c r="J33" s="87">
        <v>0</v>
      </c>
      <c r="K33" s="87">
        <v>0</v>
      </c>
      <c r="L33" s="87">
        <v>0</v>
      </c>
      <c r="M33" s="87">
        <v>0</v>
      </c>
      <c r="N33" s="87">
        <v>0</v>
      </c>
      <c r="O33" s="87">
        <v>0</v>
      </c>
      <c r="P33" s="87">
        <v>0</v>
      </c>
      <c r="Q33" s="87">
        <v>0</v>
      </c>
      <c r="R33" s="87">
        <v>0</v>
      </c>
      <c r="S33" s="87">
        <v>0</v>
      </c>
      <c r="T33" s="87">
        <v>0.25</v>
      </c>
      <c r="U33" s="87">
        <v>0</v>
      </c>
      <c r="V33" s="87">
        <v>3500</v>
      </c>
    </row>
    <row r="34" customHeight="1" spans="1:22">
      <c r="A34" s="87">
        <v>2131</v>
      </c>
      <c r="B34" s="87">
        <v>1137</v>
      </c>
      <c r="C34" s="87">
        <v>35</v>
      </c>
      <c r="D34" s="87">
        <v>0</v>
      </c>
      <c r="E34" s="87">
        <v>0</v>
      </c>
      <c r="F34" s="87">
        <v>0</v>
      </c>
      <c r="G34" s="87">
        <v>0</v>
      </c>
      <c r="H34" s="87">
        <v>10000</v>
      </c>
      <c r="I34" s="87">
        <v>0</v>
      </c>
      <c r="J34" s="87">
        <v>0</v>
      </c>
      <c r="K34" s="87">
        <v>0</v>
      </c>
      <c r="L34" s="87">
        <v>0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>
        <v>0</v>
      </c>
      <c r="S34" s="87">
        <v>0</v>
      </c>
      <c r="T34" s="87">
        <v>0.25</v>
      </c>
      <c r="U34" s="87">
        <v>0</v>
      </c>
      <c r="V34" s="87">
        <v>4000</v>
      </c>
    </row>
    <row r="35" customHeight="1" spans="1:22">
      <c r="A35" s="87">
        <v>2132</v>
      </c>
      <c r="B35" s="87">
        <v>1137</v>
      </c>
      <c r="C35" s="87">
        <v>35</v>
      </c>
      <c r="D35" s="87">
        <v>0</v>
      </c>
      <c r="E35" s="87">
        <v>0</v>
      </c>
      <c r="F35" s="87">
        <v>0</v>
      </c>
      <c r="G35" s="87">
        <v>0</v>
      </c>
      <c r="H35" s="87">
        <v>10000</v>
      </c>
      <c r="I35" s="87">
        <v>0</v>
      </c>
      <c r="J35" s="87">
        <v>0</v>
      </c>
      <c r="K35" s="87">
        <v>0</v>
      </c>
      <c r="L35" s="87">
        <v>0</v>
      </c>
      <c r="M35" s="87">
        <v>0</v>
      </c>
      <c r="N35" s="87">
        <v>0</v>
      </c>
      <c r="O35" s="87">
        <v>0</v>
      </c>
      <c r="P35" s="87">
        <v>0</v>
      </c>
      <c r="Q35" s="87">
        <v>0</v>
      </c>
      <c r="R35" s="87">
        <v>0</v>
      </c>
      <c r="S35" s="87">
        <v>0</v>
      </c>
      <c r="T35" s="87">
        <v>0.25</v>
      </c>
      <c r="U35" s="87">
        <v>0</v>
      </c>
      <c r="V35" s="87">
        <v>4500</v>
      </c>
    </row>
    <row r="36" customHeight="1" spans="1:22">
      <c r="A36" s="87">
        <v>2133</v>
      </c>
      <c r="B36" s="87">
        <v>1137</v>
      </c>
      <c r="C36" s="87">
        <v>40</v>
      </c>
      <c r="D36" s="87">
        <v>0</v>
      </c>
      <c r="E36" s="87">
        <v>0</v>
      </c>
      <c r="F36" s="87">
        <v>0</v>
      </c>
      <c r="G36" s="87">
        <v>0</v>
      </c>
      <c r="H36" s="87">
        <v>10000</v>
      </c>
      <c r="I36" s="87">
        <v>0</v>
      </c>
      <c r="J36" s="87">
        <v>0</v>
      </c>
      <c r="K36" s="87">
        <v>0</v>
      </c>
      <c r="L36" s="87">
        <v>0</v>
      </c>
      <c r="M36" s="87">
        <v>0</v>
      </c>
      <c r="N36" s="87">
        <v>0</v>
      </c>
      <c r="O36" s="87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0.25</v>
      </c>
      <c r="U36" s="87">
        <v>0</v>
      </c>
      <c r="V36" s="87">
        <v>5000</v>
      </c>
    </row>
    <row r="37" customHeight="1" spans="1:22">
      <c r="A37" s="87">
        <v>2134</v>
      </c>
      <c r="B37" s="87">
        <v>1137</v>
      </c>
      <c r="C37" s="87">
        <v>50</v>
      </c>
      <c r="D37" s="87">
        <v>0</v>
      </c>
      <c r="E37" s="87">
        <v>0</v>
      </c>
      <c r="F37" s="87">
        <v>0</v>
      </c>
      <c r="G37" s="87">
        <v>0</v>
      </c>
      <c r="H37" s="87">
        <v>10000</v>
      </c>
      <c r="I37" s="87">
        <v>0</v>
      </c>
      <c r="J37" s="87">
        <v>0</v>
      </c>
      <c r="K37" s="87">
        <v>0</v>
      </c>
      <c r="L37" s="87">
        <v>0</v>
      </c>
      <c r="M37" s="87">
        <v>0</v>
      </c>
      <c r="N37" s="87">
        <v>0</v>
      </c>
      <c r="O37" s="87">
        <v>0</v>
      </c>
      <c r="P37" s="87">
        <v>0</v>
      </c>
      <c r="Q37" s="87">
        <v>0</v>
      </c>
      <c r="R37" s="87">
        <v>0</v>
      </c>
      <c r="S37" s="87">
        <v>0</v>
      </c>
      <c r="T37" s="87">
        <v>0.25</v>
      </c>
      <c r="U37" s="87">
        <v>0</v>
      </c>
      <c r="V37" s="87">
        <v>6000</v>
      </c>
    </row>
    <row r="38" customHeight="1" spans="1:22">
      <c r="A38" s="87">
        <v>2135</v>
      </c>
      <c r="B38" s="87">
        <v>1137</v>
      </c>
      <c r="C38" s="87">
        <v>60</v>
      </c>
      <c r="D38" s="87">
        <v>0</v>
      </c>
      <c r="E38" s="87">
        <v>0</v>
      </c>
      <c r="F38" s="87">
        <v>0</v>
      </c>
      <c r="G38" s="87">
        <v>0</v>
      </c>
      <c r="H38" s="87">
        <v>10000</v>
      </c>
      <c r="I38" s="87">
        <v>0</v>
      </c>
      <c r="J38" s="87">
        <v>0</v>
      </c>
      <c r="K38" s="87">
        <v>0</v>
      </c>
      <c r="L38" s="87">
        <v>0</v>
      </c>
      <c r="M38" s="87">
        <v>0</v>
      </c>
      <c r="N38" s="87">
        <v>0</v>
      </c>
      <c r="O38" s="87">
        <v>0</v>
      </c>
      <c r="P38" s="87">
        <v>0</v>
      </c>
      <c r="Q38" s="87">
        <v>0</v>
      </c>
      <c r="R38" s="87">
        <v>0</v>
      </c>
      <c r="S38" s="87">
        <v>0</v>
      </c>
      <c r="T38" s="87">
        <v>0.25</v>
      </c>
      <c r="U38" s="87">
        <v>0</v>
      </c>
      <c r="V38" s="87">
        <v>7000</v>
      </c>
    </row>
    <row r="39" customHeight="1" spans="1:22">
      <c r="A39" s="87">
        <v>2136</v>
      </c>
      <c r="B39" s="87">
        <v>1137</v>
      </c>
      <c r="C39" s="87">
        <v>70</v>
      </c>
      <c r="D39" s="87">
        <v>0</v>
      </c>
      <c r="E39" s="87">
        <v>0</v>
      </c>
      <c r="F39" s="87">
        <v>0</v>
      </c>
      <c r="G39" s="87">
        <v>0</v>
      </c>
      <c r="H39" s="87">
        <v>10000</v>
      </c>
      <c r="I39" s="87">
        <v>0</v>
      </c>
      <c r="J39" s="87">
        <v>0</v>
      </c>
      <c r="K39" s="87">
        <v>0</v>
      </c>
      <c r="L39" s="87">
        <v>0</v>
      </c>
      <c r="M39" s="87">
        <v>0</v>
      </c>
      <c r="N39" s="87">
        <v>0</v>
      </c>
      <c r="O39" s="87">
        <v>0</v>
      </c>
      <c r="P39" s="87">
        <v>0</v>
      </c>
      <c r="Q39" s="87">
        <v>0</v>
      </c>
      <c r="R39" s="87">
        <v>0</v>
      </c>
      <c r="S39" s="87">
        <v>0</v>
      </c>
      <c r="T39" s="87">
        <v>0.25</v>
      </c>
      <c r="U39" s="87">
        <v>0</v>
      </c>
      <c r="V39" s="87">
        <v>8000</v>
      </c>
    </row>
    <row r="40" customHeight="1" spans="1:22">
      <c r="A40" s="87">
        <v>2137</v>
      </c>
      <c r="B40" s="87">
        <v>1137</v>
      </c>
      <c r="C40" s="87">
        <v>80</v>
      </c>
      <c r="D40" s="87">
        <v>0</v>
      </c>
      <c r="E40" s="87">
        <v>0</v>
      </c>
      <c r="F40" s="87">
        <v>0</v>
      </c>
      <c r="G40" s="87">
        <v>0</v>
      </c>
      <c r="H40" s="87">
        <v>10000</v>
      </c>
      <c r="I40" s="87">
        <v>0</v>
      </c>
      <c r="J40" s="87">
        <v>0</v>
      </c>
      <c r="K40" s="87">
        <v>0</v>
      </c>
      <c r="L40" s="87">
        <v>0</v>
      </c>
      <c r="M40" s="87">
        <v>0</v>
      </c>
      <c r="N40" s="87">
        <v>0</v>
      </c>
      <c r="O40" s="87">
        <v>0</v>
      </c>
      <c r="P40" s="87">
        <v>0</v>
      </c>
      <c r="Q40" s="87">
        <v>0</v>
      </c>
      <c r="R40" s="87">
        <v>0</v>
      </c>
      <c r="S40" s="87">
        <v>0</v>
      </c>
      <c r="T40" s="87">
        <v>0.25</v>
      </c>
      <c r="U40" s="87">
        <v>0</v>
      </c>
      <c r="V40" s="87">
        <v>9000</v>
      </c>
    </row>
    <row r="41" customHeight="1" spans="1:22">
      <c r="A41" s="87">
        <v>2138</v>
      </c>
      <c r="B41" s="87">
        <v>1137</v>
      </c>
      <c r="C41" s="87">
        <v>100</v>
      </c>
      <c r="D41" s="87">
        <v>0</v>
      </c>
      <c r="E41" s="87">
        <v>0</v>
      </c>
      <c r="F41" s="87">
        <v>0</v>
      </c>
      <c r="G41" s="87">
        <v>0</v>
      </c>
      <c r="H41" s="87">
        <v>10000</v>
      </c>
      <c r="I41" s="87">
        <v>0</v>
      </c>
      <c r="J41" s="87">
        <v>0</v>
      </c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7">
        <v>0</v>
      </c>
      <c r="R41" s="87">
        <v>0</v>
      </c>
      <c r="S41" s="87">
        <v>0</v>
      </c>
      <c r="T41" s="87">
        <v>0.25</v>
      </c>
      <c r="U41" s="87">
        <v>0</v>
      </c>
      <c r="V41" s="87">
        <v>10000</v>
      </c>
    </row>
    <row r="42" customHeight="1" spans="1:22">
      <c r="A42" s="87">
        <v>2139</v>
      </c>
      <c r="B42" s="87">
        <v>1137</v>
      </c>
      <c r="C42" s="87">
        <v>120</v>
      </c>
      <c r="D42" s="87">
        <v>1429</v>
      </c>
      <c r="E42" s="87">
        <v>10</v>
      </c>
      <c r="F42" s="87">
        <v>1430</v>
      </c>
      <c r="G42" s="87">
        <v>10</v>
      </c>
      <c r="H42" s="87">
        <v>8000</v>
      </c>
      <c r="I42" s="87">
        <v>1431</v>
      </c>
      <c r="J42" s="87">
        <v>2</v>
      </c>
      <c r="K42" s="87">
        <v>1431</v>
      </c>
      <c r="L42" s="87">
        <v>1</v>
      </c>
      <c r="M42" s="87">
        <v>4000</v>
      </c>
      <c r="N42" s="87">
        <v>1431</v>
      </c>
      <c r="O42" s="87">
        <v>1</v>
      </c>
      <c r="P42" s="87">
        <v>3000</v>
      </c>
      <c r="Q42" s="87">
        <v>1431</v>
      </c>
      <c r="R42" s="87">
        <v>1</v>
      </c>
      <c r="S42" s="87">
        <v>3000</v>
      </c>
      <c r="T42" s="87">
        <v>0.25</v>
      </c>
      <c r="U42" s="87">
        <v>0</v>
      </c>
      <c r="V42" s="87">
        <v>15000</v>
      </c>
    </row>
    <row r="43" customHeight="1" spans="1:22">
      <c r="A43" s="87">
        <v>2140</v>
      </c>
      <c r="B43" s="87">
        <v>1137</v>
      </c>
      <c r="C43" s="87">
        <v>130</v>
      </c>
      <c r="D43" s="87">
        <v>1429</v>
      </c>
      <c r="E43" s="87">
        <v>20</v>
      </c>
      <c r="F43" s="87">
        <v>1430</v>
      </c>
      <c r="G43" s="87">
        <v>20</v>
      </c>
      <c r="H43" s="87">
        <v>7000</v>
      </c>
      <c r="I43" s="87">
        <v>1431</v>
      </c>
      <c r="J43" s="87">
        <v>5</v>
      </c>
      <c r="K43" s="87">
        <v>1431</v>
      </c>
      <c r="L43" s="87">
        <v>1</v>
      </c>
      <c r="M43" s="87">
        <v>4000</v>
      </c>
      <c r="N43" s="87">
        <v>1431</v>
      </c>
      <c r="O43" s="87">
        <v>1</v>
      </c>
      <c r="P43" s="87">
        <v>3000</v>
      </c>
      <c r="Q43" s="87">
        <v>1431</v>
      </c>
      <c r="R43" s="87">
        <v>3</v>
      </c>
      <c r="S43" s="87">
        <v>3000</v>
      </c>
      <c r="T43" s="87">
        <v>0.25</v>
      </c>
      <c r="U43" s="87">
        <v>0</v>
      </c>
      <c r="V43" s="87">
        <v>20000</v>
      </c>
    </row>
    <row r="44" customHeight="1" spans="1:22">
      <c r="A44" s="87">
        <v>2141</v>
      </c>
      <c r="B44" s="87">
        <v>1137</v>
      </c>
      <c r="C44" s="87">
        <v>140</v>
      </c>
      <c r="D44" s="87">
        <v>1429</v>
      </c>
      <c r="E44" s="87">
        <v>40</v>
      </c>
      <c r="F44" s="87">
        <v>1430</v>
      </c>
      <c r="G44" s="87">
        <v>40</v>
      </c>
      <c r="H44" s="87">
        <v>6500</v>
      </c>
      <c r="I44" s="87">
        <v>1431</v>
      </c>
      <c r="J44" s="87">
        <v>10</v>
      </c>
      <c r="K44" s="87">
        <v>1431</v>
      </c>
      <c r="L44" s="87">
        <v>3</v>
      </c>
      <c r="M44" s="87">
        <v>4000</v>
      </c>
      <c r="N44" s="87">
        <v>1431</v>
      </c>
      <c r="O44" s="87">
        <v>3</v>
      </c>
      <c r="P44" s="87">
        <v>3000</v>
      </c>
      <c r="Q44" s="87">
        <v>1431</v>
      </c>
      <c r="R44" s="87">
        <v>5</v>
      </c>
      <c r="S44" s="87">
        <v>3000</v>
      </c>
      <c r="T44" s="87">
        <v>0.25</v>
      </c>
      <c r="U44" s="87">
        <v>0</v>
      </c>
      <c r="V44" s="87">
        <v>25000</v>
      </c>
    </row>
    <row r="45" customHeight="1" spans="1:22">
      <c r="A45" s="87">
        <v>2142</v>
      </c>
      <c r="B45" s="87">
        <v>1137</v>
      </c>
      <c r="C45" s="87">
        <v>150</v>
      </c>
      <c r="D45" s="87">
        <v>1429</v>
      </c>
      <c r="E45" s="87">
        <v>50</v>
      </c>
      <c r="F45" s="87">
        <v>1430</v>
      </c>
      <c r="G45" s="87">
        <v>50</v>
      </c>
      <c r="H45" s="87">
        <v>6000</v>
      </c>
      <c r="I45" s="87">
        <v>1431</v>
      </c>
      <c r="J45" s="87">
        <v>20</v>
      </c>
      <c r="K45" s="87">
        <v>1431</v>
      </c>
      <c r="L45" s="87">
        <v>4</v>
      </c>
      <c r="M45" s="87">
        <v>4000</v>
      </c>
      <c r="N45" s="87">
        <v>1431</v>
      </c>
      <c r="O45" s="87">
        <v>4</v>
      </c>
      <c r="P45" s="87">
        <v>3000</v>
      </c>
      <c r="Q45" s="87">
        <v>1431</v>
      </c>
      <c r="R45" s="87">
        <v>6</v>
      </c>
      <c r="S45" s="87">
        <v>3000</v>
      </c>
      <c r="T45" s="87">
        <v>0.25</v>
      </c>
      <c r="U45" s="87">
        <v>0</v>
      </c>
      <c r="V45" s="87">
        <v>30000</v>
      </c>
    </row>
    <row r="46" customHeight="1" spans="1:22">
      <c r="A46" s="87">
        <v>2143</v>
      </c>
      <c r="B46" s="87">
        <v>1137</v>
      </c>
      <c r="C46" s="87">
        <v>160</v>
      </c>
      <c r="D46" s="87">
        <v>1429</v>
      </c>
      <c r="E46" s="87">
        <v>60</v>
      </c>
      <c r="F46" s="87">
        <v>1430</v>
      </c>
      <c r="G46" s="87">
        <v>60</v>
      </c>
      <c r="H46" s="87">
        <v>5500</v>
      </c>
      <c r="I46" s="87">
        <v>1431</v>
      </c>
      <c r="J46" s="87">
        <v>25</v>
      </c>
      <c r="K46" s="87">
        <v>1431</v>
      </c>
      <c r="L46" s="87">
        <v>5</v>
      </c>
      <c r="M46" s="87">
        <v>4000</v>
      </c>
      <c r="N46" s="87">
        <v>1431</v>
      </c>
      <c r="O46" s="87">
        <v>5</v>
      </c>
      <c r="P46" s="87">
        <v>3000</v>
      </c>
      <c r="Q46" s="87">
        <v>1431</v>
      </c>
      <c r="R46" s="87">
        <v>7</v>
      </c>
      <c r="S46" s="87">
        <v>3000</v>
      </c>
      <c r="T46" s="87">
        <v>0.25</v>
      </c>
      <c r="U46" s="87">
        <v>0</v>
      </c>
      <c r="V46" s="87">
        <v>35000</v>
      </c>
    </row>
    <row r="47" customHeight="1" spans="1:22">
      <c r="A47" s="87">
        <v>2144</v>
      </c>
      <c r="B47" s="87">
        <v>1137</v>
      </c>
      <c r="C47" s="87">
        <v>170</v>
      </c>
      <c r="D47" s="87">
        <v>1429</v>
      </c>
      <c r="E47" s="87">
        <v>80</v>
      </c>
      <c r="F47" s="87">
        <v>1430</v>
      </c>
      <c r="G47" s="87">
        <v>80</v>
      </c>
      <c r="H47" s="87">
        <v>5000</v>
      </c>
      <c r="I47" s="87">
        <v>1431</v>
      </c>
      <c r="J47" s="87">
        <v>40</v>
      </c>
      <c r="K47" s="87">
        <v>1431</v>
      </c>
      <c r="L47" s="87">
        <v>6</v>
      </c>
      <c r="M47" s="87">
        <v>4000</v>
      </c>
      <c r="N47" s="87">
        <v>1431</v>
      </c>
      <c r="O47" s="87">
        <v>7</v>
      </c>
      <c r="P47" s="87">
        <v>3000</v>
      </c>
      <c r="Q47" s="87">
        <v>1431</v>
      </c>
      <c r="R47" s="87">
        <v>9</v>
      </c>
      <c r="S47" s="87">
        <v>3000</v>
      </c>
      <c r="T47" s="87">
        <v>0.25</v>
      </c>
      <c r="U47" s="87">
        <v>0</v>
      </c>
      <c r="V47" s="87">
        <v>40000</v>
      </c>
    </row>
    <row r="48" customHeight="1" spans="1:22">
      <c r="A48" s="87">
        <v>2145</v>
      </c>
      <c r="B48" s="87">
        <v>1137</v>
      </c>
      <c r="C48" s="87">
        <v>180</v>
      </c>
      <c r="D48" s="87">
        <v>1429</v>
      </c>
      <c r="E48" s="87">
        <v>115</v>
      </c>
      <c r="F48" s="87">
        <v>1430</v>
      </c>
      <c r="G48" s="87">
        <v>115</v>
      </c>
      <c r="H48" s="87">
        <v>4500</v>
      </c>
      <c r="I48" s="87">
        <v>1431</v>
      </c>
      <c r="J48" s="87">
        <v>60</v>
      </c>
      <c r="K48" s="87">
        <v>1431</v>
      </c>
      <c r="L48" s="87">
        <v>9</v>
      </c>
      <c r="M48" s="87">
        <v>4000</v>
      </c>
      <c r="N48" s="87">
        <v>1431</v>
      </c>
      <c r="O48" s="87">
        <v>11</v>
      </c>
      <c r="P48" s="87">
        <v>3000</v>
      </c>
      <c r="Q48" s="87">
        <v>1431</v>
      </c>
      <c r="R48" s="87">
        <v>13</v>
      </c>
      <c r="S48" s="87">
        <v>3000</v>
      </c>
      <c r="T48" s="87">
        <v>0.25</v>
      </c>
      <c r="U48" s="87">
        <v>0</v>
      </c>
      <c r="V48" s="87">
        <v>45000</v>
      </c>
    </row>
    <row r="49" customHeight="1" spans="1:22">
      <c r="A49" s="87">
        <v>2146</v>
      </c>
      <c r="B49" s="87">
        <v>1137</v>
      </c>
      <c r="C49" s="87">
        <v>200</v>
      </c>
      <c r="D49" s="87">
        <v>1429</v>
      </c>
      <c r="E49" s="87">
        <v>120</v>
      </c>
      <c r="F49" s="87">
        <v>1430</v>
      </c>
      <c r="G49" s="87">
        <v>120</v>
      </c>
      <c r="H49" s="87">
        <v>4000</v>
      </c>
      <c r="I49" s="87">
        <v>1431</v>
      </c>
      <c r="J49" s="87">
        <v>70</v>
      </c>
      <c r="K49" s="87">
        <v>1431</v>
      </c>
      <c r="L49" s="87">
        <v>10</v>
      </c>
      <c r="M49" s="87">
        <v>4000</v>
      </c>
      <c r="N49" s="87">
        <v>1431</v>
      </c>
      <c r="O49" s="87">
        <v>12</v>
      </c>
      <c r="P49" s="87">
        <v>3000</v>
      </c>
      <c r="Q49" s="87">
        <v>1431</v>
      </c>
      <c r="R49" s="87">
        <v>14</v>
      </c>
      <c r="S49" s="87">
        <v>3000</v>
      </c>
      <c r="T49" s="87">
        <v>0.25</v>
      </c>
      <c r="U49" s="87">
        <v>0</v>
      </c>
      <c r="V49" s="87">
        <v>50000</v>
      </c>
    </row>
    <row r="50" customHeight="1" spans="1:22">
      <c r="A50" s="87">
        <v>2147</v>
      </c>
      <c r="B50" s="87">
        <v>1137</v>
      </c>
      <c r="C50" s="87">
        <v>220</v>
      </c>
      <c r="D50" s="87">
        <v>1429</v>
      </c>
      <c r="E50" s="87">
        <v>120</v>
      </c>
      <c r="F50" s="87">
        <v>1430</v>
      </c>
      <c r="G50" s="87">
        <v>120</v>
      </c>
      <c r="H50" s="87">
        <v>3500</v>
      </c>
      <c r="I50" s="87">
        <v>1431</v>
      </c>
      <c r="J50" s="87">
        <v>85</v>
      </c>
      <c r="K50" s="87">
        <v>1431</v>
      </c>
      <c r="L50" s="87">
        <v>10</v>
      </c>
      <c r="M50" s="87">
        <v>4000</v>
      </c>
      <c r="N50" s="87">
        <v>1431</v>
      </c>
      <c r="O50" s="87">
        <v>12</v>
      </c>
      <c r="P50" s="87">
        <v>3000</v>
      </c>
      <c r="Q50" s="87">
        <v>1431</v>
      </c>
      <c r="R50" s="87">
        <v>14</v>
      </c>
      <c r="S50" s="87">
        <v>3000</v>
      </c>
      <c r="T50" s="87">
        <v>0.25</v>
      </c>
      <c r="U50" s="87">
        <v>0</v>
      </c>
      <c r="V50" s="87">
        <v>60000</v>
      </c>
    </row>
    <row r="51" customHeight="1" spans="1:22">
      <c r="A51" s="87">
        <v>2148</v>
      </c>
      <c r="B51" s="87">
        <v>1137</v>
      </c>
      <c r="C51" s="87">
        <v>240</v>
      </c>
      <c r="D51" s="87">
        <v>1429</v>
      </c>
      <c r="E51" s="87">
        <v>120</v>
      </c>
      <c r="F51" s="87">
        <v>1430</v>
      </c>
      <c r="G51" s="87">
        <v>120</v>
      </c>
      <c r="H51" s="87">
        <v>3000</v>
      </c>
      <c r="I51" s="87">
        <v>1431</v>
      </c>
      <c r="J51" s="87">
        <v>110</v>
      </c>
      <c r="K51" s="87">
        <v>1431</v>
      </c>
      <c r="L51" s="87">
        <v>10</v>
      </c>
      <c r="M51" s="87">
        <v>4000</v>
      </c>
      <c r="N51" s="87">
        <v>1431</v>
      </c>
      <c r="O51" s="87">
        <v>12</v>
      </c>
      <c r="P51" s="87">
        <v>3000</v>
      </c>
      <c r="Q51" s="87">
        <v>1431</v>
      </c>
      <c r="R51" s="87">
        <v>14</v>
      </c>
      <c r="S51" s="87">
        <v>3000</v>
      </c>
      <c r="T51" s="87">
        <v>0.25</v>
      </c>
      <c r="U51" s="87">
        <v>0</v>
      </c>
      <c r="V51" s="87">
        <v>70000</v>
      </c>
    </row>
    <row r="52" customHeight="1" spans="1:22">
      <c r="A52" s="87">
        <v>2149</v>
      </c>
      <c r="B52" s="87">
        <v>1137</v>
      </c>
      <c r="C52" s="87">
        <v>260</v>
      </c>
      <c r="D52" s="87">
        <v>1429</v>
      </c>
      <c r="E52" s="87">
        <v>120</v>
      </c>
      <c r="F52" s="87">
        <v>1430</v>
      </c>
      <c r="G52" s="87">
        <v>120</v>
      </c>
      <c r="H52" s="87">
        <v>2500</v>
      </c>
      <c r="I52" s="87">
        <v>1431</v>
      </c>
      <c r="J52" s="87">
        <v>130</v>
      </c>
      <c r="K52" s="87">
        <v>1431</v>
      </c>
      <c r="L52" s="87">
        <v>10</v>
      </c>
      <c r="M52" s="87">
        <v>4000</v>
      </c>
      <c r="N52" s="87">
        <v>1431</v>
      </c>
      <c r="O52" s="87">
        <v>12</v>
      </c>
      <c r="P52" s="87">
        <v>3000</v>
      </c>
      <c r="Q52" s="87">
        <v>1431</v>
      </c>
      <c r="R52" s="87">
        <v>14</v>
      </c>
      <c r="S52" s="87">
        <v>3000</v>
      </c>
      <c r="T52" s="87">
        <v>0.25</v>
      </c>
      <c r="U52" s="87">
        <v>0</v>
      </c>
      <c r="V52" s="87">
        <v>80000</v>
      </c>
    </row>
    <row r="53" customHeight="1" spans="1:22">
      <c r="A53" s="87">
        <v>2150</v>
      </c>
      <c r="B53" s="87">
        <v>1137</v>
      </c>
      <c r="C53" s="87">
        <v>300</v>
      </c>
      <c r="D53" s="87">
        <v>1429</v>
      </c>
      <c r="E53" s="87">
        <v>120</v>
      </c>
      <c r="F53" s="87">
        <v>1430</v>
      </c>
      <c r="G53" s="87">
        <v>120</v>
      </c>
      <c r="H53" s="87">
        <v>2000</v>
      </c>
      <c r="I53" s="87">
        <v>1431</v>
      </c>
      <c r="J53" s="87">
        <v>170</v>
      </c>
      <c r="K53" s="87">
        <v>1431</v>
      </c>
      <c r="L53" s="87">
        <v>10</v>
      </c>
      <c r="M53" s="87">
        <v>4000</v>
      </c>
      <c r="N53" s="87">
        <v>1431</v>
      </c>
      <c r="O53" s="87">
        <v>12</v>
      </c>
      <c r="P53" s="87">
        <v>3000</v>
      </c>
      <c r="Q53" s="87">
        <v>1431</v>
      </c>
      <c r="R53" s="87">
        <v>14</v>
      </c>
      <c r="S53" s="87">
        <v>3000</v>
      </c>
      <c r="T53" s="87">
        <v>0.25</v>
      </c>
      <c r="U53" s="87">
        <v>0</v>
      </c>
      <c r="V53" s="87">
        <v>90000</v>
      </c>
    </row>
    <row r="54" customHeight="1" spans="1:22">
      <c r="A54" s="87">
        <v>2151</v>
      </c>
      <c r="B54" s="87">
        <v>1137</v>
      </c>
      <c r="C54" s="87">
        <v>300</v>
      </c>
      <c r="D54" s="87">
        <v>1429</v>
      </c>
      <c r="E54" s="87">
        <v>120</v>
      </c>
      <c r="F54" s="87">
        <v>1430</v>
      </c>
      <c r="G54" s="87">
        <v>120</v>
      </c>
      <c r="H54" s="87">
        <v>2000</v>
      </c>
      <c r="I54" s="87">
        <v>1431</v>
      </c>
      <c r="J54" s="87">
        <v>170</v>
      </c>
      <c r="K54" s="87">
        <v>1431</v>
      </c>
      <c r="L54" s="87">
        <v>10</v>
      </c>
      <c r="M54" s="87">
        <v>4000</v>
      </c>
      <c r="N54" s="87">
        <v>1431</v>
      </c>
      <c r="O54" s="87">
        <v>12</v>
      </c>
      <c r="P54" s="87">
        <v>3000</v>
      </c>
      <c r="Q54" s="87">
        <v>1431</v>
      </c>
      <c r="R54" s="87">
        <v>14</v>
      </c>
      <c r="S54" s="87">
        <v>3000</v>
      </c>
      <c r="T54" s="87">
        <v>0.25</v>
      </c>
      <c r="U54" s="87">
        <v>0</v>
      </c>
      <c r="V54" s="87">
        <v>100000</v>
      </c>
    </row>
  </sheetData>
  <conditionalFormatting sqref="A54:J54">
    <cfRule type="cellIs" dxfId="1" priority="11" operator="equal">
      <formula>"-"</formula>
    </cfRule>
    <cfRule type="cellIs" dxfId="2" priority="12" operator="equal">
      <formula>0</formula>
    </cfRule>
  </conditionalFormatting>
  <conditionalFormatting sqref="K54">
    <cfRule type="cellIs" dxfId="1" priority="7" operator="equal">
      <formula>"-"</formula>
    </cfRule>
    <cfRule type="cellIs" dxfId="2" priority="8" operator="equal">
      <formula>0</formula>
    </cfRule>
  </conditionalFormatting>
  <conditionalFormatting sqref="N54">
    <cfRule type="cellIs" dxfId="1" priority="5" operator="equal">
      <formula>"-"</formula>
    </cfRule>
    <cfRule type="cellIs" dxfId="2" priority="6" operator="equal">
      <formula>0</formula>
    </cfRule>
  </conditionalFormatting>
  <conditionalFormatting sqref="Q54">
    <cfRule type="cellIs" dxfId="1" priority="3" operator="equal">
      <formula>"-"</formula>
    </cfRule>
    <cfRule type="cellIs" dxfId="2" priority="4" operator="equal">
      <formula>0</formula>
    </cfRule>
  </conditionalFormatting>
  <conditionalFormatting sqref="K4:K53">
    <cfRule type="cellIs" dxfId="1" priority="21" operator="equal">
      <formula>"-"</formula>
    </cfRule>
    <cfRule type="cellIs" dxfId="2" priority="22" operator="equal">
      <formula>0</formula>
    </cfRule>
  </conditionalFormatting>
  <conditionalFormatting sqref="K4:K7">
    <cfRule type="cellIs" dxfId="1" priority="15" operator="equal">
      <formula>"-"</formula>
    </cfRule>
    <cfRule type="cellIs" dxfId="2" priority="16" operator="equal">
      <formula>0</formula>
    </cfRule>
  </conditionalFormatting>
  <conditionalFormatting sqref="N4:N53">
    <cfRule type="cellIs" dxfId="1" priority="19" operator="equal">
      <formula>"-"</formula>
    </cfRule>
    <cfRule type="cellIs" dxfId="2" priority="20" operator="equal">
      <formula>0</formula>
    </cfRule>
  </conditionalFormatting>
  <conditionalFormatting sqref="N4:N7">
    <cfRule type="cellIs" dxfId="1" priority="17" operator="equal">
      <formula>"-"</formula>
    </cfRule>
    <cfRule type="cellIs" dxfId="2" priority="18" operator="equal">
      <formula>0</formula>
    </cfRule>
  </conditionalFormatting>
  <conditionalFormatting sqref="Q4:Q53">
    <cfRule type="cellIs" dxfId="1" priority="13" operator="equal">
      <formula>"-"</formula>
    </cfRule>
    <cfRule type="cellIs" dxfId="2" priority="14" operator="equal">
      <formula>0</formula>
    </cfRule>
  </conditionalFormatting>
  <conditionalFormatting sqref="V1:V54">
    <cfRule type="cellIs" dxfId="1" priority="1" operator="equal">
      <formula>"-"</formula>
    </cfRule>
    <cfRule type="cellIs" dxfId="2" priority="2" operator="equal">
      <formula>0</formula>
    </cfRule>
  </conditionalFormatting>
  <conditionalFormatting sqref="A1:J53">
    <cfRule type="cellIs" dxfId="1" priority="25" operator="equal">
      <formula>"-"</formula>
    </cfRule>
    <cfRule type="cellIs" dxfId="2" priority="26" operator="equal">
      <formula>0</formula>
    </cfRule>
  </conditionalFormatting>
  <conditionalFormatting sqref="K1:T3 R4:T53 O4:P53 L4:M53 U1:U53">
    <cfRule type="cellIs" dxfId="1" priority="23" operator="equal">
      <formula>"-"</formula>
    </cfRule>
    <cfRule type="cellIs" dxfId="2" priority="24" operator="equal">
      <formula>0</formula>
    </cfRule>
  </conditionalFormatting>
  <conditionalFormatting sqref="O54:P54 L54:M54 R54:U54">
    <cfRule type="cellIs" dxfId="1" priority="9" operator="equal">
      <formula>"-"</formula>
    </cfRule>
    <cfRule type="cellIs" dxfId="2" priority="10" operator="equal">
      <formula>0</formula>
    </cfRule>
  </conditionalFormatting>
  <pageMargins left="0.699305555555556" right="0.699305555555556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U85"/>
  <sheetViews>
    <sheetView showGridLines="0" workbookViewId="0">
      <pane ySplit="3" topLeftCell="A60" activePane="bottomLeft" state="frozen"/>
      <selection/>
      <selection pane="bottomLeft" activeCell="B85" sqref="B85"/>
    </sheetView>
  </sheetViews>
  <sheetFormatPr defaultColWidth="6.59868421052632" defaultRowHeight="16.5" customHeight="1"/>
  <cols>
    <col min="1" max="1" width="9.5" style="81" customWidth="1"/>
    <col min="2" max="2" width="20.7960526315789" style="81" customWidth="1"/>
    <col min="3" max="3" width="11.0986842105263" style="81" customWidth="1"/>
    <col min="4" max="4" width="14" style="81" customWidth="1"/>
    <col min="5" max="5" width="15.0986842105263" style="81" customWidth="1"/>
    <col min="6" max="6" width="18.0986842105263" style="81" customWidth="1"/>
    <col min="7" max="7" width="11.5" style="81" customWidth="1"/>
    <col min="8" max="8" width="13.0986842105263" style="81" customWidth="1"/>
    <col min="9" max="9" width="10.9013157894737" style="81" customWidth="1"/>
    <col min="10" max="10" width="13.4013157894737" style="81" customWidth="1"/>
    <col min="11" max="11" width="16.4013157894737" style="81" customWidth="1"/>
    <col min="12" max="13" width="19" style="81" customWidth="1"/>
    <col min="14" max="255" width="6.59868421052632" style="81" customWidth="1"/>
  </cols>
  <sheetData>
    <row r="1" ht="21" customHeight="1" spans="1:13">
      <c r="A1" s="25" t="s">
        <v>25</v>
      </c>
      <c r="B1" s="25" t="s">
        <v>903</v>
      </c>
      <c r="C1" s="25" t="s">
        <v>375</v>
      </c>
      <c r="D1" s="25" t="s">
        <v>904</v>
      </c>
      <c r="E1" s="25" t="s">
        <v>905</v>
      </c>
      <c r="F1" s="25" t="s">
        <v>906</v>
      </c>
      <c r="G1" s="25" t="s">
        <v>907</v>
      </c>
      <c r="H1" s="25" t="s">
        <v>908</v>
      </c>
      <c r="I1" s="25" t="s">
        <v>909</v>
      </c>
      <c r="J1" s="25" t="s">
        <v>910</v>
      </c>
      <c r="K1" s="25" t="s">
        <v>911</v>
      </c>
      <c r="L1" s="25" t="s">
        <v>912</v>
      </c>
      <c r="M1" s="25" t="s">
        <v>913</v>
      </c>
    </row>
    <row r="2" ht="21" customHeight="1" spans="1:13">
      <c r="A2" s="25" t="s">
        <v>40</v>
      </c>
      <c r="B2" s="25" t="s">
        <v>41</v>
      </c>
      <c r="C2" s="25" t="s">
        <v>40</v>
      </c>
      <c r="D2" s="25" t="s">
        <v>40</v>
      </c>
      <c r="E2" s="25" t="s">
        <v>40</v>
      </c>
      <c r="F2" s="25" t="s">
        <v>42</v>
      </c>
      <c r="G2" s="25" t="s">
        <v>42</v>
      </c>
      <c r="H2" s="25" t="s">
        <v>40</v>
      </c>
      <c r="I2" s="25" t="s">
        <v>40</v>
      </c>
      <c r="J2" s="25" t="s">
        <v>41</v>
      </c>
      <c r="K2" s="25" t="s">
        <v>41</v>
      </c>
      <c r="L2" s="25" t="s">
        <v>41</v>
      </c>
      <c r="M2" s="25" t="s">
        <v>42</v>
      </c>
    </row>
    <row r="3" ht="21" customHeight="1" spans="1:13">
      <c r="A3" s="25" t="s">
        <v>914</v>
      </c>
      <c r="B3" s="25" t="s">
        <v>915</v>
      </c>
      <c r="C3" s="25" t="s">
        <v>916</v>
      </c>
      <c r="D3" s="25" t="s">
        <v>381</v>
      </c>
      <c r="E3" s="25" t="s">
        <v>917</v>
      </c>
      <c r="F3" s="27" t="s">
        <v>918</v>
      </c>
      <c r="G3" s="25" t="s">
        <v>919</v>
      </c>
      <c r="H3" s="25" t="s">
        <v>920</v>
      </c>
      <c r="I3" s="25" t="s">
        <v>921</v>
      </c>
      <c r="J3" s="25" t="s">
        <v>922</v>
      </c>
      <c r="K3" s="25" t="s">
        <v>923</v>
      </c>
      <c r="L3" s="25" t="s">
        <v>924</v>
      </c>
      <c r="M3" s="25" t="s">
        <v>925</v>
      </c>
    </row>
    <row r="4" ht="21" customHeight="1" spans="1:13">
      <c r="A4" s="25">
        <v>0</v>
      </c>
      <c r="B4" s="25" t="s">
        <v>926</v>
      </c>
      <c r="C4" s="25">
        <v>2101</v>
      </c>
      <c r="D4" s="82">
        <v>10</v>
      </c>
      <c r="E4" s="82">
        <v>1</v>
      </c>
      <c r="F4" s="83">
        <v>0</v>
      </c>
      <c r="G4" s="25">
        <v>0.5</v>
      </c>
      <c r="H4" s="25">
        <v>600</v>
      </c>
      <c r="I4" s="25">
        <v>100</v>
      </c>
      <c r="J4" s="30">
        <v>0</v>
      </c>
      <c r="K4" s="25" t="s">
        <v>927</v>
      </c>
      <c r="L4" s="25">
        <v>0</v>
      </c>
      <c r="M4" s="25">
        <v>1</v>
      </c>
    </row>
    <row r="5" ht="21" customHeight="1" spans="1:13">
      <c r="A5" s="25">
        <v>1</v>
      </c>
      <c r="B5" s="25" t="s">
        <v>928</v>
      </c>
      <c r="C5" s="25">
        <v>2102</v>
      </c>
      <c r="D5" s="82">
        <v>15</v>
      </c>
      <c r="E5" s="82">
        <v>1</v>
      </c>
      <c r="F5" s="83">
        <v>0</v>
      </c>
      <c r="G5" s="25">
        <v>0.5</v>
      </c>
      <c r="H5" s="25">
        <v>600</v>
      </c>
      <c r="I5" s="25">
        <v>100</v>
      </c>
      <c r="J5" s="25">
        <v>0</v>
      </c>
      <c r="K5" s="25" t="s">
        <v>927</v>
      </c>
      <c r="L5" s="25">
        <v>0</v>
      </c>
      <c r="M5" s="25">
        <v>1</v>
      </c>
    </row>
    <row r="6" ht="21" customHeight="1" spans="1:13">
      <c r="A6" s="25">
        <v>2</v>
      </c>
      <c r="B6" s="25" t="s">
        <v>929</v>
      </c>
      <c r="C6" s="25">
        <v>2103</v>
      </c>
      <c r="D6" s="82">
        <v>20</v>
      </c>
      <c r="E6" s="82">
        <v>1</v>
      </c>
      <c r="F6" s="83">
        <v>0</v>
      </c>
      <c r="G6" s="25">
        <v>0.5</v>
      </c>
      <c r="H6" s="25">
        <v>600</v>
      </c>
      <c r="I6" s="25">
        <v>100</v>
      </c>
      <c r="J6" s="25">
        <v>0</v>
      </c>
      <c r="K6" s="25" t="s">
        <v>927</v>
      </c>
      <c r="L6" s="25">
        <v>0</v>
      </c>
      <c r="M6" s="25">
        <v>1</v>
      </c>
    </row>
    <row r="7" ht="21" customHeight="1" spans="1:13">
      <c r="A7" s="25">
        <v>3</v>
      </c>
      <c r="B7" s="25" t="s">
        <v>930</v>
      </c>
      <c r="C7" s="25">
        <v>2104</v>
      </c>
      <c r="D7" s="82">
        <v>25</v>
      </c>
      <c r="E7" s="82">
        <v>1</v>
      </c>
      <c r="F7" s="83">
        <v>0</v>
      </c>
      <c r="G7" s="25">
        <v>0.5</v>
      </c>
      <c r="H7" s="25">
        <v>600</v>
      </c>
      <c r="I7" s="25">
        <v>100</v>
      </c>
      <c r="J7" s="25">
        <v>0</v>
      </c>
      <c r="K7" s="25" t="s">
        <v>927</v>
      </c>
      <c r="L7" s="25">
        <v>0</v>
      </c>
      <c r="M7" s="25">
        <v>1</v>
      </c>
    </row>
    <row r="8" ht="21" customHeight="1" spans="1:13">
      <c r="A8" s="25">
        <v>4</v>
      </c>
      <c r="B8" s="25" t="s">
        <v>931</v>
      </c>
      <c r="C8" s="25">
        <v>2105</v>
      </c>
      <c r="D8" s="82">
        <v>30</v>
      </c>
      <c r="E8" s="82">
        <v>1</v>
      </c>
      <c r="F8" s="83">
        <v>0</v>
      </c>
      <c r="G8" s="25">
        <v>0.5</v>
      </c>
      <c r="H8" s="25">
        <v>600</v>
      </c>
      <c r="I8" s="25">
        <v>100</v>
      </c>
      <c r="J8" s="25">
        <v>0</v>
      </c>
      <c r="K8" s="25" t="s">
        <v>927</v>
      </c>
      <c r="L8" s="25">
        <v>0</v>
      </c>
      <c r="M8" s="25">
        <v>1</v>
      </c>
    </row>
    <row r="9" ht="21" customHeight="1" spans="1:13">
      <c r="A9" s="25">
        <v>5</v>
      </c>
      <c r="B9" s="25" t="s">
        <v>932</v>
      </c>
      <c r="C9" s="25">
        <v>2106</v>
      </c>
      <c r="D9" s="82">
        <v>40</v>
      </c>
      <c r="E9" s="82">
        <v>1</v>
      </c>
      <c r="F9" s="83">
        <v>0</v>
      </c>
      <c r="G9" s="25">
        <v>0.5</v>
      </c>
      <c r="H9" s="25">
        <v>600</v>
      </c>
      <c r="I9" s="25">
        <v>100</v>
      </c>
      <c r="J9" s="30">
        <v>0</v>
      </c>
      <c r="K9" s="25" t="s">
        <v>927</v>
      </c>
      <c r="L9" s="25">
        <v>0</v>
      </c>
      <c r="M9" s="25">
        <v>1</v>
      </c>
    </row>
    <row r="10" ht="21" customHeight="1" spans="1:13">
      <c r="A10" s="25">
        <v>6</v>
      </c>
      <c r="B10" s="25" t="s">
        <v>933</v>
      </c>
      <c r="C10" s="25">
        <v>2107</v>
      </c>
      <c r="D10" s="82">
        <v>50</v>
      </c>
      <c r="E10" s="82">
        <v>1</v>
      </c>
      <c r="F10" s="83">
        <v>0</v>
      </c>
      <c r="G10" s="25">
        <v>0.5</v>
      </c>
      <c r="H10" s="25">
        <v>600</v>
      </c>
      <c r="I10" s="25">
        <v>100</v>
      </c>
      <c r="J10" s="30">
        <v>0</v>
      </c>
      <c r="K10" s="25" t="s">
        <v>927</v>
      </c>
      <c r="L10" s="25">
        <v>0</v>
      </c>
      <c r="M10" s="25">
        <v>1</v>
      </c>
    </row>
    <row r="11" ht="21" customHeight="1" spans="1:13">
      <c r="A11" s="25">
        <v>7</v>
      </c>
      <c r="B11" s="25" t="s">
        <v>934</v>
      </c>
      <c r="C11" s="25">
        <v>2108</v>
      </c>
      <c r="D11" s="82">
        <v>60</v>
      </c>
      <c r="E11" s="82">
        <v>1</v>
      </c>
      <c r="F11" s="83">
        <v>0</v>
      </c>
      <c r="G11" s="25">
        <v>0.5</v>
      </c>
      <c r="H11" s="25">
        <v>600</v>
      </c>
      <c r="I11" s="25">
        <v>100</v>
      </c>
      <c r="J11" s="25">
        <v>0</v>
      </c>
      <c r="K11" s="25" t="s">
        <v>927</v>
      </c>
      <c r="L11" s="25">
        <v>0</v>
      </c>
      <c r="M11" s="25">
        <v>1</v>
      </c>
    </row>
    <row r="12" ht="21" customHeight="1" spans="1:13">
      <c r="A12" s="25">
        <v>8</v>
      </c>
      <c r="B12" s="25" t="s">
        <v>935</v>
      </c>
      <c r="C12" s="25">
        <v>2109</v>
      </c>
      <c r="D12" s="82">
        <v>70</v>
      </c>
      <c r="E12" s="82">
        <v>1</v>
      </c>
      <c r="F12" s="83">
        <v>0</v>
      </c>
      <c r="G12" s="25">
        <v>0.5</v>
      </c>
      <c r="H12" s="25">
        <v>600</v>
      </c>
      <c r="I12" s="25">
        <v>100</v>
      </c>
      <c r="J12" s="25">
        <v>0</v>
      </c>
      <c r="K12" s="25" t="s">
        <v>927</v>
      </c>
      <c r="L12" s="25">
        <v>0</v>
      </c>
      <c r="M12" s="25">
        <v>1</v>
      </c>
    </row>
    <row r="13" ht="21" customHeight="1" spans="1:13">
      <c r="A13" s="25">
        <v>9</v>
      </c>
      <c r="B13" s="25" t="s">
        <v>936</v>
      </c>
      <c r="C13" s="25">
        <v>2110</v>
      </c>
      <c r="D13" s="82">
        <v>80</v>
      </c>
      <c r="E13" s="82">
        <v>1</v>
      </c>
      <c r="F13" s="83">
        <v>0</v>
      </c>
      <c r="G13" s="25">
        <v>0.5</v>
      </c>
      <c r="H13" s="25">
        <v>600</v>
      </c>
      <c r="I13" s="25">
        <v>100</v>
      </c>
      <c r="J13" s="25">
        <v>0</v>
      </c>
      <c r="K13" s="25" t="s">
        <v>927</v>
      </c>
      <c r="L13" s="25">
        <v>0</v>
      </c>
      <c r="M13" s="25">
        <v>1</v>
      </c>
    </row>
    <row r="14" ht="21" customHeight="1" spans="1:13">
      <c r="A14" s="25">
        <v>10</v>
      </c>
      <c r="B14" s="25" t="s">
        <v>937</v>
      </c>
      <c r="C14" s="25">
        <v>2111</v>
      </c>
      <c r="D14" s="82">
        <v>90</v>
      </c>
      <c r="E14" s="82">
        <v>1</v>
      </c>
      <c r="F14" s="83">
        <v>0</v>
      </c>
      <c r="G14" s="25">
        <v>0.5</v>
      </c>
      <c r="H14" s="25">
        <v>600</v>
      </c>
      <c r="I14" s="25">
        <v>100</v>
      </c>
      <c r="J14" s="30">
        <v>0</v>
      </c>
      <c r="K14" s="25" t="s">
        <v>927</v>
      </c>
      <c r="L14" s="25">
        <v>0</v>
      </c>
      <c r="M14" s="25">
        <v>1</v>
      </c>
    </row>
    <row r="15" ht="21" customHeight="1" spans="1:13">
      <c r="A15" s="25">
        <v>11</v>
      </c>
      <c r="B15" s="25" t="s">
        <v>938</v>
      </c>
      <c r="C15" s="25">
        <v>2112</v>
      </c>
      <c r="D15" s="82">
        <v>100</v>
      </c>
      <c r="E15" s="82">
        <v>1</v>
      </c>
      <c r="F15" s="83">
        <v>0</v>
      </c>
      <c r="G15" s="25">
        <v>0.5</v>
      </c>
      <c r="H15" s="25">
        <v>600</v>
      </c>
      <c r="I15" s="25">
        <v>100</v>
      </c>
      <c r="J15" s="25">
        <v>0</v>
      </c>
      <c r="K15" s="25" t="s">
        <v>927</v>
      </c>
      <c r="L15" s="25">
        <v>0</v>
      </c>
      <c r="M15" s="25">
        <v>1</v>
      </c>
    </row>
    <row r="16" ht="21" customHeight="1" spans="1:13">
      <c r="A16" s="25">
        <v>12</v>
      </c>
      <c r="B16" s="25" t="s">
        <v>939</v>
      </c>
      <c r="C16" s="25">
        <v>2113</v>
      </c>
      <c r="D16" s="82">
        <v>150</v>
      </c>
      <c r="E16" s="82">
        <v>1</v>
      </c>
      <c r="F16" s="83">
        <v>0</v>
      </c>
      <c r="G16" s="25">
        <v>0.5</v>
      </c>
      <c r="H16" s="25">
        <v>600</v>
      </c>
      <c r="I16" s="25">
        <v>100</v>
      </c>
      <c r="J16" s="30">
        <v>0</v>
      </c>
      <c r="K16" s="25" t="s">
        <v>927</v>
      </c>
      <c r="L16" s="25">
        <v>0</v>
      </c>
      <c r="M16" s="25">
        <v>1</v>
      </c>
    </row>
    <row r="17" ht="21" customHeight="1" spans="1:13">
      <c r="A17" s="25">
        <v>13</v>
      </c>
      <c r="B17" s="25" t="s">
        <v>940</v>
      </c>
      <c r="C17" s="25">
        <v>2114</v>
      </c>
      <c r="D17" s="82">
        <v>200</v>
      </c>
      <c r="E17" s="82">
        <v>1</v>
      </c>
      <c r="F17" s="83">
        <v>0</v>
      </c>
      <c r="G17" s="25">
        <v>0.5</v>
      </c>
      <c r="H17" s="25">
        <v>600</v>
      </c>
      <c r="I17" s="25">
        <v>100</v>
      </c>
      <c r="J17" s="25">
        <v>0</v>
      </c>
      <c r="K17" s="25" t="s">
        <v>927</v>
      </c>
      <c r="L17" s="25">
        <v>0</v>
      </c>
      <c r="M17" s="25">
        <v>1</v>
      </c>
    </row>
    <row r="18" ht="21" customHeight="1" spans="1:13">
      <c r="A18" s="25">
        <v>14</v>
      </c>
      <c r="B18" s="25" t="s">
        <v>941</v>
      </c>
      <c r="C18" s="25">
        <v>2115</v>
      </c>
      <c r="D18" s="82">
        <v>250</v>
      </c>
      <c r="E18" s="82">
        <v>1</v>
      </c>
      <c r="F18" s="83">
        <v>0</v>
      </c>
      <c r="G18" s="25">
        <v>0.5</v>
      </c>
      <c r="H18" s="25">
        <v>600</v>
      </c>
      <c r="I18" s="25">
        <v>105</v>
      </c>
      <c r="J18" s="25">
        <v>0</v>
      </c>
      <c r="K18" s="25" t="s">
        <v>927</v>
      </c>
      <c r="L18" s="25">
        <v>0</v>
      </c>
      <c r="M18" s="25">
        <v>1</v>
      </c>
    </row>
    <row r="19" ht="21" customHeight="1" spans="1:13">
      <c r="A19" s="25">
        <v>15</v>
      </c>
      <c r="B19" s="25" t="s">
        <v>942</v>
      </c>
      <c r="C19" s="25">
        <v>2116</v>
      </c>
      <c r="D19" s="82">
        <v>300</v>
      </c>
      <c r="E19" s="82">
        <v>1</v>
      </c>
      <c r="F19" s="83">
        <v>0</v>
      </c>
      <c r="G19" s="25">
        <v>0.5</v>
      </c>
      <c r="H19" s="25">
        <v>600</v>
      </c>
      <c r="I19" s="25">
        <v>105</v>
      </c>
      <c r="J19" s="25">
        <v>0</v>
      </c>
      <c r="K19" s="25" t="s">
        <v>927</v>
      </c>
      <c r="L19" s="25">
        <v>0</v>
      </c>
      <c r="M19" s="25">
        <v>1</v>
      </c>
    </row>
    <row r="20" ht="21" customHeight="1" spans="1:13">
      <c r="A20" s="25">
        <v>16</v>
      </c>
      <c r="B20" s="25" t="s">
        <v>943</v>
      </c>
      <c r="C20" s="25">
        <v>2117</v>
      </c>
      <c r="D20" s="82">
        <v>350</v>
      </c>
      <c r="E20" s="82">
        <v>1</v>
      </c>
      <c r="F20" s="83">
        <v>0</v>
      </c>
      <c r="G20" s="25">
        <v>0.5</v>
      </c>
      <c r="H20" s="25">
        <v>600</v>
      </c>
      <c r="I20" s="25">
        <v>105</v>
      </c>
      <c r="J20" s="30">
        <v>0</v>
      </c>
      <c r="K20" s="25" t="s">
        <v>927</v>
      </c>
      <c r="L20" s="25">
        <v>0</v>
      </c>
      <c r="M20" s="25">
        <v>1</v>
      </c>
    </row>
    <row r="21" ht="21" customHeight="1" spans="1:13">
      <c r="A21" s="25">
        <v>17</v>
      </c>
      <c r="B21" s="25" t="s">
        <v>944</v>
      </c>
      <c r="C21" s="25">
        <v>2118</v>
      </c>
      <c r="D21" s="82">
        <v>400</v>
      </c>
      <c r="E21" s="82">
        <v>1</v>
      </c>
      <c r="F21" s="83">
        <v>0</v>
      </c>
      <c r="G21" s="25">
        <v>0.5</v>
      </c>
      <c r="H21" s="25">
        <v>600</v>
      </c>
      <c r="I21" s="25">
        <v>105</v>
      </c>
      <c r="J21" s="25">
        <v>0</v>
      </c>
      <c r="K21" s="25" t="s">
        <v>927</v>
      </c>
      <c r="L21" s="25">
        <v>0</v>
      </c>
      <c r="M21" s="25">
        <v>1</v>
      </c>
    </row>
    <row r="22" ht="21" customHeight="1" spans="1:13">
      <c r="A22" s="25">
        <v>18</v>
      </c>
      <c r="B22" s="25" t="s">
        <v>945</v>
      </c>
      <c r="C22" s="25">
        <v>2119</v>
      </c>
      <c r="D22" s="82">
        <v>450</v>
      </c>
      <c r="E22" s="82">
        <v>1</v>
      </c>
      <c r="F22" s="83">
        <v>0</v>
      </c>
      <c r="G22" s="25">
        <v>0.5</v>
      </c>
      <c r="H22" s="25">
        <v>600</v>
      </c>
      <c r="I22" s="25">
        <v>105</v>
      </c>
      <c r="J22" s="30">
        <v>0</v>
      </c>
      <c r="K22" s="25" t="s">
        <v>927</v>
      </c>
      <c r="L22" s="25">
        <v>0</v>
      </c>
      <c r="M22" s="25">
        <v>1</v>
      </c>
    </row>
    <row r="23" ht="21" customHeight="1" spans="1:13">
      <c r="A23" s="25">
        <v>19</v>
      </c>
      <c r="B23" s="25" t="s">
        <v>946</v>
      </c>
      <c r="C23" s="25">
        <v>2120</v>
      </c>
      <c r="D23" s="82">
        <v>500</v>
      </c>
      <c r="E23" s="82">
        <v>1</v>
      </c>
      <c r="F23" s="83">
        <v>0</v>
      </c>
      <c r="G23" s="25">
        <v>0.5</v>
      </c>
      <c r="H23" s="25">
        <v>600</v>
      </c>
      <c r="I23" s="25">
        <v>105</v>
      </c>
      <c r="J23" s="25">
        <v>0</v>
      </c>
      <c r="K23" s="25" t="s">
        <v>927</v>
      </c>
      <c r="L23" s="25">
        <v>0</v>
      </c>
      <c r="M23" s="25">
        <v>1</v>
      </c>
    </row>
    <row r="24" ht="21" customHeight="1" spans="1:13">
      <c r="A24" s="25">
        <v>20</v>
      </c>
      <c r="B24" s="25" t="s">
        <v>947</v>
      </c>
      <c r="C24" s="25">
        <v>2121</v>
      </c>
      <c r="D24" s="82">
        <v>600</v>
      </c>
      <c r="E24" s="82">
        <v>1</v>
      </c>
      <c r="F24" s="83">
        <v>0</v>
      </c>
      <c r="G24" s="25">
        <v>0.5</v>
      </c>
      <c r="H24" s="25">
        <v>600</v>
      </c>
      <c r="I24" s="25">
        <v>105</v>
      </c>
      <c r="J24" s="25">
        <v>0</v>
      </c>
      <c r="K24" s="25" t="s">
        <v>927</v>
      </c>
      <c r="L24" s="25">
        <v>0</v>
      </c>
      <c r="M24" s="25">
        <v>1</v>
      </c>
    </row>
    <row r="25" ht="21" customHeight="1" spans="1:13">
      <c r="A25" s="25">
        <v>21</v>
      </c>
      <c r="B25" s="25" t="s">
        <v>948</v>
      </c>
      <c r="C25" s="25">
        <v>2122</v>
      </c>
      <c r="D25" s="82">
        <v>700</v>
      </c>
      <c r="E25" s="82">
        <v>1</v>
      </c>
      <c r="F25" s="83">
        <v>0</v>
      </c>
      <c r="G25" s="25">
        <v>0.5</v>
      </c>
      <c r="H25" s="25">
        <v>600</v>
      </c>
      <c r="I25" s="25">
        <v>105</v>
      </c>
      <c r="J25" s="25">
        <v>0</v>
      </c>
      <c r="K25" s="25" t="s">
        <v>927</v>
      </c>
      <c r="L25" s="25">
        <v>0</v>
      </c>
      <c r="M25" s="25">
        <v>1</v>
      </c>
    </row>
    <row r="26" ht="21" customHeight="1" spans="1:13">
      <c r="A26" s="25">
        <v>22</v>
      </c>
      <c r="B26" s="25" t="s">
        <v>949</v>
      </c>
      <c r="C26" s="25">
        <v>2123</v>
      </c>
      <c r="D26" s="82">
        <v>800</v>
      </c>
      <c r="E26" s="82">
        <v>1</v>
      </c>
      <c r="F26" s="83">
        <v>0</v>
      </c>
      <c r="G26" s="25">
        <v>0.5</v>
      </c>
      <c r="H26" s="25">
        <v>600</v>
      </c>
      <c r="I26" s="25">
        <v>105</v>
      </c>
      <c r="J26" s="30">
        <v>0</v>
      </c>
      <c r="K26" s="25" t="s">
        <v>927</v>
      </c>
      <c r="L26" s="25">
        <v>0</v>
      </c>
      <c r="M26" s="25">
        <v>1</v>
      </c>
    </row>
    <row r="27" ht="21" customHeight="1" spans="1:13">
      <c r="A27" s="25">
        <v>23</v>
      </c>
      <c r="B27" s="25" t="s">
        <v>950</v>
      </c>
      <c r="C27" s="25">
        <v>2124</v>
      </c>
      <c r="D27" s="82">
        <v>900</v>
      </c>
      <c r="E27" s="82">
        <v>1</v>
      </c>
      <c r="F27" s="83">
        <v>0</v>
      </c>
      <c r="G27" s="25">
        <v>0.5</v>
      </c>
      <c r="H27" s="25">
        <v>600</v>
      </c>
      <c r="I27" s="25">
        <v>105</v>
      </c>
      <c r="J27" s="25">
        <v>0</v>
      </c>
      <c r="K27" s="25" t="s">
        <v>927</v>
      </c>
      <c r="L27" s="25">
        <v>0</v>
      </c>
      <c r="M27" s="25">
        <v>1</v>
      </c>
    </row>
    <row r="28" ht="21" customHeight="1" spans="1:13">
      <c r="A28" s="25">
        <v>24</v>
      </c>
      <c r="B28" s="25" t="s">
        <v>951</v>
      </c>
      <c r="C28" s="25">
        <v>2125</v>
      </c>
      <c r="D28" s="82">
        <v>1000</v>
      </c>
      <c r="E28" s="82">
        <v>1</v>
      </c>
      <c r="F28" s="83">
        <v>0</v>
      </c>
      <c r="G28" s="25">
        <v>0.5</v>
      </c>
      <c r="H28" s="25">
        <v>600</v>
      </c>
      <c r="I28" s="25">
        <v>110</v>
      </c>
      <c r="J28" s="30">
        <v>0</v>
      </c>
      <c r="K28" s="25" t="s">
        <v>927</v>
      </c>
      <c r="L28" s="25">
        <v>0</v>
      </c>
      <c r="M28" s="25">
        <v>1</v>
      </c>
    </row>
    <row r="29" ht="21" customHeight="1" spans="1:13">
      <c r="A29" s="25">
        <v>25</v>
      </c>
      <c r="B29" s="25" t="s">
        <v>952</v>
      </c>
      <c r="C29" s="25">
        <v>2126</v>
      </c>
      <c r="D29" s="82">
        <v>1500</v>
      </c>
      <c r="E29" s="82">
        <v>1</v>
      </c>
      <c r="F29" s="83">
        <v>0</v>
      </c>
      <c r="G29" s="25">
        <v>0.5</v>
      </c>
      <c r="H29" s="25">
        <v>600</v>
      </c>
      <c r="I29" s="25">
        <v>110</v>
      </c>
      <c r="J29" s="25">
        <v>0</v>
      </c>
      <c r="K29" s="25" t="s">
        <v>927</v>
      </c>
      <c r="L29" s="25">
        <v>0</v>
      </c>
      <c r="M29" s="25">
        <v>1</v>
      </c>
    </row>
    <row r="30" ht="21" customHeight="1" spans="1:13">
      <c r="A30" s="25">
        <v>26</v>
      </c>
      <c r="B30" s="25" t="s">
        <v>953</v>
      </c>
      <c r="C30" s="25">
        <v>2127</v>
      </c>
      <c r="D30" s="82">
        <v>2000</v>
      </c>
      <c r="E30" s="82">
        <v>1</v>
      </c>
      <c r="F30" s="83">
        <v>0</v>
      </c>
      <c r="G30" s="25">
        <v>0.5</v>
      </c>
      <c r="H30" s="25">
        <v>600</v>
      </c>
      <c r="I30" s="25">
        <v>110</v>
      </c>
      <c r="J30" s="25">
        <v>0</v>
      </c>
      <c r="K30" s="25" t="s">
        <v>927</v>
      </c>
      <c r="L30" s="25">
        <v>0</v>
      </c>
      <c r="M30" s="25">
        <v>1</v>
      </c>
    </row>
    <row r="31" ht="21" customHeight="1" spans="1:13">
      <c r="A31" s="25">
        <v>27</v>
      </c>
      <c r="B31" s="25" t="s">
        <v>954</v>
      </c>
      <c r="C31" s="25">
        <v>2128</v>
      </c>
      <c r="D31" s="82">
        <v>2500</v>
      </c>
      <c r="E31" s="82">
        <v>1</v>
      </c>
      <c r="F31" s="83">
        <v>0</v>
      </c>
      <c r="G31" s="25">
        <v>0.5</v>
      </c>
      <c r="H31" s="25">
        <v>600</v>
      </c>
      <c r="I31" s="25">
        <v>110</v>
      </c>
      <c r="J31" s="25">
        <v>0</v>
      </c>
      <c r="K31" s="25" t="s">
        <v>927</v>
      </c>
      <c r="L31" s="25">
        <v>0</v>
      </c>
      <c r="M31" s="25">
        <v>1</v>
      </c>
    </row>
    <row r="32" ht="21" customHeight="1" spans="1:13">
      <c r="A32" s="25">
        <v>28</v>
      </c>
      <c r="B32" s="25" t="s">
        <v>955</v>
      </c>
      <c r="C32" s="25">
        <v>2129</v>
      </c>
      <c r="D32" s="82">
        <v>3000</v>
      </c>
      <c r="E32" s="82">
        <v>1</v>
      </c>
      <c r="F32" s="83">
        <v>0</v>
      </c>
      <c r="G32" s="25">
        <v>0.5</v>
      </c>
      <c r="H32" s="25">
        <v>600</v>
      </c>
      <c r="I32" s="25">
        <v>110</v>
      </c>
      <c r="J32" s="30">
        <v>0</v>
      </c>
      <c r="K32" s="25" t="s">
        <v>927</v>
      </c>
      <c r="L32" s="25">
        <v>0</v>
      </c>
      <c r="M32" s="25">
        <v>1</v>
      </c>
    </row>
    <row r="33" ht="21" customHeight="1" spans="1:13">
      <c r="A33" s="25">
        <v>29</v>
      </c>
      <c r="B33" s="25" t="s">
        <v>956</v>
      </c>
      <c r="C33" s="25">
        <v>2130</v>
      </c>
      <c r="D33" s="82">
        <v>3500</v>
      </c>
      <c r="E33" s="82">
        <v>1</v>
      </c>
      <c r="F33" s="83">
        <v>0</v>
      </c>
      <c r="G33" s="25">
        <v>0.5</v>
      </c>
      <c r="H33" s="25">
        <v>600</v>
      </c>
      <c r="I33" s="25">
        <v>110</v>
      </c>
      <c r="J33" s="25">
        <v>0</v>
      </c>
      <c r="K33" s="25" t="s">
        <v>927</v>
      </c>
      <c r="L33" s="25">
        <v>0</v>
      </c>
      <c r="M33" s="25">
        <v>1</v>
      </c>
    </row>
    <row r="34" ht="21" customHeight="1" spans="1:13">
      <c r="A34" s="25">
        <v>30</v>
      </c>
      <c r="B34" s="25" t="s">
        <v>957</v>
      </c>
      <c r="C34" s="25">
        <v>2131</v>
      </c>
      <c r="D34" s="82">
        <v>4000</v>
      </c>
      <c r="E34" s="82">
        <v>1</v>
      </c>
      <c r="F34" s="83">
        <v>0</v>
      </c>
      <c r="G34" s="25">
        <v>0.5</v>
      </c>
      <c r="H34" s="25">
        <v>600</v>
      </c>
      <c r="I34" s="25">
        <v>110</v>
      </c>
      <c r="J34" s="30">
        <v>0</v>
      </c>
      <c r="K34" s="25" t="s">
        <v>927</v>
      </c>
      <c r="L34" s="25">
        <v>0</v>
      </c>
      <c r="M34" s="25">
        <v>1</v>
      </c>
    </row>
    <row r="35" ht="21" customHeight="1" spans="1:13">
      <c r="A35" s="25">
        <v>31</v>
      </c>
      <c r="B35" s="25" t="s">
        <v>958</v>
      </c>
      <c r="C35" s="25">
        <v>2132</v>
      </c>
      <c r="D35" s="82">
        <v>4500</v>
      </c>
      <c r="E35" s="82">
        <v>1</v>
      </c>
      <c r="F35" s="83">
        <v>0</v>
      </c>
      <c r="G35" s="25">
        <v>0.5</v>
      </c>
      <c r="H35" s="25">
        <v>600</v>
      </c>
      <c r="I35" s="25">
        <v>110</v>
      </c>
      <c r="J35" s="25">
        <v>0</v>
      </c>
      <c r="K35" s="25" t="s">
        <v>927</v>
      </c>
      <c r="L35" s="25">
        <v>0</v>
      </c>
      <c r="M35" s="25">
        <v>1</v>
      </c>
    </row>
    <row r="36" ht="21" customHeight="1" spans="1:13">
      <c r="A36" s="25">
        <v>32</v>
      </c>
      <c r="B36" s="25" t="s">
        <v>959</v>
      </c>
      <c r="C36" s="25">
        <v>2133</v>
      </c>
      <c r="D36" s="82">
        <v>5000</v>
      </c>
      <c r="E36" s="82">
        <v>1</v>
      </c>
      <c r="F36" s="83">
        <v>0</v>
      </c>
      <c r="G36" s="25">
        <v>0.5</v>
      </c>
      <c r="H36" s="25">
        <v>600</v>
      </c>
      <c r="I36" s="25">
        <v>110</v>
      </c>
      <c r="J36" s="25">
        <v>0</v>
      </c>
      <c r="K36" s="25" t="s">
        <v>927</v>
      </c>
      <c r="L36" s="25">
        <v>0</v>
      </c>
      <c r="M36" s="25">
        <v>1</v>
      </c>
    </row>
    <row r="37" ht="21" customHeight="1" spans="1:13">
      <c r="A37" s="25">
        <v>33</v>
      </c>
      <c r="B37" s="25" t="s">
        <v>960</v>
      </c>
      <c r="C37" s="25">
        <v>2134</v>
      </c>
      <c r="D37" s="82">
        <v>6000</v>
      </c>
      <c r="E37" s="82">
        <v>1</v>
      </c>
      <c r="F37" s="83">
        <v>0</v>
      </c>
      <c r="G37" s="25">
        <v>0.5</v>
      </c>
      <c r="H37" s="25">
        <v>600</v>
      </c>
      <c r="I37" s="25">
        <v>110</v>
      </c>
      <c r="J37" s="25">
        <v>0</v>
      </c>
      <c r="K37" s="25" t="s">
        <v>927</v>
      </c>
      <c r="L37" s="25">
        <v>0</v>
      </c>
      <c r="M37" s="25">
        <v>1</v>
      </c>
    </row>
    <row r="38" ht="21" customHeight="1" spans="1:13">
      <c r="A38" s="25">
        <v>34</v>
      </c>
      <c r="B38" s="25" t="s">
        <v>961</v>
      </c>
      <c r="C38" s="25">
        <v>2135</v>
      </c>
      <c r="D38" s="82">
        <v>7000</v>
      </c>
      <c r="E38" s="82">
        <v>1</v>
      </c>
      <c r="F38" s="83">
        <v>0</v>
      </c>
      <c r="G38" s="25">
        <v>0.5</v>
      </c>
      <c r="H38" s="25">
        <v>600</v>
      </c>
      <c r="I38" s="25">
        <v>115</v>
      </c>
      <c r="J38" s="30">
        <v>0</v>
      </c>
      <c r="K38" s="25" t="s">
        <v>927</v>
      </c>
      <c r="L38" s="25">
        <v>0</v>
      </c>
      <c r="M38" s="25">
        <v>1</v>
      </c>
    </row>
    <row r="39" ht="21" customHeight="1" spans="1:13">
      <c r="A39" s="25">
        <v>35</v>
      </c>
      <c r="B39" s="25" t="s">
        <v>962</v>
      </c>
      <c r="C39" s="25">
        <v>2136</v>
      </c>
      <c r="D39" s="82">
        <v>8000</v>
      </c>
      <c r="E39" s="82">
        <v>1</v>
      </c>
      <c r="F39" s="83">
        <v>0</v>
      </c>
      <c r="G39" s="25">
        <v>0.5</v>
      </c>
      <c r="H39" s="25">
        <v>600</v>
      </c>
      <c r="I39" s="25">
        <v>115</v>
      </c>
      <c r="J39" s="25">
        <v>0</v>
      </c>
      <c r="K39" s="25" t="s">
        <v>927</v>
      </c>
      <c r="L39" s="25">
        <v>0</v>
      </c>
      <c r="M39" s="25">
        <v>1</v>
      </c>
    </row>
    <row r="40" ht="21" customHeight="1" spans="1:13">
      <c r="A40" s="25">
        <v>36</v>
      </c>
      <c r="B40" s="25" t="s">
        <v>963</v>
      </c>
      <c r="C40" s="25">
        <v>2137</v>
      </c>
      <c r="D40" s="82">
        <v>9000</v>
      </c>
      <c r="E40" s="82">
        <v>1</v>
      </c>
      <c r="F40" s="83">
        <v>0</v>
      </c>
      <c r="G40" s="25">
        <v>0.5</v>
      </c>
      <c r="H40" s="25">
        <v>600</v>
      </c>
      <c r="I40" s="25">
        <v>115</v>
      </c>
      <c r="J40" s="25">
        <v>0</v>
      </c>
      <c r="K40" s="25" t="s">
        <v>927</v>
      </c>
      <c r="L40" s="25">
        <v>0</v>
      </c>
      <c r="M40" s="25">
        <v>1</v>
      </c>
    </row>
    <row r="41" ht="21" customHeight="1" spans="1:13">
      <c r="A41" s="25">
        <v>37</v>
      </c>
      <c r="B41" s="25" t="s">
        <v>964</v>
      </c>
      <c r="C41" s="25">
        <v>2138</v>
      </c>
      <c r="D41" s="82">
        <v>10000</v>
      </c>
      <c r="E41" s="82">
        <v>1</v>
      </c>
      <c r="F41" s="83">
        <v>0</v>
      </c>
      <c r="G41" s="25">
        <v>0.5</v>
      </c>
      <c r="H41" s="25">
        <v>600</v>
      </c>
      <c r="I41" s="25">
        <v>115</v>
      </c>
      <c r="J41" s="25">
        <v>0</v>
      </c>
      <c r="K41" s="25" t="s">
        <v>927</v>
      </c>
      <c r="L41" s="25">
        <v>0</v>
      </c>
      <c r="M41" s="25">
        <v>1</v>
      </c>
    </row>
    <row r="42" ht="21" customHeight="1" spans="1:13">
      <c r="A42" s="25">
        <v>38</v>
      </c>
      <c r="B42" s="25" t="s">
        <v>965</v>
      </c>
      <c r="C42" s="25">
        <v>2139</v>
      </c>
      <c r="D42" s="82">
        <v>15000</v>
      </c>
      <c r="E42" s="82">
        <v>1</v>
      </c>
      <c r="F42" s="83">
        <v>0</v>
      </c>
      <c r="G42" s="25">
        <v>0.5</v>
      </c>
      <c r="H42" s="25">
        <v>600</v>
      </c>
      <c r="I42" s="25">
        <v>115</v>
      </c>
      <c r="J42" s="25">
        <v>0</v>
      </c>
      <c r="K42" s="25" t="s">
        <v>927</v>
      </c>
      <c r="L42" s="25">
        <v>0</v>
      </c>
      <c r="M42" s="25">
        <v>1</v>
      </c>
    </row>
    <row r="43" ht="21" customHeight="1" spans="1:13">
      <c r="A43" s="25">
        <v>39</v>
      </c>
      <c r="B43" s="25" t="s">
        <v>966</v>
      </c>
      <c r="C43" s="25">
        <v>2140</v>
      </c>
      <c r="D43" s="82">
        <v>20000</v>
      </c>
      <c r="E43" s="82">
        <v>1</v>
      </c>
      <c r="F43" s="83">
        <v>0</v>
      </c>
      <c r="G43" s="25">
        <v>0.5</v>
      </c>
      <c r="H43" s="25">
        <v>600</v>
      </c>
      <c r="I43" s="25">
        <v>115</v>
      </c>
      <c r="J43" s="30">
        <v>0</v>
      </c>
      <c r="K43" s="25" t="s">
        <v>927</v>
      </c>
      <c r="L43" s="25">
        <v>0</v>
      </c>
      <c r="M43" s="25">
        <v>1</v>
      </c>
    </row>
    <row r="44" ht="21" customHeight="1" spans="1:13">
      <c r="A44" s="25">
        <v>40</v>
      </c>
      <c r="B44" s="25" t="s">
        <v>967</v>
      </c>
      <c r="C44" s="25">
        <v>2141</v>
      </c>
      <c r="D44" s="82">
        <v>25000</v>
      </c>
      <c r="E44" s="82">
        <v>1</v>
      </c>
      <c r="F44" s="83">
        <v>0</v>
      </c>
      <c r="G44" s="25">
        <v>0.5</v>
      </c>
      <c r="H44" s="25">
        <v>600</v>
      </c>
      <c r="I44" s="25">
        <v>115</v>
      </c>
      <c r="J44" s="25">
        <v>0</v>
      </c>
      <c r="K44" s="25" t="s">
        <v>927</v>
      </c>
      <c r="L44" s="25">
        <v>0</v>
      </c>
      <c r="M44" s="25">
        <v>1</v>
      </c>
    </row>
    <row r="45" ht="21" customHeight="1" spans="1:13">
      <c r="A45" s="25">
        <v>41</v>
      </c>
      <c r="B45" s="25" t="s">
        <v>968</v>
      </c>
      <c r="C45" s="25">
        <v>2142</v>
      </c>
      <c r="D45" s="82">
        <v>30000</v>
      </c>
      <c r="E45" s="82">
        <v>1</v>
      </c>
      <c r="F45" s="83">
        <v>0</v>
      </c>
      <c r="G45" s="25">
        <v>0.5</v>
      </c>
      <c r="H45" s="25">
        <v>600</v>
      </c>
      <c r="I45" s="25">
        <v>115</v>
      </c>
      <c r="J45" s="25">
        <v>0</v>
      </c>
      <c r="K45" s="25" t="s">
        <v>927</v>
      </c>
      <c r="L45" s="25">
        <v>0</v>
      </c>
      <c r="M45" s="25">
        <v>1</v>
      </c>
    </row>
    <row r="46" ht="21" customHeight="1" spans="1:13">
      <c r="A46" s="25">
        <v>42</v>
      </c>
      <c r="B46" s="25" t="s">
        <v>969</v>
      </c>
      <c r="C46" s="25">
        <v>2143</v>
      </c>
      <c r="D46" s="82">
        <v>35000</v>
      </c>
      <c r="E46" s="82">
        <v>1</v>
      </c>
      <c r="F46" s="83">
        <v>0</v>
      </c>
      <c r="G46" s="25">
        <v>0.5</v>
      </c>
      <c r="H46" s="25">
        <v>600</v>
      </c>
      <c r="I46" s="25">
        <v>115</v>
      </c>
      <c r="J46" s="25">
        <v>0</v>
      </c>
      <c r="K46" s="25" t="s">
        <v>927</v>
      </c>
      <c r="L46" s="25">
        <v>0</v>
      </c>
      <c r="M46" s="25">
        <v>1</v>
      </c>
    </row>
    <row r="47" ht="21" customHeight="1" spans="1:13">
      <c r="A47" s="25">
        <v>43</v>
      </c>
      <c r="B47" s="25" t="s">
        <v>970</v>
      </c>
      <c r="C47" s="25">
        <v>2144</v>
      </c>
      <c r="D47" s="82">
        <v>40000</v>
      </c>
      <c r="E47" s="82">
        <v>1</v>
      </c>
      <c r="F47" s="83">
        <v>0</v>
      </c>
      <c r="G47" s="25">
        <v>0.5</v>
      </c>
      <c r="H47" s="25">
        <v>600</v>
      </c>
      <c r="I47" s="25">
        <v>115</v>
      </c>
      <c r="J47" s="25">
        <v>0</v>
      </c>
      <c r="K47" s="25" t="s">
        <v>927</v>
      </c>
      <c r="L47" s="25">
        <v>0</v>
      </c>
      <c r="M47" s="25">
        <v>1</v>
      </c>
    </row>
    <row r="48" ht="21" customHeight="1" spans="1:13">
      <c r="A48" s="25">
        <v>44</v>
      </c>
      <c r="B48" s="25" t="s">
        <v>971</v>
      </c>
      <c r="C48" s="25">
        <v>2145</v>
      </c>
      <c r="D48" s="82">
        <v>45000</v>
      </c>
      <c r="E48" s="82">
        <v>1</v>
      </c>
      <c r="F48" s="83">
        <v>0</v>
      </c>
      <c r="G48" s="25">
        <v>0.5</v>
      </c>
      <c r="H48" s="25">
        <v>600</v>
      </c>
      <c r="I48" s="25">
        <v>120</v>
      </c>
      <c r="J48" s="30">
        <v>0</v>
      </c>
      <c r="K48" s="25" t="s">
        <v>927</v>
      </c>
      <c r="L48" s="25">
        <v>0</v>
      </c>
      <c r="M48" s="25">
        <v>1</v>
      </c>
    </row>
    <row r="49" ht="21" customHeight="1" spans="1:13">
      <c r="A49" s="25">
        <v>45</v>
      </c>
      <c r="B49" s="25" t="s">
        <v>972</v>
      </c>
      <c r="C49" s="25">
        <v>2146</v>
      </c>
      <c r="D49" s="82">
        <v>50000</v>
      </c>
      <c r="E49" s="82">
        <v>1</v>
      </c>
      <c r="F49" s="83">
        <v>0</v>
      </c>
      <c r="G49" s="25">
        <v>0.5</v>
      </c>
      <c r="H49" s="25">
        <v>600</v>
      </c>
      <c r="I49" s="25">
        <v>120</v>
      </c>
      <c r="J49" s="30">
        <v>0</v>
      </c>
      <c r="K49" s="25" t="s">
        <v>927</v>
      </c>
      <c r="L49" s="25">
        <v>0</v>
      </c>
      <c r="M49" s="25">
        <v>1</v>
      </c>
    </row>
    <row r="50" ht="21" customHeight="1" spans="1:13">
      <c r="A50" s="25">
        <v>46</v>
      </c>
      <c r="B50" s="25" t="s">
        <v>973</v>
      </c>
      <c r="C50" s="25">
        <v>2147</v>
      </c>
      <c r="D50" s="82">
        <v>60000</v>
      </c>
      <c r="E50" s="82">
        <v>1</v>
      </c>
      <c r="F50" s="83">
        <v>0</v>
      </c>
      <c r="G50" s="25">
        <v>0.5</v>
      </c>
      <c r="H50" s="25">
        <v>600</v>
      </c>
      <c r="I50" s="25">
        <v>120</v>
      </c>
      <c r="J50" s="25">
        <v>0</v>
      </c>
      <c r="K50" s="25" t="s">
        <v>927</v>
      </c>
      <c r="L50" s="25">
        <v>0</v>
      </c>
      <c r="M50" s="25">
        <v>1</v>
      </c>
    </row>
    <row r="51" ht="21" customHeight="1" spans="1:13">
      <c r="A51" s="25">
        <v>47</v>
      </c>
      <c r="B51" s="25" t="s">
        <v>974</v>
      </c>
      <c r="C51" s="25">
        <v>2148</v>
      </c>
      <c r="D51" s="82">
        <v>70000</v>
      </c>
      <c r="E51" s="82">
        <v>1</v>
      </c>
      <c r="F51" s="83">
        <v>0</v>
      </c>
      <c r="G51" s="25">
        <v>0.5</v>
      </c>
      <c r="H51" s="25">
        <v>600</v>
      </c>
      <c r="I51" s="25">
        <v>120</v>
      </c>
      <c r="J51" s="25">
        <v>0</v>
      </c>
      <c r="K51" s="25" t="s">
        <v>927</v>
      </c>
      <c r="L51" s="25">
        <v>0</v>
      </c>
      <c r="M51" s="25">
        <v>1</v>
      </c>
    </row>
    <row r="52" ht="21" customHeight="1" spans="1:13">
      <c r="A52" s="25">
        <v>48</v>
      </c>
      <c r="B52" s="25" t="s">
        <v>975</v>
      </c>
      <c r="C52" s="25">
        <v>2149</v>
      </c>
      <c r="D52" s="82">
        <v>80000</v>
      </c>
      <c r="E52" s="82">
        <v>1</v>
      </c>
      <c r="F52" s="83">
        <v>0</v>
      </c>
      <c r="G52" s="25">
        <v>0.5</v>
      </c>
      <c r="H52" s="25">
        <v>600</v>
      </c>
      <c r="I52" s="25">
        <v>120</v>
      </c>
      <c r="J52" s="25">
        <v>0</v>
      </c>
      <c r="K52" s="25" t="s">
        <v>927</v>
      </c>
      <c r="L52" s="25">
        <v>0</v>
      </c>
      <c r="M52" s="25">
        <v>1</v>
      </c>
    </row>
    <row r="53" ht="21" customHeight="1" spans="1:13">
      <c r="A53" s="25">
        <v>49</v>
      </c>
      <c r="B53" s="25" t="s">
        <v>976</v>
      </c>
      <c r="C53" s="25">
        <v>2150</v>
      </c>
      <c r="D53" s="82">
        <v>90000</v>
      </c>
      <c r="E53" s="82">
        <v>1</v>
      </c>
      <c r="F53" s="83">
        <v>0</v>
      </c>
      <c r="G53" s="25">
        <v>0.5</v>
      </c>
      <c r="H53" s="25">
        <v>600</v>
      </c>
      <c r="I53" s="25">
        <v>120</v>
      </c>
      <c r="J53" s="30">
        <v>0</v>
      </c>
      <c r="K53" s="25" t="s">
        <v>927</v>
      </c>
      <c r="L53" s="25">
        <v>0</v>
      </c>
      <c r="M53" s="25">
        <v>1</v>
      </c>
    </row>
    <row r="54" ht="21" customHeight="1" spans="1:13">
      <c r="A54" s="25">
        <v>50</v>
      </c>
      <c r="B54" s="25" t="s">
        <v>977</v>
      </c>
      <c r="C54" s="25">
        <v>2151</v>
      </c>
      <c r="D54" s="77">
        <v>100000</v>
      </c>
      <c r="E54" s="82">
        <v>1</v>
      </c>
      <c r="F54" s="83">
        <v>0</v>
      </c>
      <c r="G54" s="25">
        <v>0.5</v>
      </c>
      <c r="H54" s="25">
        <v>600</v>
      </c>
      <c r="I54" s="25">
        <v>120</v>
      </c>
      <c r="J54" s="30">
        <v>0</v>
      </c>
      <c r="K54" s="25" t="s">
        <v>927</v>
      </c>
      <c r="L54" s="25">
        <v>0</v>
      </c>
      <c r="M54" s="25">
        <v>1</v>
      </c>
    </row>
    <row r="55" ht="21" customHeight="1" spans="1:13">
      <c r="A55" s="25">
        <v>51</v>
      </c>
      <c r="B55" s="25" t="s">
        <v>978</v>
      </c>
      <c r="C55" s="25">
        <v>2201</v>
      </c>
      <c r="D55" s="31">
        <v>0</v>
      </c>
      <c r="E55" s="31">
        <v>0</v>
      </c>
      <c r="F55" s="83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25">
        <v>1</v>
      </c>
    </row>
    <row r="56" ht="21" customHeight="1" spans="1:13">
      <c r="A56" s="25">
        <v>52</v>
      </c>
      <c r="B56" s="25" t="s">
        <v>979</v>
      </c>
      <c r="C56" s="25">
        <v>2202</v>
      </c>
      <c r="D56" s="31">
        <v>0</v>
      </c>
      <c r="E56" s="31">
        <v>0</v>
      </c>
      <c r="F56" s="83">
        <v>0</v>
      </c>
      <c r="G56" s="31">
        <v>0</v>
      </c>
      <c r="H56" s="31">
        <v>0</v>
      </c>
      <c r="I56" s="31">
        <v>0</v>
      </c>
      <c r="J56" s="31">
        <v>0</v>
      </c>
      <c r="K56" s="31">
        <v>0</v>
      </c>
      <c r="L56" s="31">
        <v>0</v>
      </c>
      <c r="M56" s="25">
        <v>1</v>
      </c>
    </row>
    <row r="57" ht="21" customHeight="1" spans="1:13">
      <c r="A57" s="25">
        <v>53</v>
      </c>
      <c r="B57" s="25" t="s">
        <v>980</v>
      </c>
      <c r="C57" s="25">
        <v>2203</v>
      </c>
      <c r="D57" s="31">
        <v>0</v>
      </c>
      <c r="E57" s="31">
        <v>0</v>
      </c>
      <c r="F57" s="83">
        <v>0</v>
      </c>
      <c r="G57" s="31">
        <v>0</v>
      </c>
      <c r="H57" s="31">
        <v>0</v>
      </c>
      <c r="I57" s="31">
        <v>0</v>
      </c>
      <c r="J57" s="31">
        <v>0</v>
      </c>
      <c r="K57" s="31">
        <v>0</v>
      </c>
      <c r="L57" s="31">
        <v>0</v>
      </c>
      <c r="M57" s="25">
        <v>1</v>
      </c>
    </row>
    <row r="58" ht="21" customHeight="1" spans="1:13">
      <c r="A58" s="25">
        <v>54</v>
      </c>
      <c r="B58" s="25" t="s">
        <v>981</v>
      </c>
      <c r="C58" s="25">
        <v>2204</v>
      </c>
      <c r="D58" s="31">
        <v>0</v>
      </c>
      <c r="E58" s="31">
        <v>0</v>
      </c>
      <c r="F58" s="83">
        <v>0</v>
      </c>
      <c r="G58" s="31">
        <v>0</v>
      </c>
      <c r="H58" s="31">
        <v>0</v>
      </c>
      <c r="I58" s="31">
        <v>0</v>
      </c>
      <c r="J58" s="31">
        <v>0</v>
      </c>
      <c r="K58" s="31">
        <v>0</v>
      </c>
      <c r="L58" s="31">
        <v>0</v>
      </c>
      <c r="M58" s="25">
        <v>1</v>
      </c>
    </row>
    <row r="59" ht="21" customHeight="1" spans="1:13">
      <c r="A59" s="25">
        <v>55</v>
      </c>
      <c r="B59" s="25" t="s">
        <v>982</v>
      </c>
      <c r="C59" s="25">
        <v>2205</v>
      </c>
      <c r="D59" s="31">
        <v>0</v>
      </c>
      <c r="E59" s="31">
        <v>0</v>
      </c>
      <c r="F59" s="83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25">
        <v>1</v>
      </c>
    </row>
    <row r="60" ht="21" customHeight="1" spans="1:13">
      <c r="A60" s="25">
        <v>56</v>
      </c>
      <c r="B60" s="25" t="s">
        <v>983</v>
      </c>
      <c r="C60" s="25">
        <v>2206</v>
      </c>
      <c r="D60" s="31">
        <v>0</v>
      </c>
      <c r="E60" s="31">
        <v>0</v>
      </c>
      <c r="F60" s="83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25">
        <v>1</v>
      </c>
    </row>
    <row r="61" ht="21" customHeight="1" spans="1:13">
      <c r="A61" s="25">
        <v>57</v>
      </c>
      <c r="B61" s="25" t="s">
        <v>984</v>
      </c>
      <c r="C61" s="25">
        <v>2207</v>
      </c>
      <c r="D61" s="31">
        <v>0</v>
      </c>
      <c r="E61" s="31">
        <v>0</v>
      </c>
      <c r="F61" s="83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25">
        <v>1</v>
      </c>
    </row>
    <row r="62" ht="21" customHeight="1" spans="1:13">
      <c r="A62" s="25">
        <v>58</v>
      </c>
      <c r="B62" s="25" t="s">
        <v>985</v>
      </c>
      <c r="C62" s="25">
        <v>2208</v>
      </c>
      <c r="D62" s="31">
        <v>0</v>
      </c>
      <c r="E62" s="31">
        <v>0</v>
      </c>
      <c r="F62" s="83">
        <v>0</v>
      </c>
      <c r="G62" s="31">
        <v>0</v>
      </c>
      <c r="H62" s="31">
        <v>0</v>
      </c>
      <c r="I62" s="31">
        <v>0</v>
      </c>
      <c r="J62" s="31">
        <v>0</v>
      </c>
      <c r="K62" s="31">
        <v>0</v>
      </c>
      <c r="L62" s="31">
        <v>0</v>
      </c>
      <c r="M62" s="25">
        <v>1</v>
      </c>
    </row>
    <row r="63" ht="21" customHeight="1" spans="1:13">
      <c r="A63" s="25">
        <v>59</v>
      </c>
      <c r="B63" s="25" t="s">
        <v>986</v>
      </c>
      <c r="C63" s="25">
        <v>2209</v>
      </c>
      <c r="D63" s="31">
        <v>0</v>
      </c>
      <c r="E63" s="31">
        <v>0</v>
      </c>
      <c r="F63" s="83">
        <v>0</v>
      </c>
      <c r="G63" s="31">
        <v>0</v>
      </c>
      <c r="H63" s="31">
        <v>0</v>
      </c>
      <c r="I63" s="31">
        <v>0</v>
      </c>
      <c r="J63" s="31">
        <v>0</v>
      </c>
      <c r="K63" s="31">
        <v>0</v>
      </c>
      <c r="L63" s="31">
        <v>0</v>
      </c>
      <c r="M63" s="25">
        <v>1</v>
      </c>
    </row>
    <row r="64" ht="21" customHeight="1" spans="1:13">
      <c r="A64" s="25">
        <v>60</v>
      </c>
      <c r="B64" s="25" t="s">
        <v>987</v>
      </c>
      <c r="C64" s="25">
        <v>2210</v>
      </c>
      <c r="D64" s="31">
        <v>0</v>
      </c>
      <c r="E64" s="31">
        <v>0</v>
      </c>
      <c r="F64" s="83">
        <v>0</v>
      </c>
      <c r="G64" s="31">
        <v>0</v>
      </c>
      <c r="H64" s="31">
        <v>0</v>
      </c>
      <c r="I64" s="31">
        <v>0</v>
      </c>
      <c r="J64" s="31">
        <v>0</v>
      </c>
      <c r="K64" s="31">
        <v>0</v>
      </c>
      <c r="L64" s="31">
        <v>0</v>
      </c>
      <c r="M64" s="25">
        <v>1</v>
      </c>
    </row>
    <row r="65" ht="21" customHeight="1" spans="1:13">
      <c r="A65" s="25">
        <v>61</v>
      </c>
      <c r="B65" s="25" t="s">
        <v>185</v>
      </c>
      <c r="C65" s="25">
        <v>2301</v>
      </c>
      <c r="D65" s="31">
        <v>0</v>
      </c>
      <c r="E65" s="31">
        <v>0</v>
      </c>
      <c r="F65" s="83">
        <v>0</v>
      </c>
      <c r="G65" s="31">
        <v>0</v>
      </c>
      <c r="H65" s="31">
        <v>0</v>
      </c>
      <c r="I65" s="31">
        <v>0</v>
      </c>
      <c r="J65" s="31">
        <v>0</v>
      </c>
      <c r="K65" s="31">
        <v>0</v>
      </c>
      <c r="L65" s="31">
        <v>0</v>
      </c>
      <c r="M65" s="25">
        <v>1</v>
      </c>
    </row>
    <row r="66" ht="21" customHeight="1" spans="1:13">
      <c r="A66" s="25">
        <v>62</v>
      </c>
      <c r="B66" s="25" t="s">
        <v>988</v>
      </c>
      <c r="C66" s="25">
        <v>2302</v>
      </c>
      <c r="D66" s="31">
        <v>0</v>
      </c>
      <c r="E66" s="31">
        <v>0</v>
      </c>
      <c r="F66" s="83">
        <v>0</v>
      </c>
      <c r="G66" s="31">
        <v>0</v>
      </c>
      <c r="H66" s="31">
        <v>0</v>
      </c>
      <c r="I66" s="31">
        <v>0</v>
      </c>
      <c r="J66" s="31">
        <v>0</v>
      </c>
      <c r="K66" s="31">
        <v>0</v>
      </c>
      <c r="L66" s="31">
        <v>0</v>
      </c>
      <c r="M66" s="25">
        <v>1</v>
      </c>
    </row>
    <row r="67" ht="21" customHeight="1" spans="1:13">
      <c r="A67" s="25">
        <v>63</v>
      </c>
      <c r="B67" s="40" t="s">
        <v>180</v>
      </c>
      <c r="C67" s="25">
        <v>2401</v>
      </c>
      <c r="D67" s="31">
        <v>0</v>
      </c>
      <c r="E67" s="85">
        <v>1000</v>
      </c>
      <c r="F67" s="83">
        <v>0</v>
      </c>
      <c r="G67" s="31">
        <v>0</v>
      </c>
      <c r="H67" s="31">
        <v>0</v>
      </c>
      <c r="I67" s="31">
        <v>400</v>
      </c>
      <c r="J67" s="31">
        <v>0</v>
      </c>
      <c r="K67" s="31">
        <v>0</v>
      </c>
      <c r="L67" s="31">
        <v>0</v>
      </c>
      <c r="M67" s="25">
        <v>1</v>
      </c>
    </row>
    <row r="68" ht="21" customHeight="1" spans="1:13">
      <c r="A68" s="25">
        <v>69</v>
      </c>
      <c r="B68" s="25" t="s">
        <v>989</v>
      </c>
      <c r="C68" s="25">
        <v>2501</v>
      </c>
      <c r="D68" s="31">
        <v>1</v>
      </c>
      <c r="E68" s="31">
        <v>1</v>
      </c>
      <c r="F68" s="83">
        <v>0</v>
      </c>
      <c r="G68" s="31">
        <v>0</v>
      </c>
      <c r="H68" s="31">
        <v>0</v>
      </c>
      <c r="I68" s="31">
        <v>0</v>
      </c>
      <c r="J68" s="31">
        <v>0</v>
      </c>
      <c r="K68" s="31">
        <v>0</v>
      </c>
      <c r="L68" s="31">
        <v>0</v>
      </c>
      <c r="M68" s="25">
        <v>1</v>
      </c>
    </row>
    <row r="69" ht="21" customHeight="1" spans="1:13">
      <c r="A69" s="25">
        <v>70</v>
      </c>
      <c r="B69" s="25" t="s">
        <v>990</v>
      </c>
      <c r="C69" s="25">
        <v>2502</v>
      </c>
      <c r="D69" s="31">
        <v>2</v>
      </c>
      <c r="E69" s="31">
        <v>1</v>
      </c>
      <c r="F69" s="83">
        <v>0</v>
      </c>
      <c r="G69" s="31">
        <v>0</v>
      </c>
      <c r="H69" s="31">
        <v>0</v>
      </c>
      <c r="I69" s="31">
        <v>0</v>
      </c>
      <c r="J69" s="31">
        <v>0</v>
      </c>
      <c r="K69" s="31">
        <v>0</v>
      </c>
      <c r="L69" s="31">
        <v>0</v>
      </c>
      <c r="M69" s="25">
        <v>1</v>
      </c>
    </row>
    <row r="70" ht="21" customHeight="1" spans="1:13">
      <c r="A70" s="25">
        <v>71</v>
      </c>
      <c r="B70" s="25" t="s">
        <v>991</v>
      </c>
      <c r="C70" s="25">
        <v>2503</v>
      </c>
      <c r="D70" s="31">
        <v>3</v>
      </c>
      <c r="E70" s="31">
        <v>1</v>
      </c>
      <c r="F70" s="83">
        <v>0</v>
      </c>
      <c r="G70" s="31">
        <v>0</v>
      </c>
      <c r="H70" s="31">
        <v>0</v>
      </c>
      <c r="I70" s="31">
        <v>0</v>
      </c>
      <c r="J70" s="31">
        <v>0</v>
      </c>
      <c r="K70" s="31">
        <v>0</v>
      </c>
      <c r="L70" s="31">
        <v>0</v>
      </c>
      <c r="M70" s="31">
        <v>1</v>
      </c>
    </row>
    <row r="71" ht="21" customHeight="1" spans="1:13">
      <c r="A71" s="25">
        <v>72</v>
      </c>
      <c r="B71" s="25" t="s">
        <v>992</v>
      </c>
      <c r="C71" s="25">
        <v>2504</v>
      </c>
      <c r="D71" s="31">
        <v>4</v>
      </c>
      <c r="E71" s="31">
        <v>1</v>
      </c>
      <c r="F71" s="83">
        <v>0</v>
      </c>
      <c r="G71" s="31">
        <v>0</v>
      </c>
      <c r="H71" s="31">
        <v>0</v>
      </c>
      <c r="I71" s="31">
        <v>0</v>
      </c>
      <c r="J71" s="31">
        <v>0</v>
      </c>
      <c r="K71" s="31">
        <v>0</v>
      </c>
      <c r="L71" s="31">
        <v>0</v>
      </c>
      <c r="M71" s="31">
        <v>1</v>
      </c>
    </row>
    <row r="72" ht="21" customHeight="1" spans="1:13">
      <c r="A72" s="25">
        <v>73</v>
      </c>
      <c r="B72" s="25" t="s">
        <v>993</v>
      </c>
      <c r="C72" s="25">
        <v>2505</v>
      </c>
      <c r="D72" s="31">
        <v>5</v>
      </c>
      <c r="E72" s="31">
        <v>1</v>
      </c>
      <c r="F72" s="83">
        <v>0</v>
      </c>
      <c r="G72" s="31">
        <v>0</v>
      </c>
      <c r="H72" s="31">
        <v>0</v>
      </c>
      <c r="I72" s="31">
        <v>0</v>
      </c>
      <c r="J72" s="31">
        <v>0</v>
      </c>
      <c r="K72" s="31">
        <v>0</v>
      </c>
      <c r="L72" s="31">
        <v>0</v>
      </c>
      <c r="M72" s="31">
        <v>1</v>
      </c>
    </row>
    <row r="73" ht="21" customHeight="1" spans="1:13">
      <c r="A73" s="25">
        <v>74</v>
      </c>
      <c r="B73" s="25" t="s">
        <v>994</v>
      </c>
      <c r="C73" s="25">
        <v>2506</v>
      </c>
      <c r="D73" s="31">
        <v>6</v>
      </c>
      <c r="E73" s="31">
        <v>1</v>
      </c>
      <c r="F73" s="83">
        <v>0</v>
      </c>
      <c r="G73" s="31">
        <v>0</v>
      </c>
      <c r="H73" s="31">
        <v>0</v>
      </c>
      <c r="I73" s="31">
        <v>0</v>
      </c>
      <c r="J73" s="31">
        <v>0</v>
      </c>
      <c r="K73" s="31">
        <v>0</v>
      </c>
      <c r="L73" s="31">
        <v>0</v>
      </c>
      <c r="M73" s="31">
        <v>1</v>
      </c>
    </row>
    <row r="74" ht="21" customHeight="1" spans="1:13">
      <c r="A74" s="25">
        <v>75</v>
      </c>
      <c r="B74" s="25" t="s">
        <v>995</v>
      </c>
      <c r="C74" s="25">
        <v>2507</v>
      </c>
      <c r="D74" s="31">
        <v>7</v>
      </c>
      <c r="E74" s="31">
        <v>1</v>
      </c>
      <c r="F74" s="83">
        <v>0</v>
      </c>
      <c r="G74" s="31">
        <v>0</v>
      </c>
      <c r="H74" s="31">
        <v>0</v>
      </c>
      <c r="I74" s="31">
        <v>0</v>
      </c>
      <c r="J74" s="31">
        <v>0</v>
      </c>
      <c r="K74" s="31">
        <v>0</v>
      </c>
      <c r="L74" s="31">
        <v>0</v>
      </c>
      <c r="M74" s="31">
        <v>1</v>
      </c>
    </row>
    <row r="75" ht="21" customHeight="1" spans="1:13">
      <c r="A75" s="25">
        <v>76</v>
      </c>
      <c r="B75" s="25" t="s">
        <v>996</v>
      </c>
      <c r="C75" s="25">
        <v>2508</v>
      </c>
      <c r="D75" s="31">
        <v>8</v>
      </c>
      <c r="E75" s="31">
        <v>1</v>
      </c>
      <c r="F75" s="83">
        <v>0</v>
      </c>
      <c r="G75" s="31">
        <v>0</v>
      </c>
      <c r="H75" s="31">
        <v>0</v>
      </c>
      <c r="I75" s="31">
        <v>0</v>
      </c>
      <c r="J75" s="31">
        <v>0</v>
      </c>
      <c r="K75" s="31">
        <v>0</v>
      </c>
      <c r="L75" s="31">
        <v>0</v>
      </c>
      <c r="M75" s="31">
        <v>1</v>
      </c>
    </row>
    <row r="76" ht="21" customHeight="1" spans="1:13">
      <c r="A76" s="25">
        <v>77</v>
      </c>
      <c r="B76" s="25" t="s">
        <v>997</v>
      </c>
      <c r="C76" s="25">
        <v>2509</v>
      </c>
      <c r="D76" s="31">
        <v>9</v>
      </c>
      <c r="E76" s="31">
        <v>1</v>
      </c>
      <c r="F76" s="83">
        <v>0</v>
      </c>
      <c r="G76" s="31">
        <v>0</v>
      </c>
      <c r="H76" s="31">
        <v>0</v>
      </c>
      <c r="I76" s="31">
        <v>0</v>
      </c>
      <c r="J76" s="31">
        <v>0</v>
      </c>
      <c r="K76" s="31">
        <v>0</v>
      </c>
      <c r="L76" s="31">
        <v>0</v>
      </c>
      <c r="M76" s="31">
        <v>1</v>
      </c>
    </row>
    <row r="77" ht="21" customHeight="1" spans="1:255">
      <c r="A77" s="25">
        <v>78</v>
      </c>
      <c r="B77" s="25" t="s">
        <v>998</v>
      </c>
      <c r="C77" s="25">
        <v>2510</v>
      </c>
      <c r="D77" s="31">
        <v>10</v>
      </c>
      <c r="E77" s="31">
        <v>1</v>
      </c>
      <c r="F77" s="83">
        <v>0</v>
      </c>
      <c r="G77" s="31">
        <v>0</v>
      </c>
      <c r="H77" s="31">
        <v>0</v>
      </c>
      <c r="I77" s="31">
        <v>0</v>
      </c>
      <c r="J77" s="31">
        <v>0</v>
      </c>
      <c r="K77" s="31">
        <v>0</v>
      </c>
      <c r="L77" s="31">
        <v>0</v>
      </c>
      <c r="M77" s="31">
        <v>1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</row>
    <row r="78" ht="21" customHeight="1" spans="1:255">
      <c r="A78" s="25">
        <v>79</v>
      </c>
      <c r="B78" s="40" t="s">
        <v>288</v>
      </c>
      <c r="C78" s="25">
        <v>2701</v>
      </c>
      <c r="D78" s="31">
        <v>0</v>
      </c>
      <c r="E78" s="86">
        <v>600</v>
      </c>
      <c r="F78" s="83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1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</row>
    <row r="79" ht="21" customHeight="1" spans="1:255">
      <c r="A79" s="25">
        <v>84</v>
      </c>
      <c r="B79" s="84" t="s">
        <v>999</v>
      </c>
      <c r="C79" s="25">
        <v>2801</v>
      </c>
      <c r="D79" s="31">
        <v>0</v>
      </c>
      <c r="E79" s="86">
        <v>2800</v>
      </c>
      <c r="F79" s="83">
        <v>0</v>
      </c>
      <c r="G79" s="31">
        <v>0</v>
      </c>
      <c r="H79" s="31">
        <v>0</v>
      </c>
      <c r="I79" s="31">
        <v>0</v>
      </c>
      <c r="J79" s="31">
        <v>0</v>
      </c>
      <c r="K79" s="31">
        <v>0</v>
      </c>
      <c r="L79" s="31">
        <v>0</v>
      </c>
      <c r="M79" s="31">
        <v>0.2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</row>
    <row r="80" ht="21" customHeight="1" spans="1:13">
      <c r="A80" s="25">
        <v>89</v>
      </c>
      <c r="B80" s="84" t="s">
        <v>301</v>
      </c>
      <c r="C80" s="25">
        <v>2901</v>
      </c>
      <c r="D80" s="31">
        <v>0</v>
      </c>
      <c r="E80" s="85">
        <v>90</v>
      </c>
      <c r="F80" s="83">
        <v>0</v>
      </c>
      <c r="G80" s="31">
        <v>0</v>
      </c>
      <c r="H80" s="31">
        <v>0</v>
      </c>
      <c r="I80" s="31">
        <v>0</v>
      </c>
      <c r="J80" s="31">
        <v>0</v>
      </c>
      <c r="K80" s="31">
        <v>0</v>
      </c>
      <c r="L80" s="31">
        <v>0</v>
      </c>
      <c r="M80" s="31">
        <v>1</v>
      </c>
    </row>
    <row r="81" ht="21" customHeight="1" spans="1:255">
      <c r="A81" s="25">
        <v>90</v>
      </c>
      <c r="B81" s="84" t="s">
        <v>310</v>
      </c>
      <c r="C81" s="25">
        <v>3001</v>
      </c>
      <c r="D81" s="31">
        <v>0</v>
      </c>
      <c r="E81" s="85">
        <v>120</v>
      </c>
      <c r="F81" s="83">
        <v>0</v>
      </c>
      <c r="G81" s="31">
        <v>0</v>
      </c>
      <c r="H81" s="31">
        <v>0</v>
      </c>
      <c r="I81" s="31">
        <v>0</v>
      </c>
      <c r="J81" s="31">
        <v>0</v>
      </c>
      <c r="K81" s="31">
        <v>0</v>
      </c>
      <c r="L81" s="31">
        <v>0</v>
      </c>
      <c r="M81" s="31">
        <v>1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</row>
    <row r="82" ht="21" customHeight="1" spans="1:255">
      <c r="A82" s="25">
        <v>91</v>
      </c>
      <c r="B82" s="84" t="s">
        <v>1000</v>
      </c>
      <c r="C82" s="25">
        <v>3101</v>
      </c>
      <c r="D82" s="31">
        <v>0</v>
      </c>
      <c r="E82" s="85">
        <v>200</v>
      </c>
      <c r="F82" s="83">
        <v>0</v>
      </c>
      <c r="G82" s="31">
        <v>0</v>
      </c>
      <c r="H82" s="31">
        <v>0</v>
      </c>
      <c r="I82" s="31">
        <v>0</v>
      </c>
      <c r="J82" s="31">
        <v>0</v>
      </c>
      <c r="K82" s="31">
        <v>0</v>
      </c>
      <c r="L82" s="31">
        <v>0</v>
      </c>
      <c r="M82" s="31">
        <v>1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ht="21" customHeight="1" spans="1:255">
      <c r="A83" s="25">
        <v>92</v>
      </c>
      <c r="B83" s="84" t="s">
        <v>345</v>
      </c>
      <c r="C83" s="25">
        <v>3201</v>
      </c>
      <c r="D83" s="31">
        <v>0</v>
      </c>
      <c r="E83" s="85">
        <v>198</v>
      </c>
      <c r="F83" s="83">
        <v>0</v>
      </c>
      <c r="G83" s="31">
        <v>0</v>
      </c>
      <c r="H83" s="31">
        <v>0</v>
      </c>
      <c r="I83" s="31">
        <v>0</v>
      </c>
      <c r="J83" s="31">
        <v>0</v>
      </c>
      <c r="K83" s="31">
        <v>0</v>
      </c>
      <c r="L83" s="31">
        <v>0</v>
      </c>
      <c r="M83" s="31">
        <v>1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</row>
    <row r="84" ht="21" customHeight="1" spans="1:255">
      <c r="A84" s="25">
        <v>93</v>
      </c>
      <c r="B84" s="84" t="s">
        <v>347</v>
      </c>
      <c r="C84" s="25">
        <v>3301</v>
      </c>
      <c r="D84" s="31">
        <v>0</v>
      </c>
      <c r="E84" s="85">
        <v>504</v>
      </c>
      <c r="F84" s="83">
        <v>0</v>
      </c>
      <c r="G84" s="31">
        <v>0</v>
      </c>
      <c r="H84" s="31">
        <v>0</v>
      </c>
      <c r="I84" s="31">
        <v>0</v>
      </c>
      <c r="J84" s="31">
        <v>0</v>
      </c>
      <c r="K84" s="31">
        <v>0</v>
      </c>
      <c r="L84" s="31">
        <v>0</v>
      </c>
      <c r="M84" s="31">
        <v>1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</row>
    <row r="85" ht="21" customHeight="1" spans="1:255">
      <c r="A85" s="25">
        <v>94</v>
      </c>
      <c r="B85" s="84" t="s">
        <v>349</v>
      </c>
      <c r="C85" s="25">
        <v>3401</v>
      </c>
      <c r="D85" s="31">
        <v>0</v>
      </c>
      <c r="E85" s="85">
        <v>315</v>
      </c>
      <c r="F85" s="83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1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L12"/>
  <sheetViews>
    <sheetView workbookViewId="0">
      <selection activeCell="A4" sqref="A4:B6"/>
    </sheetView>
  </sheetViews>
  <sheetFormatPr defaultColWidth="11.0986842105263" defaultRowHeight="22" customHeight="1"/>
  <cols>
    <col min="1" max="1" width="11.0986842105263" style="6"/>
    <col min="2" max="2" width="18.5263157894737" style="6" customWidth="1"/>
    <col min="3" max="16384" width="11.0986842105263" style="6"/>
  </cols>
  <sheetData>
    <row r="1" customHeight="1" spans="1:12">
      <c r="A1" s="75" t="s">
        <v>36</v>
      </c>
      <c r="B1" s="75" t="s">
        <v>1001</v>
      </c>
      <c r="C1" s="75" t="s">
        <v>1002</v>
      </c>
      <c r="D1" s="75" t="s">
        <v>1003</v>
      </c>
      <c r="E1" s="75" t="s">
        <v>1002</v>
      </c>
      <c r="F1" s="75" t="s">
        <v>1003</v>
      </c>
      <c r="G1" s="75" t="s">
        <v>1002</v>
      </c>
      <c r="H1" s="75" t="s">
        <v>1003</v>
      </c>
      <c r="I1" s="75" t="s">
        <v>1002</v>
      </c>
      <c r="J1" s="75" t="s">
        <v>1003</v>
      </c>
      <c r="K1" s="75" t="s">
        <v>1002</v>
      </c>
      <c r="L1" s="75" t="s">
        <v>1003</v>
      </c>
    </row>
    <row r="2" customHeight="1" spans="1:12">
      <c r="A2" s="75" t="s">
        <v>916</v>
      </c>
      <c r="B2" s="80" t="s">
        <v>1004</v>
      </c>
      <c r="C2" s="75" t="s">
        <v>1005</v>
      </c>
      <c r="D2" s="75" t="s">
        <v>448</v>
      </c>
      <c r="E2" s="75" t="s">
        <v>1005</v>
      </c>
      <c r="F2" s="75" t="s">
        <v>448</v>
      </c>
      <c r="G2" s="75" t="s">
        <v>1005</v>
      </c>
      <c r="H2" s="75" t="s">
        <v>448</v>
      </c>
      <c r="I2" s="75" t="s">
        <v>1005</v>
      </c>
      <c r="J2" s="75" t="s">
        <v>448</v>
      </c>
      <c r="K2" s="75" t="s">
        <v>1005</v>
      </c>
      <c r="L2" s="75" t="s">
        <v>448</v>
      </c>
    </row>
    <row r="3" customHeight="1" spans="1:12">
      <c r="A3" s="75" t="s">
        <v>40</v>
      </c>
      <c r="B3" s="75" t="s">
        <v>461</v>
      </c>
      <c r="C3" s="75" t="s">
        <v>1006</v>
      </c>
      <c r="D3" s="75" t="s">
        <v>40</v>
      </c>
      <c r="E3" s="75" t="s">
        <v>1006</v>
      </c>
      <c r="F3" s="75" t="s">
        <v>40</v>
      </c>
      <c r="G3" s="75" t="s">
        <v>1006</v>
      </c>
      <c r="H3" s="75" t="s">
        <v>40</v>
      </c>
      <c r="I3" s="75" t="s">
        <v>1006</v>
      </c>
      <c r="J3" s="75" t="s">
        <v>40</v>
      </c>
      <c r="K3" s="75" t="s">
        <v>1006</v>
      </c>
      <c r="L3" s="75" t="s">
        <v>40</v>
      </c>
    </row>
    <row r="4" customHeight="1" spans="1:12">
      <c r="A4" s="75">
        <v>2401</v>
      </c>
      <c r="B4" s="75" t="s">
        <v>180</v>
      </c>
      <c r="C4" s="75" t="s">
        <v>1007</v>
      </c>
      <c r="D4" s="75">
        <v>1000</v>
      </c>
      <c r="E4" s="75" t="s">
        <v>1008</v>
      </c>
      <c r="F4" s="75">
        <v>6000</v>
      </c>
      <c r="G4" s="75" t="s">
        <v>1009</v>
      </c>
      <c r="H4" s="75">
        <v>2000</v>
      </c>
      <c r="I4" s="75" t="s">
        <v>1010</v>
      </c>
      <c r="J4" s="75">
        <v>500</v>
      </c>
      <c r="K4" s="75" t="s">
        <v>1011</v>
      </c>
      <c r="L4" s="75">
        <v>500</v>
      </c>
    </row>
    <row r="5" customHeight="1" spans="1:12">
      <c r="A5" s="75">
        <v>2701</v>
      </c>
      <c r="B5" s="75" t="s">
        <v>288</v>
      </c>
      <c r="C5" s="75" t="s">
        <v>1007</v>
      </c>
      <c r="D5" s="75">
        <v>1000</v>
      </c>
      <c r="E5" s="75" t="s">
        <v>1008</v>
      </c>
      <c r="F5" s="75">
        <v>6000</v>
      </c>
      <c r="G5" s="75" t="s">
        <v>1009</v>
      </c>
      <c r="H5" s="75">
        <v>2000</v>
      </c>
      <c r="I5" s="75" t="s">
        <v>1010</v>
      </c>
      <c r="J5" s="75">
        <v>500</v>
      </c>
      <c r="K5" s="75" t="s">
        <v>1011</v>
      </c>
      <c r="L5" s="75">
        <v>500</v>
      </c>
    </row>
    <row r="6" customHeight="1" spans="1:12">
      <c r="A6" s="75">
        <v>2801</v>
      </c>
      <c r="B6" s="75" t="s">
        <v>291</v>
      </c>
      <c r="C6" s="75" t="s">
        <v>1007</v>
      </c>
      <c r="D6" s="75">
        <v>1000</v>
      </c>
      <c r="E6" s="75" t="s">
        <v>1008</v>
      </c>
      <c r="F6" s="75">
        <v>6000</v>
      </c>
      <c r="G6" s="75" t="s">
        <v>1009</v>
      </c>
      <c r="H6" s="75">
        <v>2000</v>
      </c>
      <c r="I6" s="75" t="s">
        <v>1010</v>
      </c>
      <c r="J6" s="75">
        <v>500</v>
      </c>
      <c r="K6" s="75" t="s">
        <v>1011</v>
      </c>
      <c r="L6" s="75">
        <v>500</v>
      </c>
    </row>
    <row r="7" customHeight="1" spans="1:12">
      <c r="A7" s="75">
        <v>2901</v>
      </c>
      <c r="B7" s="75" t="s">
        <v>301</v>
      </c>
      <c r="C7" s="75" t="s">
        <v>1007</v>
      </c>
      <c r="D7" s="75">
        <v>1000</v>
      </c>
      <c r="E7" s="75" t="s">
        <v>1008</v>
      </c>
      <c r="F7" s="75">
        <v>6000</v>
      </c>
      <c r="G7" s="75" t="s">
        <v>1009</v>
      </c>
      <c r="H7" s="75">
        <v>2000</v>
      </c>
      <c r="I7" s="75" t="s">
        <v>1010</v>
      </c>
      <c r="J7" s="75">
        <v>500</v>
      </c>
      <c r="K7" s="75" t="s">
        <v>1011</v>
      </c>
      <c r="L7" s="75">
        <v>500</v>
      </c>
    </row>
    <row r="8" customHeight="1" spans="1:12">
      <c r="A8" s="75">
        <v>3001</v>
      </c>
      <c r="B8" s="75" t="s">
        <v>309</v>
      </c>
      <c r="C8" s="75" t="s">
        <v>1007</v>
      </c>
      <c r="D8" s="75">
        <v>1000</v>
      </c>
      <c r="E8" s="75" t="s">
        <v>1008</v>
      </c>
      <c r="F8" s="75">
        <v>6000</v>
      </c>
      <c r="G8" s="75" t="s">
        <v>1009</v>
      </c>
      <c r="H8" s="75">
        <v>2000</v>
      </c>
      <c r="I8" s="75" t="s">
        <v>1010</v>
      </c>
      <c r="J8" s="75">
        <v>500</v>
      </c>
      <c r="K8" s="75" t="s">
        <v>1011</v>
      </c>
      <c r="L8" s="75">
        <v>500</v>
      </c>
    </row>
    <row r="9" customHeight="1" spans="1:12">
      <c r="A9" s="75">
        <v>3101</v>
      </c>
      <c r="B9" s="75" t="s">
        <v>1012</v>
      </c>
      <c r="C9" s="75" t="s">
        <v>1007</v>
      </c>
      <c r="D9" s="75">
        <v>1000</v>
      </c>
      <c r="E9" s="75" t="s">
        <v>1008</v>
      </c>
      <c r="F9" s="75">
        <v>6000</v>
      </c>
      <c r="G9" s="75" t="s">
        <v>1009</v>
      </c>
      <c r="H9" s="75">
        <v>2000</v>
      </c>
      <c r="I9" s="75" t="s">
        <v>1010</v>
      </c>
      <c r="J9" s="75">
        <v>500</v>
      </c>
      <c r="K9" s="75" t="s">
        <v>1011</v>
      </c>
      <c r="L9" s="75">
        <v>500</v>
      </c>
    </row>
    <row r="10" customHeight="1" spans="1:12">
      <c r="A10" s="75">
        <v>3201</v>
      </c>
      <c r="B10" s="75" t="s">
        <v>345</v>
      </c>
      <c r="C10" s="75" t="s">
        <v>1007</v>
      </c>
      <c r="D10" s="75">
        <v>1000</v>
      </c>
      <c r="E10" s="75" t="s">
        <v>1008</v>
      </c>
      <c r="F10" s="75">
        <v>6000</v>
      </c>
      <c r="G10" s="75" t="s">
        <v>1009</v>
      </c>
      <c r="H10" s="75">
        <v>2000</v>
      </c>
      <c r="I10" s="75" t="s">
        <v>1010</v>
      </c>
      <c r="J10" s="75">
        <v>500</v>
      </c>
      <c r="K10" s="75" t="s">
        <v>1011</v>
      </c>
      <c r="L10" s="75">
        <v>500</v>
      </c>
    </row>
    <row r="11" customHeight="1" spans="1:12">
      <c r="A11" s="75">
        <v>3301</v>
      </c>
      <c r="B11" s="75" t="s">
        <v>347</v>
      </c>
      <c r="C11" s="75" t="s">
        <v>1007</v>
      </c>
      <c r="D11" s="75">
        <v>1000</v>
      </c>
      <c r="E11" s="75" t="s">
        <v>1008</v>
      </c>
      <c r="F11" s="75">
        <v>6000</v>
      </c>
      <c r="G11" s="75" t="s">
        <v>1009</v>
      </c>
      <c r="H11" s="75">
        <v>2000</v>
      </c>
      <c r="I11" s="75" t="s">
        <v>1010</v>
      </c>
      <c r="J11" s="75">
        <v>500</v>
      </c>
      <c r="K11" s="75" t="s">
        <v>1011</v>
      </c>
      <c r="L11" s="75">
        <v>500</v>
      </c>
    </row>
    <row r="12" customHeight="1" spans="1:12">
      <c r="A12" s="75">
        <v>3401</v>
      </c>
      <c r="B12" s="75" t="s">
        <v>349</v>
      </c>
      <c r="C12" s="75" t="s">
        <v>1007</v>
      </c>
      <c r="D12" s="75">
        <v>1000</v>
      </c>
      <c r="E12" s="75" t="s">
        <v>1008</v>
      </c>
      <c r="F12" s="75">
        <v>6000</v>
      </c>
      <c r="G12" s="75" t="s">
        <v>1009</v>
      </c>
      <c r="H12" s="75">
        <v>2000</v>
      </c>
      <c r="I12" s="75" t="s">
        <v>1010</v>
      </c>
      <c r="J12" s="75">
        <v>500</v>
      </c>
      <c r="K12" s="75" t="s">
        <v>1011</v>
      </c>
      <c r="L12" s="75">
        <v>500</v>
      </c>
    </row>
  </sheetData>
  <pageMargins left="0.75" right="0.75" top="1" bottom="1" header="0.5" footer="0.5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T13"/>
  <sheetViews>
    <sheetView workbookViewId="0">
      <selection activeCell="D8" sqref="D8"/>
    </sheetView>
  </sheetViews>
  <sheetFormatPr defaultColWidth="8.69736842105263" defaultRowHeight="15.2"/>
  <cols>
    <col min="1" max="1" width="23.6973684210526" customWidth="1"/>
    <col min="2" max="2" width="17.9802631578947" customWidth="1"/>
    <col min="3" max="3" width="10.6973684210526" customWidth="1"/>
    <col min="4" max="4" width="12.9013157894737" customWidth="1"/>
  </cols>
  <sheetData>
    <row r="1" ht="17" spans="1:20">
      <c r="A1" s="75" t="s">
        <v>36</v>
      </c>
      <c r="B1" s="75" t="s">
        <v>1001</v>
      </c>
      <c r="C1" s="76" t="s">
        <v>1013</v>
      </c>
      <c r="D1" s="76" t="s">
        <v>1014</v>
      </c>
      <c r="E1" s="76" t="s">
        <v>1015</v>
      </c>
      <c r="F1" s="76" t="s">
        <v>1016</v>
      </c>
      <c r="G1" s="76" t="s">
        <v>1017</v>
      </c>
      <c r="H1" s="76" t="s">
        <v>1018</v>
      </c>
      <c r="I1" s="78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ht="17" spans="1:20">
      <c r="A2" s="75" t="s">
        <v>916</v>
      </c>
      <c r="B2" s="75" t="s">
        <v>1004</v>
      </c>
      <c r="C2" s="75" t="s">
        <v>40</v>
      </c>
      <c r="D2" s="75" t="s">
        <v>40</v>
      </c>
      <c r="E2" s="75" t="s">
        <v>40</v>
      </c>
      <c r="F2" s="75" t="s">
        <v>40</v>
      </c>
      <c r="G2" s="75" t="s">
        <v>40</v>
      </c>
      <c r="H2" s="75" t="s">
        <v>40</v>
      </c>
      <c r="I2" s="78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ht="17" spans="1:20">
      <c r="A3" s="75" t="s">
        <v>40</v>
      </c>
      <c r="B3" s="75" t="s">
        <v>461</v>
      </c>
      <c r="C3" s="75" t="s">
        <v>899</v>
      </c>
      <c r="D3" s="75" t="s">
        <v>899</v>
      </c>
      <c r="E3" s="75" t="s">
        <v>899</v>
      </c>
      <c r="F3" s="75" t="s">
        <v>899</v>
      </c>
      <c r="G3" s="75" t="s">
        <v>899</v>
      </c>
      <c r="H3" s="75" t="s">
        <v>899</v>
      </c>
      <c r="I3" s="78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ht="17" spans="1:20">
      <c r="A4" s="75">
        <v>2401</v>
      </c>
      <c r="B4" s="75" t="s">
        <v>180</v>
      </c>
      <c r="C4" s="75">
        <v>10000</v>
      </c>
      <c r="D4" s="75">
        <v>0</v>
      </c>
      <c r="E4" s="75">
        <v>0</v>
      </c>
      <c r="F4" s="75">
        <v>0</v>
      </c>
      <c r="G4" s="75">
        <v>0</v>
      </c>
      <c r="H4" s="75">
        <v>0</v>
      </c>
      <c r="I4" s="79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ht="17" spans="1:20">
      <c r="A5" s="75">
        <v>2701</v>
      </c>
      <c r="B5" s="75" t="s">
        <v>288</v>
      </c>
      <c r="C5" s="75">
        <v>10000</v>
      </c>
      <c r="D5" s="75">
        <v>0</v>
      </c>
      <c r="E5" s="75">
        <v>0</v>
      </c>
      <c r="F5" s="75">
        <v>0</v>
      </c>
      <c r="G5" s="75">
        <v>0</v>
      </c>
      <c r="H5" s="75">
        <v>0</v>
      </c>
      <c r="I5" s="79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ht="17" spans="1:20">
      <c r="A6" s="75">
        <v>2801</v>
      </c>
      <c r="B6" s="75" t="s">
        <v>291</v>
      </c>
      <c r="C6" s="75">
        <v>10000</v>
      </c>
      <c r="D6" s="75">
        <v>0</v>
      </c>
      <c r="E6" s="75">
        <v>0</v>
      </c>
      <c r="F6" s="75">
        <v>0</v>
      </c>
      <c r="G6" s="75">
        <v>0</v>
      </c>
      <c r="H6" s="75">
        <v>0</v>
      </c>
      <c r="I6" s="79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</row>
    <row r="7" ht="17" spans="1:20">
      <c r="A7" s="75">
        <v>2901</v>
      </c>
      <c r="B7" s="75" t="s">
        <v>301</v>
      </c>
      <c r="C7" s="75">
        <v>0</v>
      </c>
      <c r="D7" s="75">
        <v>0</v>
      </c>
      <c r="E7" s="75">
        <v>2500</v>
      </c>
      <c r="F7" s="75">
        <v>2500</v>
      </c>
      <c r="G7" s="75">
        <v>2500</v>
      </c>
      <c r="H7" s="75">
        <v>2500</v>
      </c>
      <c r="N7" s="41"/>
      <c r="O7" s="41"/>
      <c r="P7" s="41"/>
      <c r="Q7" s="41"/>
      <c r="R7" s="41"/>
      <c r="S7" s="41"/>
      <c r="T7" s="41"/>
    </row>
    <row r="8" ht="17" spans="1:20">
      <c r="A8" s="75">
        <v>3001</v>
      </c>
      <c r="B8" s="75" t="s">
        <v>309</v>
      </c>
      <c r="C8" s="75">
        <v>0</v>
      </c>
      <c r="D8" s="75">
        <v>0</v>
      </c>
      <c r="E8" s="75">
        <v>2500</v>
      </c>
      <c r="F8" s="75">
        <v>2500</v>
      </c>
      <c r="G8" s="75">
        <v>2500</v>
      </c>
      <c r="H8" s="75">
        <v>2500</v>
      </c>
      <c r="N8" s="41"/>
      <c r="O8" s="41"/>
      <c r="P8" s="41"/>
      <c r="Q8" s="41"/>
      <c r="R8" s="41"/>
      <c r="S8" s="41"/>
      <c r="T8" s="41"/>
    </row>
    <row r="9" ht="17" spans="1:20">
      <c r="A9" s="75">
        <v>3101</v>
      </c>
      <c r="B9" s="75" t="s">
        <v>1012</v>
      </c>
      <c r="C9" s="75">
        <v>0</v>
      </c>
      <c r="D9" s="75">
        <v>0</v>
      </c>
      <c r="E9" s="75">
        <v>2500</v>
      </c>
      <c r="F9" s="75">
        <v>2500</v>
      </c>
      <c r="G9" s="75">
        <v>2500</v>
      </c>
      <c r="H9" s="75">
        <v>2500</v>
      </c>
      <c r="N9" s="41"/>
      <c r="O9" s="41"/>
      <c r="P9" s="41"/>
      <c r="Q9" s="41"/>
      <c r="R9" s="41"/>
      <c r="S9" s="41"/>
      <c r="T9" s="41"/>
    </row>
    <row r="10" ht="17" spans="1:20">
      <c r="A10" s="75">
        <v>3201</v>
      </c>
      <c r="B10" s="75" t="s">
        <v>345</v>
      </c>
      <c r="C10" s="75">
        <v>0</v>
      </c>
      <c r="D10" s="75">
        <v>3000</v>
      </c>
      <c r="E10" s="75">
        <v>3500</v>
      </c>
      <c r="F10" s="75">
        <v>1500</v>
      </c>
      <c r="G10" s="75">
        <v>1500</v>
      </c>
      <c r="H10" s="75">
        <v>500</v>
      </c>
      <c r="I10" s="78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ht="17" spans="1:20">
      <c r="A11" s="75">
        <v>3301</v>
      </c>
      <c r="B11" s="75" t="s">
        <v>347</v>
      </c>
      <c r="C11" s="75">
        <v>0</v>
      </c>
      <c r="D11" s="75">
        <v>3500</v>
      </c>
      <c r="E11" s="75">
        <v>3500</v>
      </c>
      <c r="F11" s="75">
        <v>1500</v>
      </c>
      <c r="G11" s="75">
        <v>1000</v>
      </c>
      <c r="H11" s="75">
        <v>500</v>
      </c>
      <c r="I11" s="78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ht="17" spans="1:20">
      <c r="A12" s="75">
        <v>3401</v>
      </c>
      <c r="B12" s="75" t="s">
        <v>349</v>
      </c>
      <c r="C12" s="75">
        <v>0</v>
      </c>
      <c r="D12" s="75">
        <v>3500</v>
      </c>
      <c r="E12" s="75">
        <v>3500</v>
      </c>
      <c r="F12" s="75">
        <v>1500</v>
      </c>
      <c r="G12" s="75">
        <v>1000</v>
      </c>
      <c r="H12" s="75">
        <v>500</v>
      </c>
      <c r="I12" s="78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9">
      <c r="A13" s="77"/>
      <c r="B13" s="77"/>
      <c r="C13" s="77"/>
      <c r="D13" s="77"/>
      <c r="E13" s="77"/>
      <c r="F13" s="77"/>
      <c r="G13" s="77"/>
      <c r="H13" s="77"/>
      <c r="I13" s="77"/>
    </row>
  </sheetData>
  <pageMargins left="0.75" right="0.75" top="1" bottom="1" header="0.511805555555556" footer="0.511805555555556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Q8"/>
  <sheetViews>
    <sheetView topLeftCell="AD1" workbookViewId="0">
      <selection activeCell="AI6" sqref="AI6"/>
    </sheetView>
  </sheetViews>
  <sheetFormatPr defaultColWidth="8.90131578947368" defaultRowHeight="15.2" outlineLevelRow="7"/>
  <cols>
    <col min="42" max="42" width="67.1973684210526" customWidth="1"/>
    <col min="43" max="43" width="52.6973684210526" customWidth="1"/>
  </cols>
  <sheetData>
    <row r="1" ht="31" spans="1:43">
      <c r="A1" s="55" t="s">
        <v>1019</v>
      </c>
      <c r="B1" s="56"/>
      <c r="C1" s="57" t="s">
        <v>457</v>
      </c>
      <c r="D1" s="57" t="s">
        <v>1020</v>
      </c>
      <c r="E1" s="66"/>
      <c r="F1" s="57" t="s">
        <v>457</v>
      </c>
      <c r="G1" s="57" t="s">
        <v>1021</v>
      </c>
      <c r="H1" s="57" t="s">
        <v>1022</v>
      </c>
      <c r="I1" s="57" t="s">
        <v>887</v>
      </c>
      <c r="J1" s="57" t="s">
        <v>1023</v>
      </c>
      <c r="K1" s="57" t="s">
        <v>1022</v>
      </c>
      <c r="L1" s="57" t="s">
        <v>887</v>
      </c>
      <c r="M1" s="57" t="s">
        <v>1023</v>
      </c>
      <c r="N1" s="57" t="s">
        <v>1022</v>
      </c>
      <c r="O1" s="57" t="s">
        <v>887</v>
      </c>
      <c r="P1" s="57" t="s">
        <v>1023</v>
      </c>
      <c r="Q1" s="57" t="s">
        <v>1022</v>
      </c>
      <c r="R1" s="57" t="s">
        <v>887</v>
      </c>
      <c r="S1" s="57" t="s">
        <v>1023</v>
      </c>
      <c r="T1" s="57" t="s">
        <v>1022</v>
      </c>
      <c r="U1" s="57" t="s">
        <v>887</v>
      </c>
      <c r="V1" s="57" t="s">
        <v>1023</v>
      </c>
      <c r="W1" s="57" t="s">
        <v>1022</v>
      </c>
      <c r="X1" s="57" t="s">
        <v>887</v>
      </c>
      <c r="Y1" s="57" t="s">
        <v>1023</v>
      </c>
      <c r="Z1" s="57" t="s">
        <v>1022</v>
      </c>
      <c r="AA1" s="57" t="s">
        <v>887</v>
      </c>
      <c r="AB1" s="57" t="s">
        <v>1023</v>
      </c>
      <c r="AC1" s="57" t="s">
        <v>1022</v>
      </c>
      <c r="AD1" s="57" t="s">
        <v>887</v>
      </c>
      <c r="AE1" s="57" t="s">
        <v>1023</v>
      </c>
      <c r="AF1" s="57" t="s">
        <v>1022</v>
      </c>
      <c r="AG1" s="57" t="s">
        <v>887</v>
      </c>
      <c r="AH1" s="57" t="s">
        <v>1023</v>
      </c>
      <c r="AI1" s="57" t="s">
        <v>1022</v>
      </c>
      <c r="AJ1" s="57" t="s">
        <v>887</v>
      </c>
      <c r="AK1" s="57" t="s">
        <v>1023</v>
      </c>
      <c r="AL1" s="70"/>
      <c r="AM1" s="57" t="s">
        <v>1024</v>
      </c>
      <c r="AN1" s="57" t="s">
        <v>1025</v>
      </c>
      <c r="AO1" s="57" t="s">
        <v>1026</v>
      </c>
      <c r="AQ1" s="41" t="s">
        <v>1027</v>
      </c>
    </row>
    <row r="2" ht="16" spans="1:43">
      <c r="A2" s="58" t="s">
        <v>40</v>
      </c>
      <c r="B2" s="59"/>
      <c r="C2" s="57" t="s">
        <v>40</v>
      </c>
      <c r="D2" s="57" t="s">
        <v>40</v>
      </c>
      <c r="E2" s="66"/>
      <c r="F2" s="57" t="s">
        <v>40</v>
      </c>
      <c r="G2" s="57" t="s">
        <v>41</v>
      </c>
      <c r="H2" s="57" t="s">
        <v>41</v>
      </c>
      <c r="I2" s="57" t="s">
        <v>40</v>
      </c>
      <c r="J2" s="57" t="s">
        <v>40</v>
      </c>
      <c r="K2" s="57" t="s">
        <v>41</v>
      </c>
      <c r="L2" s="57" t="s">
        <v>40</v>
      </c>
      <c r="M2" s="57" t="s">
        <v>40</v>
      </c>
      <c r="N2" s="57" t="s">
        <v>41</v>
      </c>
      <c r="O2" s="57" t="s">
        <v>40</v>
      </c>
      <c r="P2" s="57" t="s">
        <v>40</v>
      </c>
      <c r="Q2" s="57" t="s">
        <v>41</v>
      </c>
      <c r="R2" s="57" t="s">
        <v>40</v>
      </c>
      <c r="S2" s="57" t="s">
        <v>40</v>
      </c>
      <c r="T2" s="57" t="s">
        <v>41</v>
      </c>
      <c r="U2" s="57" t="s">
        <v>40</v>
      </c>
      <c r="V2" s="57" t="s">
        <v>40</v>
      </c>
      <c r="W2" s="57" t="s">
        <v>41</v>
      </c>
      <c r="X2" s="57" t="s">
        <v>40</v>
      </c>
      <c r="Y2" s="57" t="s">
        <v>40</v>
      </c>
      <c r="Z2" s="57" t="s">
        <v>41</v>
      </c>
      <c r="AA2" s="57" t="s">
        <v>40</v>
      </c>
      <c r="AB2" s="57" t="s">
        <v>40</v>
      </c>
      <c r="AC2" s="57" t="s">
        <v>41</v>
      </c>
      <c r="AD2" s="57" t="s">
        <v>40</v>
      </c>
      <c r="AE2" s="57" t="s">
        <v>40</v>
      </c>
      <c r="AF2" s="57" t="s">
        <v>41</v>
      </c>
      <c r="AG2" s="57" t="s">
        <v>40</v>
      </c>
      <c r="AH2" s="57" t="s">
        <v>40</v>
      </c>
      <c r="AI2" s="57" t="s">
        <v>41</v>
      </c>
      <c r="AJ2" s="57" t="s">
        <v>40</v>
      </c>
      <c r="AK2" s="57" t="s">
        <v>40</v>
      </c>
      <c r="AL2" s="66"/>
      <c r="AM2" s="57" t="s">
        <v>40</v>
      </c>
      <c r="AN2" s="57" t="s">
        <v>40</v>
      </c>
      <c r="AO2" s="57" t="s">
        <v>41</v>
      </c>
      <c r="AQ2" s="41" t="s">
        <v>40</v>
      </c>
    </row>
    <row r="3" ht="26" spans="1:43">
      <c r="A3" s="60" t="s">
        <v>1028</v>
      </c>
      <c r="B3" s="56"/>
      <c r="C3" s="57" t="s">
        <v>1029</v>
      </c>
      <c r="D3" s="57" t="s">
        <v>1030</v>
      </c>
      <c r="E3" s="67"/>
      <c r="F3" s="57" t="s">
        <v>1031</v>
      </c>
      <c r="G3" s="57" t="s">
        <v>1032</v>
      </c>
      <c r="H3" s="57" t="s">
        <v>1033</v>
      </c>
      <c r="I3" s="57" t="s">
        <v>899</v>
      </c>
      <c r="J3" s="57" t="s">
        <v>1034</v>
      </c>
      <c r="K3" s="57" t="s">
        <v>1033</v>
      </c>
      <c r="L3" s="57" t="s">
        <v>899</v>
      </c>
      <c r="M3" s="57" t="s">
        <v>1034</v>
      </c>
      <c r="N3" s="57" t="s">
        <v>1033</v>
      </c>
      <c r="O3" s="57" t="s">
        <v>899</v>
      </c>
      <c r="P3" s="57" t="s">
        <v>1034</v>
      </c>
      <c r="Q3" s="57" t="s">
        <v>1033</v>
      </c>
      <c r="R3" s="57" t="s">
        <v>899</v>
      </c>
      <c r="S3" s="57" t="s">
        <v>1034</v>
      </c>
      <c r="T3" s="57" t="s">
        <v>1033</v>
      </c>
      <c r="U3" s="57" t="s">
        <v>899</v>
      </c>
      <c r="V3" s="57" t="s">
        <v>1034</v>
      </c>
      <c r="W3" s="57" t="s">
        <v>1033</v>
      </c>
      <c r="X3" s="57" t="s">
        <v>899</v>
      </c>
      <c r="Y3" s="57" t="s">
        <v>1034</v>
      </c>
      <c r="Z3" s="57" t="s">
        <v>1033</v>
      </c>
      <c r="AA3" s="57" t="s">
        <v>899</v>
      </c>
      <c r="AB3" s="57" t="s">
        <v>1034</v>
      </c>
      <c r="AC3" s="57" t="s">
        <v>1033</v>
      </c>
      <c r="AD3" s="57" t="s">
        <v>899</v>
      </c>
      <c r="AE3" s="57" t="s">
        <v>1034</v>
      </c>
      <c r="AF3" s="57" t="s">
        <v>1033</v>
      </c>
      <c r="AG3" s="57" t="s">
        <v>899</v>
      </c>
      <c r="AH3" s="57" t="s">
        <v>1034</v>
      </c>
      <c r="AI3" s="57" t="s">
        <v>1033</v>
      </c>
      <c r="AJ3" s="57" t="s">
        <v>899</v>
      </c>
      <c r="AK3" s="57" t="s">
        <v>1034</v>
      </c>
      <c r="AL3" s="67"/>
      <c r="AM3" s="57" t="s">
        <v>1035</v>
      </c>
      <c r="AN3" s="57" t="s">
        <v>445</v>
      </c>
      <c r="AO3" s="57" t="s">
        <v>902</v>
      </c>
      <c r="AQ3" s="74" t="s">
        <v>1036</v>
      </c>
    </row>
    <row r="4" spans="1:43">
      <c r="A4" s="61">
        <v>1</v>
      </c>
      <c r="B4" s="56"/>
      <c r="C4" s="62">
        <v>1</v>
      </c>
      <c r="D4" s="62">
        <v>1000</v>
      </c>
      <c r="E4" s="67"/>
      <c r="F4" s="62">
        <v>1</v>
      </c>
      <c r="G4" s="68" t="s">
        <v>1037</v>
      </c>
      <c r="H4" s="57" t="s">
        <v>1038</v>
      </c>
      <c r="I4" s="63">
        <v>50</v>
      </c>
      <c r="J4" s="63">
        <v>1</v>
      </c>
      <c r="K4" s="57" t="s">
        <v>1039</v>
      </c>
      <c r="L4" s="63">
        <v>30000</v>
      </c>
      <c r="M4" s="63">
        <v>1</v>
      </c>
      <c r="N4" s="57" t="s">
        <v>1040</v>
      </c>
      <c r="O4" s="63">
        <v>1600</v>
      </c>
      <c r="P4" s="63">
        <v>1</v>
      </c>
      <c r="Q4" s="57" t="s">
        <v>1041</v>
      </c>
      <c r="R4" s="63">
        <v>6000</v>
      </c>
      <c r="S4" s="63">
        <v>1</v>
      </c>
      <c r="T4" s="57" t="s">
        <v>1042</v>
      </c>
      <c r="U4" s="63">
        <v>6000</v>
      </c>
      <c r="V4" s="63">
        <v>1</v>
      </c>
      <c r="W4" s="57" t="s">
        <v>1043</v>
      </c>
      <c r="X4" s="63">
        <v>2500</v>
      </c>
      <c r="Y4" s="63">
        <v>1</v>
      </c>
      <c r="Z4" s="57" t="s">
        <v>1044</v>
      </c>
      <c r="AA4" s="63">
        <v>3600</v>
      </c>
      <c r="AB4" s="63">
        <v>1</v>
      </c>
      <c r="AC4" s="57" t="s">
        <v>1045</v>
      </c>
      <c r="AD4" s="63">
        <v>25000</v>
      </c>
      <c r="AE4" s="63">
        <v>1</v>
      </c>
      <c r="AF4" s="57" t="s">
        <v>1046</v>
      </c>
      <c r="AG4" s="63">
        <v>250</v>
      </c>
      <c r="AH4" s="63">
        <v>1</v>
      </c>
      <c r="AI4" s="57" t="s">
        <v>1047</v>
      </c>
      <c r="AJ4" s="63">
        <v>25000</v>
      </c>
      <c r="AK4" s="63">
        <v>1</v>
      </c>
      <c r="AL4" s="67"/>
      <c r="AM4" s="63">
        <v>2</v>
      </c>
      <c r="AN4" s="63">
        <v>0</v>
      </c>
      <c r="AO4" s="57" t="s">
        <v>1048</v>
      </c>
      <c r="AQ4" s="41">
        <v>3</v>
      </c>
    </row>
    <row r="5" spans="1:41">
      <c r="A5" s="56"/>
      <c r="B5" s="56"/>
      <c r="C5" s="63">
        <v>2</v>
      </c>
      <c r="D5" s="63">
        <v>2000</v>
      </c>
      <c r="E5" s="67"/>
      <c r="F5" s="63">
        <v>2</v>
      </c>
      <c r="G5" s="68" t="s">
        <v>1049</v>
      </c>
      <c r="H5" s="57" t="s">
        <v>1050</v>
      </c>
      <c r="I5" s="63">
        <v>50</v>
      </c>
      <c r="J5" s="63">
        <v>1</v>
      </c>
      <c r="K5" s="57" t="s">
        <v>1051</v>
      </c>
      <c r="L5" s="63">
        <v>25000</v>
      </c>
      <c r="M5" s="63">
        <v>1</v>
      </c>
      <c r="N5" s="57" t="s">
        <v>1052</v>
      </c>
      <c r="O5" s="63">
        <v>700</v>
      </c>
      <c r="P5" s="63">
        <v>1</v>
      </c>
      <c r="Q5" s="57" t="s">
        <v>1053</v>
      </c>
      <c r="R5" s="63">
        <v>2000</v>
      </c>
      <c r="S5" s="63">
        <v>1</v>
      </c>
      <c r="T5" s="57" t="s">
        <v>1054</v>
      </c>
      <c r="U5" s="63">
        <v>18000</v>
      </c>
      <c r="V5" s="63">
        <v>1</v>
      </c>
      <c r="W5" s="57" t="s">
        <v>1043</v>
      </c>
      <c r="X5" s="63">
        <v>2000</v>
      </c>
      <c r="Y5" s="63">
        <v>1</v>
      </c>
      <c r="Z5" s="57" t="s">
        <v>1055</v>
      </c>
      <c r="AA5" s="63">
        <v>9000</v>
      </c>
      <c r="AB5" s="63">
        <v>1</v>
      </c>
      <c r="AC5" s="57" t="s">
        <v>1054</v>
      </c>
      <c r="AD5" s="63">
        <v>25000</v>
      </c>
      <c r="AE5" s="63">
        <v>1</v>
      </c>
      <c r="AF5" s="57" t="s">
        <v>1056</v>
      </c>
      <c r="AG5" s="63">
        <v>250</v>
      </c>
      <c r="AH5" s="63">
        <v>1</v>
      </c>
      <c r="AI5" s="57" t="s">
        <v>1051</v>
      </c>
      <c r="AJ5" s="63">
        <v>18000</v>
      </c>
      <c r="AK5" s="63">
        <v>1</v>
      </c>
      <c r="AL5" s="67"/>
      <c r="AM5" s="63">
        <v>3</v>
      </c>
      <c r="AN5" s="63">
        <v>0</v>
      </c>
      <c r="AO5" s="57" t="s">
        <v>1057</v>
      </c>
    </row>
    <row r="6" spans="1:41">
      <c r="A6" s="56"/>
      <c r="B6" s="56"/>
      <c r="C6" s="63">
        <v>3</v>
      </c>
      <c r="D6" s="64">
        <v>3000</v>
      </c>
      <c r="E6" s="69"/>
      <c r="F6" s="63">
        <v>3</v>
      </c>
      <c r="G6" s="68" t="s">
        <v>1049</v>
      </c>
      <c r="H6" s="57" t="s">
        <v>1058</v>
      </c>
      <c r="I6" s="63">
        <v>50</v>
      </c>
      <c r="J6" s="63">
        <v>1</v>
      </c>
      <c r="K6" s="57" t="s">
        <v>1055</v>
      </c>
      <c r="L6" s="63">
        <v>35000</v>
      </c>
      <c r="M6" s="63">
        <v>1</v>
      </c>
      <c r="N6" s="57" t="s">
        <v>1050</v>
      </c>
      <c r="O6" s="63">
        <v>700</v>
      </c>
      <c r="P6" s="63">
        <v>1</v>
      </c>
      <c r="Q6" s="57" t="s">
        <v>1054</v>
      </c>
      <c r="R6" s="63">
        <v>4000</v>
      </c>
      <c r="S6" s="63">
        <v>1</v>
      </c>
      <c r="T6" s="57" t="s">
        <v>1059</v>
      </c>
      <c r="U6" s="63">
        <v>10000</v>
      </c>
      <c r="V6" s="63">
        <v>1</v>
      </c>
      <c r="W6" s="57" t="s">
        <v>1043</v>
      </c>
      <c r="X6" s="63">
        <v>4000</v>
      </c>
      <c r="Y6" s="63">
        <v>1</v>
      </c>
      <c r="Z6" s="57" t="s">
        <v>1052</v>
      </c>
      <c r="AA6" s="63">
        <v>4000</v>
      </c>
      <c r="AB6" s="63">
        <v>1</v>
      </c>
      <c r="AC6" s="57" t="s">
        <v>1060</v>
      </c>
      <c r="AD6" s="63">
        <v>32000</v>
      </c>
      <c r="AE6" s="63">
        <v>1</v>
      </c>
      <c r="AF6" s="57" t="s">
        <v>1061</v>
      </c>
      <c r="AG6" s="63">
        <v>250</v>
      </c>
      <c r="AH6" s="63">
        <v>1</v>
      </c>
      <c r="AI6" s="57" t="s">
        <v>1062</v>
      </c>
      <c r="AJ6" s="63">
        <v>10000</v>
      </c>
      <c r="AK6" s="63">
        <v>1</v>
      </c>
      <c r="AL6" s="67"/>
      <c r="AM6" s="63">
        <v>4</v>
      </c>
      <c r="AN6" s="63">
        <v>0</v>
      </c>
      <c r="AO6" s="57" t="s">
        <v>1063</v>
      </c>
    </row>
    <row r="7" spans="1:41">
      <c r="A7" s="56"/>
      <c r="B7" s="56"/>
      <c r="C7" s="63">
        <v>4</v>
      </c>
      <c r="D7" s="65">
        <v>4000</v>
      </c>
      <c r="E7" s="69"/>
      <c r="F7" s="63">
        <v>4</v>
      </c>
      <c r="G7" s="68" t="s">
        <v>1064</v>
      </c>
      <c r="H7" s="57" t="s">
        <v>1065</v>
      </c>
      <c r="I7" s="63">
        <v>50</v>
      </c>
      <c r="J7" s="63">
        <v>1</v>
      </c>
      <c r="K7" s="57" t="s">
        <v>1066</v>
      </c>
      <c r="L7" s="63">
        <v>36000</v>
      </c>
      <c r="M7" s="63">
        <v>1</v>
      </c>
      <c r="N7" s="57" t="s">
        <v>1067</v>
      </c>
      <c r="O7" s="63">
        <v>700</v>
      </c>
      <c r="P7" s="63">
        <v>1</v>
      </c>
      <c r="Q7" s="57" t="s">
        <v>1068</v>
      </c>
      <c r="R7" s="63">
        <v>5000</v>
      </c>
      <c r="S7" s="63">
        <v>1</v>
      </c>
      <c r="T7" s="57" t="s">
        <v>1069</v>
      </c>
      <c r="U7" s="63">
        <v>7000</v>
      </c>
      <c r="V7" s="63">
        <v>1</v>
      </c>
      <c r="W7" s="57" t="s">
        <v>1043</v>
      </c>
      <c r="X7" s="63">
        <v>4000</v>
      </c>
      <c r="Y7" s="63">
        <v>1</v>
      </c>
      <c r="Z7" s="57" t="s">
        <v>1070</v>
      </c>
      <c r="AA7" s="63">
        <v>2000</v>
      </c>
      <c r="AB7" s="63">
        <v>1</v>
      </c>
      <c r="AC7" s="57" t="s">
        <v>1071</v>
      </c>
      <c r="AD7" s="63">
        <v>30000</v>
      </c>
      <c r="AE7" s="63">
        <v>1</v>
      </c>
      <c r="AF7" s="57" t="s">
        <v>1072</v>
      </c>
      <c r="AG7" s="63">
        <v>250</v>
      </c>
      <c r="AH7" s="63">
        <v>1</v>
      </c>
      <c r="AI7" s="57" t="s">
        <v>1073</v>
      </c>
      <c r="AJ7" s="63">
        <v>15000</v>
      </c>
      <c r="AK7" s="63">
        <v>1</v>
      </c>
      <c r="AL7" s="71"/>
      <c r="AM7" s="72"/>
      <c r="AN7" s="72"/>
      <c r="AO7" s="72"/>
    </row>
    <row r="8" spans="1:41">
      <c r="A8" s="56"/>
      <c r="B8" s="56"/>
      <c r="C8" s="63">
        <v>5</v>
      </c>
      <c r="D8" s="65">
        <v>5000</v>
      </c>
      <c r="E8" s="69"/>
      <c r="F8" s="63">
        <v>5</v>
      </c>
      <c r="G8" s="68" t="s">
        <v>1064</v>
      </c>
      <c r="H8" s="57" t="s">
        <v>1065</v>
      </c>
      <c r="I8" s="63">
        <v>50</v>
      </c>
      <c r="J8" s="63">
        <v>1</v>
      </c>
      <c r="K8" s="57" t="s">
        <v>1066</v>
      </c>
      <c r="L8" s="63">
        <v>36000</v>
      </c>
      <c r="M8" s="63">
        <v>1</v>
      </c>
      <c r="N8" s="57" t="s">
        <v>1067</v>
      </c>
      <c r="O8" s="63">
        <v>700</v>
      </c>
      <c r="P8" s="63">
        <v>1</v>
      </c>
      <c r="Q8" s="57" t="s">
        <v>1068</v>
      </c>
      <c r="R8" s="63">
        <v>5000</v>
      </c>
      <c r="S8" s="63">
        <v>1</v>
      </c>
      <c r="T8" s="57" t="s">
        <v>1069</v>
      </c>
      <c r="U8" s="63">
        <v>7000</v>
      </c>
      <c r="V8" s="63">
        <v>1</v>
      </c>
      <c r="W8" s="57" t="s">
        <v>1043</v>
      </c>
      <c r="X8" s="63">
        <v>4000</v>
      </c>
      <c r="Y8" s="63">
        <v>1</v>
      </c>
      <c r="Z8" s="57" t="s">
        <v>1070</v>
      </c>
      <c r="AA8" s="63">
        <v>2000</v>
      </c>
      <c r="AB8" s="63">
        <v>1</v>
      </c>
      <c r="AC8" s="57" t="s">
        <v>1071</v>
      </c>
      <c r="AD8" s="63">
        <v>30000</v>
      </c>
      <c r="AE8" s="63">
        <v>1</v>
      </c>
      <c r="AF8" s="57" t="s">
        <v>1072</v>
      </c>
      <c r="AG8" s="63">
        <v>250</v>
      </c>
      <c r="AH8" s="63">
        <v>1</v>
      </c>
      <c r="AI8" s="57" t="s">
        <v>1073</v>
      </c>
      <c r="AJ8" s="63">
        <v>15000</v>
      </c>
      <c r="AK8" s="63">
        <v>1</v>
      </c>
      <c r="AL8" s="71"/>
      <c r="AM8" s="73"/>
      <c r="AN8" s="73"/>
      <c r="AO8" s="73"/>
    </row>
  </sheetData>
  <pageMargins left="0.75" right="0.75" top="1" bottom="1" header="0.511805555555556" footer="0.511805555555556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31"/>
  <sheetViews>
    <sheetView workbookViewId="0">
      <selection activeCell="H4" sqref="H4:L18"/>
    </sheetView>
  </sheetViews>
  <sheetFormatPr defaultColWidth="8.69736842105263" defaultRowHeight="15.2" outlineLevelCol="5"/>
  <sheetData>
    <row r="1" ht="16" spans="1:6">
      <c r="A1" s="49" t="s">
        <v>365</v>
      </c>
      <c r="B1" s="50" t="s">
        <v>1074</v>
      </c>
      <c r="C1" s="49" t="s">
        <v>1075</v>
      </c>
      <c r="D1" s="49" t="s">
        <v>1076</v>
      </c>
      <c r="E1" s="49" t="s">
        <v>1077</v>
      </c>
      <c r="F1" s="49" t="s">
        <v>1078</v>
      </c>
    </row>
    <row r="2" ht="16" spans="1:6">
      <c r="A2" s="49" t="s">
        <v>26</v>
      </c>
      <c r="B2" s="51" t="s">
        <v>40</v>
      </c>
      <c r="C2" s="49" t="s">
        <v>40</v>
      </c>
      <c r="D2" s="49" t="s">
        <v>40</v>
      </c>
      <c r="E2" s="49" t="s">
        <v>40</v>
      </c>
      <c r="F2" s="49" t="s">
        <v>40</v>
      </c>
    </row>
    <row r="3" spans="1:6">
      <c r="A3" s="22" t="s">
        <v>378</v>
      </c>
      <c r="B3" s="52" t="s">
        <v>1079</v>
      </c>
      <c r="C3" s="22" t="s">
        <v>1080</v>
      </c>
      <c r="D3" s="22" t="s">
        <v>899</v>
      </c>
      <c r="E3" s="22" t="s">
        <v>1081</v>
      </c>
      <c r="F3" s="22" t="s">
        <v>899</v>
      </c>
    </row>
    <row r="4" spans="1:6">
      <c r="A4" s="22" t="s">
        <v>391</v>
      </c>
      <c r="B4" s="53">
        <v>44101</v>
      </c>
      <c r="C4" s="22">
        <v>5101</v>
      </c>
      <c r="D4" s="22">
        <v>27500</v>
      </c>
      <c r="E4" s="22">
        <v>5101</v>
      </c>
      <c r="F4" s="22">
        <v>15000</v>
      </c>
    </row>
    <row r="5" spans="1:6">
      <c r="A5" s="22" t="s">
        <v>394</v>
      </c>
      <c r="B5" s="53">
        <v>44101</v>
      </c>
      <c r="C5" s="22">
        <v>5105</v>
      </c>
      <c r="D5" s="22">
        <v>27500</v>
      </c>
      <c r="E5" s="22">
        <v>5105</v>
      </c>
      <c r="F5" s="22">
        <v>15000</v>
      </c>
    </row>
    <row r="6" spans="1:6">
      <c r="A6" s="22" t="s">
        <v>1082</v>
      </c>
      <c r="B6" s="53">
        <v>44101</v>
      </c>
      <c r="C6" s="22">
        <v>5103</v>
      </c>
      <c r="D6" s="22">
        <v>15000</v>
      </c>
      <c r="E6" s="22">
        <v>5103</v>
      </c>
      <c r="F6" s="22">
        <v>15000</v>
      </c>
    </row>
    <row r="7" spans="1:6">
      <c r="A7" s="22" t="s">
        <v>396</v>
      </c>
      <c r="B7" s="53">
        <v>44101</v>
      </c>
      <c r="C7" s="22">
        <v>5108</v>
      </c>
      <c r="D7" s="22">
        <v>15000</v>
      </c>
      <c r="E7" s="22">
        <v>5108</v>
      </c>
      <c r="F7" s="22">
        <v>15000</v>
      </c>
    </row>
    <row r="8" spans="1:6">
      <c r="A8" s="22" t="s">
        <v>1083</v>
      </c>
      <c r="B8" s="53">
        <v>44101</v>
      </c>
      <c r="C8" s="22">
        <v>5106</v>
      </c>
      <c r="D8" s="22">
        <v>5000</v>
      </c>
      <c r="E8" s="22">
        <v>5106</v>
      </c>
      <c r="F8" s="22">
        <v>15000</v>
      </c>
    </row>
    <row r="9" spans="1:6">
      <c r="A9" s="22" t="s">
        <v>397</v>
      </c>
      <c r="B9" s="53">
        <v>44101</v>
      </c>
      <c r="C9" s="22">
        <v>5109</v>
      </c>
      <c r="D9" s="22">
        <v>5000</v>
      </c>
      <c r="E9" s="22">
        <v>5109</v>
      </c>
      <c r="F9" s="22">
        <v>15000</v>
      </c>
    </row>
    <row r="10" spans="1:6">
      <c r="A10" s="22" t="s">
        <v>398</v>
      </c>
      <c r="B10" s="53">
        <v>44101</v>
      </c>
      <c r="C10" s="22">
        <v>5110</v>
      </c>
      <c r="D10" s="22">
        <v>5000</v>
      </c>
      <c r="E10" s="22">
        <v>5110</v>
      </c>
      <c r="F10" s="22">
        <v>10000</v>
      </c>
    </row>
    <row r="11" spans="1:6">
      <c r="A11" s="22" t="s">
        <v>391</v>
      </c>
      <c r="B11" s="54">
        <v>44102</v>
      </c>
      <c r="C11" s="22">
        <v>5101</v>
      </c>
      <c r="D11" s="22">
        <v>20000</v>
      </c>
      <c r="E11" s="22">
        <v>5101</v>
      </c>
      <c r="F11" s="22">
        <v>15000</v>
      </c>
    </row>
    <row r="12" spans="1:6">
      <c r="A12" s="22" t="s">
        <v>394</v>
      </c>
      <c r="B12" s="54">
        <v>44102</v>
      </c>
      <c r="C12" s="22">
        <v>5105</v>
      </c>
      <c r="D12" s="22">
        <v>20000</v>
      </c>
      <c r="E12" s="22">
        <v>5105</v>
      </c>
      <c r="F12" s="22">
        <v>15000</v>
      </c>
    </row>
    <row r="13" spans="1:6">
      <c r="A13" s="22" t="s">
        <v>1082</v>
      </c>
      <c r="B13" s="54">
        <v>44102</v>
      </c>
      <c r="C13" s="22">
        <v>5103</v>
      </c>
      <c r="D13" s="22">
        <v>22500</v>
      </c>
      <c r="E13" s="22">
        <v>5103</v>
      </c>
      <c r="F13" s="22">
        <v>15000</v>
      </c>
    </row>
    <row r="14" spans="1:6">
      <c r="A14" s="22" t="s">
        <v>396</v>
      </c>
      <c r="B14" s="54">
        <v>44102</v>
      </c>
      <c r="C14" s="22">
        <v>5108</v>
      </c>
      <c r="D14" s="22">
        <v>22500</v>
      </c>
      <c r="E14" s="22">
        <v>5108</v>
      </c>
      <c r="F14" s="22">
        <v>15000</v>
      </c>
    </row>
    <row r="15" spans="1:6">
      <c r="A15" s="22" t="s">
        <v>1083</v>
      </c>
      <c r="B15" s="54">
        <v>44102</v>
      </c>
      <c r="C15" s="22">
        <v>5106</v>
      </c>
      <c r="D15" s="22">
        <v>5000</v>
      </c>
      <c r="E15" s="22">
        <v>5106</v>
      </c>
      <c r="F15" s="22">
        <v>15000</v>
      </c>
    </row>
    <row r="16" spans="1:6">
      <c r="A16" s="22" t="s">
        <v>397</v>
      </c>
      <c r="B16" s="54">
        <v>44102</v>
      </c>
      <c r="C16" s="22">
        <v>5109</v>
      </c>
      <c r="D16" s="22">
        <v>5000</v>
      </c>
      <c r="E16" s="22">
        <v>5109</v>
      </c>
      <c r="F16" s="22">
        <v>15000</v>
      </c>
    </row>
    <row r="17" spans="1:6">
      <c r="A17" s="22" t="s">
        <v>398</v>
      </c>
      <c r="B17" s="54">
        <v>44102</v>
      </c>
      <c r="C17" s="22">
        <v>5110</v>
      </c>
      <c r="D17" s="22">
        <v>5000</v>
      </c>
      <c r="E17" s="22">
        <v>5110</v>
      </c>
      <c r="F17" s="22">
        <v>10000</v>
      </c>
    </row>
    <row r="18" spans="1:6">
      <c r="A18" s="22" t="s">
        <v>391</v>
      </c>
      <c r="B18" s="54">
        <v>44103</v>
      </c>
      <c r="C18" s="22">
        <v>5101</v>
      </c>
      <c r="D18" s="22">
        <v>5000</v>
      </c>
      <c r="E18" s="22">
        <v>5101</v>
      </c>
      <c r="F18" s="22">
        <v>15000</v>
      </c>
    </row>
    <row r="19" spans="1:6">
      <c r="A19" s="22" t="s">
        <v>394</v>
      </c>
      <c r="B19" s="54">
        <v>44103</v>
      </c>
      <c r="C19" s="22">
        <v>5105</v>
      </c>
      <c r="D19" s="22">
        <v>5000</v>
      </c>
      <c r="E19" s="22">
        <v>5105</v>
      </c>
      <c r="F19" s="22">
        <v>15000</v>
      </c>
    </row>
    <row r="20" spans="1:6">
      <c r="A20" s="22" t="s">
        <v>1082</v>
      </c>
      <c r="B20" s="54">
        <v>44103</v>
      </c>
      <c r="C20" s="22">
        <v>5103</v>
      </c>
      <c r="D20" s="22">
        <v>18000</v>
      </c>
      <c r="E20" s="22">
        <v>5103</v>
      </c>
      <c r="F20" s="22">
        <v>15000</v>
      </c>
    </row>
    <row r="21" spans="1:6">
      <c r="A21" s="22" t="s">
        <v>396</v>
      </c>
      <c r="B21" s="54">
        <v>44103</v>
      </c>
      <c r="C21" s="22">
        <v>5108</v>
      </c>
      <c r="D21" s="22">
        <v>18000</v>
      </c>
      <c r="E21" s="22">
        <v>5108</v>
      </c>
      <c r="F21" s="22">
        <v>15000</v>
      </c>
    </row>
    <row r="22" spans="1:6">
      <c r="A22" s="22" t="s">
        <v>1083</v>
      </c>
      <c r="B22" s="54">
        <v>44103</v>
      </c>
      <c r="C22" s="22">
        <v>5106</v>
      </c>
      <c r="D22" s="22">
        <v>18000</v>
      </c>
      <c r="E22" s="22">
        <v>5106</v>
      </c>
      <c r="F22" s="22">
        <v>15000</v>
      </c>
    </row>
    <row r="23" spans="1:6">
      <c r="A23" s="22" t="s">
        <v>397</v>
      </c>
      <c r="B23" s="54">
        <v>44103</v>
      </c>
      <c r="C23" s="22">
        <v>5109</v>
      </c>
      <c r="D23" s="22">
        <v>18000</v>
      </c>
      <c r="E23" s="22">
        <v>5109</v>
      </c>
      <c r="F23" s="22">
        <v>15000</v>
      </c>
    </row>
    <row r="24" spans="1:6">
      <c r="A24" s="22" t="s">
        <v>398</v>
      </c>
      <c r="B24" s="54">
        <v>44103</v>
      </c>
      <c r="C24" s="22">
        <v>5110</v>
      </c>
      <c r="D24" s="22">
        <v>18000</v>
      </c>
      <c r="E24" s="22">
        <v>5110</v>
      </c>
      <c r="F24" s="22">
        <v>10000</v>
      </c>
    </row>
    <row r="25" spans="1:6">
      <c r="A25" s="22" t="s">
        <v>391</v>
      </c>
      <c r="B25" s="54">
        <v>44104</v>
      </c>
      <c r="C25" s="22">
        <v>5101</v>
      </c>
      <c r="D25" s="22">
        <v>5000</v>
      </c>
      <c r="E25" s="22">
        <v>5101</v>
      </c>
      <c r="F25" s="22">
        <v>15000</v>
      </c>
    </row>
    <row r="26" spans="1:6">
      <c r="A26" s="22" t="s">
        <v>394</v>
      </c>
      <c r="B26" s="54">
        <v>44104</v>
      </c>
      <c r="C26" s="22">
        <v>5105</v>
      </c>
      <c r="D26" s="22">
        <v>5000</v>
      </c>
      <c r="E26" s="22">
        <v>5105</v>
      </c>
      <c r="F26" s="22">
        <v>15000</v>
      </c>
    </row>
    <row r="27" spans="1:6">
      <c r="A27" s="22" t="s">
        <v>1082</v>
      </c>
      <c r="B27" s="54">
        <v>44104</v>
      </c>
      <c r="C27" s="22">
        <v>5103</v>
      </c>
      <c r="D27" s="22">
        <v>7500</v>
      </c>
      <c r="E27" s="22">
        <v>5103</v>
      </c>
      <c r="F27" s="22">
        <v>15000</v>
      </c>
    </row>
    <row r="28" spans="1:6">
      <c r="A28" s="22" t="s">
        <v>396</v>
      </c>
      <c r="B28" s="54">
        <v>44104</v>
      </c>
      <c r="C28" s="22">
        <v>5108</v>
      </c>
      <c r="D28" s="22">
        <v>7500</v>
      </c>
      <c r="E28" s="22">
        <v>5108</v>
      </c>
      <c r="F28" s="22">
        <v>15000</v>
      </c>
    </row>
    <row r="29" spans="1:6">
      <c r="A29" s="22" t="s">
        <v>1083</v>
      </c>
      <c r="B29" s="54">
        <v>44104</v>
      </c>
      <c r="C29" s="22">
        <v>5106</v>
      </c>
      <c r="D29" s="22">
        <v>25000</v>
      </c>
      <c r="E29" s="22">
        <v>5106</v>
      </c>
      <c r="F29" s="22">
        <v>15000</v>
      </c>
    </row>
    <row r="30" spans="1:6">
      <c r="A30" s="22" t="s">
        <v>397</v>
      </c>
      <c r="B30" s="54">
        <v>44104</v>
      </c>
      <c r="C30" s="22">
        <v>5109</v>
      </c>
      <c r="D30" s="22">
        <v>25000</v>
      </c>
      <c r="E30" s="22">
        <v>5109</v>
      </c>
      <c r="F30" s="22">
        <v>15000</v>
      </c>
    </row>
    <row r="31" spans="1:6">
      <c r="A31" s="22" t="s">
        <v>398</v>
      </c>
      <c r="B31" s="54">
        <v>44104</v>
      </c>
      <c r="C31" s="22">
        <v>5110</v>
      </c>
      <c r="D31" s="22">
        <v>25000</v>
      </c>
      <c r="E31" s="22">
        <v>5110</v>
      </c>
      <c r="F31" s="22">
        <v>10000</v>
      </c>
    </row>
  </sheetData>
  <pageMargins left="0.75" right="0.75" top="1" bottom="1" header="0.511805555555556" footer="0.511805555555556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I417"/>
  <sheetViews>
    <sheetView workbookViewId="0">
      <pane ySplit="3" topLeftCell="A397" activePane="bottomLeft" state="frozen"/>
      <selection/>
      <selection pane="bottomLeft" activeCell="K385" sqref="K385"/>
    </sheetView>
  </sheetViews>
  <sheetFormatPr defaultColWidth="11.6973684210526" defaultRowHeight="17.6"/>
  <cols>
    <col min="1" max="1" width="11.6973684210526" style="43" customWidth="1"/>
    <col min="2" max="3" width="16.7960526315789" style="43" hidden="1" customWidth="1"/>
    <col min="4" max="5" width="11.6973684210526" style="43" hidden="1" customWidth="1"/>
    <col min="6" max="35" width="11.6973684210526" style="43"/>
    <col min="36" max="16384" width="11.6973684210526" style="44"/>
  </cols>
  <sheetData>
    <row r="1" spans="1:35">
      <c r="A1" s="43" t="s">
        <v>1084</v>
      </c>
      <c r="B1" s="43" t="s">
        <v>1085</v>
      </c>
      <c r="C1" s="43" t="s">
        <v>1086</v>
      </c>
      <c r="D1" s="43" t="s">
        <v>1087</v>
      </c>
      <c r="E1" s="43" t="s">
        <v>1088</v>
      </c>
      <c r="F1" s="43" t="s">
        <v>1001</v>
      </c>
      <c r="G1" s="43" t="s">
        <v>1089</v>
      </c>
      <c r="H1" s="43" t="s">
        <v>888</v>
      </c>
      <c r="I1" s="43" t="s">
        <v>1090</v>
      </c>
      <c r="J1" s="43" t="s">
        <v>1091</v>
      </c>
      <c r="K1" s="43" t="s">
        <v>1092</v>
      </c>
      <c r="L1" s="43" t="s">
        <v>1001</v>
      </c>
      <c r="M1" s="43" t="s">
        <v>1089</v>
      </c>
      <c r="N1" s="43" t="s">
        <v>888</v>
      </c>
      <c r="O1" s="43" t="s">
        <v>1090</v>
      </c>
      <c r="P1" s="43" t="s">
        <v>1091</v>
      </c>
      <c r="Q1" s="43" t="s">
        <v>1092</v>
      </c>
      <c r="R1" s="43" t="s">
        <v>1001</v>
      </c>
      <c r="S1" s="43" t="s">
        <v>1089</v>
      </c>
      <c r="T1" s="43" t="s">
        <v>888</v>
      </c>
      <c r="U1" s="43" t="s">
        <v>1090</v>
      </c>
      <c r="V1" s="43" t="s">
        <v>1091</v>
      </c>
      <c r="W1" s="43" t="s">
        <v>1092</v>
      </c>
      <c r="X1" s="43" t="s">
        <v>1001</v>
      </c>
      <c r="Y1" s="43" t="s">
        <v>1089</v>
      </c>
      <c r="Z1" s="43" t="s">
        <v>888</v>
      </c>
      <c r="AA1" s="43" t="s">
        <v>1090</v>
      </c>
      <c r="AB1" s="43" t="s">
        <v>1091</v>
      </c>
      <c r="AC1" s="43" t="s">
        <v>1092</v>
      </c>
      <c r="AD1" s="43" t="s">
        <v>1001</v>
      </c>
      <c r="AE1" s="43" t="s">
        <v>1089</v>
      </c>
      <c r="AF1" s="43" t="s">
        <v>888</v>
      </c>
      <c r="AG1" s="43" t="s">
        <v>1090</v>
      </c>
      <c r="AH1" s="43" t="s">
        <v>1091</v>
      </c>
      <c r="AI1" s="43" t="s">
        <v>1092</v>
      </c>
    </row>
    <row r="2" spans="1:35">
      <c r="A2" s="43" t="s">
        <v>40</v>
      </c>
      <c r="B2" s="43" t="s">
        <v>40</v>
      </c>
      <c r="C2" s="43" t="s">
        <v>40</v>
      </c>
      <c r="D2" s="43" t="s">
        <v>40</v>
      </c>
      <c r="E2" s="43" t="s">
        <v>40</v>
      </c>
      <c r="F2" s="43" t="s">
        <v>41</v>
      </c>
      <c r="G2" s="43" t="s">
        <v>40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41</v>
      </c>
      <c r="M2" s="43" t="s">
        <v>40</v>
      </c>
      <c r="N2" s="43" t="s">
        <v>40</v>
      </c>
      <c r="O2" s="43" t="s">
        <v>40</v>
      </c>
      <c r="P2" s="43" t="s">
        <v>40</v>
      </c>
      <c r="Q2" s="43" t="s">
        <v>40</v>
      </c>
      <c r="R2" s="43" t="s">
        <v>41</v>
      </c>
      <c r="S2" s="43" t="s">
        <v>40</v>
      </c>
      <c r="T2" s="43" t="s">
        <v>40</v>
      </c>
      <c r="U2" s="43" t="s">
        <v>40</v>
      </c>
      <c r="V2" s="43" t="s">
        <v>40</v>
      </c>
      <c r="W2" s="43" t="s">
        <v>40</v>
      </c>
      <c r="X2" s="43" t="s">
        <v>41</v>
      </c>
      <c r="Y2" s="43" t="s">
        <v>40</v>
      </c>
      <c r="Z2" s="43" t="s">
        <v>40</v>
      </c>
      <c r="AA2" s="43" t="s">
        <v>40</v>
      </c>
      <c r="AB2" s="43" t="s">
        <v>40</v>
      </c>
      <c r="AC2" s="43" t="s">
        <v>40</v>
      </c>
      <c r="AD2" s="43" t="s">
        <v>41</v>
      </c>
      <c r="AE2" s="43" t="s">
        <v>40</v>
      </c>
      <c r="AF2" s="43" t="s">
        <v>40</v>
      </c>
      <c r="AG2" s="43" t="s">
        <v>40</v>
      </c>
      <c r="AH2" s="43" t="s">
        <v>40</v>
      </c>
      <c r="AI2" s="43" t="s">
        <v>40</v>
      </c>
    </row>
    <row r="3" ht="18" spans="1:35">
      <c r="A3" s="43" t="s">
        <v>1093</v>
      </c>
      <c r="B3" s="45" t="s">
        <v>1094</v>
      </c>
      <c r="C3" s="45" t="s">
        <v>1095</v>
      </c>
      <c r="D3" s="43" t="s">
        <v>48</v>
      </c>
      <c r="E3" s="43" t="s">
        <v>1096</v>
      </c>
      <c r="F3" s="43" t="s">
        <v>1097</v>
      </c>
      <c r="G3" s="43" t="s">
        <v>1098</v>
      </c>
      <c r="H3" s="43" t="s">
        <v>899</v>
      </c>
      <c r="I3" s="43" t="s">
        <v>1099</v>
      </c>
      <c r="J3" s="43" t="s">
        <v>1100</v>
      </c>
      <c r="K3" s="43" t="s">
        <v>1101</v>
      </c>
      <c r="L3" s="43" t="s">
        <v>1097</v>
      </c>
      <c r="M3" s="43" t="s">
        <v>1098</v>
      </c>
      <c r="N3" s="43" t="s">
        <v>899</v>
      </c>
      <c r="O3" s="43" t="s">
        <v>1099</v>
      </c>
      <c r="P3" s="43" t="s">
        <v>1100</v>
      </c>
      <c r="Q3" s="43" t="s">
        <v>1101</v>
      </c>
      <c r="R3" s="43" t="s">
        <v>1097</v>
      </c>
      <c r="S3" s="43" t="s">
        <v>1098</v>
      </c>
      <c r="T3" s="43" t="s">
        <v>899</v>
      </c>
      <c r="U3" s="43" t="s">
        <v>1099</v>
      </c>
      <c r="V3" s="43" t="s">
        <v>1100</v>
      </c>
      <c r="W3" s="43" t="s">
        <v>1101</v>
      </c>
      <c r="X3" s="43" t="s">
        <v>1097</v>
      </c>
      <c r="Y3" s="43" t="s">
        <v>1098</v>
      </c>
      <c r="Z3" s="43" t="s">
        <v>899</v>
      </c>
      <c r="AA3" s="43" t="s">
        <v>1099</v>
      </c>
      <c r="AB3" s="43" t="s">
        <v>1100</v>
      </c>
      <c r="AC3" s="43" t="s">
        <v>1101</v>
      </c>
      <c r="AD3" s="43" t="s">
        <v>1097</v>
      </c>
      <c r="AE3" s="43" t="s">
        <v>1098</v>
      </c>
      <c r="AF3" s="43" t="s">
        <v>899</v>
      </c>
      <c r="AG3" s="43" t="s">
        <v>1099</v>
      </c>
      <c r="AH3" s="43" t="s">
        <v>1100</v>
      </c>
      <c r="AI3" s="43" t="s">
        <v>1101</v>
      </c>
    </row>
    <row r="4" spans="1:31">
      <c r="A4" s="43">
        <v>44411</v>
      </c>
      <c r="B4" s="43">
        <v>2</v>
      </c>
      <c r="C4" s="43">
        <v>8</v>
      </c>
      <c r="D4" s="43">
        <v>1</v>
      </c>
      <c r="E4" s="43">
        <v>1</v>
      </c>
      <c r="F4" s="43" t="s">
        <v>61</v>
      </c>
      <c r="G4" s="43">
        <f>IF(F4&gt;0,INDEX(Fish!$D:$D,MATCH(F4,Fish!$L:$L,0)),"")</f>
        <v>11001</v>
      </c>
      <c r="H4" s="43">
        <v>0</v>
      </c>
      <c r="I4" s="43">
        <v>4</v>
      </c>
      <c r="J4" s="43">
        <v>20</v>
      </c>
      <c r="K4" s="43">
        <v>25</v>
      </c>
      <c r="L4" s="43" t="s">
        <v>65</v>
      </c>
      <c r="M4" s="43">
        <f>IF(L4&gt;0,INDEX(Fish!$D:$D,MATCH(L4,Fish!$L:$L,0)),"")</f>
        <v>11003</v>
      </c>
      <c r="N4" s="43">
        <v>0</v>
      </c>
      <c r="O4" s="43">
        <v>3</v>
      </c>
      <c r="P4" s="43">
        <v>15</v>
      </c>
      <c r="Q4" s="43">
        <v>20</v>
      </c>
      <c r="S4" s="43" t="str">
        <f>IF(R4&gt;0,INDEX(Fish!$D:$D,MATCH(R4,Fish!$L:$L,0)),"")</f>
        <v/>
      </c>
      <c r="Y4" s="43" t="str">
        <f>IF(X4&gt;0,INDEX(Fish!$D:$D,MATCH(X4,Fish!$L:$L,0)),"")</f>
        <v/>
      </c>
      <c r="AE4" s="43" t="str">
        <f>IF(AD4&gt;0,VLOOKUP(AD4,IF({1,0},#REF!,#REF!),2,FALSE),"")</f>
        <v/>
      </c>
    </row>
    <row r="5" spans="1:31">
      <c r="A5" s="43">
        <v>44411</v>
      </c>
      <c r="B5" s="43">
        <v>2</v>
      </c>
      <c r="C5" s="43">
        <v>8</v>
      </c>
      <c r="D5" s="43">
        <v>1</v>
      </c>
      <c r="E5" s="43">
        <v>1</v>
      </c>
      <c r="F5" s="43" t="s">
        <v>61</v>
      </c>
      <c r="G5" s="43">
        <f>IF(F5&gt;0,INDEX(Fish!$D:$D,MATCH(F5,Fish!$L:$L,0)),"")</f>
        <v>11001</v>
      </c>
      <c r="H5" s="43">
        <v>0</v>
      </c>
      <c r="I5" s="43">
        <v>4</v>
      </c>
      <c r="J5" s="43">
        <v>20</v>
      </c>
      <c r="K5" s="43">
        <v>25</v>
      </c>
      <c r="L5" s="46" t="s">
        <v>67</v>
      </c>
      <c r="M5" s="43">
        <f>IF(L5&gt;0,INDEX(Fish!$D:$D,MATCH(L5,Fish!$L:$L,0)),"")</f>
        <v>11004</v>
      </c>
      <c r="N5" s="43">
        <v>0</v>
      </c>
      <c r="O5" s="43">
        <v>3</v>
      </c>
      <c r="P5" s="43">
        <v>15</v>
      </c>
      <c r="Q5" s="43">
        <v>20</v>
      </c>
      <c r="S5" s="43" t="str">
        <f>IF(R5&gt;0,INDEX(Fish!$D:$D,MATCH(R5,Fish!$L:$L,0)),"")</f>
        <v/>
      </c>
      <c r="Y5" s="43" t="str">
        <f>IF(X5&gt;0,INDEX(Fish!$D:$D,MATCH(X5,Fish!$L:$L,0)),"")</f>
        <v/>
      </c>
      <c r="AE5" s="43" t="str">
        <f>IF(AD5&gt;0,VLOOKUP(AD5,IF({1,0},#REF!,#REF!),2,FALSE),"")</f>
        <v/>
      </c>
    </row>
    <row r="6" spans="1:31">
      <c r="A6" s="43">
        <v>44411</v>
      </c>
      <c r="B6" s="43">
        <v>2</v>
      </c>
      <c r="C6" s="43">
        <v>8</v>
      </c>
      <c r="D6" s="43">
        <v>1</v>
      </c>
      <c r="E6" s="43">
        <v>1</v>
      </c>
      <c r="F6" s="43" t="s">
        <v>63</v>
      </c>
      <c r="G6" s="43">
        <f>IF(F6&gt;0,INDEX(Fish!$D:$D,MATCH(F6,Fish!$L:$L,0)),"")</f>
        <v>11002</v>
      </c>
      <c r="H6" s="43">
        <v>0</v>
      </c>
      <c r="I6" s="43">
        <v>4</v>
      </c>
      <c r="J6" s="43">
        <v>20</v>
      </c>
      <c r="K6" s="43">
        <v>25</v>
      </c>
      <c r="L6" s="43" t="s">
        <v>65</v>
      </c>
      <c r="M6" s="43">
        <f>IF(L6&gt;0,INDEX(Fish!$D:$D,MATCH(L6,Fish!$L:$L,0)),"")</f>
        <v>11003</v>
      </c>
      <c r="N6" s="43">
        <v>0</v>
      </c>
      <c r="O6" s="43">
        <v>3</v>
      </c>
      <c r="P6" s="43">
        <v>15</v>
      </c>
      <c r="Q6" s="43">
        <v>20</v>
      </c>
      <c r="S6" s="43" t="str">
        <f>IF(R6&gt;0,INDEX(Fish!$D:$D,MATCH(R6,Fish!$L:$L,0)),"")</f>
        <v/>
      </c>
      <c r="Y6" s="43" t="str">
        <f>IF(X6&gt;0,INDEX(Fish!$D:$D,MATCH(X6,Fish!$L:$L,0)),"")</f>
        <v/>
      </c>
      <c r="AE6" s="43" t="str">
        <f>IF(AD6&gt;0,VLOOKUP(AD6,IF({1,0},#REF!,#REF!),2,FALSE),"")</f>
        <v/>
      </c>
    </row>
    <row r="7" spans="1:31">
      <c r="A7" s="43">
        <v>44411</v>
      </c>
      <c r="B7" s="43">
        <v>2</v>
      </c>
      <c r="C7" s="43">
        <v>8</v>
      </c>
      <c r="D7" s="43">
        <v>1</v>
      </c>
      <c r="E7" s="43">
        <v>1</v>
      </c>
      <c r="F7" s="43" t="s">
        <v>63</v>
      </c>
      <c r="G7" s="43">
        <f>IF(F7&gt;0,INDEX(Fish!$D:$D,MATCH(F7,Fish!$L:$L,0)),"")</f>
        <v>11002</v>
      </c>
      <c r="H7" s="43">
        <v>0</v>
      </c>
      <c r="I7" s="43">
        <v>4</v>
      </c>
      <c r="J7" s="43">
        <v>20</v>
      </c>
      <c r="K7" s="43">
        <v>25</v>
      </c>
      <c r="L7" s="43" t="s">
        <v>67</v>
      </c>
      <c r="M7" s="43">
        <f>IF(L7&gt;0,INDEX(Fish!$D:$D,MATCH(L7,Fish!$L:$L,0)),"")</f>
        <v>11004</v>
      </c>
      <c r="N7" s="43">
        <v>0</v>
      </c>
      <c r="O7" s="43">
        <v>3</v>
      </c>
      <c r="P7" s="43">
        <v>15</v>
      </c>
      <c r="Q7" s="43">
        <v>20</v>
      </c>
      <c r="S7" s="43" t="str">
        <f>IF(R7&gt;0,INDEX(Fish!$D:$D,MATCH(R7,Fish!$L:$L,0)),"")</f>
        <v/>
      </c>
      <c r="Y7" s="43" t="str">
        <f>IF(X7&gt;0,INDEX(Fish!$D:$D,MATCH(X7,Fish!$L:$L,0)),"")</f>
        <v/>
      </c>
      <c r="AE7" s="43" t="str">
        <f>IF(AD7&gt;0,VLOOKUP(AD7,IF({1,0},#REF!,#REF!),2,FALSE),"")</f>
        <v/>
      </c>
    </row>
    <row r="8" spans="1:31">
      <c r="A8" s="43">
        <v>44411</v>
      </c>
      <c r="B8" s="43">
        <v>2</v>
      </c>
      <c r="C8" s="43">
        <v>0</v>
      </c>
      <c r="D8" s="43">
        <v>2</v>
      </c>
      <c r="E8" s="43">
        <v>1</v>
      </c>
      <c r="F8" s="43" t="s">
        <v>75</v>
      </c>
      <c r="G8" s="43">
        <f>IF(F8&gt;0,INDEX(Fish!$D:$D,MATCH(F8,Fish!$L:$L,0)),"")</f>
        <v>11008</v>
      </c>
      <c r="H8" s="43">
        <v>0</v>
      </c>
      <c r="I8" s="43">
        <v>1</v>
      </c>
      <c r="J8" s="43">
        <v>4</v>
      </c>
      <c r="K8" s="43">
        <v>6</v>
      </c>
      <c r="L8" s="43" t="s">
        <v>83</v>
      </c>
      <c r="M8" s="43">
        <f>IF(L8&gt;0,INDEX(Fish!$D:$D,MATCH(L8,Fish!$L:$L,0)),"")</f>
        <v>11011</v>
      </c>
      <c r="N8" s="43">
        <v>0</v>
      </c>
      <c r="O8" s="43">
        <v>1</v>
      </c>
      <c r="P8" s="43">
        <v>3</v>
      </c>
      <c r="Q8" s="43">
        <v>5</v>
      </c>
      <c r="R8" s="43" t="s">
        <v>95</v>
      </c>
      <c r="S8" s="43">
        <f>IF(R8&gt;0,INDEX(Fish!$D:$D,MATCH(R8,Fish!$L:$L,0)),"")</f>
        <v>11017</v>
      </c>
      <c r="T8" s="43">
        <v>0</v>
      </c>
      <c r="U8" s="43">
        <v>1</v>
      </c>
      <c r="V8" s="43">
        <v>3</v>
      </c>
      <c r="W8" s="43">
        <v>4</v>
      </c>
      <c r="X8" s="43" t="s">
        <v>91</v>
      </c>
      <c r="Y8" s="43">
        <f>IF(X8&gt;0,INDEX(Fish!$D:$D,MATCH(X8,Fish!$L:$L,0)),"")</f>
        <v>11015</v>
      </c>
      <c r="Z8" s="43">
        <v>0</v>
      </c>
      <c r="AA8" s="43">
        <v>1</v>
      </c>
      <c r="AB8" s="43">
        <v>2</v>
      </c>
      <c r="AC8" s="43">
        <v>3</v>
      </c>
      <c r="AE8" s="43" t="str">
        <f>IF(AD8&gt;0,VLOOKUP(AD8,IF({1,0},#REF!,#REF!),2,FALSE),"")</f>
        <v/>
      </c>
    </row>
    <row r="9" spans="1:31">
      <c r="A9" s="43">
        <v>44411</v>
      </c>
      <c r="B9" s="43">
        <v>2</v>
      </c>
      <c r="C9" s="43">
        <v>0</v>
      </c>
      <c r="D9" s="43">
        <v>2</v>
      </c>
      <c r="E9" s="43">
        <v>1</v>
      </c>
      <c r="F9" s="43" t="s">
        <v>75</v>
      </c>
      <c r="G9" s="43">
        <f>IF(F9&gt;0,INDEX(Fish!$D:$D,MATCH(F9,Fish!$L:$L,0)),"")</f>
        <v>11008</v>
      </c>
      <c r="H9" s="43">
        <v>0</v>
      </c>
      <c r="I9" s="43">
        <v>1</v>
      </c>
      <c r="J9" s="43">
        <v>4</v>
      </c>
      <c r="K9" s="43">
        <v>6</v>
      </c>
      <c r="L9" s="43" t="s">
        <v>83</v>
      </c>
      <c r="M9" s="43">
        <f>IF(L9&gt;0,INDEX(Fish!$D:$D,MATCH(L9,Fish!$L:$L,0)),"")</f>
        <v>11011</v>
      </c>
      <c r="N9" s="43">
        <v>0</v>
      </c>
      <c r="O9" s="43">
        <v>1</v>
      </c>
      <c r="P9" s="43">
        <v>3</v>
      </c>
      <c r="Q9" s="43">
        <v>5</v>
      </c>
      <c r="R9" s="43" t="s">
        <v>95</v>
      </c>
      <c r="S9" s="43">
        <f>IF(R9&gt;0,INDEX(Fish!$D:$D,MATCH(R9,Fish!$L:$L,0)),"")</f>
        <v>11017</v>
      </c>
      <c r="T9" s="43">
        <v>0</v>
      </c>
      <c r="U9" s="43">
        <v>1</v>
      </c>
      <c r="V9" s="43">
        <v>3</v>
      </c>
      <c r="W9" s="43">
        <v>4</v>
      </c>
      <c r="X9" s="43" t="s">
        <v>97</v>
      </c>
      <c r="Y9" s="43">
        <f>IF(X9&gt;0,INDEX(Fish!$D:$D,MATCH(X9,Fish!$L:$L,0)),"")</f>
        <v>11020</v>
      </c>
      <c r="Z9" s="43">
        <v>0</v>
      </c>
      <c r="AA9" s="43">
        <v>1</v>
      </c>
      <c r="AB9" s="43">
        <v>2</v>
      </c>
      <c r="AC9" s="43">
        <v>3</v>
      </c>
      <c r="AE9" s="43" t="str">
        <f>IF(AD9&gt;0,VLOOKUP(AD9,IF({1,0},#REF!,#REF!),2,FALSE),"")</f>
        <v/>
      </c>
    </row>
    <row r="10" spans="1:31">
      <c r="A10" s="43">
        <v>44411</v>
      </c>
      <c r="B10" s="43">
        <v>2</v>
      </c>
      <c r="C10" s="43">
        <v>0</v>
      </c>
      <c r="D10" s="43">
        <v>2</v>
      </c>
      <c r="E10" s="43">
        <v>1</v>
      </c>
      <c r="F10" s="43" t="s">
        <v>75</v>
      </c>
      <c r="G10" s="43">
        <f>IF(F10&gt;0,INDEX(Fish!$D:$D,MATCH(F10,Fish!$L:$L,0)),"")</f>
        <v>11008</v>
      </c>
      <c r="H10" s="43">
        <v>0</v>
      </c>
      <c r="I10" s="43">
        <v>1</v>
      </c>
      <c r="J10" s="43">
        <v>4</v>
      </c>
      <c r="K10" s="43">
        <v>6</v>
      </c>
      <c r="L10" s="43" t="s">
        <v>83</v>
      </c>
      <c r="M10" s="43">
        <f>IF(L10&gt;0,INDEX(Fish!$D:$D,MATCH(L10,Fish!$L:$L,0)),"")</f>
        <v>11011</v>
      </c>
      <c r="N10" s="43">
        <v>0</v>
      </c>
      <c r="O10" s="43">
        <v>1</v>
      </c>
      <c r="P10" s="43">
        <v>3</v>
      </c>
      <c r="Q10" s="43">
        <v>5</v>
      </c>
      <c r="R10" s="43" t="s">
        <v>95</v>
      </c>
      <c r="S10" s="43">
        <f>IF(R10&gt;0,INDEX(Fish!$D:$D,MATCH(R10,Fish!$L:$L,0)),"")</f>
        <v>11017</v>
      </c>
      <c r="T10" s="43">
        <v>0</v>
      </c>
      <c r="U10" s="43">
        <v>1</v>
      </c>
      <c r="V10" s="43">
        <v>3</v>
      </c>
      <c r="W10" s="43">
        <v>4</v>
      </c>
      <c r="X10" s="43" t="s">
        <v>87</v>
      </c>
      <c r="Y10" s="43">
        <f>IF(X10&gt;0,INDEX(Fish!$D:$D,MATCH(X10,Fish!$L:$L,0)),"")</f>
        <v>11013</v>
      </c>
      <c r="Z10" s="43">
        <v>0</v>
      </c>
      <c r="AA10" s="43">
        <v>1</v>
      </c>
      <c r="AB10" s="43">
        <v>2</v>
      </c>
      <c r="AC10" s="43">
        <v>3</v>
      </c>
      <c r="AE10" s="43" t="str">
        <f>IF(AD10&gt;0,VLOOKUP(AD10,IF({1,0},#REF!,#REF!),2,FALSE),"")</f>
        <v/>
      </c>
    </row>
    <row r="11" spans="1:31">
      <c r="A11" s="43">
        <v>44411</v>
      </c>
      <c r="B11" s="43">
        <v>2</v>
      </c>
      <c r="C11" s="43">
        <v>0</v>
      </c>
      <c r="D11" s="43">
        <v>2</v>
      </c>
      <c r="E11" s="43">
        <v>1</v>
      </c>
      <c r="F11" s="43" t="s">
        <v>75</v>
      </c>
      <c r="G11" s="43">
        <f>IF(F11&gt;0,INDEX(Fish!$D:$D,MATCH(F11,Fish!$L:$L,0)),"")</f>
        <v>11008</v>
      </c>
      <c r="H11" s="43">
        <v>0</v>
      </c>
      <c r="I11" s="43">
        <v>1</v>
      </c>
      <c r="J11" s="43">
        <v>4</v>
      </c>
      <c r="K11" s="43">
        <v>6</v>
      </c>
      <c r="L11" s="43" t="s">
        <v>83</v>
      </c>
      <c r="M11" s="43">
        <f>IF(L11&gt;0,INDEX(Fish!$D:$D,MATCH(L11,Fish!$L:$L,0)),"")</f>
        <v>11011</v>
      </c>
      <c r="N11" s="43">
        <v>0</v>
      </c>
      <c r="O11" s="43">
        <v>1</v>
      </c>
      <c r="P11" s="43">
        <v>3</v>
      </c>
      <c r="Q11" s="43">
        <v>5</v>
      </c>
      <c r="R11" s="43" t="s">
        <v>85</v>
      </c>
      <c r="S11" s="43">
        <f>IF(R11&gt;0,INDEX(Fish!$D:$D,MATCH(R11,Fish!$L:$L,0)),"")</f>
        <v>11012</v>
      </c>
      <c r="T11" s="43">
        <v>0</v>
      </c>
      <c r="U11" s="43">
        <v>1</v>
      </c>
      <c r="V11" s="43">
        <v>3</v>
      </c>
      <c r="W11" s="43">
        <v>4</v>
      </c>
      <c r="X11" s="43" t="s">
        <v>91</v>
      </c>
      <c r="Y11" s="43">
        <f>IF(X11&gt;0,INDEX(Fish!$D:$D,MATCH(X11,Fish!$L:$L,0)),"")</f>
        <v>11015</v>
      </c>
      <c r="Z11" s="43">
        <v>0</v>
      </c>
      <c r="AA11" s="43">
        <v>1</v>
      </c>
      <c r="AB11" s="43">
        <v>2</v>
      </c>
      <c r="AC11" s="43">
        <v>3</v>
      </c>
      <c r="AE11" s="43" t="str">
        <f>IF(AD11&gt;0,VLOOKUP(AD11,IF({1,0},#REF!,#REF!),2,FALSE),"")</f>
        <v/>
      </c>
    </row>
    <row r="12" spans="1:31">
      <c r="A12" s="43">
        <v>44411</v>
      </c>
      <c r="B12" s="43">
        <v>2</v>
      </c>
      <c r="C12" s="43">
        <v>0</v>
      </c>
      <c r="D12" s="43">
        <v>2</v>
      </c>
      <c r="E12" s="43">
        <v>1</v>
      </c>
      <c r="F12" s="43" t="s">
        <v>75</v>
      </c>
      <c r="G12" s="43">
        <f>IF(F12&gt;0,INDEX(Fish!$D:$D,MATCH(F12,Fish!$L:$L,0)),"")</f>
        <v>11008</v>
      </c>
      <c r="H12" s="43">
        <v>0</v>
      </c>
      <c r="I12" s="43">
        <v>1</v>
      </c>
      <c r="J12" s="43">
        <v>4</v>
      </c>
      <c r="K12" s="43">
        <v>6</v>
      </c>
      <c r="L12" s="43" t="s">
        <v>83</v>
      </c>
      <c r="M12" s="43">
        <f>IF(L12&gt;0,INDEX(Fish!$D:$D,MATCH(L12,Fish!$L:$L,0)),"")</f>
        <v>11011</v>
      </c>
      <c r="N12" s="43">
        <v>0</v>
      </c>
      <c r="O12" s="43">
        <v>1</v>
      </c>
      <c r="P12" s="43">
        <v>3</v>
      </c>
      <c r="Q12" s="43">
        <v>5</v>
      </c>
      <c r="R12" s="43" t="s">
        <v>85</v>
      </c>
      <c r="S12" s="43">
        <f>IF(R12&gt;0,INDEX(Fish!$D:$D,MATCH(R12,Fish!$L:$L,0)),"")</f>
        <v>11012</v>
      </c>
      <c r="T12" s="43">
        <v>0</v>
      </c>
      <c r="U12" s="43">
        <v>1</v>
      </c>
      <c r="V12" s="43">
        <v>3</v>
      </c>
      <c r="W12" s="43">
        <v>4</v>
      </c>
      <c r="X12" s="43" t="s">
        <v>97</v>
      </c>
      <c r="Y12" s="43">
        <f>IF(X12&gt;0,INDEX(Fish!$D:$D,MATCH(X12,Fish!$L:$L,0)),"")</f>
        <v>11020</v>
      </c>
      <c r="Z12" s="43">
        <v>0</v>
      </c>
      <c r="AA12" s="43">
        <v>1</v>
      </c>
      <c r="AB12" s="43">
        <v>2</v>
      </c>
      <c r="AC12" s="43">
        <v>3</v>
      </c>
      <c r="AE12" s="43" t="str">
        <f>IF(AD12&gt;0,VLOOKUP(AD12,IF({1,0},#REF!,#REF!),2,FALSE),"")</f>
        <v/>
      </c>
    </row>
    <row r="13" spans="1:31">
      <c r="A13" s="43">
        <v>44411</v>
      </c>
      <c r="B13" s="43">
        <v>2</v>
      </c>
      <c r="C13" s="43">
        <v>0</v>
      </c>
      <c r="D13" s="43">
        <v>2</v>
      </c>
      <c r="E13" s="43">
        <v>1</v>
      </c>
      <c r="F13" s="43" t="s">
        <v>75</v>
      </c>
      <c r="G13" s="43">
        <f>IF(F13&gt;0,INDEX(Fish!$D:$D,MATCH(F13,Fish!$L:$L,0)),"")</f>
        <v>11008</v>
      </c>
      <c r="H13" s="43">
        <v>0</v>
      </c>
      <c r="I13" s="43">
        <v>1</v>
      </c>
      <c r="J13" s="43">
        <v>4</v>
      </c>
      <c r="K13" s="43">
        <v>6</v>
      </c>
      <c r="L13" s="43" t="s">
        <v>83</v>
      </c>
      <c r="M13" s="43">
        <f>IF(L13&gt;0,INDEX(Fish!$D:$D,MATCH(L13,Fish!$L:$L,0)),"")</f>
        <v>11011</v>
      </c>
      <c r="N13" s="43">
        <v>0</v>
      </c>
      <c r="O13" s="43">
        <v>1</v>
      </c>
      <c r="P13" s="43">
        <v>3</v>
      </c>
      <c r="Q13" s="43">
        <v>5</v>
      </c>
      <c r="R13" s="43" t="s">
        <v>85</v>
      </c>
      <c r="S13" s="43">
        <f>IF(R13&gt;0,INDEX(Fish!$D:$D,MATCH(R13,Fish!$L:$L,0)),"")</f>
        <v>11012</v>
      </c>
      <c r="T13" s="43">
        <v>0</v>
      </c>
      <c r="U13" s="43">
        <v>1</v>
      </c>
      <c r="V13" s="43">
        <v>3</v>
      </c>
      <c r="W13" s="43">
        <v>4</v>
      </c>
      <c r="X13" s="43" t="s">
        <v>87</v>
      </c>
      <c r="Y13" s="43">
        <f>IF(X13&gt;0,INDEX(Fish!$D:$D,MATCH(X13,Fish!$L:$L,0)),"")</f>
        <v>11013</v>
      </c>
      <c r="Z13" s="43">
        <v>0</v>
      </c>
      <c r="AA13" s="43">
        <v>1</v>
      </c>
      <c r="AB13" s="43">
        <v>2</v>
      </c>
      <c r="AC13" s="43">
        <v>3</v>
      </c>
      <c r="AE13" s="43" t="str">
        <f>IF(AD13&gt;0,VLOOKUP(AD13,IF({1,0},#REF!,#REF!),2,FALSE),"")</f>
        <v/>
      </c>
    </row>
    <row r="14" spans="1:31">
      <c r="A14" s="43">
        <v>44411</v>
      </c>
      <c r="B14" s="43">
        <v>2</v>
      </c>
      <c r="C14" s="43">
        <v>0</v>
      </c>
      <c r="D14" s="43">
        <v>2</v>
      </c>
      <c r="E14" s="43">
        <v>1</v>
      </c>
      <c r="F14" s="43" t="s">
        <v>75</v>
      </c>
      <c r="G14" s="43">
        <f>IF(F14&gt;0,INDEX(Fish!$D:$D,MATCH(F14,Fish!$L:$L,0)),"")</f>
        <v>11008</v>
      </c>
      <c r="H14" s="43">
        <v>0</v>
      </c>
      <c r="I14" s="43">
        <v>1</v>
      </c>
      <c r="J14" s="43">
        <v>4</v>
      </c>
      <c r="K14" s="43">
        <v>6</v>
      </c>
      <c r="L14" s="43" t="s">
        <v>81</v>
      </c>
      <c r="M14" s="43">
        <f>IF(L14&gt;0,INDEX(Fish!$D:$D,MATCH(L14,Fish!$L:$L,0)),"")</f>
        <v>11010</v>
      </c>
      <c r="N14" s="43">
        <v>0</v>
      </c>
      <c r="O14" s="43">
        <v>1</v>
      </c>
      <c r="P14" s="43">
        <v>3</v>
      </c>
      <c r="Q14" s="43">
        <v>5</v>
      </c>
      <c r="R14" s="43" t="s">
        <v>95</v>
      </c>
      <c r="S14" s="43">
        <f>IF(R14&gt;0,INDEX(Fish!$D:$D,MATCH(R14,Fish!$L:$L,0)),"")</f>
        <v>11017</v>
      </c>
      <c r="T14" s="43">
        <v>0</v>
      </c>
      <c r="U14" s="43">
        <v>1</v>
      </c>
      <c r="V14" s="43">
        <v>3</v>
      </c>
      <c r="W14" s="43">
        <v>4</v>
      </c>
      <c r="X14" s="43" t="s">
        <v>91</v>
      </c>
      <c r="Y14" s="43">
        <f>IF(X14&gt;0,INDEX(Fish!$D:$D,MATCH(X14,Fish!$L:$L,0)),"")</f>
        <v>11015</v>
      </c>
      <c r="Z14" s="43">
        <v>0</v>
      </c>
      <c r="AA14" s="43">
        <v>1</v>
      </c>
      <c r="AB14" s="43">
        <v>2</v>
      </c>
      <c r="AC14" s="43">
        <v>3</v>
      </c>
      <c r="AE14" s="43" t="str">
        <f>IF(AD14&gt;0,VLOOKUP(AD14,IF({1,0},#REF!,#REF!),2,FALSE),"")</f>
        <v/>
      </c>
    </row>
    <row r="15" spans="1:31">
      <c r="A15" s="43">
        <v>44411</v>
      </c>
      <c r="B15" s="43">
        <v>2</v>
      </c>
      <c r="C15" s="43">
        <v>0</v>
      </c>
      <c r="D15" s="43">
        <v>2</v>
      </c>
      <c r="E15" s="43">
        <v>1</v>
      </c>
      <c r="F15" s="43" t="s">
        <v>75</v>
      </c>
      <c r="G15" s="43">
        <f>IF(F15&gt;0,INDEX(Fish!$D:$D,MATCH(F15,Fish!$L:$L,0)),"")</f>
        <v>11008</v>
      </c>
      <c r="H15" s="43">
        <v>0</v>
      </c>
      <c r="I15" s="43">
        <v>1</v>
      </c>
      <c r="J15" s="43">
        <v>4</v>
      </c>
      <c r="K15" s="43">
        <v>6</v>
      </c>
      <c r="L15" s="43" t="s">
        <v>81</v>
      </c>
      <c r="M15" s="43">
        <f>IF(L15&gt;0,INDEX(Fish!$D:$D,MATCH(L15,Fish!$L:$L,0)),"")</f>
        <v>11010</v>
      </c>
      <c r="N15" s="43">
        <v>0</v>
      </c>
      <c r="O15" s="43">
        <v>1</v>
      </c>
      <c r="P15" s="43">
        <v>3</v>
      </c>
      <c r="Q15" s="43">
        <v>5</v>
      </c>
      <c r="R15" s="43" t="s">
        <v>95</v>
      </c>
      <c r="S15" s="43">
        <f>IF(R15&gt;0,INDEX(Fish!$D:$D,MATCH(R15,Fish!$L:$L,0)),"")</f>
        <v>11017</v>
      </c>
      <c r="T15" s="43">
        <v>0</v>
      </c>
      <c r="U15" s="43">
        <v>1</v>
      </c>
      <c r="V15" s="43">
        <v>3</v>
      </c>
      <c r="W15" s="43">
        <v>4</v>
      </c>
      <c r="X15" s="43" t="s">
        <v>97</v>
      </c>
      <c r="Y15" s="43">
        <f>IF(X15&gt;0,INDEX(Fish!$D:$D,MATCH(X15,Fish!$L:$L,0)),"")</f>
        <v>11020</v>
      </c>
      <c r="Z15" s="43">
        <v>0</v>
      </c>
      <c r="AA15" s="43">
        <v>1</v>
      </c>
      <c r="AB15" s="43">
        <v>2</v>
      </c>
      <c r="AC15" s="43">
        <v>3</v>
      </c>
      <c r="AE15" s="43" t="str">
        <f>IF(AD15&gt;0,VLOOKUP(AD15,IF({1,0},#REF!,#REF!),2,FALSE),"")</f>
        <v/>
      </c>
    </row>
    <row r="16" spans="1:31">
      <c r="A16" s="43">
        <v>44411</v>
      </c>
      <c r="B16" s="43">
        <v>2</v>
      </c>
      <c r="C16" s="43">
        <v>0</v>
      </c>
      <c r="D16" s="43">
        <v>2</v>
      </c>
      <c r="E16" s="43">
        <v>1</v>
      </c>
      <c r="F16" s="43" t="s">
        <v>75</v>
      </c>
      <c r="G16" s="43">
        <f>IF(F16&gt;0,INDEX(Fish!$D:$D,MATCH(F16,Fish!$L:$L,0)),"")</f>
        <v>11008</v>
      </c>
      <c r="H16" s="43">
        <v>0</v>
      </c>
      <c r="I16" s="43">
        <v>1</v>
      </c>
      <c r="J16" s="43">
        <v>4</v>
      </c>
      <c r="K16" s="43">
        <v>6</v>
      </c>
      <c r="L16" s="43" t="s">
        <v>81</v>
      </c>
      <c r="M16" s="43">
        <f>IF(L16&gt;0,INDEX(Fish!$D:$D,MATCH(L16,Fish!$L:$L,0)),"")</f>
        <v>11010</v>
      </c>
      <c r="N16" s="43">
        <v>0</v>
      </c>
      <c r="O16" s="43">
        <v>1</v>
      </c>
      <c r="P16" s="43">
        <v>3</v>
      </c>
      <c r="Q16" s="43">
        <v>5</v>
      </c>
      <c r="R16" s="43" t="s">
        <v>95</v>
      </c>
      <c r="S16" s="43">
        <f>IF(R16&gt;0,INDEX(Fish!$D:$D,MATCH(R16,Fish!$L:$L,0)),"")</f>
        <v>11017</v>
      </c>
      <c r="T16" s="43">
        <v>0</v>
      </c>
      <c r="U16" s="43">
        <v>1</v>
      </c>
      <c r="V16" s="43">
        <v>3</v>
      </c>
      <c r="W16" s="43">
        <v>4</v>
      </c>
      <c r="X16" s="43" t="s">
        <v>87</v>
      </c>
      <c r="Y16" s="43">
        <f>IF(X16&gt;0,INDEX(Fish!$D:$D,MATCH(X16,Fish!$L:$L,0)),"")</f>
        <v>11013</v>
      </c>
      <c r="Z16" s="43">
        <v>0</v>
      </c>
      <c r="AA16" s="43">
        <v>1</v>
      </c>
      <c r="AB16" s="43">
        <v>2</v>
      </c>
      <c r="AC16" s="43">
        <v>3</v>
      </c>
      <c r="AE16" s="43" t="str">
        <f>IF(AD16&gt;0,VLOOKUP(AD16,IF({1,0},#REF!,#REF!),2,FALSE),"")</f>
        <v/>
      </c>
    </row>
    <row r="17" spans="1:31">
      <c r="A17" s="43">
        <v>44411</v>
      </c>
      <c r="B17" s="43">
        <v>2</v>
      </c>
      <c r="C17" s="43">
        <v>0</v>
      </c>
      <c r="D17" s="43">
        <v>2</v>
      </c>
      <c r="E17" s="43">
        <v>1</v>
      </c>
      <c r="F17" s="43" t="s">
        <v>75</v>
      </c>
      <c r="G17" s="43">
        <f>IF(F17&gt;0,INDEX(Fish!$D:$D,MATCH(F17,Fish!$L:$L,0)),"")</f>
        <v>11008</v>
      </c>
      <c r="H17" s="43">
        <v>0</v>
      </c>
      <c r="I17" s="43">
        <v>1</v>
      </c>
      <c r="J17" s="43">
        <v>4</v>
      </c>
      <c r="K17" s="43">
        <v>6</v>
      </c>
      <c r="L17" s="43" t="s">
        <v>81</v>
      </c>
      <c r="M17" s="43">
        <f>IF(L17&gt;0,INDEX(Fish!$D:$D,MATCH(L17,Fish!$L:$L,0)),"")</f>
        <v>11010</v>
      </c>
      <c r="N17" s="43">
        <v>0</v>
      </c>
      <c r="O17" s="43">
        <v>1</v>
      </c>
      <c r="P17" s="43">
        <v>3</v>
      </c>
      <c r="Q17" s="43">
        <v>5</v>
      </c>
      <c r="R17" s="43" t="s">
        <v>85</v>
      </c>
      <c r="S17" s="43">
        <f>IF(R17&gt;0,INDEX(Fish!$D:$D,MATCH(R17,Fish!$L:$L,0)),"")</f>
        <v>11012</v>
      </c>
      <c r="T17" s="43">
        <v>0</v>
      </c>
      <c r="U17" s="43">
        <v>1</v>
      </c>
      <c r="V17" s="43">
        <v>3</v>
      </c>
      <c r="W17" s="43">
        <v>4</v>
      </c>
      <c r="X17" s="43" t="s">
        <v>91</v>
      </c>
      <c r="Y17" s="43">
        <f>IF(X17&gt;0,INDEX(Fish!$D:$D,MATCH(X17,Fish!$L:$L,0)),"")</f>
        <v>11015</v>
      </c>
      <c r="Z17" s="43">
        <v>0</v>
      </c>
      <c r="AA17" s="43">
        <v>1</v>
      </c>
      <c r="AB17" s="43">
        <v>2</v>
      </c>
      <c r="AC17" s="43">
        <v>3</v>
      </c>
      <c r="AE17" s="43" t="str">
        <f>IF(AD17&gt;0,VLOOKUP(AD17,IF({1,0},#REF!,#REF!),2,FALSE),"")</f>
        <v/>
      </c>
    </row>
    <row r="18" spans="1:31">
      <c r="A18" s="43">
        <v>44411</v>
      </c>
      <c r="B18" s="43">
        <v>2</v>
      </c>
      <c r="C18" s="43">
        <v>0</v>
      </c>
      <c r="D18" s="43">
        <v>2</v>
      </c>
      <c r="E18" s="43">
        <v>1</v>
      </c>
      <c r="F18" s="43" t="s">
        <v>75</v>
      </c>
      <c r="G18" s="43">
        <f>IF(F18&gt;0,INDEX(Fish!$D:$D,MATCH(F18,Fish!$L:$L,0)),"")</f>
        <v>11008</v>
      </c>
      <c r="H18" s="43">
        <v>0</v>
      </c>
      <c r="I18" s="43">
        <v>1</v>
      </c>
      <c r="J18" s="43">
        <v>4</v>
      </c>
      <c r="K18" s="43">
        <v>6</v>
      </c>
      <c r="L18" s="43" t="s">
        <v>81</v>
      </c>
      <c r="M18" s="43">
        <f>IF(L18&gt;0,INDEX(Fish!$D:$D,MATCH(L18,Fish!$L:$L,0)),"")</f>
        <v>11010</v>
      </c>
      <c r="N18" s="43">
        <v>0</v>
      </c>
      <c r="O18" s="43">
        <v>1</v>
      </c>
      <c r="P18" s="43">
        <v>3</v>
      </c>
      <c r="Q18" s="43">
        <v>5</v>
      </c>
      <c r="R18" s="43" t="s">
        <v>85</v>
      </c>
      <c r="S18" s="43">
        <f>IF(R18&gt;0,INDEX(Fish!$D:$D,MATCH(R18,Fish!$L:$L,0)),"")</f>
        <v>11012</v>
      </c>
      <c r="T18" s="43">
        <v>0</v>
      </c>
      <c r="U18" s="43">
        <v>1</v>
      </c>
      <c r="V18" s="43">
        <v>3</v>
      </c>
      <c r="W18" s="43">
        <v>4</v>
      </c>
      <c r="X18" s="43" t="s">
        <v>97</v>
      </c>
      <c r="Y18" s="43">
        <f>IF(X18&gt;0,INDEX(Fish!$D:$D,MATCH(X18,Fish!$L:$L,0)),"")</f>
        <v>11020</v>
      </c>
      <c r="Z18" s="43">
        <v>0</v>
      </c>
      <c r="AA18" s="43">
        <v>1</v>
      </c>
      <c r="AB18" s="43">
        <v>2</v>
      </c>
      <c r="AC18" s="43">
        <v>3</v>
      </c>
      <c r="AE18" s="43" t="str">
        <f>IF(AD18&gt;0,VLOOKUP(AD18,IF({1,0},#REF!,#REF!),2,FALSE),"")</f>
        <v/>
      </c>
    </row>
    <row r="19" spans="1:31">
      <c r="A19" s="43">
        <v>44411</v>
      </c>
      <c r="B19" s="43">
        <v>2</v>
      </c>
      <c r="C19" s="43">
        <v>0</v>
      </c>
      <c r="D19" s="43">
        <v>2</v>
      </c>
      <c r="E19" s="43">
        <v>1</v>
      </c>
      <c r="F19" s="43" t="s">
        <v>75</v>
      </c>
      <c r="G19" s="43">
        <f>IF(F19&gt;0,INDEX(Fish!$D:$D,MATCH(F19,Fish!$L:$L,0)),"")</f>
        <v>11008</v>
      </c>
      <c r="H19" s="43">
        <v>0</v>
      </c>
      <c r="I19" s="43">
        <v>1</v>
      </c>
      <c r="J19" s="43">
        <v>4</v>
      </c>
      <c r="K19" s="43">
        <v>6</v>
      </c>
      <c r="L19" s="43" t="s">
        <v>81</v>
      </c>
      <c r="M19" s="43">
        <f>IF(L19&gt;0,INDEX(Fish!$D:$D,MATCH(L19,Fish!$L:$L,0)),"")</f>
        <v>11010</v>
      </c>
      <c r="N19" s="43">
        <v>0</v>
      </c>
      <c r="O19" s="43">
        <v>1</v>
      </c>
      <c r="P19" s="43">
        <v>3</v>
      </c>
      <c r="Q19" s="43">
        <v>5</v>
      </c>
      <c r="R19" s="43" t="s">
        <v>85</v>
      </c>
      <c r="S19" s="43">
        <f>IF(R19&gt;0,INDEX(Fish!$D:$D,MATCH(R19,Fish!$L:$L,0)),"")</f>
        <v>11012</v>
      </c>
      <c r="T19" s="43">
        <v>0</v>
      </c>
      <c r="U19" s="43">
        <v>1</v>
      </c>
      <c r="V19" s="43">
        <v>3</v>
      </c>
      <c r="W19" s="43">
        <v>4</v>
      </c>
      <c r="X19" s="43" t="s">
        <v>87</v>
      </c>
      <c r="Y19" s="43">
        <f>IF(X19&gt;0,INDEX(Fish!$D:$D,MATCH(X19,Fish!$L:$L,0)),"")</f>
        <v>11013</v>
      </c>
      <c r="Z19" s="43">
        <v>0</v>
      </c>
      <c r="AA19" s="43">
        <v>1</v>
      </c>
      <c r="AB19" s="43">
        <v>2</v>
      </c>
      <c r="AC19" s="43">
        <v>3</v>
      </c>
      <c r="AE19" s="43" t="str">
        <f>IF(AD19&gt;0,VLOOKUP(AD19,IF({1,0},#REF!,#REF!),2,FALSE),"")</f>
        <v/>
      </c>
    </row>
    <row r="20" spans="1:31">
      <c r="A20" s="43">
        <v>44411</v>
      </c>
      <c r="B20" s="43">
        <v>2</v>
      </c>
      <c r="C20" s="43">
        <v>0</v>
      </c>
      <c r="D20" s="43">
        <v>2</v>
      </c>
      <c r="E20" s="43">
        <v>1</v>
      </c>
      <c r="F20" s="43" t="s">
        <v>77</v>
      </c>
      <c r="G20" s="43">
        <f>IF(F20&gt;0,INDEX(Fish!$D:$D,MATCH(F20,Fish!$L:$L,0)),"")</f>
        <v>11009</v>
      </c>
      <c r="H20" s="43">
        <v>0</v>
      </c>
      <c r="I20" s="43">
        <v>1</v>
      </c>
      <c r="J20" s="43">
        <v>4</v>
      </c>
      <c r="K20" s="43">
        <v>6</v>
      </c>
      <c r="L20" s="43" t="s">
        <v>83</v>
      </c>
      <c r="M20" s="43">
        <f>IF(L20&gt;0,INDEX(Fish!$D:$D,MATCH(L20,Fish!$L:$L,0)),"")</f>
        <v>11011</v>
      </c>
      <c r="N20" s="43">
        <v>0</v>
      </c>
      <c r="O20" s="43">
        <v>1</v>
      </c>
      <c r="P20" s="43">
        <v>3</v>
      </c>
      <c r="Q20" s="43">
        <v>5</v>
      </c>
      <c r="R20" s="43" t="s">
        <v>95</v>
      </c>
      <c r="S20" s="43">
        <f>IF(R20&gt;0,INDEX(Fish!$D:$D,MATCH(R20,Fish!$L:$L,0)),"")</f>
        <v>11017</v>
      </c>
      <c r="T20" s="43">
        <v>0</v>
      </c>
      <c r="U20" s="43">
        <v>1</v>
      </c>
      <c r="V20" s="43">
        <v>3</v>
      </c>
      <c r="W20" s="43">
        <v>4</v>
      </c>
      <c r="X20" s="43" t="s">
        <v>91</v>
      </c>
      <c r="Y20" s="43">
        <f>IF(X20&gt;0,INDEX(Fish!$D:$D,MATCH(X20,Fish!$L:$L,0)),"")</f>
        <v>11015</v>
      </c>
      <c r="Z20" s="43">
        <v>0</v>
      </c>
      <c r="AA20" s="43">
        <v>1</v>
      </c>
      <c r="AB20" s="43">
        <v>2</v>
      </c>
      <c r="AC20" s="43">
        <v>3</v>
      </c>
      <c r="AE20" s="43" t="str">
        <f>IF(AD20&gt;0,VLOOKUP(AD20,IF({1,0},#REF!,#REF!),2,FALSE),"")</f>
        <v/>
      </c>
    </row>
    <row r="21" spans="1:31">
      <c r="A21" s="43">
        <v>44411</v>
      </c>
      <c r="B21" s="43">
        <v>2</v>
      </c>
      <c r="C21" s="43">
        <v>0</v>
      </c>
      <c r="D21" s="43">
        <v>2</v>
      </c>
      <c r="E21" s="43">
        <v>1</v>
      </c>
      <c r="F21" s="43" t="s">
        <v>77</v>
      </c>
      <c r="G21" s="43">
        <f>IF(F21&gt;0,INDEX(Fish!$D:$D,MATCH(F21,Fish!$L:$L,0)),"")</f>
        <v>11009</v>
      </c>
      <c r="H21" s="43">
        <v>0</v>
      </c>
      <c r="I21" s="43">
        <v>1</v>
      </c>
      <c r="J21" s="43">
        <v>4</v>
      </c>
      <c r="K21" s="43">
        <v>6</v>
      </c>
      <c r="L21" s="43" t="s">
        <v>83</v>
      </c>
      <c r="M21" s="43">
        <f>IF(L21&gt;0,INDEX(Fish!$D:$D,MATCH(L21,Fish!$L:$L,0)),"")</f>
        <v>11011</v>
      </c>
      <c r="N21" s="43">
        <v>0</v>
      </c>
      <c r="O21" s="43">
        <v>1</v>
      </c>
      <c r="P21" s="43">
        <v>3</v>
      </c>
      <c r="Q21" s="43">
        <v>5</v>
      </c>
      <c r="R21" s="43" t="s">
        <v>95</v>
      </c>
      <c r="S21" s="43">
        <f>IF(R21&gt;0,INDEX(Fish!$D:$D,MATCH(R21,Fish!$L:$L,0)),"")</f>
        <v>11017</v>
      </c>
      <c r="T21" s="43">
        <v>0</v>
      </c>
      <c r="U21" s="43">
        <v>1</v>
      </c>
      <c r="V21" s="43">
        <v>3</v>
      </c>
      <c r="W21" s="43">
        <v>4</v>
      </c>
      <c r="X21" s="43" t="s">
        <v>97</v>
      </c>
      <c r="Y21" s="43">
        <f>IF(X21&gt;0,INDEX(Fish!$D:$D,MATCH(X21,Fish!$L:$L,0)),"")</f>
        <v>11020</v>
      </c>
      <c r="Z21" s="43">
        <v>0</v>
      </c>
      <c r="AA21" s="43">
        <v>1</v>
      </c>
      <c r="AB21" s="43">
        <v>2</v>
      </c>
      <c r="AC21" s="43">
        <v>3</v>
      </c>
      <c r="AE21" s="43" t="str">
        <f>IF(AD21&gt;0,VLOOKUP(AD21,IF({1,0},#REF!,#REF!),2,FALSE),"")</f>
        <v/>
      </c>
    </row>
    <row r="22" spans="1:31">
      <c r="A22" s="43">
        <v>44411</v>
      </c>
      <c r="B22" s="43">
        <v>2</v>
      </c>
      <c r="C22" s="43">
        <v>0</v>
      </c>
      <c r="D22" s="43">
        <v>2</v>
      </c>
      <c r="E22" s="43">
        <v>1</v>
      </c>
      <c r="F22" s="43" t="s">
        <v>77</v>
      </c>
      <c r="G22" s="43">
        <f>IF(F22&gt;0,INDEX(Fish!$D:$D,MATCH(F22,Fish!$L:$L,0)),"")</f>
        <v>11009</v>
      </c>
      <c r="H22" s="43">
        <v>0</v>
      </c>
      <c r="I22" s="43">
        <v>1</v>
      </c>
      <c r="J22" s="43">
        <v>4</v>
      </c>
      <c r="K22" s="43">
        <v>6</v>
      </c>
      <c r="L22" s="43" t="s">
        <v>83</v>
      </c>
      <c r="M22" s="43">
        <f>IF(L22&gt;0,INDEX(Fish!$D:$D,MATCH(L22,Fish!$L:$L,0)),"")</f>
        <v>11011</v>
      </c>
      <c r="N22" s="43">
        <v>0</v>
      </c>
      <c r="O22" s="43">
        <v>1</v>
      </c>
      <c r="P22" s="43">
        <v>3</v>
      </c>
      <c r="Q22" s="43">
        <v>5</v>
      </c>
      <c r="R22" s="43" t="s">
        <v>95</v>
      </c>
      <c r="S22" s="43">
        <f>IF(R22&gt;0,INDEX(Fish!$D:$D,MATCH(R22,Fish!$L:$L,0)),"")</f>
        <v>11017</v>
      </c>
      <c r="T22" s="43">
        <v>0</v>
      </c>
      <c r="U22" s="43">
        <v>1</v>
      </c>
      <c r="V22" s="43">
        <v>3</v>
      </c>
      <c r="W22" s="43">
        <v>4</v>
      </c>
      <c r="X22" s="43" t="s">
        <v>87</v>
      </c>
      <c r="Y22" s="43">
        <f>IF(X22&gt;0,INDEX(Fish!$D:$D,MATCH(X22,Fish!$L:$L,0)),"")</f>
        <v>11013</v>
      </c>
      <c r="Z22" s="43">
        <v>0</v>
      </c>
      <c r="AA22" s="43">
        <v>1</v>
      </c>
      <c r="AB22" s="43">
        <v>2</v>
      </c>
      <c r="AC22" s="43">
        <v>3</v>
      </c>
      <c r="AE22" s="43" t="str">
        <f>IF(AD22&gt;0,VLOOKUP(AD22,IF({1,0},#REF!,#REF!),2,FALSE),"")</f>
        <v/>
      </c>
    </row>
    <row r="23" spans="1:31">
      <c r="A23" s="43">
        <v>44411</v>
      </c>
      <c r="B23" s="43">
        <v>2</v>
      </c>
      <c r="C23" s="43">
        <v>0</v>
      </c>
      <c r="D23" s="43">
        <v>2</v>
      </c>
      <c r="E23" s="43">
        <v>1</v>
      </c>
      <c r="F23" s="43" t="s">
        <v>77</v>
      </c>
      <c r="G23" s="43">
        <f>IF(F23&gt;0,INDEX(Fish!$D:$D,MATCH(F23,Fish!$L:$L,0)),"")</f>
        <v>11009</v>
      </c>
      <c r="H23" s="43">
        <v>0</v>
      </c>
      <c r="I23" s="43">
        <v>1</v>
      </c>
      <c r="J23" s="43">
        <v>4</v>
      </c>
      <c r="K23" s="43">
        <v>6</v>
      </c>
      <c r="L23" s="43" t="s">
        <v>83</v>
      </c>
      <c r="M23" s="43">
        <f>IF(L23&gt;0,INDEX(Fish!$D:$D,MATCH(L23,Fish!$L:$L,0)),"")</f>
        <v>11011</v>
      </c>
      <c r="N23" s="43">
        <v>0</v>
      </c>
      <c r="O23" s="43">
        <v>1</v>
      </c>
      <c r="P23" s="43">
        <v>3</v>
      </c>
      <c r="Q23" s="43">
        <v>5</v>
      </c>
      <c r="R23" s="43" t="s">
        <v>85</v>
      </c>
      <c r="S23" s="43">
        <f>IF(R23&gt;0,INDEX(Fish!$D:$D,MATCH(R23,Fish!$L:$L,0)),"")</f>
        <v>11012</v>
      </c>
      <c r="T23" s="43">
        <v>0</v>
      </c>
      <c r="U23" s="43">
        <v>1</v>
      </c>
      <c r="V23" s="43">
        <v>3</v>
      </c>
      <c r="W23" s="43">
        <v>4</v>
      </c>
      <c r="X23" s="43" t="s">
        <v>91</v>
      </c>
      <c r="Y23" s="43">
        <f>IF(X23&gt;0,INDEX(Fish!$D:$D,MATCH(X23,Fish!$L:$L,0)),"")</f>
        <v>11015</v>
      </c>
      <c r="Z23" s="43">
        <v>0</v>
      </c>
      <c r="AA23" s="43">
        <v>1</v>
      </c>
      <c r="AB23" s="43">
        <v>2</v>
      </c>
      <c r="AC23" s="43">
        <v>3</v>
      </c>
      <c r="AE23" s="43" t="str">
        <f>IF(AD23&gt;0,VLOOKUP(AD23,IF({1,0},#REF!,#REF!),2,FALSE),"")</f>
        <v/>
      </c>
    </row>
    <row r="24" spans="1:31">
      <c r="A24" s="43">
        <v>44411</v>
      </c>
      <c r="B24" s="43">
        <v>2</v>
      </c>
      <c r="C24" s="43">
        <v>0</v>
      </c>
      <c r="D24" s="43">
        <v>2</v>
      </c>
      <c r="E24" s="43">
        <v>1</v>
      </c>
      <c r="F24" s="43" t="s">
        <v>77</v>
      </c>
      <c r="G24" s="43">
        <f>IF(F24&gt;0,INDEX(Fish!$D:$D,MATCH(F24,Fish!$L:$L,0)),"")</f>
        <v>11009</v>
      </c>
      <c r="H24" s="43">
        <v>0</v>
      </c>
      <c r="I24" s="43">
        <v>1</v>
      </c>
      <c r="J24" s="43">
        <v>4</v>
      </c>
      <c r="K24" s="43">
        <v>6</v>
      </c>
      <c r="L24" s="43" t="s">
        <v>83</v>
      </c>
      <c r="M24" s="43">
        <f>IF(L24&gt;0,INDEX(Fish!$D:$D,MATCH(L24,Fish!$L:$L,0)),"")</f>
        <v>11011</v>
      </c>
      <c r="N24" s="43">
        <v>0</v>
      </c>
      <c r="O24" s="43">
        <v>1</v>
      </c>
      <c r="P24" s="43">
        <v>3</v>
      </c>
      <c r="Q24" s="43">
        <v>5</v>
      </c>
      <c r="R24" s="43" t="s">
        <v>85</v>
      </c>
      <c r="S24" s="43">
        <f>IF(R24&gt;0,INDEX(Fish!$D:$D,MATCH(R24,Fish!$L:$L,0)),"")</f>
        <v>11012</v>
      </c>
      <c r="T24" s="43">
        <v>0</v>
      </c>
      <c r="U24" s="43">
        <v>1</v>
      </c>
      <c r="V24" s="43">
        <v>3</v>
      </c>
      <c r="W24" s="43">
        <v>4</v>
      </c>
      <c r="X24" s="43" t="s">
        <v>97</v>
      </c>
      <c r="Y24" s="43">
        <f>IF(X24&gt;0,INDEX(Fish!$D:$D,MATCH(X24,Fish!$L:$L,0)),"")</f>
        <v>11020</v>
      </c>
      <c r="Z24" s="43">
        <v>0</v>
      </c>
      <c r="AA24" s="43">
        <v>1</v>
      </c>
      <c r="AB24" s="43">
        <v>2</v>
      </c>
      <c r="AC24" s="43">
        <v>3</v>
      </c>
      <c r="AE24" s="43" t="str">
        <f>IF(AD24&gt;0,VLOOKUP(AD24,IF({1,0},#REF!,#REF!),2,FALSE),"")</f>
        <v/>
      </c>
    </row>
    <row r="25" spans="1:31">
      <c r="A25" s="43">
        <v>44411</v>
      </c>
      <c r="B25" s="43">
        <v>2</v>
      </c>
      <c r="C25" s="43">
        <v>0</v>
      </c>
      <c r="D25" s="43">
        <v>2</v>
      </c>
      <c r="E25" s="43">
        <v>1</v>
      </c>
      <c r="F25" s="43" t="s">
        <v>77</v>
      </c>
      <c r="G25" s="43">
        <f>IF(F25&gt;0,INDEX(Fish!$D:$D,MATCH(F25,Fish!$L:$L,0)),"")</f>
        <v>11009</v>
      </c>
      <c r="H25" s="43">
        <v>0</v>
      </c>
      <c r="I25" s="43">
        <v>1</v>
      </c>
      <c r="J25" s="43">
        <v>4</v>
      </c>
      <c r="K25" s="43">
        <v>6</v>
      </c>
      <c r="L25" s="43" t="s">
        <v>83</v>
      </c>
      <c r="M25" s="43">
        <f>IF(L25&gt;0,INDEX(Fish!$D:$D,MATCH(L25,Fish!$L:$L,0)),"")</f>
        <v>11011</v>
      </c>
      <c r="N25" s="43">
        <v>0</v>
      </c>
      <c r="O25" s="43">
        <v>1</v>
      </c>
      <c r="P25" s="43">
        <v>3</v>
      </c>
      <c r="Q25" s="43">
        <v>5</v>
      </c>
      <c r="R25" s="43" t="s">
        <v>85</v>
      </c>
      <c r="S25" s="43">
        <f>IF(R25&gt;0,INDEX(Fish!$D:$D,MATCH(R25,Fish!$L:$L,0)),"")</f>
        <v>11012</v>
      </c>
      <c r="T25" s="43">
        <v>0</v>
      </c>
      <c r="U25" s="43">
        <v>1</v>
      </c>
      <c r="V25" s="43">
        <v>3</v>
      </c>
      <c r="W25" s="43">
        <v>4</v>
      </c>
      <c r="X25" s="43" t="s">
        <v>87</v>
      </c>
      <c r="Y25" s="43">
        <f>IF(X25&gt;0,INDEX(Fish!$D:$D,MATCH(X25,Fish!$L:$L,0)),"")</f>
        <v>11013</v>
      </c>
      <c r="Z25" s="43">
        <v>0</v>
      </c>
      <c r="AA25" s="43">
        <v>1</v>
      </c>
      <c r="AB25" s="43">
        <v>2</v>
      </c>
      <c r="AC25" s="43">
        <v>3</v>
      </c>
      <c r="AE25" s="43" t="str">
        <f>IF(AD25&gt;0,VLOOKUP(AD25,IF({1,0},#REF!,#REF!),2,FALSE),"")</f>
        <v/>
      </c>
    </row>
    <row r="26" spans="1:31">
      <c r="A26" s="43">
        <v>44411</v>
      </c>
      <c r="B26" s="43">
        <v>2</v>
      </c>
      <c r="C26" s="43">
        <v>0</v>
      </c>
      <c r="D26" s="43">
        <v>2</v>
      </c>
      <c r="E26" s="43">
        <v>1</v>
      </c>
      <c r="F26" s="43" t="s">
        <v>77</v>
      </c>
      <c r="G26" s="43">
        <f>IF(F26&gt;0,INDEX(Fish!$D:$D,MATCH(F26,Fish!$L:$L,0)),"")</f>
        <v>11009</v>
      </c>
      <c r="H26" s="43">
        <v>0</v>
      </c>
      <c r="I26" s="43">
        <v>1</v>
      </c>
      <c r="J26" s="43">
        <v>4</v>
      </c>
      <c r="K26" s="43">
        <v>6</v>
      </c>
      <c r="L26" s="43" t="s">
        <v>81</v>
      </c>
      <c r="M26" s="43">
        <f>IF(L26&gt;0,INDEX(Fish!$D:$D,MATCH(L26,Fish!$L:$L,0)),"")</f>
        <v>11010</v>
      </c>
      <c r="N26" s="43">
        <v>0</v>
      </c>
      <c r="O26" s="43">
        <v>1</v>
      </c>
      <c r="P26" s="43">
        <v>3</v>
      </c>
      <c r="Q26" s="43">
        <v>5</v>
      </c>
      <c r="R26" s="43" t="s">
        <v>95</v>
      </c>
      <c r="S26" s="43">
        <f>IF(R26&gt;0,INDEX(Fish!$D:$D,MATCH(R26,Fish!$L:$L,0)),"")</f>
        <v>11017</v>
      </c>
      <c r="T26" s="43">
        <v>0</v>
      </c>
      <c r="U26" s="43">
        <v>1</v>
      </c>
      <c r="V26" s="43">
        <v>3</v>
      </c>
      <c r="W26" s="43">
        <v>4</v>
      </c>
      <c r="X26" s="43" t="s">
        <v>91</v>
      </c>
      <c r="Y26" s="43">
        <f>IF(X26&gt;0,INDEX(Fish!$D:$D,MATCH(X26,Fish!$L:$L,0)),"")</f>
        <v>11015</v>
      </c>
      <c r="Z26" s="43">
        <v>0</v>
      </c>
      <c r="AA26" s="43">
        <v>1</v>
      </c>
      <c r="AB26" s="43">
        <v>2</v>
      </c>
      <c r="AC26" s="43">
        <v>3</v>
      </c>
      <c r="AE26" s="43" t="str">
        <f>IF(AD26&gt;0,VLOOKUP(AD26,IF({1,0},#REF!,#REF!),2,FALSE),"")</f>
        <v/>
      </c>
    </row>
    <row r="27" spans="1:31">
      <c r="A27" s="43">
        <v>44411</v>
      </c>
      <c r="B27" s="43">
        <v>2</v>
      </c>
      <c r="C27" s="43">
        <v>0</v>
      </c>
      <c r="D27" s="43">
        <v>2</v>
      </c>
      <c r="E27" s="43">
        <v>1</v>
      </c>
      <c r="F27" s="43" t="s">
        <v>77</v>
      </c>
      <c r="G27" s="43">
        <f>IF(F27&gt;0,INDEX(Fish!$D:$D,MATCH(F27,Fish!$L:$L,0)),"")</f>
        <v>11009</v>
      </c>
      <c r="H27" s="43">
        <v>0</v>
      </c>
      <c r="I27" s="43">
        <v>1</v>
      </c>
      <c r="J27" s="43">
        <v>4</v>
      </c>
      <c r="K27" s="43">
        <v>6</v>
      </c>
      <c r="L27" s="43" t="s">
        <v>81</v>
      </c>
      <c r="M27" s="43">
        <f>IF(L27&gt;0,INDEX(Fish!$D:$D,MATCH(L27,Fish!$L:$L,0)),"")</f>
        <v>11010</v>
      </c>
      <c r="N27" s="43">
        <v>0</v>
      </c>
      <c r="O27" s="43">
        <v>1</v>
      </c>
      <c r="P27" s="43">
        <v>3</v>
      </c>
      <c r="Q27" s="43">
        <v>5</v>
      </c>
      <c r="R27" s="43" t="s">
        <v>95</v>
      </c>
      <c r="S27" s="43">
        <f>IF(R27&gt;0,INDEX(Fish!$D:$D,MATCH(R27,Fish!$L:$L,0)),"")</f>
        <v>11017</v>
      </c>
      <c r="T27" s="43">
        <v>0</v>
      </c>
      <c r="U27" s="43">
        <v>1</v>
      </c>
      <c r="V27" s="43">
        <v>3</v>
      </c>
      <c r="W27" s="43">
        <v>4</v>
      </c>
      <c r="X27" s="43" t="s">
        <v>97</v>
      </c>
      <c r="Y27" s="43">
        <f>IF(X27&gt;0,INDEX(Fish!$D:$D,MATCH(X27,Fish!$L:$L,0)),"")</f>
        <v>11020</v>
      </c>
      <c r="Z27" s="43">
        <v>0</v>
      </c>
      <c r="AA27" s="43">
        <v>1</v>
      </c>
      <c r="AB27" s="43">
        <v>2</v>
      </c>
      <c r="AC27" s="43">
        <v>3</v>
      </c>
      <c r="AE27" s="43" t="str">
        <f>IF(AD27&gt;0,VLOOKUP(AD27,IF({1,0},#REF!,#REF!),2,FALSE),"")</f>
        <v/>
      </c>
    </row>
    <row r="28" spans="1:31">
      <c r="A28" s="43">
        <v>44411</v>
      </c>
      <c r="B28" s="43">
        <v>2</v>
      </c>
      <c r="C28" s="43">
        <v>0</v>
      </c>
      <c r="D28" s="43">
        <v>2</v>
      </c>
      <c r="E28" s="43">
        <v>1</v>
      </c>
      <c r="F28" s="43" t="s">
        <v>77</v>
      </c>
      <c r="G28" s="43">
        <f>IF(F28&gt;0,INDEX(Fish!$D:$D,MATCH(F28,Fish!$L:$L,0)),"")</f>
        <v>11009</v>
      </c>
      <c r="H28" s="43">
        <v>0</v>
      </c>
      <c r="I28" s="43">
        <v>1</v>
      </c>
      <c r="J28" s="43">
        <v>4</v>
      </c>
      <c r="K28" s="43">
        <v>6</v>
      </c>
      <c r="L28" s="43" t="s">
        <v>81</v>
      </c>
      <c r="M28" s="43">
        <f>IF(L28&gt;0,INDEX(Fish!$D:$D,MATCH(L28,Fish!$L:$L,0)),"")</f>
        <v>11010</v>
      </c>
      <c r="N28" s="43">
        <v>0</v>
      </c>
      <c r="O28" s="43">
        <v>1</v>
      </c>
      <c r="P28" s="43">
        <v>3</v>
      </c>
      <c r="Q28" s="43">
        <v>5</v>
      </c>
      <c r="R28" s="43" t="s">
        <v>95</v>
      </c>
      <c r="S28" s="43">
        <f>IF(R28&gt;0,INDEX(Fish!$D:$D,MATCH(R28,Fish!$L:$L,0)),"")</f>
        <v>11017</v>
      </c>
      <c r="T28" s="43">
        <v>0</v>
      </c>
      <c r="U28" s="43">
        <v>1</v>
      </c>
      <c r="V28" s="43">
        <v>3</v>
      </c>
      <c r="W28" s="43">
        <v>4</v>
      </c>
      <c r="X28" s="43" t="s">
        <v>87</v>
      </c>
      <c r="Y28" s="43">
        <f>IF(X28&gt;0,INDEX(Fish!$D:$D,MATCH(X28,Fish!$L:$L,0)),"")</f>
        <v>11013</v>
      </c>
      <c r="Z28" s="43">
        <v>0</v>
      </c>
      <c r="AA28" s="43">
        <v>1</v>
      </c>
      <c r="AB28" s="43">
        <v>2</v>
      </c>
      <c r="AC28" s="43">
        <v>3</v>
      </c>
      <c r="AE28" s="43" t="str">
        <f>IF(AD28&gt;0,VLOOKUP(AD28,IF({1,0},#REF!,#REF!),2,FALSE),"")</f>
        <v/>
      </c>
    </row>
    <row r="29" spans="1:31">
      <c r="A29" s="43">
        <v>44411</v>
      </c>
      <c r="B29" s="43">
        <v>2</v>
      </c>
      <c r="C29" s="43">
        <v>0</v>
      </c>
      <c r="D29" s="43">
        <v>2</v>
      </c>
      <c r="E29" s="43">
        <v>1</v>
      </c>
      <c r="F29" s="43" t="s">
        <v>77</v>
      </c>
      <c r="G29" s="43">
        <f>IF(F29&gt;0,INDEX(Fish!$D:$D,MATCH(F29,Fish!$L:$L,0)),"")</f>
        <v>11009</v>
      </c>
      <c r="H29" s="43">
        <v>0</v>
      </c>
      <c r="I29" s="43">
        <v>1</v>
      </c>
      <c r="J29" s="43">
        <v>4</v>
      </c>
      <c r="K29" s="43">
        <v>6</v>
      </c>
      <c r="L29" s="43" t="s">
        <v>81</v>
      </c>
      <c r="M29" s="43">
        <f>IF(L29&gt;0,INDEX(Fish!$D:$D,MATCH(L29,Fish!$L:$L,0)),"")</f>
        <v>11010</v>
      </c>
      <c r="N29" s="43">
        <v>0</v>
      </c>
      <c r="O29" s="43">
        <v>1</v>
      </c>
      <c r="P29" s="43">
        <v>3</v>
      </c>
      <c r="Q29" s="43">
        <v>5</v>
      </c>
      <c r="R29" s="43" t="s">
        <v>85</v>
      </c>
      <c r="S29" s="43">
        <f>IF(R29&gt;0,INDEX(Fish!$D:$D,MATCH(R29,Fish!$L:$L,0)),"")</f>
        <v>11012</v>
      </c>
      <c r="T29" s="43">
        <v>0</v>
      </c>
      <c r="U29" s="43">
        <v>1</v>
      </c>
      <c r="V29" s="43">
        <v>3</v>
      </c>
      <c r="W29" s="43">
        <v>4</v>
      </c>
      <c r="X29" s="43" t="s">
        <v>91</v>
      </c>
      <c r="Y29" s="43">
        <f>IF(X29&gt;0,INDEX(Fish!$D:$D,MATCH(X29,Fish!$L:$L,0)),"")</f>
        <v>11015</v>
      </c>
      <c r="Z29" s="43">
        <v>0</v>
      </c>
      <c r="AA29" s="43">
        <v>1</v>
      </c>
      <c r="AB29" s="43">
        <v>2</v>
      </c>
      <c r="AC29" s="43">
        <v>3</v>
      </c>
      <c r="AE29" s="43" t="str">
        <f>IF(AD29&gt;0,VLOOKUP(AD29,IF({1,0},#REF!,#REF!),2,FALSE),"")</f>
        <v/>
      </c>
    </row>
    <row r="30" spans="1:31">
      <c r="A30" s="43">
        <v>44411</v>
      </c>
      <c r="B30" s="43">
        <v>2</v>
      </c>
      <c r="C30" s="43">
        <v>0</v>
      </c>
      <c r="D30" s="43">
        <v>2</v>
      </c>
      <c r="E30" s="43">
        <v>1</v>
      </c>
      <c r="F30" s="43" t="s">
        <v>77</v>
      </c>
      <c r="G30" s="43">
        <f>IF(F30&gt;0,INDEX(Fish!$D:$D,MATCH(F30,Fish!$L:$L,0)),"")</f>
        <v>11009</v>
      </c>
      <c r="H30" s="43">
        <v>0</v>
      </c>
      <c r="I30" s="43">
        <v>1</v>
      </c>
      <c r="J30" s="43">
        <v>4</v>
      </c>
      <c r="K30" s="43">
        <v>6</v>
      </c>
      <c r="L30" s="43" t="s">
        <v>81</v>
      </c>
      <c r="M30" s="43">
        <f>IF(L30&gt;0,INDEX(Fish!$D:$D,MATCH(L30,Fish!$L:$L,0)),"")</f>
        <v>11010</v>
      </c>
      <c r="N30" s="43">
        <v>0</v>
      </c>
      <c r="O30" s="43">
        <v>1</v>
      </c>
      <c r="P30" s="43">
        <v>3</v>
      </c>
      <c r="Q30" s="43">
        <v>5</v>
      </c>
      <c r="R30" s="43" t="s">
        <v>85</v>
      </c>
      <c r="S30" s="43">
        <f>IF(R30&gt;0,INDEX(Fish!$D:$D,MATCH(R30,Fish!$L:$L,0)),"")</f>
        <v>11012</v>
      </c>
      <c r="T30" s="43">
        <v>0</v>
      </c>
      <c r="U30" s="43">
        <v>1</v>
      </c>
      <c r="V30" s="43">
        <v>3</v>
      </c>
      <c r="W30" s="43">
        <v>4</v>
      </c>
      <c r="X30" s="43" t="s">
        <v>97</v>
      </c>
      <c r="Y30" s="43">
        <f>IF(X30&gt;0,INDEX(Fish!$D:$D,MATCH(X30,Fish!$L:$L,0)),"")</f>
        <v>11020</v>
      </c>
      <c r="Z30" s="43">
        <v>0</v>
      </c>
      <c r="AA30" s="43">
        <v>1</v>
      </c>
      <c r="AB30" s="43">
        <v>2</v>
      </c>
      <c r="AC30" s="43">
        <v>3</v>
      </c>
      <c r="AE30" s="43" t="str">
        <f>IF(AD30&gt;0,VLOOKUP(AD30,IF({1,0},#REF!,#REF!),2,FALSE),"")</f>
        <v/>
      </c>
    </row>
    <row r="31" spans="1:31">
      <c r="A31" s="43">
        <v>44411</v>
      </c>
      <c r="B31" s="43">
        <v>2</v>
      </c>
      <c r="C31" s="43">
        <v>0</v>
      </c>
      <c r="D31" s="43">
        <v>2</v>
      </c>
      <c r="E31" s="43">
        <v>1</v>
      </c>
      <c r="F31" s="43" t="s">
        <v>77</v>
      </c>
      <c r="G31" s="43">
        <f>IF(F31&gt;0,INDEX(Fish!$D:$D,MATCH(F31,Fish!$L:$L,0)),"")</f>
        <v>11009</v>
      </c>
      <c r="H31" s="43">
        <v>0</v>
      </c>
      <c r="I31" s="43">
        <v>1</v>
      </c>
      <c r="J31" s="43">
        <v>4</v>
      </c>
      <c r="K31" s="43">
        <v>6</v>
      </c>
      <c r="L31" s="43" t="s">
        <v>81</v>
      </c>
      <c r="M31" s="43">
        <f>IF(L31&gt;0,INDEX(Fish!$D:$D,MATCH(L31,Fish!$L:$L,0)),"")</f>
        <v>11010</v>
      </c>
      <c r="N31" s="43">
        <v>0</v>
      </c>
      <c r="O31" s="43">
        <v>1</v>
      </c>
      <c r="P31" s="43">
        <v>3</v>
      </c>
      <c r="Q31" s="43">
        <v>5</v>
      </c>
      <c r="R31" s="43" t="s">
        <v>85</v>
      </c>
      <c r="S31" s="43">
        <f>IF(R31&gt;0,INDEX(Fish!$D:$D,MATCH(R31,Fish!$L:$L,0)),"")</f>
        <v>11012</v>
      </c>
      <c r="T31" s="43">
        <v>0</v>
      </c>
      <c r="U31" s="43">
        <v>1</v>
      </c>
      <c r="V31" s="43">
        <v>3</v>
      </c>
      <c r="W31" s="43">
        <v>4</v>
      </c>
      <c r="X31" s="43" t="s">
        <v>87</v>
      </c>
      <c r="Y31" s="43">
        <f>IF(X31&gt;0,INDEX(Fish!$D:$D,MATCH(X31,Fish!$L:$L,0)),"")</f>
        <v>11013</v>
      </c>
      <c r="Z31" s="43">
        <v>0</v>
      </c>
      <c r="AA31" s="43">
        <v>1</v>
      </c>
      <c r="AB31" s="43">
        <v>2</v>
      </c>
      <c r="AC31" s="43">
        <v>3</v>
      </c>
      <c r="AE31" s="43" t="str">
        <f>IF(AD31&gt;0,VLOOKUP(AD31,IF({1,0},#REF!,#REF!),2,FALSE),"")</f>
        <v/>
      </c>
    </row>
    <row r="32" spans="1:31">
      <c r="A32" s="43">
        <v>44411</v>
      </c>
      <c r="B32" s="43">
        <v>2</v>
      </c>
      <c r="C32" s="43">
        <v>0</v>
      </c>
      <c r="D32" s="43">
        <v>3</v>
      </c>
      <c r="E32" s="43">
        <v>2</v>
      </c>
      <c r="F32" s="43" t="s">
        <v>101</v>
      </c>
      <c r="G32" s="43">
        <f>IF(F32&gt;0,INDEX(Fish!$D:$D,MATCH(F32,Fish!$L:$L,0)),"")</f>
        <v>11090</v>
      </c>
      <c r="H32" s="43">
        <v>55000</v>
      </c>
      <c r="I32" s="43">
        <v>1</v>
      </c>
      <c r="J32" s="43">
        <v>1</v>
      </c>
      <c r="K32" s="43">
        <v>1</v>
      </c>
      <c r="L32" s="43" t="s">
        <v>99</v>
      </c>
      <c r="M32" s="43">
        <f>IF(L32&gt;0,INDEX(Fish!$D:$D,MATCH(L32,Fish!$L:$L,0)),"")</f>
        <v>11024</v>
      </c>
      <c r="N32" s="43">
        <v>45000</v>
      </c>
      <c r="O32" s="43">
        <v>1</v>
      </c>
      <c r="P32" s="43">
        <v>1</v>
      </c>
      <c r="Q32" s="43">
        <v>1</v>
      </c>
      <c r="S32" s="43" t="str">
        <f>IF(R32&gt;0,INDEX(Fish!$D:$D,MATCH(R32,Fish!$L:$L,0)),"")</f>
        <v/>
      </c>
      <c r="Y32" s="43" t="str">
        <f>IF(X32&gt;0,INDEX(Fish!$D:$D,MATCH(X32,Fish!$L:$L,0)),"")</f>
        <v/>
      </c>
      <c r="AE32" s="43" t="str">
        <f>IF(AD32&gt;0,VLOOKUP(AD32,IF({1,0},#REF!,#REF!),2,FALSE),"")</f>
        <v/>
      </c>
    </row>
    <row r="33" spans="1:31">
      <c r="A33" s="43">
        <v>44411</v>
      </c>
      <c r="B33" s="43">
        <v>2</v>
      </c>
      <c r="C33" s="43">
        <v>0</v>
      </c>
      <c r="D33" s="43">
        <v>4</v>
      </c>
      <c r="E33" s="43">
        <v>2</v>
      </c>
      <c r="F33" s="43" t="s">
        <v>351</v>
      </c>
      <c r="G33" s="43">
        <f>IF(F33&gt;0,INDEX(Fish!$D:$D,MATCH(F33,Fish!$L:$L,0)),"")</f>
        <v>11018</v>
      </c>
      <c r="H33" s="43">
        <v>30000</v>
      </c>
      <c r="I33" s="43">
        <v>1</v>
      </c>
      <c r="J33" s="43">
        <v>0</v>
      </c>
      <c r="K33" s="43">
        <v>1</v>
      </c>
      <c r="L33" s="43" t="s">
        <v>361</v>
      </c>
      <c r="M33" s="43">
        <f>IF(L33&gt;0,INDEX(Fish!$D:$D,MATCH(L33,Fish!$L:$L,0)),"")</f>
        <v>11214</v>
      </c>
      <c r="N33" s="43">
        <v>30000</v>
      </c>
      <c r="O33" s="43">
        <v>1</v>
      </c>
      <c r="P33" s="43">
        <v>0</v>
      </c>
      <c r="Q33" s="43">
        <v>1</v>
      </c>
      <c r="R33" s="43" t="s">
        <v>355</v>
      </c>
      <c r="S33" s="43">
        <f>IF(R33&gt;0,INDEX(Fish!$D:$D,MATCH(R33,Fish!$L:$L,0)),"")</f>
        <v>11021</v>
      </c>
      <c r="T33" s="43">
        <v>25000</v>
      </c>
      <c r="U33" s="43">
        <v>1</v>
      </c>
      <c r="V33" s="43">
        <v>0</v>
      </c>
      <c r="W33" s="43">
        <v>1</v>
      </c>
      <c r="X33" s="46" t="s">
        <v>353</v>
      </c>
      <c r="Y33" s="43">
        <f>IF(X33&gt;0,INDEX(Fish!$D:$D,MATCH(X33,Fish!$L:$L,0)),"")</f>
        <v>11092</v>
      </c>
      <c r="Z33" s="43">
        <v>15000</v>
      </c>
      <c r="AA33" s="43">
        <v>1</v>
      </c>
      <c r="AB33" s="43">
        <v>0</v>
      </c>
      <c r="AC33" s="43">
        <v>1</v>
      </c>
      <c r="AE33" s="43" t="str">
        <f>IF(AD33&gt;0,VLOOKUP(AD33,IF({1,0},#REF!,#REF!),2,FALSE),"")</f>
        <v/>
      </c>
    </row>
    <row r="34" spans="1:31">
      <c r="A34" s="43">
        <v>44411</v>
      </c>
      <c r="B34" s="43">
        <v>2</v>
      </c>
      <c r="C34" s="43">
        <v>0</v>
      </c>
      <c r="D34" s="43">
        <v>5</v>
      </c>
      <c r="E34" s="43">
        <v>2</v>
      </c>
      <c r="F34" s="43" t="s">
        <v>120</v>
      </c>
      <c r="G34" s="43">
        <f>IF(F34&gt;0,INDEX(Fish!$D:$D,MATCH(F34,Fish!$L:$L,0)),"")</f>
        <v>14009</v>
      </c>
      <c r="H34" s="43">
        <v>0</v>
      </c>
      <c r="I34" s="43">
        <v>1</v>
      </c>
      <c r="J34" s="43">
        <v>0</v>
      </c>
      <c r="K34" s="43">
        <v>1</v>
      </c>
      <c r="L34" s="43" t="s">
        <v>121</v>
      </c>
      <c r="M34" s="43">
        <f>IF(L34&gt;0,INDEX(Fish!$D:$D,MATCH(L34,Fish!$L:$L,0)),"")</f>
        <v>14011</v>
      </c>
      <c r="N34" s="43">
        <v>0</v>
      </c>
      <c r="O34" s="43">
        <v>1</v>
      </c>
      <c r="P34" s="43">
        <v>0</v>
      </c>
      <c r="Q34" s="43">
        <v>1</v>
      </c>
      <c r="R34" s="43" t="s">
        <v>123</v>
      </c>
      <c r="S34" s="43">
        <f>IF(R34&gt;0,INDEX(Fish!$D:$D,MATCH(R34,Fish!$L:$L,0)),"")</f>
        <v>14015</v>
      </c>
      <c r="T34" s="43">
        <v>58000</v>
      </c>
      <c r="U34" s="43">
        <v>1</v>
      </c>
      <c r="V34" s="43">
        <v>0</v>
      </c>
      <c r="W34" s="43">
        <v>1</v>
      </c>
      <c r="X34" s="43" t="s">
        <v>124</v>
      </c>
      <c r="Y34" s="43">
        <f>IF(X34&gt;0,INDEX(Fish!$D:$D,MATCH(X34,Fish!$L:$L,0)),"")</f>
        <v>14020</v>
      </c>
      <c r="Z34" s="43">
        <v>42000</v>
      </c>
      <c r="AA34" s="43">
        <v>1</v>
      </c>
      <c r="AB34" s="43">
        <v>0</v>
      </c>
      <c r="AC34" s="43">
        <v>1</v>
      </c>
      <c r="AE34" s="43" t="str">
        <f>IF(AD34&gt;0,VLOOKUP(AD34,IF({1,0},#REF!,#REF!),2,FALSE),"")</f>
        <v/>
      </c>
    </row>
    <row r="35" spans="1:31">
      <c r="A35" s="43">
        <v>44412</v>
      </c>
      <c r="B35" s="43">
        <v>2</v>
      </c>
      <c r="C35" s="43">
        <v>8</v>
      </c>
      <c r="D35" s="43">
        <v>1</v>
      </c>
      <c r="E35" s="43">
        <v>1</v>
      </c>
      <c r="F35" s="43" t="s">
        <v>61</v>
      </c>
      <c r="G35" s="43">
        <f>IF(F35&gt;0,INDEX(Fish!$D:$D,MATCH(F35,Fish!$L:$L,0)),"")</f>
        <v>11001</v>
      </c>
      <c r="H35" s="43">
        <v>0</v>
      </c>
      <c r="I35" s="43">
        <v>4</v>
      </c>
      <c r="J35" s="43">
        <v>20</v>
      </c>
      <c r="K35" s="43">
        <v>25</v>
      </c>
      <c r="L35" s="43" t="s">
        <v>65</v>
      </c>
      <c r="M35" s="43">
        <f>IF(L35&gt;0,INDEX(Fish!$D:$D,MATCH(L35,Fish!$L:$L,0)),"")</f>
        <v>11003</v>
      </c>
      <c r="N35" s="43">
        <v>0</v>
      </c>
      <c r="O35" s="43">
        <v>3</v>
      </c>
      <c r="P35" s="43">
        <v>15</v>
      </c>
      <c r="Q35" s="43">
        <v>20</v>
      </c>
      <c r="S35" s="43" t="str">
        <f>IF(R35&gt;0,INDEX(Fish!$D:$D,MATCH(R35,Fish!$L:$L,0)),"")</f>
        <v/>
      </c>
      <c r="Y35" s="43" t="str">
        <f>IF(X35&gt;0,INDEX(Fish!$D:$D,MATCH(X35,Fish!$L:$L,0)),"")</f>
        <v/>
      </c>
      <c r="AE35" s="43" t="str">
        <f>IF(AD35&gt;0,VLOOKUP(AD35,IF({1,0},#REF!,#REF!),2,FALSE),"")</f>
        <v/>
      </c>
    </row>
    <row r="36" spans="1:31">
      <c r="A36" s="43">
        <v>44412</v>
      </c>
      <c r="B36" s="43">
        <v>2</v>
      </c>
      <c r="C36" s="43">
        <v>8</v>
      </c>
      <c r="D36" s="43">
        <v>1</v>
      </c>
      <c r="E36" s="43">
        <v>1</v>
      </c>
      <c r="F36" s="43" t="s">
        <v>61</v>
      </c>
      <c r="G36" s="43">
        <f>IF(F36&gt;0,INDEX(Fish!$D:$D,MATCH(F36,Fish!$L:$L,0)),"")</f>
        <v>11001</v>
      </c>
      <c r="H36" s="43">
        <v>0</v>
      </c>
      <c r="I36" s="43">
        <v>4</v>
      </c>
      <c r="J36" s="43">
        <v>20</v>
      </c>
      <c r="K36" s="43">
        <v>25</v>
      </c>
      <c r="L36" s="43" t="s">
        <v>67</v>
      </c>
      <c r="M36" s="43">
        <f>IF(L36&gt;0,INDEX(Fish!$D:$D,MATCH(L36,Fish!$L:$L,0)),"")</f>
        <v>11004</v>
      </c>
      <c r="N36" s="43">
        <v>0</v>
      </c>
      <c r="O36" s="43">
        <v>3</v>
      </c>
      <c r="P36" s="43">
        <v>15</v>
      </c>
      <c r="Q36" s="43">
        <v>20</v>
      </c>
      <c r="S36" s="43" t="str">
        <f>IF(R36&gt;0,INDEX(Fish!$D:$D,MATCH(R36,Fish!$L:$L,0)),"")</f>
        <v/>
      </c>
      <c r="Y36" s="43" t="str">
        <f>IF(X36&gt;0,INDEX(Fish!$D:$D,MATCH(X36,Fish!$L:$L,0)),"")</f>
        <v/>
      </c>
      <c r="AE36" s="43" t="str">
        <f>IF(AD36&gt;0,VLOOKUP(AD36,IF({1,0},#REF!,#REF!),2,FALSE),"")</f>
        <v/>
      </c>
    </row>
    <row r="37" spans="1:31">
      <c r="A37" s="43">
        <v>44412</v>
      </c>
      <c r="B37" s="43">
        <v>2</v>
      </c>
      <c r="C37" s="43">
        <v>8</v>
      </c>
      <c r="D37" s="43">
        <v>1</v>
      </c>
      <c r="E37" s="43">
        <v>1</v>
      </c>
      <c r="F37" s="43" t="s">
        <v>63</v>
      </c>
      <c r="G37" s="43">
        <f>IF(F37&gt;0,INDEX(Fish!$D:$D,MATCH(F37,Fish!$L:$L,0)),"")</f>
        <v>11002</v>
      </c>
      <c r="H37" s="43">
        <v>0</v>
      </c>
      <c r="I37" s="43">
        <v>4</v>
      </c>
      <c r="J37" s="43">
        <v>20</v>
      </c>
      <c r="K37" s="43">
        <v>25</v>
      </c>
      <c r="L37" s="43" t="s">
        <v>65</v>
      </c>
      <c r="M37" s="43">
        <f>IF(L37&gt;0,INDEX(Fish!$D:$D,MATCH(L37,Fish!$L:$L,0)),"")</f>
        <v>11003</v>
      </c>
      <c r="N37" s="43">
        <v>0</v>
      </c>
      <c r="O37" s="43">
        <v>3</v>
      </c>
      <c r="P37" s="43">
        <v>15</v>
      </c>
      <c r="Q37" s="43">
        <v>20</v>
      </c>
      <c r="S37" s="43" t="str">
        <f>IF(R37&gt;0,INDEX(Fish!$D:$D,MATCH(R37,Fish!$L:$L,0)),"")</f>
        <v/>
      </c>
      <c r="Y37" s="43" t="str">
        <f>IF(X37&gt;0,INDEX(Fish!$D:$D,MATCH(X37,Fish!$L:$L,0)),"")</f>
        <v/>
      </c>
      <c r="AE37" s="43" t="str">
        <f>IF(AD37&gt;0,VLOOKUP(AD37,IF({1,0},#REF!,#REF!),2,FALSE),"")</f>
        <v/>
      </c>
    </row>
    <row r="38" spans="1:31">
      <c r="A38" s="43">
        <v>44412</v>
      </c>
      <c r="B38" s="43">
        <v>2</v>
      </c>
      <c r="C38" s="43">
        <v>8</v>
      </c>
      <c r="D38" s="43">
        <v>1</v>
      </c>
      <c r="E38" s="43">
        <v>1</v>
      </c>
      <c r="F38" s="43" t="s">
        <v>63</v>
      </c>
      <c r="G38" s="43">
        <f>IF(F38&gt;0,INDEX(Fish!$D:$D,MATCH(F38,Fish!$L:$L,0)),"")</f>
        <v>11002</v>
      </c>
      <c r="H38" s="43">
        <v>0</v>
      </c>
      <c r="I38" s="43">
        <v>4</v>
      </c>
      <c r="J38" s="43">
        <v>20</v>
      </c>
      <c r="K38" s="43">
        <v>25</v>
      </c>
      <c r="L38" s="43" t="s">
        <v>67</v>
      </c>
      <c r="M38" s="43">
        <f>IF(L38&gt;0,INDEX(Fish!$D:$D,MATCH(L38,Fish!$L:$L,0)),"")</f>
        <v>11004</v>
      </c>
      <c r="N38" s="43">
        <v>0</v>
      </c>
      <c r="O38" s="43">
        <v>3</v>
      </c>
      <c r="P38" s="43">
        <v>15</v>
      </c>
      <c r="Q38" s="43">
        <v>20</v>
      </c>
      <c r="S38" s="43" t="str">
        <f>IF(R38&gt;0,INDEX(Fish!$D:$D,MATCH(R38,Fish!$L:$L,0)),"")</f>
        <v/>
      </c>
      <c r="Y38" s="43" t="str">
        <f>IF(X38&gt;0,INDEX(Fish!$D:$D,MATCH(X38,Fish!$L:$L,0)),"")</f>
        <v/>
      </c>
      <c r="AE38" s="43" t="str">
        <f>IF(AD38&gt;0,VLOOKUP(AD38,IF({1,0},#REF!,#REF!),2,FALSE),"")</f>
        <v/>
      </c>
    </row>
    <row r="39" spans="1:35">
      <c r="A39" s="43">
        <v>44412</v>
      </c>
      <c r="B39" s="43">
        <v>4</v>
      </c>
      <c r="C39" s="43">
        <v>0</v>
      </c>
      <c r="D39" s="43">
        <v>2</v>
      </c>
      <c r="E39" s="43">
        <v>1</v>
      </c>
      <c r="F39" s="43" t="s">
        <v>75</v>
      </c>
      <c r="G39" s="43">
        <f>IF(F39&gt;0,INDEX(Fish!$D:$D,MATCH(F39,Fish!$L:$L,0)),"")</f>
        <v>11008</v>
      </c>
      <c r="H39" s="43">
        <v>0</v>
      </c>
      <c r="I39" s="43">
        <v>1</v>
      </c>
      <c r="J39" s="43">
        <v>4</v>
      </c>
      <c r="K39" s="43">
        <v>6</v>
      </c>
      <c r="L39" s="43" t="s">
        <v>83</v>
      </c>
      <c r="M39" s="43">
        <f>IF(L39&gt;0,INDEX(Fish!$D:$D,MATCH(L39,Fish!$L:$L,0)),"")</f>
        <v>11011</v>
      </c>
      <c r="N39" s="43">
        <v>0</v>
      </c>
      <c r="O39" s="43">
        <v>1</v>
      </c>
      <c r="P39" s="43">
        <v>3</v>
      </c>
      <c r="Q39" s="43">
        <v>4</v>
      </c>
      <c r="R39" s="43" t="s">
        <v>95</v>
      </c>
      <c r="S39" s="43">
        <f>IF(R39&gt;0,INDEX(Fish!$D:$D,MATCH(R39,Fish!$L:$L,0)),"")</f>
        <v>11017</v>
      </c>
      <c r="T39" s="43">
        <v>0</v>
      </c>
      <c r="U39" s="43">
        <v>1</v>
      </c>
      <c r="V39" s="43">
        <v>2</v>
      </c>
      <c r="W39" s="43">
        <v>3</v>
      </c>
      <c r="X39" s="43" t="s">
        <v>91</v>
      </c>
      <c r="Y39" s="43">
        <f>IF(X39&gt;0,INDEX(Fish!$D:$D,MATCH(X39,Fish!$L:$L,0)),"")</f>
        <v>11015</v>
      </c>
      <c r="Z39" s="43">
        <v>0</v>
      </c>
      <c r="AA39" s="43">
        <v>1</v>
      </c>
      <c r="AB39" s="43">
        <v>2</v>
      </c>
      <c r="AC39" s="43">
        <v>3</v>
      </c>
      <c r="AD39" s="43" t="s">
        <v>87</v>
      </c>
      <c r="AE39" s="43">
        <f>IF(AD39&gt;0,INDEX(Fish!$D:$D,MATCH(AD39,Fish!$L:$L,0)),"")</f>
        <v>11013</v>
      </c>
      <c r="AF39" s="43">
        <v>0</v>
      </c>
      <c r="AG39" s="43">
        <v>1</v>
      </c>
      <c r="AH39" s="43">
        <v>1</v>
      </c>
      <c r="AI39" s="43">
        <v>2</v>
      </c>
    </row>
    <row r="40" spans="1:35">
      <c r="A40" s="43">
        <v>44412</v>
      </c>
      <c r="B40" s="43">
        <v>4</v>
      </c>
      <c r="C40" s="43">
        <v>0</v>
      </c>
      <c r="D40" s="43">
        <v>2</v>
      </c>
      <c r="E40" s="43">
        <v>1</v>
      </c>
      <c r="F40" s="43" t="s">
        <v>75</v>
      </c>
      <c r="G40" s="43">
        <f>IF(F40&gt;0,INDEX(Fish!$D:$D,MATCH(F40,Fish!$L:$L,0)),"")</f>
        <v>11008</v>
      </c>
      <c r="H40" s="43">
        <v>0</v>
      </c>
      <c r="I40" s="43">
        <v>1</v>
      </c>
      <c r="J40" s="43">
        <v>4</v>
      </c>
      <c r="K40" s="43">
        <v>6</v>
      </c>
      <c r="L40" s="43" t="s">
        <v>83</v>
      </c>
      <c r="M40" s="43">
        <f>IF(L40&gt;0,INDEX(Fish!$D:$D,MATCH(L40,Fish!$L:$L,0)),"")</f>
        <v>11011</v>
      </c>
      <c r="N40" s="43">
        <v>0</v>
      </c>
      <c r="O40" s="43">
        <v>1</v>
      </c>
      <c r="P40" s="43">
        <v>3</v>
      </c>
      <c r="Q40" s="43">
        <v>4</v>
      </c>
      <c r="R40" s="43" t="s">
        <v>95</v>
      </c>
      <c r="S40" s="43">
        <f>IF(R40&gt;0,INDEX(Fish!$D:$D,MATCH(R40,Fish!$L:$L,0)),"")</f>
        <v>11017</v>
      </c>
      <c r="T40" s="43">
        <v>0</v>
      </c>
      <c r="U40" s="43">
        <v>1</v>
      </c>
      <c r="V40" s="43">
        <v>2</v>
      </c>
      <c r="W40" s="43">
        <v>3</v>
      </c>
      <c r="X40" s="43" t="s">
        <v>91</v>
      </c>
      <c r="Y40" s="43">
        <f>IF(X40&gt;0,INDEX(Fish!$D:$D,MATCH(X40,Fish!$L:$L,0)),"")</f>
        <v>11015</v>
      </c>
      <c r="Z40" s="43">
        <v>0</v>
      </c>
      <c r="AA40" s="43">
        <v>1</v>
      </c>
      <c r="AB40" s="43">
        <v>2</v>
      </c>
      <c r="AC40" s="43">
        <v>3</v>
      </c>
      <c r="AD40" s="43" t="s">
        <v>93</v>
      </c>
      <c r="AE40" s="43">
        <f>IF(AD40&gt;0,INDEX(Fish!$D:$D,MATCH(AD40,Fish!$L:$L,0)),"")</f>
        <v>11016</v>
      </c>
      <c r="AF40" s="43">
        <v>0</v>
      </c>
      <c r="AG40" s="43">
        <v>1</v>
      </c>
      <c r="AH40" s="43">
        <v>1</v>
      </c>
      <c r="AI40" s="43">
        <v>2</v>
      </c>
    </row>
    <row r="41" spans="1:35">
      <c r="A41" s="43">
        <v>44412</v>
      </c>
      <c r="B41" s="43">
        <v>4</v>
      </c>
      <c r="C41" s="43">
        <v>0</v>
      </c>
      <c r="D41" s="43">
        <v>2</v>
      </c>
      <c r="E41" s="43">
        <v>1</v>
      </c>
      <c r="F41" s="43" t="s">
        <v>75</v>
      </c>
      <c r="G41" s="43">
        <f>IF(F41&gt;0,INDEX(Fish!$D:$D,MATCH(F41,Fish!$L:$L,0)),"")</f>
        <v>11008</v>
      </c>
      <c r="H41" s="43">
        <v>0</v>
      </c>
      <c r="I41" s="43">
        <v>1</v>
      </c>
      <c r="J41" s="43">
        <v>4</v>
      </c>
      <c r="K41" s="43">
        <v>6</v>
      </c>
      <c r="L41" s="43" t="s">
        <v>83</v>
      </c>
      <c r="M41" s="43">
        <f>IF(L41&gt;0,INDEX(Fish!$D:$D,MATCH(L41,Fish!$L:$L,0)),"")</f>
        <v>11011</v>
      </c>
      <c r="N41" s="43">
        <v>0</v>
      </c>
      <c r="O41" s="43">
        <v>1</v>
      </c>
      <c r="P41" s="43">
        <v>3</v>
      </c>
      <c r="Q41" s="43">
        <v>4</v>
      </c>
      <c r="R41" s="43" t="s">
        <v>95</v>
      </c>
      <c r="S41" s="43">
        <f>IF(R41&gt;0,INDEX(Fish!$D:$D,MATCH(R41,Fish!$L:$L,0)),"")</f>
        <v>11017</v>
      </c>
      <c r="T41" s="43">
        <v>0</v>
      </c>
      <c r="U41" s="43">
        <v>1</v>
      </c>
      <c r="V41" s="43">
        <v>2</v>
      </c>
      <c r="W41" s="43">
        <v>3</v>
      </c>
      <c r="X41" s="43" t="s">
        <v>97</v>
      </c>
      <c r="Y41" s="43">
        <f>IF(X41&gt;0,INDEX(Fish!$D:$D,MATCH(X41,Fish!$L:$L,0)),"")</f>
        <v>11020</v>
      </c>
      <c r="Z41" s="43">
        <v>0</v>
      </c>
      <c r="AA41" s="43">
        <v>1</v>
      </c>
      <c r="AB41" s="43">
        <v>2</v>
      </c>
      <c r="AC41" s="43">
        <v>3</v>
      </c>
      <c r="AD41" s="43" t="s">
        <v>87</v>
      </c>
      <c r="AE41" s="43">
        <f>IF(AD41&gt;0,INDEX(Fish!$D:$D,MATCH(AD41,Fish!$L:$L,0)),"")</f>
        <v>11013</v>
      </c>
      <c r="AF41" s="43">
        <v>0</v>
      </c>
      <c r="AG41" s="43">
        <v>1</v>
      </c>
      <c r="AH41" s="43">
        <v>1</v>
      </c>
      <c r="AI41" s="43">
        <v>2</v>
      </c>
    </row>
    <row r="42" spans="1:35">
      <c r="A42" s="43">
        <v>44412</v>
      </c>
      <c r="B42" s="43">
        <v>4</v>
      </c>
      <c r="C42" s="43">
        <v>0</v>
      </c>
      <c r="D42" s="43">
        <v>2</v>
      </c>
      <c r="E42" s="43">
        <v>1</v>
      </c>
      <c r="F42" s="43" t="s">
        <v>75</v>
      </c>
      <c r="G42" s="43">
        <f>IF(F42&gt;0,INDEX(Fish!$D:$D,MATCH(F42,Fish!$L:$L,0)),"")</f>
        <v>11008</v>
      </c>
      <c r="H42" s="43">
        <v>0</v>
      </c>
      <c r="I42" s="43">
        <v>1</v>
      </c>
      <c r="J42" s="43">
        <v>4</v>
      </c>
      <c r="K42" s="43">
        <v>6</v>
      </c>
      <c r="L42" s="43" t="s">
        <v>83</v>
      </c>
      <c r="M42" s="43">
        <f>IF(L42&gt;0,INDEX(Fish!$D:$D,MATCH(L42,Fish!$L:$L,0)),"")</f>
        <v>11011</v>
      </c>
      <c r="N42" s="43">
        <v>0</v>
      </c>
      <c r="O42" s="43">
        <v>1</v>
      </c>
      <c r="P42" s="43">
        <v>3</v>
      </c>
      <c r="Q42" s="43">
        <v>4</v>
      </c>
      <c r="R42" s="43" t="s">
        <v>95</v>
      </c>
      <c r="S42" s="43">
        <f>IF(R42&gt;0,INDEX(Fish!$D:$D,MATCH(R42,Fish!$L:$L,0)),"")</f>
        <v>11017</v>
      </c>
      <c r="T42" s="43">
        <v>0</v>
      </c>
      <c r="U42" s="43">
        <v>1</v>
      </c>
      <c r="V42" s="43">
        <v>2</v>
      </c>
      <c r="W42" s="43">
        <v>3</v>
      </c>
      <c r="X42" s="43" t="s">
        <v>97</v>
      </c>
      <c r="Y42" s="43">
        <f>IF(X42&gt;0,INDEX(Fish!$D:$D,MATCH(X42,Fish!$L:$L,0)),"")</f>
        <v>11020</v>
      </c>
      <c r="Z42" s="43">
        <v>0</v>
      </c>
      <c r="AA42" s="43">
        <v>1</v>
      </c>
      <c r="AB42" s="43">
        <v>2</v>
      </c>
      <c r="AC42" s="43">
        <v>3</v>
      </c>
      <c r="AD42" s="43" t="s">
        <v>93</v>
      </c>
      <c r="AE42" s="43">
        <f>IF(AD42&gt;0,INDEX(Fish!$D:$D,MATCH(AD42,Fish!$L:$L,0)),"")</f>
        <v>11016</v>
      </c>
      <c r="AF42" s="43">
        <v>0</v>
      </c>
      <c r="AG42" s="43">
        <v>1</v>
      </c>
      <c r="AH42" s="43">
        <v>1</v>
      </c>
      <c r="AI42" s="43">
        <v>2</v>
      </c>
    </row>
    <row r="43" spans="1:35">
      <c r="A43" s="43">
        <v>44412</v>
      </c>
      <c r="B43" s="43">
        <v>4</v>
      </c>
      <c r="C43" s="43">
        <v>0</v>
      </c>
      <c r="D43" s="43">
        <v>2</v>
      </c>
      <c r="E43" s="43">
        <v>1</v>
      </c>
      <c r="F43" s="43" t="s">
        <v>75</v>
      </c>
      <c r="G43" s="43">
        <f>IF(F43&gt;0,INDEX(Fish!$D:$D,MATCH(F43,Fish!$L:$L,0)),"")</f>
        <v>11008</v>
      </c>
      <c r="H43" s="43">
        <v>0</v>
      </c>
      <c r="I43" s="43">
        <v>1</v>
      </c>
      <c r="J43" s="43">
        <v>4</v>
      </c>
      <c r="K43" s="43">
        <v>6</v>
      </c>
      <c r="L43" s="43" t="s">
        <v>83</v>
      </c>
      <c r="M43" s="43">
        <f>IF(L43&gt;0,INDEX(Fish!$D:$D,MATCH(L43,Fish!$L:$L,0)),"")</f>
        <v>11011</v>
      </c>
      <c r="N43" s="43">
        <v>0</v>
      </c>
      <c r="O43" s="43">
        <v>1</v>
      </c>
      <c r="P43" s="43">
        <v>3</v>
      </c>
      <c r="Q43" s="43">
        <v>4</v>
      </c>
      <c r="R43" s="43" t="s">
        <v>85</v>
      </c>
      <c r="S43" s="43">
        <f>IF(R43&gt;0,INDEX(Fish!$D:$D,MATCH(R43,Fish!$L:$L,0)),"")</f>
        <v>11012</v>
      </c>
      <c r="T43" s="43">
        <v>0</v>
      </c>
      <c r="U43" s="43">
        <v>1</v>
      </c>
      <c r="V43" s="43">
        <v>2</v>
      </c>
      <c r="W43" s="43">
        <v>3</v>
      </c>
      <c r="X43" s="43" t="s">
        <v>91</v>
      </c>
      <c r="Y43" s="43">
        <f>IF(X43&gt;0,INDEX(Fish!$D:$D,MATCH(X43,Fish!$L:$L,0)),"")</f>
        <v>11015</v>
      </c>
      <c r="Z43" s="43">
        <v>0</v>
      </c>
      <c r="AA43" s="43">
        <v>1</v>
      </c>
      <c r="AB43" s="43">
        <v>2</v>
      </c>
      <c r="AC43" s="43">
        <v>3</v>
      </c>
      <c r="AD43" s="43" t="s">
        <v>87</v>
      </c>
      <c r="AE43" s="43">
        <f>IF(AD43&gt;0,INDEX(Fish!$D:$D,MATCH(AD43,Fish!$L:$L,0)),"")</f>
        <v>11013</v>
      </c>
      <c r="AF43" s="43">
        <v>0</v>
      </c>
      <c r="AG43" s="43">
        <v>1</v>
      </c>
      <c r="AH43" s="43">
        <v>1</v>
      </c>
      <c r="AI43" s="43">
        <v>2</v>
      </c>
    </row>
    <row r="44" spans="1:35">
      <c r="A44" s="43">
        <v>44412</v>
      </c>
      <c r="B44" s="43">
        <v>4</v>
      </c>
      <c r="C44" s="43">
        <v>0</v>
      </c>
      <c r="D44" s="43">
        <v>2</v>
      </c>
      <c r="E44" s="43">
        <v>1</v>
      </c>
      <c r="F44" s="43" t="s">
        <v>75</v>
      </c>
      <c r="G44" s="43">
        <f>IF(F44&gt;0,INDEX(Fish!$D:$D,MATCH(F44,Fish!$L:$L,0)),"")</f>
        <v>11008</v>
      </c>
      <c r="H44" s="43">
        <v>0</v>
      </c>
      <c r="I44" s="43">
        <v>1</v>
      </c>
      <c r="J44" s="43">
        <v>4</v>
      </c>
      <c r="K44" s="43">
        <v>6</v>
      </c>
      <c r="L44" s="43" t="s">
        <v>83</v>
      </c>
      <c r="M44" s="43">
        <f>IF(L44&gt;0,INDEX(Fish!$D:$D,MATCH(L44,Fish!$L:$L,0)),"")</f>
        <v>11011</v>
      </c>
      <c r="N44" s="43">
        <v>0</v>
      </c>
      <c r="O44" s="43">
        <v>1</v>
      </c>
      <c r="P44" s="43">
        <v>3</v>
      </c>
      <c r="Q44" s="43">
        <v>4</v>
      </c>
      <c r="R44" s="43" t="s">
        <v>85</v>
      </c>
      <c r="S44" s="43">
        <f>IF(R44&gt;0,INDEX(Fish!$D:$D,MATCH(R44,Fish!$L:$L,0)),"")</f>
        <v>11012</v>
      </c>
      <c r="T44" s="43">
        <v>0</v>
      </c>
      <c r="U44" s="43">
        <v>1</v>
      </c>
      <c r="V44" s="43">
        <v>2</v>
      </c>
      <c r="W44" s="43">
        <v>3</v>
      </c>
      <c r="X44" s="43" t="s">
        <v>91</v>
      </c>
      <c r="Y44" s="43">
        <f>IF(X44&gt;0,INDEX(Fish!$D:$D,MATCH(X44,Fish!$L:$L,0)),"")</f>
        <v>11015</v>
      </c>
      <c r="Z44" s="43">
        <v>0</v>
      </c>
      <c r="AA44" s="43">
        <v>1</v>
      </c>
      <c r="AB44" s="43">
        <v>2</v>
      </c>
      <c r="AC44" s="43">
        <v>3</v>
      </c>
      <c r="AD44" s="43" t="s">
        <v>93</v>
      </c>
      <c r="AE44" s="43">
        <f>IF(AD44&gt;0,INDEX(Fish!$D:$D,MATCH(AD44,Fish!$L:$L,0)),"")</f>
        <v>11016</v>
      </c>
      <c r="AF44" s="43">
        <v>0</v>
      </c>
      <c r="AG44" s="43">
        <v>1</v>
      </c>
      <c r="AH44" s="43">
        <v>1</v>
      </c>
      <c r="AI44" s="43">
        <v>2</v>
      </c>
    </row>
    <row r="45" spans="1:35">
      <c r="A45" s="43">
        <v>44412</v>
      </c>
      <c r="B45" s="43">
        <v>4</v>
      </c>
      <c r="C45" s="43">
        <v>0</v>
      </c>
      <c r="D45" s="43">
        <v>2</v>
      </c>
      <c r="E45" s="43">
        <v>1</v>
      </c>
      <c r="F45" s="43" t="s">
        <v>75</v>
      </c>
      <c r="G45" s="43">
        <f>IF(F45&gt;0,INDEX(Fish!$D:$D,MATCH(F45,Fish!$L:$L,0)),"")</f>
        <v>11008</v>
      </c>
      <c r="H45" s="43">
        <v>0</v>
      </c>
      <c r="I45" s="43">
        <v>1</v>
      </c>
      <c r="J45" s="43">
        <v>4</v>
      </c>
      <c r="K45" s="43">
        <v>6</v>
      </c>
      <c r="L45" s="43" t="s">
        <v>83</v>
      </c>
      <c r="M45" s="43">
        <f>IF(L45&gt;0,INDEX(Fish!$D:$D,MATCH(L45,Fish!$L:$L,0)),"")</f>
        <v>11011</v>
      </c>
      <c r="N45" s="43">
        <v>0</v>
      </c>
      <c r="O45" s="43">
        <v>1</v>
      </c>
      <c r="P45" s="43">
        <v>3</v>
      </c>
      <c r="Q45" s="43">
        <v>4</v>
      </c>
      <c r="R45" s="43" t="s">
        <v>85</v>
      </c>
      <c r="S45" s="43">
        <f>IF(R45&gt;0,INDEX(Fish!$D:$D,MATCH(R45,Fish!$L:$L,0)),"")</f>
        <v>11012</v>
      </c>
      <c r="T45" s="43">
        <v>0</v>
      </c>
      <c r="U45" s="43">
        <v>1</v>
      </c>
      <c r="V45" s="43">
        <v>2</v>
      </c>
      <c r="W45" s="43">
        <v>3</v>
      </c>
      <c r="X45" s="43" t="s">
        <v>97</v>
      </c>
      <c r="Y45" s="43">
        <f>IF(X45&gt;0,INDEX(Fish!$D:$D,MATCH(X45,Fish!$L:$L,0)),"")</f>
        <v>11020</v>
      </c>
      <c r="Z45" s="43">
        <v>0</v>
      </c>
      <c r="AA45" s="43">
        <v>1</v>
      </c>
      <c r="AB45" s="43">
        <v>2</v>
      </c>
      <c r="AC45" s="43">
        <v>3</v>
      </c>
      <c r="AD45" s="43" t="s">
        <v>87</v>
      </c>
      <c r="AE45" s="43">
        <f>IF(AD45&gt;0,INDEX(Fish!$D:$D,MATCH(AD45,Fish!$L:$L,0)),"")</f>
        <v>11013</v>
      </c>
      <c r="AF45" s="43">
        <v>0</v>
      </c>
      <c r="AG45" s="43">
        <v>1</v>
      </c>
      <c r="AH45" s="43">
        <v>1</v>
      </c>
      <c r="AI45" s="43">
        <v>2</v>
      </c>
    </row>
    <row r="46" spans="1:35">
      <c r="A46" s="43">
        <v>44412</v>
      </c>
      <c r="B46" s="43">
        <v>4</v>
      </c>
      <c r="C46" s="43">
        <v>0</v>
      </c>
      <c r="D46" s="43">
        <v>2</v>
      </c>
      <c r="E46" s="43">
        <v>1</v>
      </c>
      <c r="F46" s="43" t="s">
        <v>75</v>
      </c>
      <c r="G46" s="43">
        <f>IF(F46&gt;0,INDEX(Fish!$D:$D,MATCH(F46,Fish!$L:$L,0)),"")</f>
        <v>11008</v>
      </c>
      <c r="H46" s="43">
        <v>0</v>
      </c>
      <c r="I46" s="43">
        <v>1</v>
      </c>
      <c r="J46" s="43">
        <v>4</v>
      </c>
      <c r="K46" s="43">
        <v>6</v>
      </c>
      <c r="L46" s="43" t="s">
        <v>83</v>
      </c>
      <c r="M46" s="43">
        <f>IF(L46&gt;0,INDEX(Fish!$D:$D,MATCH(L46,Fish!$L:$L,0)),"")</f>
        <v>11011</v>
      </c>
      <c r="N46" s="43">
        <v>0</v>
      </c>
      <c r="O46" s="43">
        <v>1</v>
      </c>
      <c r="P46" s="43">
        <v>3</v>
      </c>
      <c r="Q46" s="43">
        <v>4</v>
      </c>
      <c r="R46" s="43" t="s">
        <v>85</v>
      </c>
      <c r="S46" s="43">
        <f>IF(R46&gt;0,INDEX(Fish!$D:$D,MATCH(R46,Fish!$L:$L,0)),"")</f>
        <v>11012</v>
      </c>
      <c r="T46" s="43">
        <v>0</v>
      </c>
      <c r="U46" s="43">
        <v>1</v>
      </c>
      <c r="V46" s="43">
        <v>2</v>
      </c>
      <c r="W46" s="43">
        <v>3</v>
      </c>
      <c r="X46" s="43" t="s">
        <v>97</v>
      </c>
      <c r="Y46" s="43">
        <f>IF(X46&gt;0,INDEX(Fish!$D:$D,MATCH(X46,Fish!$L:$L,0)),"")</f>
        <v>11020</v>
      </c>
      <c r="Z46" s="43">
        <v>0</v>
      </c>
      <c r="AA46" s="43">
        <v>1</v>
      </c>
      <c r="AB46" s="43">
        <v>2</v>
      </c>
      <c r="AC46" s="43">
        <v>3</v>
      </c>
      <c r="AD46" s="43" t="s">
        <v>93</v>
      </c>
      <c r="AE46" s="43">
        <f>IF(AD46&gt;0,INDEX(Fish!$D:$D,MATCH(AD46,Fish!$L:$L,0)),"")</f>
        <v>11016</v>
      </c>
      <c r="AF46" s="43">
        <v>0</v>
      </c>
      <c r="AG46" s="43">
        <v>1</v>
      </c>
      <c r="AH46" s="43">
        <v>1</v>
      </c>
      <c r="AI46" s="43">
        <v>2</v>
      </c>
    </row>
    <row r="47" spans="1:35">
      <c r="A47" s="43">
        <v>44412</v>
      </c>
      <c r="B47" s="43">
        <v>4</v>
      </c>
      <c r="C47" s="43">
        <v>0</v>
      </c>
      <c r="D47" s="43">
        <v>2</v>
      </c>
      <c r="E47" s="43">
        <v>1</v>
      </c>
      <c r="F47" s="43" t="s">
        <v>75</v>
      </c>
      <c r="G47" s="43">
        <f>IF(F47&gt;0,INDEX(Fish!$D:$D,MATCH(F47,Fish!$L:$L,0)),"")</f>
        <v>11008</v>
      </c>
      <c r="H47" s="43">
        <v>0</v>
      </c>
      <c r="I47" s="43">
        <v>1</v>
      </c>
      <c r="J47" s="43">
        <v>4</v>
      </c>
      <c r="K47" s="43">
        <v>6</v>
      </c>
      <c r="L47" s="43" t="s">
        <v>81</v>
      </c>
      <c r="M47" s="43">
        <f>IF(L47&gt;0,INDEX(Fish!$D:$D,MATCH(L47,Fish!$L:$L,0)),"")</f>
        <v>11010</v>
      </c>
      <c r="N47" s="43">
        <v>0</v>
      </c>
      <c r="O47" s="43">
        <v>1</v>
      </c>
      <c r="P47" s="43">
        <v>3</v>
      </c>
      <c r="Q47" s="43">
        <v>4</v>
      </c>
      <c r="R47" s="43" t="s">
        <v>95</v>
      </c>
      <c r="S47" s="43">
        <f>IF(R47&gt;0,INDEX(Fish!$D:$D,MATCH(R47,Fish!$L:$L,0)),"")</f>
        <v>11017</v>
      </c>
      <c r="T47" s="43">
        <v>0</v>
      </c>
      <c r="U47" s="43">
        <v>1</v>
      </c>
      <c r="V47" s="43">
        <v>2</v>
      </c>
      <c r="W47" s="43">
        <v>3</v>
      </c>
      <c r="X47" s="43" t="s">
        <v>91</v>
      </c>
      <c r="Y47" s="43">
        <f>IF(X47&gt;0,INDEX(Fish!$D:$D,MATCH(X47,Fish!$L:$L,0)),"")</f>
        <v>11015</v>
      </c>
      <c r="Z47" s="43">
        <v>0</v>
      </c>
      <c r="AA47" s="43">
        <v>1</v>
      </c>
      <c r="AB47" s="43">
        <v>2</v>
      </c>
      <c r="AC47" s="43">
        <v>3</v>
      </c>
      <c r="AD47" s="43" t="s">
        <v>87</v>
      </c>
      <c r="AE47" s="43">
        <f>IF(AD47&gt;0,INDEX(Fish!$D:$D,MATCH(AD47,Fish!$L:$L,0)),"")</f>
        <v>11013</v>
      </c>
      <c r="AF47" s="43">
        <v>0</v>
      </c>
      <c r="AG47" s="43">
        <v>1</v>
      </c>
      <c r="AH47" s="43">
        <v>1</v>
      </c>
      <c r="AI47" s="43">
        <v>2</v>
      </c>
    </row>
    <row r="48" spans="1:35">
      <c r="A48" s="43">
        <v>44412</v>
      </c>
      <c r="B48" s="43">
        <v>4</v>
      </c>
      <c r="C48" s="43">
        <v>0</v>
      </c>
      <c r="D48" s="43">
        <v>2</v>
      </c>
      <c r="E48" s="43">
        <v>1</v>
      </c>
      <c r="F48" s="43" t="s">
        <v>75</v>
      </c>
      <c r="G48" s="43">
        <f>IF(F48&gt;0,INDEX(Fish!$D:$D,MATCH(F48,Fish!$L:$L,0)),"")</f>
        <v>11008</v>
      </c>
      <c r="H48" s="43">
        <v>0</v>
      </c>
      <c r="I48" s="43">
        <v>1</v>
      </c>
      <c r="J48" s="43">
        <v>4</v>
      </c>
      <c r="K48" s="43">
        <v>6</v>
      </c>
      <c r="L48" s="43" t="s">
        <v>81</v>
      </c>
      <c r="M48" s="43">
        <f>IF(L48&gt;0,INDEX(Fish!$D:$D,MATCH(L48,Fish!$L:$L,0)),"")</f>
        <v>11010</v>
      </c>
      <c r="N48" s="43">
        <v>0</v>
      </c>
      <c r="O48" s="43">
        <v>1</v>
      </c>
      <c r="P48" s="43">
        <v>3</v>
      </c>
      <c r="Q48" s="43">
        <v>4</v>
      </c>
      <c r="R48" s="43" t="s">
        <v>95</v>
      </c>
      <c r="S48" s="43">
        <f>IF(R48&gt;0,INDEX(Fish!$D:$D,MATCH(R48,Fish!$L:$L,0)),"")</f>
        <v>11017</v>
      </c>
      <c r="T48" s="43">
        <v>0</v>
      </c>
      <c r="U48" s="43">
        <v>1</v>
      </c>
      <c r="V48" s="43">
        <v>2</v>
      </c>
      <c r="W48" s="43">
        <v>3</v>
      </c>
      <c r="X48" s="43" t="s">
        <v>91</v>
      </c>
      <c r="Y48" s="43">
        <f>IF(X48&gt;0,INDEX(Fish!$D:$D,MATCH(X48,Fish!$L:$L,0)),"")</f>
        <v>11015</v>
      </c>
      <c r="Z48" s="43">
        <v>0</v>
      </c>
      <c r="AA48" s="43">
        <v>1</v>
      </c>
      <c r="AB48" s="43">
        <v>2</v>
      </c>
      <c r="AC48" s="43">
        <v>3</v>
      </c>
      <c r="AD48" s="43" t="s">
        <v>93</v>
      </c>
      <c r="AE48" s="43">
        <f>IF(AD48&gt;0,INDEX(Fish!$D:$D,MATCH(AD48,Fish!$L:$L,0)),"")</f>
        <v>11016</v>
      </c>
      <c r="AF48" s="43">
        <v>0</v>
      </c>
      <c r="AG48" s="43">
        <v>1</v>
      </c>
      <c r="AH48" s="43">
        <v>1</v>
      </c>
      <c r="AI48" s="43">
        <v>2</v>
      </c>
    </row>
    <row r="49" spans="1:35">
      <c r="A49" s="43">
        <v>44412</v>
      </c>
      <c r="B49" s="43">
        <v>4</v>
      </c>
      <c r="C49" s="43">
        <v>0</v>
      </c>
      <c r="D49" s="43">
        <v>2</v>
      </c>
      <c r="E49" s="43">
        <v>1</v>
      </c>
      <c r="F49" s="43" t="s">
        <v>75</v>
      </c>
      <c r="G49" s="43">
        <f>IF(F49&gt;0,INDEX(Fish!$D:$D,MATCH(F49,Fish!$L:$L,0)),"")</f>
        <v>11008</v>
      </c>
      <c r="H49" s="43">
        <v>0</v>
      </c>
      <c r="I49" s="43">
        <v>1</v>
      </c>
      <c r="J49" s="43">
        <v>4</v>
      </c>
      <c r="K49" s="43">
        <v>6</v>
      </c>
      <c r="L49" s="43" t="s">
        <v>81</v>
      </c>
      <c r="M49" s="43">
        <f>IF(L49&gt;0,INDEX(Fish!$D:$D,MATCH(L49,Fish!$L:$L,0)),"")</f>
        <v>11010</v>
      </c>
      <c r="N49" s="43">
        <v>0</v>
      </c>
      <c r="O49" s="43">
        <v>1</v>
      </c>
      <c r="P49" s="43">
        <v>3</v>
      </c>
      <c r="Q49" s="43">
        <v>4</v>
      </c>
      <c r="R49" s="43" t="s">
        <v>95</v>
      </c>
      <c r="S49" s="43">
        <f>IF(R49&gt;0,INDEX(Fish!$D:$D,MATCH(R49,Fish!$L:$L,0)),"")</f>
        <v>11017</v>
      </c>
      <c r="T49" s="43">
        <v>0</v>
      </c>
      <c r="U49" s="43">
        <v>1</v>
      </c>
      <c r="V49" s="43">
        <v>2</v>
      </c>
      <c r="W49" s="43">
        <v>3</v>
      </c>
      <c r="X49" s="43" t="s">
        <v>97</v>
      </c>
      <c r="Y49" s="43">
        <f>IF(X49&gt;0,INDEX(Fish!$D:$D,MATCH(X49,Fish!$L:$L,0)),"")</f>
        <v>11020</v>
      </c>
      <c r="Z49" s="43">
        <v>0</v>
      </c>
      <c r="AA49" s="43">
        <v>1</v>
      </c>
      <c r="AB49" s="43">
        <v>2</v>
      </c>
      <c r="AC49" s="43">
        <v>3</v>
      </c>
      <c r="AD49" s="43" t="s">
        <v>87</v>
      </c>
      <c r="AE49" s="43">
        <f>IF(AD49&gt;0,INDEX(Fish!$D:$D,MATCH(AD49,Fish!$L:$L,0)),"")</f>
        <v>11013</v>
      </c>
      <c r="AF49" s="43">
        <v>0</v>
      </c>
      <c r="AG49" s="43">
        <v>1</v>
      </c>
      <c r="AH49" s="43">
        <v>1</v>
      </c>
      <c r="AI49" s="43">
        <v>2</v>
      </c>
    </row>
    <row r="50" spans="1:35">
      <c r="A50" s="43">
        <v>44412</v>
      </c>
      <c r="B50" s="43">
        <v>4</v>
      </c>
      <c r="C50" s="43">
        <v>0</v>
      </c>
      <c r="D50" s="43">
        <v>2</v>
      </c>
      <c r="E50" s="43">
        <v>1</v>
      </c>
      <c r="F50" s="43" t="s">
        <v>75</v>
      </c>
      <c r="G50" s="43">
        <f>IF(F50&gt;0,INDEX(Fish!$D:$D,MATCH(F50,Fish!$L:$L,0)),"")</f>
        <v>11008</v>
      </c>
      <c r="H50" s="43">
        <v>0</v>
      </c>
      <c r="I50" s="43">
        <v>1</v>
      </c>
      <c r="J50" s="43">
        <v>4</v>
      </c>
      <c r="K50" s="43">
        <v>6</v>
      </c>
      <c r="L50" s="43" t="s">
        <v>81</v>
      </c>
      <c r="M50" s="43">
        <f>IF(L50&gt;0,INDEX(Fish!$D:$D,MATCH(L50,Fish!$L:$L,0)),"")</f>
        <v>11010</v>
      </c>
      <c r="N50" s="43">
        <v>0</v>
      </c>
      <c r="O50" s="43">
        <v>1</v>
      </c>
      <c r="P50" s="43">
        <v>3</v>
      </c>
      <c r="Q50" s="43">
        <v>4</v>
      </c>
      <c r="R50" s="43" t="s">
        <v>95</v>
      </c>
      <c r="S50" s="43">
        <f>IF(R50&gt;0,INDEX(Fish!$D:$D,MATCH(R50,Fish!$L:$L,0)),"")</f>
        <v>11017</v>
      </c>
      <c r="T50" s="43">
        <v>0</v>
      </c>
      <c r="U50" s="43">
        <v>1</v>
      </c>
      <c r="V50" s="43">
        <v>2</v>
      </c>
      <c r="W50" s="43">
        <v>3</v>
      </c>
      <c r="X50" s="43" t="s">
        <v>97</v>
      </c>
      <c r="Y50" s="43">
        <f>IF(X50&gt;0,INDEX(Fish!$D:$D,MATCH(X50,Fish!$L:$L,0)),"")</f>
        <v>11020</v>
      </c>
      <c r="Z50" s="43">
        <v>0</v>
      </c>
      <c r="AA50" s="43">
        <v>1</v>
      </c>
      <c r="AB50" s="43">
        <v>2</v>
      </c>
      <c r="AC50" s="43">
        <v>3</v>
      </c>
      <c r="AD50" s="43" t="s">
        <v>93</v>
      </c>
      <c r="AE50" s="43">
        <f>IF(AD50&gt;0,INDEX(Fish!$D:$D,MATCH(AD50,Fish!$L:$L,0)),"")</f>
        <v>11016</v>
      </c>
      <c r="AF50" s="43">
        <v>0</v>
      </c>
      <c r="AG50" s="43">
        <v>1</v>
      </c>
      <c r="AH50" s="43">
        <v>1</v>
      </c>
      <c r="AI50" s="43">
        <v>2</v>
      </c>
    </row>
    <row r="51" spans="1:35">
      <c r="A51" s="43">
        <v>44412</v>
      </c>
      <c r="B51" s="43">
        <v>4</v>
      </c>
      <c r="C51" s="43">
        <v>0</v>
      </c>
      <c r="D51" s="43">
        <v>2</v>
      </c>
      <c r="E51" s="43">
        <v>1</v>
      </c>
      <c r="F51" s="43" t="s">
        <v>75</v>
      </c>
      <c r="G51" s="43">
        <f>IF(F51&gt;0,INDEX(Fish!$D:$D,MATCH(F51,Fish!$L:$L,0)),"")</f>
        <v>11008</v>
      </c>
      <c r="H51" s="43">
        <v>0</v>
      </c>
      <c r="I51" s="43">
        <v>1</v>
      </c>
      <c r="J51" s="43">
        <v>4</v>
      </c>
      <c r="K51" s="43">
        <v>6</v>
      </c>
      <c r="L51" s="43" t="s">
        <v>81</v>
      </c>
      <c r="M51" s="43">
        <f>IF(L51&gt;0,INDEX(Fish!$D:$D,MATCH(L51,Fish!$L:$L,0)),"")</f>
        <v>11010</v>
      </c>
      <c r="N51" s="43">
        <v>0</v>
      </c>
      <c r="O51" s="43">
        <v>1</v>
      </c>
      <c r="P51" s="43">
        <v>3</v>
      </c>
      <c r="Q51" s="43">
        <v>4</v>
      </c>
      <c r="R51" s="43" t="s">
        <v>85</v>
      </c>
      <c r="S51" s="43">
        <f>IF(R51&gt;0,INDEX(Fish!$D:$D,MATCH(R51,Fish!$L:$L,0)),"")</f>
        <v>11012</v>
      </c>
      <c r="T51" s="43">
        <v>0</v>
      </c>
      <c r="U51" s="43">
        <v>1</v>
      </c>
      <c r="V51" s="43">
        <v>2</v>
      </c>
      <c r="W51" s="43">
        <v>3</v>
      </c>
      <c r="X51" s="43" t="s">
        <v>91</v>
      </c>
      <c r="Y51" s="43">
        <f>IF(X51&gt;0,INDEX(Fish!$D:$D,MATCH(X51,Fish!$L:$L,0)),"")</f>
        <v>11015</v>
      </c>
      <c r="Z51" s="43">
        <v>0</v>
      </c>
      <c r="AA51" s="43">
        <v>1</v>
      </c>
      <c r="AB51" s="43">
        <v>2</v>
      </c>
      <c r="AC51" s="43">
        <v>3</v>
      </c>
      <c r="AD51" s="43" t="s">
        <v>87</v>
      </c>
      <c r="AE51" s="43">
        <f>IF(AD51&gt;0,INDEX(Fish!$D:$D,MATCH(AD51,Fish!$L:$L,0)),"")</f>
        <v>11013</v>
      </c>
      <c r="AF51" s="43">
        <v>0</v>
      </c>
      <c r="AG51" s="43">
        <v>1</v>
      </c>
      <c r="AH51" s="43">
        <v>1</v>
      </c>
      <c r="AI51" s="43">
        <v>2</v>
      </c>
    </row>
    <row r="52" spans="1:35">
      <c r="A52" s="43">
        <v>44412</v>
      </c>
      <c r="B52" s="43">
        <v>4</v>
      </c>
      <c r="C52" s="43">
        <v>0</v>
      </c>
      <c r="D52" s="43">
        <v>2</v>
      </c>
      <c r="E52" s="43">
        <v>1</v>
      </c>
      <c r="F52" s="43" t="s">
        <v>75</v>
      </c>
      <c r="G52" s="43">
        <f>IF(F52&gt;0,INDEX(Fish!$D:$D,MATCH(F52,Fish!$L:$L,0)),"")</f>
        <v>11008</v>
      </c>
      <c r="H52" s="43">
        <v>0</v>
      </c>
      <c r="I52" s="43">
        <v>1</v>
      </c>
      <c r="J52" s="43">
        <v>4</v>
      </c>
      <c r="K52" s="43">
        <v>6</v>
      </c>
      <c r="L52" s="43" t="s">
        <v>81</v>
      </c>
      <c r="M52" s="43">
        <f>IF(L52&gt;0,INDEX(Fish!$D:$D,MATCH(L52,Fish!$L:$L,0)),"")</f>
        <v>11010</v>
      </c>
      <c r="N52" s="43">
        <v>0</v>
      </c>
      <c r="O52" s="43">
        <v>1</v>
      </c>
      <c r="P52" s="43">
        <v>3</v>
      </c>
      <c r="Q52" s="43">
        <v>4</v>
      </c>
      <c r="R52" s="43" t="s">
        <v>85</v>
      </c>
      <c r="S52" s="43">
        <f>IF(R52&gt;0,INDEX(Fish!$D:$D,MATCH(R52,Fish!$L:$L,0)),"")</f>
        <v>11012</v>
      </c>
      <c r="T52" s="43">
        <v>0</v>
      </c>
      <c r="U52" s="43">
        <v>1</v>
      </c>
      <c r="V52" s="43">
        <v>2</v>
      </c>
      <c r="W52" s="43">
        <v>3</v>
      </c>
      <c r="X52" s="43" t="s">
        <v>91</v>
      </c>
      <c r="Y52" s="43">
        <f>IF(X52&gt;0,INDEX(Fish!$D:$D,MATCH(X52,Fish!$L:$L,0)),"")</f>
        <v>11015</v>
      </c>
      <c r="Z52" s="43">
        <v>0</v>
      </c>
      <c r="AA52" s="43">
        <v>1</v>
      </c>
      <c r="AB52" s="43">
        <v>2</v>
      </c>
      <c r="AC52" s="43">
        <v>3</v>
      </c>
      <c r="AD52" s="43" t="s">
        <v>93</v>
      </c>
      <c r="AE52" s="43">
        <f>IF(AD52&gt;0,INDEX(Fish!$D:$D,MATCH(AD52,Fish!$L:$L,0)),"")</f>
        <v>11016</v>
      </c>
      <c r="AF52" s="43">
        <v>0</v>
      </c>
      <c r="AG52" s="43">
        <v>1</v>
      </c>
      <c r="AH52" s="43">
        <v>1</v>
      </c>
      <c r="AI52" s="43">
        <v>2</v>
      </c>
    </row>
    <row r="53" spans="1:35">
      <c r="A53" s="43">
        <v>44412</v>
      </c>
      <c r="B53" s="43">
        <v>4</v>
      </c>
      <c r="C53" s="43">
        <v>0</v>
      </c>
      <c r="D53" s="43">
        <v>2</v>
      </c>
      <c r="E53" s="43">
        <v>1</v>
      </c>
      <c r="F53" s="43" t="s">
        <v>75</v>
      </c>
      <c r="G53" s="43">
        <f>IF(F53&gt;0,INDEX(Fish!$D:$D,MATCH(F53,Fish!$L:$L,0)),"")</f>
        <v>11008</v>
      </c>
      <c r="H53" s="43">
        <v>0</v>
      </c>
      <c r="I53" s="43">
        <v>1</v>
      </c>
      <c r="J53" s="43">
        <v>4</v>
      </c>
      <c r="K53" s="43">
        <v>6</v>
      </c>
      <c r="L53" s="43" t="s">
        <v>81</v>
      </c>
      <c r="M53" s="43">
        <f>IF(L53&gt;0,INDEX(Fish!$D:$D,MATCH(L53,Fish!$L:$L,0)),"")</f>
        <v>11010</v>
      </c>
      <c r="N53" s="43">
        <v>0</v>
      </c>
      <c r="O53" s="43">
        <v>1</v>
      </c>
      <c r="P53" s="43">
        <v>3</v>
      </c>
      <c r="Q53" s="43">
        <v>4</v>
      </c>
      <c r="R53" s="43" t="s">
        <v>85</v>
      </c>
      <c r="S53" s="43">
        <f>IF(R53&gt;0,INDEX(Fish!$D:$D,MATCH(R53,Fish!$L:$L,0)),"")</f>
        <v>11012</v>
      </c>
      <c r="T53" s="43">
        <v>0</v>
      </c>
      <c r="U53" s="43">
        <v>1</v>
      </c>
      <c r="V53" s="43">
        <v>2</v>
      </c>
      <c r="W53" s="43">
        <v>3</v>
      </c>
      <c r="X53" s="43" t="s">
        <v>97</v>
      </c>
      <c r="Y53" s="43">
        <f>IF(X53&gt;0,INDEX(Fish!$D:$D,MATCH(X53,Fish!$L:$L,0)),"")</f>
        <v>11020</v>
      </c>
      <c r="Z53" s="43">
        <v>0</v>
      </c>
      <c r="AA53" s="43">
        <v>1</v>
      </c>
      <c r="AB53" s="43">
        <v>2</v>
      </c>
      <c r="AC53" s="43">
        <v>3</v>
      </c>
      <c r="AD53" s="43" t="s">
        <v>87</v>
      </c>
      <c r="AE53" s="43">
        <f>IF(AD53&gt;0,INDEX(Fish!$D:$D,MATCH(AD53,Fish!$L:$L,0)),"")</f>
        <v>11013</v>
      </c>
      <c r="AF53" s="43">
        <v>0</v>
      </c>
      <c r="AG53" s="43">
        <v>1</v>
      </c>
      <c r="AH53" s="43">
        <v>1</v>
      </c>
      <c r="AI53" s="43">
        <v>2</v>
      </c>
    </row>
    <row r="54" spans="1:35">
      <c r="A54" s="43">
        <v>44412</v>
      </c>
      <c r="B54" s="43">
        <v>4</v>
      </c>
      <c r="C54" s="43">
        <v>0</v>
      </c>
      <c r="D54" s="43">
        <v>2</v>
      </c>
      <c r="E54" s="43">
        <v>1</v>
      </c>
      <c r="F54" s="43" t="s">
        <v>75</v>
      </c>
      <c r="G54" s="43">
        <f>IF(F54&gt;0,INDEX(Fish!$D:$D,MATCH(F54,Fish!$L:$L,0)),"")</f>
        <v>11008</v>
      </c>
      <c r="H54" s="43">
        <v>0</v>
      </c>
      <c r="I54" s="43">
        <v>1</v>
      </c>
      <c r="J54" s="43">
        <v>4</v>
      </c>
      <c r="K54" s="43">
        <v>6</v>
      </c>
      <c r="L54" s="43" t="s">
        <v>81</v>
      </c>
      <c r="M54" s="43">
        <f>IF(L54&gt;0,INDEX(Fish!$D:$D,MATCH(L54,Fish!$L:$L,0)),"")</f>
        <v>11010</v>
      </c>
      <c r="N54" s="43">
        <v>0</v>
      </c>
      <c r="O54" s="43">
        <v>1</v>
      </c>
      <c r="P54" s="43">
        <v>3</v>
      </c>
      <c r="Q54" s="43">
        <v>4</v>
      </c>
      <c r="R54" s="43" t="s">
        <v>85</v>
      </c>
      <c r="S54" s="43">
        <f>IF(R54&gt;0,INDEX(Fish!$D:$D,MATCH(R54,Fish!$L:$L,0)),"")</f>
        <v>11012</v>
      </c>
      <c r="T54" s="43">
        <v>0</v>
      </c>
      <c r="U54" s="43">
        <v>1</v>
      </c>
      <c r="V54" s="43">
        <v>2</v>
      </c>
      <c r="W54" s="43">
        <v>3</v>
      </c>
      <c r="X54" s="43" t="s">
        <v>97</v>
      </c>
      <c r="Y54" s="43">
        <f>IF(X54&gt;0,INDEX(Fish!$D:$D,MATCH(X54,Fish!$L:$L,0)),"")</f>
        <v>11020</v>
      </c>
      <c r="Z54" s="43">
        <v>0</v>
      </c>
      <c r="AA54" s="43">
        <v>1</v>
      </c>
      <c r="AB54" s="43">
        <v>2</v>
      </c>
      <c r="AC54" s="43">
        <v>3</v>
      </c>
      <c r="AD54" s="43" t="s">
        <v>93</v>
      </c>
      <c r="AE54" s="43">
        <f>IF(AD54&gt;0,INDEX(Fish!$D:$D,MATCH(AD54,Fish!$L:$L,0)),"")</f>
        <v>11016</v>
      </c>
      <c r="AF54" s="43">
        <v>0</v>
      </c>
      <c r="AG54" s="43">
        <v>1</v>
      </c>
      <c r="AH54" s="43">
        <v>1</v>
      </c>
      <c r="AI54" s="43">
        <v>2</v>
      </c>
    </row>
    <row r="55" spans="1:35">
      <c r="A55" s="43">
        <v>44412</v>
      </c>
      <c r="B55" s="43">
        <v>4</v>
      </c>
      <c r="C55" s="43">
        <v>0</v>
      </c>
      <c r="D55" s="43">
        <v>2</v>
      </c>
      <c r="E55" s="43">
        <v>1</v>
      </c>
      <c r="F55" s="43" t="s">
        <v>77</v>
      </c>
      <c r="G55" s="43">
        <f>IF(F55&gt;0,INDEX(Fish!$D:$D,MATCH(F55,Fish!$L:$L,0)),"")</f>
        <v>11009</v>
      </c>
      <c r="H55" s="43">
        <v>0</v>
      </c>
      <c r="I55" s="43">
        <v>1</v>
      </c>
      <c r="J55" s="43">
        <v>4</v>
      </c>
      <c r="K55" s="43">
        <v>6</v>
      </c>
      <c r="L55" s="43" t="s">
        <v>83</v>
      </c>
      <c r="M55" s="43">
        <f>IF(L55&gt;0,INDEX(Fish!$D:$D,MATCH(L55,Fish!$L:$L,0)),"")</f>
        <v>11011</v>
      </c>
      <c r="N55" s="43">
        <v>0</v>
      </c>
      <c r="O55" s="43">
        <v>1</v>
      </c>
      <c r="P55" s="43">
        <v>3</v>
      </c>
      <c r="Q55" s="43">
        <v>4</v>
      </c>
      <c r="R55" s="43" t="s">
        <v>95</v>
      </c>
      <c r="S55" s="43">
        <f>IF(R55&gt;0,INDEX(Fish!$D:$D,MATCH(R55,Fish!$L:$L,0)),"")</f>
        <v>11017</v>
      </c>
      <c r="T55" s="43">
        <v>0</v>
      </c>
      <c r="U55" s="43">
        <v>1</v>
      </c>
      <c r="V55" s="43">
        <v>2</v>
      </c>
      <c r="W55" s="43">
        <v>3</v>
      </c>
      <c r="X55" s="43" t="s">
        <v>91</v>
      </c>
      <c r="Y55" s="43">
        <f>IF(X55&gt;0,INDEX(Fish!$D:$D,MATCH(X55,Fish!$L:$L,0)),"")</f>
        <v>11015</v>
      </c>
      <c r="Z55" s="43">
        <v>0</v>
      </c>
      <c r="AA55" s="43">
        <v>1</v>
      </c>
      <c r="AB55" s="43">
        <v>2</v>
      </c>
      <c r="AC55" s="43">
        <v>3</v>
      </c>
      <c r="AD55" s="43" t="s">
        <v>87</v>
      </c>
      <c r="AE55" s="43">
        <f>IF(AD55&gt;0,INDEX(Fish!$D:$D,MATCH(AD55,Fish!$L:$L,0)),"")</f>
        <v>11013</v>
      </c>
      <c r="AF55" s="43">
        <v>0</v>
      </c>
      <c r="AG55" s="43">
        <v>1</v>
      </c>
      <c r="AH55" s="43">
        <v>1</v>
      </c>
      <c r="AI55" s="43">
        <v>2</v>
      </c>
    </row>
    <row r="56" spans="1:35">
      <c r="A56" s="43">
        <v>44412</v>
      </c>
      <c r="B56" s="43">
        <v>4</v>
      </c>
      <c r="C56" s="43">
        <v>0</v>
      </c>
      <c r="D56" s="43">
        <v>2</v>
      </c>
      <c r="E56" s="43">
        <v>1</v>
      </c>
      <c r="F56" s="43" t="s">
        <v>77</v>
      </c>
      <c r="G56" s="43">
        <f>IF(F56&gt;0,INDEX(Fish!$D:$D,MATCH(F56,Fish!$L:$L,0)),"")</f>
        <v>11009</v>
      </c>
      <c r="H56" s="43">
        <v>0</v>
      </c>
      <c r="I56" s="43">
        <v>1</v>
      </c>
      <c r="J56" s="43">
        <v>4</v>
      </c>
      <c r="K56" s="43">
        <v>6</v>
      </c>
      <c r="L56" s="43" t="s">
        <v>83</v>
      </c>
      <c r="M56" s="43">
        <f>IF(L56&gt;0,INDEX(Fish!$D:$D,MATCH(L56,Fish!$L:$L,0)),"")</f>
        <v>11011</v>
      </c>
      <c r="N56" s="43">
        <v>0</v>
      </c>
      <c r="O56" s="43">
        <v>1</v>
      </c>
      <c r="P56" s="43">
        <v>3</v>
      </c>
      <c r="Q56" s="43">
        <v>4</v>
      </c>
      <c r="R56" s="43" t="s">
        <v>95</v>
      </c>
      <c r="S56" s="43">
        <f>IF(R56&gt;0,INDEX(Fish!$D:$D,MATCH(R56,Fish!$L:$L,0)),"")</f>
        <v>11017</v>
      </c>
      <c r="T56" s="43">
        <v>0</v>
      </c>
      <c r="U56" s="43">
        <v>1</v>
      </c>
      <c r="V56" s="43">
        <v>2</v>
      </c>
      <c r="W56" s="43">
        <v>3</v>
      </c>
      <c r="X56" s="43" t="s">
        <v>91</v>
      </c>
      <c r="Y56" s="43">
        <f>IF(X56&gt;0,INDEX(Fish!$D:$D,MATCH(X56,Fish!$L:$L,0)),"")</f>
        <v>11015</v>
      </c>
      <c r="Z56" s="43">
        <v>0</v>
      </c>
      <c r="AA56" s="43">
        <v>1</v>
      </c>
      <c r="AB56" s="43">
        <v>2</v>
      </c>
      <c r="AC56" s="43">
        <v>3</v>
      </c>
      <c r="AD56" s="43" t="s">
        <v>93</v>
      </c>
      <c r="AE56" s="43">
        <f>IF(AD56&gt;0,INDEX(Fish!$D:$D,MATCH(AD56,Fish!$L:$L,0)),"")</f>
        <v>11016</v>
      </c>
      <c r="AF56" s="43">
        <v>0</v>
      </c>
      <c r="AG56" s="43">
        <v>1</v>
      </c>
      <c r="AH56" s="43">
        <v>1</v>
      </c>
      <c r="AI56" s="43">
        <v>2</v>
      </c>
    </row>
    <row r="57" spans="1:35">
      <c r="A57" s="43">
        <v>44412</v>
      </c>
      <c r="B57" s="43">
        <v>4</v>
      </c>
      <c r="C57" s="43">
        <v>0</v>
      </c>
      <c r="D57" s="43">
        <v>2</v>
      </c>
      <c r="E57" s="43">
        <v>1</v>
      </c>
      <c r="F57" s="43" t="s">
        <v>77</v>
      </c>
      <c r="G57" s="43">
        <f>IF(F57&gt;0,INDEX(Fish!$D:$D,MATCH(F57,Fish!$L:$L,0)),"")</f>
        <v>11009</v>
      </c>
      <c r="H57" s="43">
        <v>0</v>
      </c>
      <c r="I57" s="43">
        <v>1</v>
      </c>
      <c r="J57" s="43">
        <v>4</v>
      </c>
      <c r="K57" s="43">
        <v>6</v>
      </c>
      <c r="L57" s="43" t="s">
        <v>83</v>
      </c>
      <c r="M57" s="43">
        <f>IF(L57&gt;0,INDEX(Fish!$D:$D,MATCH(L57,Fish!$L:$L,0)),"")</f>
        <v>11011</v>
      </c>
      <c r="N57" s="43">
        <v>0</v>
      </c>
      <c r="O57" s="43">
        <v>1</v>
      </c>
      <c r="P57" s="43">
        <v>3</v>
      </c>
      <c r="Q57" s="43">
        <v>4</v>
      </c>
      <c r="R57" s="43" t="s">
        <v>95</v>
      </c>
      <c r="S57" s="43">
        <f>IF(R57&gt;0,INDEX(Fish!$D:$D,MATCH(R57,Fish!$L:$L,0)),"")</f>
        <v>11017</v>
      </c>
      <c r="T57" s="43">
        <v>0</v>
      </c>
      <c r="U57" s="43">
        <v>1</v>
      </c>
      <c r="V57" s="43">
        <v>2</v>
      </c>
      <c r="W57" s="43">
        <v>3</v>
      </c>
      <c r="X57" s="43" t="s">
        <v>97</v>
      </c>
      <c r="Y57" s="43">
        <f>IF(X57&gt;0,INDEX(Fish!$D:$D,MATCH(X57,Fish!$L:$L,0)),"")</f>
        <v>11020</v>
      </c>
      <c r="Z57" s="43">
        <v>0</v>
      </c>
      <c r="AA57" s="43">
        <v>1</v>
      </c>
      <c r="AB57" s="43">
        <v>2</v>
      </c>
      <c r="AC57" s="43">
        <v>3</v>
      </c>
      <c r="AD57" s="43" t="s">
        <v>87</v>
      </c>
      <c r="AE57" s="43">
        <f>IF(AD57&gt;0,INDEX(Fish!$D:$D,MATCH(AD57,Fish!$L:$L,0)),"")</f>
        <v>11013</v>
      </c>
      <c r="AF57" s="43">
        <v>0</v>
      </c>
      <c r="AG57" s="43">
        <v>1</v>
      </c>
      <c r="AH57" s="43">
        <v>1</v>
      </c>
      <c r="AI57" s="43">
        <v>2</v>
      </c>
    </row>
    <row r="58" spans="1:35">
      <c r="A58" s="43">
        <v>44412</v>
      </c>
      <c r="B58" s="43">
        <v>4</v>
      </c>
      <c r="C58" s="43">
        <v>0</v>
      </c>
      <c r="D58" s="43">
        <v>2</v>
      </c>
      <c r="E58" s="43">
        <v>1</v>
      </c>
      <c r="F58" s="43" t="s">
        <v>77</v>
      </c>
      <c r="G58" s="43">
        <f>IF(F58&gt;0,INDEX(Fish!$D:$D,MATCH(F58,Fish!$L:$L,0)),"")</f>
        <v>11009</v>
      </c>
      <c r="H58" s="43">
        <v>0</v>
      </c>
      <c r="I58" s="43">
        <v>1</v>
      </c>
      <c r="J58" s="43">
        <v>4</v>
      </c>
      <c r="K58" s="43">
        <v>6</v>
      </c>
      <c r="L58" s="43" t="s">
        <v>83</v>
      </c>
      <c r="M58" s="43">
        <f>IF(L58&gt;0,INDEX(Fish!$D:$D,MATCH(L58,Fish!$L:$L,0)),"")</f>
        <v>11011</v>
      </c>
      <c r="N58" s="43">
        <v>0</v>
      </c>
      <c r="O58" s="43">
        <v>1</v>
      </c>
      <c r="P58" s="43">
        <v>3</v>
      </c>
      <c r="Q58" s="43">
        <v>4</v>
      </c>
      <c r="R58" s="43" t="s">
        <v>95</v>
      </c>
      <c r="S58" s="43">
        <f>IF(R58&gt;0,INDEX(Fish!$D:$D,MATCH(R58,Fish!$L:$L,0)),"")</f>
        <v>11017</v>
      </c>
      <c r="T58" s="43">
        <v>0</v>
      </c>
      <c r="U58" s="43">
        <v>1</v>
      </c>
      <c r="V58" s="43">
        <v>2</v>
      </c>
      <c r="W58" s="43">
        <v>3</v>
      </c>
      <c r="X58" s="43" t="s">
        <v>97</v>
      </c>
      <c r="Y58" s="43">
        <f>IF(X58&gt;0,INDEX(Fish!$D:$D,MATCH(X58,Fish!$L:$L,0)),"")</f>
        <v>11020</v>
      </c>
      <c r="Z58" s="43">
        <v>0</v>
      </c>
      <c r="AA58" s="43">
        <v>1</v>
      </c>
      <c r="AB58" s="43">
        <v>2</v>
      </c>
      <c r="AC58" s="43">
        <v>3</v>
      </c>
      <c r="AD58" s="43" t="s">
        <v>93</v>
      </c>
      <c r="AE58" s="43">
        <f>IF(AD58&gt;0,INDEX(Fish!$D:$D,MATCH(AD58,Fish!$L:$L,0)),"")</f>
        <v>11016</v>
      </c>
      <c r="AF58" s="43">
        <v>0</v>
      </c>
      <c r="AG58" s="43">
        <v>1</v>
      </c>
      <c r="AH58" s="43">
        <v>1</v>
      </c>
      <c r="AI58" s="43">
        <v>2</v>
      </c>
    </row>
    <row r="59" spans="1:35">
      <c r="A59" s="43">
        <v>44412</v>
      </c>
      <c r="B59" s="43">
        <v>4</v>
      </c>
      <c r="C59" s="43">
        <v>0</v>
      </c>
      <c r="D59" s="43">
        <v>2</v>
      </c>
      <c r="E59" s="43">
        <v>1</v>
      </c>
      <c r="F59" s="43" t="s">
        <v>77</v>
      </c>
      <c r="G59" s="43">
        <f>IF(F59&gt;0,INDEX(Fish!$D:$D,MATCH(F59,Fish!$L:$L,0)),"")</f>
        <v>11009</v>
      </c>
      <c r="H59" s="43">
        <v>0</v>
      </c>
      <c r="I59" s="43">
        <v>1</v>
      </c>
      <c r="J59" s="43">
        <v>4</v>
      </c>
      <c r="K59" s="43">
        <v>6</v>
      </c>
      <c r="L59" s="43" t="s">
        <v>83</v>
      </c>
      <c r="M59" s="43">
        <f>IF(L59&gt;0,INDEX(Fish!$D:$D,MATCH(L59,Fish!$L:$L,0)),"")</f>
        <v>11011</v>
      </c>
      <c r="N59" s="43">
        <v>0</v>
      </c>
      <c r="O59" s="43">
        <v>1</v>
      </c>
      <c r="P59" s="43">
        <v>3</v>
      </c>
      <c r="Q59" s="43">
        <v>4</v>
      </c>
      <c r="R59" s="43" t="s">
        <v>85</v>
      </c>
      <c r="S59" s="43">
        <f>IF(R59&gt;0,INDEX(Fish!$D:$D,MATCH(R59,Fish!$L:$L,0)),"")</f>
        <v>11012</v>
      </c>
      <c r="T59" s="43">
        <v>0</v>
      </c>
      <c r="U59" s="43">
        <v>1</v>
      </c>
      <c r="V59" s="43">
        <v>2</v>
      </c>
      <c r="W59" s="43">
        <v>3</v>
      </c>
      <c r="X59" s="43" t="s">
        <v>91</v>
      </c>
      <c r="Y59" s="43">
        <f>IF(X59&gt;0,INDEX(Fish!$D:$D,MATCH(X59,Fish!$L:$L,0)),"")</f>
        <v>11015</v>
      </c>
      <c r="Z59" s="43">
        <v>0</v>
      </c>
      <c r="AA59" s="43">
        <v>1</v>
      </c>
      <c r="AB59" s="43">
        <v>2</v>
      </c>
      <c r="AC59" s="43">
        <v>3</v>
      </c>
      <c r="AD59" s="43" t="s">
        <v>87</v>
      </c>
      <c r="AE59" s="43">
        <f>IF(AD59&gt;0,INDEX(Fish!$D:$D,MATCH(AD59,Fish!$L:$L,0)),"")</f>
        <v>11013</v>
      </c>
      <c r="AF59" s="43">
        <v>0</v>
      </c>
      <c r="AG59" s="43">
        <v>1</v>
      </c>
      <c r="AH59" s="43">
        <v>1</v>
      </c>
      <c r="AI59" s="43">
        <v>2</v>
      </c>
    </row>
    <row r="60" spans="1:35">
      <c r="A60" s="43">
        <v>44412</v>
      </c>
      <c r="B60" s="43">
        <v>4</v>
      </c>
      <c r="C60" s="43">
        <v>0</v>
      </c>
      <c r="D60" s="43">
        <v>2</v>
      </c>
      <c r="E60" s="43">
        <v>1</v>
      </c>
      <c r="F60" s="43" t="s">
        <v>77</v>
      </c>
      <c r="G60" s="43">
        <f>IF(F60&gt;0,INDEX(Fish!$D:$D,MATCH(F60,Fish!$L:$L,0)),"")</f>
        <v>11009</v>
      </c>
      <c r="H60" s="43">
        <v>0</v>
      </c>
      <c r="I60" s="43">
        <v>1</v>
      </c>
      <c r="J60" s="43">
        <v>4</v>
      </c>
      <c r="K60" s="43">
        <v>6</v>
      </c>
      <c r="L60" s="43" t="s">
        <v>83</v>
      </c>
      <c r="M60" s="43">
        <f>IF(L60&gt;0,INDEX(Fish!$D:$D,MATCH(L60,Fish!$L:$L,0)),"")</f>
        <v>11011</v>
      </c>
      <c r="N60" s="43">
        <v>0</v>
      </c>
      <c r="O60" s="43">
        <v>1</v>
      </c>
      <c r="P60" s="43">
        <v>3</v>
      </c>
      <c r="Q60" s="43">
        <v>4</v>
      </c>
      <c r="R60" s="43" t="s">
        <v>85</v>
      </c>
      <c r="S60" s="43">
        <f>IF(R60&gt;0,INDEX(Fish!$D:$D,MATCH(R60,Fish!$L:$L,0)),"")</f>
        <v>11012</v>
      </c>
      <c r="T60" s="43">
        <v>0</v>
      </c>
      <c r="U60" s="43">
        <v>1</v>
      </c>
      <c r="V60" s="43">
        <v>2</v>
      </c>
      <c r="W60" s="43">
        <v>3</v>
      </c>
      <c r="X60" s="43" t="s">
        <v>91</v>
      </c>
      <c r="Y60" s="43">
        <f>IF(X60&gt;0,INDEX(Fish!$D:$D,MATCH(X60,Fish!$L:$L,0)),"")</f>
        <v>11015</v>
      </c>
      <c r="Z60" s="43">
        <v>0</v>
      </c>
      <c r="AA60" s="43">
        <v>1</v>
      </c>
      <c r="AB60" s="43">
        <v>2</v>
      </c>
      <c r="AC60" s="43">
        <v>3</v>
      </c>
      <c r="AD60" s="43" t="s">
        <v>93</v>
      </c>
      <c r="AE60" s="43">
        <f>IF(AD60&gt;0,INDEX(Fish!$D:$D,MATCH(AD60,Fish!$L:$L,0)),"")</f>
        <v>11016</v>
      </c>
      <c r="AF60" s="43">
        <v>0</v>
      </c>
      <c r="AG60" s="43">
        <v>1</v>
      </c>
      <c r="AH60" s="43">
        <v>1</v>
      </c>
      <c r="AI60" s="43">
        <v>2</v>
      </c>
    </row>
    <row r="61" spans="1:35">
      <c r="A61" s="43">
        <v>44412</v>
      </c>
      <c r="B61" s="43">
        <v>4</v>
      </c>
      <c r="C61" s="43">
        <v>0</v>
      </c>
      <c r="D61" s="43">
        <v>2</v>
      </c>
      <c r="E61" s="43">
        <v>1</v>
      </c>
      <c r="F61" s="43" t="s">
        <v>77</v>
      </c>
      <c r="G61" s="43">
        <f>IF(F61&gt;0,INDEX(Fish!$D:$D,MATCH(F61,Fish!$L:$L,0)),"")</f>
        <v>11009</v>
      </c>
      <c r="H61" s="43">
        <v>0</v>
      </c>
      <c r="I61" s="43">
        <v>1</v>
      </c>
      <c r="J61" s="43">
        <v>4</v>
      </c>
      <c r="K61" s="43">
        <v>6</v>
      </c>
      <c r="L61" s="43" t="s">
        <v>83</v>
      </c>
      <c r="M61" s="43">
        <f>IF(L61&gt;0,INDEX(Fish!$D:$D,MATCH(L61,Fish!$L:$L,0)),"")</f>
        <v>11011</v>
      </c>
      <c r="N61" s="43">
        <v>0</v>
      </c>
      <c r="O61" s="43">
        <v>1</v>
      </c>
      <c r="P61" s="43">
        <v>3</v>
      </c>
      <c r="Q61" s="43">
        <v>4</v>
      </c>
      <c r="R61" s="43" t="s">
        <v>85</v>
      </c>
      <c r="S61" s="43">
        <f>IF(R61&gt;0,INDEX(Fish!$D:$D,MATCH(R61,Fish!$L:$L,0)),"")</f>
        <v>11012</v>
      </c>
      <c r="T61" s="43">
        <v>0</v>
      </c>
      <c r="U61" s="43">
        <v>1</v>
      </c>
      <c r="V61" s="43">
        <v>2</v>
      </c>
      <c r="W61" s="43">
        <v>3</v>
      </c>
      <c r="X61" s="43" t="s">
        <v>97</v>
      </c>
      <c r="Y61" s="43">
        <f>IF(X61&gt;0,INDEX(Fish!$D:$D,MATCH(X61,Fish!$L:$L,0)),"")</f>
        <v>11020</v>
      </c>
      <c r="Z61" s="43">
        <v>0</v>
      </c>
      <c r="AA61" s="43">
        <v>1</v>
      </c>
      <c r="AB61" s="43">
        <v>2</v>
      </c>
      <c r="AC61" s="43">
        <v>3</v>
      </c>
      <c r="AD61" s="43" t="s">
        <v>87</v>
      </c>
      <c r="AE61" s="43">
        <f>IF(AD61&gt;0,INDEX(Fish!$D:$D,MATCH(AD61,Fish!$L:$L,0)),"")</f>
        <v>11013</v>
      </c>
      <c r="AF61" s="43">
        <v>0</v>
      </c>
      <c r="AG61" s="43">
        <v>1</v>
      </c>
      <c r="AH61" s="43">
        <v>1</v>
      </c>
      <c r="AI61" s="43">
        <v>2</v>
      </c>
    </row>
    <row r="62" spans="1:35">
      <c r="A62" s="43">
        <v>44412</v>
      </c>
      <c r="B62" s="43">
        <v>4</v>
      </c>
      <c r="C62" s="43">
        <v>0</v>
      </c>
      <c r="D62" s="43">
        <v>2</v>
      </c>
      <c r="E62" s="43">
        <v>1</v>
      </c>
      <c r="F62" s="43" t="s">
        <v>77</v>
      </c>
      <c r="G62" s="43">
        <f>IF(F62&gt;0,INDEX(Fish!$D:$D,MATCH(F62,Fish!$L:$L,0)),"")</f>
        <v>11009</v>
      </c>
      <c r="H62" s="43">
        <v>0</v>
      </c>
      <c r="I62" s="43">
        <v>1</v>
      </c>
      <c r="J62" s="43">
        <v>4</v>
      </c>
      <c r="K62" s="43">
        <v>6</v>
      </c>
      <c r="L62" s="43" t="s">
        <v>83</v>
      </c>
      <c r="M62" s="43">
        <f>IF(L62&gt;0,INDEX(Fish!$D:$D,MATCH(L62,Fish!$L:$L,0)),"")</f>
        <v>11011</v>
      </c>
      <c r="N62" s="43">
        <v>0</v>
      </c>
      <c r="O62" s="43">
        <v>1</v>
      </c>
      <c r="P62" s="43">
        <v>3</v>
      </c>
      <c r="Q62" s="43">
        <v>4</v>
      </c>
      <c r="R62" s="43" t="s">
        <v>85</v>
      </c>
      <c r="S62" s="43">
        <f>IF(R62&gt;0,INDEX(Fish!$D:$D,MATCH(R62,Fish!$L:$L,0)),"")</f>
        <v>11012</v>
      </c>
      <c r="T62" s="43">
        <v>0</v>
      </c>
      <c r="U62" s="43">
        <v>1</v>
      </c>
      <c r="V62" s="43">
        <v>2</v>
      </c>
      <c r="W62" s="43">
        <v>3</v>
      </c>
      <c r="X62" s="43" t="s">
        <v>97</v>
      </c>
      <c r="Y62" s="43">
        <f>IF(X62&gt;0,INDEX(Fish!$D:$D,MATCH(X62,Fish!$L:$L,0)),"")</f>
        <v>11020</v>
      </c>
      <c r="Z62" s="43">
        <v>0</v>
      </c>
      <c r="AA62" s="43">
        <v>1</v>
      </c>
      <c r="AB62" s="43">
        <v>2</v>
      </c>
      <c r="AC62" s="43">
        <v>3</v>
      </c>
      <c r="AD62" s="43" t="s">
        <v>93</v>
      </c>
      <c r="AE62" s="43">
        <f>IF(AD62&gt;0,INDEX(Fish!$D:$D,MATCH(AD62,Fish!$L:$L,0)),"")</f>
        <v>11016</v>
      </c>
      <c r="AF62" s="43">
        <v>0</v>
      </c>
      <c r="AG62" s="43">
        <v>1</v>
      </c>
      <c r="AH62" s="43">
        <v>1</v>
      </c>
      <c r="AI62" s="43">
        <v>2</v>
      </c>
    </row>
    <row r="63" spans="1:35">
      <c r="A63" s="43">
        <v>44412</v>
      </c>
      <c r="B63" s="43">
        <v>4</v>
      </c>
      <c r="C63" s="43">
        <v>0</v>
      </c>
      <c r="D63" s="43">
        <v>2</v>
      </c>
      <c r="E63" s="43">
        <v>1</v>
      </c>
      <c r="F63" s="43" t="s">
        <v>77</v>
      </c>
      <c r="G63" s="43">
        <f>IF(F63&gt;0,INDEX(Fish!$D:$D,MATCH(F63,Fish!$L:$L,0)),"")</f>
        <v>11009</v>
      </c>
      <c r="H63" s="43">
        <v>0</v>
      </c>
      <c r="I63" s="43">
        <v>1</v>
      </c>
      <c r="J63" s="43">
        <v>4</v>
      </c>
      <c r="K63" s="43">
        <v>6</v>
      </c>
      <c r="L63" s="43" t="s">
        <v>81</v>
      </c>
      <c r="M63" s="43">
        <f>IF(L63&gt;0,INDEX(Fish!$D:$D,MATCH(L63,Fish!$L:$L,0)),"")</f>
        <v>11010</v>
      </c>
      <c r="N63" s="43">
        <v>0</v>
      </c>
      <c r="O63" s="43">
        <v>1</v>
      </c>
      <c r="P63" s="43">
        <v>3</v>
      </c>
      <c r="Q63" s="43">
        <v>4</v>
      </c>
      <c r="R63" s="43" t="s">
        <v>95</v>
      </c>
      <c r="S63" s="43">
        <f>IF(R63&gt;0,INDEX(Fish!$D:$D,MATCH(R63,Fish!$L:$L,0)),"")</f>
        <v>11017</v>
      </c>
      <c r="T63" s="43">
        <v>0</v>
      </c>
      <c r="U63" s="43">
        <v>1</v>
      </c>
      <c r="V63" s="43">
        <v>2</v>
      </c>
      <c r="W63" s="43">
        <v>3</v>
      </c>
      <c r="X63" s="43" t="s">
        <v>91</v>
      </c>
      <c r="Y63" s="43">
        <f>IF(X63&gt;0,INDEX(Fish!$D:$D,MATCH(X63,Fish!$L:$L,0)),"")</f>
        <v>11015</v>
      </c>
      <c r="Z63" s="43">
        <v>0</v>
      </c>
      <c r="AA63" s="43">
        <v>1</v>
      </c>
      <c r="AB63" s="43">
        <v>2</v>
      </c>
      <c r="AC63" s="43">
        <v>3</v>
      </c>
      <c r="AD63" s="43" t="s">
        <v>87</v>
      </c>
      <c r="AE63" s="43">
        <f>IF(AD63&gt;0,INDEX(Fish!$D:$D,MATCH(AD63,Fish!$L:$L,0)),"")</f>
        <v>11013</v>
      </c>
      <c r="AF63" s="43">
        <v>0</v>
      </c>
      <c r="AG63" s="43">
        <v>1</v>
      </c>
      <c r="AH63" s="43">
        <v>1</v>
      </c>
      <c r="AI63" s="43">
        <v>2</v>
      </c>
    </row>
    <row r="64" spans="1:35">
      <c r="A64" s="43">
        <v>44412</v>
      </c>
      <c r="B64" s="43">
        <v>4</v>
      </c>
      <c r="C64" s="43">
        <v>0</v>
      </c>
      <c r="D64" s="43">
        <v>2</v>
      </c>
      <c r="E64" s="43">
        <v>1</v>
      </c>
      <c r="F64" s="43" t="s">
        <v>77</v>
      </c>
      <c r="G64" s="43">
        <f>IF(F64&gt;0,INDEX(Fish!$D:$D,MATCH(F64,Fish!$L:$L,0)),"")</f>
        <v>11009</v>
      </c>
      <c r="H64" s="43">
        <v>0</v>
      </c>
      <c r="I64" s="43">
        <v>1</v>
      </c>
      <c r="J64" s="43">
        <v>4</v>
      </c>
      <c r="K64" s="43">
        <v>6</v>
      </c>
      <c r="L64" s="43" t="s">
        <v>81</v>
      </c>
      <c r="M64" s="43">
        <f>IF(L64&gt;0,INDEX(Fish!$D:$D,MATCH(L64,Fish!$L:$L,0)),"")</f>
        <v>11010</v>
      </c>
      <c r="N64" s="43">
        <v>0</v>
      </c>
      <c r="O64" s="43">
        <v>1</v>
      </c>
      <c r="P64" s="43">
        <v>3</v>
      </c>
      <c r="Q64" s="43">
        <v>4</v>
      </c>
      <c r="R64" s="43" t="s">
        <v>95</v>
      </c>
      <c r="S64" s="43">
        <f>IF(R64&gt;0,INDEX(Fish!$D:$D,MATCH(R64,Fish!$L:$L,0)),"")</f>
        <v>11017</v>
      </c>
      <c r="T64" s="43">
        <v>0</v>
      </c>
      <c r="U64" s="43">
        <v>1</v>
      </c>
      <c r="V64" s="43">
        <v>2</v>
      </c>
      <c r="W64" s="43">
        <v>3</v>
      </c>
      <c r="X64" s="43" t="s">
        <v>91</v>
      </c>
      <c r="Y64" s="43">
        <f>IF(X64&gt;0,INDEX(Fish!$D:$D,MATCH(X64,Fish!$L:$L,0)),"")</f>
        <v>11015</v>
      </c>
      <c r="Z64" s="43">
        <v>0</v>
      </c>
      <c r="AA64" s="43">
        <v>1</v>
      </c>
      <c r="AB64" s="43">
        <v>2</v>
      </c>
      <c r="AC64" s="43">
        <v>3</v>
      </c>
      <c r="AD64" s="43" t="s">
        <v>93</v>
      </c>
      <c r="AE64" s="43">
        <f>IF(AD64&gt;0,INDEX(Fish!$D:$D,MATCH(AD64,Fish!$L:$L,0)),"")</f>
        <v>11016</v>
      </c>
      <c r="AF64" s="43">
        <v>0</v>
      </c>
      <c r="AG64" s="43">
        <v>1</v>
      </c>
      <c r="AH64" s="43">
        <v>1</v>
      </c>
      <c r="AI64" s="43">
        <v>2</v>
      </c>
    </row>
    <row r="65" spans="1:35">
      <c r="A65" s="43">
        <v>44412</v>
      </c>
      <c r="B65" s="43">
        <v>4</v>
      </c>
      <c r="C65" s="43">
        <v>0</v>
      </c>
      <c r="D65" s="43">
        <v>2</v>
      </c>
      <c r="E65" s="43">
        <v>1</v>
      </c>
      <c r="F65" s="43" t="s">
        <v>77</v>
      </c>
      <c r="G65" s="43">
        <f>IF(F65&gt;0,INDEX(Fish!$D:$D,MATCH(F65,Fish!$L:$L,0)),"")</f>
        <v>11009</v>
      </c>
      <c r="H65" s="43">
        <v>0</v>
      </c>
      <c r="I65" s="43">
        <v>1</v>
      </c>
      <c r="J65" s="43">
        <v>4</v>
      </c>
      <c r="K65" s="43">
        <v>6</v>
      </c>
      <c r="L65" s="43" t="s">
        <v>81</v>
      </c>
      <c r="M65" s="43">
        <f>IF(L65&gt;0,INDEX(Fish!$D:$D,MATCH(L65,Fish!$L:$L,0)),"")</f>
        <v>11010</v>
      </c>
      <c r="N65" s="43">
        <v>0</v>
      </c>
      <c r="O65" s="43">
        <v>1</v>
      </c>
      <c r="P65" s="43">
        <v>3</v>
      </c>
      <c r="Q65" s="43">
        <v>4</v>
      </c>
      <c r="R65" s="43" t="s">
        <v>95</v>
      </c>
      <c r="S65" s="43">
        <f>IF(R65&gt;0,INDEX(Fish!$D:$D,MATCH(R65,Fish!$L:$L,0)),"")</f>
        <v>11017</v>
      </c>
      <c r="T65" s="43">
        <v>0</v>
      </c>
      <c r="U65" s="43">
        <v>1</v>
      </c>
      <c r="V65" s="43">
        <v>2</v>
      </c>
      <c r="W65" s="43">
        <v>3</v>
      </c>
      <c r="X65" s="43" t="s">
        <v>97</v>
      </c>
      <c r="Y65" s="43">
        <f>IF(X65&gt;0,INDEX(Fish!$D:$D,MATCH(X65,Fish!$L:$L,0)),"")</f>
        <v>11020</v>
      </c>
      <c r="Z65" s="43">
        <v>0</v>
      </c>
      <c r="AA65" s="43">
        <v>1</v>
      </c>
      <c r="AB65" s="43">
        <v>2</v>
      </c>
      <c r="AC65" s="43">
        <v>3</v>
      </c>
      <c r="AD65" s="43" t="s">
        <v>87</v>
      </c>
      <c r="AE65" s="43">
        <f>IF(AD65&gt;0,INDEX(Fish!$D:$D,MATCH(AD65,Fish!$L:$L,0)),"")</f>
        <v>11013</v>
      </c>
      <c r="AF65" s="43">
        <v>0</v>
      </c>
      <c r="AG65" s="43">
        <v>1</v>
      </c>
      <c r="AH65" s="43">
        <v>1</v>
      </c>
      <c r="AI65" s="43">
        <v>2</v>
      </c>
    </row>
    <row r="66" spans="1:35">
      <c r="A66" s="43">
        <v>44412</v>
      </c>
      <c r="B66" s="43">
        <v>4</v>
      </c>
      <c r="C66" s="43">
        <v>0</v>
      </c>
      <c r="D66" s="43">
        <v>2</v>
      </c>
      <c r="E66" s="43">
        <v>1</v>
      </c>
      <c r="F66" s="43" t="s">
        <v>77</v>
      </c>
      <c r="G66" s="43">
        <f>IF(F66&gt;0,INDEX(Fish!$D:$D,MATCH(F66,Fish!$L:$L,0)),"")</f>
        <v>11009</v>
      </c>
      <c r="H66" s="43">
        <v>0</v>
      </c>
      <c r="I66" s="43">
        <v>1</v>
      </c>
      <c r="J66" s="43">
        <v>4</v>
      </c>
      <c r="K66" s="43">
        <v>6</v>
      </c>
      <c r="L66" s="43" t="s">
        <v>81</v>
      </c>
      <c r="M66" s="43">
        <f>IF(L66&gt;0,INDEX(Fish!$D:$D,MATCH(L66,Fish!$L:$L,0)),"")</f>
        <v>11010</v>
      </c>
      <c r="N66" s="43">
        <v>0</v>
      </c>
      <c r="O66" s="43">
        <v>1</v>
      </c>
      <c r="P66" s="43">
        <v>3</v>
      </c>
      <c r="Q66" s="43">
        <v>4</v>
      </c>
      <c r="R66" s="43" t="s">
        <v>95</v>
      </c>
      <c r="S66" s="43">
        <f>IF(R66&gt;0,INDEX(Fish!$D:$D,MATCH(R66,Fish!$L:$L,0)),"")</f>
        <v>11017</v>
      </c>
      <c r="T66" s="43">
        <v>0</v>
      </c>
      <c r="U66" s="43">
        <v>1</v>
      </c>
      <c r="V66" s="43">
        <v>2</v>
      </c>
      <c r="W66" s="43">
        <v>3</v>
      </c>
      <c r="X66" s="43" t="s">
        <v>97</v>
      </c>
      <c r="Y66" s="43">
        <f>IF(X66&gt;0,INDEX(Fish!$D:$D,MATCH(X66,Fish!$L:$L,0)),"")</f>
        <v>11020</v>
      </c>
      <c r="Z66" s="43">
        <v>0</v>
      </c>
      <c r="AA66" s="43">
        <v>1</v>
      </c>
      <c r="AB66" s="43">
        <v>2</v>
      </c>
      <c r="AC66" s="43">
        <v>3</v>
      </c>
      <c r="AD66" s="43" t="s">
        <v>93</v>
      </c>
      <c r="AE66" s="43">
        <f>IF(AD66&gt;0,INDEX(Fish!$D:$D,MATCH(AD66,Fish!$L:$L,0)),"")</f>
        <v>11016</v>
      </c>
      <c r="AF66" s="43">
        <v>0</v>
      </c>
      <c r="AG66" s="43">
        <v>1</v>
      </c>
      <c r="AH66" s="43">
        <v>1</v>
      </c>
      <c r="AI66" s="43">
        <v>2</v>
      </c>
    </row>
    <row r="67" spans="1:35">
      <c r="A67" s="43">
        <v>44412</v>
      </c>
      <c r="B67" s="43">
        <v>4</v>
      </c>
      <c r="C67" s="43">
        <v>0</v>
      </c>
      <c r="D67" s="43">
        <v>2</v>
      </c>
      <c r="E67" s="43">
        <v>1</v>
      </c>
      <c r="F67" s="43" t="s">
        <v>77</v>
      </c>
      <c r="G67" s="43">
        <f>IF(F67&gt;0,INDEX(Fish!$D:$D,MATCH(F67,Fish!$L:$L,0)),"")</f>
        <v>11009</v>
      </c>
      <c r="H67" s="43">
        <v>0</v>
      </c>
      <c r="I67" s="43">
        <v>1</v>
      </c>
      <c r="J67" s="43">
        <v>4</v>
      </c>
      <c r="K67" s="43">
        <v>6</v>
      </c>
      <c r="L67" s="43" t="s">
        <v>81</v>
      </c>
      <c r="M67" s="43">
        <f>IF(L67&gt;0,INDEX(Fish!$D:$D,MATCH(L67,Fish!$L:$L,0)),"")</f>
        <v>11010</v>
      </c>
      <c r="N67" s="43">
        <v>0</v>
      </c>
      <c r="O67" s="43">
        <v>1</v>
      </c>
      <c r="P67" s="43">
        <v>3</v>
      </c>
      <c r="Q67" s="43">
        <v>4</v>
      </c>
      <c r="R67" s="43" t="s">
        <v>85</v>
      </c>
      <c r="S67" s="43">
        <f>IF(R67&gt;0,INDEX(Fish!$D:$D,MATCH(R67,Fish!$L:$L,0)),"")</f>
        <v>11012</v>
      </c>
      <c r="T67" s="43">
        <v>0</v>
      </c>
      <c r="U67" s="43">
        <v>1</v>
      </c>
      <c r="V67" s="43">
        <v>2</v>
      </c>
      <c r="W67" s="43">
        <v>3</v>
      </c>
      <c r="X67" s="43" t="s">
        <v>91</v>
      </c>
      <c r="Y67" s="43">
        <f>IF(X67&gt;0,INDEX(Fish!$D:$D,MATCH(X67,Fish!$L:$L,0)),"")</f>
        <v>11015</v>
      </c>
      <c r="Z67" s="43">
        <v>0</v>
      </c>
      <c r="AA67" s="43">
        <v>1</v>
      </c>
      <c r="AB67" s="43">
        <v>2</v>
      </c>
      <c r="AC67" s="43">
        <v>3</v>
      </c>
      <c r="AD67" s="43" t="s">
        <v>87</v>
      </c>
      <c r="AE67" s="43">
        <f>IF(AD67&gt;0,INDEX(Fish!$D:$D,MATCH(AD67,Fish!$L:$L,0)),"")</f>
        <v>11013</v>
      </c>
      <c r="AF67" s="43">
        <v>0</v>
      </c>
      <c r="AG67" s="43">
        <v>1</v>
      </c>
      <c r="AH67" s="43">
        <v>1</v>
      </c>
      <c r="AI67" s="43">
        <v>2</v>
      </c>
    </row>
    <row r="68" spans="1:35">
      <c r="A68" s="43">
        <v>44412</v>
      </c>
      <c r="B68" s="43">
        <v>4</v>
      </c>
      <c r="C68" s="43">
        <v>0</v>
      </c>
      <c r="D68" s="43">
        <v>2</v>
      </c>
      <c r="E68" s="43">
        <v>1</v>
      </c>
      <c r="F68" s="43" t="s">
        <v>77</v>
      </c>
      <c r="G68" s="43">
        <f>IF(F68&gt;0,INDEX(Fish!$D:$D,MATCH(F68,Fish!$L:$L,0)),"")</f>
        <v>11009</v>
      </c>
      <c r="H68" s="43">
        <v>0</v>
      </c>
      <c r="I68" s="43">
        <v>1</v>
      </c>
      <c r="J68" s="43">
        <v>4</v>
      </c>
      <c r="K68" s="43">
        <v>6</v>
      </c>
      <c r="L68" s="43" t="s">
        <v>81</v>
      </c>
      <c r="M68" s="43">
        <f>IF(L68&gt;0,INDEX(Fish!$D:$D,MATCH(L68,Fish!$L:$L,0)),"")</f>
        <v>11010</v>
      </c>
      <c r="N68" s="43">
        <v>0</v>
      </c>
      <c r="O68" s="43">
        <v>1</v>
      </c>
      <c r="P68" s="43">
        <v>3</v>
      </c>
      <c r="Q68" s="43">
        <v>4</v>
      </c>
      <c r="R68" s="43" t="s">
        <v>85</v>
      </c>
      <c r="S68" s="43">
        <f>IF(R68&gt;0,INDEX(Fish!$D:$D,MATCH(R68,Fish!$L:$L,0)),"")</f>
        <v>11012</v>
      </c>
      <c r="T68" s="43">
        <v>0</v>
      </c>
      <c r="U68" s="43">
        <v>1</v>
      </c>
      <c r="V68" s="43">
        <v>2</v>
      </c>
      <c r="W68" s="43">
        <v>3</v>
      </c>
      <c r="X68" s="43" t="s">
        <v>91</v>
      </c>
      <c r="Y68" s="43">
        <f>IF(X68&gt;0,INDEX(Fish!$D:$D,MATCH(X68,Fish!$L:$L,0)),"")</f>
        <v>11015</v>
      </c>
      <c r="Z68" s="43">
        <v>0</v>
      </c>
      <c r="AA68" s="43">
        <v>1</v>
      </c>
      <c r="AB68" s="43">
        <v>2</v>
      </c>
      <c r="AC68" s="43">
        <v>3</v>
      </c>
      <c r="AD68" s="43" t="s">
        <v>93</v>
      </c>
      <c r="AE68" s="43">
        <f>IF(AD68&gt;0,INDEX(Fish!$D:$D,MATCH(AD68,Fish!$L:$L,0)),"")</f>
        <v>11016</v>
      </c>
      <c r="AF68" s="43">
        <v>0</v>
      </c>
      <c r="AG68" s="43">
        <v>1</v>
      </c>
      <c r="AH68" s="43">
        <v>1</v>
      </c>
      <c r="AI68" s="43">
        <v>2</v>
      </c>
    </row>
    <row r="69" spans="1:35">
      <c r="A69" s="43">
        <v>44412</v>
      </c>
      <c r="B69" s="43">
        <v>4</v>
      </c>
      <c r="C69" s="43">
        <v>0</v>
      </c>
      <c r="D69" s="43">
        <v>2</v>
      </c>
      <c r="E69" s="43">
        <v>1</v>
      </c>
      <c r="F69" s="43" t="s">
        <v>77</v>
      </c>
      <c r="G69" s="43">
        <f>IF(F69&gt;0,INDEX(Fish!$D:$D,MATCH(F69,Fish!$L:$L,0)),"")</f>
        <v>11009</v>
      </c>
      <c r="H69" s="43">
        <v>0</v>
      </c>
      <c r="I69" s="43">
        <v>1</v>
      </c>
      <c r="J69" s="43">
        <v>4</v>
      </c>
      <c r="K69" s="43">
        <v>6</v>
      </c>
      <c r="L69" s="43" t="s">
        <v>81</v>
      </c>
      <c r="M69" s="43">
        <f>IF(L69&gt;0,INDEX(Fish!$D:$D,MATCH(L69,Fish!$L:$L,0)),"")</f>
        <v>11010</v>
      </c>
      <c r="N69" s="43">
        <v>0</v>
      </c>
      <c r="O69" s="43">
        <v>1</v>
      </c>
      <c r="P69" s="43">
        <v>3</v>
      </c>
      <c r="Q69" s="43">
        <v>4</v>
      </c>
      <c r="R69" s="43" t="s">
        <v>85</v>
      </c>
      <c r="S69" s="43">
        <f>IF(R69&gt;0,INDEX(Fish!$D:$D,MATCH(R69,Fish!$L:$L,0)),"")</f>
        <v>11012</v>
      </c>
      <c r="T69" s="43">
        <v>0</v>
      </c>
      <c r="U69" s="43">
        <v>1</v>
      </c>
      <c r="V69" s="43">
        <v>2</v>
      </c>
      <c r="W69" s="43">
        <v>3</v>
      </c>
      <c r="X69" s="43" t="s">
        <v>97</v>
      </c>
      <c r="Y69" s="43">
        <f>IF(X69&gt;0,INDEX(Fish!$D:$D,MATCH(X69,Fish!$L:$L,0)),"")</f>
        <v>11020</v>
      </c>
      <c r="Z69" s="43">
        <v>0</v>
      </c>
      <c r="AA69" s="43">
        <v>1</v>
      </c>
      <c r="AB69" s="43">
        <v>2</v>
      </c>
      <c r="AC69" s="43">
        <v>3</v>
      </c>
      <c r="AD69" s="43" t="s">
        <v>87</v>
      </c>
      <c r="AE69" s="43">
        <f>IF(AD69&gt;0,INDEX(Fish!$D:$D,MATCH(AD69,Fish!$L:$L,0)),"")</f>
        <v>11013</v>
      </c>
      <c r="AF69" s="43">
        <v>0</v>
      </c>
      <c r="AG69" s="43">
        <v>1</v>
      </c>
      <c r="AH69" s="43">
        <v>1</v>
      </c>
      <c r="AI69" s="43">
        <v>2</v>
      </c>
    </row>
    <row r="70" spans="1:35">
      <c r="A70" s="43">
        <v>44412</v>
      </c>
      <c r="B70" s="43">
        <v>4</v>
      </c>
      <c r="C70" s="43">
        <v>0</v>
      </c>
      <c r="D70" s="43">
        <v>2</v>
      </c>
      <c r="E70" s="43">
        <v>1</v>
      </c>
      <c r="F70" s="43" t="s">
        <v>77</v>
      </c>
      <c r="G70" s="43">
        <f>IF(F70&gt;0,INDEX(Fish!$D:$D,MATCH(F70,Fish!$L:$L,0)),"")</f>
        <v>11009</v>
      </c>
      <c r="H70" s="43">
        <v>0</v>
      </c>
      <c r="I70" s="43">
        <v>1</v>
      </c>
      <c r="J70" s="43">
        <v>4</v>
      </c>
      <c r="K70" s="43">
        <v>6</v>
      </c>
      <c r="L70" s="43" t="s">
        <v>81</v>
      </c>
      <c r="M70" s="43">
        <f>IF(L70&gt;0,INDEX(Fish!$D:$D,MATCH(L70,Fish!$L:$L,0)),"")</f>
        <v>11010</v>
      </c>
      <c r="N70" s="43">
        <v>0</v>
      </c>
      <c r="O70" s="43">
        <v>1</v>
      </c>
      <c r="P70" s="43">
        <v>3</v>
      </c>
      <c r="Q70" s="43">
        <v>4</v>
      </c>
      <c r="R70" s="43" t="s">
        <v>85</v>
      </c>
      <c r="S70" s="43">
        <f>IF(R70&gt;0,INDEX(Fish!$D:$D,MATCH(R70,Fish!$L:$L,0)),"")</f>
        <v>11012</v>
      </c>
      <c r="T70" s="43">
        <v>0</v>
      </c>
      <c r="U70" s="43">
        <v>1</v>
      </c>
      <c r="V70" s="43">
        <v>2</v>
      </c>
      <c r="W70" s="43">
        <v>3</v>
      </c>
      <c r="X70" s="43" t="s">
        <v>97</v>
      </c>
      <c r="Y70" s="43">
        <f>IF(X70&gt;0,INDEX(Fish!$D:$D,MATCH(X70,Fish!$L:$L,0)),"")</f>
        <v>11020</v>
      </c>
      <c r="Z70" s="43">
        <v>0</v>
      </c>
      <c r="AA70" s="43">
        <v>1</v>
      </c>
      <c r="AB70" s="43">
        <v>2</v>
      </c>
      <c r="AC70" s="43">
        <v>3</v>
      </c>
      <c r="AD70" s="43" t="s">
        <v>93</v>
      </c>
      <c r="AE70" s="43">
        <f>IF(AD70&gt;0,INDEX(Fish!$D:$D,MATCH(AD70,Fish!$L:$L,0)),"")</f>
        <v>11016</v>
      </c>
      <c r="AF70" s="43">
        <v>0</v>
      </c>
      <c r="AG70" s="43">
        <v>1</v>
      </c>
      <c r="AH70" s="43">
        <v>1</v>
      </c>
      <c r="AI70" s="43">
        <v>2</v>
      </c>
    </row>
    <row r="71" spans="1:31">
      <c r="A71" s="43">
        <v>44412</v>
      </c>
      <c r="B71" s="43">
        <v>5</v>
      </c>
      <c r="C71" s="43">
        <v>0</v>
      </c>
      <c r="D71" s="43">
        <v>3</v>
      </c>
      <c r="E71" s="43">
        <v>2</v>
      </c>
      <c r="F71" s="43" t="s">
        <v>101</v>
      </c>
      <c r="G71" s="43">
        <f>IF(F71&gt;0,INDEX(Fish!$D:$D,MATCH(F71,Fish!$L:$L,0)),"")</f>
        <v>11090</v>
      </c>
      <c r="H71" s="43">
        <v>55000</v>
      </c>
      <c r="I71" s="43">
        <v>1</v>
      </c>
      <c r="J71" s="43">
        <v>1</v>
      </c>
      <c r="K71" s="43">
        <v>1</v>
      </c>
      <c r="L71" s="43" t="s">
        <v>99</v>
      </c>
      <c r="M71" s="43">
        <f>IF(L71&gt;0,INDEX(Fish!$D:$D,MATCH(L71,Fish!$L:$L,0)),"")</f>
        <v>11024</v>
      </c>
      <c r="N71" s="43">
        <v>45000</v>
      </c>
      <c r="O71" s="43">
        <v>1</v>
      </c>
      <c r="P71" s="43">
        <v>1</v>
      </c>
      <c r="Q71" s="43">
        <v>1</v>
      </c>
      <c r="S71" s="43" t="str">
        <f>IF(R71&gt;0,INDEX(Fish!$D:$D,MATCH(R71,Fish!$L:$L,0)),"")</f>
        <v/>
      </c>
      <c r="Y71" s="43" t="str">
        <f>IF(X71&gt;0,INDEX(Fish!$D:$D,MATCH(X71,Fish!$L:$L,0)),"")</f>
        <v/>
      </c>
      <c r="AE71" s="43" t="str">
        <f>IF(AD71&gt;0,INDEX(Fish!$D:$D,MATCH(AD71,Fish!$L:$L,0)),"")</f>
        <v/>
      </c>
    </row>
    <row r="72" spans="1:31">
      <c r="A72" s="43">
        <v>44412</v>
      </c>
      <c r="B72" s="43">
        <v>5</v>
      </c>
      <c r="C72" s="43">
        <v>0</v>
      </c>
      <c r="D72" s="43">
        <v>4</v>
      </c>
      <c r="E72" s="43">
        <v>2</v>
      </c>
      <c r="F72" s="43" t="s">
        <v>351</v>
      </c>
      <c r="G72" s="43">
        <f>IF(F72&gt;0,INDEX(Fish!$D:$D,MATCH(F72,Fish!$L:$L,0)),"")</f>
        <v>11018</v>
      </c>
      <c r="H72" s="43">
        <v>30000</v>
      </c>
      <c r="I72" s="43">
        <v>1</v>
      </c>
      <c r="J72" s="43">
        <v>0</v>
      </c>
      <c r="K72" s="43">
        <v>1</v>
      </c>
      <c r="L72" s="43" t="s">
        <v>361</v>
      </c>
      <c r="M72" s="43">
        <f>IF(L72&gt;0,INDEX(Fish!$D:$D,MATCH(L72,Fish!$L:$L,0)),"")</f>
        <v>11214</v>
      </c>
      <c r="N72" s="43">
        <v>30000</v>
      </c>
      <c r="O72" s="43">
        <v>1</v>
      </c>
      <c r="P72" s="43">
        <v>0</v>
      </c>
      <c r="Q72" s="43">
        <v>1</v>
      </c>
      <c r="R72" s="43" t="s">
        <v>355</v>
      </c>
      <c r="S72" s="43">
        <f>IF(R72&gt;0,INDEX(Fish!$D:$D,MATCH(R72,Fish!$L:$L,0)),"")</f>
        <v>11021</v>
      </c>
      <c r="T72" s="43">
        <v>25000</v>
      </c>
      <c r="U72" s="43">
        <v>1</v>
      </c>
      <c r="V72" s="43">
        <v>0</v>
      </c>
      <c r="W72" s="43">
        <v>1</v>
      </c>
      <c r="X72" s="46" t="s">
        <v>353</v>
      </c>
      <c r="Y72" s="43">
        <f>IF(X72&gt;0,INDEX(Fish!$D:$D,MATCH(X72,Fish!$L:$L,0)),"")</f>
        <v>11092</v>
      </c>
      <c r="Z72" s="43">
        <v>15000</v>
      </c>
      <c r="AA72" s="43">
        <v>1</v>
      </c>
      <c r="AB72" s="43">
        <v>0</v>
      </c>
      <c r="AC72" s="43">
        <v>1</v>
      </c>
      <c r="AE72" s="43" t="str">
        <f>IF(AD72&gt;0,INDEX(Fish!$D:$D,MATCH(AD72,Fish!$L:$L,0)),"")</f>
        <v/>
      </c>
    </row>
    <row r="73" spans="1:35">
      <c r="A73" s="43">
        <v>44412</v>
      </c>
      <c r="B73" s="43">
        <v>5</v>
      </c>
      <c r="C73" s="43">
        <v>0</v>
      </c>
      <c r="D73" s="43">
        <v>5</v>
      </c>
      <c r="E73" s="43">
        <v>2</v>
      </c>
      <c r="F73" s="43" t="s">
        <v>120</v>
      </c>
      <c r="G73" s="43">
        <f>IF(F73&gt;0,INDEX(Fish!$D:$D,MATCH(F73,Fish!$L:$L,0)),"")</f>
        <v>14009</v>
      </c>
      <c r="H73" s="43">
        <v>0</v>
      </c>
      <c r="I73" s="43">
        <v>1</v>
      </c>
      <c r="J73" s="43">
        <v>0</v>
      </c>
      <c r="K73" s="43">
        <v>1</v>
      </c>
      <c r="L73" s="43" t="s">
        <v>121</v>
      </c>
      <c r="M73" s="43">
        <f>IF(L73&gt;0,INDEX(Fish!$D:$D,MATCH(L73,Fish!$L:$L,0)),"")</f>
        <v>14011</v>
      </c>
      <c r="N73" s="43">
        <v>0</v>
      </c>
      <c r="O73" s="43">
        <v>1</v>
      </c>
      <c r="P73" s="43">
        <v>0</v>
      </c>
      <c r="Q73" s="43">
        <v>1</v>
      </c>
      <c r="R73" s="43" t="s">
        <v>123</v>
      </c>
      <c r="S73" s="43">
        <f>IF(R73&gt;0,INDEX(Fish!$D:$D,MATCH(R73,Fish!$L:$L,0)),"")</f>
        <v>14015</v>
      </c>
      <c r="T73" s="43">
        <v>40000</v>
      </c>
      <c r="U73" s="43">
        <v>1</v>
      </c>
      <c r="V73" s="43">
        <v>0</v>
      </c>
      <c r="W73" s="43">
        <v>1</v>
      </c>
      <c r="X73" s="43" t="s">
        <v>124</v>
      </c>
      <c r="Y73" s="43">
        <f>IF(X73&gt;0,INDEX(Fish!$D:$D,MATCH(X73,Fish!$L:$L,0)),"")</f>
        <v>14020</v>
      </c>
      <c r="Z73" s="43">
        <v>35000</v>
      </c>
      <c r="AA73" s="43">
        <v>1</v>
      </c>
      <c r="AB73" s="43">
        <v>0</v>
      </c>
      <c r="AC73" s="43">
        <v>1</v>
      </c>
      <c r="AD73" s="43" t="s">
        <v>122</v>
      </c>
      <c r="AE73" s="43">
        <f>IF(AD73&gt;0,INDEX(Fish!$D:$D,MATCH(AD73,Fish!$L:$L,0)),"")</f>
        <v>14013</v>
      </c>
      <c r="AF73" s="43">
        <v>25000</v>
      </c>
      <c r="AG73" s="43">
        <v>1</v>
      </c>
      <c r="AH73" s="43">
        <v>0</v>
      </c>
      <c r="AI73" s="43">
        <v>1</v>
      </c>
    </row>
    <row r="74" spans="1:17">
      <c r="A74" s="43">
        <v>44601</v>
      </c>
      <c r="B74" s="43">
        <v>1</v>
      </c>
      <c r="C74" s="43">
        <v>8</v>
      </c>
      <c r="D74" s="43">
        <v>1</v>
      </c>
      <c r="E74" s="43">
        <v>1</v>
      </c>
      <c r="F74" s="43" t="s">
        <v>61</v>
      </c>
      <c r="G74" s="43">
        <f>IF(F74&gt;0,INDEX(Fish!$D:$D,MATCH(F74,Fish!$L:$L,0)),"")</f>
        <v>11001</v>
      </c>
      <c r="H74" s="43">
        <v>0</v>
      </c>
      <c r="I74" s="43">
        <v>4</v>
      </c>
      <c r="J74" s="43">
        <v>20</v>
      </c>
      <c r="K74" s="43">
        <v>25</v>
      </c>
      <c r="L74" s="43" t="s">
        <v>65</v>
      </c>
      <c r="M74" s="43">
        <f>IF(L74&gt;0,INDEX(Fish!$D:$D,MATCH(L74,Fish!$L:$L,0)),"")</f>
        <v>11003</v>
      </c>
      <c r="N74" s="43">
        <v>0</v>
      </c>
      <c r="O74" s="43">
        <v>3</v>
      </c>
      <c r="P74" s="43">
        <v>15</v>
      </c>
      <c r="Q74" s="43">
        <v>20</v>
      </c>
    </row>
    <row r="75" spans="1:17">
      <c r="A75" s="43">
        <v>44601</v>
      </c>
      <c r="B75" s="43">
        <v>1</v>
      </c>
      <c r="C75" s="43">
        <v>8</v>
      </c>
      <c r="D75" s="43">
        <v>1</v>
      </c>
      <c r="E75" s="43">
        <v>1</v>
      </c>
      <c r="F75" s="43" t="s">
        <v>61</v>
      </c>
      <c r="G75" s="43">
        <f>IF(F75&gt;0,INDEX(Fish!$D:$D,MATCH(F75,Fish!$L:$L,0)),"")</f>
        <v>11001</v>
      </c>
      <c r="H75" s="43">
        <v>0</v>
      </c>
      <c r="I75" s="43">
        <v>4</v>
      </c>
      <c r="J75" s="43">
        <v>20</v>
      </c>
      <c r="K75" s="43">
        <v>25</v>
      </c>
      <c r="L75" s="43" t="s">
        <v>67</v>
      </c>
      <c r="M75" s="43">
        <f>IF(L75&gt;0,INDEX(Fish!$D:$D,MATCH(L75,Fish!$L:$L,0)),"")</f>
        <v>11004</v>
      </c>
      <c r="N75" s="43">
        <v>0</v>
      </c>
      <c r="O75" s="43">
        <v>3</v>
      </c>
      <c r="P75" s="43">
        <v>15</v>
      </c>
      <c r="Q75" s="43">
        <v>20</v>
      </c>
    </row>
    <row r="76" spans="1:17">
      <c r="A76" s="43">
        <v>44601</v>
      </c>
      <c r="B76" s="43">
        <v>1</v>
      </c>
      <c r="C76" s="43">
        <v>8</v>
      </c>
      <c r="D76" s="43">
        <v>1</v>
      </c>
      <c r="E76" s="43">
        <v>1</v>
      </c>
      <c r="F76" s="43" t="s">
        <v>61</v>
      </c>
      <c r="G76" s="43">
        <f>IF(F76&gt;0,INDEX(Fish!$D:$D,MATCH(F76,Fish!$L:$L,0)),"")</f>
        <v>11001</v>
      </c>
      <c r="H76" s="43">
        <v>0</v>
      </c>
      <c r="I76" s="43">
        <v>4</v>
      </c>
      <c r="J76" s="43">
        <v>20</v>
      </c>
      <c r="K76" s="43">
        <v>25</v>
      </c>
      <c r="L76" s="43" t="s">
        <v>73</v>
      </c>
      <c r="M76" s="43">
        <f>IF(L76&gt;0,INDEX(Fish!$D:$D,MATCH(L76,Fish!$L:$L,0)),"")</f>
        <v>11007</v>
      </c>
      <c r="N76" s="43">
        <v>0</v>
      </c>
      <c r="O76" s="43">
        <v>3</v>
      </c>
      <c r="P76" s="43">
        <v>15</v>
      </c>
      <c r="Q76" s="43">
        <v>20</v>
      </c>
    </row>
    <row r="77" spans="1:17">
      <c r="A77" s="43">
        <v>44601</v>
      </c>
      <c r="B77" s="43">
        <v>1</v>
      </c>
      <c r="C77" s="43">
        <v>8</v>
      </c>
      <c r="D77" s="43">
        <v>1</v>
      </c>
      <c r="E77" s="43">
        <v>1</v>
      </c>
      <c r="F77" s="43" t="s">
        <v>63</v>
      </c>
      <c r="G77" s="43">
        <f>IF(F77&gt;0,INDEX(Fish!$D:$D,MATCH(F77,Fish!$L:$L,0)),"")</f>
        <v>11002</v>
      </c>
      <c r="H77" s="43">
        <v>0</v>
      </c>
      <c r="I77" s="43">
        <v>4</v>
      </c>
      <c r="J77" s="43">
        <v>20</v>
      </c>
      <c r="K77" s="43">
        <v>25</v>
      </c>
      <c r="L77" s="43" t="s">
        <v>65</v>
      </c>
      <c r="M77" s="43">
        <f>IF(L77&gt;0,INDEX(Fish!$D:$D,MATCH(L77,Fish!$L:$L,0)),"")</f>
        <v>11003</v>
      </c>
      <c r="N77" s="43">
        <v>0</v>
      </c>
      <c r="O77" s="43">
        <v>3</v>
      </c>
      <c r="P77" s="43">
        <v>15</v>
      </c>
      <c r="Q77" s="43">
        <v>20</v>
      </c>
    </row>
    <row r="78" spans="1:17">
      <c r="A78" s="43">
        <v>44601</v>
      </c>
      <c r="B78" s="43">
        <v>1</v>
      </c>
      <c r="C78" s="43">
        <v>8</v>
      </c>
      <c r="D78" s="43">
        <v>1</v>
      </c>
      <c r="E78" s="43">
        <v>1</v>
      </c>
      <c r="F78" s="43" t="s">
        <v>63</v>
      </c>
      <c r="G78" s="43">
        <f>IF(F78&gt;0,INDEX(Fish!$D:$D,MATCH(F78,Fish!$L:$L,0)),"")</f>
        <v>11002</v>
      </c>
      <c r="H78" s="43">
        <v>0</v>
      </c>
      <c r="I78" s="43">
        <v>4</v>
      </c>
      <c r="J78" s="43">
        <v>20</v>
      </c>
      <c r="K78" s="43">
        <v>25</v>
      </c>
      <c r="L78" s="43" t="s">
        <v>67</v>
      </c>
      <c r="M78" s="43">
        <f>IF(L78&gt;0,INDEX(Fish!$D:$D,MATCH(L78,Fish!$L:$L,0)),"")</f>
        <v>11004</v>
      </c>
      <c r="N78" s="43">
        <v>0</v>
      </c>
      <c r="O78" s="43">
        <v>3</v>
      </c>
      <c r="P78" s="43">
        <v>15</v>
      </c>
      <c r="Q78" s="43">
        <v>20</v>
      </c>
    </row>
    <row r="79" spans="1:17">
      <c r="A79" s="43">
        <v>44601</v>
      </c>
      <c r="B79" s="43">
        <v>1</v>
      </c>
      <c r="C79" s="43">
        <v>8</v>
      </c>
      <c r="D79" s="43">
        <v>1</v>
      </c>
      <c r="E79" s="43">
        <v>1</v>
      </c>
      <c r="F79" s="43" t="s">
        <v>63</v>
      </c>
      <c r="G79" s="43">
        <f>IF(F79&gt;0,INDEX(Fish!$D:$D,MATCH(F79,Fish!$L:$L,0)),"")</f>
        <v>11002</v>
      </c>
      <c r="H79" s="43">
        <v>0</v>
      </c>
      <c r="I79" s="43">
        <v>4</v>
      </c>
      <c r="J79" s="43">
        <v>20</v>
      </c>
      <c r="K79" s="43">
        <v>25</v>
      </c>
      <c r="L79" s="43" t="s">
        <v>73</v>
      </c>
      <c r="M79" s="43">
        <f>IF(L79&gt;0,INDEX(Fish!$D:$D,MATCH(L79,Fish!$L:$L,0)),"")</f>
        <v>11007</v>
      </c>
      <c r="N79" s="43">
        <v>0</v>
      </c>
      <c r="O79" s="43">
        <v>3</v>
      </c>
      <c r="P79" s="43">
        <v>15</v>
      </c>
      <c r="Q79" s="43">
        <v>20</v>
      </c>
    </row>
    <row r="80" spans="1:35">
      <c r="A80" s="43">
        <v>44601</v>
      </c>
      <c r="B80" s="43">
        <v>2</v>
      </c>
      <c r="C80" s="43">
        <v>0</v>
      </c>
      <c r="D80" s="43">
        <v>2</v>
      </c>
      <c r="E80" s="43">
        <v>1</v>
      </c>
      <c r="F80" s="43" t="s">
        <v>75</v>
      </c>
      <c r="G80" s="43">
        <f>IF(F80&gt;0,INDEX(Fish!$D:$D,MATCH(F80,Fish!$L:$L,0)),"")</f>
        <v>11008</v>
      </c>
      <c r="H80" s="43">
        <v>0</v>
      </c>
      <c r="I80" s="43">
        <v>1</v>
      </c>
      <c r="J80" s="43">
        <v>4</v>
      </c>
      <c r="K80" s="43">
        <v>6</v>
      </c>
      <c r="L80" s="43" t="s">
        <v>83</v>
      </c>
      <c r="M80" s="43">
        <f>IF(L80&gt;0,INDEX(Fish!$D:$D,MATCH(L80,Fish!$L:$L,0)),"")</f>
        <v>11011</v>
      </c>
      <c r="N80" s="43">
        <v>0</v>
      </c>
      <c r="O80" s="43">
        <v>1</v>
      </c>
      <c r="P80" s="43">
        <v>3</v>
      </c>
      <c r="Q80" s="43">
        <v>4</v>
      </c>
      <c r="R80" s="43" t="s">
        <v>95</v>
      </c>
      <c r="S80" s="43">
        <f>IF(R80&gt;0,INDEX(Fish!$D:$D,MATCH(R80,Fish!$L:$L,0)),"")</f>
        <v>11017</v>
      </c>
      <c r="T80" s="43">
        <v>0</v>
      </c>
      <c r="U80" s="43">
        <v>1</v>
      </c>
      <c r="V80" s="43">
        <v>2</v>
      </c>
      <c r="W80" s="43">
        <v>3</v>
      </c>
      <c r="X80" s="43" t="s">
        <v>91</v>
      </c>
      <c r="Y80" s="43">
        <f>IF(X80&gt;0,INDEX(Fish!$D:$D,MATCH(X80,Fish!$L:$L,0)),"")</f>
        <v>11015</v>
      </c>
      <c r="Z80" s="43">
        <v>0</v>
      </c>
      <c r="AA80" s="43">
        <v>1</v>
      </c>
      <c r="AB80" s="43">
        <v>2</v>
      </c>
      <c r="AC80" s="43">
        <v>3</v>
      </c>
      <c r="AD80" s="43" t="s">
        <v>87</v>
      </c>
      <c r="AE80" s="43">
        <f>IF(AD80&gt;0,INDEX(Fish!$D:$D,MATCH(AD80,Fish!$L:$L,0)),"")</f>
        <v>11013</v>
      </c>
      <c r="AF80" s="43">
        <v>0</v>
      </c>
      <c r="AG80" s="43">
        <v>1</v>
      </c>
      <c r="AH80" s="43">
        <v>1</v>
      </c>
      <c r="AI80" s="43">
        <v>2</v>
      </c>
    </row>
    <row r="81" spans="1:35">
      <c r="A81" s="43">
        <v>44601</v>
      </c>
      <c r="B81" s="43">
        <v>2</v>
      </c>
      <c r="C81" s="43">
        <v>0</v>
      </c>
      <c r="D81" s="43">
        <v>2</v>
      </c>
      <c r="E81" s="43">
        <v>1</v>
      </c>
      <c r="F81" s="43" t="s">
        <v>75</v>
      </c>
      <c r="G81" s="43">
        <f>IF(F81&gt;0,INDEX(Fish!$D:$D,MATCH(F81,Fish!$L:$L,0)),"")</f>
        <v>11008</v>
      </c>
      <c r="H81" s="43">
        <v>0</v>
      </c>
      <c r="I81" s="43">
        <v>1</v>
      </c>
      <c r="J81" s="43">
        <v>4</v>
      </c>
      <c r="K81" s="43">
        <v>6</v>
      </c>
      <c r="L81" s="43" t="s">
        <v>83</v>
      </c>
      <c r="M81" s="43">
        <f>IF(L81&gt;0,INDEX(Fish!$D:$D,MATCH(L81,Fish!$L:$L,0)),"")</f>
        <v>11011</v>
      </c>
      <c r="N81" s="43">
        <v>0</v>
      </c>
      <c r="O81" s="43">
        <v>1</v>
      </c>
      <c r="P81" s="43">
        <v>3</v>
      </c>
      <c r="Q81" s="43">
        <v>4</v>
      </c>
      <c r="R81" s="43" t="s">
        <v>95</v>
      </c>
      <c r="S81" s="43">
        <f>IF(R81&gt;0,INDEX(Fish!$D:$D,MATCH(R81,Fish!$L:$L,0)),"")</f>
        <v>11017</v>
      </c>
      <c r="T81" s="43">
        <v>0</v>
      </c>
      <c r="U81" s="43">
        <v>1</v>
      </c>
      <c r="V81" s="43">
        <v>2</v>
      </c>
      <c r="W81" s="43">
        <v>3</v>
      </c>
      <c r="X81" s="43" t="s">
        <v>91</v>
      </c>
      <c r="Y81" s="43">
        <f>IF(X81&gt;0,INDEX(Fish!$D:$D,MATCH(X81,Fish!$L:$L,0)),"")</f>
        <v>11015</v>
      </c>
      <c r="Z81" s="43">
        <v>0</v>
      </c>
      <c r="AA81" s="43">
        <v>1</v>
      </c>
      <c r="AB81" s="43">
        <v>2</v>
      </c>
      <c r="AC81" s="43">
        <v>3</v>
      </c>
      <c r="AD81" s="43" t="s">
        <v>93</v>
      </c>
      <c r="AE81" s="43">
        <f>IF(AD81&gt;0,INDEX(Fish!$D:$D,MATCH(AD81,Fish!$L:$L,0)),"")</f>
        <v>11016</v>
      </c>
      <c r="AF81" s="43">
        <v>0</v>
      </c>
      <c r="AG81" s="43">
        <v>1</v>
      </c>
      <c r="AH81" s="43">
        <v>1</v>
      </c>
      <c r="AI81" s="43">
        <v>2</v>
      </c>
    </row>
    <row r="82" spans="1:35">
      <c r="A82" s="43">
        <v>44601</v>
      </c>
      <c r="B82" s="43">
        <v>2</v>
      </c>
      <c r="C82" s="43">
        <v>0</v>
      </c>
      <c r="D82" s="43">
        <v>2</v>
      </c>
      <c r="E82" s="43">
        <v>1</v>
      </c>
      <c r="F82" s="43" t="s">
        <v>75</v>
      </c>
      <c r="G82" s="43">
        <f>IF(F82&gt;0,INDEX(Fish!$D:$D,MATCH(F82,Fish!$L:$L,0)),"")</f>
        <v>11008</v>
      </c>
      <c r="H82" s="43">
        <v>0</v>
      </c>
      <c r="I82" s="43">
        <v>1</v>
      </c>
      <c r="J82" s="43">
        <v>4</v>
      </c>
      <c r="K82" s="43">
        <v>6</v>
      </c>
      <c r="L82" s="43" t="s">
        <v>83</v>
      </c>
      <c r="M82" s="43">
        <f>IF(L82&gt;0,INDEX(Fish!$D:$D,MATCH(L82,Fish!$L:$L,0)),"")</f>
        <v>11011</v>
      </c>
      <c r="N82" s="43">
        <v>0</v>
      </c>
      <c r="O82" s="43">
        <v>1</v>
      </c>
      <c r="P82" s="43">
        <v>3</v>
      </c>
      <c r="Q82" s="43">
        <v>4</v>
      </c>
      <c r="R82" s="43" t="s">
        <v>95</v>
      </c>
      <c r="S82" s="43">
        <f>IF(R82&gt;0,INDEX(Fish!$D:$D,MATCH(R82,Fish!$L:$L,0)),"")</f>
        <v>11017</v>
      </c>
      <c r="T82" s="43">
        <v>0</v>
      </c>
      <c r="U82" s="43">
        <v>1</v>
      </c>
      <c r="V82" s="43">
        <v>2</v>
      </c>
      <c r="W82" s="43">
        <v>3</v>
      </c>
      <c r="X82" s="43" t="s">
        <v>97</v>
      </c>
      <c r="Y82" s="43">
        <f>IF(X82&gt;0,INDEX(Fish!$D:$D,MATCH(X82,Fish!$L:$L,0)),"")</f>
        <v>11020</v>
      </c>
      <c r="Z82" s="43">
        <v>0</v>
      </c>
      <c r="AA82" s="43">
        <v>1</v>
      </c>
      <c r="AB82" s="43">
        <v>2</v>
      </c>
      <c r="AC82" s="43">
        <v>3</v>
      </c>
      <c r="AD82" s="43" t="s">
        <v>87</v>
      </c>
      <c r="AE82" s="43">
        <f>IF(AD82&gt;0,INDEX(Fish!$D:$D,MATCH(AD82,Fish!$L:$L,0)),"")</f>
        <v>11013</v>
      </c>
      <c r="AF82" s="43">
        <v>0</v>
      </c>
      <c r="AG82" s="43">
        <v>1</v>
      </c>
      <c r="AH82" s="43">
        <v>1</v>
      </c>
      <c r="AI82" s="43">
        <v>2</v>
      </c>
    </row>
    <row r="83" spans="1:35">
      <c r="A83" s="43">
        <v>44601</v>
      </c>
      <c r="B83" s="43">
        <v>2</v>
      </c>
      <c r="C83" s="43">
        <v>0</v>
      </c>
      <c r="D83" s="43">
        <v>2</v>
      </c>
      <c r="E83" s="43">
        <v>1</v>
      </c>
      <c r="F83" s="43" t="s">
        <v>75</v>
      </c>
      <c r="G83" s="43">
        <f>IF(F83&gt;0,INDEX(Fish!$D:$D,MATCH(F83,Fish!$L:$L,0)),"")</f>
        <v>11008</v>
      </c>
      <c r="H83" s="43">
        <v>0</v>
      </c>
      <c r="I83" s="43">
        <v>1</v>
      </c>
      <c r="J83" s="43">
        <v>4</v>
      </c>
      <c r="K83" s="43">
        <v>6</v>
      </c>
      <c r="L83" s="43" t="s">
        <v>83</v>
      </c>
      <c r="M83" s="43">
        <f>IF(L83&gt;0,INDEX(Fish!$D:$D,MATCH(L83,Fish!$L:$L,0)),"")</f>
        <v>11011</v>
      </c>
      <c r="N83" s="43">
        <v>0</v>
      </c>
      <c r="O83" s="43">
        <v>1</v>
      </c>
      <c r="P83" s="43">
        <v>3</v>
      </c>
      <c r="Q83" s="43">
        <v>4</v>
      </c>
      <c r="R83" s="43" t="s">
        <v>95</v>
      </c>
      <c r="S83" s="43">
        <f>IF(R83&gt;0,INDEX(Fish!$D:$D,MATCH(R83,Fish!$L:$L,0)),"")</f>
        <v>11017</v>
      </c>
      <c r="T83" s="43">
        <v>0</v>
      </c>
      <c r="U83" s="43">
        <v>1</v>
      </c>
      <c r="V83" s="43">
        <v>2</v>
      </c>
      <c r="W83" s="43">
        <v>3</v>
      </c>
      <c r="X83" s="43" t="s">
        <v>97</v>
      </c>
      <c r="Y83" s="43">
        <f>IF(X83&gt;0,INDEX(Fish!$D:$D,MATCH(X83,Fish!$L:$L,0)),"")</f>
        <v>11020</v>
      </c>
      <c r="Z83" s="43">
        <v>0</v>
      </c>
      <c r="AA83" s="43">
        <v>1</v>
      </c>
      <c r="AB83" s="43">
        <v>2</v>
      </c>
      <c r="AC83" s="43">
        <v>3</v>
      </c>
      <c r="AD83" s="43" t="s">
        <v>93</v>
      </c>
      <c r="AE83" s="43">
        <f>IF(AD83&gt;0,INDEX(Fish!$D:$D,MATCH(AD83,Fish!$L:$L,0)),"")</f>
        <v>11016</v>
      </c>
      <c r="AF83" s="43">
        <v>0</v>
      </c>
      <c r="AG83" s="43">
        <v>1</v>
      </c>
      <c r="AH83" s="43">
        <v>1</v>
      </c>
      <c r="AI83" s="43">
        <v>2</v>
      </c>
    </row>
    <row r="84" spans="1:35">
      <c r="A84" s="43">
        <v>44601</v>
      </c>
      <c r="B84" s="43">
        <v>2</v>
      </c>
      <c r="C84" s="43">
        <v>0</v>
      </c>
      <c r="D84" s="43">
        <v>2</v>
      </c>
      <c r="E84" s="43">
        <v>1</v>
      </c>
      <c r="F84" s="43" t="s">
        <v>75</v>
      </c>
      <c r="G84" s="43">
        <f>IF(F84&gt;0,INDEX(Fish!$D:$D,MATCH(F84,Fish!$L:$L,0)),"")</f>
        <v>11008</v>
      </c>
      <c r="H84" s="43">
        <v>0</v>
      </c>
      <c r="I84" s="43">
        <v>1</v>
      </c>
      <c r="J84" s="43">
        <v>4</v>
      </c>
      <c r="K84" s="43">
        <v>6</v>
      </c>
      <c r="L84" s="43" t="s">
        <v>83</v>
      </c>
      <c r="M84" s="43">
        <f>IF(L84&gt;0,INDEX(Fish!$D:$D,MATCH(L84,Fish!$L:$L,0)),"")</f>
        <v>11011</v>
      </c>
      <c r="N84" s="43">
        <v>0</v>
      </c>
      <c r="O84" s="43">
        <v>1</v>
      </c>
      <c r="P84" s="43">
        <v>3</v>
      </c>
      <c r="Q84" s="43">
        <v>4</v>
      </c>
      <c r="R84" s="43" t="s">
        <v>85</v>
      </c>
      <c r="S84" s="43">
        <f>IF(R84&gt;0,INDEX(Fish!$D:$D,MATCH(R84,Fish!$L:$L,0)),"")</f>
        <v>11012</v>
      </c>
      <c r="T84" s="43">
        <v>0</v>
      </c>
      <c r="U84" s="43">
        <v>1</v>
      </c>
      <c r="V84" s="43">
        <v>2</v>
      </c>
      <c r="W84" s="43">
        <v>3</v>
      </c>
      <c r="X84" s="43" t="s">
        <v>91</v>
      </c>
      <c r="Y84" s="43">
        <f>IF(X84&gt;0,INDEX(Fish!$D:$D,MATCH(X84,Fish!$L:$L,0)),"")</f>
        <v>11015</v>
      </c>
      <c r="Z84" s="43">
        <v>0</v>
      </c>
      <c r="AA84" s="43">
        <v>1</v>
      </c>
      <c r="AB84" s="43">
        <v>2</v>
      </c>
      <c r="AC84" s="43">
        <v>3</v>
      </c>
      <c r="AD84" s="43" t="s">
        <v>87</v>
      </c>
      <c r="AE84" s="43">
        <f>IF(AD84&gt;0,INDEX(Fish!$D:$D,MATCH(AD84,Fish!$L:$L,0)),"")</f>
        <v>11013</v>
      </c>
      <c r="AF84" s="43">
        <v>0</v>
      </c>
      <c r="AG84" s="43">
        <v>1</v>
      </c>
      <c r="AH84" s="43">
        <v>1</v>
      </c>
      <c r="AI84" s="43">
        <v>2</v>
      </c>
    </row>
    <row r="85" spans="1:35">
      <c r="A85" s="43">
        <v>44601</v>
      </c>
      <c r="B85" s="43">
        <v>2</v>
      </c>
      <c r="C85" s="43">
        <v>0</v>
      </c>
      <c r="D85" s="43">
        <v>2</v>
      </c>
      <c r="E85" s="43">
        <v>1</v>
      </c>
      <c r="F85" s="43" t="s">
        <v>75</v>
      </c>
      <c r="G85" s="43">
        <f>IF(F85&gt;0,INDEX(Fish!$D:$D,MATCH(F85,Fish!$L:$L,0)),"")</f>
        <v>11008</v>
      </c>
      <c r="H85" s="43">
        <v>0</v>
      </c>
      <c r="I85" s="43">
        <v>1</v>
      </c>
      <c r="J85" s="43">
        <v>4</v>
      </c>
      <c r="K85" s="43">
        <v>6</v>
      </c>
      <c r="L85" s="43" t="s">
        <v>83</v>
      </c>
      <c r="M85" s="43">
        <f>IF(L85&gt;0,INDEX(Fish!$D:$D,MATCH(L85,Fish!$L:$L,0)),"")</f>
        <v>11011</v>
      </c>
      <c r="N85" s="43">
        <v>0</v>
      </c>
      <c r="O85" s="43">
        <v>1</v>
      </c>
      <c r="P85" s="43">
        <v>3</v>
      </c>
      <c r="Q85" s="43">
        <v>4</v>
      </c>
      <c r="R85" s="43" t="s">
        <v>85</v>
      </c>
      <c r="S85" s="43">
        <f>IF(R85&gt;0,INDEX(Fish!$D:$D,MATCH(R85,Fish!$L:$L,0)),"")</f>
        <v>11012</v>
      </c>
      <c r="T85" s="43">
        <v>0</v>
      </c>
      <c r="U85" s="43">
        <v>1</v>
      </c>
      <c r="V85" s="43">
        <v>2</v>
      </c>
      <c r="W85" s="43">
        <v>3</v>
      </c>
      <c r="X85" s="43" t="s">
        <v>91</v>
      </c>
      <c r="Y85" s="43">
        <f>IF(X85&gt;0,INDEX(Fish!$D:$D,MATCH(X85,Fish!$L:$L,0)),"")</f>
        <v>11015</v>
      </c>
      <c r="Z85" s="43">
        <v>0</v>
      </c>
      <c r="AA85" s="43">
        <v>1</v>
      </c>
      <c r="AB85" s="43">
        <v>2</v>
      </c>
      <c r="AC85" s="43">
        <v>3</v>
      </c>
      <c r="AD85" s="43" t="s">
        <v>93</v>
      </c>
      <c r="AE85" s="43">
        <f>IF(AD85&gt;0,INDEX(Fish!$D:$D,MATCH(AD85,Fish!$L:$L,0)),"")</f>
        <v>11016</v>
      </c>
      <c r="AF85" s="43">
        <v>0</v>
      </c>
      <c r="AG85" s="43">
        <v>1</v>
      </c>
      <c r="AH85" s="43">
        <v>1</v>
      </c>
      <c r="AI85" s="43">
        <v>2</v>
      </c>
    </row>
    <row r="86" spans="1:35">
      <c r="A86" s="43">
        <v>44601</v>
      </c>
      <c r="B86" s="43">
        <v>2</v>
      </c>
      <c r="C86" s="43">
        <v>0</v>
      </c>
      <c r="D86" s="43">
        <v>2</v>
      </c>
      <c r="E86" s="43">
        <v>1</v>
      </c>
      <c r="F86" s="43" t="s">
        <v>75</v>
      </c>
      <c r="G86" s="43">
        <f>IF(F86&gt;0,INDEX(Fish!$D:$D,MATCH(F86,Fish!$L:$L,0)),"")</f>
        <v>11008</v>
      </c>
      <c r="H86" s="43">
        <v>0</v>
      </c>
      <c r="I86" s="43">
        <v>1</v>
      </c>
      <c r="J86" s="43">
        <v>4</v>
      </c>
      <c r="K86" s="43">
        <v>6</v>
      </c>
      <c r="L86" s="43" t="s">
        <v>83</v>
      </c>
      <c r="M86" s="43">
        <f>IF(L86&gt;0,INDEX(Fish!$D:$D,MATCH(L86,Fish!$L:$L,0)),"")</f>
        <v>11011</v>
      </c>
      <c r="N86" s="43">
        <v>0</v>
      </c>
      <c r="O86" s="43">
        <v>1</v>
      </c>
      <c r="P86" s="43">
        <v>3</v>
      </c>
      <c r="Q86" s="43">
        <v>4</v>
      </c>
      <c r="R86" s="43" t="s">
        <v>85</v>
      </c>
      <c r="S86" s="43">
        <f>IF(R86&gt;0,INDEX(Fish!$D:$D,MATCH(R86,Fish!$L:$L,0)),"")</f>
        <v>11012</v>
      </c>
      <c r="T86" s="43">
        <v>0</v>
      </c>
      <c r="U86" s="43">
        <v>1</v>
      </c>
      <c r="V86" s="43">
        <v>2</v>
      </c>
      <c r="W86" s="43">
        <v>3</v>
      </c>
      <c r="X86" s="43" t="s">
        <v>97</v>
      </c>
      <c r="Y86" s="43">
        <f>IF(X86&gt;0,INDEX(Fish!$D:$D,MATCH(X86,Fish!$L:$L,0)),"")</f>
        <v>11020</v>
      </c>
      <c r="Z86" s="43">
        <v>0</v>
      </c>
      <c r="AA86" s="43">
        <v>1</v>
      </c>
      <c r="AB86" s="43">
        <v>2</v>
      </c>
      <c r="AC86" s="43">
        <v>3</v>
      </c>
      <c r="AD86" s="43" t="s">
        <v>87</v>
      </c>
      <c r="AE86" s="43">
        <f>IF(AD86&gt;0,INDEX(Fish!$D:$D,MATCH(AD86,Fish!$L:$L,0)),"")</f>
        <v>11013</v>
      </c>
      <c r="AF86" s="43">
        <v>0</v>
      </c>
      <c r="AG86" s="43">
        <v>1</v>
      </c>
      <c r="AH86" s="43">
        <v>1</v>
      </c>
      <c r="AI86" s="43">
        <v>2</v>
      </c>
    </row>
    <row r="87" spans="1:35">
      <c r="A87" s="43">
        <v>44601</v>
      </c>
      <c r="B87" s="43">
        <v>2</v>
      </c>
      <c r="C87" s="43">
        <v>0</v>
      </c>
      <c r="D87" s="43">
        <v>2</v>
      </c>
      <c r="E87" s="43">
        <v>1</v>
      </c>
      <c r="F87" s="43" t="s">
        <v>75</v>
      </c>
      <c r="G87" s="43">
        <f>IF(F87&gt;0,INDEX(Fish!$D:$D,MATCH(F87,Fish!$L:$L,0)),"")</f>
        <v>11008</v>
      </c>
      <c r="H87" s="43">
        <v>0</v>
      </c>
      <c r="I87" s="43">
        <v>1</v>
      </c>
      <c r="J87" s="43">
        <v>4</v>
      </c>
      <c r="K87" s="43">
        <v>6</v>
      </c>
      <c r="L87" s="43" t="s">
        <v>83</v>
      </c>
      <c r="M87" s="43">
        <f>IF(L87&gt;0,INDEX(Fish!$D:$D,MATCH(L87,Fish!$L:$L,0)),"")</f>
        <v>11011</v>
      </c>
      <c r="N87" s="43">
        <v>0</v>
      </c>
      <c r="O87" s="43">
        <v>1</v>
      </c>
      <c r="P87" s="43">
        <v>3</v>
      </c>
      <c r="Q87" s="43">
        <v>4</v>
      </c>
      <c r="R87" s="43" t="s">
        <v>85</v>
      </c>
      <c r="S87" s="43">
        <f>IF(R87&gt;0,INDEX(Fish!$D:$D,MATCH(R87,Fish!$L:$L,0)),"")</f>
        <v>11012</v>
      </c>
      <c r="T87" s="43">
        <v>0</v>
      </c>
      <c r="U87" s="43">
        <v>1</v>
      </c>
      <c r="V87" s="43">
        <v>2</v>
      </c>
      <c r="W87" s="43">
        <v>3</v>
      </c>
      <c r="X87" s="43" t="s">
        <v>97</v>
      </c>
      <c r="Y87" s="43">
        <f>IF(X87&gt;0,INDEX(Fish!$D:$D,MATCH(X87,Fish!$L:$L,0)),"")</f>
        <v>11020</v>
      </c>
      <c r="Z87" s="43">
        <v>0</v>
      </c>
      <c r="AA87" s="43">
        <v>1</v>
      </c>
      <c r="AB87" s="43">
        <v>2</v>
      </c>
      <c r="AC87" s="43">
        <v>3</v>
      </c>
      <c r="AD87" s="43" t="s">
        <v>93</v>
      </c>
      <c r="AE87" s="43">
        <f>IF(AD87&gt;0,INDEX(Fish!$D:$D,MATCH(AD87,Fish!$L:$L,0)),"")</f>
        <v>11016</v>
      </c>
      <c r="AF87" s="43">
        <v>0</v>
      </c>
      <c r="AG87" s="43">
        <v>1</v>
      </c>
      <c r="AH87" s="43">
        <v>1</v>
      </c>
      <c r="AI87" s="43">
        <v>2</v>
      </c>
    </row>
    <row r="88" spans="1:35">
      <c r="A88" s="43">
        <v>44601</v>
      </c>
      <c r="B88" s="43">
        <v>2</v>
      </c>
      <c r="C88" s="43">
        <v>0</v>
      </c>
      <c r="D88" s="43">
        <v>2</v>
      </c>
      <c r="E88" s="43">
        <v>1</v>
      </c>
      <c r="F88" s="43" t="s">
        <v>75</v>
      </c>
      <c r="G88" s="43">
        <f>IF(F88&gt;0,INDEX(Fish!$D:$D,MATCH(F88,Fish!$L:$L,0)),"")</f>
        <v>11008</v>
      </c>
      <c r="H88" s="43">
        <v>0</v>
      </c>
      <c r="I88" s="43">
        <v>1</v>
      </c>
      <c r="J88" s="43">
        <v>4</v>
      </c>
      <c r="K88" s="43">
        <v>6</v>
      </c>
      <c r="L88" s="43" t="s">
        <v>81</v>
      </c>
      <c r="M88" s="43">
        <f>IF(L88&gt;0,INDEX(Fish!$D:$D,MATCH(L88,Fish!$L:$L,0)),"")</f>
        <v>11010</v>
      </c>
      <c r="N88" s="43">
        <v>0</v>
      </c>
      <c r="O88" s="43">
        <v>1</v>
      </c>
      <c r="P88" s="43">
        <v>3</v>
      </c>
      <c r="Q88" s="43">
        <v>4</v>
      </c>
      <c r="R88" s="43" t="s">
        <v>95</v>
      </c>
      <c r="S88" s="43">
        <f>IF(R88&gt;0,INDEX(Fish!$D:$D,MATCH(R88,Fish!$L:$L,0)),"")</f>
        <v>11017</v>
      </c>
      <c r="T88" s="43">
        <v>0</v>
      </c>
      <c r="U88" s="43">
        <v>1</v>
      </c>
      <c r="V88" s="43">
        <v>2</v>
      </c>
      <c r="W88" s="43">
        <v>3</v>
      </c>
      <c r="X88" s="43" t="s">
        <v>91</v>
      </c>
      <c r="Y88" s="43">
        <f>IF(X88&gt;0,INDEX(Fish!$D:$D,MATCH(X88,Fish!$L:$L,0)),"")</f>
        <v>11015</v>
      </c>
      <c r="Z88" s="43">
        <v>0</v>
      </c>
      <c r="AA88" s="43">
        <v>1</v>
      </c>
      <c r="AB88" s="43">
        <v>2</v>
      </c>
      <c r="AC88" s="43">
        <v>3</v>
      </c>
      <c r="AD88" s="43" t="s">
        <v>87</v>
      </c>
      <c r="AE88" s="43">
        <f>IF(AD88&gt;0,INDEX(Fish!$D:$D,MATCH(AD88,Fish!$L:$L,0)),"")</f>
        <v>11013</v>
      </c>
      <c r="AF88" s="43">
        <v>0</v>
      </c>
      <c r="AG88" s="43">
        <v>1</v>
      </c>
      <c r="AH88" s="43">
        <v>1</v>
      </c>
      <c r="AI88" s="43">
        <v>2</v>
      </c>
    </row>
    <row r="89" spans="1:35">
      <c r="A89" s="43">
        <v>44601</v>
      </c>
      <c r="B89" s="43">
        <v>2</v>
      </c>
      <c r="C89" s="43">
        <v>0</v>
      </c>
      <c r="D89" s="43">
        <v>2</v>
      </c>
      <c r="E89" s="43">
        <v>1</v>
      </c>
      <c r="F89" s="43" t="s">
        <v>75</v>
      </c>
      <c r="G89" s="43">
        <f>IF(F89&gt;0,INDEX(Fish!$D:$D,MATCH(F89,Fish!$L:$L,0)),"")</f>
        <v>11008</v>
      </c>
      <c r="H89" s="43">
        <v>0</v>
      </c>
      <c r="I89" s="43">
        <v>1</v>
      </c>
      <c r="J89" s="43">
        <v>4</v>
      </c>
      <c r="K89" s="43">
        <v>6</v>
      </c>
      <c r="L89" s="43" t="s">
        <v>81</v>
      </c>
      <c r="M89" s="43">
        <f>IF(L89&gt;0,INDEX(Fish!$D:$D,MATCH(L89,Fish!$L:$L,0)),"")</f>
        <v>11010</v>
      </c>
      <c r="N89" s="43">
        <v>0</v>
      </c>
      <c r="O89" s="43">
        <v>1</v>
      </c>
      <c r="P89" s="43">
        <v>3</v>
      </c>
      <c r="Q89" s="43">
        <v>4</v>
      </c>
      <c r="R89" s="43" t="s">
        <v>95</v>
      </c>
      <c r="S89" s="43">
        <f>IF(R89&gt;0,INDEX(Fish!$D:$D,MATCH(R89,Fish!$L:$L,0)),"")</f>
        <v>11017</v>
      </c>
      <c r="T89" s="43">
        <v>0</v>
      </c>
      <c r="U89" s="43">
        <v>1</v>
      </c>
      <c r="V89" s="43">
        <v>2</v>
      </c>
      <c r="W89" s="43">
        <v>3</v>
      </c>
      <c r="X89" s="43" t="s">
        <v>91</v>
      </c>
      <c r="Y89" s="43">
        <f>IF(X89&gt;0,INDEX(Fish!$D:$D,MATCH(X89,Fish!$L:$L,0)),"")</f>
        <v>11015</v>
      </c>
      <c r="Z89" s="43">
        <v>0</v>
      </c>
      <c r="AA89" s="43">
        <v>1</v>
      </c>
      <c r="AB89" s="43">
        <v>2</v>
      </c>
      <c r="AC89" s="43">
        <v>3</v>
      </c>
      <c r="AD89" s="43" t="s">
        <v>93</v>
      </c>
      <c r="AE89" s="43">
        <f>IF(AD89&gt;0,INDEX(Fish!$D:$D,MATCH(AD89,Fish!$L:$L,0)),"")</f>
        <v>11016</v>
      </c>
      <c r="AF89" s="43">
        <v>0</v>
      </c>
      <c r="AG89" s="43">
        <v>1</v>
      </c>
      <c r="AH89" s="43">
        <v>1</v>
      </c>
      <c r="AI89" s="43">
        <v>2</v>
      </c>
    </row>
    <row r="90" spans="1:35">
      <c r="A90" s="43">
        <v>44601</v>
      </c>
      <c r="B90" s="43">
        <v>2</v>
      </c>
      <c r="C90" s="43">
        <v>0</v>
      </c>
      <c r="D90" s="43">
        <v>2</v>
      </c>
      <c r="E90" s="43">
        <v>1</v>
      </c>
      <c r="F90" s="43" t="s">
        <v>75</v>
      </c>
      <c r="G90" s="43">
        <f>IF(F90&gt;0,INDEX(Fish!$D:$D,MATCH(F90,Fish!$L:$L,0)),"")</f>
        <v>11008</v>
      </c>
      <c r="H90" s="43">
        <v>0</v>
      </c>
      <c r="I90" s="43">
        <v>1</v>
      </c>
      <c r="J90" s="43">
        <v>4</v>
      </c>
      <c r="K90" s="43">
        <v>6</v>
      </c>
      <c r="L90" s="43" t="s">
        <v>81</v>
      </c>
      <c r="M90" s="43">
        <f>IF(L90&gt;0,INDEX(Fish!$D:$D,MATCH(L90,Fish!$L:$L,0)),"")</f>
        <v>11010</v>
      </c>
      <c r="N90" s="43">
        <v>0</v>
      </c>
      <c r="O90" s="43">
        <v>1</v>
      </c>
      <c r="P90" s="43">
        <v>3</v>
      </c>
      <c r="Q90" s="43">
        <v>4</v>
      </c>
      <c r="R90" s="43" t="s">
        <v>95</v>
      </c>
      <c r="S90" s="43">
        <f>IF(R90&gt;0,INDEX(Fish!$D:$D,MATCH(R90,Fish!$L:$L,0)),"")</f>
        <v>11017</v>
      </c>
      <c r="T90" s="43">
        <v>0</v>
      </c>
      <c r="U90" s="43">
        <v>1</v>
      </c>
      <c r="V90" s="43">
        <v>2</v>
      </c>
      <c r="W90" s="43">
        <v>3</v>
      </c>
      <c r="X90" s="43" t="s">
        <v>97</v>
      </c>
      <c r="Y90" s="43">
        <f>IF(X90&gt;0,INDEX(Fish!$D:$D,MATCH(X90,Fish!$L:$L,0)),"")</f>
        <v>11020</v>
      </c>
      <c r="Z90" s="43">
        <v>0</v>
      </c>
      <c r="AA90" s="43">
        <v>1</v>
      </c>
      <c r="AB90" s="43">
        <v>2</v>
      </c>
      <c r="AC90" s="43">
        <v>3</v>
      </c>
      <c r="AD90" s="43" t="s">
        <v>87</v>
      </c>
      <c r="AE90" s="43">
        <f>IF(AD90&gt;0,INDEX(Fish!$D:$D,MATCH(AD90,Fish!$L:$L,0)),"")</f>
        <v>11013</v>
      </c>
      <c r="AF90" s="43">
        <v>0</v>
      </c>
      <c r="AG90" s="43">
        <v>1</v>
      </c>
      <c r="AH90" s="43">
        <v>1</v>
      </c>
      <c r="AI90" s="43">
        <v>2</v>
      </c>
    </row>
    <row r="91" spans="1:35">
      <c r="A91" s="43">
        <v>44601</v>
      </c>
      <c r="B91" s="43">
        <v>2</v>
      </c>
      <c r="C91" s="43">
        <v>0</v>
      </c>
      <c r="D91" s="43">
        <v>2</v>
      </c>
      <c r="E91" s="43">
        <v>1</v>
      </c>
      <c r="F91" s="43" t="s">
        <v>75</v>
      </c>
      <c r="G91" s="43">
        <f>IF(F91&gt;0,INDEX(Fish!$D:$D,MATCH(F91,Fish!$L:$L,0)),"")</f>
        <v>11008</v>
      </c>
      <c r="H91" s="43">
        <v>0</v>
      </c>
      <c r="I91" s="43">
        <v>1</v>
      </c>
      <c r="J91" s="43">
        <v>4</v>
      </c>
      <c r="K91" s="43">
        <v>6</v>
      </c>
      <c r="L91" s="43" t="s">
        <v>81</v>
      </c>
      <c r="M91" s="43">
        <f>IF(L91&gt;0,INDEX(Fish!$D:$D,MATCH(L91,Fish!$L:$L,0)),"")</f>
        <v>11010</v>
      </c>
      <c r="N91" s="43">
        <v>0</v>
      </c>
      <c r="O91" s="43">
        <v>1</v>
      </c>
      <c r="P91" s="43">
        <v>3</v>
      </c>
      <c r="Q91" s="43">
        <v>4</v>
      </c>
      <c r="R91" s="43" t="s">
        <v>95</v>
      </c>
      <c r="S91" s="43">
        <f>IF(R91&gt;0,INDEX(Fish!$D:$D,MATCH(R91,Fish!$L:$L,0)),"")</f>
        <v>11017</v>
      </c>
      <c r="T91" s="43">
        <v>0</v>
      </c>
      <c r="U91" s="43">
        <v>1</v>
      </c>
      <c r="V91" s="43">
        <v>2</v>
      </c>
      <c r="W91" s="43">
        <v>3</v>
      </c>
      <c r="X91" s="43" t="s">
        <v>97</v>
      </c>
      <c r="Y91" s="43">
        <f>IF(X91&gt;0,INDEX(Fish!$D:$D,MATCH(X91,Fish!$L:$L,0)),"")</f>
        <v>11020</v>
      </c>
      <c r="Z91" s="43">
        <v>0</v>
      </c>
      <c r="AA91" s="43">
        <v>1</v>
      </c>
      <c r="AB91" s="43">
        <v>2</v>
      </c>
      <c r="AC91" s="43">
        <v>3</v>
      </c>
      <c r="AD91" s="43" t="s">
        <v>93</v>
      </c>
      <c r="AE91" s="43">
        <f>IF(AD91&gt;0,INDEX(Fish!$D:$D,MATCH(AD91,Fish!$L:$L,0)),"")</f>
        <v>11016</v>
      </c>
      <c r="AF91" s="43">
        <v>0</v>
      </c>
      <c r="AG91" s="43">
        <v>1</v>
      </c>
      <c r="AH91" s="43">
        <v>1</v>
      </c>
      <c r="AI91" s="43">
        <v>2</v>
      </c>
    </row>
    <row r="92" spans="1:35">
      <c r="A92" s="43">
        <v>44601</v>
      </c>
      <c r="B92" s="43">
        <v>2</v>
      </c>
      <c r="C92" s="43">
        <v>0</v>
      </c>
      <c r="D92" s="43">
        <v>2</v>
      </c>
      <c r="E92" s="43">
        <v>1</v>
      </c>
      <c r="F92" s="43" t="s">
        <v>75</v>
      </c>
      <c r="G92" s="43">
        <f>IF(F92&gt;0,INDEX(Fish!$D:$D,MATCH(F92,Fish!$L:$L,0)),"")</f>
        <v>11008</v>
      </c>
      <c r="H92" s="43">
        <v>0</v>
      </c>
      <c r="I92" s="43">
        <v>1</v>
      </c>
      <c r="J92" s="43">
        <v>4</v>
      </c>
      <c r="K92" s="43">
        <v>6</v>
      </c>
      <c r="L92" s="43" t="s">
        <v>81</v>
      </c>
      <c r="M92" s="43">
        <f>IF(L92&gt;0,INDEX(Fish!$D:$D,MATCH(L92,Fish!$L:$L,0)),"")</f>
        <v>11010</v>
      </c>
      <c r="N92" s="43">
        <v>0</v>
      </c>
      <c r="O92" s="43">
        <v>1</v>
      </c>
      <c r="P92" s="43">
        <v>3</v>
      </c>
      <c r="Q92" s="43">
        <v>4</v>
      </c>
      <c r="R92" s="43" t="s">
        <v>85</v>
      </c>
      <c r="S92" s="43">
        <f>IF(R92&gt;0,INDEX(Fish!$D:$D,MATCH(R92,Fish!$L:$L,0)),"")</f>
        <v>11012</v>
      </c>
      <c r="T92" s="43">
        <v>0</v>
      </c>
      <c r="U92" s="43">
        <v>1</v>
      </c>
      <c r="V92" s="43">
        <v>2</v>
      </c>
      <c r="W92" s="43">
        <v>3</v>
      </c>
      <c r="X92" s="43" t="s">
        <v>91</v>
      </c>
      <c r="Y92" s="43">
        <f>IF(X92&gt;0,INDEX(Fish!$D:$D,MATCH(X92,Fish!$L:$L,0)),"")</f>
        <v>11015</v>
      </c>
      <c r="Z92" s="43">
        <v>0</v>
      </c>
      <c r="AA92" s="43">
        <v>1</v>
      </c>
      <c r="AB92" s="43">
        <v>2</v>
      </c>
      <c r="AC92" s="43">
        <v>3</v>
      </c>
      <c r="AD92" s="43" t="s">
        <v>87</v>
      </c>
      <c r="AE92" s="43">
        <f>IF(AD92&gt;0,INDEX(Fish!$D:$D,MATCH(AD92,Fish!$L:$L,0)),"")</f>
        <v>11013</v>
      </c>
      <c r="AF92" s="43">
        <v>0</v>
      </c>
      <c r="AG92" s="43">
        <v>1</v>
      </c>
      <c r="AH92" s="43">
        <v>1</v>
      </c>
      <c r="AI92" s="43">
        <v>2</v>
      </c>
    </row>
    <row r="93" spans="1:35">
      <c r="A93" s="43">
        <v>44601</v>
      </c>
      <c r="B93" s="43">
        <v>2</v>
      </c>
      <c r="C93" s="43">
        <v>0</v>
      </c>
      <c r="D93" s="43">
        <v>2</v>
      </c>
      <c r="E93" s="43">
        <v>1</v>
      </c>
      <c r="F93" s="43" t="s">
        <v>75</v>
      </c>
      <c r="G93" s="43">
        <f>IF(F93&gt;0,INDEX(Fish!$D:$D,MATCH(F93,Fish!$L:$L,0)),"")</f>
        <v>11008</v>
      </c>
      <c r="H93" s="43">
        <v>0</v>
      </c>
      <c r="I93" s="43">
        <v>1</v>
      </c>
      <c r="J93" s="43">
        <v>4</v>
      </c>
      <c r="K93" s="43">
        <v>6</v>
      </c>
      <c r="L93" s="43" t="s">
        <v>81</v>
      </c>
      <c r="M93" s="43">
        <f>IF(L93&gt;0,INDEX(Fish!$D:$D,MATCH(L93,Fish!$L:$L,0)),"")</f>
        <v>11010</v>
      </c>
      <c r="N93" s="43">
        <v>0</v>
      </c>
      <c r="O93" s="43">
        <v>1</v>
      </c>
      <c r="P93" s="43">
        <v>3</v>
      </c>
      <c r="Q93" s="43">
        <v>4</v>
      </c>
      <c r="R93" s="43" t="s">
        <v>85</v>
      </c>
      <c r="S93" s="43">
        <f>IF(R93&gt;0,INDEX(Fish!$D:$D,MATCH(R93,Fish!$L:$L,0)),"")</f>
        <v>11012</v>
      </c>
      <c r="T93" s="43">
        <v>0</v>
      </c>
      <c r="U93" s="43">
        <v>1</v>
      </c>
      <c r="V93" s="43">
        <v>2</v>
      </c>
      <c r="W93" s="43">
        <v>3</v>
      </c>
      <c r="X93" s="43" t="s">
        <v>91</v>
      </c>
      <c r="Y93" s="43">
        <f>IF(X93&gt;0,INDEX(Fish!$D:$D,MATCH(X93,Fish!$L:$L,0)),"")</f>
        <v>11015</v>
      </c>
      <c r="Z93" s="43">
        <v>0</v>
      </c>
      <c r="AA93" s="43">
        <v>1</v>
      </c>
      <c r="AB93" s="43">
        <v>2</v>
      </c>
      <c r="AC93" s="43">
        <v>3</v>
      </c>
      <c r="AD93" s="43" t="s">
        <v>93</v>
      </c>
      <c r="AE93" s="43">
        <f>IF(AD93&gt;0,INDEX(Fish!$D:$D,MATCH(AD93,Fish!$L:$L,0)),"")</f>
        <v>11016</v>
      </c>
      <c r="AF93" s="43">
        <v>0</v>
      </c>
      <c r="AG93" s="43">
        <v>1</v>
      </c>
      <c r="AH93" s="43">
        <v>1</v>
      </c>
      <c r="AI93" s="43">
        <v>2</v>
      </c>
    </row>
    <row r="94" spans="1:35">
      <c r="A94" s="43">
        <v>44601</v>
      </c>
      <c r="B94" s="43">
        <v>2</v>
      </c>
      <c r="C94" s="43">
        <v>0</v>
      </c>
      <c r="D94" s="43">
        <v>2</v>
      </c>
      <c r="E94" s="43">
        <v>1</v>
      </c>
      <c r="F94" s="43" t="s">
        <v>75</v>
      </c>
      <c r="G94" s="43">
        <f>IF(F94&gt;0,INDEX(Fish!$D:$D,MATCH(F94,Fish!$L:$L,0)),"")</f>
        <v>11008</v>
      </c>
      <c r="H94" s="43">
        <v>0</v>
      </c>
      <c r="I94" s="43">
        <v>1</v>
      </c>
      <c r="J94" s="43">
        <v>4</v>
      </c>
      <c r="K94" s="43">
        <v>6</v>
      </c>
      <c r="L94" s="43" t="s">
        <v>81</v>
      </c>
      <c r="M94" s="43">
        <f>IF(L94&gt;0,INDEX(Fish!$D:$D,MATCH(L94,Fish!$L:$L,0)),"")</f>
        <v>11010</v>
      </c>
      <c r="N94" s="43">
        <v>0</v>
      </c>
      <c r="O94" s="43">
        <v>1</v>
      </c>
      <c r="P94" s="43">
        <v>3</v>
      </c>
      <c r="Q94" s="43">
        <v>4</v>
      </c>
      <c r="R94" s="43" t="s">
        <v>85</v>
      </c>
      <c r="S94" s="43">
        <f>IF(R94&gt;0,INDEX(Fish!$D:$D,MATCH(R94,Fish!$L:$L,0)),"")</f>
        <v>11012</v>
      </c>
      <c r="T94" s="43">
        <v>0</v>
      </c>
      <c r="U94" s="43">
        <v>1</v>
      </c>
      <c r="V94" s="43">
        <v>2</v>
      </c>
      <c r="W94" s="43">
        <v>3</v>
      </c>
      <c r="X94" s="43" t="s">
        <v>97</v>
      </c>
      <c r="Y94" s="43">
        <f>IF(X94&gt;0,INDEX(Fish!$D:$D,MATCH(X94,Fish!$L:$L,0)),"")</f>
        <v>11020</v>
      </c>
      <c r="Z94" s="43">
        <v>0</v>
      </c>
      <c r="AA94" s="43">
        <v>1</v>
      </c>
      <c r="AB94" s="43">
        <v>2</v>
      </c>
      <c r="AC94" s="43">
        <v>3</v>
      </c>
      <c r="AD94" s="43" t="s">
        <v>87</v>
      </c>
      <c r="AE94" s="43">
        <f>IF(AD94&gt;0,INDEX(Fish!$D:$D,MATCH(AD94,Fish!$L:$L,0)),"")</f>
        <v>11013</v>
      </c>
      <c r="AF94" s="43">
        <v>0</v>
      </c>
      <c r="AG94" s="43">
        <v>1</v>
      </c>
      <c r="AH94" s="43">
        <v>1</v>
      </c>
      <c r="AI94" s="43">
        <v>2</v>
      </c>
    </row>
    <row r="95" spans="1:35">
      <c r="A95" s="43">
        <v>44601</v>
      </c>
      <c r="B95" s="43">
        <v>2</v>
      </c>
      <c r="C95" s="43">
        <v>0</v>
      </c>
      <c r="D95" s="43">
        <v>2</v>
      </c>
      <c r="E95" s="43">
        <v>1</v>
      </c>
      <c r="F95" s="43" t="s">
        <v>75</v>
      </c>
      <c r="G95" s="43">
        <f>IF(F95&gt;0,INDEX(Fish!$D:$D,MATCH(F95,Fish!$L:$L,0)),"")</f>
        <v>11008</v>
      </c>
      <c r="H95" s="43">
        <v>0</v>
      </c>
      <c r="I95" s="43">
        <v>1</v>
      </c>
      <c r="J95" s="43">
        <v>4</v>
      </c>
      <c r="K95" s="43">
        <v>6</v>
      </c>
      <c r="L95" s="43" t="s">
        <v>81</v>
      </c>
      <c r="M95" s="43">
        <f>IF(L95&gt;0,INDEX(Fish!$D:$D,MATCH(L95,Fish!$L:$L,0)),"")</f>
        <v>11010</v>
      </c>
      <c r="N95" s="43">
        <v>0</v>
      </c>
      <c r="O95" s="43">
        <v>1</v>
      </c>
      <c r="P95" s="43">
        <v>3</v>
      </c>
      <c r="Q95" s="43">
        <v>4</v>
      </c>
      <c r="R95" s="43" t="s">
        <v>85</v>
      </c>
      <c r="S95" s="43">
        <f>IF(R95&gt;0,INDEX(Fish!$D:$D,MATCH(R95,Fish!$L:$L,0)),"")</f>
        <v>11012</v>
      </c>
      <c r="T95" s="43">
        <v>0</v>
      </c>
      <c r="U95" s="43">
        <v>1</v>
      </c>
      <c r="V95" s="43">
        <v>2</v>
      </c>
      <c r="W95" s="43">
        <v>3</v>
      </c>
      <c r="X95" s="43" t="s">
        <v>97</v>
      </c>
      <c r="Y95" s="43">
        <f>IF(X95&gt;0,INDEX(Fish!$D:$D,MATCH(X95,Fish!$L:$L,0)),"")</f>
        <v>11020</v>
      </c>
      <c r="Z95" s="43">
        <v>0</v>
      </c>
      <c r="AA95" s="43">
        <v>1</v>
      </c>
      <c r="AB95" s="43">
        <v>2</v>
      </c>
      <c r="AC95" s="43">
        <v>3</v>
      </c>
      <c r="AD95" s="43" t="s">
        <v>93</v>
      </c>
      <c r="AE95" s="43">
        <f>IF(AD95&gt;0,INDEX(Fish!$D:$D,MATCH(AD95,Fish!$L:$L,0)),"")</f>
        <v>11016</v>
      </c>
      <c r="AF95" s="43">
        <v>0</v>
      </c>
      <c r="AG95" s="43">
        <v>1</v>
      </c>
      <c r="AH95" s="43">
        <v>1</v>
      </c>
      <c r="AI95" s="43">
        <v>2</v>
      </c>
    </row>
    <row r="96" spans="1:35">
      <c r="A96" s="43">
        <v>44601</v>
      </c>
      <c r="B96" s="43">
        <v>2</v>
      </c>
      <c r="C96" s="43">
        <v>0</v>
      </c>
      <c r="D96" s="43">
        <v>2</v>
      </c>
      <c r="E96" s="43">
        <v>1</v>
      </c>
      <c r="F96" s="43" t="s">
        <v>77</v>
      </c>
      <c r="G96" s="43">
        <f>IF(F96&gt;0,INDEX(Fish!$D:$D,MATCH(F96,Fish!$L:$L,0)),"")</f>
        <v>11009</v>
      </c>
      <c r="H96" s="43">
        <v>0</v>
      </c>
      <c r="I96" s="43">
        <v>1</v>
      </c>
      <c r="J96" s="43">
        <v>4</v>
      </c>
      <c r="K96" s="43">
        <v>6</v>
      </c>
      <c r="L96" s="43" t="s">
        <v>83</v>
      </c>
      <c r="M96" s="43">
        <f>IF(L96&gt;0,INDEX(Fish!$D:$D,MATCH(L96,Fish!$L:$L,0)),"")</f>
        <v>11011</v>
      </c>
      <c r="N96" s="43">
        <v>0</v>
      </c>
      <c r="O96" s="43">
        <v>1</v>
      </c>
      <c r="P96" s="43">
        <v>3</v>
      </c>
      <c r="Q96" s="43">
        <v>4</v>
      </c>
      <c r="R96" s="43" t="s">
        <v>95</v>
      </c>
      <c r="S96" s="43">
        <f>IF(R96&gt;0,INDEX(Fish!$D:$D,MATCH(R96,Fish!$L:$L,0)),"")</f>
        <v>11017</v>
      </c>
      <c r="T96" s="43">
        <v>0</v>
      </c>
      <c r="U96" s="43">
        <v>1</v>
      </c>
      <c r="V96" s="43">
        <v>2</v>
      </c>
      <c r="W96" s="43">
        <v>3</v>
      </c>
      <c r="X96" s="43" t="s">
        <v>91</v>
      </c>
      <c r="Y96" s="43">
        <f>IF(X96&gt;0,INDEX(Fish!$D:$D,MATCH(X96,Fish!$L:$L,0)),"")</f>
        <v>11015</v>
      </c>
      <c r="Z96" s="43">
        <v>0</v>
      </c>
      <c r="AA96" s="43">
        <v>1</v>
      </c>
      <c r="AB96" s="43">
        <v>2</v>
      </c>
      <c r="AC96" s="43">
        <v>3</v>
      </c>
      <c r="AD96" s="43" t="s">
        <v>87</v>
      </c>
      <c r="AE96" s="43">
        <f>IF(AD96&gt;0,INDEX(Fish!$D:$D,MATCH(AD96,Fish!$L:$L,0)),"")</f>
        <v>11013</v>
      </c>
      <c r="AF96" s="43">
        <v>0</v>
      </c>
      <c r="AG96" s="43">
        <v>1</v>
      </c>
      <c r="AH96" s="43">
        <v>1</v>
      </c>
      <c r="AI96" s="43">
        <v>2</v>
      </c>
    </row>
    <row r="97" spans="1:35">
      <c r="A97" s="43">
        <v>44601</v>
      </c>
      <c r="B97" s="43">
        <v>2</v>
      </c>
      <c r="C97" s="43">
        <v>0</v>
      </c>
      <c r="D97" s="43">
        <v>2</v>
      </c>
      <c r="E97" s="43">
        <v>1</v>
      </c>
      <c r="F97" s="43" t="s">
        <v>77</v>
      </c>
      <c r="G97" s="43">
        <f>IF(F97&gt;0,INDEX(Fish!$D:$D,MATCH(F97,Fish!$L:$L,0)),"")</f>
        <v>11009</v>
      </c>
      <c r="H97" s="43">
        <v>0</v>
      </c>
      <c r="I97" s="43">
        <v>1</v>
      </c>
      <c r="J97" s="43">
        <v>4</v>
      </c>
      <c r="K97" s="43">
        <v>6</v>
      </c>
      <c r="L97" s="43" t="s">
        <v>83</v>
      </c>
      <c r="M97" s="43">
        <f>IF(L97&gt;0,INDEX(Fish!$D:$D,MATCH(L97,Fish!$L:$L,0)),"")</f>
        <v>11011</v>
      </c>
      <c r="N97" s="43">
        <v>0</v>
      </c>
      <c r="O97" s="43">
        <v>1</v>
      </c>
      <c r="P97" s="43">
        <v>3</v>
      </c>
      <c r="Q97" s="43">
        <v>4</v>
      </c>
      <c r="R97" s="43" t="s">
        <v>95</v>
      </c>
      <c r="S97" s="43">
        <f>IF(R97&gt;0,INDEX(Fish!$D:$D,MATCH(R97,Fish!$L:$L,0)),"")</f>
        <v>11017</v>
      </c>
      <c r="T97" s="43">
        <v>0</v>
      </c>
      <c r="U97" s="43">
        <v>1</v>
      </c>
      <c r="V97" s="43">
        <v>2</v>
      </c>
      <c r="W97" s="43">
        <v>3</v>
      </c>
      <c r="X97" s="43" t="s">
        <v>91</v>
      </c>
      <c r="Y97" s="43">
        <f>IF(X97&gt;0,INDEX(Fish!$D:$D,MATCH(X97,Fish!$L:$L,0)),"")</f>
        <v>11015</v>
      </c>
      <c r="Z97" s="43">
        <v>0</v>
      </c>
      <c r="AA97" s="43">
        <v>1</v>
      </c>
      <c r="AB97" s="43">
        <v>2</v>
      </c>
      <c r="AC97" s="43">
        <v>3</v>
      </c>
      <c r="AD97" s="43" t="s">
        <v>93</v>
      </c>
      <c r="AE97" s="43">
        <f>IF(AD97&gt;0,INDEX(Fish!$D:$D,MATCH(AD97,Fish!$L:$L,0)),"")</f>
        <v>11016</v>
      </c>
      <c r="AF97" s="43">
        <v>0</v>
      </c>
      <c r="AG97" s="43">
        <v>1</v>
      </c>
      <c r="AH97" s="43">
        <v>1</v>
      </c>
      <c r="AI97" s="43">
        <v>2</v>
      </c>
    </row>
    <row r="98" spans="1:35">
      <c r="A98" s="43">
        <v>44601</v>
      </c>
      <c r="B98" s="43">
        <v>2</v>
      </c>
      <c r="C98" s="43">
        <v>0</v>
      </c>
      <c r="D98" s="43">
        <v>2</v>
      </c>
      <c r="E98" s="43">
        <v>1</v>
      </c>
      <c r="F98" s="43" t="s">
        <v>77</v>
      </c>
      <c r="G98" s="43">
        <f>IF(F98&gt;0,INDEX(Fish!$D:$D,MATCH(F98,Fish!$L:$L,0)),"")</f>
        <v>11009</v>
      </c>
      <c r="H98" s="43">
        <v>0</v>
      </c>
      <c r="I98" s="43">
        <v>1</v>
      </c>
      <c r="J98" s="43">
        <v>4</v>
      </c>
      <c r="K98" s="43">
        <v>6</v>
      </c>
      <c r="L98" s="43" t="s">
        <v>83</v>
      </c>
      <c r="M98" s="43">
        <f>IF(L98&gt;0,INDEX(Fish!$D:$D,MATCH(L98,Fish!$L:$L,0)),"")</f>
        <v>11011</v>
      </c>
      <c r="N98" s="43">
        <v>0</v>
      </c>
      <c r="O98" s="43">
        <v>1</v>
      </c>
      <c r="P98" s="43">
        <v>3</v>
      </c>
      <c r="Q98" s="43">
        <v>4</v>
      </c>
      <c r="R98" s="43" t="s">
        <v>95</v>
      </c>
      <c r="S98" s="43">
        <f>IF(R98&gt;0,INDEX(Fish!$D:$D,MATCH(R98,Fish!$L:$L,0)),"")</f>
        <v>11017</v>
      </c>
      <c r="T98" s="43">
        <v>0</v>
      </c>
      <c r="U98" s="43">
        <v>1</v>
      </c>
      <c r="V98" s="43">
        <v>2</v>
      </c>
      <c r="W98" s="43">
        <v>3</v>
      </c>
      <c r="X98" s="43" t="s">
        <v>97</v>
      </c>
      <c r="Y98" s="43">
        <f>IF(X98&gt;0,INDEX(Fish!$D:$D,MATCH(X98,Fish!$L:$L,0)),"")</f>
        <v>11020</v>
      </c>
      <c r="Z98" s="43">
        <v>0</v>
      </c>
      <c r="AA98" s="43">
        <v>1</v>
      </c>
      <c r="AB98" s="43">
        <v>2</v>
      </c>
      <c r="AC98" s="43">
        <v>3</v>
      </c>
      <c r="AD98" s="43" t="s">
        <v>87</v>
      </c>
      <c r="AE98" s="43">
        <f>IF(AD98&gt;0,INDEX(Fish!$D:$D,MATCH(AD98,Fish!$L:$L,0)),"")</f>
        <v>11013</v>
      </c>
      <c r="AF98" s="43">
        <v>0</v>
      </c>
      <c r="AG98" s="43">
        <v>1</v>
      </c>
      <c r="AH98" s="43">
        <v>1</v>
      </c>
      <c r="AI98" s="43">
        <v>2</v>
      </c>
    </row>
    <row r="99" spans="1:35">
      <c r="A99" s="43">
        <v>44601</v>
      </c>
      <c r="B99" s="43">
        <v>2</v>
      </c>
      <c r="C99" s="43">
        <v>0</v>
      </c>
      <c r="D99" s="43">
        <v>2</v>
      </c>
      <c r="E99" s="43">
        <v>1</v>
      </c>
      <c r="F99" s="43" t="s">
        <v>77</v>
      </c>
      <c r="G99" s="43">
        <f>IF(F99&gt;0,INDEX(Fish!$D:$D,MATCH(F99,Fish!$L:$L,0)),"")</f>
        <v>11009</v>
      </c>
      <c r="H99" s="43">
        <v>0</v>
      </c>
      <c r="I99" s="43">
        <v>1</v>
      </c>
      <c r="J99" s="43">
        <v>4</v>
      </c>
      <c r="K99" s="43">
        <v>6</v>
      </c>
      <c r="L99" s="43" t="s">
        <v>83</v>
      </c>
      <c r="M99" s="43">
        <f>IF(L99&gt;0,INDEX(Fish!$D:$D,MATCH(L99,Fish!$L:$L,0)),"")</f>
        <v>11011</v>
      </c>
      <c r="N99" s="43">
        <v>0</v>
      </c>
      <c r="O99" s="43">
        <v>1</v>
      </c>
      <c r="P99" s="43">
        <v>3</v>
      </c>
      <c r="Q99" s="43">
        <v>4</v>
      </c>
      <c r="R99" s="43" t="s">
        <v>95</v>
      </c>
      <c r="S99" s="43">
        <f>IF(R99&gt;0,INDEX(Fish!$D:$D,MATCH(R99,Fish!$L:$L,0)),"")</f>
        <v>11017</v>
      </c>
      <c r="T99" s="43">
        <v>0</v>
      </c>
      <c r="U99" s="43">
        <v>1</v>
      </c>
      <c r="V99" s="43">
        <v>2</v>
      </c>
      <c r="W99" s="43">
        <v>3</v>
      </c>
      <c r="X99" s="43" t="s">
        <v>97</v>
      </c>
      <c r="Y99" s="43">
        <f>IF(X99&gt;0,INDEX(Fish!$D:$D,MATCH(X99,Fish!$L:$L,0)),"")</f>
        <v>11020</v>
      </c>
      <c r="Z99" s="43">
        <v>0</v>
      </c>
      <c r="AA99" s="43">
        <v>1</v>
      </c>
      <c r="AB99" s="43">
        <v>2</v>
      </c>
      <c r="AC99" s="43">
        <v>3</v>
      </c>
      <c r="AD99" s="43" t="s">
        <v>93</v>
      </c>
      <c r="AE99" s="43">
        <f>IF(AD99&gt;0,INDEX(Fish!$D:$D,MATCH(AD99,Fish!$L:$L,0)),"")</f>
        <v>11016</v>
      </c>
      <c r="AF99" s="43">
        <v>0</v>
      </c>
      <c r="AG99" s="43">
        <v>1</v>
      </c>
      <c r="AH99" s="43">
        <v>1</v>
      </c>
      <c r="AI99" s="43">
        <v>2</v>
      </c>
    </row>
    <row r="100" spans="1:35">
      <c r="A100" s="43">
        <v>44601</v>
      </c>
      <c r="B100" s="43">
        <v>2</v>
      </c>
      <c r="C100" s="43">
        <v>0</v>
      </c>
      <c r="D100" s="43">
        <v>2</v>
      </c>
      <c r="E100" s="43">
        <v>1</v>
      </c>
      <c r="F100" s="43" t="s">
        <v>77</v>
      </c>
      <c r="G100" s="43">
        <f>IF(F100&gt;0,INDEX(Fish!$D:$D,MATCH(F100,Fish!$L:$L,0)),"")</f>
        <v>11009</v>
      </c>
      <c r="H100" s="43">
        <v>0</v>
      </c>
      <c r="I100" s="43">
        <v>1</v>
      </c>
      <c r="J100" s="43">
        <v>4</v>
      </c>
      <c r="K100" s="43">
        <v>6</v>
      </c>
      <c r="L100" s="43" t="s">
        <v>83</v>
      </c>
      <c r="M100" s="43">
        <f>IF(L100&gt;0,INDEX(Fish!$D:$D,MATCH(L100,Fish!$L:$L,0)),"")</f>
        <v>11011</v>
      </c>
      <c r="N100" s="43">
        <v>0</v>
      </c>
      <c r="O100" s="43">
        <v>1</v>
      </c>
      <c r="P100" s="43">
        <v>3</v>
      </c>
      <c r="Q100" s="43">
        <v>4</v>
      </c>
      <c r="R100" s="43" t="s">
        <v>85</v>
      </c>
      <c r="S100" s="43">
        <f>IF(R100&gt;0,INDEX(Fish!$D:$D,MATCH(R100,Fish!$L:$L,0)),"")</f>
        <v>11012</v>
      </c>
      <c r="T100" s="43">
        <v>0</v>
      </c>
      <c r="U100" s="43">
        <v>1</v>
      </c>
      <c r="V100" s="43">
        <v>2</v>
      </c>
      <c r="W100" s="43">
        <v>3</v>
      </c>
      <c r="X100" s="43" t="s">
        <v>91</v>
      </c>
      <c r="Y100" s="43">
        <f>IF(X100&gt;0,INDEX(Fish!$D:$D,MATCH(X100,Fish!$L:$L,0)),"")</f>
        <v>11015</v>
      </c>
      <c r="Z100" s="43">
        <v>0</v>
      </c>
      <c r="AA100" s="43">
        <v>1</v>
      </c>
      <c r="AB100" s="43">
        <v>2</v>
      </c>
      <c r="AC100" s="43">
        <v>3</v>
      </c>
      <c r="AD100" s="43" t="s">
        <v>87</v>
      </c>
      <c r="AE100" s="43">
        <f>IF(AD100&gt;0,INDEX(Fish!$D:$D,MATCH(AD100,Fish!$L:$L,0)),"")</f>
        <v>11013</v>
      </c>
      <c r="AF100" s="43">
        <v>0</v>
      </c>
      <c r="AG100" s="43">
        <v>1</v>
      </c>
      <c r="AH100" s="43">
        <v>1</v>
      </c>
      <c r="AI100" s="43">
        <v>2</v>
      </c>
    </row>
    <row r="101" spans="1:35">
      <c r="A101" s="43">
        <v>44601</v>
      </c>
      <c r="B101" s="43">
        <v>2</v>
      </c>
      <c r="C101" s="43">
        <v>0</v>
      </c>
      <c r="D101" s="43">
        <v>2</v>
      </c>
      <c r="E101" s="43">
        <v>1</v>
      </c>
      <c r="F101" s="43" t="s">
        <v>77</v>
      </c>
      <c r="G101" s="43">
        <f>IF(F101&gt;0,INDEX(Fish!$D:$D,MATCH(F101,Fish!$L:$L,0)),"")</f>
        <v>11009</v>
      </c>
      <c r="H101" s="43">
        <v>0</v>
      </c>
      <c r="I101" s="43">
        <v>1</v>
      </c>
      <c r="J101" s="43">
        <v>4</v>
      </c>
      <c r="K101" s="43">
        <v>6</v>
      </c>
      <c r="L101" s="43" t="s">
        <v>83</v>
      </c>
      <c r="M101" s="43">
        <f>IF(L101&gt;0,INDEX(Fish!$D:$D,MATCH(L101,Fish!$L:$L,0)),"")</f>
        <v>11011</v>
      </c>
      <c r="N101" s="43">
        <v>0</v>
      </c>
      <c r="O101" s="43">
        <v>1</v>
      </c>
      <c r="P101" s="43">
        <v>3</v>
      </c>
      <c r="Q101" s="43">
        <v>4</v>
      </c>
      <c r="R101" s="43" t="s">
        <v>85</v>
      </c>
      <c r="S101" s="43">
        <f>IF(R101&gt;0,INDEX(Fish!$D:$D,MATCH(R101,Fish!$L:$L,0)),"")</f>
        <v>11012</v>
      </c>
      <c r="T101" s="43">
        <v>0</v>
      </c>
      <c r="U101" s="43">
        <v>1</v>
      </c>
      <c r="V101" s="43">
        <v>2</v>
      </c>
      <c r="W101" s="43">
        <v>3</v>
      </c>
      <c r="X101" s="43" t="s">
        <v>91</v>
      </c>
      <c r="Y101" s="43">
        <f>IF(X101&gt;0,INDEX(Fish!$D:$D,MATCH(X101,Fish!$L:$L,0)),"")</f>
        <v>11015</v>
      </c>
      <c r="Z101" s="43">
        <v>0</v>
      </c>
      <c r="AA101" s="43">
        <v>1</v>
      </c>
      <c r="AB101" s="43">
        <v>2</v>
      </c>
      <c r="AC101" s="43">
        <v>3</v>
      </c>
      <c r="AD101" s="43" t="s">
        <v>93</v>
      </c>
      <c r="AE101" s="43">
        <f>IF(AD101&gt;0,INDEX(Fish!$D:$D,MATCH(AD101,Fish!$L:$L,0)),"")</f>
        <v>11016</v>
      </c>
      <c r="AF101" s="43">
        <v>0</v>
      </c>
      <c r="AG101" s="43">
        <v>1</v>
      </c>
      <c r="AH101" s="43">
        <v>1</v>
      </c>
      <c r="AI101" s="43">
        <v>2</v>
      </c>
    </row>
    <row r="102" spans="1:35">
      <c r="A102" s="43">
        <v>44601</v>
      </c>
      <c r="B102" s="43">
        <v>2</v>
      </c>
      <c r="C102" s="43">
        <v>0</v>
      </c>
      <c r="D102" s="43">
        <v>2</v>
      </c>
      <c r="E102" s="43">
        <v>1</v>
      </c>
      <c r="F102" s="43" t="s">
        <v>77</v>
      </c>
      <c r="G102" s="43">
        <f>IF(F102&gt;0,INDEX(Fish!$D:$D,MATCH(F102,Fish!$L:$L,0)),"")</f>
        <v>11009</v>
      </c>
      <c r="H102" s="43">
        <v>0</v>
      </c>
      <c r="I102" s="43">
        <v>1</v>
      </c>
      <c r="J102" s="43">
        <v>4</v>
      </c>
      <c r="K102" s="43">
        <v>6</v>
      </c>
      <c r="L102" s="43" t="s">
        <v>83</v>
      </c>
      <c r="M102" s="43">
        <f>IF(L102&gt;0,INDEX(Fish!$D:$D,MATCH(L102,Fish!$L:$L,0)),"")</f>
        <v>11011</v>
      </c>
      <c r="N102" s="43">
        <v>0</v>
      </c>
      <c r="O102" s="43">
        <v>1</v>
      </c>
      <c r="P102" s="43">
        <v>3</v>
      </c>
      <c r="Q102" s="43">
        <v>4</v>
      </c>
      <c r="R102" s="43" t="s">
        <v>85</v>
      </c>
      <c r="S102" s="43">
        <f>IF(R102&gt;0,INDEX(Fish!$D:$D,MATCH(R102,Fish!$L:$L,0)),"")</f>
        <v>11012</v>
      </c>
      <c r="T102" s="43">
        <v>0</v>
      </c>
      <c r="U102" s="43">
        <v>1</v>
      </c>
      <c r="V102" s="43">
        <v>2</v>
      </c>
      <c r="W102" s="43">
        <v>3</v>
      </c>
      <c r="X102" s="43" t="s">
        <v>97</v>
      </c>
      <c r="Y102" s="43">
        <f>IF(X102&gt;0,INDEX(Fish!$D:$D,MATCH(X102,Fish!$L:$L,0)),"")</f>
        <v>11020</v>
      </c>
      <c r="Z102" s="43">
        <v>0</v>
      </c>
      <c r="AA102" s="43">
        <v>1</v>
      </c>
      <c r="AB102" s="43">
        <v>2</v>
      </c>
      <c r="AC102" s="43">
        <v>3</v>
      </c>
      <c r="AD102" s="43" t="s">
        <v>87</v>
      </c>
      <c r="AE102" s="43">
        <f>IF(AD102&gt;0,INDEX(Fish!$D:$D,MATCH(AD102,Fish!$L:$L,0)),"")</f>
        <v>11013</v>
      </c>
      <c r="AF102" s="43">
        <v>0</v>
      </c>
      <c r="AG102" s="43">
        <v>1</v>
      </c>
      <c r="AH102" s="43">
        <v>1</v>
      </c>
      <c r="AI102" s="43">
        <v>2</v>
      </c>
    </row>
    <row r="103" spans="1:35">
      <c r="A103" s="43">
        <v>44601</v>
      </c>
      <c r="B103" s="43">
        <v>2</v>
      </c>
      <c r="C103" s="43">
        <v>0</v>
      </c>
      <c r="D103" s="43">
        <v>2</v>
      </c>
      <c r="E103" s="43">
        <v>1</v>
      </c>
      <c r="F103" s="43" t="s">
        <v>77</v>
      </c>
      <c r="G103" s="43">
        <f>IF(F103&gt;0,INDEX(Fish!$D:$D,MATCH(F103,Fish!$L:$L,0)),"")</f>
        <v>11009</v>
      </c>
      <c r="H103" s="43">
        <v>0</v>
      </c>
      <c r="I103" s="43">
        <v>1</v>
      </c>
      <c r="J103" s="43">
        <v>4</v>
      </c>
      <c r="K103" s="43">
        <v>6</v>
      </c>
      <c r="L103" s="43" t="s">
        <v>83</v>
      </c>
      <c r="M103" s="43">
        <f>IF(L103&gt;0,INDEX(Fish!$D:$D,MATCH(L103,Fish!$L:$L,0)),"")</f>
        <v>11011</v>
      </c>
      <c r="N103" s="43">
        <v>0</v>
      </c>
      <c r="O103" s="43">
        <v>1</v>
      </c>
      <c r="P103" s="43">
        <v>3</v>
      </c>
      <c r="Q103" s="43">
        <v>4</v>
      </c>
      <c r="R103" s="43" t="s">
        <v>85</v>
      </c>
      <c r="S103" s="43">
        <f>IF(R103&gt;0,INDEX(Fish!$D:$D,MATCH(R103,Fish!$L:$L,0)),"")</f>
        <v>11012</v>
      </c>
      <c r="T103" s="43">
        <v>0</v>
      </c>
      <c r="U103" s="43">
        <v>1</v>
      </c>
      <c r="V103" s="43">
        <v>2</v>
      </c>
      <c r="W103" s="43">
        <v>3</v>
      </c>
      <c r="X103" s="43" t="s">
        <v>97</v>
      </c>
      <c r="Y103" s="43">
        <f>IF(X103&gt;0,INDEX(Fish!$D:$D,MATCH(X103,Fish!$L:$L,0)),"")</f>
        <v>11020</v>
      </c>
      <c r="Z103" s="43">
        <v>0</v>
      </c>
      <c r="AA103" s="43">
        <v>1</v>
      </c>
      <c r="AB103" s="43">
        <v>2</v>
      </c>
      <c r="AC103" s="43">
        <v>3</v>
      </c>
      <c r="AD103" s="43" t="s">
        <v>93</v>
      </c>
      <c r="AE103" s="43">
        <f>IF(AD103&gt;0,INDEX(Fish!$D:$D,MATCH(AD103,Fish!$L:$L,0)),"")</f>
        <v>11016</v>
      </c>
      <c r="AF103" s="43">
        <v>0</v>
      </c>
      <c r="AG103" s="43">
        <v>1</v>
      </c>
      <c r="AH103" s="43">
        <v>1</v>
      </c>
      <c r="AI103" s="43">
        <v>2</v>
      </c>
    </row>
    <row r="104" spans="1:35">
      <c r="A104" s="43">
        <v>44601</v>
      </c>
      <c r="B104" s="43">
        <v>2</v>
      </c>
      <c r="C104" s="43">
        <v>0</v>
      </c>
      <c r="D104" s="43">
        <v>2</v>
      </c>
      <c r="E104" s="43">
        <v>1</v>
      </c>
      <c r="F104" s="43" t="s">
        <v>77</v>
      </c>
      <c r="G104" s="43">
        <f>IF(F104&gt;0,INDEX(Fish!$D:$D,MATCH(F104,Fish!$L:$L,0)),"")</f>
        <v>11009</v>
      </c>
      <c r="H104" s="43">
        <v>0</v>
      </c>
      <c r="I104" s="43">
        <v>1</v>
      </c>
      <c r="J104" s="43">
        <v>4</v>
      </c>
      <c r="K104" s="43">
        <v>6</v>
      </c>
      <c r="L104" s="43" t="s">
        <v>81</v>
      </c>
      <c r="M104" s="43">
        <f>IF(L104&gt;0,INDEX(Fish!$D:$D,MATCH(L104,Fish!$L:$L,0)),"")</f>
        <v>11010</v>
      </c>
      <c r="N104" s="43">
        <v>0</v>
      </c>
      <c r="O104" s="43">
        <v>1</v>
      </c>
      <c r="P104" s="43">
        <v>3</v>
      </c>
      <c r="Q104" s="43">
        <v>4</v>
      </c>
      <c r="R104" s="43" t="s">
        <v>95</v>
      </c>
      <c r="S104" s="43">
        <f>IF(R104&gt;0,INDEX(Fish!$D:$D,MATCH(R104,Fish!$L:$L,0)),"")</f>
        <v>11017</v>
      </c>
      <c r="T104" s="43">
        <v>0</v>
      </c>
      <c r="U104" s="43">
        <v>1</v>
      </c>
      <c r="V104" s="43">
        <v>2</v>
      </c>
      <c r="W104" s="43">
        <v>3</v>
      </c>
      <c r="X104" s="43" t="s">
        <v>91</v>
      </c>
      <c r="Y104" s="43">
        <f>IF(X104&gt;0,INDEX(Fish!$D:$D,MATCH(X104,Fish!$L:$L,0)),"")</f>
        <v>11015</v>
      </c>
      <c r="Z104" s="43">
        <v>0</v>
      </c>
      <c r="AA104" s="43">
        <v>1</v>
      </c>
      <c r="AB104" s="43">
        <v>2</v>
      </c>
      <c r="AC104" s="43">
        <v>3</v>
      </c>
      <c r="AD104" s="43" t="s">
        <v>87</v>
      </c>
      <c r="AE104" s="43">
        <f>IF(AD104&gt;0,INDEX(Fish!$D:$D,MATCH(AD104,Fish!$L:$L,0)),"")</f>
        <v>11013</v>
      </c>
      <c r="AF104" s="43">
        <v>0</v>
      </c>
      <c r="AG104" s="43">
        <v>1</v>
      </c>
      <c r="AH104" s="43">
        <v>1</v>
      </c>
      <c r="AI104" s="43">
        <v>2</v>
      </c>
    </row>
    <row r="105" spans="1:35">
      <c r="A105" s="43">
        <v>44601</v>
      </c>
      <c r="B105" s="43">
        <v>2</v>
      </c>
      <c r="C105" s="43">
        <v>0</v>
      </c>
      <c r="D105" s="43">
        <v>2</v>
      </c>
      <c r="E105" s="43">
        <v>1</v>
      </c>
      <c r="F105" s="43" t="s">
        <v>77</v>
      </c>
      <c r="G105" s="43">
        <f>IF(F105&gt;0,INDEX(Fish!$D:$D,MATCH(F105,Fish!$L:$L,0)),"")</f>
        <v>11009</v>
      </c>
      <c r="H105" s="43">
        <v>0</v>
      </c>
      <c r="I105" s="43">
        <v>1</v>
      </c>
      <c r="J105" s="43">
        <v>4</v>
      </c>
      <c r="K105" s="43">
        <v>6</v>
      </c>
      <c r="L105" s="43" t="s">
        <v>81</v>
      </c>
      <c r="M105" s="43">
        <f>IF(L105&gt;0,INDEX(Fish!$D:$D,MATCH(L105,Fish!$L:$L,0)),"")</f>
        <v>11010</v>
      </c>
      <c r="N105" s="43">
        <v>0</v>
      </c>
      <c r="O105" s="43">
        <v>1</v>
      </c>
      <c r="P105" s="43">
        <v>3</v>
      </c>
      <c r="Q105" s="43">
        <v>4</v>
      </c>
      <c r="R105" s="43" t="s">
        <v>95</v>
      </c>
      <c r="S105" s="43">
        <f>IF(R105&gt;0,INDEX(Fish!$D:$D,MATCH(R105,Fish!$L:$L,0)),"")</f>
        <v>11017</v>
      </c>
      <c r="T105" s="43">
        <v>0</v>
      </c>
      <c r="U105" s="43">
        <v>1</v>
      </c>
      <c r="V105" s="43">
        <v>2</v>
      </c>
      <c r="W105" s="43">
        <v>3</v>
      </c>
      <c r="X105" s="43" t="s">
        <v>91</v>
      </c>
      <c r="Y105" s="43">
        <f>IF(X105&gt;0,INDEX(Fish!$D:$D,MATCH(X105,Fish!$L:$L,0)),"")</f>
        <v>11015</v>
      </c>
      <c r="Z105" s="43">
        <v>0</v>
      </c>
      <c r="AA105" s="43">
        <v>1</v>
      </c>
      <c r="AB105" s="43">
        <v>2</v>
      </c>
      <c r="AC105" s="43">
        <v>3</v>
      </c>
      <c r="AD105" s="43" t="s">
        <v>93</v>
      </c>
      <c r="AE105" s="43">
        <f>IF(AD105&gt;0,INDEX(Fish!$D:$D,MATCH(AD105,Fish!$L:$L,0)),"")</f>
        <v>11016</v>
      </c>
      <c r="AF105" s="43">
        <v>0</v>
      </c>
      <c r="AG105" s="43">
        <v>1</v>
      </c>
      <c r="AH105" s="43">
        <v>1</v>
      </c>
      <c r="AI105" s="43">
        <v>2</v>
      </c>
    </row>
    <row r="106" spans="1:35">
      <c r="A106" s="43">
        <v>44601</v>
      </c>
      <c r="B106" s="43">
        <v>2</v>
      </c>
      <c r="C106" s="43">
        <v>0</v>
      </c>
      <c r="D106" s="43">
        <v>2</v>
      </c>
      <c r="E106" s="43">
        <v>1</v>
      </c>
      <c r="F106" s="43" t="s">
        <v>77</v>
      </c>
      <c r="G106" s="43">
        <f>IF(F106&gt;0,INDEX(Fish!$D:$D,MATCH(F106,Fish!$L:$L,0)),"")</f>
        <v>11009</v>
      </c>
      <c r="H106" s="43">
        <v>0</v>
      </c>
      <c r="I106" s="43">
        <v>1</v>
      </c>
      <c r="J106" s="43">
        <v>4</v>
      </c>
      <c r="K106" s="43">
        <v>6</v>
      </c>
      <c r="L106" s="43" t="s">
        <v>81</v>
      </c>
      <c r="M106" s="43">
        <f>IF(L106&gt;0,INDEX(Fish!$D:$D,MATCH(L106,Fish!$L:$L,0)),"")</f>
        <v>11010</v>
      </c>
      <c r="N106" s="43">
        <v>0</v>
      </c>
      <c r="O106" s="43">
        <v>1</v>
      </c>
      <c r="P106" s="43">
        <v>3</v>
      </c>
      <c r="Q106" s="43">
        <v>4</v>
      </c>
      <c r="R106" s="43" t="s">
        <v>95</v>
      </c>
      <c r="S106" s="43">
        <f>IF(R106&gt;0,INDEX(Fish!$D:$D,MATCH(R106,Fish!$L:$L,0)),"")</f>
        <v>11017</v>
      </c>
      <c r="T106" s="43">
        <v>0</v>
      </c>
      <c r="U106" s="43">
        <v>1</v>
      </c>
      <c r="V106" s="43">
        <v>2</v>
      </c>
      <c r="W106" s="43">
        <v>3</v>
      </c>
      <c r="X106" s="43" t="s">
        <v>97</v>
      </c>
      <c r="Y106" s="43">
        <f>IF(X106&gt;0,INDEX(Fish!$D:$D,MATCH(X106,Fish!$L:$L,0)),"")</f>
        <v>11020</v>
      </c>
      <c r="Z106" s="43">
        <v>0</v>
      </c>
      <c r="AA106" s="43">
        <v>1</v>
      </c>
      <c r="AB106" s="43">
        <v>2</v>
      </c>
      <c r="AC106" s="43">
        <v>3</v>
      </c>
      <c r="AD106" s="43" t="s">
        <v>87</v>
      </c>
      <c r="AE106" s="43">
        <f>IF(AD106&gt;0,INDEX(Fish!$D:$D,MATCH(AD106,Fish!$L:$L,0)),"")</f>
        <v>11013</v>
      </c>
      <c r="AF106" s="43">
        <v>0</v>
      </c>
      <c r="AG106" s="43">
        <v>1</v>
      </c>
      <c r="AH106" s="43">
        <v>1</v>
      </c>
      <c r="AI106" s="43">
        <v>2</v>
      </c>
    </row>
    <row r="107" spans="1:35">
      <c r="A107" s="43">
        <v>44601</v>
      </c>
      <c r="B107" s="43">
        <v>2</v>
      </c>
      <c r="C107" s="43">
        <v>0</v>
      </c>
      <c r="D107" s="43">
        <v>2</v>
      </c>
      <c r="E107" s="43">
        <v>1</v>
      </c>
      <c r="F107" s="43" t="s">
        <v>77</v>
      </c>
      <c r="G107" s="43">
        <f>IF(F107&gt;0,INDEX(Fish!$D:$D,MATCH(F107,Fish!$L:$L,0)),"")</f>
        <v>11009</v>
      </c>
      <c r="H107" s="43">
        <v>0</v>
      </c>
      <c r="I107" s="43">
        <v>1</v>
      </c>
      <c r="J107" s="43">
        <v>4</v>
      </c>
      <c r="K107" s="43">
        <v>6</v>
      </c>
      <c r="L107" s="43" t="s">
        <v>81</v>
      </c>
      <c r="M107" s="43">
        <f>IF(L107&gt;0,INDEX(Fish!$D:$D,MATCH(L107,Fish!$L:$L,0)),"")</f>
        <v>11010</v>
      </c>
      <c r="N107" s="43">
        <v>0</v>
      </c>
      <c r="O107" s="43">
        <v>1</v>
      </c>
      <c r="P107" s="43">
        <v>3</v>
      </c>
      <c r="Q107" s="43">
        <v>4</v>
      </c>
      <c r="R107" s="43" t="s">
        <v>95</v>
      </c>
      <c r="S107" s="43">
        <f>IF(R107&gt;0,INDEX(Fish!$D:$D,MATCH(R107,Fish!$L:$L,0)),"")</f>
        <v>11017</v>
      </c>
      <c r="T107" s="43">
        <v>0</v>
      </c>
      <c r="U107" s="43">
        <v>1</v>
      </c>
      <c r="V107" s="43">
        <v>2</v>
      </c>
      <c r="W107" s="43">
        <v>3</v>
      </c>
      <c r="X107" s="43" t="s">
        <v>97</v>
      </c>
      <c r="Y107" s="43">
        <f>IF(X107&gt;0,INDEX(Fish!$D:$D,MATCH(X107,Fish!$L:$L,0)),"")</f>
        <v>11020</v>
      </c>
      <c r="Z107" s="43">
        <v>0</v>
      </c>
      <c r="AA107" s="43">
        <v>1</v>
      </c>
      <c r="AB107" s="43">
        <v>2</v>
      </c>
      <c r="AC107" s="43">
        <v>3</v>
      </c>
      <c r="AD107" s="43" t="s">
        <v>93</v>
      </c>
      <c r="AE107" s="43">
        <f>IF(AD107&gt;0,INDEX(Fish!$D:$D,MATCH(AD107,Fish!$L:$L,0)),"")</f>
        <v>11016</v>
      </c>
      <c r="AF107" s="43">
        <v>0</v>
      </c>
      <c r="AG107" s="43">
        <v>1</v>
      </c>
      <c r="AH107" s="43">
        <v>1</v>
      </c>
      <c r="AI107" s="43">
        <v>2</v>
      </c>
    </row>
    <row r="108" spans="1:35">
      <c r="A108" s="43">
        <v>44601</v>
      </c>
      <c r="B108" s="43">
        <v>2</v>
      </c>
      <c r="C108" s="43">
        <v>0</v>
      </c>
      <c r="D108" s="43">
        <v>2</v>
      </c>
      <c r="E108" s="43">
        <v>1</v>
      </c>
      <c r="F108" s="43" t="s">
        <v>77</v>
      </c>
      <c r="G108" s="43">
        <f>IF(F108&gt;0,INDEX(Fish!$D:$D,MATCH(F108,Fish!$L:$L,0)),"")</f>
        <v>11009</v>
      </c>
      <c r="H108" s="43">
        <v>0</v>
      </c>
      <c r="I108" s="43">
        <v>1</v>
      </c>
      <c r="J108" s="43">
        <v>4</v>
      </c>
      <c r="K108" s="43">
        <v>6</v>
      </c>
      <c r="L108" s="43" t="s">
        <v>81</v>
      </c>
      <c r="M108" s="43">
        <f>IF(L108&gt;0,INDEX(Fish!$D:$D,MATCH(L108,Fish!$L:$L,0)),"")</f>
        <v>11010</v>
      </c>
      <c r="N108" s="43">
        <v>0</v>
      </c>
      <c r="O108" s="43">
        <v>1</v>
      </c>
      <c r="P108" s="43">
        <v>3</v>
      </c>
      <c r="Q108" s="43">
        <v>4</v>
      </c>
      <c r="R108" s="43" t="s">
        <v>85</v>
      </c>
      <c r="S108" s="43">
        <f>IF(R108&gt;0,INDEX(Fish!$D:$D,MATCH(R108,Fish!$L:$L,0)),"")</f>
        <v>11012</v>
      </c>
      <c r="T108" s="43">
        <v>0</v>
      </c>
      <c r="U108" s="43">
        <v>1</v>
      </c>
      <c r="V108" s="43">
        <v>2</v>
      </c>
      <c r="W108" s="43">
        <v>3</v>
      </c>
      <c r="X108" s="43" t="s">
        <v>91</v>
      </c>
      <c r="Y108" s="43">
        <f>IF(X108&gt;0,INDEX(Fish!$D:$D,MATCH(X108,Fish!$L:$L,0)),"")</f>
        <v>11015</v>
      </c>
      <c r="Z108" s="43">
        <v>0</v>
      </c>
      <c r="AA108" s="43">
        <v>1</v>
      </c>
      <c r="AB108" s="43">
        <v>2</v>
      </c>
      <c r="AC108" s="43">
        <v>3</v>
      </c>
      <c r="AD108" s="43" t="s">
        <v>87</v>
      </c>
      <c r="AE108" s="43">
        <f>IF(AD108&gt;0,INDEX(Fish!$D:$D,MATCH(AD108,Fish!$L:$L,0)),"")</f>
        <v>11013</v>
      </c>
      <c r="AF108" s="43">
        <v>0</v>
      </c>
      <c r="AG108" s="43">
        <v>1</v>
      </c>
      <c r="AH108" s="43">
        <v>1</v>
      </c>
      <c r="AI108" s="43">
        <v>2</v>
      </c>
    </row>
    <row r="109" spans="1:35">
      <c r="A109" s="43">
        <v>44601</v>
      </c>
      <c r="B109" s="43">
        <v>2</v>
      </c>
      <c r="C109" s="43">
        <v>0</v>
      </c>
      <c r="D109" s="43">
        <v>2</v>
      </c>
      <c r="E109" s="43">
        <v>1</v>
      </c>
      <c r="F109" s="43" t="s">
        <v>77</v>
      </c>
      <c r="G109" s="43">
        <f>IF(F109&gt;0,INDEX(Fish!$D:$D,MATCH(F109,Fish!$L:$L,0)),"")</f>
        <v>11009</v>
      </c>
      <c r="H109" s="43">
        <v>0</v>
      </c>
      <c r="I109" s="43">
        <v>1</v>
      </c>
      <c r="J109" s="43">
        <v>4</v>
      </c>
      <c r="K109" s="43">
        <v>6</v>
      </c>
      <c r="L109" s="43" t="s">
        <v>81</v>
      </c>
      <c r="M109" s="43">
        <f>IF(L109&gt;0,INDEX(Fish!$D:$D,MATCH(L109,Fish!$L:$L,0)),"")</f>
        <v>11010</v>
      </c>
      <c r="N109" s="43">
        <v>0</v>
      </c>
      <c r="O109" s="43">
        <v>1</v>
      </c>
      <c r="P109" s="43">
        <v>3</v>
      </c>
      <c r="Q109" s="43">
        <v>4</v>
      </c>
      <c r="R109" s="43" t="s">
        <v>85</v>
      </c>
      <c r="S109" s="43">
        <f>IF(R109&gt;0,INDEX(Fish!$D:$D,MATCH(R109,Fish!$L:$L,0)),"")</f>
        <v>11012</v>
      </c>
      <c r="T109" s="43">
        <v>0</v>
      </c>
      <c r="U109" s="43">
        <v>1</v>
      </c>
      <c r="V109" s="43">
        <v>2</v>
      </c>
      <c r="W109" s="43">
        <v>3</v>
      </c>
      <c r="X109" s="43" t="s">
        <v>91</v>
      </c>
      <c r="Y109" s="43">
        <f>IF(X109&gt;0,INDEX(Fish!$D:$D,MATCH(X109,Fish!$L:$L,0)),"")</f>
        <v>11015</v>
      </c>
      <c r="Z109" s="43">
        <v>0</v>
      </c>
      <c r="AA109" s="43">
        <v>1</v>
      </c>
      <c r="AB109" s="43">
        <v>2</v>
      </c>
      <c r="AC109" s="43">
        <v>3</v>
      </c>
      <c r="AD109" s="43" t="s">
        <v>93</v>
      </c>
      <c r="AE109" s="43">
        <f>IF(AD109&gt;0,INDEX(Fish!$D:$D,MATCH(AD109,Fish!$L:$L,0)),"")</f>
        <v>11016</v>
      </c>
      <c r="AF109" s="43">
        <v>0</v>
      </c>
      <c r="AG109" s="43">
        <v>1</v>
      </c>
      <c r="AH109" s="43">
        <v>1</v>
      </c>
      <c r="AI109" s="43">
        <v>2</v>
      </c>
    </row>
    <row r="110" spans="1:35">
      <c r="A110" s="43">
        <v>44601</v>
      </c>
      <c r="B110" s="43">
        <v>2</v>
      </c>
      <c r="C110" s="43">
        <v>0</v>
      </c>
      <c r="D110" s="43">
        <v>2</v>
      </c>
      <c r="E110" s="43">
        <v>1</v>
      </c>
      <c r="F110" s="43" t="s">
        <v>77</v>
      </c>
      <c r="G110" s="43">
        <f>IF(F110&gt;0,INDEX(Fish!$D:$D,MATCH(F110,Fish!$L:$L,0)),"")</f>
        <v>11009</v>
      </c>
      <c r="H110" s="43">
        <v>0</v>
      </c>
      <c r="I110" s="43">
        <v>1</v>
      </c>
      <c r="J110" s="43">
        <v>4</v>
      </c>
      <c r="K110" s="43">
        <v>6</v>
      </c>
      <c r="L110" s="43" t="s">
        <v>81</v>
      </c>
      <c r="M110" s="43">
        <f>IF(L110&gt;0,INDEX(Fish!$D:$D,MATCH(L110,Fish!$L:$L,0)),"")</f>
        <v>11010</v>
      </c>
      <c r="N110" s="43">
        <v>0</v>
      </c>
      <c r="O110" s="43">
        <v>1</v>
      </c>
      <c r="P110" s="43">
        <v>3</v>
      </c>
      <c r="Q110" s="43">
        <v>4</v>
      </c>
      <c r="R110" s="43" t="s">
        <v>85</v>
      </c>
      <c r="S110" s="43">
        <f>IF(R110&gt;0,INDEX(Fish!$D:$D,MATCH(R110,Fish!$L:$L,0)),"")</f>
        <v>11012</v>
      </c>
      <c r="T110" s="43">
        <v>0</v>
      </c>
      <c r="U110" s="43">
        <v>1</v>
      </c>
      <c r="V110" s="43">
        <v>2</v>
      </c>
      <c r="W110" s="43">
        <v>3</v>
      </c>
      <c r="X110" s="43" t="s">
        <v>97</v>
      </c>
      <c r="Y110" s="43">
        <f>IF(X110&gt;0,INDEX(Fish!$D:$D,MATCH(X110,Fish!$L:$L,0)),"")</f>
        <v>11020</v>
      </c>
      <c r="Z110" s="43">
        <v>0</v>
      </c>
      <c r="AA110" s="43">
        <v>1</v>
      </c>
      <c r="AB110" s="43">
        <v>2</v>
      </c>
      <c r="AC110" s="43">
        <v>3</v>
      </c>
      <c r="AD110" s="43" t="s">
        <v>87</v>
      </c>
      <c r="AE110" s="43">
        <f>IF(AD110&gt;0,INDEX(Fish!$D:$D,MATCH(AD110,Fish!$L:$L,0)),"")</f>
        <v>11013</v>
      </c>
      <c r="AF110" s="43">
        <v>0</v>
      </c>
      <c r="AG110" s="43">
        <v>1</v>
      </c>
      <c r="AH110" s="43">
        <v>1</v>
      </c>
      <c r="AI110" s="43">
        <v>2</v>
      </c>
    </row>
    <row r="111" spans="1:35">
      <c r="A111" s="43">
        <v>44601</v>
      </c>
      <c r="B111" s="43">
        <v>2</v>
      </c>
      <c r="C111" s="43">
        <v>0</v>
      </c>
      <c r="D111" s="43">
        <v>2</v>
      </c>
      <c r="E111" s="43">
        <v>1</v>
      </c>
      <c r="F111" s="43" t="s">
        <v>77</v>
      </c>
      <c r="G111" s="43">
        <f>IF(F111&gt;0,INDEX(Fish!$D:$D,MATCH(F111,Fish!$L:$L,0)),"")</f>
        <v>11009</v>
      </c>
      <c r="H111" s="43">
        <v>0</v>
      </c>
      <c r="I111" s="43">
        <v>1</v>
      </c>
      <c r="J111" s="43">
        <v>4</v>
      </c>
      <c r="K111" s="43">
        <v>6</v>
      </c>
      <c r="L111" s="43" t="s">
        <v>81</v>
      </c>
      <c r="M111" s="43">
        <f>IF(L111&gt;0,INDEX(Fish!$D:$D,MATCH(L111,Fish!$L:$L,0)),"")</f>
        <v>11010</v>
      </c>
      <c r="N111" s="43">
        <v>0</v>
      </c>
      <c r="O111" s="43">
        <v>1</v>
      </c>
      <c r="P111" s="43">
        <v>3</v>
      </c>
      <c r="Q111" s="43">
        <v>4</v>
      </c>
      <c r="R111" s="43" t="s">
        <v>85</v>
      </c>
      <c r="S111" s="43">
        <f>IF(R111&gt;0,INDEX(Fish!$D:$D,MATCH(R111,Fish!$L:$L,0)),"")</f>
        <v>11012</v>
      </c>
      <c r="T111" s="43">
        <v>0</v>
      </c>
      <c r="U111" s="43">
        <v>1</v>
      </c>
      <c r="V111" s="43">
        <v>2</v>
      </c>
      <c r="W111" s="43">
        <v>3</v>
      </c>
      <c r="X111" s="43" t="s">
        <v>97</v>
      </c>
      <c r="Y111" s="43">
        <f>IF(X111&gt;0,INDEX(Fish!$D:$D,MATCH(X111,Fish!$L:$L,0)),"")</f>
        <v>11020</v>
      </c>
      <c r="Z111" s="43">
        <v>0</v>
      </c>
      <c r="AA111" s="43">
        <v>1</v>
      </c>
      <c r="AB111" s="43">
        <v>2</v>
      </c>
      <c r="AC111" s="43">
        <v>3</v>
      </c>
      <c r="AD111" s="43" t="s">
        <v>93</v>
      </c>
      <c r="AE111" s="43">
        <f>IF(AD111&gt;0,INDEX(Fish!$D:$D,MATCH(AD111,Fish!$L:$L,0)),"")</f>
        <v>11016</v>
      </c>
      <c r="AF111" s="43">
        <v>0</v>
      </c>
      <c r="AG111" s="43">
        <v>1</v>
      </c>
      <c r="AH111" s="43">
        <v>1</v>
      </c>
      <c r="AI111" s="43">
        <v>2</v>
      </c>
    </row>
    <row r="112" spans="1:23">
      <c r="A112" s="43">
        <v>44601</v>
      </c>
      <c r="B112" s="43">
        <v>5</v>
      </c>
      <c r="C112" s="43">
        <v>0</v>
      </c>
      <c r="D112" s="43">
        <v>3</v>
      </c>
      <c r="E112" s="43">
        <v>2</v>
      </c>
      <c r="F112" s="43" t="s">
        <v>101</v>
      </c>
      <c r="G112" s="43">
        <f>IF(F112&gt;0,INDEX(Fish!$D:$D,MATCH(F112,Fish!$L:$L,0)),"")</f>
        <v>11090</v>
      </c>
      <c r="H112" s="43">
        <v>40000</v>
      </c>
      <c r="I112" s="43">
        <v>1</v>
      </c>
      <c r="J112" s="43">
        <v>1</v>
      </c>
      <c r="K112" s="43">
        <v>1</v>
      </c>
      <c r="L112" s="43" t="s">
        <v>99</v>
      </c>
      <c r="M112" s="43">
        <f>IF(L112&gt;0,INDEX(Fish!$D:$D,MATCH(L112,Fish!$L:$L,0)),"")</f>
        <v>11024</v>
      </c>
      <c r="N112" s="43">
        <v>30000</v>
      </c>
      <c r="O112" s="43">
        <v>1</v>
      </c>
      <c r="P112" s="43">
        <v>1</v>
      </c>
      <c r="Q112" s="43">
        <v>1</v>
      </c>
      <c r="R112" s="43" t="s">
        <v>103</v>
      </c>
      <c r="S112" s="43">
        <f>IF(R112&gt;0,INDEX(Fish!$D:$D,MATCH(R112,Fish!$L:$L,0)),"")</f>
        <v>11025</v>
      </c>
      <c r="T112" s="43">
        <v>30000</v>
      </c>
      <c r="U112" s="43">
        <v>1</v>
      </c>
      <c r="V112" s="43">
        <v>1</v>
      </c>
      <c r="W112" s="43">
        <v>1</v>
      </c>
    </row>
    <row r="113" spans="1:35">
      <c r="A113" s="43">
        <v>44601</v>
      </c>
      <c r="B113" s="43">
        <v>5</v>
      </c>
      <c r="C113" s="43">
        <v>0</v>
      </c>
      <c r="D113" s="43">
        <v>4</v>
      </c>
      <c r="E113" s="43">
        <v>2</v>
      </c>
      <c r="F113" s="43" t="s">
        <v>351</v>
      </c>
      <c r="G113" s="43">
        <f>IF(F113&gt;0,INDEX(Fish!$D:$D,MATCH(F113,Fish!$L:$L,0)),"")</f>
        <v>11018</v>
      </c>
      <c r="H113" s="43">
        <v>30000</v>
      </c>
      <c r="I113" s="43">
        <v>1</v>
      </c>
      <c r="J113" s="43">
        <v>0</v>
      </c>
      <c r="K113" s="43">
        <v>1</v>
      </c>
      <c r="L113" s="43" t="s">
        <v>361</v>
      </c>
      <c r="M113" s="43">
        <f>IF(L113&gt;0,INDEX(Fish!$D:$D,MATCH(L113,Fish!$L:$L,0)),"")</f>
        <v>11214</v>
      </c>
      <c r="N113" s="43">
        <v>25000</v>
      </c>
      <c r="O113" s="43">
        <v>1</v>
      </c>
      <c r="P113" s="43">
        <v>0</v>
      </c>
      <c r="Q113" s="43">
        <v>1</v>
      </c>
      <c r="R113" s="43" t="s">
        <v>355</v>
      </c>
      <c r="S113" s="43">
        <f>IF(R113&gt;0,INDEX(Fish!$D:$D,MATCH(R113,Fish!$L:$L,0)),"")</f>
        <v>11021</v>
      </c>
      <c r="T113" s="43">
        <v>20000</v>
      </c>
      <c r="U113" s="43">
        <v>1</v>
      </c>
      <c r="V113" s="43">
        <v>0</v>
      </c>
      <c r="W113" s="43">
        <v>1</v>
      </c>
      <c r="X113" s="43" t="s">
        <v>353</v>
      </c>
      <c r="Y113" s="43">
        <f>IF(X113&gt;0,INDEX(Fish!$D:$D,MATCH(X113,Fish!$L:$L,0)),"")</f>
        <v>11092</v>
      </c>
      <c r="Z113" s="43">
        <v>15000</v>
      </c>
      <c r="AA113" s="43">
        <v>1</v>
      </c>
      <c r="AB113" s="43">
        <v>1</v>
      </c>
      <c r="AC113" s="43">
        <v>2</v>
      </c>
      <c r="AD113" s="43" t="s">
        <v>357</v>
      </c>
      <c r="AE113" s="43">
        <f>IF(AD113&gt;0,INDEX(Fish!$D:$D,MATCH(AD113,Fish!$L:$L,0)),"")</f>
        <v>11026</v>
      </c>
      <c r="AF113" s="43">
        <v>10000</v>
      </c>
      <c r="AG113" s="43">
        <v>1</v>
      </c>
      <c r="AH113" s="43">
        <v>0</v>
      </c>
      <c r="AI113" s="43">
        <v>1</v>
      </c>
    </row>
    <row r="114" spans="1:35">
      <c r="A114" s="43">
        <v>44601</v>
      </c>
      <c r="B114" s="43">
        <v>5</v>
      </c>
      <c r="C114" s="43">
        <v>0</v>
      </c>
      <c r="D114" s="43">
        <v>5</v>
      </c>
      <c r="E114" s="43">
        <v>2</v>
      </c>
      <c r="F114" s="43" t="s">
        <v>121</v>
      </c>
      <c r="G114" s="43">
        <f>IF(F114&gt;0,INDEX(Fish!$D:$D,MATCH(F114,Fish!$L:$L,0)),"")</f>
        <v>14011</v>
      </c>
      <c r="H114" s="43">
        <v>0</v>
      </c>
      <c r="I114" s="43">
        <v>1</v>
      </c>
      <c r="J114" s="43">
        <v>0</v>
      </c>
      <c r="K114" s="43">
        <v>1</v>
      </c>
      <c r="L114" s="43" t="s">
        <v>123</v>
      </c>
      <c r="M114" s="43">
        <f>IF(L114&gt;0,INDEX(Fish!$D:$D,MATCH(L114,Fish!$L:$L,0)),"")</f>
        <v>14015</v>
      </c>
      <c r="N114" s="43">
        <v>35000</v>
      </c>
      <c r="O114" s="43">
        <v>1</v>
      </c>
      <c r="P114" s="43">
        <v>0</v>
      </c>
      <c r="Q114" s="43">
        <v>1</v>
      </c>
      <c r="R114" s="43" t="s">
        <v>124</v>
      </c>
      <c r="S114" s="43">
        <f>IF(R114&gt;0,INDEX(Fish!$D:$D,MATCH(R114,Fish!$L:$L,0)),"")</f>
        <v>14020</v>
      </c>
      <c r="T114" s="43">
        <v>25000</v>
      </c>
      <c r="U114" s="43">
        <v>1</v>
      </c>
      <c r="V114" s="43">
        <v>0</v>
      </c>
      <c r="W114" s="43">
        <v>1</v>
      </c>
      <c r="X114" s="43" t="s">
        <v>122</v>
      </c>
      <c r="Y114" s="43">
        <f>IF(X114&gt;0,INDEX(Fish!$D:$D,MATCH(X114,Fish!$L:$L,0)),"")</f>
        <v>14013</v>
      </c>
      <c r="Z114" s="43">
        <v>25000</v>
      </c>
      <c r="AA114" s="43">
        <v>1</v>
      </c>
      <c r="AB114" s="43">
        <v>1</v>
      </c>
      <c r="AC114" s="43">
        <v>2</v>
      </c>
      <c r="AD114" s="43" t="s">
        <v>128</v>
      </c>
      <c r="AE114" s="43">
        <f>IF(AD114&gt;0,INDEX(Fish!$D:$D,MATCH(AD114,Fish!$L:$L,0)),"")</f>
        <v>14090</v>
      </c>
      <c r="AF114" s="43">
        <v>15000</v>
      </c>
      <c r="AG114" s="43">
        <v>1</v>
      </c>
      <c r="AH114" s="43">
        <v>0</v>
      </c>
      <c r="AI114" s="43">
        <v>1</v>
      </c>
    </row>
    <row r="115" spans="1:17">
      <c r="A115" s="43">
        <v>44414</v>
      </c>
      <c r="B115" s="43">
        <v>1</v>
      </c>
      <c r="C115" s="43">
        <v>8</v>
      </c>
      <c r="D115" s="43">
        <v>1</v>
      </c>
      <c r="E115" s="43">
        <v>1</v>
      </c>
      <c r="F115" s="43" t="s">
        <v>61</v>
      </c>
      <c r="G115" s="43">
        <f>IF(F115&gt;0,INDEX(Fish!$D:$D,MATCH(F115,Fish!$L:$L,0)),"")</f>
        <v>11001</v>
      </c>
      <c r="H115" s="43">
        <v>0</v>
      </c>
      <c r="I115" s="43">
        <v>4</v>
      </c>
      <c r="J115" s="43">
        <v>20</v>
      </c>
      <c r="K115" s="43">
        <v>25</v>
      </c>
      <c r="L115" s="43" t="s">
        <v>71</v>
      </c>
      <c r="M115" s="43">
        <f>IF(L115&gt;0,INDEX(Fish!$D:$D,MATCH(L115,Fish!$L:$L,0)),"")</f>
        <v>11006</v>
      </c>
      <c r="N115" s="43">
        <v>0</v>
      </c>
      <c r="O115" s="43">
        <v>3</v>
      </c>
      <c r="P115" s="43">
        <v>15</v>
      </c>
      <c r="Q115" s="43">
        <v>20</v>
      </c>
    </row>
    <row r="116" spans="1:17">
      <c r="A116" s="43">
        <v>44414</v>
      </c>
      <c r="B116" s="43">
        <v>1</v>
      </c>
      <c r="C116" s="43">
        <v>8</v>
      </c>
      <c r="D116" s="43">
        <v>1</v>
      </c>
      <c r="E116" s="43">
        <v>1</v>
      </c>
      <c r="F116" s="43" t="s">
        <v>61</v>
      </c>
      <c r="G116" s="43">
        <f>IF(F116&gt;0,INDEX(Fish!$D:$D,MATCH(F116,Fish!$L:$L,0)),"")</f>
        <v>11001</v>
      </c>
      <c r="H116" s="43">
        <v>0</v>
      </c>
      <c r="I116" s="43">
        <v>4</v>
      </c>
      <c r="J116" s="43">
        <v>20</v>
      </c>
      <c r="K116" s="43">
        <v>25</v>
      </c>
      <c r="L116" s="43" t="s">
        <v>65</v>
      </c>
      <c r="M116" s="43">
        <f>IF(L116&gt;0,INDEX(Fish!$D:$D,MATCH(L116,Fish!$L:$L,0)),"")</f>
        <v>11003</v>
      </c>
      <c r="N116" s="43">
        <v>0</v>
      </c>
      <c r="O116" s="43">
        <v>3</v>
      </c>
      <c r="P116" s="43">
        <v>15</v>
      </c>
      <c r="Q116" s="43">
        <v>20</v>
      </c>
    </row>
    <row r="117" spans="1:17">
      <c r="A117" s="43">
        <v>44414</v>
      </c>
      <c r="B117" s="43">
        <v>1</v>
      </c>
      <c r="C117" s="43">
        <v>8</v>
      </c>
      <c r="D117" s="43">
        <v>1</v>
      </c>
      <c r="E117" s="43">
        <v>1</v>
      </c>
      <c r="F117" s="43" t="s">
        <v>61</v>
      </c>
      <c r="G117" s="43">
        <f>IF(F117&gt;0,INDEX(Fish!$D:$D,MATCH(F117,Fish!$L:$L,0)),"")</f>
        <v>11001</v>
      </c>
      <c r="H117" s="43">
        <v>0</v>
      </c>
      <c r="I117" s="43">
        <v>4</v>
      </c>
      <c r="J117" s="43">
        <v>20</v>
      </c>
      <c r="K117" s="43">
        <v>25</v>
      </c>
      <c r="L117" s="43" t="s">
        <v>73</v>
      </c>
      <c r="M117" s="43">
        <f>IF(L117&gt;0,INDEX(Fish!$D:$D,MATCH(L117,Fish!$L:$L,0)),"")</f>
        <v>11007</v>
      </c>
      <c r="N117" s="43">
        <v>0</v>
      </c>
      <c r="O117" s="43">
        <v>3</v>
      </c>
      <c r="P117" s="43">
        <v>15</v>
      </c>
      <c r="Q117" s="43">
        <v>20</v>
      </c>
    </row>
    <row r="118" spans="1:17">
      <c r="A118" s="43">
        <v>44414</v>
      </c>
      <c r="B118" s="43">
        <v>1</v>
      </c>
      <c r="C118" s="43">
        <v>8</v>
      </c>
      <c r="D118" s="43">
        <v>1</v>
      </c>
      <c r="E118" s="43">
        <v>1</v>
      </c>
      <c r="F118" s="43" t="s">
        <v>61</v>
      </c>
      <c r="G118" s="43">
        <f>IF(F118&gt;0,INDEX(Fish!$D:$D,MATCH(F118,Fish!$L:$L,0)),"")</f>
        <v>11001</v>
      </c>
      <c r="H118" s="43">
        <v>0</v>
      </c>
      <c r="I118" s="43">
        <v>4</v>
      </c>
      <c r="J118" s="43">
        <v>20</v>
      </c>
      <c r="K118" s="43">
        <v>25</v>
      </c>
      <c r="L118" s="43" t="s">
        <v>79</v>
      </c>
      <c r="M118" s="43">
        <f>IF(L118&gt;0,INDEX(Fish!$D:$D,MATCH(L118,Fish!$L:$L,0)),"")</f>
        <v>11085</v>
      </c>
      <c r="N118" s="43">
        <v>0</v>
      </c>
      <c r="O118" s="43">
        <v>3</v>
      </c>
      <c r="P118" s="43">
        <v>15</v>
      </c>
      <c r="Q118" s="43">
        <v>20</v>
      </c>
    </row>
    <row r="119" spans="1:17">
      <c r="A119" s="43">
        <v>44414</v>
      </c>
      <c r="B119" s="43">
        <v>1</v>
      </c>
      <c r="C119" s="43">
        <v>8</v>
      </c>
      <c r="D119" s="43">
        <v>1</v>
      </c>
      <c r="E119" s="43">
        <v>1</v>
      </c>
      <c r="F119" s="43" t="s">
        <v>61</v>
      </c>
      <c r="G119" s="43">
        <f>IF(F119&gt;0,INDEX(Fish!$D:$D,MATCH(F119,Fish!$L:$L,0)),"")</f>
        <v>11001</v>
      </c>
      <c r="H119" s="43">
        <v>0</v>
      </c>
      <c r="I119" s="43">
        <v>4</v>
      </c>
      <c r="J119" s="43">
        <v>20</v>
      </c>
      <c r="K119" s="43">
        <v>25</v>
      </c>
      <c r="L119" s="43" t="s">
        <v>67</v>
      </c>
      <c r="M119" s="43">
        <f>IF(L119&gt;0,INDEX(Fish!$D:$D,MATCH(L119,Fish!$L:$L,0)),"")</f>
        <v>11004</v>
      </c>
      <c r="N119" s="43">
        <v>0</v>
      </c>
      <c r="O119" s="43">
        <v>3</v>
      </c>
      <c r="P119" s="43">
        <v>15</v>
      </c>
      <c r="Q119" s="43">
        <v>20</v>
      </c>
    </row>
    <row r="120" spans="1:17">
      <c r="A120" s="43">
        <v>44414</v>
      </c>
      <c r="B120" s="43">
        <v>1</v>
      </c>
      <c r="C120" s="43">
        <v>8</v>
      </c>
      <c r="D120" s="43">
        <v>1</v>
      </c>
      <c r="E120" s="43">
        <v>1</v>
      </c>
      <c r="F120" s="43" t="s">
        <v>63</v>
      </c>
      <c r="G120" s="43">
        <f>IF(F120&gt;0,INDEX(Fish!$D:$D,MATCH(F120,Fish!$L:$L,0)),"")</f>
        <v>11002</v>
      </c>
      <c r="H120" s="43">
        <v>0</v>
      </c>
      <c r="I120" s="43">
        <v>4</v>
      </c>
      <c r="J120" s="43">
        <v>20</v>
      </c>
      <c r="K120" s="43">
        <v>25</v>
      </c>
      <c r="L120" s="43" t="s">
        <v>71</v>
      </c>
      <c r="M120" s="43">
        <f>IF(L120&gt;0,INDEX(Fish!$D:$D,MATCH(L120,Fish!$L:$L,0)),"")</f>
        <v>11006</v>
      </c>
      <c r="N120" s="43">
        <v>0</v>
      </c>
      <c r="O120" s="43">
        <v>3</v>
      </c>
      <c r="P120" s="43">
        <v>15</v>
      </c>
      <c r="Q120" s="43">
        <v>20</v>
      </c>
    </row>
    <row r="121" spans="1:17">
      <c r="A121" s="43">
        <v>44414</v>
      </c>
      <c r="B121" s="43">
        <v>1</v>
      </c>
      <c r="C121" s="43">
        <v>8</v>
      </c>
      <c r="D121" s="43">
        <v>1</v>
      </c>
      <c r="E121" s="43">
        <v>1</v>
      </c>
      <c r="F121" s="43" t="s">
        <v>63</v>
      </c>
      <c r="G121" s="43">
        <f>IF(F121&gt;0,INDEX(Fish!$D:$D,MATCH(F121,Fish!$L:$L,0)),"")</f>
        <v>11002</v>
      </c>
      <c r="H121" s="43">
        <v>0</v>
      </c>
      <c r="I121" s="43">
        <v>4</v>
      </c>
      <c r="J121" s="43">
        <v>20</v>
      </c>
      <c r="K121" s="43">
        <v>25</v>
      </c>
      <c r="L121" s="43" t="s">
        <v>65</v>
      </c>
      <c r="M121" s="43">
        <f>IF(L121&gt;0,INDEX(Fish!$D:$D,MATCH(L121,Fish!$L:$L,0)),"")</f>
        <v>11003</v>
      </c>
      <c r="N121" s="43">
        <v>0</v>
      </c>
      <c r="O121" s="43">
        <v>3</v>
      </c>
      <c r="P121" s="43">
        <v>15</v>
      </c>
      <c r="Q121" s="43">
        <v>20</v>
      </c>
    </row>
    <row r="122" spans="1:17">
      <c r="A122" s="43">
        <v>44414</v>
      </c>
      <c r="B122" s="43">
        <v>1</v>
      </c>
      <c r="C122" s="43">
        <v>8</v>
      </c>
      <c r="D122" s="43">
        <v>1</v>
      </c>
      <c r="E122" s="43">
        <v>1</v>
      </c>
      <c r="F122" s="43" t="s">
        <v>63</v>
      </c>
      <c r="G122" s="43">
        <f>IF(F122&gt;0,INDEX(Fish!$D:$D,MATCH(F122,Fish!$L:$L,0)),"")</f>
        <v>11002</v>
      </c>
      <c r="H122" s="43">
        <v>0</v>
      </c>
      <c r="I122" s="43">
        <v>4</v>
      </c>
      <c r="J122" s="43">
        <v>20</v>
      </c>
      <c r="K122" s="43">
        <v>25</v>
      </c>
      <c r="L122" s="43" t="s">
        <v>73</v>
      </c>
      <c r="M122" s="43">
        <f>IF(L122&gt;0,INDEX(Fish!$D:$D,MATCH(L122,Fish!$L:$L,0)),"")</f>
        <v>11007</v>
      </c>
      <c r="N122" s="43">
        <v>0</v>
      </c>
      <c r="O122" s="43">
        <v>3</v>
      </c>
      <c r="P122" s="43">
        <v>15</v>
      </c>
      <c r="Q122" s="43">
        <v>20</v>
      </c>
    </row>
    <row r="123" spans="1:17">
      <c r="A123" s="43">
        <v>44414</v>
      </c>
      <c r="B123" s="43">
        <v>1</v>
      </c>
      <c r="C123" s="43">
        <v>8</v>
      </c>
      <c r="D123" s="43">
        <v>1</v>
      </c>
      <c r="E123" s="43">
        <v>1</v>
      </c>
      <c r="F123" s="43" t="s">
        <v>63</v>
      </c>
      <c r="G123" s="43">
        <f>IF(F123&gt;0,INDEX(Fish!$D:$D,MATCH(F123,Fish!$L:$L,0)),"")</f>
        <v>11002</v>
      </c>
      <c r="H123" s="43">
        <v>0</v>
      </c>
      <c r="I123" s="43">
        <v>4</v>
      </c>
      <c r="J123" s="43">
        <v>20</v>
      </c>
      <c r="K123" s="43">
        <v>25</v>
      </c>
      <c r="L123" s="43" t="s">
        <v>79</v>
      </c>
      <c r="M123" s="43">
        <f>IF(L123&gt;0,INDEX(Fish!$D:$D,MATCH(L123,Fish!$L:$L,0)),"")</f>
        <v>11085</v>
      </c>
      <c r="N123" s="43">
        <v>0</v>
      </c>
      <c r="O123" s="43">
        <v>3</v>
      </c>
      <c r="P123" s="43">
        <v>15</v>
      </c>
      <c r="Q123" s="43">
        <v>20</v>
      </c>
    </row>
    <row r="124" spans="1:17">
      <c r="A124" s="43">
        <v>44414</v>
      </c>
      <c r="B124" s="43">
        <v>1</v>
      </c>
      <c r="C124" s="43">
        <v>8</v>
      </c>
      <c r="D124" s="43">
        <v>1</v>
      </c>
      <c r="E124" s="43">
        <v>1</v>
      </c>
      <c r="F124" s="43" t="s">
        <v>63</v>
      </c>
      <c r="G124" s="43">
        <f>IF(F124&gt;0,INDEX(Fish!$D:$D,MATCH(F124,Fish!$L:$L,0)),"")</f>
        <v>11002</v>
      </c>
      <c r="H124" s="43">
        <v>0</v>
      </c>
      <c r="I124" s="43">
        <v>4</v>
      </c>
      <c r="J124" s="43">
        <v>20</v>
      </c>
      <c r="K124" s="43">
        <v>25</v>
      </c>
      <c r="L124" s="43" t="s">
        <v>67</v>
      </c>
      <c r="M124" s="43">
        <f>IF(L124&gt;0,INDEX(Fish!$D:$D,MATCH(L124,Fish!$L:$L,0)),"")</f>
        <v>11004</v>
      </c>
      <c r="N124" s="43">
        <v>0</v>
      </c>
      <c r="O124" s="43">
        <v>3</v>
      </c>
      <c r="P124" s="43">
        <v>15</v>
      </c>
      <c r="Q124" s="43">
        <v>20</v>
      </c>
    </row>
    <row r="125" spans="1:29">
      <c r="A125" s="43">
        <v>44414</v>
      </c>
      <c r="B125" s="43">
        <v>2</v>
      </c>
      <c r="C125" s="43">
        <v>0</v>
      </c>
      <c r="D125" s="43">
        <v>2</v>
      </c>
      <c r="E125" s="43">
        <v>1</v>
      </c>
      <c r="F125" s="43" t="s">
        <v>75</v>
      </c>
      <c r="G125" s="43">
        <f>IF(F125&gt;0,INDEX(Fish!$D:$D,MATCH(F125,Fish!$L:$L,0)),"")</f>
        <v>11008</v>
      </c>
      <c r="H125" s="43">
        <v>0</v>
      </c>
      <c r="I125" s="43">
        <v>1</v>
      </c>
      <c r="J125" s="43">
        <v>5</v>
      </c>
      <c r="K125" s="43">
        <v>6</v>
      </c>
      <c r="L125" s="43" t="s">
        <v>81</v>
      </c>
      <c r="M125" s="43">
        <f>IF(L125&gt;0,INDEX(Fish!$D:$D,MATCH(L125,Fish!$L:$L,0)),"")</f>
        <v>11010</v>
      </c>
      <c r="N125" s="43">
        <v>0</v>
      </c>
      <c r="O125" s="43">
        <v>1</v>
      </c>
      <c r="P125" s="43">
        <v>3</v>
      </c>
      <c r="Q125" s="43">
        <v>5</v>
      </c>
      <c r="R125" s="43" t="s">
        <v>85</v>
      </c>
      <c r="S125" s="43">
        <f>IF(R125&gt;0,INDEX(Fish!$D:$D,MATCH(R125,Fish!$L:$L,0)),"")</f>
        <v>11012</v>
      </c>
      <c r="T125" s="43">
        <v>0</v>
      </c>
      <c r="U125" s="43">
        <v>1</v>
      </c>
      <c r="V125" s="43">
        <v>2</v>
      </c>
      <c r="W125" s="43">
        <v>4</v>
      </c>
      <c r="X125" s="43" t="s">
        <v>87</v>
      </c>
      <c r="Y125" s="43">
        <f>IF(X125&gt;0,INDEX(Fish!$D:$D,MATCH(X125,Fish!$L:$L,0)),"")</f>
        <v>11013</v>
      </c>
      <c r="Z125" s="43">
        <v>0</v>
      </c>
      <c r="AA125" s="43">
        <v>1</v>
      </c>
      <c r="AB125" s="43">
        <v>2</v>
      </c>
      <c r="AC125" s="43">
        <v>3</v>
      </c>
    </row>
    <row r="126" spans="1:29">
      <c r="A126" s="43">
        <v>44414</v>
      </c>
      <c r="B126" s="43">
        <v>2</v>
      </c>
      <c r="C126" s="43">
        <v>0</v>
      </c>
      <c r="D126" s="43">
        <v>2</v>
      </c>
      <c r="E126" s="43">
        <v>1</v>
      </c>
      <c r="F126" s="43" t="s">
        <v>75</v>
      </c>
      <c r="G126" s="43">
        <f>IF(F126&gt;0,INDEX(Fish!$D:$D,MATCH(F126,Fish!$L:$L,0)),"")</f>
        <v>11008</v>
      </c>
      <c r="H126" s="43">
        <v>0</v>
      </c>
      <c r="I126" s="43">
        <v>1</v>
      </c>
      <c r="J126" s="43">
        <v>5</v>
      </c>
      <c r="K126" s="43">
        <v>6</v>
      </c>
      <c r="L126" s="43" t="s">
        <v>81</v>
      </c>
      <c r="M126" s="43">
        <f>IF(L126&gt;0,INDEX(Fish!$D:$D,MATCH(L126,Fish!$L:$L,0)),"")</f>
        <v>11010</v>
      </c>
      <c r="N126" s="43">
        <v>0</v>
      </c>
      <c r="O126" s="43">
        <v>1</v>
      </c>
      <c r="P126" s="43">
        <v>3</v>
      </c>
      <c r="Q126" s="43">
        <v>5</v>
      </c>
      <c r="R126" s="43" t="s">
        <v>85</v>
      </c>
      <c r="S126" s="43">
        <f>IF(R126&gt;0,INDEX(Fish!$D:$D,MATCH(R126,Fish!$L:$L,0)),"")</f>
        <v>11012</v>
      </c>
      <c r="T126" s="43">
        <v>0</v>
      </c>
      <c r="U126" s="43">
        <v>1</v>
      </c>
      <c r="V126" s="43">
        <v>2</v>
      </c>
      <c r="W126" s="43">
        <v>4</v>
      </c>
      <c r="X126" s="43" t="s">
        <v>93</v>
      </c>
      <c r="Y126" s="43">
        <f>IF(X126&gt;0,INDEX(Fish!$D:$D,MATCH(X126,Fish!$L:$L,0)),"")</f>
        <v>11016</v>
      </c>
      <c r="Z126" s="43">
        <v>0</v>
      </c>
      <c r="AA126" s="43">
        <v>1</v>
      </c>
      <c r="AB126" s="43">
        <v>2</v>
      </c>
      <c r="AC126" s="43">
        <v>3</v>
      </c>
    </row>
    <row r="127" spans="1:29">
      <c r="A127" s="43">
        <v>44414</v>
      </c>
      <c r="B127" s="43">
        <v>2</v>
      </c>
      <c r="C127" s="43">
        <v>0</v>
      </c>
      <c r="D127" s="43">
        <v>2</v>
      </c>
      <c r="E127" s="43">
        <v>1</v>
      </c>
      <c r="F127" s="43" t="s">
        <v>75</v>
      </c>
      <c r="G127" s="43">
        <f>IF(F127&gt;0,INDEX(Fish!$D:$D,MATCH(F127,Fish!$L:$L,0)),"")</f>
        <v>11008</v>
      </c>
      <c r="H127" s="43">
        <v>0</v>
      </c>
      <c r="I127" s="43">
        <v>1</v>
      </c>
      <c r="J127" s="43">
        <v>5</v>
      </c>
      <c r="K127" s="43">
        <v>6</v>
      </c>
      <c r="L127" s="43" t="s">
        <v>81</v>
      </c>
      <c r="M127" s="43">
        <f>IF(L127&gt;0,INDEX(Fish!$D:$D,MATCH(L127,Fish!$L:$L,0)),"")</f>
        <v>11010</v>
      </c>
      <c r="N127" s="43">
        <v>0</v>
      </c>
      <c r="O127" s="43">
        <v>1</v>
      </c>
      <c r="P127" s="43">
        <v>3</v>
      </c>
      <c r="Q127" s="43">
        <v>5</v>
      </c>
      <c r="R127" s="43" t="s">
        <v>85</v>
      </c>
      <c r="S127" s="43">
        <f>IF(R127&gt;0,INDEX(Fish!$D:$D,MATCH(R127,Fish!$L:$L,0)),"")</f>
        <v>11012</v>
      </c>
      <c r="T127" s="43">
        <v>0</v>
      </c>
      <c r="U127" s="43">
        <v>1</v>
      </c>
      <c r="V127" s="43">
        <v>2</v>
      </c>
      <c r="W127" s="43">
        <v>4</v>
      </c>
      <c r="X127" s="43" t="s">
        <v>89</v>
      </c>
      <c r="Y127" s="43">
        <f>IF(X127&gt;0,INDEX(Fish!$D:$D,MATCH(X127,Fish!$L:$L,0)),"")</f>
        <v>11235</v>
      </c>
      <c r="Z127" s="43">
        <v>0</v>
      </c>
      <c r="AA127" s="43">
        <v>1</v>
      </c>
      <c r="AB127" s="43">
        <v>2</v>
      </c>
      <c r="AC127" s="43">
        <v>3</v>
      </c>
    </row>
    <row r="128" spans="1:29">
      <c r="A128" s="43">
        <v>44414</v>
      </c>
      <c r="B128" s="43">
        <v>2</v>
      </c>
      <c r="C128" s="43">
        <v>0</v>
      </c>
      <c r="D128" s="43">
        <v>2</v>
      </c>
      <c r="E128" s="43">
        <v>1</v>
      </c>
      <c r="F128" s="43" t="s">
        <v>75</v>
      </c>
      <c r="G128" s="43">
        <f>IF(F128&gt;0,INDEX(Fish!$D:$D,MATCH(F128,Fish!$L:$L,0)),"")</f>
        <v>11008</v>
      </c>
      <c r="H128" s="43">
        <v>0</v>
      </c>
      <c r="I128" s="43">
        <v>1</v>
      </c>
      <c r="J128" s="43">
        <v>5</v>
      </c>
      <c r="K128" s="43">
        <v>6</v>
      </c>
      <c r="L128" s="43" t="s">
        <v>81</v>
      </c>
      <c r="M128" s="43">
        <f>IF(L128&gt;0,INDEX(Fish!$D:$D,MATCH(L128,Fish!$L:$L,0)),"")</f>
        <v>11010</v>
      </c>
      <c r="N128" s="43">
        <v>0</v>
      </c>
      <c r="O128" s="43">
        <v>1</v>
      </c>
      <c r="P128" s="43">
        <v>3</v>
      </c>
      <c r="Q128" s="43">
        <v>5</v>
      </c>
      <c r="R128" s="43" t="s">
        <v>91</v>
      </c>
      <c r="S128" s="43">
        <f>IF(R128&gt;0,INDEX(Fish!$D:$D,MATCH(R128,Fish!$L:$L,0)),"")</f>
        <v>11015</v>
      </c>
      <c r="T128" s="43">
        <v>0</v>
      </c>
      <c r="U128" s="43">
        <v>1</v>
      </c>
      <c r="V128" s="43">
        <v>2</v>
      </c>
      <c r="W128" s="43">
        <v>4</v>
      </c>
      <c r="X128" s="43" t="s">
        <v>87</v>
      </c>
      <c r="Y128" s="43">
        <f>IF(X128&gt;0,INDEX(Fish!$D:$D,MATCH(X128,Fish!$L:$L,0)),"")</f>
        <v>11013</v>
      </c>
      <c r="Z128" s="43">
        <v>0</v>
      </c>
      <c r="AA128" s="43">
        <v>1</v>
      </c>
      <c r="AB128" s="43">
        <v>2</v>
      </c>
      <c r="AC128" s="43">
        <v>3</v>
      </c>
    </row>
    <row r="129" spans="1:29">
      <c r="A129" s="43">
        <v>44414</v>
      </c>
      <c r="B129" s="43">
        <v>2</v>
      </c>
      <c r="C129" s="43">
        <v>0</v>
      </c>
      <c r="D129" s="43">
        <v>2</v>
      </c>
      <c r="E129" s="43">
        <v>1</v>
      </c>
      <c r="F129" s="43" t="s">
        <v>75</v>
      </c>
      <c r="G129" s="43">
        <f>IF(F129&gt;0,INDEX(Fish!$D:$D,MATCH(F129,Fish!$L:$L,0)),"")</f>
        <v>11008</v>
      </c>
      <c r="H129" s="43">
        <v>0</v>
      </c>
      <c r="I129" s="43">
        <v>1</v>
      </c>
      <c r="J129" s="43">
        <v>5</v>
      </c>
      <c r="K129" s="43">
        <v>6</v>
      </c>
      <c r="L129" s="43" t="s">
        <v>81</v>
      </c>
      <c r="M129" s="43">
        <f>IF(L129&gt;0,INDEX(Fish!$D:$D,MATCH(L129,Fish!$L:$L,0)),"")</f>
        <v>11010</v>
      </c>
      <c r="N129" s="43">
        <v>0</v>
      </c>
      <c r="O129" s="43">
        <v>1</v>
      </c>
      <c r="P129" s="43">
        <v>3</v>
      </c>
      <c r="Q129" s="43">
        <v>5</v>
      </c>
      <c r="R129" s="43" t="s">
        <v>91</v>
      </c>
      <c r="S129" s="43">
        <f>IF(R129&gt;0,INDEX(Fish!$D:$D,MATCH(R129,Fish!$L:$L,0)),"")</f>
        <v>11015</v>
      </c>
      <c r="T129" s="43">
        <v>0</v>
      </c>
      <c r="U129" s="43">
        <v>1</v>
      </c>
      <c r="V129" s="43">
        <v>2</v>
      </c>
      <c r="W129" s="43">
        <v>4</v>
      </c>
      <c r="X129" s="43" t="s">
        <v>93</v>
      </c>
      <c r="Y129" s="43">
        <f>IF(X129&gt;0,INDEX(Fish!$D:$D,MATCH(X129,Fish!$L:$L,0)),"")</f>
        <v>11016</v>
      </c>
      <c r="Z129" s="43">
        <v>0</v>
      </c>
      <c r="AA129" s="43">
        <v>1</v>
      </c>
      <c r="AB129" s="43">
        <v>2</v>
      </c>
      <c r="AC129" s="43">
        <v>3</v>
      </c>
    </row>
    <row r="130" spans="1:29">
      <c r="A130" s="43">
        <v>44414</v>
      </c>
      <c r="B130" s="43">
        <v>2</v>
      </c>
      <c r="C130" s="43">
        <v>0</v>
      </c>
      <c r="D130" s="43">
        <v>2</v>
      </c>
      <c r="E130" s="43">
        <v>1</v>
      </c>
      <c r="F130" s="43" t="s">
        <v>75</v>
      </c>
      <c r="G130" s="43">
        <f>IF(F130&gt;0,INDEX(Fish!$D:$D,MATCH(F130,Fish!$L:$L,0)),"")</f>
        <v>11008</v>
      </c>
      <c r="H130" s="43">
        <v>0</v>
      </c>
      <c r="I130" s="43">
        <v>1</v>
      </c>
      <c r="J130" s="43">
        <v>5</v>
      </c>
      <c r="K130" s="43">
        <v>6</v>
      </c>
      <c r="L130" s="43" t="s">
        <v>81</v>
      </c>
      <c r="M130" s="43">
        <f>IF(L130&gt;0,INDEX(Fish!$D:$D,MATCH(L130,Fish!$L:$L,0)),"")</f>
        <v>11010</v>
      </c>
      <c r="N130" s="43">
        <v>0</v>
      </c>
      <c r="O130" s="43">
        <v>1</v>
      </c>
      <c r="P130" s="43">
        <v>3</v>
      </c>
      <c r="Q130" s="43">
        <v>5</v>
      </c>
      <c r="R130" s="43" t="s">
        <v>91</v>
      </c>
      <c r="S130" s="43">
        <f>IF(R130&gt;0,INDEX(Fish!$D:$D,MATCH(R130,Fish!$L:$L,0)),"")</f>
        <v>11015</v>
      </c>
      <c r="T130" s="43">
        <v>0</v>
      </c>
      <c r="U130" s="43">
        <v>1</v>
      </c>
      <c r="V130" s="43">
        <v>2</v>
      </c>
      <c r="W130" s="43">
        <v>4</v>
      </c>
      <c r="X130" s="43" t="s">
        <v>89</v>
      </c>
      <c r="Y130" s="43">
        <f>IF(X130&gt;0,INDEX(Fish!$D:$D,MATCH(X130,Fish!$L:$L,0)),"")</f>
        <v>11235</v>
      </c>
      <c r="Z130" s="43">
        <v>0</v>
      </c>
      <c r="AA130" s="43">
        <v>1</v>
      </c>
      <c r="AB130" s="43">
        <v>2</v>
      </c>
      <c r="AC130" s="43">
        <v>3</v>
      </c>
    </row>
    <row r="131" spans="1:29">
      <c r="A131" s="43">
        <v>44414</v>
      </c>
      <c r="B131" s="43">
        <v>2</v>
      </c>
      <c r="C131" s="43">
        <v>0</v>
      </c>
      <c r="D131" s="43">
        <v>2</v>
      </c>
      <c r="E131" s="43">
        <v>1</v>
      </c>
      <c r="F131" s="43" t="s">
        <v>75</v>
      </c>
      <c r="G131" s="43">
        <f>IF(F131&gt;0,INDEX(Fish!$D:$D,MATCH(F131,Fish!$L:$L,0)),"")</f>
        <v>11008</v>
      </c>
      <c r="H131" s="43">
        <v>0</v>
      </c>
      <c r="I131" s="43">
        <v>1</v>
      </c>
      <c r="J131" s="43">
        <v>5</v>
      </c>
      <c r="K131" s="43">
        <v>6</v>
      </c>
      <c r="L131" s="43" t="s">
        <v>95</v>
      </c>
      <c r="M131" s="43">
        <f>IF(L131&gt;0,INDEX(Fish!$D:$D,MATCH(L131,Fish!$L:$L,0)),"")</f>
        <v>11017</v>
      </c>
      <c r="N131" s="43">
        <v>0</v>
      </c>
      <c r="O131" s="43">
        <v>1</v>
      </c>
      <c r="P131" s="43">
        <v>3</v>
      </c>
      <c r="Q131" s="43">
        <v>5</v>
      </c>
      <c r="R131" s="43" t="s">
        <v>85</v>
      </c>
      <c r="S131" s="43">
        <f>IF(R131&gt;0,INDEX(Fish!$D:$D,MATCH(R131,Fish!$L:$L,0)),"")</f>
        <v>11012</v>
      </c>
      <c r="T131" s="43">
        <v>0</v>
      </c>
      <c r="U131" s="43">
        <v>1</v>
      </c>
      <c r="V131" s="43">
        <v>2</v>
      </c>
      <c r="W131" s="43">
        <v>4</v>
      </c>
      <c r="X131" s="43" t="s">
        <v>87</v>
      </c>
      <c r="Y131" s="43">
        <f>IF(X131&gt;0,INDEX(Fish!$D:$D,MATCH(X131,Fish!$L:$L,0)),"")</f>
        <v>11013</v>
      </c>
      <c r="Z131" s="43">
        <v>0</v>
      </c>
      <c r="AA131" s="43">
        <v>1</v>
      </c>
      <c r="AB131" s="43">
        <v>2</v>
      </c>
      <c r="AC131" s="43">
        <v>3</v>
      </c>
    </row>
    <row r="132" spans="1:29">
      <c r="A132" s="43">
        <v>44414</v>
      </c>
      <c r="B132" s="43">
        <v>2</v>
      </c>
      <c r="C132" s="43">
        <v>0</v>
      </c>
      <c r="D132" s="43">
        <v>2</v>
      </c>
      <c r="E132" s="43">
        <v>1</v>
      </c>
      <c r="F132" s="43" t="s">
        <v>75</v>
      </c>
      <c r="G132" s="43">
        <f>IF(F132&gt;0,INDEX(Fish!$D:$D,MATCH(F132,Fish!$L:$L,0)),"")</f>
        <v>11008</v>
      </c>
      <c r="H132" s="43">
        <v>0</v>
      </c>
      <c r="I132" s="43">
        <v>1</v>
      </c>
      <c r="J132" s="43">
        <v>5</v>
      </c>
      <c r="K132" s="43">
        <v>6</v>
      </c>
      <c r="L132" s="43" t="s">
        <v>95</v>
      </c>
      <c r="M132" s="43">
        <f>IF(L132&gt;0,INDEX(Fish!$D:$D,MATCH(L132,Fish!$L:$L,0)),"")</f>
        <v>11017</v>
      </c>
      <c r="N132" s="43">
        <v>0</v>
      </c>
      <c r="O132" s="43">
        <v>1</v>
      </c>
      <c r="P132" s="43">
        <v>3</v>
      </c>
      <c r="Q132" s="43">
        <v>5</v>
      </c>
      <c r="R132" s="43" t="s">
        <v>85</v>
      </c>
      <c r="S132" s="43">
        <f>IF(R132&gt;0,INDEX(Fish!$D:$D,MATCH(R132,Fish!$L:$L,0)),"")</f>
        <v>11012</v>
      </c>
      <c r="T132" s="43">
        <v>0</v>
      </c>
      <c r="U132" s="43">
        <v>1</v>
      </c>
      <c r="V132" s="43">
        <v>2</v>
      </c>
      <c r="W132" s="43">
        <v>4</v>
      </c>
      <c r="X132" s="43" t="s">
        <v>93</v>
      </c>
      <c r="Y132" s="43">
        <f>IF(X132&gt;0,INDEX(Fish!$D:$D,MATCH(X132,Fish!$L:$L,0)),"")</f>
        <v>11016</v>
      </c>
      <c r="Z132" s="43">
        <v>0</v>
      </c>
      <c r="AA132" s="43">
        <v>1</v>
      </c>
      <c r="AB132" s="43">
        <v>2</v>
      </c>
      <c r="AC132" s="43">
        <v>3</v>
      </c>
    </row>
    <row r="133" spans="1:29">
      <c r="A133" s="43">
        <v>44414</v>
      </c>
      <c r="B133" s="43">
        <v>2</v>
      </c>
      <c r="C133" s="43">
        <v>0</v>
      </c>
      <c r="D133" s="43">
        <v>2</v>
      </c>
      <c r="E133" s="43">
        <v>1</v>
      </c>
      <c r="F133" s="43" t="s">
        <v>75</v>
      </c>
      <c r="G133" s="43">
        <f>IF(F133&gt;0,INDEX(Fish!$D:$D,MATCH(F133,Fish!$L:$L,0)),"")</f>
        <v>11008</v>
      </c>
      <c r="H133" s="43">
        <v>0</v>
      </c>
      <c r="I133" s="43">
        <v>1</v>
      </c>
      <c r="J133" s="43">
        <v>5</v>
      </c>
      <c r="K133" s="43">
        <v>6</v>
      </c>
      <c r="L133" s="43" t="s">
        <v>95</v>
      </c>
      <c r="M133" s="43">
        <f>IF(L133&gt;0,INDEX(Fish!$D:$D,MATCH(L133,Fish!$L:$L,0)),"")</f>
        <v>11017</v>
      </c>
      <c r="N133" s="43">
        <v>0</v>
      </c>
      <c r="O133" s="43">
        <v>1</v>
      </c>
      <c r="P133" s="43">
        <v>3</v>
      </c>
      <c r="Q133" s="43">
        <v>5</v>
      </c>
      <c r="R133" s="43" t="s">
        <v>85</v>
      </c>
      <c r="S133" s="43">
        <f>IF(R133&gt;0,INDEX(Fish!$D:$D,MATCH(R133,Fish!$L:$L,0)),"")</f>
        <v>11012</v>
      </c>
      <c r="T133" s="43">
        <v>0</v>
      </c>
      <c r="U133" s="43">
        <v>1</v>
      </c>
      <c r="V133" s="43">
        <v>2</v>
      </c>
      <c r="W133" s="43">
        <v>4</v>
      </c>
      <c r="X133" s="43" t="s">
        <v>89</v>
      </c>
      <c r="Y133" s="43">
        <f>IF(X133&gt;0,INDEX(Fish!$D:$D,MATCH(X133,Fish!$L:$L,0)),"")</f>
        <v>11235</v>
      </c>
      <c r="Z133" s="43">
        <v>0</v>
      </c>
      <c r="AA133" s="43">
        <v>1</v>
      </c>
      <c r="AB133" s="43">
        <v>2</v>
      </c>
      <c r="AC133" s="43">
        <v>3</v>
      </c>
    </row>
    <row r="134" spans="1:29">
      <c r="A134" s="43">
        <v>44414</v>
      </c>
      <c r="B134" s="43">
        <v>2</v>
      </c>
      <c r="C134" s="43">
        <v>0</v>
      </c>
      <c r="D134" s="43">
        <v>2</v>
      </c>
      <c r="E134" s="43">
        <v>1</v>
      </c>
      <c r="F134" s="43" t="s">
        <v>75</v>
      </c>
      <c r="G134" s="43">
        <f>IF(F134&gt;0,INDEX(Fish!$D:$D,MATCH(F134,Fish!$L:$L,0)),"")</f>
        <v>11008</v>
      </c>
      <c r="H134" s="43">
        <v>0</v>
      </c>
      <c r="I134" s="43">
        <v>1</v>
      </c>
      <c r="J134" s="43">
        <v>5</v>
      </c>
      <c r="K134" s="43">
        <v>6</v>
      </c>
      <c r="L134" s="43" t="s">
        <v>95</v>
      </c>
      <c r="M134" s="43">
        <f>IF(L134&gt;0,INDEX(Fish!$D:$D,MATCH(L134,Fish!$L:$L,0)),"")</f>
        <v>11017</v>
      </c>
      <c r="N134" s="43">
        <v>0</v>
      </c>
      <c r="O134" s="43">
        <v>1</v>
      </c>
      <c r="P134" s="43">
        <v>3</v>
      </c>
      <c r="Q134" s="43">
        <v>5</v>
      </c>
      <c r="R134" s="43" t="s">
        <v>91</v>
      </c>
      <c r="S134" s="43">
        <f>IF(R134&gt;0,INDEX(Fish!$D:$D,MATCH(R134,Fish!$L:$L,0)),"")</f>
        <v>11015</v>
      </c>
      <c r="T134" s="43">
        <v>0</v>
      </c>
      <c r="U134" s="43">
        <v>1</v>
      </c>
      <c r="V134" s="43">
        <v>2</v>
      </c>
      <c r="W134" s="43">
        <v>4</v>
      </c>
      <c r="X134" s="43" t="s">
        <v>87</v>
      </c>
      <c r="Y134" s="43">
        <f>IF(X134&gt;0,INDEX(Fish!$D:$D,MATCH(X134,Fish!$L:$L,0)),"")</f>
        <v>11013</v>
      </c>
      <c r="Z134" s="43">
        <v>0</v>
      </c>
      <c r="AA134" s="43">
        <v>1</v>
      </c>
      <c r="AB134" s="43">
        <v>2</v>
      </c>
      <c r="AC134" s="43">
        <v>3</v>
      </c>
    </row>
    <row r="135" spans="1:29">
      <c r="A135" s="43">
        <v>44414</v>
      </c>
      <c r="B135" s="43">
        <v>2</v>
      </c>
      <c r="C135" s="43">
        <v>0</v>
      </c>
      <c r="D135" s="43">
        <v>2</v>
      </c>
      <c r="E135" s="43">
        <v>1</v>
      </c>
      <c r="F135" s="43" t="s">
        <v>75</v>
      </c>
      <c r="G135" s="43">
        <f>IF(F135&gt;0,INDEX(Fish!$D:$D,MATCH(F135,Fish!$L:$L,0)),"")</f>
        <v>11008</v>
      </c>
      <c r="H135" s="43">
        <v>0</v>
      </c>
      <c r="I135" s="43">
        <v>1</v>
      </c>
      <c r="J135" s="43">
        <v>5</v>
      </c>
      <c r="K135" s="43">
        <v>6</v>
      </c>
      <c r="L135" s="43" t="s">
        <v>95</v>
      </c>
      <c r="M135" s="43">
        <f>IF(L135&gt;0,INDEX(Fish!$D:$D,MATCH(L135,Fish!$L:$L,0)),"")</f>
        <v>11017</v>
      </c>
      <c r="N135" s="43">
        <v>0</v>
      </c>
      <c r="O135" s="43">
        <v>1</v>
      </c>
      <c r="P135" s="43">
        <v>3</v>
      </c>
      <c r="Q135" s="43">
        <v>5</v>
      </c>
      <c r="R135" s="43" t="s">
        <v>91</v>
      </c>
      <c r="S135" s="43">
        <f>IF(R135&gt;0,INDEX(Fish!$D:$D,MATCH(R135,Fish!$L:$L,0)),"")</f>
        <v>11015</v>
      </c>
      <c r="T135" s="43">
        <v>0</v>
      </c>
      <c r="U135" s="43">
        <v>1</v>
      </c>
      <c r="V135" s="43">
        <v>2</v>
      </c>
      <c r="W135" s="43">
        <v>4</v>
      </c>
      <c r="X135" s="43" t="s">
        <v>93</v>
      </c>
      <c r="Y135" s="43">
        <f>IF(X135&gt;0,INDEX(Fish!$D:$D,MATCH(X135,Fish!$L:$L,0)),"")</f>
        <v>11016</v>
      </c>
      <c r="Z135" s="43">
        <v>0</v>
      </c>
      <c r="AA135" s="43">
        <v>1</v>
      </c>
      <c r="AB135" s="43">
        <v>2</v>
      </c>
      <c r="AC135" s="43">
        <v>3</v>
      </c>
    </row>
    <row r="136" spans="1:29">
      <c r="A136" s="43">
        <v>44414</v>
      </c>
      <c r="B136" s="43">
        <v>2</v>
      </c>
      <c r="C136" s="43">
        <v>0</v>
      </c>
      <c r="D136" s="43">
        <v>2</v>
      </c>
      <c r="E136" s="43">
        <v>1</v>
      </c>
      <c r="F136" s="43" t="s">
        <v>75</v>
      </c>
      <c r="G136" s="43">
        <f>IF(F136&gt;0,INDEX(Fish!$D:$D,MATCH(F136,Fish!$L:$L,0)),"")</f>
        <v>11008</v>
      </c>
      <c r="H136" s="43">
        <v>0</v>
      </c>
      <c r="I136" s="43">
        <v>1</v>
      </c>
      <c r="J136" s="43">
        <v>5</v>
      </c>
      <c r="K136" s="43">
        <v>6</v>
      </c>
      <c r="L136" s="43" t="s">
        <v>95</v>
      </c>
      <c r="M136" s="43">
        <f>IF(L136&gt;0,INDEX(Fish!$D:$D,MATCH(L136,Fish!$L:$L,0)),"")</f>
        <v>11017</v>
      </c>
      <c r="N136" s="43">
        <v>0</v>
      </c>
      <c r="O136" s="43">
        <v>1</v>
      </c>
      <c r="P136" s="43">
        <v>3</v>
      </c>
      <c r="Q136" s="43">
        <v>5</v>
      </c>
      <c r="R136" s="43" t="s">
        <v>91</v>
      </c>
      <c r="S136" s="43">
        <f>IF(R136&gt;0,INDEX(Fish!$D:$D,MATCH(R136,Fish!$L:$L,0)),"")</f>
        <v>11015</v>
      </c>
      <c r="T136" s="43">
        <v>0</v>
      </c>
      <c r="U136" s="43">
        <v>1</v>
      </c>
      <c r="V136" s="43">
        <v>2</v>
      </c>
      <c r="W136" s="43">
        <v>4</v>
      </c>
      <c r="X136" s="43" t="s">
        <v>89</v>
      </c>
      <c r="Y136" s="43">
        <f>IF(X136&gt;0,INDEX(Fish!$D:$D,MATCH(X136,Fish!$L:$L,0)),"")</f>
        <v>11235</v>
      </c>
      <c r="Z136" s="43">
        <v>0</v>
      </c>
      <c r="AA136" s="43">
        <v>1</v>
      </c>
      <c r="AB136" s="43">
        <v>2</v>
      </c>
      <c r="AC136" s="43">
        <v>3</v>
      </c>
    </row>
    <row r="137" spans="1:29">
      <c r="A137" s="43">
        <v>44414</v>
      </c>
      <c r="B137" s="43">
        <v>2</v>
      </c>
      <c r="C137" s="43">
        <v>0</v>
      </c>
      <c r="D137" s="43">
        <v>2</v>
      </c>
      <c r="E137" s="43">
        <v>1</v>
      </c>
      <c r="F137" s="43" t="s">
        <v>69</v>
      </c>
      <c r="G137" s="43">
        <f>IF(F137&gt;0,INDEX(Fish!$D:$D,MATCH(F137,Fish!$L:$L,0)),"")</f>
        <v>11005</v>
      </c>
      <c r="H137" s="43">
        <v>0</v>
      </c>
      <c r="I137" s="43">
        <v>1</v>
      </c>
      <c r="J137" s="43">
        <v>5</v>
      </c>
      <c r="K137" s="43">
        <v>6</v>
      </c>
      <c r="L137" s="43" t="s">
        <v>81</v>
      </c>
      <c r="M137" s="43">
        <f>IF(L137&gt;0,INDEX(Fish!$D:$D,MATCH(L137,Fish!$L:$L,0)),"")</f>
        <v>11010</v>
      </c>
      <c r="N137" s="43">
        <v>0</v>
      </c>
      <c r="O137" s="43">
        <v>1</v>
      </c>
      <c r="P137" s="43">
        <v>3</v>
      </c>
      <c r="Q137" s="43">
        <v>5</v>
      </c>
      <c r="R137" s="43" t="s">
        <v>85</v>
      </c>
      <c r="S137" s="43">
        <f>IF(R137&gt;0,INDEX(Fish!$D:$D,MATCH(R137,Fish!$L:$L,0)),"")</f>
        <v>11012</v>
      </c>
      <c r="T137" s="43">
        <v>0</v>
      </c>
      <c r="U137" s="43">
        <v>1</v>
      </c>
      <c r="V137" s="43">
        <v>2</v>
      </c>
      <c r="W137" s="43">
        <v>4</v>
      </c>
      <c r="X137" s="43" t="s">
        <v>87</v>
      </c>
      <c r="Y137" s="43">
        <f>IF(X137&gt;0,INDEX(Fish!$D:$D,MATCH(X137,Fish!$L:$L,0)),"")</f>
        <v>11013</v>
      </c>
      <c r="Z137" s="43">
        <v>0</v>
      </c>
      <c r="AA137" s="43">
        <v>1</v>
      </c>
      <c r="AB137" s="43">
        <v>2</v>
      </c>
      <c r="AC137" s="43">
        <v>3</v>
      </c>
    </row>
    <row r="138" spans="1:29">
      <c r="A138" s="43">
        <v>44414</v>
      </c>
      <c r="B138" s="43">
        <v>2</v>
      </c>
      <c r="C138" s="43">
        <v>0</v>
      </c>
      <c r="D138" s="43">
        <v>2</v>
      </c>
      <c r="E138" s="43">
        <v>1</v>
      </c>
      <c r="F138" s="43" t="s">
        <v>69</v>
      </c>
      <c r="G138" s="43">
        <f>IF(F138&gt;0,INDEX(Fish!$D:$D,MATCH(F138,Fish!$L:$L,0)),"")</f>
        <v>11005</v>
      </c>
      <c r="H138" s="43">
        <v>0</v>
      </c>
      <c r="I138" s="43">
        <v>1</v>
      </c>
      <c r="J138" s="43">
        <v>5</v>
      </c>
      <c r="K138" s="43">
        <v>6</v>
      </c>
      <c r="L138" s="43" t="s">
        <v>81</v>
      </c>
      <c r="M138" s="43">
        <f>IF(L138&gt;0,INDEX(Fish!$D:$D,MATCH(L138,Fish!$L:$L,0)),"")</f>
        <v>11010</v>
      </c>
      <c r="N138" s="43">
        <v>0</v>
      </c>
      <c r="O138" s="43">
        <v>1</v>
      </c>
      <c r="P138" s="43">
        <v>3</v>
      </c>
      <c r="Q138" s="43">
        <v>5</v>
      </c>
      <c r="R138" s="43" t="s">
        <v>85</v>
      </c>
      <c r="S138" s="43">
        <f>IF(R138&gt;0,INDEX(Fish!$D:$D,MATCH(R138,Fish!$L:$L,0)),"")</f>
        <v>11012</v>
      </c>
      <c r="T138" s="43">
        <v>0</v>
      </c>
      <c r="U138" s="43">
        <v>1</v>
      </c>
      <c r="V138" s="43">
        <v>2</v>
      </c>
      <c r="W138" s="43">
        <v>4</v>
      </c>
      <c r="X138" s="43" t="s">
        <v>93</v>
      </c>
      <c r="Y138" s="43">
        <f>IF(X138&gt;0,INDEX(Fish!$D:$D,MATCH(X138,Fish!$L:$L,0)),"")</f>
        <v>11016</v>
      </c>
      <c r="Z138" s="43">
        <v>0</v>
      </c>
      <c r="AA138" s="43">
        <v>1</v>
      </c>
      <c r="AB138" s="43">
        <v>2</v>
      </c>
      <c r="AC138" s="43">
        <v>3</v>
      </c>
    </row>
    <row r="139" spans="1:29">
      <c r="A139" s="43">
        <v>44414</v>
      </c>
      <c r="B139" s="43">
        <v>2</v>
      </c>
      <c r="C139" s="43">
        <v>0</v>
      </c>
      <c r="D139" s="43">
        <v>2</v>
      </c>
      <c r="E139" s="43">
        <v>1</v>
      </c>
      <c r="F139" s="43" t="s">
        <v>69</v>
      </c>
      <c r="G139" s="43">
        <f>IF(F139&gt;0,INDEX(Fish!$D:$D,MATCH(F139,Fish!$L:$L,0)),"")</f>
        <v>11005</v>
      </c>
      <c r="H139" s="43">
        <v>0</v>
      </c>
      <c r="I139" s="43">
        <v>1</v>
      </c>
      <c r="J139" s="43">
        <v>5</v>
      </c>
      <c r="K139" s="43">
        <v>6</v>
      </c>
      <c r="L139" s="43" t="s">
        <v>81</v>
      </c>
      <c r="M139" s="43">
        <f>IF(L139&gt;0,INDEX(Fish!$D:$D,MATCH(L139,Fish!$L:$L,0)),"")</f>
        <v>11010</v>
      </c>
      <c r="N139" s="43">
        <v>0</v>
      </c>
      <c r="O139" s="43">
        <v>1</v>
      </c>
      <c r="P139" s="43">
        <v>3</v>
      </c>
      <c r="Q139" s="43">
        <v>5</v>
      </c>
      <c r="R139" s="43" t="s">
        <v>85</v>
      </c>
      <c r="S139" s="43">
        <f>IF(R139&gt;0,INDEX(Fish!$D:$D,MATCH(R139,Fish!$L:$L,0)),"")</f>
        <v>11012</v>
      </c>
      <c r="T139" s="43">
        <v>0</v>
      </c>
      <c r="U139" s="43">
        <v>1</v>
      </c>
      <c r="V139" s="43">
        <v>2</v>
      </c>
      <c r="W139" s="43">
        <v>4</v>
      </c>
      <c r="X139" s="43" t="s">
        <v>89</v>
      </c>
      <c r="Y139" s="43">
        <f>IF(X139&gt;0,INDEX(Fish!$D:$D,MATCH(X139,Fish!$L:$L,0)),"")</f>
        <v>11235</v>
      </c>
      <c r="Z139" s="43">
        <v>0</v>
      </c>
      <c r="AA139" s="43">
        <v>1</v>
      </c>
      <c r="AB139" s="43">
        <v>2</v>
      </c>
      <c r="AC139" s="43">
        <v>3</v>
      </c>
    </row>
    <row r="140" spans="1:29">
      <c r="A140" s="43">
        <v>44414</v>
      </c>
      <c r="B140" s="43">
        <v>2</v>
      </c>
      <c r="C140" s="43">
        <v>0</v>
      </c>
      <c r="D140" s="43">
        <v>2</v>
      </c>
      <c r="E140" s="43">
        <v>1</v>
      </c>
      <c r="F140" s="43" t="s">
        <v>69</v>
      </c>
      <c r="G140" s="43">
        <f>IF(F140&gt;0,INDEX(Fish!$D:$D,MATCH(F140,Fish!$L:$L,0)),"")</f>
        <v>11005</v>
      </c>
      <c r="H140" s="43">
        <v>0</v>
      </c>
      <c r="I140" s="43">
        <v>1</v>
      </c>
      <c r="J140" s="43">
        <v>5</v>
      </c>
      <c r="K140" s="43">
        <v>6</v>
      </c>
      <c r="L140" s="43" t="s">
        <v>81</v>
      </c>
      <c r="M140" s="43">
        <f>IF(L140&gt;0,INDEX(Fish!$D:$D,MATCH(L140,Fish!$L:$L,0)),"")</f>
        <v>11010</v>
      </c>
      <c r="N140" s="43">
        <v>0</v>
      </c>
      <c r="O140" s="43">
        <v>1</v>
      </c>
      <c r="P140" s="43">
        <v>3</v>
      </c>
      <c r="Q140" s="43">
        <v>5</v>
      </c>
      <c r="R140" s="43" t="s">
        <v>91</v>
      </c>
      <c r="S140" s="43">
        <f>IF(R140&gt;0,INDEX(Fish!$D:$D,MATCH(R140,Fish!$L:$L,0)),"")</f>
        <v>11015</v>
      </c>
      <c r="T140" s="43">
        <v>0</v>
      </c>
      <c r="U140" s="43">
        <v>1</v>
      </c>
      <c r="V140" s="43">
        <v>2</v>
      </c>
      <c r="W140" s="43">
        <v>4</v>
      </c>
      <c r="X140" s="43" t="s">
        <v>87</v>
      </c>
      <c r="Y140" s="43">
        <f>IF(X140&gt;0,INDEX(Fish!$D:$D,MATCH(X140,Fish!$L:$L,0)),"")</f>
        <v>11013</v>
      </c>
      <c r="Z140" s="43">
        <v>0</v>
      </c>
      <c r="AA140" s="43">
        <v>1</v>
      </c>
      <c r="AB140" s="43">
        <v>2</v>
      </c>
      <c r="AC140" s="43">
        <v>3</v>
      </c>
    </row>
    <row r="141" spans="1:29">
      <c r="A141" s="43">
        <v>44414</v>
      </c>
      <c r="B141" s="43">
        <v>2</v>
      </c>
      <c r="C141" s="43">
        <v>0</v>
      </c>
      <c r="D141" s="43">
        <v>2</v>
      </c>
      <c r="E141" s="43">
        <v>1</v>
      </c>
      <c r="F141" s="43" t="s">
        <v>69</v>
      </c>
      <c r="G141" s="43">
        <f>IF(F141&gt;0,INDEX(Fish!$D:$D,MATCH(F141,Fish!$L:$L,0)),"")</f>
        <v>11005</v>
      </c>
      <c r="H141" s="43">
        <v>0</v>
      </c>
      <c r="I141" s="43">
        <v>1</v>
      </c>
      <c r="J141" s="43">
        <v>5</v>
      </c>
      <c r="K141" s="43">
        <v>6</v>
      </c>
      <c r="L141" s="43" t="s">
        <v>81</v>
      </c>
      <c r="M141" s="43">
        <f>IF(L141&gt;0,INDEX(Fish!$D:$D,MATCH(L141,Fish!$L:$L,0)),"")</f>
        <v>11010</v>
      </c>
      <c r="N141" s="43">
        <v>0</v>
      </c>
      <c r="O141" s="43">
        <v>1</v>
      </c>
      <c r="P141" s="43">
        <v>3</v>
      </c>
      <c r="Q141" s="43">
        <v>5</v>
      </c>
      <c r="R141" s="43" t="s">
        <v>91</v>
      </c>
      <c r="S141" s="43">
        <f>IF(R141&gt;0,INDEX(Fish!$D:$D,MATCH(R141,Fish!$L:$L,0)),"")</f>
        <v>11015</v>
      </c>
      <c r="T141" s="43">
        <v>0</v>
      </c>
      <c r="U141" s="43">
        <v>1</v>
      </c>
      <c r="V141" s="43">
        <v>2</v>
      </c>
      <c r="W141" s="43">
        <v>4</v>
      </c>
      <c r="X141" s="43" t="s">
        <v>93</v>
      </c>
      <c r="Y141" s="43">
        <f>IF(X141&gt;0,INDEX(Fish!$D:$D,MATCH(X141,Fish!$L:$L,0)),"")</f>
        <v>11016</v>
      </c>
      <c r="Z141" s="43">
        <v>0</v>
      </c>
      <c r="AA141" s="43">
        <v>1</v>
      </c>
      <c r="AB141" s="43">
        <v>2</v>
      </c>
      <c r="AC141" s="43">
        <v>3</v>
      </c>
    </row>
    <row r="142" spans="1:29">
      <c r="A142" s="43">
        <v>44414</v>
      </c>
      <c r="B142" s="43">
        <v>2</v>
      </c>
      <c r="C142" s="43">
        <v>0</v>
      </c>
      <c r="D142" s="43">
        <v>2</v>
      </c>
      <c r="E142" s="43">
        <v>1</v>
      </c>
      <c r="F142" s="43" t="s">
        <v>69</v>
      </c>
      <c r="G142" s="43">
        <f>IF(F142&gt;0,INDEX(Fish!$D:$D,MATCH(F142,Fish!$L:$L,0)),"")</f>
        <v>11005</v>
      </c>
      <c r="H142" s="43">
        <v>0</v>
      </c>
      <c r="I142" s="43">
        <v>1</v>
      </c>
      <c r="J142" s="43">
        <v>5</v>
      </c>
      <c r="K142" s="43">
        <v>6</v>
      </c>
      <c r="L142" s="43" t="s">
        <v>81</v>
      </c>
      <c r="M142" s="43">
        <f>IF(L142&gt;0,INDEX(Fish!$D:$D,MATCH(L142,Fish!$L:$L,0)),"")</f>
        <v>11010</v>
      </c>
      <c r="N142" s="43">
        <v>0</v>
      </c>
      <c r="O142" s="43">
        <v>1</v>
      </c>
      <c r="P142" s="43">
        <v>3</v>
      </c>
      <c r="Q142" s="43">
        <v>5</v>
      </c>
      <c r="R142" s="43" t="s">
        <v>91</v>
      </c>
      <c r="S142" s="43">
        <f>IF(R142&gt;0,INDEX(Fish!$D:$D,MATCH(R142,Fish!$L:$L,0)),"")</f>
        <v>11015</v>
      </c>
      <c r="T142" s="43">
        <v>0</v>
      </c>
      <c r="U142" s="43">
        <v>1</v>
      </c>
      <c r="V142" s="43">
        <v>2</v>
      </c>
      <c r="W142" s="43">
        <v>4</v>
      </c>
      <c r="X142" s="43" t="s">
        <v>89</v>
      </c>
      <c r="Y142" s="43">
        <f>IF(X142&gt;0,INDEX(Fish!$D:$D,MATCH(X142,Fish!$L:$L,0)),"")</f>
        <v>11235</v>
      </c>
      <c r="Z142" s="43">
        <v>0</v>
      </c>
      <c r="AA142" s="43">
        <v>1</v>
      </c>
      <c r="AB142" s="43">
        <v>2</v>
      </c>
      <c r="AC142" s="43">
        <v>3</v>
      </c>
    </row>
    <row r="143" spans="1:29">
      <c r="A143" s="43">
        <v>44414</v>
      </c>
      <c r="B143" s="43">
        <v>2</v>
      </c>
      <c r="C143" s="43">
        <v>0</v>
      </c>
      <c r="D143" s="43">
        <v>2</v>
      </c>
      <c r="E143" s="43">
        <v>1</v>
      </c>
      <c r="F143" s="43" t="s">
        <v>69</v>
      </c>
      <c r="G143" s="43">
        <f>IF(F143&gt;0,INDEX(Fish!$D:$D,MATCH(F143,Fish!$L:$L,0)),"")</f>
        <v>11005</v>
      </c>
      <c r="H143" s="43">
        <v>0</v>
      </c>
      <c r="I143" s="43">
        <v>1</v>
      </c>
      <c r="J143" s="43">
        <v>5</v>
      </c>
      <c r="K143" s="43">
        <v>6</v>
      </c>
      <c r="L143" s="43" t="s">
        <v>95</v>
      </c>
      <c r="M143" s="43">
        <f>IF(L143&gt;0,INDEX(Fish!$D:$D,MATCH(L143,Fish!$L:$L,0)),"")</f>
        <v>11017</v>
      </c>
      <c r="N143" s="43">
        <v>0</v>
      </c>
      <c r="O143" s="43">
        <v>1</v>
      </c>
      <c r="P143" s="43">
        <v>3</v>
      </c>
      <c r="Q143" s="43">
        <v>5</v>
      </c>
      <c r="R143" s="43" t="s">
        <v>85</v>
      </c>
      <c r="S143" s="43">
        <f>IF(R143&gt;0,INDEX(Fish!$D:$D,MATCH(R143,Fish!$L:$L,0)),"")</f>
        <v>11012</v>
      </c>
      <c r="T143" s="43">
        <v>0</v>
      </c>
      <c r="U143" s="43">
        <v>1</v>
      </c>
      <c r="V143" s="43">
        <v>2</v>
      </c>
      <c r="W143" s="43">
        <v>4</v>
      </c>
      <c r="X143" s="43" t="s">
        <v>87</v>
      </c>
      <c r="Y143" s="43">
        <f>IF(X143&gt;0,INDEX(Fish!$D:$D,MATCH(X143,Fish!$L:$L,0)),"")</f>
        <v>11013</v>
      </c>
      <c r="Z143" s="43">
        <v>0</v>
      </c>
      <c r="AA143" s="43">
        <v>1</v>
      </c>
      <c r="AB143" s="43">
        <v>2</v>
      </c>
      <c r="AC143" s="43">
        <v>3</v>
      </c>
    </row>
    <row r="144" spans="1:29">
      <c r="A144" s="43">
        <v>44414</v>
      </c>
      <c r="B144" s="43">
        <v>2</v>
      </c>
      <c r="C144" s="43">
        <v>0</v>
      </c>
      <c r="D144" s="43">
        <v>2</v>
      </c>
      <c r="E144" s="43">
        <v>1</v>
      </c>
      <c r="F144" s="43" t="s">
        <v>69</v>
      </c>
      <c r="G144" s="43">
        <f>IF(F144&gt;0,INDEX(Fish!$D:$D,MATCH(F144,Fish!$L:$L,0)),"")</f>
        <v>11005</v>
      </c>
      <c r="H144" s="43">
        <v>0</v>
      </c>
      <c r="I144" s="43">
        <v>1</v>
      </c>
      <c r="J144" s="43">
        <v>5</v>
      </c>
      <c r="K144" s="43">
        <v>6</v>
      </c>
      <c r="L144" s="43" t="s">
        <v>95</v>
      </c>
      <c r="M144" s="43">
        <f>IF(L144&gt;0,INDEX(Fish!$D:$D,MATCH(L144,Fish!$L:$L,0)),"")</f>
        <v>11017</v>
      </c>
      <c r="N144" s="43">
        <v>0</v>
      </c>
      <c r="O144" s="43">
        <v>1</v>
      </c>
      <c r="P144" s="43">
        <v>3</v>
      </c>
      <c r="Q144" s="43">
        <v>5</v>
      </c>
      <c r="R144" s="43" t="s">
        <v>85</v>
      </c>
      <c r="S144" s="43">
        <f>IF(R144&gt;0,INDEX(Fish!$D:$D,MATCH(R144,Fish!$L:$L,0)),"")</f>
        <v>11012</v>
      </c>
      <c r="T144" s="43">
        <v>0</v>
      </c>
      <c r="U144" s="43">
        <v>1</v>
      </c>
      <c r="V144" s="43">
        <v>2</v>
      </c>
      <c r="W144" s="43">
        <v>4</v>
      </c>
      <c r="X144" s="43" t="s">
        <v>93</v>
      </c>
      <c r="Y144" s="43">
        <f>IF(X144&gt;0,INDEX(Fish!$D:$D,MATCH(X144,Fish!$L:$L,0)),"")</f>
        <v>11016</v>
      </c>
      <c r="Z144" s="43">
        <v>0</v>
      </c>
      <c r="AA144" s="43">
        <v>1</v>
      </c>
      <c r="AB144" s="43">
        <v>2</v>
      </c>
      <c r="AC144" s="43">
        <v>3</v>
      </c>
    </row>
    <row r="145" spans="1:29">
      <c r="A145" s="43">
        <v>44414</v>
      </c>
      <c r="B145" s="43">
        <v>2</v>
      </c>
      <c r="C145" s="43">
        <v>0</v>
      </c>
      <c r="D145" s="43">
        <v>2</v>
      </c>
      <c r="E145" s="43">
        <v>1</v>
      </c>
      <c r="F145" s="43" t="s">
        <v>69</v>
      </c>
      <c r="G145" s="43">
        <f>IF(F145&gt;0,INDEX(Fish!$D:$D,MATCH(F145,Fish!$L:$L,0)),"")</f>
        <v>11005</v>
      </c>
      <c r="H145" s="43">
        <v>0</v>
      </c>
      <c r="I145" s="43">
        <v>1</v>
      </c>
      <c r="J145" s="43">
        <v>5</v>
      </c>
      <c r="K145" s="43">
        <v>6</v>
      </c>
      <c r="L145" s="43" t="s">
        <v>95</v>
      </c>
      <c r="M145" s="43">
        <f>IF(L145&gt;0,INDEX(Fish!$D:$D,MATCH(L145,Fish!$L:$L,0)),"")</f>
        <v>11017</v>
      </c>
      <c r="N145" s="43">
        <v>0</v>
      </c>
      <c r="O145" s="43">
        <v>1</v>
      </c>
      <c r="P145" s="43">
        <v>3</v>
      </c>
      <c r="Q145" s="43">
        <v>5</v>
      </c>
      <c r="R145" s="43" t="s">
        <v>85</v>
      </c>
      <c r="S145" s="43">
        <f>IF(R145&gt;0,INDEX(Fish!$D:$D,MATCH(R145,Fish!$L:$L,0)),"")</f>
        <v>11012</v>
      </c>
      <c r="T145" s="43">
        <v>0</v>
      </c>
      <c r="U145" s="43">
        <v>1</v>
      </c>
      <c r="V145" s="43">
        <v>2</v>
      </c>
      <c r="W145" s="43">
        <v>4</v>
      </c>
      <c r="X145" s="43" t="s">
        <v>89</v>
      </c>
      <c r="Y145" s="43">
        <f>IF(X145&gt;0,INDEX(Fish!$D:$D,MATCH(X145,Fish!$L:$L,0)),"")</f>
        <v>11235</v>
      </c>
      <c r="Z145" s="43">
        <v>0</v>
      </c>
      <c r="AA145" s="43">
        <v>1</v>
      </c>
      <c r="AB145" s="43">
        <v>2</v>
      </c>
      <c r="AC145" s="43">
        <v>3</v>
      </c>
    </row>
    <row r="146" spans="1:29">
      <c r="A146" s="43">
        <v>44414</v>
      </c>
      <c r="B146" s="43">
        <v>2</v>
      </c>
      <c r="C146" s="43">
        <v>0</v>
      </c>
      <c r="D146" s="43">
        <v>2</v>
      </c>
      <c r="E146" s="43">
        <v>1</v>
      </c>
      <c r="F146" s="43" t="s">
        <v>69</v>
      </c>
      <c r="G146" s="43">
        <f>IF(F146&gt;0,INDEX(Fish!$D:$D,MATCH(F146,Fish!$L:$L,0)),"")</f>
        <v>11005</v>
      </c>
      <c r="H146" s="43">
        <v>0</v>
      </c>
      <c r="I146" s="43">
        <v>1</v>
      </c>
      <c r="J146" s="43">
        <v>5</v>
      </c>
      <c r="K146" s="43">
        <v>6</v>
      </c>
      <c r="L146" s="43" t="s">
        <v>95</v>
      </c>
      <c r="M146" s="43">
        <f>IF(L146&gt;0,INDEX(Fish!$D:$D,MATCH(L146,Fish!$L:$L,0)),"")</f>
        <v>11017</v>
      </c>
      <c r="N146" s="43">
        <v>0</v>
      </c>
      <c r="O146" s="43">
        <v>1</v>
      </c>
      <c r="P146" s="43">
        <v>3</v>
      </c>
      <c r="Q146" s="43">
        <v>5</v>
      </c>
      <c r="R146" s="43" t="s">
        <v>91</v>
      </c>
      <c r="S146" s="43">
        <f>IF(R146&gt;0,INDEX(Fish!$D:$D,MATCH(R146,Fish!$L:$L,0)),"")</f>
        <v>11015</v>
      </c>
      <c r="T146" s="43">
        <v>0</v>
      </c>
      <c r="U146" s="43">
        <v>1</v>
      </c>
      <c r="V146" s="43">
        <v>2</v>
      </c>
      <c r="W146" s="43">
        <v>4</v>
      </c>
      <c r="X146" s="43" t="s">
        <v>87</v>
      </c>
      <c r="Y146" s="43">
        <f>IF(X146&gt;0,INDEX(Fish!$D:$D,MATCH(X146,Fish!$L:$L,0)),"")</f>
        <v>11013</v>
      </c>
      <c r="Z146" s="43">
        <v>0</v>
      </c>
      <c r="AA146" s="43">
        <v>1</v>
      </c>
      <c r="AB146" s="43">
        <v>2</v>
      </c>
      <c r="AC146" s="43">
        <v>3</v>
      </c>
    </row>
    <row r="147" spans="1:29">
      <c r="A147" s="43">
        <v>44414</v>
      </c>
      <c r="B147" s="43">
        <v>2</v>
      </c>
      <c r="C147" s="43">
        <v>0</v>
      </c>
      <c r="D147" s="43">
        <v>2</v>
      </c>
      <c r="E147" s="43">
        <v>1</v>
      </c>
      <c r="F147" s="43" t="s">
        <v>69</v>
      </c>
      <c r="G147" s="43">
        <f>IF(F147&gt;0,INDEX(Fish!$D:$D,MATCH(F147,Fish!$L:$L,0)),"")</f>
        <v>11005</v>
      </c>
      <c r="H147" s="43">
        <v>0</v>
      </c>
      <c r="I147" s="43">
        <v>1</v>
      </c>
      <c r="J147" s="43">
        <v>5</v>
      </c>
      <c r="K147" s="43">
        <v>6</v>
      </c>
      <c r="L147" s="43" t="s">
        <v>95</v>
      </c>
      <c r="M147" s="43">
        <f>IF(L147&gt;0,INDEX(Fish!$D:$D,MATCH(L147,Fish!$L:$L,0)),"")</f>
        <v>11017</v>
      </c>
      <c r="N147" s="43">
        <v>0</v>
      </c>
      <c r="O147" s="43">
        <v>1</v>
      </c>
      <c r="P147" s="43">
        <v>3</v>
      </c>
      <c r="Q147" s="43">
        <v>5</v>
      </c>
      <c r="R147" s="43" t="s">
        <v>91</v>
      </c>
      <c r="S147" s="43">
        <f>IF(R147&gt;0,INDEX(Fish!$D:$D,MATCH(R147,Fish!$L:$L,0)),"")</f>
        <v>11015</v>
      </c>
      <c r="T147" s="43">
        <v>0</v>
      </c>
      <c r="U147" s="43">
        <v>1</v>
      </c>
      <c r="V147" s="43">
        <v>2</v>
      </c>
      <c r="W147" s="43">
        <v>4</v>
      </c>
      <c r="X147" s="43" t="s">
        <v>93</v>
      </c>
      <c r="Y147" s="43">
        <f>IF(X147&gt;0,INDEX(Fish!$D:$D,MATCH(X147,Fish!$L:$L,0)),"")</f>
        <v>11016</v>
      </c>
      <c r="Z147" s="43">
        <v>0</v>
      </c>
      <c r="AA147" s="43">
        <v>1</v>
      </c>
      <c r="AB147" s="43">
        <v>2</v>
      </c>
      <c r="AC147" s="43">
        <v>3</v>
      </c>
    </row>
    <row r="148" spans="1:29">
      <c r="A148" s="43">
        <v>44414</v>
      </c>
      <c r="B148" s="43">
        <v>2</v>
      </c>
      <c r="C148" s="43">
        <v>0</v>
      </c>
      <c r="D148" s="43">
        <v>2</v>
      </c>
      <c r="E148" s="43">
        <v>1</v>
      </c>
      <c r="F148" s="43" t="s">
        <v>69</v>
      </c>
      <c r="G148" s="43">
        <f>IF(F148&gt;0,INDEX(Fish!$D:$D,MATCH(F148,Fish!$L:$L,0)),"")</f>
        <v>11005</v>
      </c>
      <c r="H148" s="43">
        <v>0</v>
      </c>
      <c r="I148" s="43">
        <v>1</v>
      </c>
      <c r="J148" s="43">
        <v>5</v>
      </c>
      <c r="K148" s="43">
        <v>6</v>
      </c>
      <c r="L148" s="43" t="s">
        <v>95</v>
      </c>
      <c r="M148" s="43">
        <f>IF(L148&gt;0,INDEX(Fish!$D:$D,MATCH(L148,Fish!$L:$L,0)),"")</f>
        <v>11017</v>
      </c>
      <c r="N148" s="43">
        <v>0</v>
      </c>
      <c r="O148" s="43">
        <v>1</v>
      </c>
      <c r="P148" s="43">
        <v>3</v>
      </c>
      <c r="Q148" s="43">
        <v>5</v>
      </c>
      <c r="R148" s="43" t="s">
        <v>91</v>
      </c>
      <c r="S148" s="43">
        <f>IF(R148&gt;0,INDEX(Fish!$D:$D,MATCH(R148,Fish!$L:$L,0)),"")</f>
        <v>11015</v>
      </c>
      <c r="T148" s="43">
        <v>0</v>
      </c>
      <c r="U148" s="43">
        <v>1</v>
      </c>
      <c r="V148" s="43">
        <v>2</v>
      </c>
      <c r="W148" s="43">
        <v>4</v>
      </c>
      <c r="X148" s="43" t="s">
        <v>89</v>
      </c>
      <c r="Y148" s="43">
        <f>IF(X148&gt;0,INDEX(Fish!$D:$D,MATCH(X148,Fish!$L:$L,0)),"")</f>
        <v>11235</v>
      </c>
      <c r="Z148" s="43">
        <v>0</v>
      </c>
      <c r="AA148" s="43">
        <v>1</v>
      </c>
      <c r="AB148" s="43">
        <v>2</v>
      </c>
      <c r="AC148" s="43">
        <v>3</v>
      </c>
    </row>
    <row r="149" spans="1:23">
      <c r="A149" s="43">
        <v>44414</v>
      </c>
      <c r="B149" s="43">
        <v>5</v>
      </c>
      <c r="C149" s="43">
        <v>0</v>
      </c>
      <c r="D149" s="43">
        <v>3</v>
      </c>
      <c r="E149" s="43">
        <v>2</v>
      </c>
      <c r="F149" s="43" t="s">
        <v>101</v>
      </c>
      <c r="G149" s="43">
        <f>IF(F149&gt;0,INDEX(Fish!$D:$D,MATCH(F149,Fish!$L:$L,0)),"")</f>
        <v>11090</v>
      </c>
      <c r="H149" s="43">
        <v>40000</v>
      </c>
      <c r="I149" s="43">
        <v>1</v>
      </c>
      <c r="J149" s="43">
        <v>1</v>
      </c>
      <c r="K149" s="43">
        <v>1</v>
      </c>
      <c r="L149" s="43" t="s">
        <v>99</v>
      </c>
      <c r="M149" s="43">
        <f>IF(L149&gt;0,INDEX(Fish!$D:$D,MATCH(L149,Fish!$L:$L,0)),"")</f>
        <v>11024</v>
      </c>
      <c r="N149" s="43">
        <v>30000</v>
      </c>
      <c r="O149" s="43">
        <v>1</v>
      </c>
      <c r="P149" s="43">
        <v>1</v>
      </c>
      <c r="Q149" s="43">
        <v>1</v>
      </c>
      <c r="R149" s="43" t="s">
        <v>103</v>
      </c>
      <c r="S149" s="43">
        <f>IF(R149&gt;0,INDEX(Fish!$D:$D,MATCH(R149,Fish!$L:$L,0)),"")</f>
        <v>11025</v>
      </c>
      <c r="T149" s="43">
        <v>30000</v>
      </c>
      <c r="U149" s="43">
        <v>1</v>
      </c>
      <c r="V149" s="43">
        <v>1</v>
      </c>
      <c r="W149" s="43">
        <v>1</v>
      </c>
    </row>
    <row r="150" spans="1:35">
      <c r="A150" s="43">
        <v>44414</v>
      </c>
      <c r="B150" s="43">
        <v>5</v>
      </c>
      <c r="C150" s="43">
        <v>0</v>
      </c>
      <c r="D150" s="43">
        <v>4</v>
      </c>
      <c r="E150" s="43">
        <v>2</v>
      </c>
      <c r="F150" s="43" t="s">
        <v>361</v>
      </c>
      <c r="G150" s="43">
        <f>IF(F150&gt;0,INDEX(Fish!$D:$D,MATCH(F150,Fish!$L:$L,0)),"")</f>
        <v>11214</v>
      </c>
      <c r="H150" s="43">
        <v>30000</v>
      </c>
      <c r="I150" s="43">
        <v>1</v>
      </c>
      <c r="J150" s="43">
        <v>0</v>
      </c>
      <c r="K150" s="43">
        <v>1</v>
      </c>
      <c r="L150" s="43" t="s">
        <v>355</v>
      </c>
      <c r="M150" s="43">
        <f>IF(L150&gt;0,INDEX(Fish!$D:$D,MATCH(L150,Fish!$L:$L,0)),"")</f>
        <v>11021</v>
      </c>
      <c r="N150" s="43">
        <v>25000</v>
      </c>
      <c r="O150" s="43">
        <v>1</v>
      </c>
      <c r="P150" s="43">
        <v>0</v>
      </c>
      <c r="Q150" s="43">
        <v>1</v>
      </c>
      <c r="R150" s="43" t="s">
        <v>353</v>
      </c>
      <c r="S150" s="43">
        <f>IF(R150&gt;0,INDEX(Fish!$D:$D,MATCH(R150,Fish!$L:$L,0)),"")</f>
        <v>11092</v>
      </c>
      <c r="T150" s="43">
        <v>18000</v>
      </c>
      <c r="U150" s="43">
        <v>1</v>
      </c>
      <c r="V150" s="43">
        <v>0</v>
      </c>
      <c r="W150" s="43">
        <v>1</v>
      </c>
      <c r="X150" s="43" t="s">
        <v>357</v>
      </c>
      <c r="Y150" s="43">
        <f>IF(X150&gt;0,INDEX(Fish!$D:$D,MATCH(X150,Fish!$L:$L,0)),"")</f>
        <v>11026</v>
      </c>
      <c r="Z150" s="43">
        <v>15000</v>
      </c>
      <c r="AA150" s="43">
        <v>1</v>
      </c>
      <c r="AB150" s="43">
        <v>0</v>
      </c>
      <c r="AC150" s="43">
        <v>1</v>
      </c>
      <c r="AD150" s="43" t="s">
        <v>359</v>
      </c>
      <c r="AE150" s="43">
        <f>IF(AD150&gt;0,INDEX(Fish!$D:$D,MATCH(AD150,Fish!$L:$L,0)),"")</f>
        <v>11027</v>
      </c>
      <c r="AF150" s="43">
        <v>12000</v>
      </c>
      <c r="AG150" s="43">
        <v>1</v>
      </c>
      <c r="AH150" s="43">
        <v>0</v>
      </c>
      <c r="AI150" s="43">
        <v>1</v>
      </c>
    </row>
    <row r="151" spans="1:35">
      <c r="A151" s="43">
        <v>44414</v>
      </c>
      <c r="B151" s="43">
        <v>5</v>
      </c>
      <c r="C151" s="43">
        <v>0</v>
      </c>
      <c r="D151" s="43">
        <v>5</v>
      </c>
      <c r="E151" s="43">
        <v>2</v>
      </c>
      <c r="F151" s="43" t="s">
        <v>123</v>
      </c>
      <c r="G151" s="43">
        <f>IF(F151&gt;0,INDEX(Fish!$D:$D,MATCH(F151,Fish!$L:$L,0)),"")</f>
        <v>14015</v>
      </c>
      <c r="H151" s="43">
        <v>30000</v>
      </c>
      <c r="I151" s="43">
        <v>1</v>
      </c>
      <c r="J151" s="43">
        <v>0</v>
      </c>
      <c r="K151" s="43">
        <v>1</v>
      </c>
      <c r="L151" s="43" t="s">
        <v>127</v>
      </c>
      <c r="M151" s="43">
        <f>IF(L151&gt;0,INDEX(Fish!$D:$D,MATCH(L151,Fish!$L:$L,0)),"")</f>
        <v>14235</v>
      </c>
      <c r="N151" s="43">
        <v>25000</v>
      </c>
      <c r="O151" s="43">
        <v>1</v>
      </c>
      <c r="P151" s="43">
        <v>0</v>
      </c>
      <c r="Q151" s="43">
        <v>1</v>
      </c>
      <c r="R151" s="43" t="s">
        <v>122</v>
      </c>
      <c r="S151" s="43">
        <f>IF(R151&gt;0,INDEX(Fish!$D:$D,MATCH(R151,Fish!$L:$L,0)),"")</f>
        <v>14013</v>
      </c>
      <c r="T151" s="43">
        <v>18000</v>
      </c>
      <c r="U151" s="43">
        <v>1</v>
      </c>
      <c r="V151" s="43">
        <v>0</v>
      </c>
      <c r="W151" s="43">
        <v>1</v>
      </c>
      <c r="X151" s="43" t="s">
        <v>128</v>
      </c>
      <c r="Y151" s="43">
        <f>IF(X151&gt;0,INDEX(Fish!$D:$D,MATCH(X151,Fish!$L:$L,0)),"")</f>
        <v>14090</v>
      </c>
      <c r="Z151" s="43">
        <v>15000</v>
      </c>
      <c r="AA151" s="43">
        <v>1</v>
      </c>
      <c r="AB151" s="43">
        <v>0</v>
      </c>
      <c r="AC151" s="43">
        <v>1</v>
      </c>
      <c r="AD151" s="43" t="s">
        <v>125</v>
      </c>
      <c r="AE151" s="43">
        <f>IF(AD151&gt;0,INDEX(Fish!$D:$D,MATCH(AD151,Fish!$L:$L,0)),"")</f>
        <v>14024</v>
      </c>
      <c r="AF151" s="43">
        <v>12000</v>
      </c>
      <c r="AG151" s="43">
        <v>1</v>
      </c>
      <c r="AH151" s="43">
        <v>0</v>
      </c>
      <c r="AI151" s="43">
        <v>1</v>
      </c>
    </row>
    <row r="152" spans="1:17">
      <c r="A152" s="43">
        <v>44415</v>
      </c>
      <c r="B152" s="43">
        <v>1</v>
      </c>
      <c r="C152" s="43">
        <v>8</v>
      </c>
      <c r="D152" s="43">
        <v>1</v>
      </c>
      <c r="E152" s="43">
        <v>1</v>
      </c>
      <c r="F152" s="43" t="s">
        <v>61</v>
      </c>
      <c r="G152" s="43">
        <f>IF(F152&gt;0,INDEX(Fish!$D:$D,MATCH(F152,Fish!$L:$L,0)),"")</f>
        <v>11001</v>
      </c>
      <c r="H152" s="43">
        <v>0</v>
      </c>
      <c r="I152" s="43">
        <v>4</v>
      </c>
      <c r="J152" s="43">
        <v>20</v>
      </c>
      <c r="K152" s="43">
        <v>25</v>
      </c>
      <c r="L152" s="43" t="s">
        <v>71</v>
      </c>
      <c r="M152" s="43">
        <f>IF(L152&gt;0,INDEX(Fish!$D:$D,MATCH(L152,Fish!$L:$L,0)),"")</f>
        <v>11006</v>
      </c>
      <c r="N152" s="43">
        <v>0</v>
      </c>
      <c r="O152" s="43">
        <v>3</v>
      </c>
      <c r="P152" s="43">
        <v>15</v>
      </c>
      <c r="Q152" s="43">
        <v>20</v>
      </c>
    </row>
    <row r="153" spans="1:17">
      <c r="A153" s="43">
        <v>44415</v>
      </c>
      <c r="B153" s="43">
        <v>1</v>
      </c>
      <c r="C153" s="43">
        <v>8</v>
      </c>
      <c r="D153" s="43">
        <v>1</v>
      </c>
      <c r="E153" s="43">
        <v>1</v>
      </c>
      <c r="F153" s="43" t="s">
        <v>61</v>
      </c>
      <c r="G153" s="43">
        <f>IF(F153&gt;0,INDEX(Fish!$D:$D,MATCH(F153,Fish!$L:$L,0)),"")</f>
        <v>11001</v>
      </c>
      <c r="H153" s="43">
        <v>0</v>
      </c>
      <c r="I153" s="43">
        <v>4</v>
      </c>
      <c r="J153" s="43">
        <v>20</v>
      </c>
      <c r="K153" s="43">
        <v>25</v>
      </c>
      <c r="L153" s="43" t="s">
        <v>65</v>
      </c>
      <c r="M153" s="43">
        <f>IF(L153&gt;0,INDEX(Fish!$D:$D,MATCH(L153,Fish!$L:$L,0)),"")</f>
        <v>11003</v>
      </c>
      <c r="N153" s="43">
        <v>0</v>
      </c>
      <c r="O153" s="43">
        <v>3</v>
      </c>
      <c r="P153" s="43">
        <v>15</v>
      </c>
      <c r="Q153" s="43">
        <v>20</v>
      </c>
    </row>
    <row r="154" spans="1:17">
      <c r="A154" s="43">
        <v>44415</v>
      </c>
      <c r="B154" s="43">
        <v>1</v>
      </c>
      <c r="C154" s="43">
        <v>8</v>
      </c>
      <c r="D154" s="43">
        <v>1</v>
      </c>
      <c r="E154" s="43">
        <v>1</v>
      </c>
      <c r="F154" s="43" t="s">
        <v>61</v>
      </c>
      <c r="G154" s="43">
        <f>IF(F154&gt;0,INDEX(Fish!$D:$D,MATCH(F154,Fish!$L:$L,0)),"")</f>
        <v>11001</v>
      </c>
      <c r="H154" s="43">
        <v>0</v>
      </c>
      <c r="I154" s="43">
        <v>4</v>
      </c>
      <c r="J154" s="43">
        <v>20</v>
      </c>
      <c r="K154" s="43">
        <v>25</v>
      </c>
      <c r="L154" s="43" t="s">
        <v>73</v>
      </c>
      <c r="M154" s="43">
        <f>IF(L154&gt;0,INDEX(Fish!$D:$D,MATCH(L154,Fish!$L:$L,0)),"")</f>
        <v>11007</v>
      </c>
      <c r="N154" s="43">
        <v>0</v>
      </c>
      <c r="O154" s="43">
        <v>3</v>
      </c>
      <c r="P154" s="43">
        <v>15</v>
      </c>
      <c r="Q154" s="43">
        <v>20</v>
      </c>
    </row>
    <row r="155" spans="1:17">
      <c r="A155" s="43">
        <v>44415</v>
      </c>
      <c r="B155" s="43">
        <v>1</v>
      </c>
      <c r="C155" s="43">
        <v>8</v>
      </c>
      <c r="D155" s="43">
        <v>1</v>
      </c>
      <c r="E155" s="43">
        <v>1</v>
      </c>
      <c r="F155" s="43" t="s">
        <v>61</v>
      </c>
      <c r="G155" s="43">
        <f>IF(F155&gt;0,INDEX(Fish!$D:$D,MATCH(F155,Fish!$L:$L,0)),"")</f>
        <v>11001</v>
      </c>
      <c r="H155" s="43">
        <v>0</v>
      </c>
      <c r="I155" s="43">
        <v>4</v>
      </c>
      <c r="J155" s="43">
        <v>20</v>
      </c>
      <c r="K155" s="43">
        <v>25</v>
      </c>
      <c r="L155" s="43" t="s">
        <v>79</v>
      </c>
      <c r="M155" s="43">
        <f>IF(L155&gt;0,INDEX(Fish!$D:$D,MATCH(L155,Fish!$L:$L,0)),"")</f>
        <v>11085</v>
      </c>
      <c r="N155" s="43">
        <v>0</v>
      </c>
      <c r="O155" s="43">
        <v>3</v>
      </c>
      <c r="P155" s="43">
        <v>15</v>
      </c>
      <c r="Q155" s="43">
        <v>20</v>
      </c>
    </row>
    <row r="156" spans="1:17">
      <c r="A156" s="43">
        <v>44415</v>
      </c>
      <c r="B156" s="43">
        <v>1</v>
      </c>
      <c r="C156" s="43">
        <v>8</v>
      </c>
      <c r="D156" s="43">
        <v>1</v>
      </c>
      <c r="E156" s="43">
        <v>1</v>
      </c>
      <c r="F156" s="43" t="s">
        <v>61</v>
      </c>
      <c r="G156" s="43">
        <f>IF(F156&gt;0,INDEX(Fish!$D:$D,MATCH(F156,Fish!$L:$L,0)),"")</f>
        <v>11001</v>
      </c>
      <c r="H156" s="43">
        <v>0</v>
      </c>
      <c r="I156" s="43">
        <v>4</v>
      </c>
      <c r="J156" s="43">
        <v>20</v>
      </c>
      <c r="K156" s="43">
        <v>25</v>
      </c>
      <c r="L156" s="43" t="s">
        <v>67</v>
      </c>
      <c r="M156" s="43">
        <f>IF(L156&gt;0,INDEX(Fish!$D:$D,MATCH(L156,Fish!$L:$L,0)),"")</f>
        <v>11004</v>
      </c>
      <c r="N156" s="43">
        <v>0</v>
      </c>
      <c r="O156" s="43">
        <v>3</v>
      </c>
      <c r="P156" s="43">
        <v>15</v>
      </c>
      <c r="Q156" s="43">
        <v>20</v>
      </c>
    </row>
    <row r="157" spans="1:17">
      <c r="A157" s="43">
        <v>44415</v>
      </c>
      <c r="B157" s="43">
        <v>1</v>
      </c>
      <c r="C157" s="43">
        <v>8</v>
      </c>
      <c r="D157" s="43">
        <v>1</v>
      </c>
      <c r="E157" s="43">
        <v>1</v>
      </c>
      <c r="F157" s="43" t="s">
        <v>63</v>
      </c>
      <c r="G157" s="43">
        <f>IF(F157&gt;0,INDEX(Fish!$D:$D,MATCH(F157,Fish!$L:$L,0)),"")</f>
        <v>11002</v>
      </c>
      <c r="H157" s="43">
        <v>0</v>
      </c>
      <c r="I157" s="43">
        <v>4</v>
      </c>
      <c r="J157" s="43">
        <v>20</v>
      </c>
      <c r="K157" s="43">
        <v>25</v>
      </c>
      <c r="L157" s="43" t="s">
        <v>71</v>
      </c>
      <c r="M157" s="43">
        <f>IF(L157&gt;0,INDEX(Fish!$D:$D,MATCH(L157,Fish!$L:$L,0)),"")</f>
        <v>11006</v>
      </c>
      <c r="N157" s="43">
        <v>0</v>
      </c>
      <c r="O157" s="43">
        <v>3</v>
      </c>
      <c r="P157" s="43">
        <v>15</v>
      </c>
      <c r="Q157" s="43">
        <v>20</v>
      </c>
    </row>
    <row r="158" spans="1:17">
      <c r="A158" s="43">
        <v>44415</v>
      </c>
      <c r="B158" s="43">
        <v>1</v>
      </c>
      <c r="C158" s="43">
        <v>8</v>
      </c>
      <c r="D158" s="43">
        <v>1</v>
      </c>
      <c r="E158" s="43">
        <v>1</v>
      </c>
      <c r="F158" s="43" t="s">
        <v>63</v>
      </c>
      <c r="G158" s="43">
        <f>IF(F158&gt;0,INDEX(Fish!$D:$D,MATCH(F158,Fish!$L:$L,0)),"")</f>
        <v>11002</v>
      </c>
      <c r="H158" s="43">
        <v>0</v>
      </c>
      <c r="I158" s="43">
        <v>4</v>
      </c>
      <c r="J158" s="43">
        <v>20</v>
      </c>
      <c r="K158" s="43">
        <v>25</v>
      </c>
      <c r="L158" s="43" t="s">
        <v>65</v>
      </c>
      <c r="M158" s="43">
        <f>IF(L158&gt;0,INDEX(Fish!$D:$D,MATCH(L158,Fish!$L:$L,0)),"")</f>
        <v>11003</v>
      </c>
      <c r="N158" s="43">
        <v>0</v>
      </c>
      <c r="O158" s="43">
        <v>3</v>
      </c>
      <c r="P158" s="43">
        <v>15</v>
      </c>
      <c r="Q158" s="43">
        <v>20</v>
      </c>
    </row>
    <row r="159" spans="1:17">
      <c r="A159" s="43">
        <v>44415</v>
      </c>
      <c r="B159" s="43">
        <v>1</v>
      </c>
      <c r="C159" s="43">
        <v>8</v>
      </c>
      <c r="D159" s="43">
        <v>1</v>
      </c>
      <c r="E159" s="43">
        <v>1</v>
      </c>
      <c r="F159" s="43" t="s">
        <v>63</v>
      </c>
      <c r="G159" s="43">
        <f>IF(F159&gt;0,INDEX(Fish!$D:$D,MATCH(F159,Fish!$L:$L,0)),"")</f>
        <v>11002</v>
      </c>
      <c r="H159" s="43">
        <v>0</v>
      </c>
      <c r="I159" s="43">
        <v>4</v>
      </c>
      <c r="J159" s="43">
        <v>20</v>
      </c>
      <c r="K159" s="43">
        <v>25</v>
      </c>
      <c r="L159" s="43" t="s">
        <v>73</v>
      </c>
      <c r="M159" s="43">
        <f>IF(L159&gt;0,INDEX(Fish!$D:$D,MATCH(L159,Fish!$L:$L,0)),"")</f>
        <v>11007</v>
      </c>
      <c r="N159" s="43">
        <v>0</v>
      </c>
      <c r="O159" s="43">
        <v>3</v>
      </c>
      <c r="P159" s="43">
        <v>15</v>
      </c>
      <c r="Q159" s="43">
        <v>20</v>
      </c>
    </row>
    <row r="160" spans="1:17">
      <c r="A160" s="43">
        <v>44415</v>
      </c>
      <c r="B160" s="43">
        <v>1</v>
      </c>
      <c r="C160" s="43">
        <v>8</v>
      </c>
      <c r="D160" s="43">
        <v>1</v>
      </c>
      <c r="E160" s="43">
        <v>1</v>
      </c>
      <c r="F160" s="43" t="s">
        <v>63</v>
      </c>
      <c r="G160" s="43">
        <f>IF(F160&gt;0,INDEX(Fish!$D:$D,MATCH(F160,Fish!$L:$L,0)),"")</f>
        <v>11002</v>
      </c>
      <c r="H160" s="43">
        <v>0</v>
      </c>
      <c r="I160" s="43">
        <v>4</v>
      </c>
      <c r="J160" s="43">
        <v>20</v>
      </c>
      <c r="K160" s="43">
        <v>25</v>
      </c>
      <c r="L160" s="43" t="s">
        <v>79</v>
      </c>
      <c r="M160" s="43">
        <f>IF(L160&gt;0,INDEX(Fish!$D:$D,MATCH(L160,Fish!$L:$L,0)),"")</f>
        <v>11085</v>
      </c>
      <c r="N160" s="43">
        <v>0</v>
      </c>
      <c r="O160" s="43">
        <v>3</v>
      </c>
      <c r="P160" s="43">
        <v>15</v>
      </c>
      <c r="Q160" s="43">
        <v>20</v>
      </c>
    </row>
    <row r="161" spans="1:17">
      <c r="A161" s="43">
        <v>44415</v>
      </c>
      <c r="B161" s="43">
        <v>1</v>
      </c>
      <c r="C161" s="43">
        <v>8</v>
      </c>
      <c r="D161" s="43">
        <v>1</v>
      </c>
      <c r="E161" s="43">
        <v>1</v>
      </c>
      <c r="F161" s="43" t="s">
        <v>63</v>
      </c>
      <c r="G161" s="43">
        <f>IF(F161&gt;0,INDEX(Fish!$D:$D,MATCH(F161,Fish!$L:$L,0)),"")</f>
        <v>11002</v>
      </c>
      <c r="H161" s="43">
        <v>0</v>
      </c>
      <c r="I161" s="43">
        <v>4</v>
      </c>
      <c r="J161" s="43">
        <v>20</v>
      </c>
      <c r="K161" s="43">
        <v>25</v>
      </c>
      <c r="L161" s="43" t="s">
        <v>67</v>
      </c>
      <c r="M161" s="43">
        <f>IF(L161&gt;0,INDEX(Fish!$D:$D,MATCH(L161,Fish!$L:$L,0)),"")</f>
        <v>11004</v>
      </c>
      <c r="N161" s="43">
        <v>0</v>
      </c>
      <c r="O161" s="43">
        <v>3</v>
      </c>
      <c r="P161" s="43">
        <v>15</v>
      </c>
      <c r="Q161" s="43">
        <v>20</v>
      </c>
    </row>
    <row r="162" spans="1:29">
      <c r="A162" s="43">
        <v>44415</v>
      </c>
      <c r="B162" s="43">
        <v>2</v>
      </c>
      <c r="C162" s="43">
        <v>0</v>
      </c>
      <c r="D162" s="43">
        <v>2</v>
      </c>
      <c r="E162" s="43">
        <v>1</v>
      </c>
      <c r="F162" s="43" t="s">
        <v>75</v>
      </c>
      <c r="G162" s="43">
        <f>IF(F162&gt;0,INDEX(Fish!$D:$D,MATCH(F162,Fish!$L:$L,0)),"")</f>
        <v>11008</v>
      </c>
      <c r="H162" s="43">
        <v>0</v>
      </c>
      <c r="I162" s="43">
        <v>1</v>
      </c>
      <c r="J162" s="43">
        <v>5</v>
      </c>
      <c r="K162" s="43">
        <v>6</v>
      </c>
      <c r="L162" s="43" t="s">
        <v>81</v>
      </c>
      <c r="M162" s="43">
        <f>IF(L162&gt;0,INDEX(Fish!$D:$D,MATCH(L162,Fish!$L:$L,0)),"")</f>
        <v>11010</v>
      </c>
      <c r="N162" s="43">
        <v>0</v>
      </c>
      <c r="O162" s="43">
        <v>1</v>
      </c>
      <c r="P162" s="43">
        <v>3</v>
      </c>
      <c r="Q162" s="43">
        <v>5</v>
      </c>
      <c r="R162" s="43" t="s">
        <v>85</v>
      </c>
      <c r="S162" s="43">
        <f>IF(R162&gt;0,INDEX(Fish!$D:$D,MATCH(R162,Fish!$L:$L,0)),"")</f>
        <v>11012</v>
      </c>
      <c r="T162" s="43">
        <v>0</v>
      </c>
      <c r="U162" s="43">
        <v>1</v>
      </c>
      <c r="V162" s="43">
        <v>2</v>
      </c>
      <c r="W162" s="43">
        <v>4</v>
      </c>
      <c r="X162" s="43" t="s">
        <v>87</v>
      </c>
      <c r="Y162" s="43">
        <f>IF(X162&gt;0,INDEX(Fish!$D:$D,MATCH(X162,Fish!$L:$L,0)),"")</f>
        <v>11013</v>
      </c>
      <c r="Z162" s="43">
        <v>0</v>
      </c>
      <c r="AA162" s="43">
        <v>1</v>
      </c>
      <c r="AB162" s="43">
        <v>2</v>
      </c>
      <c r="AC162" s="43">
        <v>3</v>
      </c>
    </row>
    <row r="163" spans="1:29">
      <c r="A163" s="43">
        <v>44415</v>
      </c>
      <c r="B163" s="43">
        <v>2</v>
      </c>
      <c r="C163" s="43">
        <v>0</v>
      </c>
      <c r="D163" s="43">
        <v>2</v>
      </c>
      <c r="E163" s="43">
        <v>1</v>
      </c>
      <c r="F163" s="43" t="s">
        <v>75</v>
      </c>
      <c r="G163" s="43">
        <f>IF(F163&gt;0,INDEX(Fish!$D:$D,MATCH(F163,Fish!$L:$L,0)),"")</f>
        <v>11008</v>
      </c>
      <c r="H163" s="43">
        <v>0</v>
      </c>
      <c r="I163" s="43">
        <v>1</v>
      </c>
      <c r="J163" s="43">
        <v>5</v>
      </c>
      <c r="K163" s="43">
        <v>6</v>
      </c>
      <c r="L163" s="43" t="s">
        <v>81</v>
      </c>
      <c r="M163" s="43">
        <f>IF(L163&gt;0,INDEX(Fish!$D:$D,MATCH(L163,Fish!$L:$L,0)),"")</f>
        <v>11010</v>
      </c>
      <c r="N163" s="43">
        <v>0</v>
      </c>
      <c r="O163" s="43">
        <v>1</v>
      </c>
      <c r="P163" s="43">
        <v>3</v>
      </c>
      <c r="Q163" s="43">
        <v>5</v>
      </c>
      <c r="R163" s="43" t="s">
        <v>85</v>
      </c>
      <c r="S163" s="43">
        <f>IF(R163&gt;0,INDEX(Fish!$D:$D,MATCH(R163,Fish!$L:$L,0)),"")</f>
        <v>11012</v>
      </c>
      <c r="T163" s="43">
        <v>0</v>
      </c>
      <c r="U163" s="43">
        <v>1</v>
      </c>
      <c r="V163" s="43">
        <v>2</v>
      </c>
      <c r="W163" s="43">
        <v>4</v>
      </c>
      <c r="X163" s="43" t="s">
        <v>93</v>
      </c>
      <c r="Y163" s="43">
        <f>IF(X163&gt;0,INDEX(Fish!$D:$D,MATCH(X163,Fish!$L:$L,0)),"")</f>
        <v>11016</v>
      </c>
      <c r="Z163" s="43">
        <v>0</v>
      </c>
      <c r="AA163" s="43">
        <v>1</v>
      </c>
      <c r="AB163" s="43">
        <v>2</v>
      </c>
      <c r="AC163" s="43">
        <v>3</v>
      </c>
    </row>
    <row r="164" spans="1:29">
      <c r="A164" s="43">
        <v>44415</v>
      </c>
      <c r="B164" s="43">
        <v>2</v>
      </c>
      <c r="C164" s="43">
        <v>0</v>
      </c>
      <c r="D164" s="43">
        <v>2</v>
      </c>
      <c r="E164" s="43">
        <v>1</v>
      </c>
      <c r="F164" s="43" t="s">
        <v>75</v>
      </c>
      <c r="G164" s="43">
        <f>IF(F164&gt;0,INDEX(Fish!$D:$D,MATCH(F164,Fish!$L:$L,0)),"")</f>
        <v>11008</v>
      </c>
      <c r="H164" s="43">
        <v>0</v>
      </c>
      <c r="I164" s="43">
        <v>1</v>
      </c>
      <c r="J164" s="43">
        <v>5</v>
      </c>
      <c r="K164" s="43">
        <v>6</v>
      </c>
      <c r="L164" s="43" t="s">
        <v>81</v>
      </c>
      <c r="M164" s="43">
        <f>IF(L164&gt;0,INDEX(Fish!$D:$D,MATCH(L164,Fish!$L:$L,0)),"")</f>
        <v>11010</v>
      </c>
      <c r="N164" s="43">
        <v>0</v>
      </c>
      <c r="O164" s="43">
        <v>1</v>
      </c>
      <c r="P164" s="43">
        <v>3</v>
      </c>
      <c r="Q164" s="43">
        <v>5</v>
      </c>
      <c r="R164" s="43" t="s">
        <v>85</v>
      </c>
      <c r="S164" s="43">
        <f>IF(R164&gt;0,INDEX(Fish!$D:$D,MATCH(R164,Fish!$L:$L,0)),"")</f>
        <v>11012</v>
      </c>
      <c r="T164" s="43">
        <v>0</v>
      </c>
      <c r="U164" s="43">
        <v>1</v>
      </c>
      <c r="V164" s="43">
        <v>2</v>
      </c>
      <c r="W164" s="43">
        <v>4</v>
      </c>
      <c r="X164" s="43" t="s">
        <v>89</v>
      </c>
      <c r="Y164" s="43">
        <f>IF(X164&gt;0,INDEX(Fish!$D:$D,MATCH(X164,Fish!$L:$L,0)),"")</f>
        <v>11235</v>
      </c>
      <c r="Z164" s="43">
        <v>0</v>
      </c>
      <c r="AA164" s="43">
        <v>1</v>
      </c>
      <c r="AB164" s="43">
        <v>2</v>
      </c>
      <c r="AC164" s="43">
        <v>3</v>
      </c>
    </row>
    <row r="165" spans="1:29">
      <c r="A165" s="43">
        <v>44415</v>
      </c>
      <c r="B165" s="43">
        <v>2</v>
      </c>
      <c r="C165" s="43">
        <v>0</v>
      </c>
      <c r="D165" s="43">
        <v>2</v>
      </c>
      <c r="E165" s="43">
        <v>1</v>
      </c>
      <c r="F165" s="43" t="s">
        <v>75</v>
      </c>
      <c r="G165" s="43">
        <f>IF(F165&gt;0,INDEX(Fish!$D:$D,MATCH(F165,Fish!$L:$L,0)),"")</f>
        <v>11008</v>
      </c>
      <c r="H165" s="43">
        <v>0</v>
      </c>
      <c r="I165" s="43">
        <v>1</v>
      </c>
      <c r="J165" s="43">
        <v>5</v>
      </c>
      <c r="K165" s="43">
        <v>6</v>
      </c>
      <c r="L165" s="43" t="s">
        <v>81</v>
      </c>
      <c r="M165" s="43">
        <f>IF(L165&gt;0,INDEX(Fish!$D:$D,MATCH(L165,Fish!$L:$L,0)),"")</f>
        <v>11010</v>
      </c>
      <c r="N165" s="43">
        <v>0</v>
      </c>
      <c r="O165" s="43">
        <v>1</v>
      </c>
      <c r="P165" s="43">
        <v>3</v>
      </c>
      <c r="Q165" s="43">
        <v>5</v>
      </c>
      <c r="R165" s="43" t="s">
        <v>91</v>
      </c>
      <c r="S165" s="43">
        <f>IF(R165&gt;0,INDEX(Fish!$D:$D,MATCH(R165,Fish!$L:$L,0)),"")</f>
        <v>11015</v>
      </c>
      <c r="T165" s="43">
        <v>0</v>
      </c>
      <c r="U165" s="43">
        <v>1</v>
      </c>
      <c r="V165" s="43">
        <v>2</v>
      </c>
      <c r="W165" s="43">
        <v>4</v>
      </c>
      <c r="X165" s="43" t="s">
        <v>87</v>
      </c>
      <c r="Y165" s="43">
        <f>IF(X165&gt;0,INDEX(Fish!$D:$D,MATCH(X165,Fish!$L:$L,0)),"")</f>
        <v>11013</v>
      </c>
      <c r="Z165" s="43">
        <v>0</v>
      </c>
      <c r="AA165" s="43">
        <v>1</v>
      </c>
      <c r="AB165" s="43">
        <v>2</v>
      </c>
      <c r="AC165" s="43">
        <v>3</v>
      </c>
    </row>
    <row r="166" spans="1:29">
      <c r="A166" s="43">
        <v>44415</v>
      </c>
      <c r="B166" s="43">
        <v>2</v>
      </c>
      <c r="C166" s="43">
        <v>0</v>
      </c>
      <c r="D166" s="43">
        <v>2</v>
      </c>
      <c r="E166" s="43">
        <v>1</v>
      </c>
      <c r="F166" s="43" t="s">
        <v>75</v>
      </c>
      <c r="G166" s="43">
        <f>IF(F166&gt;0,INDEX(Fish!$D:$D,MATCH(F166,Fish!$L:$L,0)),"")</f>
        <v>11008</v>
      </c>
      <c r="H166" s="43">
        <v>0</v>
      </c>
      <c r="I166" s="43">
        <v>1</v>
      </c>
      <c r="J166" s="43">
        <v>5</v>
      </c>
      <c r="K166" s="43">
        <v>6</v>
      </c>
      <c r="L166" s="43" t="s">
        <v>81</v>
      </c>
      <c r="M166" s="43">
        <f>IF(L166&gt;0,INDEX(Fish!$D:$D,MATCH(L166,Fish!$L:$L,0)),"")</f>
        <v>11010</v>
      </c>
      <c r="N166" s="43">
        <v>0</v>
      </c>
      <c r="O166" s="43">
        <v>1</v>
      </c>
      <c r="P166" s="43">
        <v>3</v>
      </c>
      <c r="Q166" s="43">
        <v>5</v>
      </c>
      <c r="R166" s="43" t="s">
        <v>91</v>
      </c>
      <c r="S166" s="43">
        <f>IF(R166&gt;0,INDEX(Fish!$D:$D,MATCH(R166,Fish!$L:$L,0)),"")</f>
        <v>11015</v>
      </c>
      <c r="T166" s="43">
        <v>0</v>
      </c>
      <c r="U166" s="43">
        <v>1</v>
      </c>
      <c r="V166" s="43">
        <v>2</v>
      </c>
      <c r="W166" s="43">
        <v>4</v>
      </c>
      <c r="X166" s="43" t="s">
        <v>93</v>
      </c>
      <c r="Y166" s="43">
        <f>IF(X166&gt;0,INDEX(Fish!$D:$D,MATCH(X166,Fish!$L:$L,0)),"")</f>
        <v>11016</v>
      </c>
      <c r="Z166" s="43">
        <v>0</v>
      </c>
      <c r="AA166" s="43">
        <v>1</v>
      </c>
      <c r="AB166" s="43">
        <v>2</v>
      </c>
      <c r="AC166" s="43">
        <v>3</v>
      </c>
    </row>
    <row r="167" spans="1:29">
      <c r="A167" s="43">
        <v>44415</v>
      </c>
      <c r="B167" s="43">
        <v>2</v>
      </c>
      <c r="C167" s="43">
        <v>0</v>
      </c>
      <c r="D167" s="43">
        <v>2</v>
      </c>
      <c r="E167" s="43">
        <v>1</v>
      </c>
      <c r="F167" s="43" t="s">
        <v>75</v>
      </c>
      <c r="G167" s="43">
        <f>IF(F167&gt;0,INDEX(Fish!$D:$D,MATCH(F167,Fish!$L:$L,0)),"")</f>
        <v>11008</v>
      </c>
      <c r="H167" s="43">
        <v>0</v>
      </c>
      <c r="I167" s="43">
        <v>1</v>
      </c>
      <c r="J167" s="43">
        <v>5</v>
      </c>
      <c r="K167" s="43">
        <v>6</v>
      </c>
      <c r="L167" s="43" t="s">
        <v>81</v>
      </c>
      <c r="M167" s="43">
        <f>IF(L167&gt;0,INDEX(Fish!$D:$D,MATCH(L167,Fish!$L:$L,0)),"")</f>
        <v>11010</v>
      </c>
      <c r="N167" s="43">
        <v>0</v>
      </c>
      <c r="O167" s="43">
        <v>1</v>
      </c>
      <c r="P167" s="43">
        <v>3</v>
      </c>
      <c r="Q167" s="43">
        <v>5</v>
      </c>
      <c r="R167" s="43" t="s">
        <v>91</v>
      </c>
      <c r="S167" s="43">
        <f>IF(R167&gt;0,INDEX(Fish!$D:$D,MATCH(R167,Fish!$L:$L,0)),"")</f>
        <v>11015</v>
      </c>
      <c r="T167" s="43">
        <v>0</v>
      </c>
      <c r="U167" s="43">
        <v>1</v>
      </c>
      <c r="V167" s="43">
        <v>2</v>
      </c>
      <c r="W167" s="43">
        <v>4</v>
      </c>
      <c r="X167" s="43" t="s">
        <v>89</v>
      </c>
      <c r="Y167" s="43">
        <f>IF(X167&gt;0,INDEX(Fish!$D:$D,MATCH(X167,Fish!$L:$L,0)),"")</f>
        <v>11235</v>
      </c>
      <c r="Z167" s="43">
        <v>0</v>
      </c>
      <c r="AA167" s="43">
        <v>1</v>
      </c>
      <c r="AB167" s="43">
        <v>2</v>
      </c>
      <c r="AC167" s="43">
        <v>3</v>
      </c>
    </row>
    <row r="168" spans="1:29">
      <c r="A168" s="43">
        <v>44415</v>
      </c>
      <c r="B168" s="43">
        <v>2</v>
      </c>
      <c r="C168" s="43">
        <v>0</v>
      </c>
      <c r="D168" s="43">
        <v>2</v>
      </c>
      <c r="E168" s="43">
        <v>1</v>
      </c>
      <c r="F168" s="43" t="s">
        <v>75</v>
      </c>
      <c r="G168" s="43">
        <f>IF(F168&gt;0,INDEX(Fish!$D:$D,MATCH(F168,Fish!$L:$L,0)),"")</f>
        <v>11008</v>
      </c>
      <c r="H168" s="43">
        <v>0</v>
      </c>
      <c r="I168" s="43">
        <v>1</v>
      </c>
      <c r="J168" s="43">
        <v>5</v>
      </c>
      <c r="K168" s="43">
        <v>6</v>
      </c>
      <c r="L168" s="43" t="s">
        <v>95</v>
      </c>
      <c r="M168" s="43">
        <f>IF(L168&gt;0,INDEX(Fish!$D:$D,MATCH(L168,Fish!$L:$L,0)),"")</f>
        <v>11017</v>
      </c>
      <c r="N168" s="43">
        <v>0</v>
      </c>
      <c r="O168" s="43">
        <v>1</v>
      </c>
      <c r="P168" s="43">
        <v>3</v>
      </c>
      <c r="Q168" s="43">
        <v>5</v>
      </c>
      <c r="R168" s="43" t="s">
        <v>85</v>
      </c>
      <c r="S168" s="43">
        <f>IF(R168&gt;0,INDEX(Fish!$D:$D,MATCH(R168,Fish!$L:$L,0)),"")</f>
        <v>11012</v>
      </c>
      <c r="T168" s="43">
        <v>0</v>
      </c>
      <c r="U168" s="43">
        <v>1</v>
      </c>
      <c r="V168" s="43">
        <v>2</v>
      </c>
      <c r="W168" s="43">
        <v>4</v>
      </c>
      <c r="X168" s="43" t="s">
        <v>87</v>
      </c>
      <c r="Y168" s="43">
        <f>IF(X168&gt;0,INDEX(Fish!$D:$D,MATCH(X168,Fish!$L:$L,0)),"")</f>
        <v>11013</v>
      </c>
      <c r="Z168" s="43">
        <v>0</v>
      </c>
      <c r="AA168" s="43">
        <v>1</v>
      </c>
      <c r="AB168" s="43">
        <v>2</v>
      </c>
      <c r="AC168" s="43">
        <v>3</v>
      </c>
    </row>
    <row r="169" spans="1:29">
      <c r="A169" s="43">
        <v>44415</v>
      </c>
      <c r="B169" s="43">
        <v>2</v>
      </c>
      <c r="C169" s="43">
        <v>0</v>
      </c>
      <c r="D169" s="43">
        <v>2</v>
      </c>
      <c r="E169" s="43">
        <v>1</v>
      </c>
      <c r="F169" s="43" t="s">
        <v>75</v>
      </c>
      <c r="G169" s="43">
        <f>IF(F169&gt;0,INDEX(Fish!$D:$D,MATCH(F169,Fish!$L:$L,0)),"")</f>
        <v>11008</v>
      </c>
      <c r="H169" s="43">
        <v>0</v>
      </c>
      <c r="I169" s="43">
        <v>1</v>
      </c>
      <c r="J169" s="43">
        <v>5</v>
      </c>
      <c r="K169" s="43">
        <v>6</v>
      </c>
      <c r="L169" s="43" t="s">
        <v>95</v>
      </c>
      <c r="M169" s="43">
        <f>IF(L169&gt;0,INDEX(Fish!$D:$D,MATCH(L169,Fish!$L:$L,0)),"")</f>
        <v>11017</v>
      </c>
      <c r="N169" s="43">
        <v>0</v>
      </c>
      <c r="O169" s="43">
        <v>1</v>
      </c>
      <c r="P169" s="43">
        <v>3</v>
      </c>
      <c r="Q169" s="43">
        <v>5</v>
      </c>
      <c r="R169" s="43" t="s">
        <v>85</v>
      </c>
      <c r="S169" s="43">
        <f>IF(R169&gt;0,INDEX(Fish!$D:$D,MATCH(R169,Fish!$L:$L,0)),"")</f>
        <v>11012</v>
      </c>
      <c r="T169" s="43">
        <v>0</v>
      </c>
      <c r="U169" s="43">
        <v>1</v>
      </c>
      <c r="V169" s="43">
        <v>2</v>
      </c>
      <c r="W169" s="43">
        <v>4</v>
      </c>
      <c r="X169" s="43" t="s">
        <v>93</v>
      </c>
      <c r="Y169" s="43">
        <f>IF(X169&gt;0,INDEX(Fish!$D:$D,MATCH(X169,Fish!$L:$L,0)),"")</f>
        <v>11016</v>
      </c>
      <c r="Z169" s="43">
        <v>0</v>
      </c>
      <c r="AA169" s="43">
        <v>1</v>
      </c>
      <c r="AB169" s="43">
        <v>2</v>
      </c>
      <c r="AC169" s="43">
        <v>3</v>
      </c>
    </row>
    <row r="170" spans="1:29">
      <c r="A170" s="43">
        <v>44415</v>
      </c>
      <c r="B170" s="43">
        <v>2</v>
      </c>
      <c r="C170" s="43">
        <v>0</v>
      </c>
      <c r="D170" s="43">
        <v>2</v>
      </c>
      <c r="E170" s="43">
        <v>1</v>
      </c>
      <c r="F170" s="43" t="s">
        <v>75</v>
      </c>
      <c r="G170" s="43">
        <f>IF(F170&gt;0,INDEX(Fish!$D:$D,MATCH(F170,Fish!$L:$L,0)),"")</f>
        <v>11008</v>
      </c>
      <c r="H170" s="43">
        <v>0</v>
      </c>
      <c r="I170" s="43">
        <v>1</v>
      </c>
      <c r="J170" s="43">
        <v>5</v>
      </c>
      <c r="K170" s="43">
        <v>6</v>
      </c>
      <c r="L170" s="43" t="s">
        <v>95</v>
      </c>
      <c r="M170" s="43">
        <f>IF(L170&gt;0,INDEX(Fish!$D:$D,MATCH(L170,Fish!$L:$L,0)),"")</f>
        <v>11017</v>
      </c>
      <c r="N170" s="43">
        <v>0</v>
      </c>
      <c r="O170" s="43">
        <v>1</v>
      </c>
      <c r="P170" s="43">
        <v>3</v>
      </c>
      <c r="Q170" s="43">
        <v>5</v>
      </c>
      <c r="R170" s="43" t="s">
        <v>85</v>
      </c>
      <c r="S170" s="43">
        <f>IF(R170&gt;0,INDEX(Fish!$D:$D,MATCH(R170,Fish!$L:$L,0)),"")</f>
        <v>11012</v>
      </c>
      <c r="T170" s="43">
        <v>0</v>
      </c>
      <c r="U170" s="43">
        <v>1</v>
      </c>
      <c r="V170" s="43">
        <v>2</v>
      </c>
      <c r="W170" s="43">
        <v>4</v>
      </c>
      <c r="X170" s="43" t="s">
        <v>89</v>
      </c>
      <c r="Y170" s="43">
        <f>IF(X170&gt;0,INDEX(Fish!$D:$D,MATCH(X170,Fish!$L:$L,0)),"")</f>
        <v>11235</v>
      </c>
      <c r="Z170" s="43">
        <v>0</v>
      </c>
      <c r="AA170" s="43">
        <v>1</v>
      </c>
      <c r="AB170" s="43">
        <v>2</v>
      </c>
      <c r="AC170" s="43">
        <v>3</v>
      </c>
    </row>
    <row r="171" spans="1:29">
      <c r="A171" s="43">
        <v>44415</v>
      </c>
      <c r="B171" s="43">
        <v>2</v>
      </c>
      <c r="C171" s="43">
        <v>0</v>
      </c>
      <c r="D171" s="43">
        <v>2</v>
      </c>
      <c r="E171" s="43">
        <v>1</v>
      </c>
      <c r="F171" s="43" t="s">
        <v>75</v>
      </c>
      <c r="G171" s="43">
        <f>IF(F171&gt;0,INDEX(Fish!$D:$D,MATCH(F171,Fish!$L:$L,0)),"")</f>
        <v>11008</v>
      </c>
      <c r="H171" s="43">
        <v>0</v>
      </c>
      <c r="I171" s="43">
        <v>1</v>
      </c>
      <c r="J171" s="43">
        <v>5</v>
      </c>
      <c r="K171" s="43">
        <v>6</v>
      </c>
      <c r="L171" s="43" t="s">
        <v>95</v>
      </c>
      <c r="M171" s="43">
        <f>IF(L171&gt;0,INDEX(Fish!$D:$D,MATCH(L171,Fish!$L:$L,0)),"")</f>
        <v>11017</v>
      </c>
      <c r="N171" s="43">
        <v>0</v>
      </c>
      <c r="O171" s="43">
        <v>1</v>
      </c>
      <c r="P171" s="43">
        <v>3</v>
      </c>
      <c r="Q171" s="43">
        <v>5</v>
      </c>
      <c r="R171" s="43" t="s">
        <v>91</v>
      </c>
      <c r="S171" s="43">
        <f>IF(R171&gt;0,INDEX(Fish!$D:$D,MATCH(R171,Fish!$L:$L,0)),"")</f>
        <v>11015</v>
      </c>
      <c r="T171" s="43">
        <v>0</v>
      </c>
      <c r="U171" s="43">
        <v>1</v>
      </c>
      <c r="V171" s="43">
        <v>2</v>
      </c>
      <c r="W171" s="43">
        <v>4</v>
      </c>
      <c r="X171" s="43" t="s">
        <v>87</v>
      </c>
      <c r="Y171" s="43">
        <f>IF(X171&gt;0,INDEX(Fish!$D:$D,MATCH(X171,Fish!$L:$L,0)),"")</f>
        <v>11013</v>
      </c>
      <c r="Z171" s="43">
        <v>0</v>
      </c>
      <c r="AA171" s="43">
        <v>1</v>
      </c>
      <c r="AB171" s="43">
        <v>2</v>
      </c>
      <c r="AC171" s="43">
        <v>3</v>
      </c>
    </row>
    <row r="172" spans="1:29">
      <c r="A172" s="43">
        <v>44415</v>
      </c>
      <c r="B172" s="43">
        <v>2</v>
      </c>
      <c r="C172" s="43">
        <v>0</v>
      </c>
      <c r="D172" s="43">
        <v>2</v>
      </c>
      <c r="E172" s="43">
        <v>1</v>
      </c>
      <c r="F172" s="43" t="s">
        <v>75</v>
      </c>
      <c r="G172" s="43">
        <f>IF(F172&gt;0,INDEX(Fish!$D:$D,MATCH(F172,Fish!$L:$L,0)),"")</f>
        <v>11008</v>
      </c>
      <c r="H172" s="43">
        <v>0</v>
      </c>
      <c r="I172" s="43">
        <v>1</v>
      </c>
      <c r="J172" s="43">
        <v>5</v>
      </c>
      <c r="K172" s="43">
        <v>6</v>
      </c>
      <c r="L172" s="43" t="s">
        <v>95</v>
      </c>
      <c r="M172" s="43">
        <f>IF(L172&gt;0,INDEX(Fish!$D:$D,MATCH(L172,Fish!$L:$L,0)),"")</f>
        <v>11017</v>
      </c>
      <c r="N172" s="43">
        <v>0</v>
      </c>
      <c r="O172" s="43">
        <v>1</v>
      </c>
      <c r="P172" s="43">
        <v>3</v>
      </c>
      <c r="Q172" s="43">
        <v>5</v>
      </c>
      <c r="R172" s="43" t="s">
        <v>91</v>
      </c>
      <c r="S172" s="43">
        <f>IF(R172&gt;0,INDEX(Fish!$D:$D,MATCH(R172,Fish!$L:$L,0)),"")</f>
        <v>11015</v>
      </c>
      <c r="T172" s="43">
        <v>0</v>
      </c>
      <c r="U172" s="43">
        <v>1</v>
      </c>
      <c r="V172" s="43">
        <v>2</v>
      </c>
      <c r="W172" s="43">
        <v>4</v>
      </c>
      <c r="X172" s="43" t="s">
        <v>93</v>
      </c>
      <c r="Y172" s="43">
        <f>IF(X172&gt;0,INDEX(Fish!$D:$D,MATCH(X172,Fish!$L:$L,0)),"")</f>
        <v>11016</v>
      </c>
      <c r="Z172" s="43">
        <v>0</v>
      </c>
      <c r="AA172" s="43">
        <v>1</v>
      </c>
      <c r="AB172" s="43">
        <v>2</v>
      </c>
      <c r="AC172" s="43">
        <v>3</v>
      </c>
    </row>
    <row r="173" spans="1:29">
      <c r="A173" s="43">
        <v>44415</v>
      </c>
      <c r="B173" s="43">
        <v>2</v>
      </c>
      <c r="C173" s="43">
        <v>0</v>
      </c>
      <c r="D173" s="43">
        <v>2</v>
      </c>
      <c r="E173" s="43">
        <v>1</v>
      </c>
      <c r="F173" s="43" t="s">
        <v>75</v>
      </c>
      <c r="G173" s="43">
        <f>IF(F173&gt;0,INDEX(Fish!$D:$D,MATCH(F173,Fish!$L:$L,0)),"")</f>
        <v>11008</v>
      </c>
      <c r="H173" s="43">
        <v>0</v>
      </c>
      <c r="I173" s="43">
        <v>1</v>
      </c>
      <c r="J173" s="43">
        <v>5</v>
      </c>
      <c r="K173" s="43">
        <v>6</v>
      </c>
      <c r="L173" s="43" t="s">
        <v>95</v>
      </c>
      <c r="M173" s="43">
        <f>IF(L173&gt;0,INDEX(Fish!$D:$D,MATCH(L173,Fish!$L:$L,0)),"")</f>
        <v>11017</v>
      </c>
      <c r="N173" s="43">
        <v>0</v>
      </c>
      <c r="O173" s="43">
        <v>1</v>
      </c>
      <c r="P173" s="43">
        <v>3</v>
      </c>
      <c r="Q173" s="43">
        <v>5</v>
      </c>
      <c r="R173" s="43" t="s">
        <v>91</v>
      </c>
      <c r="S173" s="43">
        <f>IF(R173&gt;0,INDEX(Fish!$D:$D,MATCH(R173,Fish!$L:$L,0)),"")</f>
        <v>11015</v>
      </c>
      <c r="T173" s="43">
        <v>0</v>
      </c>
      <c r="U173" s="43">
        <v>1</v>
      </c>
      <c r="V173" s="43">
        <v>2</v>
      </c>
      <c r="W173" s="43">
        <v>4</v>
      </c>
      <c r="X173" s="43" t="s">
        <v>89</v>
      </c>
      <c r="Y173" s="43">
        <f>IF(X173&gt;0,INDEX(Fish!$D:$D,MATCH(X173,Fish!$L:$L,0)),"")</f>
        <v>11235</v>
      </c>
      <c r="Z173" s="43">
        <v>0</v>
      </c>
      <c r="AA173" s="43">
        <v>1</v>
      </c>
      <c r="AB173" s="43">
        <v>2</v>
      </c>
      <c r="AC173" s="43">
        <v>3</v>
      </c>
    </row>
    <row r="174" spans="1:29">
      <c r="A174" s="43">
        <v>44415</v>
      </c>
      <c r="B174" s="43">
        <v>2</v>
      </c>
      <c r="C174" s="43">
        <v>0</v>
      </c>
      <c r="D174" s="43">
        <v>2</v>
      </c>
      <c r="E174" s="43">
        <v>1</v>
      </c>
      <c r="F174" s="43" t="s">
        <v>69</v>
      </c>
      <c r="G174" s="43">
        <f>IF(F174&gt;0,INDEX(Fish!$D:$D,MATCH(F174,Fish!$L:$L,0)),"")</f>
        <v>11005</v>
      </c>
      <c r="H174" s="43">
        <v>0</v>
      </c>
      <c r="I174" s="43">
        <v>1</v>
      </c>
      <c r="J174" s="43">
        <v>5</v>
      </c>
      <c r="K174" s="43">
        <v>6</v>
      </c>
      <c r="L174" s="43" t="s">
        <v>81</v>
      </c>
      <c r="M174" s="43">
        <f>IF(L174&gt;0,INDEX(Fish!$D:$D,MATCH(L174,Fish!$L:$L,0)),"")</f>
        <v>11010</v>
      </c>
      <c r="N174" s="43">
        <v>0</v>
      </c>
      <c r="O174" s="43">
        <v>1</v>
      </c>
      <c r="P174" s="43">
        <v>3</v>
      </c>
      <c r="Q174" s="43">
        <v>5</v>
      </c>
      <c r="R174" s="43" t="s">
        <v>85</v>
      </c>
      <c r="S174" s="43">
        <f>IF(R174&gt;0,INDEX(Fish!$D:$D,MATCH(R174,Fish!$L:$L,0)),"")</f>
        <v>11012</v>
      </c>
      <c r="T174" s="43">
        <v>0</v>
      </c>
      <c r="U174" s="43">
        <v>1</v>
      </c>
      <c r="V174" s="43">
        <v>2</v>
      </c>
      <c r="W174" s="43">
        <v>4</v>
      </c>
      <c r="X174" s="43" t="s">
        <v>87</v>
      </c>
      <c r="Y174" s="43">
        <f>IF(X174&gt;0,INDEX(Fish!$D:$D,MATCH(X174,Fish!$L:$L,0)),"")</f>
        <v>11013</v>
      </c>
      <c r="Z174" s="43">
        <v>0</v>
      </c>
      <c r="AA174" s="43">
        <v>1</v>
      </c>
      <c r="AB174" s="43">
        <v>2</v>
      </c>
      <c r="AC174" s="43">
        <v>3</v>
      </c>
    </row>
    <row r="175" spans="1:29">
      <c r="A175" s="43">
        <v>44415</v>
      </c>
      <c r="B175" s="43">
        <v>2</v>
      </c>
      <c r="C175" s="43">
        <v>0</v>
      </c>
      <c r="D175" s="43">
        <v>2</v>
      </c>
      <c r="E175" s="43">
        <v>1</v>
      </c>
      <c r="F175" s="43" t="s">
        <v>69</v>
      </c>
      <c r="G175" s="43">
        <f>IF(F175&gt;0,INDEX(Fish!$D:$D,MATCH(F175,Fish!$L:$L,0)),"")</f>
        <v>11005</v>
      </c>
      <c r="H175" s="43">
        <v>0</v>
      </c>
      <c r="I175" s="43">
        <v>1</v>
      </c>
      <c r="J175" s="43">
        <v>5</v>
      </c>
      <c r="K175" s="43">
        <v>6</v>
      </c>
      <c r="L175" s="43" t="s">
        <v>81</v>
      </c>
      <c r="M175" s="43">
        <f>IF(L175&gt;0,INDEX(Fish!$D:$D,MATCH(L175,Fish!$L:$L,0)),"")</f>
        <v>11010</v>
      </c>
      <c r="N175" s="43">
        <v>0</v>
      </c>
      <c r="O175" s="43">
        <v>1</v>
      </c>
      <c r="P175" s="43">
        <v>3</v>
      </c>
      <c r="Q175" s="43">
        <v>5</v>
      </c>
      <c r="R175" s="43" t="s">
        <v>85</v>
      </c>
      <c r="S175" s="43">
        <f>IF(R175&gt;0,INDEX(Fish!$D:$D,MATCH(R175,Fish!$L:$L,0)),"")</f>
        <v>11012</v>
      </c>
      <c r="T175" s="43">
        <v>0</v>
      </c>
      <c r="U175" s="43">
        <v>1</v>
      </c>
      <c r="V175" s="43">
        <v>2</v>
      </c>
      <c r="W175" s="43">
        <v>4</v>
      </c>
      <c r="X175" s="43" t="s">
        <v>93</v>
      </c>
      <c r="Y175" s="43">
        <f>IF(X175&gt;0,INDEX(Fish!$D:$D,MATCH(X175,Fish!$L:$L,0)),"")</f>
        <v>11016</v>
      </c>
      <c r="Z175" s="43">
        <v>0</v>
      </c>
      <c r="AA175" s="43">
        <v>1</v>
      </c>
      <c r="AB175" s="43">
        <v>2</v>
      </c>
      <c r="AC175" s="43">
        <v>3</v>
      </c>
    </row>
    <row r="176" spans="1:29">
      <c r="A176" s="43">
        <v>44415</v>
      </c>
      <c r="B176" s="43">
        <v>2</v>
      </c>
      <c r="C176" s="43">
        <v>0</v>
      </c>
      <c r="D176" s="43">
        <v>2</v>
      </c>
      <c r="E176" s="43">
        <v>1</v>
      </c>
      <c r="F176" s="43" t="s">
        <v>69</v>
      </c>
      <c r="G176" s="43">
        <f>IF(F176&gt;0,INDEX(Fish!$D:$D,MATCH(F176,Fish!$L:$L,0)),"")</f>
        <v>11005</v>
      </c>
      <c r="H176" s="43">
        <v>0</v>
      </c>
      <c r="I176" s="43">
        <v>1</v>
      </c>
      <c r="J176" s="43">
        <v>5</v>
      </c>
      <c r="K176" s="43">
        <v>6</v>
      </c>
      <c r="L176" s="43" t="s">
        <v>81</v>
      </c>
      <c r="M176" s="43">
        <f>IF(L176&gt;0,INDEX(Fish!$D:$D,MATCH(L176,Fish!$L:$L,0)),"")</f>
        <v>11010</v>
      </c>
      <c r="N176" s="43">
        <v>0</v>
      </c>
      <c r="O176" s="43">
        <v>1</v>
      </c>
      <c r="P176" s="43">
        <v>3</v>
      </c>
      <c r="Q176" s="43">
        <v>5</v>
      </c>
      <c r="R176" s="43" t="s">
        <v>85</v>
      </c>
      <c r="S176" s="43">
        <f>IF(R176&gt;0,INDEX(Fish!$D:$D,MATCH(R176,Fish!$L:$L,0)),"")</f>
        <v>11012</v>
      </c>
      <c r="T176" s="43">
        <v>0</v>
      </c>
      <c r="U176" s="43">
        <v>1</v>
      </c>
      <c r="V176" s="43">
        <v>2</v>
      </c>
      <c r="W176" s="43">
        <v>4</v>
      </c>
      <c r="X176" s="43" t="s">
        <v>89</v>
      </c>
      <c r="Y176" s="43">
        <f>IF(X176&gt;0,INDEX(Fish!$D:$D,MATCH(X176,Fish!$L:$L,0)),"")</f>
        <v>11235</v>
      </c>
      <c r="Z176" s="43">
        <v>0</v>
      </c>
      <c r="AA176" s="43">
        <v>1</v>
      </c>
      <c r="AB176" s="43">
        <v>2</v>
      </c>
      <c r="AC176" s="43">
        <v>3</v>
      </c>
    </row>
    <row r="177" spans="1:29">
      <c r="A177" s="43">
        <v>44415</v>
      </c>
      <c r="B177" s="43">
        <v>2</v>
      </c>
      <c r="C177" s="43">
        <v>0</v>
      </c>
      <c r="D177" s="43">
        <v>2</v>
      </c>
      <c r="E177" s="43">
        <v>1</v>
      </c>
      <c r="F177" s="43" t="s">
        <v>69</v>
      </c>
      <c r="G177" s="43">
        <f>IF(F177&gt;0,INDEX(Fish!$D:$D,MATCH(F177,Fish!$L:$L,0)),"")</f>
        <v>11005</v>
      </c>
      <c r="H177" s="43">
        <v>0</v>
      </c>
      <c r="I177" s="43">
        <v>1</v>
      </c>
      <c r="J177" s="43">
        <v>5</v>
      </c>
      <c r="K177" s="43">
        <v>6</v>
      </c>
      <c r="L177" s="43" t="s">
        <v>81</v>
      </c>
      <c r="M177" s="43">
        <f>IF(L177&gt;0,INDEX(Fish!$D:$D,MATCH(L177,Fish!$L:$L,0)),"")</f>
        <v>11010</v>
      </c>
      <c r="N177" s="43">
        <v>0</v>
      </c>
      <c r="O177" s="43">
        <v>1</v>
      </c>
      <c r="P177" s="43">
        <v>3</v>
      </c>
      <c r="Q177" s="43">
        <v>5</v>
      </c>
      <c r="R177" s="43" t="s">
        <v>91</v>
      </c>
      <c r="S177" s="43">
        <f>IF(R177&gt;0,INDEX(Fish!$D:$D,MATCH(R177,Fish!$L:$L,0)),"")</f>
        <v>11015</v>
      </c>
      <c r="T177" s="43">
        <v>0</v>
      </c>
      <c r="U177" s="43">
        <v>1</v>
      </c>
      <c r="V177" s="43">
        <v>2</v>
      </c>
      <c r="W177" s="43">
        <v>4</v>
      </c>
      <c r="X177" s="43" t="s">
        <v>87</v>
      </c>
      <c r="Y177" s="43">
        <f>IF(X177&gt;0,INDEX(Fish!$D:$D,MATCH(X177,Fish!$L:$L,0)),"")</f>
        <v>11013</v>
      </c>
      <c r="Z177" s="43">
        <v>0</v>
      </c>
      <c r="AA177" s="43">
        <v>1</v>
      </c>
      <c r="AB177" s="43">
        <v>2</v>
      </c>
      <c r="AC177" s="43">
        <v>3</v>
      </c>
    </row>
    <row r="178" spans="1:29">
      <c r="A178" s="43">
        <v>44415</v>
      </c>
      <c r="B178" s="43">
        <v>2</v>
      </c>
      <c r="C178" s="43">
        <v>0</v>
      </c>
      <c r="D178" s="43">
        <v>2</v>
      </c>
      <c r="E178" s="43">
        <v>1</v>
      </c>
      <c r="F178" s="43" t="s">
        <v>69</v>
      </c>
      <c r="G178" s="43">
        <f>IF(F178&gt;0,INDEX(Fish!$D:$D,MATCH(F178,Fish!$L:$L,0)),"")</f>
        <v>11005</v>
      </c>
      <c r="H178" s="43">
        <v>0</v>
      </c>
      <c r="I178" s="43">
        <v>1</v>
      </c>
      <c r="J178" s="43">
        <v>5</v>
      </c>
      <c r="K178" s="43">
        <v>6</v>
      </c>
      <c r="L178" s="43" t="s">
        <v>81</v>
      </c>
      <c r="M178" s="43">
        <f>IF(L178&gt;0,INDEX(Fish!$D:$D,MATCH(L178,Fish!$L:$L,0)),"")</f>
        <v>11010</v>
      </c>
      <c r="N178" s="43">
        <v>0</v>
      </c>
      <c r="O178" s="43">
        <v>1</v>
      </c>
      <c r="P178" s="43">
        <v>3</v>
      </c>
      <c r="Q178" s="43">
        <v>5</v>
      </c>
      <c r="R178" s="43" t="s">
        <v>91</v>
      </c>
      <c r="S178" s="43">
        <f>IF(R178&gt;0,INDEX(Fish!$D:$D,MATCH(R178,Fish!$L:$L,0)),"")</f>
        <v>11015</v>
      </c>
      <c r="T178" s="43">
        <v>0</v>
      </c>
      <c r="U178" s="43">
        <v>1</v>
      </c>
      <c r="V178" s="43">
        <v>2</v>
      </c>
      <c r="W178" s="43">
        <v>4</v>
      </c>
      <c r="X178" s="43" t="s">
        <v>93</v>
      </c>
      <c r="Y178" s="43">
        <f>IF(X178&gt;0,INDEX(Fish!$D:$D,MATCH(X178,Fish!$L:$L,0)),"")</f>
        <v>11016</v>
      </c>
      <c r="Z178" s="43">
        <v>0</v>
      </c>
      <c r="AA178" s="43">
        <v>1</v>
      </c>
      <c r="AB178" s="43">
        <v>2</v>
      </c>
      <c r="AC178" s="43">
        <v>3</v>
      </c>
    </row>
    <row r="179" spans="1:29">
      <c r="A179" s="43">
        <v>44415</v>
      </c>
      <c r="B179" s="43">
        <v>2</v>
      </c>
      <c r="C179" s="43">
        <v>0</v>
      </c>
      <c r="D179" s="43">
        <v>2</v>
      </c>
      <c r="E179" s="43">
        <v>1</v>
      </c>
      <c r="F179" s="43" t="s">
        <v>69</v>
      </c>
      <c r="G179" s="43">
        <f>IF(F179&gt;0,INDEX(Fish!$D:$D,MATCH(F179,Fish!$L:$L,0)),"")</f>
        <v>11005</v>
      </c>
      <c r="H179" s="43">
        <v>0</v>
      </c>
      <c r="I179" s="43">
        <v>1</v>
      </c>
      <c r="J179" s="43">
        <v>5</v>
      </c>
      <c r="K179" s="43">
        <v>6</v>
      </c>
      <c r="L179" s="43" t="s">
        <v>81</v>
      </c>
      <c r="M179" s="43">
        <f>IF(L179&gt;0,INDEX(Fish!$D:$D,MATCH(L179,Fish!$L:$L,0)),"")</f>
        <v>11010</v>
      </c>
      <c r="N179" s="43">
        <v>0</v>
      </c>
      <c r="O179" s="43">
        <v>1</v>
      </c>
      <c r="P179" s="43">
        <v>3</v>
      </c>
      <c r="Q179" s="43">
        <v>5</v>
      </c>
      <c r="R179" s="43" t="s">
        <v>91</v>
      </c>
      <c r="S179" s="43">
        <f>IF(R179&gt;0,INDEX(Fish!$D:$D,MATCH(R179,Fish!$L:$L,0)),"")</f>
        <v>11015</v>
      </c>
      <c r="T179" s="43">
        <v>0</v>
      </c>
      <c r="U179" s="43">
        <v>1</v>
      </c>
      <c r="V179" s="43">
        <v>2</v>
      </c>
      <c r="W179" s="43">
        <v>4</v>
      </c>
      <c r="X179" s="43" t="s">
        <v>89</v>
      </c>
      <c r="Y179" s="43">
        <f>IF(X179&gt;0,INDEX(Fish!$D:$D,MATCH(X179,Fish!$L:$L,0)),"")</f>
        <v>11235</v>
      </c>
      <c r="Z179" s="43">
        <v>0</v>
      </c>
      <c r="AA179" s="43">
        <v>1</v>
      </c>
      <c r="AB179" s="43">
        <v>2</v>
      </c>
      <c r="AC179" s="43">
        <v>3</v>
      </c>
    </row>
    <row r="180" spans="1:29">
      <c r="A180" s="43">
        <v>44415</v>
      </c>
      <c r="B180" s="43">
        <v>2</v>
      </c>
      <c r="C180" s="43">
        <v>0</v>
      </c>
      <c r="D180" s="43">
        <v>2</v>
      </c>
      <c r="E180" s="43">
        <v>1</v>
      </c>
      <c r="F180" s="43" t="s">
        <v>69</v>
      </c>
      <c r="G180" s="43">
        <f>IF(F180&gt;0,INDEX(Fish!$D:$D,MATCH(F180,Fish!$L:$L,0)),"")</f>
        <v>11005</v>
      </c>
      <c r="H180" s="43">
        <v>0</v>
      </c>
      <c r="I180" s="43">
        <v>1</v>
      </c>
      <c r="J180" s="43">
        <v>5</v>
      </c>
      <c r="K180" s="43">
        <v>6</v>
      </c>
      <c r="L180" s="43" t="s">
        <v>95</v>
      </c>
      <c r="M180" s="43">
        <f>IF(L180&gt;0,INDEX(Fish!$D:$D,MATCH(L180,Fish!$L:$L,0)),"")</f>
        <v>11017</v>
      </c>
      <c r="N180" s="43">
        <v>0</v>
      </c>
      <c r="O180" s="43">
        <v>1</v>
      </c>
      <c r="P180" s="43">
        <v>3</v>
      </c>
      <c r="Q180" s="43">
        <v>5</v>
      </c>
      <c r="R180" s="43" t="s">
        <v>85</v>
      </c>
      <c r="S180" s="43">
        <f>IF(R180&gt;0,INDEX(Fish!$D:$D,MATCH(R180,Fish!$L:$L,0)),"")</f>
        <v>11012</v>
      </c>
      <c r="T180" s="43">
        <v>0</v>
      </c>
      <c r="U180" s="43">
        <v>1</v>
      </c>
      <c r="V180" s="43">
        <v>2</v>
      </c>
      <c r="W180" s="43">
        <v>4</v>
      </c>
      <c r="X180" s="43" t="s">
        <v>87</v>
      </c>
      <c r="Y180" s="43">
        <f>IF(X180&gt;0,INDEX(Fish!$D:$D,MATCH(X180,Fish!$L:$L,0)),"")</f>
        <v>11013</v>
      </c>
      <c r="Z180" s="43">
        <v>0</v>
      </c>
      <c r="AA180" s="43">
        <v>1</v>
      </c>
      <c r="AB180" s="43">
        <v>2</v>
      </c>
      <c r="AC180" s="43">
        <v>3</v>
      </c>
    </row>
    <row r="181" spans="1:29">
      <c r="A181" s="43">
        <v>44415</v>
      </c>
      <c r="B181" s="43">
        <v>2</v>
      </c>
      <c r="C181" s="43">
        <v>0</v>
      </c>
      <c r="D181" s="43">
        <v>2</v>
      </c>
      <c r="E181" s="43">
        <v>1</v>
      </c>
      <c r="F181" s="43" t="s">
        <v>69</v>
      </c>
      <c r="G181" s="43">
        <f>IF(F181&gt;0,INDEX(Fish!$D:$D,MATCH(F181,Fish!$L:$L,0)),"")</f>
        <v>11005</v>
      </c>
      <c r="H181" s="43">
        <v>0</v>
      </c>
      <c r="I181" s="43">
        <v>1</v>
      </c>
      <c r="J181" s="43">
        <v>5</v>
      </c>
      <c r="K181" s="43">
        <v>6</v>
      </c>
      <c r="L181" s="43" t="s">
        <v>95</v>
      </c>
      <c r="M181" s="43">
        <f>IF(L181&gt;0,INDEX(Fish!$D:$D,MATCH(L181,Fish!$L:$L,0)),"")</f>
        <v>11017</v>
      </c>
      <c r="N181" s="43">
        <v>0</v>
      </c>
      <c r="O181" s="43">
        <v>1</v>
      </c>
      <c r="P181" s="43">
        <v>3</v>
      </c>
      <c r="Q181" s="43">
        <v>5</v>
      </c>
      <c r="R181" s="43" t="s">
        <v>85</v>
      </c>
      <c r="S181" s="43">
        <f>IF(R181&gt;0,INDEX(Fish!$D:$D,MATCH(R181,Fish!$L:$L,0)),"")</f>
        <v>11012</v>
      </c>
      <c r="T181" s="43">
        <v>0</v>
      </c>
      <c r="U181" s="43">
        <v>1</v>
      </c>
      <c r="V181" s="43">
        <v>2</v>
      </c>
      <c r="W181" s="43">
        <v>4</v>
      </c>
      <c r="X181" s="43" t="s">
        <v>93</v>
      </c>
      <c r="Y181" s="43">
        <f>IF(X181&gt;0,INDEX(Fish!$D:$D,MATCH(X181,Fish!$L:$L,0)),"")</f>
        <v>11016</v>
      </c>
      <c r="Z181" s="43">
        <v>0</v>
      </c>
      <c r="AA181" s="43">
        <v>1</v>
      </c>
      <c r="AB181" s="43">
        <v>2</v>
      </c>
      <c r="AC181" s="43">
        <v>3</v>
      </c>
    </row>
    <row r="182" spans="1:29">
      <c r="A182" s="43">
        <v>44415</v>
      </c>
      <c r="B182" s="43">
        <v>2</v>
      </c>
      <c r="C182" s="43">
        <v>0</v>
      </c>
      <c r="D182" s="43">
        <v>2</v>
      </c>
      <c r="E182" s="43">
        <v>1</v>
      </c>
      <c r="F182" s="43" t="s">
        <v>69</v>
      </c>
      <c r="G182" s="43">
        <f>IF(F182&gt;0,INDEX(Fish!$D:$D,MATCH(F182,Fish!$L:$L,0)),"")</f>
        <v>11005</v>
      </c>
      <c r="H182" s="43">
        <v>0</v>
      </c>
      <c r="I182" s="43">
        <v>1</v>
      </c>
      <c r="J182" s="43">
        <v>5</v>
      </c>
      <c r="K182" s="43">
        <v>6</v>
      </c>
      <c r="L182" s="43" t="s">
        <v>95</v>
      </c>
      <c r="M182" s="43">
        <f>IF(L182&gt;0,INDEX(Fish!$D:$D,MATCH(L182,Fish!$L:$L,0)),"")</f>
        <v>11017</v>
      </c>
      <c r="N182" s="43">
        <v>0</v>
      </c>
      <c r="O182" s="43">
        <v>1</v>
      </c>
      <c r="P182" s="43">
        <v>3</v>
      </c>
      <c r="Q182" s="43">
        <v>5</v>
      </c>
      <c r="R182" s="43" t="s">
        <v>85</v>
      </c>
      <c r="S182" s="43">
        <f>IF(R182&gt;0,INDEX(Fish!$D:$D,MATCH(R182,Fish!$L:$L,0)),"")</f>
        <v>11012</v>
      </c>
      <c r="T182" s="43">
        <v>0</v>
      </c>
      <c r="U182" s="43">
        <v>1</v>
      </c>
      <c r="V182" s="43">
        <v>2</v>
      </c>
      <c r="W182" s="43">
        <v>4</v>
      </c>
      <c r="X182" s="43" t="s">
        <v>89</v>
      </c>
      <c r="Y182" s="43">
        <f>IF(X182&gt;0,INDEX(Fish!$D:$D,MATCH(X182,Fish!$L:$L,0)),"")</f>
        <v>11235</v>
      </c>
      <c r="Z182" s="43">
        <v>0</v>
      </c>
      <c r="AA182" s="43">
        <v>1</v>
      </c>
      <c r="AB182" s="43">
        <v>2</v>
      </c>
      <c r="AC182" s="43">
        <v>3</v>
      </c>
    </row>
    <row r="183" spans="1:29">
      <c r="A183" s="43">
        <v>44415</v>
      </c>
      <c r="B183" s="43">
        <v>2</v>
      </c>
      <c r="C183" s="43">
        <v>0</v>
      </c>
      <c r="D183" s="43">
        <v>2</v>
      </c>
      <c r="E183" s="43">
        <v>1</v>
      </c>
      <c r="F183" s="43" t="s">
        <v>69</v>
      </c>
      <c r="G183" s="43">
        <f>IF(F183&gt;0,INDEX(Fish!$D:$D,MATCH(F183,Fish!$L:$L,0)),"")</f>
        <v>11005</v>
      </c>
      <c r="H183" s="43">
        <v>0</v>
      </c>
      <c r="I183" s="43">
        <v>1</v>
      </c>
      <c r="J183" s="43">
        <v>5</v>
      </c>
      <c r="K183" s="43">
        <v>6</v>
      </c>
      <c r="L183" s="43" t="s">
        <v>95</v>
      </c>
      <c r="M183" s="43">
        <f>IF(L183&gt;0,INDEX(Fish!$D:$D,MATCH(L183,Fish!$L:$L,0)),"")</f>
        <v>11017</v>
      </c>
      <c r="N183" s="43">
        <v>0</v>
      </c>
      <c r="O183" s="43">
        <v>1</v>
      </c>
      <c r="P183" s="43">
        <v>3</v>
      </c>
      <c r="Q183" s="43">
        <v>5</v>
      </c>
      <c r="R183" s="43" t="s">
        <v>91</v>
      </c>
      <c r="S183" s="43">
        <f>IF(R183&gt;0,INDEX(Fish!$D:$D,MATCH(R183,Fish!$L:$L,0)),"")</f>
        <v>11015</v>
      </c>
      <c r="T183" s="43">
        <v>0</v>
      </c>
      <c r="U183" s="43">
        <v>1</v>
      </c>
      <c r="V183" s="43">
        <v>2</v>
      </c>
      <c r="W183" s="43">
        <v>4</v>
      </c>
      <c r="X183" s="43" t="s">
        <v>87</v>
      </c>
      <c r="Y183" s="43">
        <f>IF(X183&gt;0,INDEX(Fish!$D:$D,MATCH(X183,Fish!$L:$L,0)),"")</f>
        <v>11013</v>
      </c>
      <c r="Z183" s="43">
        <v>0</v>
      </c>
      <c r="AA183" s="43">
        <v>1</v>
      </c>
      <c r="AB183" s="43">
        <v>2</v>
      </c>
      <c r="AC183" s="43">
        <v>3</v>
      </c>
    </row>
    <row r="184" spans="1:29">
      <c r="A184" s="43">
        <v>44415</v>
      </c>
      <c r="B184" s="43">
        <v>2</v>
      </c>
      <c r="C184" s="43">
        <v>0</v>
      </c>
      <c r="D184" s="43">
        <v>2</v>
      </c>
      <c r="E184" s="43">
        <v>1</v>
      </c>
      <c r="F184" s="43" t="s">
        <v>69</v>
      </c>
      <c r="G184" s="43">
        <f>IF(F184&gt;0,INDEX(Fish!$D:$D,MATCH(F184,Fish!$L:$L,0)),"")</f>
        <v>11005</v>
      </c>
      <c r="H184" s="43">
        <v>0</v>
      </c>
      <c r="I184" s="43">
        <v>1</v>
      </c>
      <c r="J184" s="43">
        <v>5</v>
      </c>
      <c r="K184" s="43">
        <v>6</v>
      </c>
      <c r="L184" s="43" t="s">
        <v>95</v>
      </c>
      <c r="M184" s="43">
        <f>IF(L184&gt;0,INDEX(Fish!$D:$D,MATCH(L184,Fish!$L:$L,0)),"")</f>
        <v>11017</v>
      </c>
      <c r="N184" s="43">
        <v>0</v>
      </c>
      <c r="O184" s="43">
        <v>1</v>
      </c>
      <c r="P184" s="43">
        <v>3</v>
      </c>
      <c r="Q184" s="43">
        <v>5</v>
      </c>
      <c r="R184" s="43" t="s">
        <v>91</v>
      </c>
      <c r="S184" s="43">
        <f>IF(R184&gt;0,INDEX(Fish!$D:$D,MATCH(R184,Fish!$L:$L,0)),"")</f>
        <v>11015</v>
      </c>
      <c r="T184" s="43">
        <v>0</v>
      </c>
      <c r="U184" s="43">
        <v>1</v>
      </c>
      <c r="V184" s="43">
        <v>2</v>
      </c>
      <c r="W184" s="43">
        <v>4</v>
      </c>
      <c r="X184" s="43" t="s">
        <v>93</v>
      </c>
      <c r="Y184" s="43">
        <f>IF(X184&gt;0,INDEX(Fish!$D:$D,MATCH(X184,Fish!$L:$L,0)),"")</f>
        <v>11016</v>
      </c>
      <c r="Z184" s="43">
        <v>0</v>
      </c>
      <c r="AA184" s="43">
        <v>1</v>
      </c>
      <c r="AB184" s="43">
        <v>2</v>
      </c>
      <c r="AC184" s="43">
        <v>3</v>
      </c>
    </row>
    <row r="185" spans="1:29">
      <c r="A185" s="43">
        <v>44415</v>
      </c>
      <c r="B185" s="43">
        <v>2</v>
      </c>
      <c r="C185" s="43">
        <v>0</v>
      </c>
      <c r="D185" s="43">
        <v>2</v>
      </c>
      <c r="E185" s="43">
        <v>1</v>
      </c>
      <c r="F185" s="43" t="s">
        <v>69</v>
      </c>
      <c r="G185" s="43">
        <f>IF(F185&gt;0,INDEX(Fish!$D:$D,MATCH(F185,Fish!$L:$L,0)),"")</f>
        <v>11005</v>
      </c>
      <c r="H185" s="43">
        <v>0</v>
      </c>
      <c r="I185" s="43">
        <v>1</v>
      </c>
      <c r="J185" s="43">
        <v>5</v>
      </c>
      <c r="K185" s="43">
        <v>6</v>
      </c>
      <c r="L185" s="43" t="s">
        <v>95</v>
      </c>
      <c r="M185" s="43">
        <f>IF(L185&gt;0,INDEX(Fish!$D:$D,MATCH(L185,Fish!$L:$L,0)),"")</f>
        <v>11017</v>
      </c>
      <c r="N185" s="43">
        <v>0</v>
      </c>
      <c r="O185" s="43">
        <v>1</v>
      </c>
      <c r="P185" s="43">
        <v>3</v>
      </c>
      <c r="Q185" s="43">
        <v>5</v>
      </c>
      <c r="R185" s="43" t="s">
        <v>91</v>
      </c>
      <c r="S185" s="43">
        <f>IF(R185&gt;0,INDEX(Fish!$D:$D,MATCH(R185,Fish!$L:$L,0)),"")</f>
        <v>11015</v>
      </c>
      <c r="T185" s="43">
        <v>0</v>
      </c>
      <c r="U185" s="43">
        <v>1</v>
      </c>
      <c r="V185" s="43">
        <v>2</v>
      </c>
      <c r="W185" s="43">
        <v>4</v>
      </c>
      <c r="X185" s="43" t="s">
        <v>89</v>
      </c>
      <c r="Y185" s="43">
        <f>IF(X185&gt;0,INDEX(Fish!$D:$D,MATCH(X185,Fish!$L:$L,0)),"")</f>
        <v>11235</v>
      </c>
      <c r="Z185" s="43">
        <v>0</v>
      </c>
      <c r="AA185" s="43">
        <v>1</v>
      </c>
      <c r="AB185" s="43">
        <v>2</v>
      </c>
      <c r="AC185" s="43">
        <v>3</v>
      </c>
    </row>
    <row r="186" spans="1:23">
      <c r="A186" s="43">
        <v>44415</v>
      </c>
      <c r="B186" s="43">
        <v>5</v>
      </c>
      <c r="C186" s="43">
        <v>0</v>
      </c>
      <c r="D186" s="43">
        <v>3</v>
      </c>
      <c r="E186" s="43">
        <v>2</v>
      </c>
      <c r="F186" s="43" t="s">
        <v>99</v>
      </c>
      <c r="G186" s="43">
        <f>IF(F186&gt;0,INDEX(Fish!$D:$D,MATCH(F186,Fish!$L:$L,0)),"")</f>
        <v>11024</v>
      </c>
      <c r="H186" s="43">
        <v>40000</v>
      </c>
      <c r="I186" s="43">
        <v>1</v>
      </c>
      <c r="J186" s="43">
        <v>1</v>
      </c>
      <c r="K186" s="43">
        <v>1</v>
      </c>
      <c r="L186" s="43" t="s">
        <v>103</v>
      </c>
      <c r="M186" s="43">
        <f>IF(L186&gt;0,INDEX(Fish!$D:$D,MATCH(L186,Fish!$L:$L,0)),"")</f>
        <v>11025</v>
      </c>
      <c r="N186" s="43">
        <v>30000</v>
      </c>
      <c r="O186" s="43">
        <v>1</v>
      </c>
      <c r="P186" s="43">
        <v>1</v>
      </c>
      <c r="Q186" s="43">
        <v>1</v>
      </c>
      <c r="R186" s="43" t="s">
        <v>105</v>
      </c>
      <c r="S186" s="43">
        <f>IF(R186&gt;0,INDEX(Fish!$D:$D,MATCH(R186,Fish!$L:$L,0)),"")</f>
        <v>11211</v>
      </c>
      <c r="T186" s="43">
        <v>30000</v>
      </c>
      <c r="U186" s="43">
        <v>1</v>
      </c>
      <c r="V186" s="43">
        <v>1</v>
      </c>
      <c r="W186" s="43">
        <v>1</v>
      </c>
    </row>
    <row r="187" spans="1:35">
      <c r="A187" s="43">
        <v>44415</v>
      </c>
      <c r="B187" s="43">
        <v>5</v>
      </c>
      <c r="C187" s="43">
        <v>0</v>
      </c>
      <c r="D187" s="43">
        <v>4</v>
      </c>
      <c r="E187" s="43">
        <v>2</v>
      </c>
      <c r="F187" s="43" t="s">
        <v>355</v>
      </c>
      <c r="G187" s="43">
        <f>IF(F187&gt;0,INDEX(Fish!$D:$D,MATCH(F187,Fish!$L:$L,0)),"")</f>
        <v>11021</v>
      </c>
      <c r="H187" s="43">
        <v>30000</v>
      </c>
      <c r="I187" s="43">
        <v>1</v>
      </c>
      <c r="J187" s="43">
        <v>0</v>
      </c>
      <c r="K187" s="43">
        <v>1</v>
      </c>
      <c r="L187" s="43" t="s">
        <v>353</v>
      </c>
      <c r="M187" s="43">
        <f>IF(L187&gt;0,INDEX(Fish!$D:$D,MATCH(L187,Fish!$L:$L,0)),"")</f>
        <v>11092</v>
      </c>
      <c r="N187" s="43">
        <v>24000</v>
      </c>
      <c r="O187" s="43">
        <v>1</v>
      </c>
      <c r="P187" s="43">
        <v>0</v>
      </c>
      <c r="Q187" s="43">
        <v>1</v>
      </c>
      <c r="R187" s="47" t="s">
        <v>357</v>
      </c>
      <c r="S187" s="43">
        <f>IF(R187&gt;0,INDEX(Fish!$D:$D,MATCH(R187,Fish!$L:$L,0)),"")</f>
        <v>11026</v>
      </c>
      <c r="T187" s="43">
        <v>20000</v>
      </c>
      <c r="U187" s="43">
        <v>1</v>
      </c>
      <c r="V187" s="43">
        <v>0</v>
      </c>
      <c r="W187" s="43">
        <v>1</v>
      </c>
      <c r="X187" s="43" t="s">
        <v>359</v>
      </c>
      <c r="Y187" s="43">
        <f>IF(X187&gt;0,INDEX(Fish!$D:$D,MATCH(X187,Fish!$L:$L,0)),"")</f>
        <v>11027</v>
      </c>
      <c r="Z187" s="43">
        <v>14000</v>
      </c>
      <c r="AA187" s="43">
        <v>1</v>
      </c>
      <c r="AB187" s="43">
        <v>0</v>
      </c>
      <c r="AC187" s="43">
        <v>1</v>
      </c>
      <c r="AD187" s="43" t="s">
        <v>362</v>
      </c>
      <c r="AE187" s="43">
        <f>IF(AD187&gt;0,INDEX(Fish!$D:$D,MATCH(AD187,Fish!$L:$L,0)),"")</f>
        <v>11231</v>
      </c>
      <c r="AF187" s="43">
        <v>12000</v>
      </c>
      <c r="AG187" s="43">
        <v>1</v>
      </c>
      <c r="AH187" s="43">
        <v>0</v>
      </c>
      <c r="AI187" s="43">
        <v>1</v>
      </c>
    </row>
    <row r="188" spans="1:35">
      <c r="A188" s="43">
        <v>44415</v>
      </c>
      <c r="B188" s="43">
        <v>5</v>
      </c>
      <c r="C188" s="43">
        <v>0</v>
      </c>
      <c r="D188" s="43">
        <v>5</v>
      </c>
      <c r="E188" s="43">
        <v>2</v>
      </c>
      <c r="F188" s="43" t="s">
        <v>123</v>
      </c>
      <c r="G188" s="43">
        <f>IF(F188&gt;0,INDEX(Fish!$D:$D,MATCH(F188,Fish!$L:$L,0)),"")</f>
        <v>14015</v>
      </c>
      <c r="H188" s="43">
        <v>35000</v>
      </c>
      <c r="I188" s="43">
        <v>1</v>
      </c>
      <c r="J188" s="43">
        <v>0</v>
      </c>
      <c r="K188" s="43">
        <v>1</v>
      </c>
      <c r="L188" s="43" t="s">
        <v>127</v>
      </c>
      <c r="M188" s="43">
        <f>IF(L188&gt;0,INDEX(Fish!$D:$D,MATCH(L188,Fish!$L:$L,0)),"")</f>
        <v>14235</v>
      </c>
      <c r="N188" s="43">
        <v>26000</v>
      </c>
      <c r="O188" s="43">
        <v>1</v>
      </c>
      <c r="P188" s="43">
        <v>0</v>
      </c>
      <c r="Q188" s="43">
        <v>1</v>
      </c>
      <c r="R188" s="43" t="s">
        <v>122</v>
      </c>
      <c r="S188" s="43">
        <f>IF(R188&gt;0,INDEX(Fish!$D:$D,MATCH(R188,Fish!$L:$L,0)),"")</f>
        <v>14013</v>
      </c>
      <c r="T188" s="43">
        <v>16000</v>
      </c>
      <c r="U188" s="43">
        <v>1</v>
      </c>
      <c r="V188" s="43">
        <v>0</v>
      </c>
      <c r="W188" s="43">
        <v>1</v>
      </c>
      <c r="X188" s="43" t="s">
        <v>125</v>
      </c>
      <c r="Y188" s="43">
        <f>IF(X188&gt;0,INDEX(Fish!$D:$D,MATCH(X188,Fish!$L:$L,0)),"")</f>
        <v>14024</v>
      </c>
      <c r="Z188" s="43">
        <v>13000</v>
      </c>
      <c r="AA188" s="43">
        <v>1</v>
      </c>
      <c r="AB188" s="43">
        <v>0</v>
      </c>
      <c r="AC188" s="43">
        <v>1</v>
      </c>
      <c r="AD188" s="48" t="s">
        <v>126</v>
      </c>
      <c r="AE188" s="43">
        <f>IF(AD188&gt;0,INDEX(Fish!$D:$D,MATCH(AD188,Fish!$L:$L,0)),"")</f>
        <v>14025</v>
      </c>
      <c r="AF188" s="43">
        <v>10000</v>
      </c>
      <c r="AG188" s="43">
        <v>1</v>
      </c>
      <c r="AH188" s="43">
        <v>0</v>
      </c>
      <c r="AI188" s="43">
        <v>1</v>
      </c>
    </row>
    <row r="189" spans="1:35">
      <c r="A189" s="43">
        <v>44501</v>
      </c>
      <c r="B189" s="43">
        <v>1</v>
      </c>
      <c r="C189" s="43">
        <v>8</v>
      </c>
      <c r="D189" s="43">
        <v>1</v>
      </c>
      <c r="E189" s="43">
        <v>1</v>
      </c>
      <c r="F189" s="43" t="s">
        <v>61</v>
      </c>
      <c r="G189" s="43">
        <v>11001</v>
      </c>
      <c r="H189" s="43">
        <v>0</v>
      </c>
      <c r="I189" s="43">
        <v>4</v>
      </c>
      <c r="J189" s="43">
        <v>20</v>
      </c>
      <c r="K189" s="43">
        <v>25</v>
      </c>
      <c r="L189" s="43" t="s">
        <v>65</v>
      </c>
      <c r="M189" s="43">
        <v>11003</v>
      </c>
      <c r="N189" s="43">
        <v>0</v>
      </c>
      <c r="O189" s="43">
        <v>3</v>
      </c>
      <c r="P189" s="43">
        <v>15</v>
      </c>
      <c r="Q189" s="43">
        <v>20</v>
      </c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>
      <c r="A190" s="43">
        <v>44501</v>
      </c>
      <c r="B190" s="43">
        <v>1</v>
      </c>
      <c r="C190" s="43">
        <v>8</v>
      </c>
      <c r="D190" s="43">
        <v>1</v>
      </c>
      <c r="E190" s="43">
        <v>1</v>
      </c>
      <c r="F190" s="43" t="s">
        <v>61</v>
      </c>
      <c r="G190" s="43">
        <v>11001</v>
      </c>
      <c r="H190" s="43">
        <v>0</v>
      </c>
      <c r="I190" s="43">
        <v>4</v>
      </c>
      <c r="J190" s="43">
        <v>20</v>
      </c>
      <c r="K190" s="43">
        <v>25</v>
      </c>
      <c r="L190" s="43" t="s">
        <v>73</v>
      </c>
      <c r="M190" s="43">
        <v>11007</v>
      </c>
      <c r="N190" s="43">
        <v>0</v>
      </c>
      <c r="O190" s="43">
        <v>3</v>
      </c>
      <c r="P190" s="43">
        <v>15</v>
      </c>
      <c r="Q190" s="43">
        <v>20</v>
      </c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>
      <c r="A191" s="43">
        <v>44501</v>
      </c>
      <c r="B191" s="43">
        <v>1</v>
      </c>
      <c r="C191" s="43">
        <v>8</v>
      </c>
      <c r="D191" s="43">
        <v>1</v>
      </c>
      <c r="E191" s="43">
        <v>1</v>
      </c>
      <c r="F191" s="43" t="s">
        <v>63</v>
      </c>
      <c r="G191" s="43">
        <v>11002</v>
      </c>
      <c r="H191" s="43">
        <v>0</v>
      </c>
      <c r="I191" s="43">
        <v>4</v>
      </c>
      <c r="J191" s="43">
        <v>20</v>
      </c>
      <c r="K191" s="43">
        <v>25</v>
      </c>
      <c r="L191" s="43" t="s">
        <v>65</v>
      </c>
      <c r="M191" s="43">
        <v>11003</v>
      </c>
      <c r="N191" s="43">
        <v>0</v>
      </c>
      <c r="O191" s="43">
        <v>3</v>
      </c>
      <c r="P191" s="43">
        <v>15</v>
      </c>
      <c r="Q191" s="43">
        <v>20</v>
      </c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>
      <c r="A192" s="43">
        <v>44501</v>
      </c>
      <c r="B192" s="43">
        <v>1</v>
      </c>
      <c r="C192" s="43">
        <v>8</v>
      </c>
      <c r="D192" s="43">
        <v>1</v>
      </c>
      <c r="E192" s="43">
        <v>1</v>
      </c>
      <c r="F192" s="43" t="s">
        <v>63</v>
      </c>
      <c r="G192" s="43">
        <v>11002</v>
      </c>
      <c r="H192" s="43">
        <v>0</v>
      </c>
      <c r="I192" s="43">
        <v>4</v>
      </c>
      <c r="J192" s="43">
        <v>20</v>
      </c>
      <c r="K192" s="43">
        <v>25</v>
      </c>
      <c r="L192" s="43" t="s">
        <v>73</v>
      </c>
      <c r="M192" s="43">
        <v>11007</v>
      </c>
      <c r="N192" s="43">
        <v>0</v>
      </c>
      <c r="O192" s="43">
        <v>3</v>
      </c>
      <c r="P192" s="43">
        <v>15</v>
      </c>
      <c r="Q192" s="43">
        <v>20</v>
      </c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>
      <c r="A193" s="43">
        <v>44501</v>
      </c>
      <c r="B193" s="43">
        <v>2</v>
      </c>
      <c r="C193" s="43">
        <v>0</v>
      </c>
      <c r="D193" s="43">
        <v>2</v>
      </c>
      <c r="E193" s="43">
        <v>1</v>
      </c>
      <c r="F193" s="43" t="s">
        <v>75</v>
      </c>
      <c r="G193" s="43">
        <v>11008</v>
      </c>
      <c r="H193" s="43">
        <v>0</v>
      </c>
      <c r="I193" s="43">
        <v>1</v>
      </c>
      <c r="J193" s="43">
        <v>4</v>
      </c>
      <c r="K193" s="43">
        <v>6</v>
      </c>
      <c r="L193" s="43" t="s">
        <v>83</v>
      </c>
      <c r="M193" s="43">
        <v>11011</v>
      </c>
      <c r="N193" s="43">
        <v>0</v>
      </c>
      <c r="O193" s="43">
        <v>1</v>
      </c>
      <c r="P193" s="43">
        <v>3</v>
      </c>
      <c r="Q193" s="43">
        <v>4</v>
      </c>
      <c r="R193" s="43" t="s">
        <v>95</v>
      </c>
      <c r="S193" s="43">
        <v>11017</v>
      </c>
      <c r="T193" s="43">
        <v>0</v>
      </c>
      <c r="U193" s="43">
        <v>1</v>
      </c>
      <c r="V193" s="43">
        <v>2</v>
      </c>
      <c r="W193" s="43">
        <v>3</v>
      </c>
      <c r="X193" s="43" t="s">
        <v>91</v>
      </c>
      <c r="Y193" s="43">
        <v>11015</v>
      </c>
      <c r="Z193" s="43">
        <v>0</v>
      </c>
      <c r="AA193" s="43">
        <v>1</v>
      </c>
      <c r="AB193" s="43">
        <v>2</v>
      </c>
      <c r="AC193" s="43">
        <v>3</v>
      </c>
      <c r="AD193" s="43" t="s">
        <v>87</v>
      </c>
      <c r="AE193" s="43">
        <v>11013</v>
      </c>
      <c r="AF193" s="43">
        <v>0</v>
      </c>
      <c r="AG193" s="43">
        <v>1</v>
      </c>
      <c r="AH193" s="43">
        <v>1</v>
      </c>
      <c r="AI193" s="43">
        <v>2</v>
      </c>
    </row>
    <row r="194" spans="1:35">
      <c r="A194" s="43">
        <v>44501</v>
      </c>
      <c r="B194" s="43">
        <v>2</v>
      </c>
      <c r="C194" s="43">
        <v>0</v>
      </c>
      <c r="D194" s="43">
        <v>2</v>
      </c>
      <c r="E194" s="43">
        <v>1</v>
      </c>
      <c r="F194" s="43" t="s">
        <v>75</v>
      </c>
      <c r="G194" s="43">
        <v>11008</v>
      </c>
      <c r="H194" s="43">
        <v>0</v>
      </c>
      <c r="I194" s="43">
        <v>1</v>
      </c>
      <c r="J194" s="43">
        <v>4</v>
      </c>
      <c r="K194" s="43">
        <v>6</v>
      </c>
      <c r="L194" s="43" t="s">
        <v>83</v>
      </c>
      <c r="M194" s="43">
        <v>11011</v>
      </c>
      <c r="N194" s="43">
        <v>0</v>
      </c>
      <c r="O194" s="43">
        <v>1</v>
      </c>
      <c r="P194" s="43">
        <v>3</v>
      </c>
      <c r="Q194" s="43">
        <v>4</v>
      </c>
      <c r="R194" s="43" t="s">
        <v>95</v>
      </c>
      <c r="S194" s="43">
        <v>11017</v>
      </c>
      <c r="T194" s="43">
        <v>0</v>
      </c>
      <c r="U194" s="43">
        <v>1</v>
      </c>
      <c r="V194" s="43">
        <v>2</v>
      </c>
      <c r="W194" s="43">
        <v>3</v>
      </c>
      <c r="X194" s="43" t="s">
        <v>91</v>
      </c>
      <c r="Y194" s="43">
        <v>11015</v>
      </c>
      <c r="Z194" s="43">
        <v>0</v>
      </c>
      <c r="AA194" s="43">
        <v>1</v>
      </c>
      <c r="AB194" s="43">
        <v>2</v>
      </c>
      <c r="AC194" s="43">
        <v>3</v>
      </c>
      <c r="AD194" s="43" t="s">
        <v>93</v>
      </c>
      <c r="AE194" s="43">
        <v>11016</v>
      </c>
      <c r="AF194" s="43">
        <v>0</v>
      </c>
      <c r="AG194" s="43">
        <v>1</v>
      </c>
      <c r="AH194" s="43">
        <v>1</v>
      </c>
      <c r="AI194" s="43">
        <v>2</v>
      </c>
    </row>
    <row r="195" spans="1:29">
      <c r="A195" s="43">
        <v>44501</v>
      </c>
      <c r="B195" s="43">
        <v>2</v>
      </c>
      <c r="C195" s="43">
        <v>0</v>
      </c>
      <c r="D195" s="43">
        <v>2</v>
      </c>
      <c r="E195" s="43">
        <v>1</v>
      </c>
      <c r="F195" s="43" t="s">
        <v>75</v>
      </c>
      <c r="G195" s="43">
        <v>11008</v>
      </c>
      <c r="H195" s="43">
        <v>0</v>
      </c>
      <c r="I195" s="43">
        <v>1</v>
      </c>
      <c r="J195" s="43">
        <v>4</v>
      </c>
      <c r="K195" s="43">
        <v>6</v>
      </c>
      <c r="L195" s="43" t="s">
        <v>83</v>
      </c>
      <c r="M195" s="43">
        <v>11011</v>
      </c>
      <c r="N195" s="43">
        <v>0</v>
      </c>
      <c r="O195" s="43">
        <v>1</v>
      </c>
      <c r="P195" s="43">
        <v>3</v>
      </c>
      <c r="Q195" s="43">
        <v>4</v>
      </c>
      <c r="R195" s="43" t="s">
        <v>95</v>
      </c>
      <c r="S195" s="43">
        <v>11017</v>
      </c>
      <c r="T195" s="43">
        <v>0</v>
      </c>
      <c r="U195" s="43">
        <v>1</v>
      </c>
      <c r="V195" s="43">
        <v>2</v>
      </c>
      <c r="W195" s="43">
        <v>3</v>
      </c>
      <c r="X195" s="43" t="s">
        <v>87</v>
      </c>
      <c r="Y195" s="43">
        <v>11013</v>
      </c>
      <c r="Z195" s="43">
        <v>0</v>
      </c>
      <c r="AA195" s="43">
        <v>1</v>
      </c>
      <c r="AB195" s="43">
        <v>3</v>
      </c>
      <c r="AC195" s="43">
        <v>5</v>
      </c>
    </row>
    <row r="196" spans="1:29">
      <c r="A196" s="43">
        <v>44501</v>
      </c>
      <c r="B196" s="43">
        <v>2</v>
      </c>
      <c r="C196" s="43">
        <v>0</v>
      </c>
      <c r="D196" s="43">
        <v>2</v>
      </c>
      <c r="E196" s="43">
        <v>1</v>
      </c>
      <c r="F196" s="43" t="s">
        <v>75</v>
      </c>
      <c r="G196" s="43">
        <v>11008</v>
      </c>
      <c r="H196" s="43">
        <v>0</v>
      </c>
      <c r="I196" s="43">
        <v>1</v>
      </c>
      <c r="J196" s="43">
        <v>4</v>
      </c>
      <c r="K196" s="43">
        <v>6</v>
      </c>
      <c r="L196" s="43" t="s">
        <v>83</v>
      </c>
      <c r="M196" s="43">
        <v>11011</v>
      </c>
      <c r="N196" s="43">
        <v>0</v>
      </c>
      <c r="O196" s="43">
        <v>1</v>
      </c>
      <c r="P196" s="43">
        <v>3</v>
      </c>
      <c r="Q196" s="43">
        <v>4</v>
      </c>
      <c r="R196" s="43" t="s">
        <v>95</v>
      </c>
      <c r="S196" s="43">
        <v>11017</v>
      </c>
      <c r="T196" s="43">
        <v>0</v>
      </c>
      <c r="U196" s="43">
        <v>1</v>
      </c>
      <c r="V196" s="43">
        <v>2</v>
      </c>
      <c r="W196" s="43">
        <v>3</v>
      </c>
      <c r="X196" s="43" t="s">
        <v>93</v>
      </c>
      <c r="Y196" s="43">
        <v>11016</v>
      </c>
      <c r="Z196" s="43">
        <v>0</v>
      </c>
      <c r="AA196" s="43">
        <v>1</v>
      </c>
      <c r="AB196" s="43">
        <v>3</v>
      </c>
      <c r="AC196" s="43">
        <v>5</v>
      </c>
    </row>
    <row r="197" spans="1:35">
      <c r="A197" s="43">
        <v>44501</v>
      </c>
      <c r="B197" s="43">
        <v>2</v>
      </c>
      <c r="C197" s="43">
        <v>0</v>
      </c>
      <c r="D197" s="43">
        <v>2</v>
      </c>
      <c r="E197" s="43">
        <v>1</v>
      </c>
      <c r="F197" s="43" t="s">
        <v>75</v>
      </c>
      <c r="G197" s="43">
        <v>11008</v>
      </c>
      <c r="H197" s="43">
        <v>0</v>
      </c>
      <c r="I197" s="43">
        <v>1</v>
      </c>
      <c r="J197" s="43">
        <v>4</v>
      </c>
      <c r="K197" s="43">
        <v>6</v>
      </c>
      <c r="L197" s="43" t="s">
        <v>83</v>
      </c>
      <c r="M197" s="43">
        <v>11011</v>
      </c>
      <c r="N197" s="43">
        <v>0</v>
      </c>
      <c r="O197" s="43">
        <v>1</v>
      </c>
      <c r="P197" s="43">
        <v>3</v>
      </c>
      <c r="Q197" s="43">
        <v>4</v>
      </c>
      <c r="R197" s="43" t="s">
        <v>85</v>
      </c>
      <c r="S197" s="43">
        <v>11012</v>
      </c>
      <c r="T197" s="43">
        <v>0</v>
      </c>
      <c r="U197" s="43">
        <v>1</v>
      </c>
      <c r="V197" s="43">
        <v>2</v>
      </c>
      <c r="W197" s="43">
        <v>3</v>
      </c>
      <c r="X197" s="43" t="s">
        <v>91</v>
      </c>
      <c r="Y197" s="43">
        <v>11015</v>
      </c>
      <c r="Z197" s="43">
        <v>0</v>
      </c>
      <c r="AA197" s="43">
        <v>1</v>
      </c>
      <c r="AB197" s="43">
        <v>2</v>
      </c>
      <c r="AC197" s="43">
        <v>3</v>
      </c>
      <c r="AD197" s="43" t="s">
        <v>87</v>
      </c>
      <c r="AE197" s="43">
        <v>11013</v>
      </c>
      <c r="AF197" s="43">
        <v>0</v>
      </c>
      <c r="AG197" s="43">
        <v>1</v>
      </c>
      <c r="AH197" s="43">
        <v>1</v>
      </c>
      <c r="AI197" s="43">
        <v>2</v>
      </c>
    </row>
    <row r="198" spans="1:35">
      <c r="A198" s="43">
        <v>44501</v>
      </c>
      <c r="B198" s="43">
        <v>2</v>
      </c>
      <c r="C198" s="43">
        <v>0</v>
      </c>
      <c r="D198" s="43">
        <v>2</v>
      </c>
      <c r="E198" s="43">
        <v>1</v>
      </c>
      <c r="F198" s="43" t="s">
        <v>75</v>
      </c>
      <c r="G198" s="43">
        <v>11008</v>
      </c>
      <c r="H198" s="43">
        <v>0</v>
      </c>
      <c r="I198" s="43">
        <v>1</v>
      </c>
      <c r="J198" s="43">
        <v>4</v>
      </c>
      <c r="K198" s="43">
        <v>6</v>
      </c>
      <c r="L198" s="43" t="s">
        <v>83</v>
      </c>
      <c r="M198" s="43">
        <v>11011</v>
      </c>
      <c r="N198" s="43">
        <v>0</v>
      </c>
      <c r="O198" s="43">
        <v>1</v>
      </c>
      <c r="P198" s="43">
        <v>3</v>
      </c>
      <c r="Q198" s="43">
        <v>4</v>
      </c>
      <c r="R198" s="43" t="s">
        <v>85</v>
      </c>
      <c r="S198" s="43">
        <v>11012</v>
      </c>
      <c r="T198" s="43">
        <v>0</v>
      </c>
      <c r="U198" s="43">
        <v>1</v>
      </c>
      <c r="V198" s="43">
        <v>2</v>
      </c>
      <c r="W198" s="43">
        <v>3</v>
      </c>
      <c r="X198" s="43" t="s">
        <v>91</v>
      </c>
      <c r="Y198" s="43">
        <v>11015</v>
      </c>
      <c r="Z198" s="43">
        <v>0</v>
      </c>
      <c r="AA198" s="43">
        <v>1</v>
      </c>
      <c r="AB198" s="43">
        <v>2</v>
      </c>
      <c r="AC198" s="43">
        <v>3</v>
      </c>
      <c r="AD198" s="43" t="s">
        <v>93</v>
      </c>
      <c r="AE198" s="43">
        <v>11016</v>
      </c>
      <c r="AF198" s="43">
        <v>0</v>
      </c>
      <c r="AG198" s="43">
        <v>1</v>
      </c>
      <c r="AH198" s="43">
        <v>1</v>
      </c>
      <c r="AI198" s="43">
        <v>2</v>
      </c>
    </row>
    <row r="199" spans="1:29">
      <c r="A199" s="43">
        <v>44501</v>
      </c>
      <c r="B199" s="43">
        <v>2</v>
      </c>
      <c r="C199" s="43">
        <v>0</v>
      </c>
      <c r="D199" s="43">
        <v>2</v>
      </c>
      <c r="E199" s="43">
        <v>1</v>
      </c>
      <c r="F199" s="43" t="s">
        <v>75</v>
      </c>
      <c r="G199" s="43">
        <v>11008</v>
      </c>
      <c r="H199" s="43">
        <v>0</v>
      </c>
      <c r="I199" s="43">
        <v>1</v>
      </c>
      <c r="J199" s="43">
        <v>4</v>
      </c>
      <c r="K199" s="43">
        <v>6</v>
      </c>
      <c r="L199" s="43" t="s">
        <v>83</v>
      </c>
      <c r="M199" s="43">
        <v>11011</v>
      </c>
      <c r="N199" s="43">
        <v>0</v>
      </c>
      <c r="O199" s="43">
        <v>1</v>
      </c>
      <c r="P199" s="43">
        <v>3</v>
      </c>
      <c r="Q199" s="43">
        <v>4</v>
      </c>
      <c r="R199" s="43" t="s">
        <v>85</v>
      </c>
      <c r="S199" s="43">
        <v>11012</v>
      </c>
      <c r="T199" s="43">
        <v>0</v>
      </c>
      <c r="U199" s="43">
        <v>1</v>
      </c>
      <c r="V199" s="43">
        <v>2</v>
      </c>
      <c r="W199" s="43">
        <v>3</v>
      </c>
      <c r="X199" s="43" t="s">
        <v>87</v>
      </c>
      <c r="Y199" s="43">
        <v>11013</v>
      </c>
      <c r="Z199" s="43">
        <v>0</v>
      </c>
      <c r="AA199" s="43">
        <v>1</v>
      </c>
      <c r="AB199" s="43">
        <v>3</v>
      </c>
      <c r="AC199" s="43">
        <v>5</v>
      </c>
    </row>
    <row r="200" spans="1:29">
      <c r="A200" s="43">
        <v>44501</v>
      </c>
      <c r="B200" s="43">
        <v>2</v>
      </c>
      <c r="C200" s="43">
        <v>0</v>
      </c>
      <c r="D200" s="43">
        <v>2</v>
      </c>
      <c r="E200" s="43">
        <v>1</v>
      </c>
      <c r="F200" s="43" t="s">
        <v>75</v>
      </c>
      <c r="G200" s="43">
        <v>11008</v>
      </c>
      <c r="H200" s="43">
        <v>0</v>
      </c>
      <c r="I200" s="43">
        <v>1</v>
      </c>
      <c r="J200" s="43">
        <v>4</v>
      </c>
      <c r="K200" s="43">
        <v>6</v>
      </c>
      <c r="L200" s="43" t="s">
        <v>83</v>
      </c>
      <c r="M200" s="43">
        <v>11011</v>
      </c>
      <c r="N200" s="43">
        <v>0</v>
      </c>
      <c r="O200" s="43">
        <v>1</v>
      </c>
      <c r="P200" s="43">
        <v>3</v>
      </c>
      <c r="Q200" s="43">
        <v>4</v>
      </c>
      <c r="R200" s="43" t="s">
        <v>85</v>
      </c>
      <c r="S200" s="43">
        <v>11012</v>
      </c>
      <c r="T200" s="43">
        <v>0</v>
      </c>
      <c r="U200" s="43">
        <v>1</v>
      </c>
      <c r="V200" s="43">
        <v>2</v>
      </c>
      <c r="W200" s="43">
        <v>3</v>
      </c>
      <c r="X200" s="43" t="s">
        <v>93</v>
      </c>
      <c r="Y200" s="43">
        <v>11016</v>
      </c>
      <c r="Z200" s="43">
        <v>0</v>
      </c>
      <c r="AA200" s="43">
        <v>1</v>
      </c>
      <c r="AB200" s="43">
        <v>3</v>
      </c>
      <c r="AC200" s="43">
        <v>5</v>
      </c>
    </row>
    <row r="201" spans="1:29">
      <c r="A201" s="43">
        <v>44501</v>
      </c>
      <c r="B201" s="43">
        <v>2</v>
      </c>
      <c r="C201" s="43">
        <v>0</v>
      </c>
      <c r="D201" s="43">
        <v>2</v>
      </c>
      <c r="E201" s="43">
        <v>1</v>
      </c>
      <c r="F201" s="43" t="s">
        <v>75</v>
      </c>
      <c r="G201" s="43">
        <v>11008</v>
      </c>
      <c r="H201" s="43">
        <v>0</v>
      </c>
      <c r="I201" s="43">
        <v>1</v>
      </c>
      <c r="J201" s="43">
        <v>4</v>
      </c>
      <c r="K201" s="43">
        <v>6</v>
      </c>
      <c r="L201" s="43" t="s">
        <v>95</v>
      </c>
      <c r="M201" s="43">
        <v>11017</v>
      </c>
      <c r="N201" s="43">
        <v>0</v>
      </c>
      <c r="O201" s="43">
        <v>1</v>
      </c>
      <c r="P201" s="43">
        <v>3</v>
      </c>
      <c r="Q201" s="43">
        <v>4</v>
      </c>
      <c r="R201" s="43" t="s">
        <v>91</v>
      </c>
      <c r="S201" s="43">
        <v>11015</v>
      </c>
      <c r="T201" s="43">
        <v>0</v>
      </c>
      <c r="U201" s="43">
        <v>1</v>
      </c>
      <c r="V201" s="43">
        <v>2</v>
      </c>
      <c r="W201" s="43">
        <v>3</v>
      </c>
      <c r="X201" s="43" t="s">
        <v>87</v>
      </c>
      <c r="Y201" s="43">
        <v>11013</v>
      </c>
      <c r="Z201" s="43">
        <v>0</v>
      </c>
      <c r="AA201" s="43">
        <v>1</v>
      </c>
      <c r="AB201" s="43">
        <v>3</v>
      </c>
      <c r="AC201" s="43">
        <v>5</v>
      </c>
    </row>
    <row r="202" spans="1:29">
      <c r="A202" s="43">
        <v>44501</v>
      </c>
      <c r="B202" s="43">
        <v>2</v>
      </c>
      <c r="C202" s="43">
        <v>0</v>
      </c>
      <c r="D202" s="43">
        <v>2</v>
      </c>
      <c r="E202" s="43">
        <v>1</v>
      </c>
      <c r="F202" s="43" t="s">
        <v>75</v>
      </c>
      <c r="G202" s="43">
        <v>11008</v>
      </c>
      <c r="H202" s="43">
        <v>0</v>
      </c>
      <c r="I202" s="43">
        <v>1</v>
      </c>
      <c r="J202" s="43">
        <v>4</v>
      </c>
      <c r="K202" s="43">
        <v>6</v>
      </c>
      <c r="L202" s="43" t="s">
        <v>95</v>
      </c>
      <c r="M202" s="43">
        <v>11017</v>
      </c>
      <c r="N202" s="43">
        <v>0</v>
      </c>
      <c r="O202" s="43">
        <v>1</v>
      </c>
      <c r="P202" s="43">
        <v>3</v>
      </c>
      <c r="Q202" s="43">
        <v>4</v>
      </c>
      <c r="R202" s="43" t="s">
        <v>91</v>
      </c>
      <c r="S202" s="43">
        <v>11015</v>
      </c>
      <c r="T202" s="43">
        <v>0</v>
      </c>
      <c r="U202" s="43">
        <v>1</v>
      </c>
      <c r="V202" s="43">
        <v>2</v>
      </c>
      <c r="W202" s="43">
        <v>3</v>
      </c>
      <c r="X202" s="43" t="s">
        <v>93</v>
      </c>
      <c r="Y202" s="43">
        <v>11016</v>
      </c>
      <c r="Z202" s="43">
        <v>0</v>
      </c>
      <c r="AA202" s="43">
        <v>1</v>
      </c>
      <c r="AB202" s="43">
        <v>3</v>
      </c>
      <c r="AC202" s="43">
        <v>5</v>
      </c>
    </row>
    <row r="203" spans="1:29">
      <c r="A203" s="43">
        <v>44501</v>
      </c>
      <c r="B203" s="43">
        <v>2</v>
      </c>
      <c r="C203" s="43">
        <v>0</v>
      </c>
      <c r="D203" s="43">
        <v>2</v>
      </c>
      <c r="E203" s="43">
        <v>1</v>
      </c>
      <c r="F203" s="43" t="s">
        <v>75</v>
      </c>
      <c r="G203" s="43">
        <v>11008</v>
      </c>
      <c r="H203" s="43">
        <v>0</v>
      </c>
      <c r="I203" s="43">
        <v>1</v>
      </c>
      <c r="J203" s="43">
        <v>4</v>
      </c>
      <c r="K203" s="43">
        <v>6</v>
      </c>
      <c r="L203" s="43" t="s">
        <v>95</v>
      </c>
      <c r="M203" s="43">
        <v>11017</v>
      </c>
      <c r="N203" s="43">
        <v>0</v>
      </c>
      <c r="O203" s="43">
        <v>1</v>
      </c>
      <c r="P203" s="43">
        <v>3</v>
      </c>
      <c r="Q203" s="43">
        <v>4</v>
      </c>
      <c r="R203" s="43" t="s">
        <v>97</v>
      </c>
      <c r="S203" s="43">
        <v>11020</v>
      </c>
      <c r="T203" s="43">
        <v>0</v>
      </c>
      <c r="U203" s="43">
        <v>1</v>
      </c>
      <c r="V203" s="43">
        <v>2</v>
      </c>
      <c r="W203" s="43">
        <v>3</v>
      </c>
      <c r="X203" s="43" t="s">
        <v>87</v>
      </c>
      <c r="Y203" s="43">
        <v>11013</v>
      </c>
      <c r="Z203" s="43">
        <v>0</v>
      </c>
      <c r="AA203" s="43">
        <v>1</v>
      </c>
      <c r="AB203" s="43">
        <v>3</v>
      </c>
      <c r="AC203" s="43">
        <v>5</v>
      </c>
    </row>
    <row r="204" spans="1:29">
      <c r="A204" s="43">
        <v>44501</v>
      </c>
      <c r="B204" s="43">
        <v>2</v>
      </c>
      <c r="C204" s="43">
        <v>0</v>
      </c>
      <c r="D204" s="43">
        <v>2</v>
      </c>
      <c r="E204" s="43">
        <v>1</v>
      </c>
      <c r="F204" s="43" t="s">
        <v>75</v>
      </c>
      <c r="G204" s="43">
        <v>11008</v>
      </c>
      <c r="H204" s="43">
        <v>0</v>
      </c>
      <c r="I204" s="43">
        <v>1</v>
      </c>
      <c r="J204" s="43">
        <v>4</v>
      </c>
      <c r="K204" s="43">
        <v>6</v>
      </c>
      <c r="L204" s="43" t="s">
        <v>95</v>
      </c>
      <c r="M204" s="43">
        <v>11017</v>
      </c>
      <c r="N204" s="43">
        <v>0</v>
      </c>
      <c r="O204" s="43">
        <v>1</v>
      </c>
      <c r="P204" s="43">
        <v>3</v>
      </c>
      <c r="Q204" s="43">
        <v>4</v>
      </c>
      <c r="R204" s="43" t="s">
        <v>97</v>
      </c>
      <c r="S204" s="43">
        <v>11020</v>
      </c>
      <c r="T204" s="43">
        <v>0</v>
      </c>
      <c r="U204" s="43">
        <v>1</v>
      </c>
      <c r="V204" s="43">
        <v>2</v>
      </c>
      <c r="W204" s="43">
        <v>3</v>
      </c>
      <c r="X204" s="43" t="s">
        <v>93</v>
      </c>
      <c r="Y204" s="43">
        <v>11016</v>
      </c>
      <c r="Z204" s="43">
        <v>0</v>
      </c>
      <c r="AA204" s="43">
        <v>1</v>
      </c>
      <c r="AB204" s="43">
        <v>3</v>
      </c>
      <c r="AC204" s="43">
        <v>5</v>
      </c>
    </row>
    <row r="205" spans="1:29">
      <c r="A205" s="43">
        <v>44501</v>
      </c>
      <c r="B205" s="43">
        <v>2</v>
      </c>
      <c r="C205" s="43">
        <v>0</v>
      </c>
      <c r="D205" s="43">
        <v>2</v>
      </c>
      <c r="E205" s="43">
        <v>1</v>
      </c>
      <c r="F205" s="43" t="s">
        <v>75</v>
      </c>
      <c r="G205" s="43">
        <v>11008</v>
      </c>
      <c r="H205" s="43">
        <v>0</v>
      </c>
      <c r="I205" s="43">
        <v>1</v>
      </c>
      <c r="J205" s="43">
        <v>4</v>
      </c>
      <c r="K205" s="43">
        <v>6</v>
      </c>
      <c r="L205" s="43" t="s">
        <v>85</v>
      </c>
      <c r="M205" s="43">
        <v>11012</v>
      </c>
      <c r="N205" s="43">
        <v>0</v>
      </c>
      <c r="O205" s="43">
        <v>1</v>
      </c>
      <c r="P205" s="43">
        <v>3</v>
      </c>
      <c r="Q205" s="43">
        <v>4</v>
      </c>
      <c r="R205" s="43" t="s">
        <v>91</v>
      </c>
      <c r="S205" s="43">
        <v>11015</v>
      </c>
      <c r="T205" s="43">
        <v>0</v>
      </c>
      <c r="U205" s="43">
        <v>1</v>
      </c>
      <c r="V205" s="43">
        <v>2</v>
      </c>
      <c r="W205" s="43">
        <v>3</v>
      </c>
      <c r="X205" s="43" t="s">
        <v>87</v>
      </c>
      <c r="Y205" s="43">
        <v>11013</v>
      </c>
      <c r="Z205" s="43">
        <v>0</v>
      </c>
      <c r="AA205" s="43">
        <v>1</v>
      </c>
      <c r="AB205" s="43">
        <v>3</v>
      </c>
      <c r="AC205" s="43">
        <v>5</v>
      </c>
    </row>
    <row r="206" spans="1:29">
      <c r="A206" s="43">
        <v>44501</v>
      </c>
      <c r="B206" s="43">
        <v>2</v>
      </c>
      <c r="C206" s="43">
        <v>0</v>
      </c>
      <c r="D206" s="43">
        <v>2</v>
      </c>
      <c r="E206" s="43">
        <v>1</v>
      </c>
      <c r="F206" s="43" t="s">
        <v>75</v>
      </c>
      <c r="G206" s="43">
        <v>11008</v>
      </c>
      <c r="H206" s="43">
        <v>0</v>
      </c>
      <c r="I206" s="43">
        <v>1</v>
      </c>
      <c r="J206" s="43">
        <v>4</v>
      </c>
      <c r="K206" s="43">
        <v>6</v>
      </c>
      <c r="L206" s="43" t="s">
        <v>85</v>
      </c>
      <c r="M206" s="43">
        <v>11012</v>
      </c>
      <c r="N206" s="43">
        <v>0</v>
      </c>
      <c r="O206" s="43">
        <v>1</v>
      </c>
      <c r="P206" s="43">
        <v>3</v>
      </c>
      <c r="Q206" s="43">
        <v>4</v>
      </c>
      <c r="R206" s="43" t="s">
        <v>91</v>
      </c>
      <c r="S206" s="43">
        <v>11015</v>
      </c>
      <c r="T206" s="43">
        <v>0</v>
      </c>
      <c r="U206" s="43">
        <v>1</v>
      </c>
      <c r="V206" s="43">
        <v>2</v>
      </c>
      <c r="W206" s="43">
        <v>3</v>
      </c>
      <c r="X206" s="43" t="s">
        <v>93</v>
      </c>
      <c r="Y206" s="43">
        <v>11016</v>
      </c>
      <c r="Z206" s="43">
        <v>0</v>
      </c>
      <c r="AA206" s="43">
        <v>1</v>
      </c>
      <c r="AB206" s="43">
        <v>3</v>
      </c>
      <c r="AC206" s="43">
        <v>5</v>
      </c>
    </row>
    <row r="207" spans="1:29">
      <c r="A207" s="43">
        <v>44501</v>
      </c>
      <c r="B207" s="43">
        <v>2</v>
      </c>
      <c r="C207" s="43">
        <v>0</v>
      </c>
      <c r="D207" s="43">
        <v>2</v>
      </c>
      <c r="E207" s="43">
        <v>1</v>
      </c>
      <c r="F207" s="43" t="s">
        <v>75</v>
      </c>
      <c r="G207" s="43">
        <v>11008</v>
      </c>
      <c r="H207" s="43">
        <v>0</v>
      </c>
      <c r="I207" s="43">
        <v>1</v>
      </c>
      <c r="J207" s="43">
        <v>4</v>
      </c>
      <c r="K207" s="43">
        <v>6</v>
      </c>
      <c r="L207" s="43" t="s">
        <v>85</v>
      </c>
      <c r="M207" s="43">
        <v>11012</v>
      </c>
      <c r="N207" s="43">
        <v>0</v>
      </c>
      <c r="O207" s="43">
        <v>1</v>
      </c>
      <c r="P207" s="43">
        <v>3</v>
      </c>
      <c r="Q207" s="43">
        <v>4</v>
      </c>
      <c r="R207" s="43" t="s">
        <v>97</v>
      </c>
      <c r="S207" s="43">
        <v>11020</v>
      </c>
      <c r="T207" s="43">
        <v>0</v>
      </c>
      <c r="U207" s="43">
        <v>1</v>
      </c>
      <c r="V207" s="43">
        <v>2</v>
      </c>
      <c r="W207" s="43">
        <v>3</v>
      </c>
      <c r="X207" s="43" t="s">
        <v>87</v>
      </c>
      <c r="Y207" s="43">
        <v>11013</v>
      </c>
      <c r="Z207" s="43">
        <v>0</v>
      </c>
      <c r="AA207" s="43">
        <v>1</v>
      </c>
      <c r="AB207" s="43">
        <v>3</v>
      </c>
      <c r="AC207" s="43">
        <v>5</v>
      </c>
    </row>
    <row r="208" spans="1:29">
      <c r="A208" s="43">
        <v>44501</v>
      </c>
      <c r="B208" s="43">
        <v>2</v>
      </c>
      <c r="C208" s="43">
        <v>0</v>
      </c>
      <c r="D208" s="43">
        <v>2</v>
      </c>
      <c r="E208" s="43">
        <v>1</v>
      </c>
      <c r="F208" s="43" t="s">
        <v>75</v>
      </c>
      <c r="G208" s="43">
        <v>11008</v>
      </c>
      <c r="H208" s="43">
        <v>0</v>
      </c>
      <c r="I208" s="43">
        <v>1</v>
      </c>
      <c r="J208" s="43">
        <v>4</v>
      </c>
      <c r="K208" s="43">
        <v>6</v>
      </c>
      <c r="L208" s="43" t="s">
        <v>85</v>
      </c>
      <c r="M208" s="43">
        <v>11012</v>
      </c>
      <c r="N208" s="43">
        <v>0</v>
      </c>
      <c r="O208" s="43">
        <v>1</v>
      </c>
      <c r="P208" s="43">
        <v>3</v>
      </c>
      <c r="Q208" s="43">
        <v>4</v>
      </c>
      <c r="R208" s="43" t="s">
        <v>97</v>
      </c>
      <c r="S208" s="43">
        <v>11020</v>
      </c>
      <c r="T208" s="43">
        <v>0</v>
      </c>
      <c r="U208" s="43">
        <v>1</v>
      </c>
      <c r="V208" s="43">
        <v>2</v>
      </c>
      <c r="W208" s="43">
        <v>3</v>
      </c>
      <c r="X208" s="43" t="s">
        <v>93</v>
      </c>
      <c r="Y208" s="43">
        <v>11016</v>
      </c>
      <c r="Z208" s="43">
        <v>0</v>
      </c>
      <c r="AA208" s="43">
        <v>1</v>
      </c>
      <c r="AB208" s="43">
        <v>3</v>
      </c>
      <c r="AC208" s="43">
        <v>5</v>
      </c>
    </row>
    <row r="209" spans="1:35">
      <c r="A209" s="43">
        <v>44501</v>
      </c>
      <c r="B209" s="43">
        <v>2</v>
      </c>
      <c r="C209" s="43">
        <v>0</v>
      </c>
      <c r="D209" s="43">
        <v>2</v>
      </c>
      <c r="E209" s="43">
        <v>1</v>
      </c>
      <c r="F209" s="43" t="s">
        <v>77</v>
      </c>
      <c r="G209" s="43">
        <v>11009</v>
      </c>
      <c r="H209" s="43">
        <v>0</v>
      </c>
      <c r="I209" s="43">
        <v>1</v>
      </c>
      <c r="J209" s="43">
        <v>4</v>
      </c>
      <c r="K209" s="43">
        <v>6</v>
      </c>
      <c r="L209" s="43" t="s">
        <v>83</v>
      </c>
      <c r="M209" s="43">
        <v>11011</v>
      </c>
      <c r="N209" s="43">
        <v>0</v>
      </c>
      <c r="O209" s="43">
        <v>1</v>
      </c>
      <c r="P209" s="43">
        <v>3</v>
      </c>
      <c r="Q209" s="43">
        <v>4</v>
      </c>
      <c r="R209" s="43" t="s">
        <v>95</v>
      </c>
      <c r="S209" s="43">
        <v>11017</v>
      </c>
      <c r="T209" s="43">
        <v>0</v>
      </c>
      <c r="U209" s="43">
        <v>1</v>
      </c>
      <c r="V209" s="43">
        <v>2</v>
      </c>
      <c r="W209" s="43">
        <v>3</v>
      </c>
      <c r="X209" s="43" t="s">
        <v>91</v>
      </c>
      <c r="Y209" s="43">
        <v>11015</v>
      </c>
      <c r="Z209" s="43">
        <v>0</v>
      </c>
      <c r="AA209" s="43">
        <v>1</v>
      </c>
      <c r="AB209" s="43">
        <v>2</v>
      </c>
      <c r="AC209" s="43">
        <v>3</v>
      </c>
      <c r="AD209" s="43" t="s">
        <v>87</v>
      </c>
      <c r="AE209" s="43">
        <v>11013</v>
      </c>
      <c r="AF209" s="43">
        <v>0</v>
      </c>
      <c r="AG209" s="43">
        <v>1</v>
      </c>
      <c r="AH209" s="43">
        <v>1</v>
      </c>
      <c r="AI209" s="43">
        <v>2</v>
      </c>
    </row>
    <row r="210" spans="1:35">
      <c r="A210" s="43">
        <v>44501</v>
      </c>
      <c r="B210" s="43">
        <v>2</v>
      </c>
      <c r="C210" s="43">
        <v>0</v>
      </c>
      <c r="D210" s="43">
        <v>2</v>
      </c>
      <c r="E210" s="43">
        <v>1</v>
      </c>
      <c r="F210" s="43" t="s">
        <v>77</v>
      </c>
      <c r="G210" s="43">
        <v>11009</v>
      </c>
      <c r="H210" s="43">
        <v>0</v>
      </c>
      <c r="I210" s="43">
        <v>1</v>
      </c>
      <c r="J210" s="43">
        <v>4</v>
      </c>
      <c r="K210" s="43">
        <v>6</v>
      </c>
      <c r="L210" s="43" t="s">
        <v>83</v>
      </c>
      <c r="M210" s="43">
        <v>11011</v>
      </c>
      <c r="N210" s="43">
        <v>0</v>
      </c>
      <c r="O210" s="43">
        <v>1</v>
      </c>
      <c r="P210" s="43">
        <v>3</v>
      </c>
      <c r="Q210" s="43">
        <v>4</v>
      </c>
      <c r="R210" s="43" t="s">
        <v>95</v>
      </c>
      <c r="S210" s="43">
        <v>11017</v>
      </c>
      <c r="T210" s="43">
        <v>0</v>
      </c>
      <c r="U210" s="43">
        <v>1</v>
      </c>
      <c r="V210" s="43">
        <v>2</v>
      </c>
      <c r="W210" s="43">
        <v>3</v>
      </c>
      <c r="X210" s="43" t="s">
        <v>91</v>
      </c>
      <c r="Y210" s="43">
        <v>11015</v>
      </c>
      <c r="Z210" s="43">
        <v>0</v>
      </c>
      <c r="AA210" s="43">
        <v>1</v>
      </c>
      <c r="AB210" s="43">
        <v>2</v>
      </c>
      <c r="AC210" s="43">
        <v>3</v>
      </c>
      <c r="AD210" s="43" t="s">
        <v>93</v>
      </c>
      <c r="AE210" s="43">
        <v>11016</v>
      </c>
      <c r="AF210" s="43">
        <v>0</v>
      </c>
      <c r="AG210" s="43">
        <v>1</v>
      </c>
      <c r="AH210" s="43">
        <v>1</v>
      </c>
      <c r="AI210" s="43">
        <v>2</v>
      </c>
    </row>
    <row r="211" spans="1:29">
      <c r="A211" s="43">
        <v>44501</v>
      </c>
      <c r="B211" s="43">
        <v>2</v>
      </c>
      <c r="C211" s="43">
        <v>0</v>
      </c>
      <c r="D211" s="43">
        <v>2</v>
      </c>
      <c r="E211" s="43">
        <v>1</v>
      </c>
      <c r="F211" s="43" t="s">
        <v>77</v>
      </c>
      <c r="G211" s="43">
        <v>11009</v>
      </c>
      <c r="H211" s="43">
        <v>0</v>
      </c>
      <c r="I211" s="43">
        <v>1</v>
      </c>
      <c r="J211" s="43">
        <v>4</v>
      </c>
      <c r="K211" s="43">
        <v>6</v>
      </c>
      <c r="L211" s="43" t="s">
        <v>83</v>
      </c>
      <c r="M211" s="43">
        <v>11011</v>
      </c>
      <c r="N211" s="43">
        <v>0</v>
      </c>
      <c r="O211" s="43">
        <v>1</v>
      </c>
      <c r="P211" s="43">
        <v>3</v>
      </c>
      <c r="Q211" s="43">
        <v>4</v>
      </c>
      <c r="R211" s="43" t="s">
        <v>95</v>
      </c>
      <c r="S211" s="43">
        <v>11017</v>
      </c>
      <c r="T211" s="43">
        <v>0</v>
      </c>
      <c r="U211" s="43">
        <v>1</v>
      </c>
      <c r="V211" s="43">
        <v>2</v>
      </c>
      <c r="W211" s="43">
        <v>3</v>
      </c>
      <c r="X211" s="43" t="s">
        <v>87</v>
      </c>
      <c r="Y211" s="43">
        <v>11013</v>
      </c>
      <c r="Z211" s="43">
        <v>0</v>
      </c>
      <c r="AA211" s="43">
        <v>1</v>
      </c>
      <c r="AB211" s="43">
        <v>3</v>
      </c>
      <c r="AC211" s="43">
        <v>5</v>
      </c>
    </row>
    <row r="212" spans="1:29">
      <c r="A212" s="43">
        <v>44501</v>
      </c>
      <c r="B212" s="43">
        <v>2</v>
      </c>
      <c r="C212" s="43">
        <v>0</v>
      </c>
      <c r="D212" s="43">
        <v>2</v>
      </c>
      <c r="E212" s="43">
        <v>1</v>
      </c>
      <c r="F212" s="43" t="s">
        <v>77</v>
      </c>
      <c r="G212" s="43">
        <v>11009</v>
      </c>
      <c r="H212" s="43">
        <v>0</v>
      </c>
      <c r="I212" s="43">
        <v>1</v>
      </c>
      <c r="J212" s="43">
        <v>4</v>
      </c>
      <c r="K212" s="43">
        <v>6</v>
      </c>
      <c r="L212" s="43" t="s">
        <v>83</v>
      </c>
      <c r="M212" s="43">
        <v>11011</v>
      </c>
      <c r="N212" s="43">
        <v>0</v>
      </c>
      <c r="O212" s="43">
        <v>1</v>
      </c>
      <c r="P212" s="43">
        <v>3</v>
      </c>
      <c r="Q212" s="43">
        <v>4</v>
      </c>
      <c r="R212" s="43" t="s">
        <v>95</v>
      </c>
      <c r="S212" s="43">
        <v>11017</v>
      </c>
      <c r="T212" s="43">
        <v>0</v>
      </c>
      <c r="U212" s="43">
        <v>1</v>
      </c>
      <c r="V212" s="43">
        <v>2</v>
      </c>
      <c r="W212" s="43">
        <v>3</v>
      </c>
      <c r="X212" s="43" t="s">
        <v>93</v>
      </c>
      <c r="Y212" s="43">
        <v>11016</v>
      </c>
      <c r="Z212" s="43">
        <v>0</v>
      </c>
      <c r="AA212" s="43">
        <v>1</v>
      </c>
      <c r="AB212" s="43">
        <v>3</v>
      </c>
      <c r="AC212" s="43">
        <v>5</v>
      </c>
    </row>
    <row r="213" spans="1:35">
      <c r="A213" s="43">
        <v>44501</v>
      </c>
      <c r="B213" s="43">
        <v>2</v>
      </c>
      <c r="C213" s="43">
        <v>0</v>
      </c>
      <c r="D213" s="43">
        <v>2</v>
      </c>
      <c r="E213" s="43">
        <v>1</v>
      </c>
      <c r="F213" s="43" t="s">
        <v>77</v>
      </c>
      <c r="G213" s="43">
        <v>11009</v>
      </c>
      <c r="H213" s="43">
        <v>0</v>
      </c>
      <c r="I213" s="43">
        <v>1</v>
      </c>
      <c r="J213" s="43">
        <v>4</v>
      </c>
      <c r="K213" s="43">
        <v>6</v>
      </c>
      <c r="L213" s="43" t="s">
        <v>83</v>
      </c>
      <c r="M213" s="43">
        <v>11011</v>
      </c>
      <c r="N213" s="43">
        <v>0</v>
      </c>
      <c r="O213" s="43">
        <v>1</v>
      </c>
      <c r="P213" s="43">
        <v>3</v>
      </c>
      <c r="Q213" s="43">
        <v>4</v>
      </c>
      <c r="R213" s="43" t="s">
        <v>85</v>
      </c>
      <c r="S213" s="43">
        <v>11012</v>
      </c>
      <c r="T213" s="43">
        <v>0</v>
      </c>
      <c r="U213" s="43">
        <v>1</v>
      </c>
      <c r="V213" s="43">
        <v>2</v>
      </c>
      <c r="W213" s="43">
        <v>3</v>
      </c>
      <c r="X213" s="43" t="s">
        <v>91</v>
      </c>
      <c r="Y213" s="43">
        <v>11015</v>
      </c>
      <c r="Z213" s="43">
        <v>0</v>
      </c>
      <c r="AA213" s="43">
        <v>1</v>
      </c>
      <c r="AB213" s="43">
        <v>2</v>
      </c>
      <c r="AC213" s="43">
        <v>3</v>
      </c>
      <c r="AD213" s="43" t="s">
        <v>87</v>
      </c>
      <c r="AE213" s="43">
        <v>11013</v>
      </c>
      <c r="AF213" s="43">
        <v>0</v>
      </c>
      <c r="AG213" s="43">
        <v>1</v>
      </c>
      <c r="AH213" s="43">
        <v>1</v>
      </c>
      <c r="AI213" s="43">
        <v>2</v>
      </c>
    </row>
    <row r="214" spans="1:35">
      <c r="A214" s="43">
        <v>44501</v>
      </c>
      <c r="B214" s="43">
        <v>2</v>
      </c>
      <c r="C214" s="43">
        <v>0</v>
      </c>
      <c r="D214" s="43">
        <v>2</v>
      </c>
      <c r="E214" s="43">
        <v>1</v>
      </c>
      <c r="F214" s="43" t="s">
        <v>77</v>
      </c>
      <c r="G214" s="43">
        <v>11009</v>
      </c>
      <c r="H214" s="43">
        <v>0</v>
      </c>
      <c r="I214" s="43">
        <v>1</v>
      </c>
      <c r="J214" s="43">
        <v>4</v>
      </c>
      <c r="K214" s="43">
        <v>6</v>
      </c>
      <c r="L214" s="43" t="s">
        <v>83</v>
      </c>
      <c r="M214" s="43">
        <v>11011</v>
      </c>
      <c r="N214" s="43">
        <v>0</v>
      </c>
      <c r="O214" s="43">
        <v>1</v>
      </c>
      <c r="P214" s="43">
        <v>3</v>
      </c>
      <c r="Q214" s="43">
        <v>4</v>
      </c>
      <c r="R214" s="43" t="s">
        <v>85</v>
      </c>
      <c r="S214" s="43">
        <v>11012</v>
      </c>
      <c r="T214" s="43">
        <v>0</v>
      </c>
      <c r="U214" s="43">
        <v>1</v>
      </c>
      <c r="V214" s="43">
        <v>2</v>
      </c>
      <c r="W214" s="43">
        <v>3</v>
      </c>
      <c r="X214" s="43" t="s">
        <v>91</v>
      </c>
      <c r="Y214" s="43">
        <v>11015</v>
      </c>
      <c r="Z214" s="43">
        <v>0</v>
      </c>
      <c r="AA214" s="43">
        <v>1</v>
      </c>
      <c r="AB214" s="43">
        <v>2</v>
      </c>
      <c r="AC214" s="43">
        <v>3</v>
      </c>
      <c r="AD214" s="43" t="s">
        <v>93</v>
      </c>
      <c r="AE214" s="43">
        <v>11016</v>
      </c>
      <c r="AF214" s="43">
        <v>0</v>
      </c>
      <c r="AG214" s="43">
        <v>1</v>
      </c>
      <c r="AH214" s="43">
        <v>1</v>
      </c>
      <c r="AI214" s="43">
        <v>2</v>
      </c>
    </row>
    <row r="215" spans="1:29">
      <c r="A215" s="43">
        <v>44501</v>
      </c>
      <c r="B215" s="43">
        <v>2</v>
      </c>
      <c r="C215" s="43">
        <v>0</v>
      </c>
      <c r="D215" s="43">
        <v>2</v>
      </c>
      <c r="E215" s="43">
        <v>1</v>
      </c>
      <c r="F215" s="43" t="s">
        <v>77</v>
      </c>
      <c r="G215" s="43">
        <v>11009</v>
      </c>
      <c r="H215" s="43">
        <v>0</v>
      </c>
      <c r="I215" s="43">
        <v>1</v>
      </c>
      <c r="J215" s="43">
        <v>4</v>
      </c>
      <c r="K215" s="43">
        <v>6</v>
      </c>
      <c r="L215" s="43" t="s">
        <v>83</v>
      </c>
      <c r="M215" s="43">
        <v>11011</v>
      </c>
      <c r="N215" s="43">
        <v>0</v>
      </c>
      <c r="O215" s="43">
        <v>1</v>
      </c>
      <c r="P215" s="43">
        <v>3</v>
      </c>
      <c r="Q215" s="43">
        <v>4</v>
      </c>
      <c r="R215" s="43" t="s">
        <v>85</v>
      </c>
      <c r="S215" s="43">
        <v>11012</v>
      </c>
      <c r="T215" s="43">
        <v>0</v>
      </c>
      <c r="U215" s="43">
        <v>1</v>
      </c>
      <c r="V215" s="43">
        <v>2</v>
      </c>
      <c r="W215" s="43">
        <v>3</v>
      </c>
      <c r="X215" s="43" t="s">
        <v>87</v>
      </c>
      <c r="Y215" s="43">
        <v>11013</v>
      </c>
      <c r="Z215" s="43">
        <v>0</v>
      </c>
      <c r="AA215" s="43">
        <v>1</v>
      </c>
      <c r="AB215" s="43">
        <v>3</v>
      </c>
      <c r="AC215" s="43">
        <v>5</v>
      </c>
    </row>
    <row r="216" spans="1:29">
      <c r="A216" s="43">
        <v>44501</v>
      </c>
      <c r="B216" s="43">
        <v>2</v>
      </c>
      <c r="C216" s="43">
        <v>0</v>
      </c>
      <c r="D216" s="43">
        <v>2</v>
      </c>
      <c r="E216" s="43">
        <v>1</v>
      </c>
      <c r="F216" s="43" t="s">
        <v>77</v>
      </c>
      <c r="G216" s="43">
        <v>11009</v>
      </c>
      <c r="H216" s="43">
        <v>0</v>
      </c>
      <c r="I216" s="43">
        <v>1</v>
      </c>
      <c r="J216" s="43">
        <v>4</v>
      </c>
      <c r="K216" s="43">
        <v>6</v>
      </c>
      <c r="L216" s="43" t="s">
        <v>83</v>
      </c>
      <c r="M216" s="43">
        <v>11011</v>
      </c>
      <c r="N216" s="43">
        <v>0</v>
      </c>
      <c r="O216" s="43">
        <v>1</v>
      </c>
      <c r="P216" s="43">
        <v>3</v>
      </c>
      <c r="Q216" s="43">
        <v>4</v>
      </c>
      <c r="R216" s="43" t="s">
        <v>85</v>
      </c>
      <c r="S216" s="43">
        <v>11012</v>
      </c>
      <c r="T216" s="43">
        <v>0</v>
      </c>
      <c r="U216" s="43">
        <v>1</v>
      </c>
      <c r="V216" s="43">
        <v>2</v>
      </c>
      <c r="W216" s="43">
        <v>3</v>
      </c>
      <c r="X216" s="43" t="s">
        <v>93</v>
      </c>
      <c r="Y216" s="43">
        <v>11016</v>
      </c>
      <c r="Z216" s="43">
        <v>0</v>
      </c>
      <c r="AA216" s="43">
        <v>1</v>
      </c>
      <c r="AB216" s="43">
        <v>3</v>
      </c>
      <c r="AC216" s="43">
        <v>5</v>
      </c>
    </row>
    <row r="217" spans="1:29">
      <c r="A217" s="43">
        <v>44501</v>
      </c>
      <c r="B217" s="43">
        <v>2</v>
      </c>
      <c r="C217" s="43">
        <v>0</v>
      </c>
      <c r="D217" s="43">
        <v>2</v>
      </c>
      <c r="E217" s="43">
        <v>1</v>
      </c>
      <c r="F217" s="43" t="s">
        <v>77</v>
      </c>
      <c r="G217" s="43">
        <v>11009</v>
      </c>
      <c r="H217" s="43">
        <v>0</v>
      </c>
      <c r="I217" s="43">
        <v>1</v>
      </c>
      <c r="J217" s="43">
        <v>4</v>
      </c>
      <c r="K217" s="43">
        <v>6</v>
      </c>
      <c r="L217" s="43" t="s">
        <v>95</v>
      </c>
      <c r="M217" s="43">
        <v>11017</v>
      </c>
      <c r="N217" s="43">
        <v>0</v>
      </c>
      <c r="O217" s="43">
        <v>1</v>
      </c>
      <c r="P217" s="43">
        <v>3</v>
      </c>
      <c r="Q217" s="43">
        <v>4</v>
      </c>
      <c r="R217" s="43" t="s">
        <v>91</v>
      </c>
      <c r="S217" s="43">
        <v>11015</v>
      </c>
      <c r="T217" s="43">
        <v>0</v>
      </c>
      <c r="U217" s="43">
        <v>1</v>
      </c>
      <c r="V217" s="43">
        <v>2</v>
      </c>
      <c r="W217" s="43">
        <v>3</v>
      </c>
      <c r="X217" s="43" t="s">
        <v>87</v>
      </c>
      <c r="Y217" s="43">
        <v>11013</v>
      </c>
      <c r="Z217" s="43">
        <v>0</v>
      </c>
      <c r="AA217" s="43">
        <v>1</v>
      </c>
      <c r="AB217" s="43">
        <v>3</v>
      </c>
      <c r="AC217" s="43">
        <v>5</v>
      </c>
    </row>
    <row r="218" spans="1:29">
      <c r="A218" s="43">
        <v>44501</v>
      </c>
      <c r="B218" s="43">
        <v>2</v>
      </c>
      <c r="C218" s="43">
        <v>0</v>
      </c>
      <c r="D218" s="43">
        <v>2</v>
      </c>
      <c r="E218" s="43">
        <v>1</v>
      </c>
      <c r="F218" s="43" t="s">
        <v>77</v>
      </c>
      <c r="G218" s="43">
        <v>11009</v>
      </c>
      <c r="H218" s="43">
        <v>0</v>
      </c>
      <c r="I218" s="43">
        <v>1</v>
      </c>
      <c r="J218" s="43">
        <v>4</v>
      </c>
      <c r="K218" s="43">
        <v>6</v>
      </c>
      <c r="L218" s="43" t="s">
        <v>95</v>
      </c>
      <c r="M218" s="43">
        <v>11017</v>
      </c>
      <c r="N218" s="43">
        <v>0</v>
      </c>
      <c r="O218" s="43">
        <v>1</v>
      </c>
      <c r="P218" s="43">
        <v>3</v>
      </c>
      <c r="Q218" s="43">
        <v>4</v>
      </c>
      <c r="R218" s="43" t="s">
        <v>91</v>
      </c>
      <c r="S218" s="43">
        <v>11015</v>
      </c>
      <c r="T218" s="43">
        <v>0</v>
      </c>
      <c r="U218" s="43">
        <v>1</v>
      </c>
      <c r="V218" s="43">
        <v>2</v>
      </c>
      <c r="W218" s="43">
        <v>3</v>
      </c>
      <c r="X218" s="43" t="s">
        <v>93</v>
      </c>
      <c r="Y218" s="43">
        <v>11016</v>
      </c>
      <c r="Z218" s="43">
        <v>0</v>
      </c>
      <c r="AA218" s="43">
        <v>1</v>
      </c>
      <c r="AB218" s="43">
        <v>3</v>
      </c>
      <c r="AC218" s="43">
        <v>5</v>
      </c>
    </row>
    <row r="219" spans="1:29">
      <c r="A219" s="43">
        <v>44501</v>
      </c>
      <c r="B219" s="43">
        <v>2</v>
      </c>
      <c r="C219" s="43">
        <v>0</v>
      </c>
      <c r="D219" s="43">
        <v>2</v>
      </c>
      <c r="E219" s="43">
        <v>1</v>
      </c>
      <c r="F219" s="43" t="s">
        <v>77</v>
      </c>
      <c r="G219" s="43">
        <v>11009</v>
      </c>
      <c r="H219" s="43">
        <v>0</v>
      </c>
      <c r="I219" s="43">
        <v>1</v>
      </c>
      <c r="J219" s="43">
        <v>4</v>
      </c>
      <c r="K219" s="43">
        <v>6</v>
      </c>
      <c r="L219" s="43" t="s">
        <v>95</v>
      </c>
      <c r="M219" s="43">
        <v>11017</v>
      </c>
      <c r="N219" s="43">
        <v>0</v>
      </c>
      <c r="O219" s="43">
        <v>1</v>
      </c>
      <c r="P219" s="43">
        <v>3</v>
      </c>
      <c r="Q219" s="43">
        <v>4</v>
      </c>
      <c r="R219" s="43" t="s">
        <v>97</v>
      </c>
      <c r="S219" s="43">
        <v>11020</v>
      </c>
      <c r="T219" s="43">
        <v>0</v>
      </c>
      <c r="U219" s="43">
        <v>1</v>
      </c>
      <c r="V219" s="43">
        <v>2</v>
      </c>
      <c r="W219" s="43">
        <v>3</v>
      </c>
      <c r="X219" s="43" t="s">
        <v>87</v>
      </c>
      <c r="Y219" s="43">
        <v>11013</v>
      </c>
      <c r="Z219" s="43">
        <v>0</v>
      </c>
      <c r="AA219" s="43">
        <v>1</v>
      </c>
      <c r="AB219" s="43">
        <v>3</v>
      </c>
      <c r="AC219" s="43">
        <v>5</v>
      </c>
    </row>
    <row r="220" spans="1:29">
      <c r="A220" s="43">
        <v>44501</v>
      </c>
      <c r="B220" s="43">
        <v>2</v>
      </c>
      <c r="C220" s="43">
        <v>0</v>
      </c>
      <c r="D220" s="43">
        <v>2</v>
      </c>
      <c r="E220" s="43">
        <v>1</v>
      </c>
      <c r="F220" s="43" t="s">
        <v>77</v>
      </c>
      <c r="G220" s="43">
        <v>11009</v>
      </c>
      <c r="H220" s="43">
        <v>0</v>
      </c>
      <c r="I220" s="43">
        <v>1</v>
      </c>
      <c r="J220" s="43">
        <v>4</v>
      </c>
      <c r="K220" s="43">
        <v>6</v>
      </c>
      <c r="L220" s="43" t="s">
        <v>95</v>
      </c>
      <c r="M220" s="43">
        <v>11017</v>
      </c>
      <c r="N220" s="43">
        <v>0</v>
      </c>
      <c r="O220" s="43">
        <v>1</v>
      </c>
      <c r="P220" s="43">
        <v>3</v>
      </c>
      <c r="Q220" s="43">
        <v>4</v>
      </c>
      <c r="R220" s="43" t="s">
        <v>97</v>
      </c>
      <c r="S220" s="43">
        <v>11020</v>
      </c>
      <c r="T220" s="43">
        <v>0</v>
      </c>
      <c r="U220" s="43">
        <v>1</v>
      </c>
      <c r="V220" s="43">
        <v>2</v>
      </c>
      <c r="W220" s="43">
        <v>3</v>
      </c>
      <c r="X220" s="43" t="s">
        <v>93</v>
      </c>
      <c r="Y220" s="43">
        <v>11016</v>
      </c>
      <c r="Z220" s="43">
        <v>0</v>
      </c>
      <c r="AA220" s="43">
        <v>1</v>
      </c>
      <c r="AB220" s="43">
        <v>3</v>
      </c>
      <c r="AC220" s="43">
        <v>5</v>
      </c>
    </row>
    <row r="221" spans="1:29">
      <c r="A221" s="43">
        <v>44501</v>
      </c>
      <c r="B221" s="43">
        <v>2</v>
      </c>
      <c r="C221" s="43">
        <v>0</v>
      </c>
      <c r="D221" s="43">
        <v>2</v>
      </c>
      <c r="E221" s="43">
        <v>1</v>
      </c>
      <c r="F221" s="43" t="s">
        <v>77</v>
      </c>
      <c r="G221" s="43">
        <v>11009</v>
      </c>
      <c r="H221" s="43">
        <v>0</v>
      </c>
      <c r="I221" s="43">
        <v>1</v>
      </c>
      <c r="J221" s="43">
        <v>4</v>
      </c>
      <c r="K221" s="43">
        <v>6</v>
      </c>
      <c r="L221" s="43" t="s">
        <v>85</v>
      </c>
      <c r="M221" s="43">
        <v>11012</v>
      </c>
      <c r="N221" s="43">
        <v>0</v>
      </c>
      <c r="O221" s="43">
        <v>1</v>
      </c>
      <c r="P221" s="43">
        <v>3</v>
      </c>
      <c r="Q221" s="43">
        <v>4</v>
      </c>
      <c r="R221" s="43" t="s">
        <v>91</v>
      </c>
      <c r="S221" s="43">
        <v>11015</v>
      </c>
      <c r="T221" s="43">
        <v>0</v>
      </c>
      <c r="U221" s="43">
        <v>1</v>
      </c>
      <c r="V221" s="43">
        <v>2</v>
      </c>
      <c r="W221" s="43">
        <v>3</v>
      </c>
      <c r="X221" s="43" t="s">
        <v>87</v>
      </c>
      <c r="Y221" s="43">
        <v>11013</v>
      </c>
      <c r="Z221" s="43">
        <v>0</v>
      </c>
      <c r="AA221" s="43">
        <v>1</v>
      </c>
      <c r="AB221" s="43">
        <v>3</v>
      </c>
      <c r="AC221" s="43">
        <v>5</v>
      </c>
    </row>
    <row r="222" spans="1:29">
      <c r="A222" s="43">
        <v>44501</v>
      </c>
      <c r="B222" s="43">
        <v>2</v>
      </c>
      <c r="C222" s="43">
        <v>0</v>
      </c>
      <c r="D222" s="43">
        <v>2</v>
      </c>
      <c r="E222" s="43">
        <v>1</v>
      </c>
      <c r="F222" s="43" t="s">
        <v>77</v>
      </c>
      <c r="G222" s="43">
        <v>11009</v>
      </c>
      <c r="H222" s="43">
        <v>0</v>
      </c>
      <c r="I222" s="43">
        <v>1</v>
      </c>
      <c r="J222" s="43">
        <v>4</v>
      </c>
      <c r="K222" s="43">
        <v>6</v>
      </c>
      <c r="L222" s="43" t="s">
        <v>85</v>
      </c>
      <c r="M222" s="43">
        <v>11012</v>
      </c>
      <c r="N222" s="43">
        <v>0</v>
      </c>
      <c r="O222" s="43">
        <v>1</v>
      </c>
      <c r="P222" s="43">
        <v>3</v>
      </c>
      <c r="Q222" s="43">
        <v>4</v>
      </c>
      <c r="R222" s="43" t="s">
        <v>91</v>
      </c>
      <c r="S222" s="43">
        <v>11015</v>
      </c>
      <c r="T222" s="43">
        <v>0</v>
      </c>
      <c r="U222" s="43">
        <v>1</v>
      </c>
      <c r="V222" s="43">
        <v>2</v>
      </c>
      <c r="W222" s="43">
        <v>3</v>
      </c>
      <c r="X222" s="43" t="s">
        <v>93</v>
      </c>
      <c r="Y222" s="43">
        <v>11016</v>
      </c>
      <c r="Z222" s="43">
        <v>0</v>
      </c>
      <c r="AA222" s="43">
        <v>1</v>
      </c>
      <c r="AB222" s="43">
        <v>3</v>
      </c>
      <c r="AC222" s="43">
        <v>5</v>
      </c>
    </row>
    <row r="223" spans="1:29">
      <c r="A223" s="43">
        <v>44501</v>
      </c>
      <c r="B223" s="43">
        <v>2</v>
      </c>
      <c r="C223" s="43">
        <v>0</v>
      </c>
      <c r="D223" s="43">
        <v>2</v>
      </c>
      <c r="E223" s="43">
        <v>1</v>
      </c>
      <c r="F223" s="43" t="s">
        <v>77</v>
      </c>
      <c r="G223" s="43">
        <v>11009</v>
      </c>
      <c r="H223" s="43">
        <v>0</v>
      </c>
      <c r="I223" s="43">
        <v>1</v>
      </c>
      <c r="J223" s="43">
        <v>4</v>
      </c>
      <c r="K223" s="43">
        <v>6</v>
      </c>
      <c r="L223" s="43" t="s">
        <v>85</v>
      </c>
      <c r="M223" s="43">
        <v>11012</v>
      </c>
      <c r="N223" s="43">
        <v>0</v>
      </c>
      <c r="O223" s="43">
        <v>1</v>
      </c>
      <c r="P223" s="43">
        <v>3</v>
      </c>
      <c r="Q223" s="43">
        <v>4</v>
      </c>
      <c r="R223" s="43" t="s">
        <v>97</v>
      </c>
      <c r="S223" s="43">
        <v>11020</v>
      </c>
      <c r="T223" s="43">
        <v>0</v>
      </c>
      <c r="U223" s="43">
        <v>1</v>
      </c>
      <c r="V223" s="43">
        <v>2</v>
      </c>
      <c r="W223" s="43">
        <v>3</v>
      </c>
      <c r="X223" s="43" t="s">
        <v>87</v>
      </c>
      <c r="Y223" s="43">
        <v>11013</v>
      </c>
      <c r="Z223" s="43">
        <v>0</v>
      </c>
      <c r="AA223" s="43">
        <v>1</v>
      </c>
      <c r="AB223" s="43">
        <v>3</v>
      </c>
      <c r="AC223" s="43">
        <v>5</v>
      </c>
    </row>
    <row r="224" spans="1:29">
      <c r="A224" s="43">
        <v>44501</v>
      </c>
      <c r="B224" s="43">
        <v>2</v>
      </c>
      <c r="C224" s="43">
        <v>0</v>
      </c>
      <c r="D224" s="43">
        <v>2</v>
      </c>
      <c r="E224" s="43">
        <v>1</v>
      </c>
      <c r="F224" s="43" t="s">
        <v>77</v>
      </c>
      <c r="G224" s="43">
        <v>11009</v>
      </c>
      <c r="H224" s="43">
        <v>0</v>
      </c>
      <c r="I224" s="43">
        <v>1</v>
      </c>
      <c r="J224" s="43">
        <v>4</v>
      </c>
      <c r="K224" s="43">
        <v>6</v>
      </c>
      <c r="L224" s="43" t="s">
        <v>85</v>
      </c>
      <c r="M224" s="43">
        <v>11012</v>
      </c>
      <c r="N224" s="43">
        <v>0</v>
      </c>
      <c r="O224" s="43">
        <v>1</v>
      </c>
      <c r="P224" s="43">
        <v>3</v>
      </c>
      <c r="Q224" s="43">
        <v>4</v>
      </c>
      <c r="R224" s="43" t="s">
        <v>97</v>
      </c>
      <c r="S224" s="43">
        <v>11020</v>
      </c>
      <c r="T224" s="43">
        <v>0</v>
      </c>
      <c r="U224" s="43">
        <v>1</v>
      </c>
      <c r="V224" s="43">
        <v>2</v>
      </c>
      <c r="W224" s="43">
        <v>3</v>
      </c>
      <c r="X224" s="43" t="s">
        <v>93</v>
      </c>
      <c r="Y224" s="43">
        <v>11016</v>
      </c>
      <c r="Z224" s="43">
        <v>0</v>
      </c>
      <c r="AA224" s="43">
        <v>1</v>
      </c>
      <c r="AB224" s="43">
        <v>3</v>
      </c>
      <c r="AC224" s="43">
        <v>5</v>
      </c>
    </row>
    <row r="225" spans="1:33">
      <c r="A225" s="43">
        <v>44501</v>
      </c>
      <c r="B225" s="43">
        <v>5</v>
      </c>
      <c r="C225" s="43">
        <v>0</v>
      </c>
      <c r="D225" s="43">
        <v>3</v>
      </c>
      <c r="E225" s="43">
        <v>2</v>
      </c>
      <c r="F225" s="43" t="s">
        <v>99</v>
      </c>
      <c r="G225" s="43">
        <v>11024</v>
      </c>
      <c r="H225" s="43">
        <v>30000</v>
      </c>
      <c r="I225" s="43">
        <v>1</v>
      </c>
      <c r="J225" s="43">
        <v>1</v>
      </c>
      <c r="K225" s="43">
        <v>1</v>
      </c>
      <c r="L225" s="43" t="s">
        <v>103</v>
      </c>
      <c r="M225" s="43">
        <v>11025</v>
      </c>
      <c r="N225" s="43">
        <v>30000</v>
      </c>
      <c r="O225" s="43">
        <v>1</v>
      </c>
      <c r="P225" s="43">
        <v>1</v>
      </c>
      <c r="Q225" s="43">
        <v>1</v>
      </c>
      <c r="X225"/>
      <c r="Y225"/>
      <c r="Z225"/>
      <c r="AA225"/>
      <c r="AD225"/>
      <c r="AE225"/>
      <c r="AF225"/>
      <c r="AG225"/>
    </row>
    <row r="226" spans="1:23">
      <c r="A226" s="43">
        <v>44501</v>
      </c>
      <c r="B226" s="43">
        <v>5</v>
      </c>
      <c r="C226" s="43">
        <v>0</v>
      </c>
      <c r="D226" s="43">
        <v>4</v>
      </c>
      <c r="E226" s="43">
        <v>2</v>
      </c>
      <c r="F226" s="43" t="s">
        <v>361</v>
      </c>
      <c r="G226" s="43">
        <v>11214</v>
      </c>
      <c r="H226" s="43">
        <v>25000</v>
      </c>
      <c r="I226" s="43">
        <v>1</v>
      </c>
      <c r="J226" s="43">
        <v>0</v>
      </c>
      <c r="K226" s="43">
        <v>1</v>
      </c>
      <c r="L226" s="43" t="s">
        <v>353</v>
      </c>
      <c r="M226" s="43">
        <v>11092</v>
      </c>
      <c r="N226" s="43">
        <v>15000</v>
      </c>
      <c r="O226" s="43">
        <v>1</v>
      </c>
      <c r="P226" s="43">
        <v>0</v>
      </c>
      <c r="Q226" s="43">
        <v>1</v>
      </c>
      <c r="R226" s="43" t="s">
        <v>357</v>
      </c>
      <c r="S226" s="43">
        <v>11026</v>
      </c>
      <c r="T226" s="43">
        <v>10000</v>
      </c>
      <c r="U226" s="43">
        <v>1</v>
      </c>
      <c r="V226" s="43">
        <v>0</v>
      </c>
      <c r="W226" s="43">
        <v>1</v>
      </c>
    </row>
    <row r="227" spans="1:35">
      <c r="A227" s="43">
        <v>44501</v>
      </c>
      <c r="B227" s="43">
        <v>5</v>
      </c>
      <c r="C227" s="43">
        <v>0</v>
      </c>
      <c r="D227" s="43">
        <v>5</v>
      </c>
      <c r="E227" s="43">
        <v>2</v>
      </c>
      <c r="F227" s="43" t="s">
        <v>121</v>
      </c>
      <c r="G227" s="43">
        <v>14011</v>
      </c>
      <c r="H227" s="43">
        <v>0</v>
      </c>
      <c r="I227" s="43">
        <v>1</v>
      </c>
      <c r="J227" s="43">
        <v>0</v>
      </c>
      <c r="K227" s="43">
        <v>1</v>
      </c>
      <c r="L227" s="43" t="s">
        <v>123</v>
      </c>
      <c r="M227" s="43">
        <v>14015</v>
      </c>
      <c r="N227" s="43">
        <v>35000</v>
      </c>
      <c r="O227" s="43">
        <v>1</v>
      </c>
      <c r="P227" s="43">
        <v>0</v>
      </c>
      <c r="Q227" s="43">
        <v>1</v>
      </c>
      <c r="R227" s="43" t="s">
        <v>124</v>
      </c>
      <c r="S227" s="43">
        <v>14020</v>
      </c>
      <c r="T227" s="43">
        <v>25000</v>
      </c>
      <c r="U227" s="43">
        <v>1</v>
      </c>
      <c r="V227" s="43">
        <v>0</v>
      </c>
      <c r="W227" s="43">
        <v>1</v>
      </c>
      <c r="X227" s="43" t="s">
        <v>122</v>
      </c>
      <c r="Y227" s="43">
        <v>14013</v>
      </c>
      <c r="Z227" s="43">
        <v>25000</v>
      </c>
      <c r="AA227" s="43">
        <v>1</v>
      </c>
      <c r="AB227" s="43">
        <v>0</v>
      </c>
      <c r="AC227" s="43">
        <v>1</v>
      </c>
      <c r="AD227" s="43" t="s">
        <v>128</v>
      </c>
      <c r="AE227" s="43">
        <v>14090</v>
      </c>
      <c r="AF227" s="43">
        <v>15000</v>
      </c>
      <c r="AG227" s="43">
        <v>1</v>
      </c>
      <c r="AH227" s="43">
        <v>0</v>
      </c>
      <c r="AI227" s="43">
        <v>1</v>
      </c>
    </row>
    <row r="228" spans="25:31">
      <c r="Y228" s="43" t="str">
        <f>IF(X228&gt;0,INDEX(Fish!$D:$D,MATCH(X228,Fish!$L:$L,0)),"")</f>
        <v/>
      </c>
      <c r="AE228" s="43" t="str">
        <f>IF(AD228&gt;0,INDEX(Fish!$D:$D,MATCH(AD228,Fish!$L:$L,0)),"")</f>
        <v/>
      </c>
    </row>
    <row r="229" spans="1:35">
      <c r="A229" s="43" t="s">
        <v>1084</v>
      </c>
      <c r="B229" s="43" t="s">
        <v>1085</v>
      </c>
      <c r="C229" s="43" t="s">
        <v>1102</v>
      </c>
      <c r="D229" s="43" t="s">
        <v>1087</v>
      </c>
      <c r="E229" s="43" t="s">
        <v>1088</v>
      </c>
      <c r="F229" s="43" t="s">
        <v>1001</v>
      </c>
      <c r="G229" s="43" t="s">
        <v>1089</v>
      </c>
      <c r="H229" s="43" t="s">
        <v>888</v>
      </c>
      <c r="I229" s="43" t="s">
        <v>1090</v>
      </c>
      <c r="J229" s="43" t="s">
        <v>1091</v>
      </c>
      <c r="K229" s="43" t="s">
        <v>1092</v>
      </c>
      <c r="L229" s="43" t="s">
        <v>1001</v>
      </c>
      <c r="M229" s="43" t="s">
        <v>1089</v>
      </c>
      <c r="N229" s="43" t="s">
        <v>888</v>
      </c>
      <c r="O229" s="43" t="s">
        <v>1090</v>
      </c>
      <c r="P229" s="43" t="s">
        <v>1091</v>
      </c>
      <c r="Q229" s="43" t="s">
        <v>1092</v>
      </c>
      <c r="R229" s="43" t="s">
        <v>1001</v>
      </c>
      <c r="S229" s="43" t="s">
        <v>1089</v>
      </c>
      <c r="T229" s="43" t="s">
        <v>888</v>
      </c>
      <c r="U229" s="43" t="s">
        <v>1090</v>
      </c>
      <c r="V229" s="43" t="s">
        <v>1091</v>
      </c>
      <c r="W229" s="43" t="s">
        <v>1092</v>
      </c>
      <c r="X229" s="43" t="s">
        <v>1001</v>
      </c>
      <c r="Y229" s="43" t="s">
        <v>1089</v>
      </c>
      <c r="Z229" s="43" t="s">
        <v>888</v>
      </c>
      <c r="AA229" s="43" t="s">
        <v>1090</v>
      </c>
      <c r="AB229" s="43" t="s">
        <v>1091</v>
      </c>
      <c r="AC229" s="43" t="s">
        <v>1092</v>
      </c>
      <c r="AD229" s="43" t="s">
        <v>1001</v>
      </c>
      <c r="AE229" s="43" t="s">
        <v>1089</v>
      </c>
      <c r="AF229" s="43" t="s">
        <v>888</v>
      </c>
      <c r="AG229" s="43" t="s">
        <v>1090</v>
      </c>
      <c r="AH229" s="43" t="s">
        <v>1091</v>
      </c>
      <c r="AI229" s="43" t="s">
        <v>1092</v>
      </c>
    </row>
    <row r="230" spans="1:35">
      <c r="A230" s="43" t="s">
        <v>40</v>
      </c>
      <c r="B230" s="43" t="s">
        <v>40</v>
      </c>
      <c r="C230" s="43" t="s">
        <v>40</v>
      </c>
      <c r="D230" s="43" t="s">
        <v>40</v>
      </c>
      <c r="E230" s="43" t="s">
        <v>40</v>
      </c>
      <c r="F230" s="43" t="s">
        <v>41</v>
      </c>
      <c r="G230" s="43" t="s">
        <v>40</v>
      </c>
      <c r="H230" s="43" t="s">
        <v>40</v>
      </c>
      <c r="I230" s="43" t="s">
        <v>40</v>
      </c>
      <c r="J230" s="43" t="s">
        <v>40</v>
      </c>
      <c r="K230" s="43" t="s">
        <v>40</v>
      </c>
      <c r="L230" s="43" t="s">
        <v>41</v>
      </c>
      <c r="M230" s="43" t="s">
        <v>40</v>
      </c>
      <c r="N230" s="43" t="s">
        <v>40</v>
      </c>
      <c r="O230" s="43" t="s">
        <v>40</v>
      </c>
      <c r="P230" s="43" t="s">
        <v>40</v>
      </c>
      <c r="Q230" s="43" t="s">
        <v>40</v>
      </c>
      <c r="R230" s="43" t="s">
        <v>41</v>
      </c>
      <c r="S230" s="43" t="s">
        <v>40</v>
      </c>
      <c r="T230" s="43" t="s">
        <v>40</v>
      </c>
      <c r="U230" s="43" t="s">
        <v>40</v>
      </c>
      <c r="V230" s="43" t="s">
        <v>40</v>
      </c>
      <c r="W230" s="43" t="s">
        <v>40</v>
      </c>
      <c r="X230" s="43" t="s">
        <v>41</v>
      </c>
      <c r="Y230" s="43" t="s">
        <v>40</v>
      </c>
      <c r="Z230" s="43" t="s">
        <v>40</v>
      </c>
      <c r="AA230" s="43" t="s">
        <v>40</v>
      </c>
      <c r="AB230" s="43" t="s">
        <v>40</v>
      </c>
      <c r="AC230" s="43" t="s">
        <v>40</v>
      </c>
      <c r="AD230" s="43" t="s">
        <v>41</v>
      </c>
      <c r="AE230" s="43" t="s">
        <v>40</v>
      </c>
      <c r="AF230" s="43" t="s">
        <v>40</v>
      </c>
      <c r="AG230" s="43" t="s">
        <v>40</v>
      </c>
      <c r="AH230" s="43" t="s">
        <v>40</v>
      </c>
      <c r="AI230" s="43" t="s">
        <v>40</v>
      </c>
    </row>
    <row r="231" ht="18" spans="1:35">
      <c r="A231" s="43" t="s">
        <v>1093</v>
      </c>
      <c r="B231" s="45" t="s">
        <v>1094</v>
      </c>
      <c r="C231" s="45" t="s">
        <v>1095</v>
      </c>
      <c r="D231" s="43" t="s">
        <v>48</v>
      </c>
      <c r="E231" s="43" t="s">
        <v>1096</v>
      </c>
      <c r="F231" s="43" t="s">
        <v>1097</v>
      </c>
      <c r="G231" s="43" t="s">
        <v>1098</v>
      </c>
      <c r="H231" s="43" t="s">
        <v>899</v>
      </c>
      <c r="I231" s="43" t="s">
        <v>1099</v>
      </c>
      <c r="J231" s="43" t="s">
        <v>1100</v>
      </c>
      <c r="K231" s="43" t="s">
        <v>1101</v>
      </c>
      <c r="L231" s="43" t="s">
        <v>1097</v>
      </c>
      <c r="M231" s="43" t="s">
        <v>1098</v>
      </c>
      <c r="N231" s="43" t="s">
        <v>899</v>
      </c>
      <c r="O231" s="43" t="s">
        <v>1099</v>
      </c>
      <c r="P231" s="43" t="s">
        <v>1100</v>
      </c>
      <c r="Q231" s="43" t="s">
        <v>1101</v>
      </c>
      <c r="R231" s="43" t="s">
        <v>1097</v>
      </c>
      <c r="S231" s="43" t="s">
        <v>1098</v>
      </c>
      <c r="T231" s="43" t="s">
        <v>899</v>
      </c>
      <c r="U231" s="43" t="s">
        <v>1099</v>
      </c>
      <c r="V231" s="43" t="s">
        <v>1100</v>
      </c>
      <c r="W231" s="43" t="s">
        <v>1101</v>
      </c>
      <c r="X231" s="43" t="s">
        <v>1097</v>
      </c>
      <c r="Y231" s="43" t="s">
        <v>1098</v>
      </c>
      <c r="Z231" s="43" t="s">
        <v>899</v>
      </c>
      <c r="AA231" s="43" t="s">
        <v>1099</v>
      </c>
      <c r="AB231" s="43" t="s">
        <v>1100</v>
      </c>
      <c r="AC231" s="43" t="s">
        <v>1101</v>
      </c>
      <c r="AD231" s="43" t="s">
        <v>1097</v>
      </c>
      <c r="AE231" s="43" t="s">
        <v>1098</v>
      </c>
      <c r="AF231" s="43" t="s">
        <v>899</v>
      </c>
      <c r="AG231" s="43" t="s">
        <v>1099</v>
      </c>
      <c r="AH231" s="43" t="s">
        <v>1100</v>
      </c>
      <c r="AI231" s="43" t="s">
        <v>1101</v>
      </c>
    </row>
    <row r="232" spans="1:31">
      <c r="A232" s="43">
        <v>44411</v>
      </c>
      <c r="B232" s="43">
        <v>2</v>
      </c>
      <c r="C232" s="43">
        <v>8</v>
      </c>
      <c r="D232" s="43">
        <v>1</v>
      </c>
      <c r="E232" s="43">
        <v>1</v>
      </c>
      <c r="F232" s="43" t="s">
        <v>61</v>
      </c>
      <c r="G232" s="43">
        <f>IF(F232&gt;0,INDEX(Fish!$D:$D,MATCH(F232,Fish!$L:$L,0)),"")</f>
        <v>11001</v>
      </c>
      <c r="H232" s="43">
        <v>0</v>
      </c>
      <c r="I232" s="43">
        <v>4</v>
      </c>
      <c r="J232" s="43">
        <v>14</v>
      </c>
      <c r="K232" s="43">
        <v>16</v>
      </c>
      <c r="L232" s="43" t="s">
        <v>65</v>
      </c>
      <c r="M232" s="43">
        <f>IF(L232&gt;0,INDEX(Fish!$D:$D,MATCH(L232,Fish!$L:$L,0)),"")</f>
        <v>11003</v>
      </c>
      <c r="N232" s="43">
        <v>0</v>
      </c>
      <c r="O232" s="43">
        <v>3</v>
      </c>
      <c r="P232" s="43">
        <v>10</v>
      </c>
      <c r="Q232" s="43">
        <v>14</v>
      </c>
      <c r="S232" s="43" t="str">
        <f>IF(R232&gt;0,INDEX(Fish!$D:$D,MATCH(R232,Fish!$L:$L,0)),"")</f>
        <v/>
      </c>
      <c r="Y232" s="43" t="str">
        <f>IF(X232&gt;0,INDEX(Fish!$D:$D,MATCH(X232,Fish!$L:$L,0)),"")</f>
        <v/>
      </c>
      <c r="AE232" s="43" t="str">
        <f>IF(AD232&gt;0,VLOOKUP(AD232,IF({1,0},#REF!,#REF!),2,FALSE),"")</f>
        <v/>
      </c>
    </row>
    <row r="233" spans="1:31">
      <c r="A233" s="43">
        <v>44411</v>
      </c>
      <c r="B233" s="43">
        <v>2</v>
      </c>
      <c r="C233" s="43">
        <v>8</v>
      </c>
      <c r="D233" s="43">
        <v>1</v>
      </c>
      <c r="E233" s="43">
        <v>1</v>
      </c>
      <c r="F233" s="43" t="s">
        <v>61</v>
      </c>
      <c r="G233" s="43">
        <f>IF(F233&gt;0,INDEX(Fish!$D:$D,MATCH(F233,Fish!$L:$L,0)),"")</f>
        <v>11001</v>
      </c>
      <c r="H233" s="43">
        <v>0</v>
      </c>
      <c r="I233" s="43">
        <v>4</v>
      </c>
      <c r="J233" s="43">
        <v>14</v>
      </c>
      <c r="K233" s="43">
        <v>16</v>
      </c>
      <c r="L233" s="46" t="s">
        <v>67</v>
      </c>
      <c r="M233" s="43">
        <f>IF(L233&gt;0,INDEX(Fish!$D:$D,MATCH(L233,Fish!$L:$L,0)),"")</f>
        <v>11004</v>
      </c>
      <c r="N233" s="43">
        <v>0</v>
      </c>
      <c r="O233" s="43">
        <v>3</v>
      </c>
      <c r="P233" s="43">
        <v>10</v>
      </c>
      <c r="Q233" s="43">
        <v>14</v>
      </c>
      <c r="S233" s="43" t="str">
        <f>IF(R233&gt;0,INDEX(Fish!$D:$D,MATCH(R233,Fish!$L:$L,0)),"")</f>
        <v/>
      </c>
      <c r="Y233" s="43" t="str">
        <f>IF(X233&gt;0,INDEX(Fish!$D:$D,MATCH(X233,Fish!$L:$L,0)),"")</f>
        <v/>
      </c>
      <c r="AE233" s="43" t="str">
        <f>IF(AD233&gt;0,VLOOKUP(AD233,IF({1,0},#REF!,#REF!),2,FALSE),"")</f>
        <v/>
      </c>
    </row>
    <row r="234" spans="1:31">
      <c r="A234" s="43">
        <v>44411</v>
      </c>
      <c r="B234" s="43">
        <v>2</v>
      </c>
      <c r="C234" s="43">
        <v>8</v>
      </c>
      <c r="D234" s="43">
        <v>1</v>
      </c>
      <c r="E234" s="43">
        <v>1</v>
      </c>
      <c r="F234" s="43" t="s">
        <v>63</v>
      </c>
      <c r="G234" s="43">
        <f>IF(F234&gt;0,INDEX(Fish!$D:$D,MATCH(F234,Fish!$L:$L,0)),"")</f>
        <v>11002</v>
      </c>
      <c r="H234" s="43">
        <v>0</v>
      </c>
      <c r="I234" s="43">
        <v>4</v>
      </c>
      <c r="J234" s="43">
        <v>14</v>
      </c>
      <c r="K234" s="43">
        <v>16</v>
      </c>
      <c r="L234" s="43" t="s">
        <v>65</v>
      </c>
      <c r="M234" s="43">
        <f>IF(L234&gt;0,INDEX(Fish!$D:$D,MATCH(L234,Fish!$L:$L,0)),"")</f>
        <v>11003</v>
      </c>
      <c r="N234" s="43">
        <v>0</v>
      </c>
      <c r="O234" s="43">
        <v>3</v>
      </c>
      <c r="P234" s="43">
        <v>10</v>
      </c>
      <c r="Q234" s="43">
        <v>14</v>
      </c>
      <c r="S234" s="43" t="str">
        <f>IF(R234&gt;0,INDEX(Fish!$D:$D,MATCH(R234,Fish!$L:$L,0)),"")</f>
        <v/>
      </c>
      <c r="Y234" s="43" t="str">
        <f>IF(X234&gt;0,INDEX(Fish!$D:$D,MATCH(X234,Fish!$L:$L,0)),"")</f>
        <v/>
      </c>
      <c r="AE234" s="43" t="str">
        <f>IF(AD234&gt;0,VLOOKUP(AD234,IF({1,0},#REF!,#REF!),2,FALSE),"")</f>
        <v/>
      </c>
    </row>
    <row r="235" spans="1:31">
      <c r="A235" s="43">
        <v>44411</v>
      </c>
      <c r="B235" s="43">
        <v>2</v>
      </c>
      <c r="C235" s="43">
        <v>8</v>
      </c>
      <c r="D235" s="43">
        <v>1</v>
      </c>
      <c r="E235" s="43">
        <v>1</v>
      </c>
      <c r="F235" s="43" t="s">
        <v>63</v>
      </c>
      <c r="G235" s="43">
        <f>IF(F235&gt;0,INDEX(Fish!$D:$D,MATCH(F235,Fish!$L:$L,0)),"")</f>
        <v>11002</v>
      </c>
      <c r="H235" s="43">
        <v>0</v>
      </c>
      <c r="I235" s="43">
        <v>4</v>
      </c>
      <c r="J235" s="43">
        <v>14</v>
      </c>
      <c r="K235" s="43">
        <v>16</v>
      </c>
      <c r="L235" s="43" t="s">
        <v>67</v>
      </c>
      <c r="M235" s="43">
        <f>IF(L235&gt;0,INDEX(Fish!$D:$D,MATCH(L235,Fish!$L:$L,0)),"")</f>
        <v>11004</v>
      </c>
      <c r="N235" s="43">
        <v>0</v>
      </c>
      <c r="O235" s="43">
        <v>3</v>
      </c>
      <c r="P235" s="43">
        <v>10</v>
      </c>
      <c r="Q235" s="43">
        <v>14</v>
      </c>
      <c r="S235" s="43" t="str">
        <f>IF(R235&gt;0,INDEX(Fish!$D:$D,MATCH(R235,Fish!$L:$L,0)),"")</f>
        <v/>
      </c>
      <c r="Y235" s="43" t="str">
        <f>IF(X235&gt;0,INDEX(Fish!$D:$D,MATCH(X235,Fish!$L:$L,0)),"")</f>
        <v/>
      </c>
      <c r="AE235" s="43" t="str">
        <f>IF(AD235&gt;0,VLOOKUP(AD235,IF({1,0},#REF!,#REF!),2,FALSE),"")</f>
        <v/>
      </c>
    </row>
    <row r="236" spans="1:31">
      <c r="A236" s="43">
        <v>44411</v>
      </c>
      <c r="B236" s="43">
        <v>2</v>
      </c>
      <c r="C236" s="43">
        <v>0</v>
      </c>
      <c r="D236" s="43">
        <v>2</v>
      </c>
      <c r="E236" s="43">
        <v>1</v>
      </c>
      <c r="F236" s="43" t="s">
        <v>75</v>
      </c>
      <c r="G236" s="43">
        <f>IF(F236&gt;0,INDEX(Fish!$D:$D,MATCH(F236,Fish!$L:$L,0)),"")</f>
        <v>11008</v>
      </c>
      <c r="H236" s="43">
        <v>0</v>
      </c>
      <c r="I236" s="43">
        <v>1</v>
      </c>
      <c r="J236" s="43">
        <v>3</v>
      </c>
      <c r="K236" s="43">
        <v>4</v>
      </c>
      <c r="L236" s="43" t="s">
        <v>83</v>
      </c>
      <c r="M236" s="43">
        <f>IF(L236&gt;0,INDEX(Fish!$D:$D,MATCH(L236,Fish!$L:$L,0)),"")</f>
        <v>11011</v>
      </c>
      <c r="N236" s="43">
        <v>0</v>
      </c>
      <c r="O236" s="43">
        <v>1</v>
      </c>
      <c r="P236" s="43">
        <v>2</v>
      </c>
      <c r="Q236" s="43">
        <v>3</v>
      </c>
      <c r="R236" s="43" t="s">
        <v>95</v>
      </c>
      <c r="S236" s="43">
        <f>IF(R236&gt;0,INDEX(Fish!$D:$D,MATCH(R236,Fish!$L:$L,0)),"")</f>
        <v>11017</v>
      </c>
      <c r="T236" s="43">
        <v>0</v>
      </c>
      <c r="U236" s="43">
        <v>1</v>
      </c>
      <c r="V236" s="43">
        <v>2</v>
      </c>
      <c r="W236" s="43">
        <v>3</v>
      </c>
      <c r="X236" s="43" t="s">
        <v>91</v>
      </c>
      <c r="Y236" s="43">
        <f>IF(X236&gt;0,INDEX(Fish!$D:$D,MATCH(X236,Fish!$L:$L,0)),"")</f>
        <v>11015</v>
      </c>
      <c r="Z236" s="43">
        <v>0</v>
      </c>
      <c r="AA236" s="43">
        <v>1</v>
      </c>
      <c r="AB236" s="43">
        <v>1</v>
      </c>
      <c r="AC236" s="43">
        <v>2</v>
      </c>
      <c r="AE236" s="43" t="str">
        <f>IF(AD236&gt;0,VLOOKUP(AD236,IF({1,0},#REF!,#REF!),2,FALSE),"")</f>
        <v/>
      </c>
    </row>
    <row r="237" spans="1:31">
      <c r="A237" s="43">
        <v>44411</v>
      </c>
      <c r="B237" s="43">
        <v>2</v>
      </c>
      <c r="C237" s="43">
        <v>0</v>
      </c>
      <c r="D237" s="43">
        <v>2</v>
      </c>
      <c r="E237" s="43">
        <v>1</v>
      </c>
      <c r="F237" s="43" t="s">
        <v>75</v>
      </c>
      <c r="G237" s="43">
        <f>IF(F237&gt;0,INDEX(Fish!$D:$D,MATCH(F237,Fish!$L:$L,0)),"")</f>
        <v>11008</v>
      </c>
      <c r="H237" s="43">
        <v>0</v>
      </c>
      <c r="I237" s="43">
        <v>1</v>
      </c>
      <c r="J237" s="43">
        <v>3</v>
      </c>
      <c r="K237" s="43">
        <v>4</v>
      </c>
      <c r="L237" s="43" t="s">
        <v>83</v>
      </c>
      <c r="M237" s="43">
        <f>IF(L237&gt;0,INDEX(Fish!$D:$D,MATCH(L237,Fish!$L:$L,0)),"")</f>
        <v>11011</v>
      </c>
      <c r="N237" s="43">
        <v>0</v>
      </c>
      <c r="O237" s="43">
        <v>1</v>
      </c>
      <c r="P237" s="43">
        <v>2</v>
      </c>
      <c r="Q237" s="43">
        <v>3</v>
      </c>
      <c r="R237" s="43" t="s">
        <v>95</v>
      </c>
      <c r="S237" s="43">
        <f>IF(R237&gt;0,INDEX(Fish!$D:$D,MATCH(R237,Fish!$L:$L,0)),"")</f>
        <v>11017</v>
      </c>
      <c r="T237" s="43">
        <v>0</v>
      </c>
      <c r="U237" s="43">
        <v>1</v>
      </c>
      <c r="V237" s="43">
        <v>2</v>
      </c>
      <c r="W237" s="43">
        <v>3</v>
      </c>
      <c r="X237" s="43" t="s">
        <v>97</v>
      </c>
      <c r="Y237" s="43">
        <f>IF(X237&gt;0,INDEX(Fish!$D:$D,MATCH(X237,Fish!$L:$L,0)),"")</f>
        <v>11020</v>
      </c>
      <c r="Z237" s="43">
        <v>0</v>
      </c>
      <c r="AA237" s="43">
        <v>1</v>
      </c>
      <c r="AB237" s="43">
        <v>1</v>
      </c>
      <c r="AC237" s="43">
        <v>2</v>
      </c>
      <c r="AE237" s="43" t="str">
        <f>IF(AD237&gt;0,VLOOKUP(AD237,IF({1,0},#REF!,#REF!),2,FALSE),"")</f>
        <v/>
      </c>
    </row>
    <row r="238" spans="1:31">
      <c r="A238" s="43">
        <v>44411</v>
      </c>
      <c r="B238" s="43">
        <v>2</v>
      </c>
      <c r="C238" s="43">
        <v>0</v>
      </c>
      <c r="D238" s="43">
        <v>2</v>
      </c>
      <c r="E238" s="43">
        <v>1</v>
      </c>
      <c r="F238" s="43" t="s">
        <v>75</v>
      </c>
      <c r="G238" s="43">
        <f>IF(F238&gt;0,INDEX(Fish!$D:$D,MATCH(F238,Fish!$L:$L,0)),"")</f>
        <v>11008</v>
      </c>
      <c r="H238" s="43">
        <v>0</v>
      </c>
      <c r="I238" s="43">
        <v>1</v>
      </c>
      <c r="J238" s="43">
        <v>3</v>
      </c>
      <c r="K238" s="43">
        <v>4</v>
      </c>
      <c r="L238" s="43" t="s">
        <v>83</v>
      </c>
      <c r="M238" s="43">
        <f>IF(L238&gt;0,INDEX(Fish!$D:$D,MATCH(L238,Fish!$L:$L,0)),"")</f>
        <v>11011</v>
      </c>
      <c r="N238" s="43">
        <v>0</v>
      </c>
      <c r="O238" s="43">
        <v>1</v>
      </c>
      <c r="P238" s="43">
        <v>2</v>
      </c>
      <c r="Q238" s="43">
        <v>3</v>
      </c>
      <c r="R238" s="43" t="s">
        <v>95</v>
      </c>
      <c r="S238" s="43">
        <f>IF(R238&gt;0,INDEX(Fish!$D:$D,MATCH(R238,Fish!$L:$L,0)),"")</f>
        <v>11017</v>
      </c>
      <c r="T238" s="43">
        <v>0</v>
      </c>
      <c r="U238" s="43">
        <v>1</v>
      </c>
      <c r="V238" s="43">
        <v>2</v>
      </c>
      <c r="W238" s="43">
        <v>3</v>
      </c>
      <c r="X238" s="43" t="s">
        <v>87</v>
      </c>
      <c r="Y238" s="43">
        <f>IF(X238&gt;0,INDEX(Fish!$D:$D,MATCH(X238,Fish!$L:$L,0)),"")</f>
        <v>11013</v>
      </c>
      <c r="Z238" s="43">
        <v>0</v>
      </c>
      <c r="AA238" s="43">
        <v>1</v>
      </c>
      <c r="AB238" s="43">
        <v>1</v>
      </c>
      <c r="AC238" s="43">
        <v>2</v>
      </c>
      <c r="AE238" s="43" t="str">
        <f>IF(AD238&gt;0,VLOOKUP(AD238,IF({1,0},#REF!,#REF!),2,FALSE),"")</f>
        <v/>
      </c>
    </row>
    <row r="239" spans="1:31">
      <c r="A239" s="43">
        <v>44411</v>
      </c>
      <c r="B239" s="43">
        <v>2</v>
      </c>
      <c r="C239" s="43">
        <v>0</v>
      </c>
      <c r="D239" s="43">
        <v>2</v>
      </c>
      <c r="E239" s="43">
        <v>1</v>
      </c>
      <c r="F239" s="43" t="s">
        <v>75</v>
      </c>
      <c r="G239" s="43">
        <f>IF(F239&gt;0,INDEX(Fish!$D:$D,MATCH(F239,Fish!$L:$L,0)),"")</f>
        <v>11008</v>
      </c>
      <c r="H239" s="43">
        <v>0</v>
      </c>
      <c r="I239" s="43">
        <v>1</v>
      </c>
      <c r="J239" s="43">
        <v>3</v>
      </c>
      <c r="K239" s="43">
        <v>4</v>
      </c>
      <c r="L239" s="43" t="s">
        <v>83</v>
      </c>
      <c r="M239" s="43">
        <f>IF(L239&gt;0,INDEX(Fish!$D:$D,MATCH(L239,Fish!$L:$L,0)),"")</f>
        <v>11011</v>
      </c>
      <c r="N239" s="43">
        <v>0</v>
      </c>
      <c r="O239" s="43">
        <v>1</v>
      </c>
      <c r="P239" s="43">
        <v>2</v>
      </c>
      <c r="Q239" s="43">
        <v>3</v>
      </c>
      <c r="R239" s="43" t="s">
        <v>85</v>
      </c>
      <c r="S239" s="43">
        <f>IF(R239&gt;0,INDEX(Fish!$D:$D,MATCH(R239,Fish!$L:$L,0)),"")</f>
        <v>11012</v>
      </c>
      <c r="T239" s="43">
        <v>0</v>
      </c>
      <c r="U239" s="43">
        <v>1</v>
      </c>
      <c r="V239" s="43">
        <v>2</v>
      </c>
      <c r="W239" s="43">
        <v>3</v>
      </c>
      <c r="X239" s="43" t="s">
        <v>91</v>
      </c>
      <c r="Y239" s="43">
        <f>IF(X239&gt;0,INDEX(Fish!$D:$D,MATCH(X239,Fish!$L:$L,0)),"")</f>
        <v>11015</v>
      </c>
      <c r="Z239" s="43">
        <v>0</v>
      </c>
      <c r="AA239" s="43">
        <v>1</v>
      </c>
      <c r="AB239" s="43">
        <v>1</v>
      </c>
      <c r="AC239" s="43">
        <v>2</v>
      </c>
      <c r="AE239" s="43" t="str">
        <f>IF(AD239&gt;0,VLOOKUP(AD239,IF({1,0},#REF!,#REF!),2,FALSE),"")</f>
        <v/>
      </c>
    </row>
    <row r="240" spans="1:31">
      <c r="A240" s="43">
        <v>44411</v>
      </c>
      <c r="B240" s="43">
        <v>2</v>
      </c>
      <c r="C240" s="43">
        <v>0</v>
      </c>
      <c r="D240" s="43">
        <v>2</v>
      </c>
      <c r="E240" s="43">
        <v>1</v>
      </c>
      <c r="F240" s="43" t="s">
        <v>75</v>
      </c>
      <c r="G240" s="43">
        <f>IF(F240&gt;0,INDEX(Fish!$D:$D,MATCH(F240,Fish!$L:$L,0)),"")</f>
        <v>11008</v>
      </c>
      <c r="H240" s="43">
        <v>0</v>
      </c>
      <c r="I240" s="43">
        <v>1</v>
      </c>
      <c r="J240" s="43">
        <v>3</v>
      </c>
      <c r="K240" s="43">
        <v>4</v>
      </c>
      <c r="L240" s="43" t="s">
        <v>83</v>
      </c>
      <c r="M240" s="43">
        <f>IF(L240&gt;0,INDEX(Fish!$D:$D,MATCH(L240,Fish!$L:$L,0)),"")</f>
        <v>11011</v>
      </c>
      <c r="N240" s="43">
        <v>0</v>
      </c>
      <c r="O240" s="43">
        <v>1</v>
      </c>
      <c r="P240" s="43">
        <v>2</v>
      </c>
      <c r="Q240" s="43">
        <v>3</v>
      </c>
      <c r="R240" s="43" t="s">
        <v>85</v>
      </c>
      <c r="S240" s="43">
        <f>IF(R240&gt;0,INDEX(Fish!$D:$D,MATCH(R240,Fish!$L:$L,0)),"")</f>
        <v>11012</v>
      </c>
      <c r="T240" s="43">
        <v>0</v>
      </c>
      <c r="U240" s="43">
        <v>1</v>
      </c>
      <c r="V240" s="43">
        <v>2</v>
      </c>
      <c r="W240" s="43">
        <v>3</v>
      </c>
      <c r="X240" s="43" t="s">
        <v>97</v>
      </c>
      <c r="Y240" s="43">
        <f>IF(X240&gt;0,INDEX(Fish!$D:$D,MATCH(X240,Fish!$L:$L,0)),"")</f>
        <v>11020</v>
      </c>
      <c r="Z240" s="43">
        <v>0</v>
      </c>
      <c r="AA240" s="43">
        <v>1</v>
      </c>
      <c r="AB240" s="43">
        <v>1</v>
      </c>
      <c r="AC240" s="43">
        <v>2</v>
      </c>
      <c r="AE240" s="43" t="str">
        <f>IF(AD240&gt;0,VLOOKUP(AD240,IF({1,0},#REF!,#REF!),2,FALSE),"")</f>
        <v/>
      </c>
    </row>
    <row r="241" spans="1:31">
      <c r="A241" s="43">
        <v>44411</v>
      </c>
      <c r="B241" s="43">
        <v>2</v>
      </c>
      <c r="C241" s="43">
        <v>0</v>
      </c>
      <c r="D241" s="43">
        <v>2</v>
      </c>
      <c r="E241" s="43">
        <v>1</v>
      </c>
      <c r="F241" s="43" t="s">
        <v>75</v>
      </c>
      <c r="G241" s="43">
        <f>IF(F241&gt;0,INDEX(Fish!$D:$D,MATCH(F241,Fish!$L:$L,0)),"")</f>
        <v>11008</v>
      </c>
      <c r="H241" s="43">
        <v>0</v>
      </c>
      <c r="I241" s="43">
        <v>1</v>
      </c>
      <c r="J241" s="43">
        <v>3</v>
      </c>
      <c r="K241" s="43">
        <v>4</v>
      </c>
      <c r="L241" s="43" t="s">
        <v>83</v>
      </c>
      <c r="M241" s="43">
        <f>IF(L241&gt;0,INDEX(Fish!$D:$D,MATCH(L241,Fish!$L:$L,0)),"")</f>
        <v>11011</v>
      </c>
      <c r="N241" s="43">
        <v>0</v>
      </c>
      <c r="O241" s="43">
        <v>1</v>
      </c>
      <c r="P241" s="43">
        <v>2</v>
      </c>
      <c r="Q241" s="43">
        <v>3</v>
      </c>
      <c r="R241" s="43" t="s">
        <v>85</v>
      </c>
      <c r="S241" s="43">
        <f>IF(R241&gt;0,INDEX(Fish!$D:$D,MATCH(R241,Fish!$L:$L,0)),"")</f>
        <v>11012</v>
      </c>
      <c r="T241" s="43">
        <v>0</v>
      </c>
      <c r="U241" s="43">
        <v>1</v>
      </c>
      <c r="V241" s="43">
        <v>2</v>
      </c>
      <c r="W241" s="43">
        <v>3</v>
      </c>
      <c r="X241" s="43" t="s">
        <v>87</v>
      </c>
      <c r="Y241" s="43">
        <f>IF(X241&gt;0,INDEX(Fish!$D:$D,MATCH(X241,Fish!$L:$L,0)),"")</f>
        <v>11013</v>
      </c>
      <c r="Z241" s="43">
        <v>0</v>
      </c>
      <c r="AA241" s="43">
        <v>1</v>
      </c>
      <c r="AB241" s="43">
        <v>1</v>
      </c>
      <c r="AC241" s="43">
        <v>2</v>
      </c>
      <c r="AE241" s="43" t="str">
        <f>IF(AD241&gt;0,VLOOKUP(AD241,IF({1,0},#REF!,#REF!),2,FALSE),"")</f>
        <v/>
      </c>
    </row>
    <row r="242" spans="1:31">
      <c r="A242" s="43">
        <v>44411</v>
      </c>
      <c r="B242" s="43">
        <v>2</v>
      </c>
      <c r="C242" s="43">
        <v>0</v>
      </c>
      <c r="D242" s="43">
        <v>2</v>
      </c>
      <c r="E242" s="43">
        <v>1</v>
      </c>
      <c r="F242" s="43" t="s">
        <v>75</v>
      </c>
      <c r="G242" s="43">
        <f>IF(F242&gt;0,INDEX(Fish!$D:$D,MATCH(F242,Fish!$L:$L,0)),"")</f>
        <v>11008</v>
      </c>
      <c r="H242" s="43">
        <v>0</v>
      </c>
      <c r="I242" s="43">
        <v>1</v>
      </c>
      <c r="J242" s="43">
        <v>3</v>
      </c>
      <c r="K242" s="43">
        <v>4</v>
      </c>
      <c r="L242" s="43" t="s">
        <v>81</v>
      </c>
      <c r="M242" s="43">
        <f>IF(L242&gt;0,INDEX(Fish!$D:$D,MATCH(L242,Fish!$L:$L,0)),"")</f>
        <v>11010</v>
      </c>
      <c r="N242" s="43">
        <v>0</v>
      </c>
      <c r="O242" s="43">
        <v>1</v>
      </c>
      <c r="P242" s="43">
        <v>2</v>
      </c>
      <c r="Q242" s="43">
        <v>3</v>
      </c>
      <c r="R242" s="43" t="s">
        <v>95</v>
      </c>
      <c r="S242" s="43">
        <f>IF(R242&gt;0,INDEX(Fish!$D:$D,MATCH(R242,Fish!$L:$L,0)),"")</f>
        <v>11017</v>
      </c>
      <c r="T242" s="43">
        <v>0</v>
      </c>
      <c r="U242" s="43">
        <v>1</v>
      </c>
      <c r="V242" s="43">
        <v>2</v>
      </c>
      <c r="W242" s="43">
        <v>3</v>
      </c>
      <c r="X242" s="43" t="s">
        <v>91</v>
      </c>
      <c r="Y242" s="43">
        <f>IF(X242&gt;0,INDEX(Fish!$D:$D,MATCH(X242,Fish!$L:$L,0)),"")</f>
        <v>11015</v>
      </c>
      <c r="Z242" s="43">
        <v>0</v>
      </c>
      <c r="AA242" s="43">
        <v>1</v>
      </c>
      <c r="AB242" s="43">
        <v>1</v>
      </c>
      <c r="AC242" s="43">
        <v>2</v>
      </c>
      <c r="AE242" s="43" t="str">
        <f>IF(AD242&gt;0,VLOOKUP(AD242,IF({1,0},#REF!,#REF!),2,FALSE),"")</f>
        <v/>
      </c>
    </row>
    <row r="243" spans="1:31">
      <c r="A243" s="43">
        <v>44411</v>
      </c>
      <c r="B243" s="43">
        <v>2</v>
      </c>
      <c r="C243" s="43">
        <v>0</v>
      </c>
      <c r="D243" s="43">
        <v>2</v>
      </c>
      <c r="E243" s="43">
        <v>1</v>
      </c>
      <c r="F243" s="43" t="s">
        <v>75</v>
      </c>
      <c r="G243" s="43">
        <f>IF(F243&gt;0,INDEX(Fish!$D:$D,MATCH(F243,Fish!$L:$L,0)),"")</f>
        <v>11008</v>
      </c>
      <c r="H243" s="43">
        <v>0</v>
      </c>
      <c r="I243" s="43">
        <v>1</v>
      </c>
      <c r="J243" s="43">
        <v>3</v>
      </c>
      <c r="K243" s="43">
        <v>4</v>
      </c>
      <c r="L243" s="43" t="s">
        <v>81</v>
      </c>
      <c r="M243" s="43">
        <f>IF(L243&gt;0,INDEX(Fish!$D:$D,MATCH(L243,Fish!$L:$L,0)),"")</f>
        <v>11010</v>
      </c>
      <c r="N243" s="43">
        <v>0</v>
      </c>
      <c r="O243" s="43">
        <v>1</v>
      </c>
      <c r="P243" s="43">
        <v>2</v>
      </c>
      <c r="Q243" s="43">
        <v>3</v>
      </c>
      <c r="R243" s="43" t="s">
        <v>95</v>
      </c>
      <c r="S243" s="43">
        <f>IF(R243&gt;0,INDEX(Fish!$D:$D,MATCH(R243,Fish!$L:$L,0)),"")</f>
        <v>11017</v>
      </c>
      <c r="T243" s="43">
        <v>0</v>
      </c>
      <c r="U243" s="43">
        <v>1</v>
      </c>
      <c r="V243" s="43">
        <v>2</v>
      </c>
      <c r="W243" s="43">
        <v>3</v>
      </c>
      <c r="X243" s="43" t="s">
        <v>97</v>
      </c>
      <c r="Y243" s="43">
        <f>IF(X243&gt;0,INDEX(Fish!$D:$D,MATCH(X243,Fish!$L:$L,0)),"")</f>
        <v>11020</v>
      </c>
      <c r="Z243" s="43">
        <v>0</v>
      </c>
      <c r="AA243" s="43">
        <v>1</v>
      </c>
      <c r="AB243" s="43">
        <v>1</v>
      </c>
      <c r="AC243" s="43">
        <v>2</v>
      </c>
      <c r="AE243" s="43" t="str">
        <f>IF(AD243&gt;0,VLOOKUP(AD243,IF({1,0},#REF!,#REF!),2,FALSE),"")</f>
        <v/>
      </c>
    </row>
    <row r="244" spans="1:31">
      <c r="A244" s="43">
        <v>44411</v>
      </c>
      <c r="B244" s="43">
        <v>2</v>
      </c>
      <c r="C244" s="43">
        <v>0</v>
      </c>
      <c r="D244" s="43">
        <v>2</v>
      </c>
      <c r="E244" s="43">
        <v>1</v>
      </c>
      <c r="F244" s="43" t="s">
        <v>75</v>
      </c>
      <c r="G244" s="43">
        <f>IF(F244&gt;0,INDEX(Fish!$D:$D,MATCH(F244,Fish!$L:$L,0)),"")</f>
        <v>11008</v>
      </c>
      <c r="H244" s="43">
        <v>0</v>
      </c>
      <c r="I244" s="43">
        <v>1</v>
      </c>
      <c r="J244" s="43">
        <v>3</v>
      </c>
      <c r="K244" s="43">
        <v>4</v>
      </c>
      <c r="L244" s="43" t="s">
        <v>81</v>
      </c>
      <c r="M244" s="43">
        <f>IF(L244&gt;0,INDEX(Fish!$D:$D,MATCH(L244,Fish!$L:$L,0)),"")</f>
        <v>11010</v>
      </c>
      <c r="N244" s="43">
        <v>0</v>
      </c>
      <c r="O244" s="43">
        <v>1</v>
      </c>
      <c r="P244" s="43">
        <v>2</v>
      </c>
      <c r="Q244" s="43">
        <v>3</v>
      </c>
      <c r="R244" s="43" t="s">
        <v>95</v>
      </c>
      <c r="S244" s="43">
        <f>IF(R244&gt;0,INDEX(Fish!$D:$D,MATCH(R244,Fish!$L:$L,0)),"")</f>
        <v>11017</v>
      </c>
      <c r="T244" s="43">
        <v>0</v>
      </c>
      <c r="U244" s="43">
        <v>1</v>
      </c>
      <c r="V244" s="43">
        <v>2</v>
      </c>
      <c r="W244" s="43">
        <v>3</v>
      </c>
      <c r="X244" s="43" t="s">
        <v>87</v>
      </c>
      <c r="Y244" s="43">
        <f>IF(X244&gt;0,INDEX(Fish!$D:$D,MATCH(X244,Fish!$L:$L,0)),"")</f>
        <v>11013</v>
      </c>
      <c r="Z244" s="43">
        <v>0</v>
      </c>
      <c r="AA244" s="43">
        <v>1</v>
      </c>
      <c r="AB244" s="43">
        <v>1</v>
      </c>
      <c r="AC244" s="43">
        <v>2</v>
      </c>
      <c r="AE244" s="43" t="str">
        <f>IF(AD244&gt;0,VLOOKUP(AD244,IF({1,0},#REF!,#REF!),2,FALSE),"")</f>
        <v/>
      </c>
    </row>
    <row r="245" spans="1:31">
      <c r="A245" s="43">
        <v>44411</v>
      </c>
      <c r="B245" s="43">
        <v>2</v>
      </c>
      <c r="C245" s="43">
        <v>0</v>
      </c>
      <c r="D245" s="43">
        <v>2</v>
      </c>
      <c r="E245" s="43">
        <v>1</v>
      </c>
      <c r="F245" s="43" t="s">
        <v>75</v>
      </c>
      <c r="G245" s="43">
        <f>IF(F245&gt;0,INDEX(Fish!$D:$D,MATCH(F245,Fish!$L:$L,0)),"")</f>
        <v>11008</v>
      </c>
      <c r="H245" s="43">
        <v>0</v>
      </c>
      <c r="I245" s="43">
        <v>1</v>
      </c>
      <c r="J245" s="43">
        <v>3</v>
      </c>
      <c r="K245" s="43">
        <v>4</v>
      </c>
      <c r="L245" s="43" t="s">
        <v>81</v>
      </c>
      <c r="M245" s="43">
        <f>IF(L245&gt;0,INDEX(Fish!$D:$D,MATCH(L245,Fish!$L:$L,0)),"")</f>
        <v>11010</v>
      </c>
      <c r="N245" s="43">
        <v>0</v>
      </c>
      <c r="O245" s="43">
        <v>1</v>
      </c>
      <c r="P245" s="43">
        <v>2</v>
      </c>
      <c r="Q245" s="43">
        <v>3</v>
      </c>
      <c r="R245" s="43" t="s">
        <v>85</v>
      </c>
      <c r="S245" s="43">
        <f>IF(R245&gt;0,INDEX(Fish!$D:$D,MATCH(R245,Fish!$L:$L,0)),"")</f>
        <v>11012</v>
      </c>
      <c r="T245" s="43">
        <v>0</v>
      </c>
      <c r="U245" s="43">
        <v>1</v>
      </c>
      <c r="V245" s="43">
        <v>2</v>
      </c>
      <c r="W245" s="43">
        <v>3</v>
      </c>
      <c r="X245" s="43" t="s">
        <v>91</v>
      </c>
      <c r="Y245" s="43">
        <f>IF(X245&gt;0,INDEX(Fish!$D:$D,MATCH(X245,Fish!$L:$L,0)),"")</f>
        <v>11015</v>
      </c>
      <c r="Z245" s="43">
        <v>0</v>
      </c>
      <c r="AA245" s="43">
        <v>1</v>
      </c>
      <c r="AB245" s="43">
        <v>1</v>
      </c>
      <c r="AC245" s="43">
        <v>2</v>
      </c>
      <c r="AE245" s="43" t="str">
        <f>IF(AD245&gt;0,VLOOKUP(AD245,IF({1,0},#REF!,#REF!),2,FALSE),"")</f>
        <v/>
      </c>
    </row>
    <row r="246" spans="1:31">
      <c r="A246" s="43">
        <v>44411</v>
      </c>
      <c r="B246" s="43">
        <v>2</v>
      </c>
      <c r="C246" s="43">
        <v>0</v>
      </c>
      <c r="D246" s="43">
        <v>2</v>
      </c>
      <c r="E246" s="43">
        <v>1</v>
      </c>
      <c r="F246" s="43" t="s">
        <v>75</v>
      </c>
      <c r="G246" s="43">
        <f>IF(F246&gt;0,INDEX(Fish!$D:$D,MATCH(F246,Fish!$L:$L,0)),"")</f>
        <v>11008</v>
      </c>
      <c r="H246" s="43">
        <v>0</v>
      </c>
      <c r="I246" s="43">
        <v>1</v>
      </c>
      <c r="J246" s="43">
        <v>3</v>
      </c>
      <c r="K246" s="43">
        <v>4</v>
      </c>
      <c r="L246" s="43" t="s">
        <v>81</v>
      </c>
      <c r="M246" s="43">
        <f>IF(L246&gt;0,INDEX(Fish!$D:$D,MATCH(L246,Fish!$L:$L,0)),"")</f>
        <v>11010</v>
      </c>
      <c r="N246" s="43">
        <v>0</v>
      </c>
      <c r="O246" s="43">
        <v>1</v>
      </c>
      <c r="P246" s="43">
        <v>2</v>
      </c>
      <c r="Q246" s="43">
        <v>3</v>
      </c>
      <c r="R246" s="43" t="s">
        <v>85</v>
      </c>
      <c r="S246" s="43">
        <f>IF(R246&gt;0,INDEX(Fish!$D:$D,MATCH(R246,Fish!$L:$L,0)),"")</f>
        <v>11012</v>
      </c>
      <c r="T246" s="43">
        <v>0</v>
      </c>
      <c r="U246" s="43">
        <v>1</v>
      </c>
      <c r="V246" s="43">
        <v>2</v>
      </c>
      <c r="W246" s="43">
        <v>3</v>
      </c>
      <c r="X246" s="43" t="s">
        <v>97</v>
      </c>
      <c r="Y246" s="43">
        <f>IF(X246&gt;0,INDEX(Fish!$D:$D,MATCH(X246,Fish!$L:$L,0)),"")</f>
        <v>11020</v>
      </c>
      <c r="Z246" s="43">
        <v>0</v>
      </c>
      <c r="AA246" s="43">
        <v>1</v>
      </c>
      <c r="AB246" s="43">
        <v>1</v>
      </c>
      <c r="AC246" s="43">
        <v>2</v>
      </c>
      <c r="AE246" s="43" t="str">
        <f>IF(AD246&gt;0,VLOOKUP(AD246,IF({1,0},#REF!,#REF!),2,FALSE),"")</f>
        <v/>
      </c>
    </row>
    <row r="247" spans="1:31">
      <c r="A247" s="43">
        <v>44411</v>
      </c>
      <c r="B247" s="43">
        <v>2</v>
      </c>
      <c r="C247" s="43">
        <v>0</v>
      </c>
      <c r="D247" s="43">
        <v>2</v>
      </c>
      <c r="E247" s="43">
        <v>1</v>
      </c>
      <c r="F247" s="43" t="s">
        <v>75</v>
      </c>
      <c r="G247" s="43">
        <f>IF(F247&gt;0,INDEX(Fish!$D:$D,MATCH(F247,Fish!$L:$L,0)),"")</f>
        <v>11008</v>
      </c>
      <c r="H247" s="43">
        <v>0</v>
      </c>
      <c r="I247" s="43">
        <v>1</v>
      </c>
      <c r="J247" s="43">
        <v>3</v>
      </c>
      <c r="K247" s="43">
        <v>4</v>
      </c>
      <c r="L247" s="43" t="s">
        <v>81</v>
      </c>
      <c r="M247" s="43">
        <f>IF(L247&gt;0,INDEX(Fish!$D:$D,MATCH(L247,Fish!$L:$L,0)),"")</f>
        <v>11010</v>
      </c>
      <c r="N247" s="43">
        <v>0</v>
      </c>
      <c r="O247" s="43">
        <v>1</v>
      </c>
      <c r="P247" s="43">
        <v>2</v>
      </c>
      <c r="Q247" s="43">
        <v>3</v>
      </c>
      <c r="R247" s="43" t="s">
        <v>85</v>
      </c>
      <c r="S247" s="43">
        <f>IF(R247&gt;0,INDEX(Fish!$D:$D,MATCH(R247,Fish!$L:$L,0)),"")</f>
        <v>11012</v>
      </c>
      <c r="T247" s="43">
        <v>0</v>
      </c>
      <c r="U247" s="43">
        <v>1</v>
      </c>
      <c r="V247" s="43">
        <v>2</v>
      </c>
      <c r="W247" s="43">
        <v>3</v>
      </c>
      <c r="X247" s="43" t="s">
        <v>87</v>
      </c>
      <c r="Y247" s="43">
        <f>IF(X247&gt;0,INDEX(Fish!$D:$D,MATCH(X247,Fish!$L:$L,0)),"")</f>
        <v>11013</v>
      </c>
      <c r="Z247" s="43">
        <v>0</v>
      </c>
      <c r="AA247" s="43">
        <v>1</v>
      </c>
      <c r="AB247" s="43">
        <v>1</v>
      </c>
      <c r="AC247" s="43">
        <v>2</v>
      </c>
      <c r="AE247" s="43" t="str">
        <f>IF(AD247&gt;0,VLOOKUP(AD247,IF({1,0},#REF!,#REF!),2,FALSE),"")</f>
        <v/>
      </c>
    </row>
    <row r="248" spans="1:31">
      <c r="A248" s="43">
        <v>44411</v>
      </c>
      <c r="B248" s="43">
        <v>2</v>
      </c>
      <c r="C248" s="43">
        <v>0</v>
      </c>
      <c r="D248" s="43">
        <v>2</v>
      </c>
      <c r="E248" s="43">
        <v>1</v>
      </c>
      <c r="F248" s="43" t="s">
        <v>77</v>
      </c>
      <c r="G248" s="43">
        <f>IF(F248&gt;0,INDEX(Fish!$D:$D,MATCH(F248,Fish!$L:$L,0)),"")</f>
        <v>11009</v>
      </c>
      <c r="H248" s="43">
        <v>0</v>
      </c>
      <c r="I248" s="43">
        <v>1</v>
      </c>
      <c r="J248" s="43">
        <v>3</v>
      </c>
      <c r="K248" s="43">
        <v>4</v>
      </c>
      <c r="L248" s="43" t="s">
        <v>83</v>
      </c>
      <c r="M248" s="43">
        <f>IF(L248&gt;0,INDEX(Fish!$D:$D,MATCH(L248,Fish!$L:$L,0)),"")</f>
        <v>11011</v>
      </c>
      <c r="N248" s="43">
        <v>0</v>
      </c>
      <c r="O248" s="43">
        <v>1</v>
      </c>
      <c r="P248" s="43">
        <v>2</v>
      </c>
      <c r="Q248" s="43">
        <v>3</v>
      </c>
      <c r="R248" s="43" t="s">
        <v>95</v>
      </c>
      <c r="S248" s="43">
        <f>IF(R248&gt;0,INDEX(Fish!$D:$D,MATCH(R248,Fish!$L:$L,0)),"")</f>
        <v>11017</v>
      </c>
      <c r="T248" s="43">
        <v>0</v>
      </c>
      <c r="U248" s="43">
        <v>1</v>
      </c>
      <c r="V248" s="43">
        <v>2</v>
      </c>
      <c r="W248" s="43">
        <v>3</v>
      </c>
      <c r="X248" s="43" t="s">
        <v>91</v>
      </c>
      <c r="Y248" s="43">
        <f>IF(X248&gt;0,INDEX(Fish!$D:$D,MATCH(X248,Fish!$L:$L,0)),"")</f>
        <v>11015</v>
      </c>
      <c r="Z248" s="43">
        <v>0</v>
      </c>
      <c r="AA248" s="43">
        <v>1</v>
      </c>
      <c r="AB248" s="43">
        <v>1</v>
      </c>
      <c r="AC248" s="43">
        <v>2</v>
      </c>
      <c r="AE248" s="43" t="str">
        <f>IF(AD248&gt;0,VLOOKUP(AD248,IF({1,0},#REF!,#REF!),2,FALSE),"")</f>
        <v/>
      </c>
    </row>
    <row r="249" spans="1:31">
      <c r="A249" s="43">
        <v>44411</v>
      </c>
      <c r="B249" s="43">
        <v>2</v>
      </c>
      <c r="C249" s="43">
        <v>0</v>
      </c>
      <c r="D249" s="43">
        <v>2</v>
      </c>
      <c r="E249" s="43">
        <v>1</v>
      </c>
      <c r="F249" s="43" t="s">
        <v>77</v>
      </c>
      <c r="G249" s="43">
        <f>IF(F249&gt;0,INDEX(Fish!$D:$D,MATCH(F249,Fish!$L:$L,0)),"")</f>
        <v>11009</v>
      </c>
      <c r="H249" s="43">
        <v>0</v>
      </c>
      <c r="I249" s="43">
        <v>1</v>
      </c>
      <c r="J249" s="43">
        <v>3</v>
      </c>
      <c r="K249" s="43">
        <v>4</v>
      </c>
      <c r="L249" s="43" t="s">
        <v>83</v>
      </c>
      <c r="M249" s="43">
        <f>IF(L249&gt;0,INDEX(Fish!$D:$D,MATCH(L249,Fish!$L:$L,0)),"")</f>
        <v>11011</v>
      </c>
      <c r="N249" s="43">
        <v>0</v>
      </c>
      <c r="O249" s="43">
        <v>1</v>
      </c>
      <c r="P249" s="43">
        <v>2</v>
      </c>
      <c r="Q249" s="43">
        <v>3</v>
      </c>
      <c r="R249" s="43" t="s">
        <v>95</v>
      </c>
      <c r="S249" s="43">
        <f>IF(R249&gt;0,INDEX(Fish!$D:$D,MATCH(R249,Fish!$L:$L,0)),"")</f>
        <v>11017</v>
      </c>
      <c r="T249" s="43">
        <v>0</v>
      </c>
      <c r="U249" s="43">
        <v>1</v>
      </c>
      <c r="V249" s="43">
        <v>2</v>
      </c>
      <c r="W249" s="43">
        <v>3</v>
      </c>
      <c r="X249" s="43" t="s">
        <v>97</v>
      </c>
      <c r="Y249" s="43">
        <f>IF(X249&gt;0,INDEX(Fish!$D:$D,MATCH(X249,Fish!$L:$L,0)),"")</f>
        <v>11020</v>
      </c>
      <c r="Z249" s="43">
        <v>0</v>
      </c>
      <c r="AA249" s="43">
        <v>1</v>
      </c>
      <c r="AB249" s="43">
        <v>1</v>
      </c>
      <c r="AC249" s="43">
        <v>2</v>
      </c>
      <c r="AE249" s="43" t="str">
        <f>IF(AD249&gt;0,VLOOKUP(AD249,IF({1,0},#REF!,#REF!),2,FALSE),"")</f>
        <v/>
      </c>
    </row>
    <row r="250" spans="1:31">
      <c r="A250" s="43">
        <v>44411</v>
      </c>
      <c r="B250" s="43">
        <v>2</v>
      </c>
      <c r="C250" s="43">
        <v>0</v>
      </c>
      <c r="D250" s="43">
        <v>2</v>
      </c>
      <c r="E250" s="43">
        <v>1</v>
      </c>
      <c r="F250" s="43" t="s">
        <v>77</v>
      </c>
      <c r="G250" s="43">
        <f>IF(F250&gt;0,INDEX(Fish!$D:$D,MATCH(F250,Fish!$L:$L,0)),"")</f>
        <v>11009</v>
      </c>
      <c r="H250" s="43">
        <v>0</v>
      </c>
      <c r="I250" s="43">
        <v>1</v>
      </c>
      <c r="J250" s="43">
        <v>3</v>
      </c>
      <c r="K250" s="43">
        <v>4</v>
      </c>
      <c r="L250" s="43" t="s">
        <v>83</v>
      </c>
      <c r="M250" s="43">
        <f>IF(L250&gt;0,INDEX(Fish!$D:$D,MATCH(L250,Fish!$L:$L,0)),"")</f>
        <v>11011</v>
      </c>
      <c r="N250" s="43">
        <v>0</v>
      </c>
      <c r="O250" s="43">
        <v>1</v>
      </c>
      <c r="P250" s="43">
        <v>2</v>
      </c>
      <c r="Q250" s="43">
        <v>3</v>
      </c>
      <c r="R250" s="43" t="s">
        <v>95</v>
      </c>
      <c r="S250" s="43">
        <f>IF(R250&gt;0,INDEX(Fish!$D:$D,MATCH(R250,Fish!$L:$L,0)),"")</f>
        <v>11017</v>
      </c>
      <c r="T250" s="43">
        <v>0</v>
      </c>
      <c r="U250" s="43">
        <v>1</v>
      </c>
      <c r="V250" s="43">
        <v>2</v>
      </c>
      <c r="W250" s="43">
        <v>3</v>
      </c>
      <c r="X250" s="43" t="s">
        <v>87</v>
      </c>
      <c r="Y250" s="43">
        <f>IF(X250&gt;0,INDEX(Fish!$D:$D,MATCH(X250,Fish!$L:$L,0)),"")</f>
        <v>11013</v>
      </c>
      <c r="Z250" s="43">
        <v>0</v>
      </c>
      <c r="AA250" s="43">
        <v>1</v>
      </c>
      <c r="AB250" s="43">
        <v>1</v>
      </c>
      <c r="AC250" s="43">
        <v>2</v>
      </c>
      <c r="AE250" s="43" t="str">
        <f>IF(AD250&gt;0,VLOOKUP(AD250,IF({1,0},#REF!,#REF!),2,FALSE),"")</f>
        <v/>
      </c>
    </row>
    <row r="251" spans="1:31">
      <c r="A251" s="43">
        <v>44411</v>
      </c>
      <c r="B251" s="43">
        <v>2</v>
      </c>
      <c r="C251" s="43">
        <v>0</v>
      </c>
      <c r="D251" s="43">
        <v>2</v>
      </c>
      <c r="E251" s="43">
        <v>1</v>
      </c>
      <c r="F251" s="43" t="s">
        <v>77</v>
      </c>
      <c r="G251" s="43">
        <f>IF(F251&gt;0,INDEX(Fish!$D:$D,MATCH(F251,Fish!$L:$L,0)),"")</f>
        <v>11009</v>
      </c>
      <c r="H251" s="43">
        <v>0</v>
      </c>
      <c r="I251" s="43">
        <v>1</v>
      </c>
      <c r="J251" s="43">
        <v>3</v>
      </c>
      <c r="K251" s="43">
        <v>4</v>
      </c>
      <c r="L251" s="43" t="s">
        <v>83</v>
      </c>
      <c r="M251" s="43">
        <f>IF(L251&gt;0,INDEX(Fish!$D:$D,MATCH(L251,Fish!$L:$L,0)),"")</f>
        <v>11011</v>
      </c>
      <c r="N251" s="43">
        <v>0</v>
      </c>
      <c r="O251" s="43">
        <v>1</v>
      </c>
      <c r="P251" s="43">
        <v>2</v>
      </c>
      <c r="Q251" s="43">
        <v>3</v>
      </c>
      <c r="R251" s="43" t="s">
        <v>85</v>
      </c>
      <c r="S251" s="43">
        <f>IF(R251&gt;0,INDEX(Fish!$D:$D,MATCH(R251,Fish!$L:$L,0)),"")</f>
        <v>11012</v>
      </c>
      <c r="T251" s="43">
        <v>0</v>
      </c>
      <c r="U251" s="43">
        <v>1</v>
      </c>
      <c r="V251" s="43">
        <v>2</v>
      </c>
      <c r="W251" s="43">
        <v>3</v>
      </c>
      <c r="X251" s="43" t="s">
        <v>91</v>
      </c>
      <c r="Y251" s="43">
        <f>IF(X251&gt;0,INDEX(Fish!$D:$D,MATCH(X251,Fish!$L:$L,0)),"")</f>
        <v>11015</v>
      </c>
      <c r="Z251" s="43">
        <v>0</v>
      </c>
      <c r="AA251" s="43">
        <v>1</v>
      </c>
      <c r="AB251" s="43">
        <v>1</v>
      </c>
      <c r="AC251" s="43">
        <v>2</v>
      </c>
      <c r="AE251" s="43" t="str">
        <f>IF(AD251&gt;0,VLOOKUP(AD251,IF({1,0},#REF!,#REF!),2,FALSE),"")</f>
        <v/>
      </c>
    </row>
    <row r="252" spans="1:31">
      <c r="A252" s="43">
        <v>44411</v>
      </c>
      <c r="B252" s="43">
        <v>2</v>
      </c>
      <c r="C252" s="43">
        <v>0</v>
      </c>
      <c r="D252" s="43">
        <v>2</v>
      </c>
      <c r="E252" s="43">
        <v>1</v>
      </c>
      <c r="F252" s="43" t="s">
        <v>77</v>
      </c>
      <c r="G252" s="43">
        <f>IF(F252&gt;0,INDEX(Fish!$D:$D,MATCH(F252,Fish!$L:$L,0)),"")</f>
        <v>11009</v>
      </c>
      <c r="H252" s="43">
        <v>0</v>
      </c>
      <c r="I252" s="43">
        <v>1</v>
      </c>
      <c r="J252" s="43">
        <v>3</v>
      </c>
      <c r="K252" s="43">
        <v>4</v>
      </c>
      <c r="L252" s="43" t="s">
        <v>83</v>
      </c>
      <c r="M252" s="43">
        <f>IF(L252&gt;0,INDEX(Fish!$D:$D,MATCH(L252,Fish!$L:$L,0)),"")</f>
        <v>11011</v>
      </c>
      <c r="N252" s="43">
        <v>0</v>
      </c>
      <c r="O252" s="43">
        <v>1</v>
      </c>
      <c r="P252" s="43">
        <v>2</v>
      </c>
      <c r="Q252" s="43">
        <v>3</v>
      </c>
      <c r="R252" s="43" t="s">
        <v>85</v>
      </c>
      <c r="S252" s="43">
        <f>IF(R252&gt;0,INDEX(Fish!$D:$D,MATCH(R252,Fish!$L:$L,0)),"")</f>
        <v>11012</v>
      </c>
      <c r="T252" s="43">
        <v>0</v>
      </c>
      <c r="U252" s="43">
        <v>1</v>
      </c>
      <c r="V252" s="43">
        <v>2</v>
      </c>
      <c r="W252" s="43">
        <v>3</v>
      </c>
      <c r="X252" s="43" t="s">
        <v>97</v>
      </c>
      <c r="Y252" s="43">
        <f>IF(X252&gt;0,INDEX(Fish!$D:$D,MATCH(X252,Fish!$L:$L,0)),"")</f>
        <v>11020</v>
      </c>
      <c r="Z252" s="43">
        <v>0</v>
      </c>
      <c r="AA252" s="43">
        <v>1</v>
      </c>
      <c r="AB252" s="43">
        <v>1</v>
      </c>
      <c r="AC252" s="43">
        <v>2</v>
      </c>
      <c r="AE252" s="43" t="str">
        <f>IF(AD252&gt;0,VLOOKUP(AD252,IF({1,0},#REF!,#REF!),2,FALSE),"")</f>
        <v/>
      </c>
    </row>
    <row r="253" spans="1:31">
      <c r="A253" s="43">
        <v>44411</v>
      </c>
      <c r="B253" s="43">
        <v>2</v>
      </c>
      <c r="C253" s="43">
        <v>0</v>
      </c>
      <c r="D253" s="43">
        <v>2</v>
      </c>
      <c r="E253" s="43">
        <v>1</v>
      </c>
      <c r="F253" s="43" t="s">
        <v>77</v>
      </c>
      <c r="G253" s="43">
        <f>IF(F253&gt;0,INDEX(Fish!$D:$D,MATCH(F253,Fish!$L:$L,0)),"")</f>
        <v>11009</v>
      </c>
      <c r="H253" s="43">
        <v>0</v>
      </c>
      <c r="I253" s="43">
        <v>1</v>
      </c>
      <c r="J253" s="43">
        <v>3</v>
      </c>
      <c r="K253" s="43">
        <v>4</v>
      </c>
      <c r="L253" s="43" t="s">
        <v>83</v>
      </c>
      <c r="M253" s="43">
        <f>IF(L253&gt;0,INDEX(Fish!$D:$D,MATCH(L253,Fish!$L:$L,0)),"")</f>
        <v>11011</v>
      </c>
      <c r="N253" s="43">
        <v>0</v>
      </c>
      <c r="O253" s="43">
        <v>1</v>
      </c>
      <c r="P253" s="43">
        <v>2</v>
      </c>
      <c r="Q253" s="43">
        <v>3</v>
      </c>
      <c r="R253" s="43" t="s">
        <v>85</v>
      </c>
      <c r="S253" s="43">
        <f>IF(R253&gt;0,INDEX(Fish!$D:$D,MATCH(R253,Fish!$L:$L,0)),"")</f>
        <v>11012</v>
      </c>
      <c r="T253" s="43">
        <v>0</v>
      </c>
      <c r="U253" s="43">
        <v>1</v>
      </c>
      <c r="V253" s="43">
        <v>2</v>
      </c>
      <c r="W253" s="43">
        <v>3</v>
      </c>
      <c r="X253" s="43" t="s">
        <v>87</v>
      </c>
      <c r="Y253" s="43">
        <f>IF(X253&gt;0,INDEX(Fish!$D:$D,MATCH(X253,Fish!$L:$L,0)),"")</f>
        <v>11013</v>
      </c>
      <c r="Z253" s="43">
        <v>0</v>
      </c>
      <c r="AA253" s="43">
        <v>1</v>
      </c>
      <c r="AB253" s="43">
        <v>1</v>
      </c>
      <c r="AC253" s="43">
        <v>2</v>
      </c>
      <c r="AE253" s="43" t="str">
        <f>IF(AD253&gt;0,VLOOKUP(AD253,IF({1,0},#REF!,#REF!),2,FALSE),"")</f>
        <v/>
      </c>
    </row>
    <row r="254" spans="1:31">
      <c r="A254" s="43">
        <v>44411</v>
      </c>
      <c r="B254" s="43">
        <v>2</v>
      </c>
      <c r="C254" s="43">
        <v>0</v>
      </c>
      <c r="D254" s="43">
        <v>2</v>
      </c>
      <c r="E254" s="43">
        <v>1</v>
      </c>
      <c r="F254" s="43" t="s">
        <v>77</v>
      </c>
      <c r="G254" s="43">
        <f>IF(F254&gt;0,INDEX(Fish!$D:$D,MATCH(F254,Fish!$L:$L,0)),"")</f>
        <v>11009</v>
      </c>
      <c r="H254" s="43">
        <v>0</v>
      </c>
      <c r="I254" s="43">
        <v>1</v>
      </c>
      <c r="J254" s="43">
        <v>3</v>
      </c>
      <c r="K254" s="43">
        <v>4</v>
      </c>
      <c r="L254" s="43" t="s">
        <v>81</v>
      </c>
      <c r="M254" s="43">
        <f>IF(L254&gt;0,INDEX(Fish!$D:$D,MATCH(L254,Fish!$L:$L,0)),"")</f>
        <v>11010</v>
      </c>
      <c r="N254" s="43">
        <v>0</v>
      </c>
      <c r="O254" s="43">
        <v>1</v>
      </c>
      <c r="P254" s="43">
        <v>2</v>
      </c>
      <c r="Q254" s="43">
        <v>3</v>
      </c>
      <c r="R254" s="43" t="s">
        <v>95</v>
      </c>
      <c r="S254" s="43">
        <f>IF(R254&gt;0,INDEX(Fish!$D:$D,MATCH(R254,Fish!$L:$L,0)),"")</f>
        <v>11017</v>
      </c>
      <c r="T254" s="43">
        <v>0</v>
      </c>
      <c r="U254" s="43">
        <v>1</v>
      </c>
      <c r="V254" s="43">
        <v>2</v>
      </c>
      <c r="W254" s="43">
        <v>3</v>
      </c>
      <c r="X254" s="43" t="s">
        <v>91</v>
      </c>
      <c r="Y254" s="43">
        <f>IF(X254&gt;0,INDEX(Fish!$D:$D,MATCH(X254,Fish!$L:$L,0)),"")</f>
        <v>11015</v>
      </c>
      <c r="Z254" s="43">
        <v>0</v>
      </c>
      <c r="AA254" s="43">
        <v>1</v>
      </c>
      <c r="AB254" s="43">
        <v>1</v>
      </c>
      <c r="AC254" s="43">
        <v>2</v>
      </c>
      <c r="AE254" s="43" t="str">
        <f>IF(AD254&gt;0,VLOOKUP(AD254,IF({1,0},#REF!,#REF!),2,FALSE),"")</f>
        <v/>
      </c>
    </row>
    <row r="255" spans="1:31">
      <c r="A255" s="43">
        <v>44411</v>
      </c>
      <c r="B255" s="43">
        <v>2</v>
      </c>
      <c r="C255" s="43">
        <v>0</v>
      </c>
      <c r="D255" s="43">
        <v>2</v>
      </c>
      <c r="E255" s="43">
        <v>1</v>
      </c>
      <c r="F255" s="43" t="s">
        <v>77</v>
      </c>
      <c r="G255" s="43">
        <f>IF(F255&gt;0,INDEX(Fish!$D:$D,MATCH(F255,Fish!$L:$L,0)),"")</f>
        <v>11009</v>
      </c>
      <c r="H255" s="43">
        <v>0</v>
      </c>
      <c r="I255" s="43">
        <v>1</v>
      </c>
      <c r="J255" s="43">
        <v>3</v>
      </c>
      <c r="K255" s="43">
        <v>4</v>
      </c>
      <c r="L255" s="43" t="s">
        <v>81</v>
      </c>
      <c r="M255" s="43">
        <f>IF(L255&gt;0,INDEX(Fish!$D:$D,MATCH(L255,Fish!$L:$L,0)),"")</f>
        <v>11010</v>
      </c>
      <c r="N255" s="43">
        <v>0</v>
      </c>
      <c r="O255" s="43">
        <v>1</v>
      </c>
      <c r="P255" s="43">
        <v>2</v>
      </c>
      <c r="Q255" s="43">
        <v>3</v>
      </c>
      <c r="R255" s="43" t="s">
        <v>95</v>
      </c>
      <c r="S255" s="43">
        <f>IF(R255&gt;0,INDEX(Fish!$D:$D,MATCH(R255,Fish!$L:$L,0)),"")</f>
        <v>11017</v>
      </c>
      <c r="T255" s="43">
        <v>0</v>
      </c>
      <c r="U255" s="43">
        <v>1</v>
      </c>
      <c r="V255" s="43">
        <v>2</v>
      </c>
      <c r="W255" s="43">
        <v>3</v>
      </c>
      <c r="X255" s="43" t="s">
        <v>97</v>
      </c>
      <c r="Y255" s="43">
        <f>IF(X255&gt;0,INDEX(Fish!$D:$D,MATCH(X255,Fish!$L:$L,0)),"")</f>
        <v>11020</v>
      </c>
      <c r="Z255" s="43">
        <v>0</v>
      </c>
      <c r="AA255" s="43">
        <v>1</v>
      </c>
      <c r="AB255" s="43">
        <v>1</v>
      </c>
      <c r="AC255" s="43">
        <v>2</v>
      </c>
      <c r="AE255" s="43" t="str">
        <f>IF(AD255&gt;0,VLOOKUP(AD255,IF({1,0},#REF!,#REF!),2,FALSE),"")</f>
        <v/>
      </c>
    </row>
    <row r="256" spans="1:31">
      <c r="A256" s="43">
        <v>44411</v>
      </c>
      <c r="B256" s="43">
        <v>2</v>
      </c>
      <c r="C256" s="43">
        <v>0</v>
      </c>
      <c r="D256" s="43">
        <v>2</v>
      </c>
      <c r="E256" s="43">
        <v>1</v>
      </c>
      <c r="F256" s="43" t="s">
        <v>77</v>
      </c>
      <c r="G256" s="43">
        <f>IF(F256&gt;0,INDEX(Fish!$D:$D,MATCH(F256,Fish!$L:$L,0)),"")</f>
        <v>11009</v>
      </c>
      <c r="H256" s="43">
        <v>0</v>
      </c>
      <c r="I256" s="43">
        <v>1</v>
      </c>
      <c r="J256" s="43">
        <v>3</v>
      </c>
      <c r="K256" s="43">
        <v>4</v>
      </c>
      <c r="L256" s="43" t="s">
        <v>81</v>
      </c>
      <c r="M256" s="43">
        <f>IF(L256&gt;0,INDEX(Fish!$D:$D,MATCH(L256,Fish!$L:$L,0)),"")</f>
        <v>11010</v>
      </c>
      <c r="N256" s="43">
        <v>0</v>
      </c>
      <c r="O256" s="43">
        <v>1</v>
      </c>
      <c r="P256" s="43">
        <v>2</v>
      </c>
      <c r="Q256" s="43">
        <v>3</v>
      </c>
      <c r="R256" s="43" t="s">
        <v>95</v>
      </c>
      <c r="S256" s="43">
        <f>IF(R256&gt;0,INDEX(Fish!$D:$D,MATCH(R256,Fish!$L:$L,0)),"")</f>
        <v>11017</v>
      </c>
      <c r="T256" s="43">
        <v>0</v>
      </c>
      <c r="U256" s="43">
        <v>1</v>
      </c>
      <c r="V256" s="43">
        <v>2</v>
      </c>
      <c r="W256" s="43">
        <v>3</v>
      </c>
      <c r="X256" s="43" t="s">
        <v>87</v>
      </c>
      <c r="Y256" s="43">
        <f>IF(X256&gt;0,INDEX(Fish!$D:$D,MATCH(X256,Fish!$L:$L,0)),"")</f>
        <v>11013</v>
      </c>
      <c r="Z256" s="43">
        <v>0</v>
      </c>
      <c r="AA256" s="43">
        <v>1</v>
      </c>
      <c r="AB256" s="43">
        <v>1</v>
      </c>
      <c r="AC256" s="43">
        <v>2</v>
      </c>
      <c r="AE256" s="43" t="str">
        <f>IF(AD256&gt;0,VLOOKUP(AD256,IF({1,0},#REF!,#REF!),2,FALSE),"")</f>
        <v/>
      </c>
    </row>
    <row r="257" spans="1:31">
      <c r="A257" s="43">
        <v>44411</v>
      </c>
      <c r="B257" s="43">
        <v>2</v>
      </c>
      <c r="C257" s="43">
        <v>0</v>
      </c>
      <c r="D257" s="43">
        <v>2</v>
      </c>
      <c r="E257" s="43">
        <v>1</v>
      </c>
      <c r="F257" s="43" t="s">
        <v>77</v>
      </c>
      <c r="G257" s="43">
        <f>IF(F257&gt;0,INDEX(Fish!$D:$D,MATCH(F257,Fish!$L:$L,0)),"")</f>
        <v>11009</v>
      </c>
      <c r="H257" s="43">
        <v>0</v>
      </c>
      <c r="I257" s="43">
        <v>1</v>
      </c>
      <c r="J257" s="43">
        <v>3</v>
      </c>
      <c r="K257" s="43">
        <v>4</v>
      </c>
      <c r="L257" s="43" t="s">
        <v>81</v>
      </c>
      <c r="M257" s="43">
        <f>IF(L257&gt;0,INDEX(Fish!$D:$D,MATCH(L257,Fish!$L:$L,0)),"")</f>
        <v>11010</v>
      </c>
      <c r="N257" s="43">
        <v>0</v>
      </c>
      <c r="O257" s="43">
        <v>1</v>
      </c>
      <c r="P257" s="43">
        <v>2</v>
      </c>
      <c r="Q257" s="43">
        <v>3</v>
      </c>
      <c r="R257" s="43" t="s">
        <v>85</v>
      </c>
      <c r="S257" s="43">
        <f>IF(R257&gt;0,INDEX(Fish!$D:$D,MATCH(R257,Fish!$L:$L,0)),"")</f>
        <v>11012</v>
      </c>
      <c r="T257" s="43">
        <v>0</v>
      </c>
      <c r="U257" s="43">
        <v>1</v>
      </c>
      <c r="V257" s="43">
        <v>2</v>
      </c>
      <c r="W257" s="43">
        <v>3</v>
      </c>
      <c r="X257" s="43" t="s">
        <v>91</v>
      </c>
      <c r="Y257" s="43">
        <f>IF(X257&gt;0,INDEX(Fish!$D:$D,MATCH(X257,Fish!$L:$L,0)),"")</f>
        <v>11015</v>
      </c>
      <c r="Z257" s="43">
        <v>0</v>
      </c>
      <c r="AA257" s="43">
        <v>1</v>
      </c>
      <c r="AB257" s="43">
        <v>1</v>
      </c>
      <c r="AC257" s="43">
        <v>2</v>
      </c>
      <c r="AE257" s="43" t="str">
        <f>IF(AD257&gt;0,VLOOKUP(AD257,IF({1,0},#REF!,#REF!),2,FALSE),"")</f>
        <v/>
      </c>
    </row>
    <row r="258" spans="1:31">
      <c r="A258" s="43">
        <v>44411</v>
      </c>
      <c r="B258" s="43">
        <v>2</v>
      </c>
      <c r="C258" s="43">
        <v>0</v>
      </c>
      <c r="D258" s="43">
        <v>2</v>
      </c>
      <c r="E258" s="43">
        <v>1</v>
      </c>
      <c r="F258" s="43" t="s">
        <v>77</v>
      </c>
      <c r="G258" s="43">
        <f>IF(F258&gt;0,INDEX(Fish!$D:$D,MATCH(F258,Fish!$L:$L,0)),"")</f>
        <v>11009</v>
      </c>
      <c r="H258" s="43">
        <v>0</v>
      </c>
      <c r="I258" s="43">
        <v>1</v>
      </c>
      <c r="J258" s="43">
        <v>3</v>
      </c>
      <c r="K258" s="43">
        <v>4</v>
      </c>
      <c r="L258" s="43" t="s">
        <v>81</v>
      </c>
      <c r="M258" s="43">
        <f>IF(L258&gt;0,INDEX(Fish!$D:$D,MATCH(L258,Fish!$L:$L,0)),"")</f>
        <v>11010</v>
      </c>
      <c r="N258" s="43">
        <v>0</v>
      </c>
      <c r="O258" s="43">
        <v>1</v>
      </c>
      <c r="P258" s="43">
        <v>2</v>
      </c>
      <c r="Q258" s="43">
        <v>3</v>
      </c>
      <c r="R258" s="43" t="s">
        <v>85</v>
      </c>
      <c r="S258" s="43">
        <f>IF(R258&gt;0,INDEX(Fish!$D:$D,MATCH(R258,Fish!$L:$L,0)),"")</f>
        <v>11012</v>
      </c>
      <c r="T258" s="43">
        <v>0</v>
      </c>
      <c r="U258" s="43">
        <v>1</v>
      </c>
      <c r="V258" s="43">
        <v>2</v>
      </c>
      <c r="W258" s="43">
        <v>3</v>
      </c>
      <c r="X258" s="43" t="s">
        <v>97</v>
      </c>
      <c r="Y258" s="43">
        <f>IF(X258&gt;0,INDEX(Fish!$D:$D,MATCH(X258,Fish!$L:$L,0)),"")</f>
        <v>11020</v>
      </c>
      <c r="Z258" s="43">
        <v>0</v>
      </c>
      <c r="AA258" s="43">
        <v>1</v>
      </c>
      <c r="AB258" s="43">
        <v>1</v>
      </c>
      <c r="AC258" s="43">
        <v>2</v>
      </c>
      <c r="AE258" s="43" t="str">
        <f>IF(AD258&gt;0,VLOOKUP(AD258,IF({1,0},#REF!,#REF!),2,FALSE),"")</f>
        <v/>
      </c>
    </row>
    <row r="259" spans="1:31">
      <c r="A259" s="43">
        <v>44411</v>
      </c>
      <c r="B259" s="43">
        <v>2</v>
      </c>
      <c r="C259" s="43">
        <v>0</v>
      </c>
      <c r="D259" s="43">
        <v>2</v>
      </c>
      <c r="E259" s="43">
        <v>1</v>
      </c>
      <c r="F259" s="43" t="s">
        <v>77</v>
      </c>
      <c r="G259" s="43">
        <f>IF(F259&gt;0,INDEX(Fish!$D:$D,MATCH(F259,Fish!$L:$L,0)),"")</f>
        <v>11009</v>
      </c>
      <c r="H259" s="43">
        <v>0</v>
      </c>
      <c r="I259" s="43">
        <v>1</v>
      </c>
      <c r="J259" s="43">
        <v>3</v>
      </c>
      <c r="K259" s="43">
        <v>4</v>
      </c>
      <c r="L259" s="43" t="s">
        <v>81</v>
      </c>
      <c r="M259" s="43">
        <f>IF(L259&gt;0,INDEX(Fish!$D:$D,MATCH(L259,Fish!$L:$L,0)),"")</f>
        <v>11010</v>
      </c>
      <c r="N259" s="43">
        <v>0</v>
      </c>
      <c r="O259" s="43">
        <v>1</v>
      </c>
      <c r="P259" s="43">
        <v>2</v>
      </c>
      <c r="Q259" s="43">
        <v>3</v>
      </c>
      <c r="R259" s="43" t="s">
        <v>85</v>
      </c>
      <c r="S259" s="43">
        <f>IF(R259&gt;0,INDEX(Fish!$D:$D,MATCH(R259,Fish!$L:$L,0)),"")</f>
        <v>11012</v>
      </c>
      <c r="T259" s="43">
        <v>0</v>
      </c>
      <c r="U259" s="43">
        <v>1</v>
      </c>
      <c r="V259" s="43">
        <v>2</v>
      </c>
      <c r="W259" s="43">
        <v>3</v>
      </c>
      <c r="X259" s="43" t="s">
        <v>87</v>
      </c>
      <c r="Y259" s="43">
        <f>IF(X259&gt;0,INDEX(Fish!$D:$D,MATCH(X259,Fish!$L:$L,0)),"")</f>
        <v>11013</v>
      </c>
      <c r="Z259" s="43">
        <v>0</v>
      </c>
      <c r="AA259" s="43">
        <v>1</v>
      </c>
      <c r="AB259" s="43">
        <v>1</v>
      </c>
      <c r="AC259" s="43">
        <v>2</v>
      </c>
      <c r="AE259" s="43" t="str">
        <f>IF(AD259&gt;0,VLOOKUP(AD259,IF({1,0},#REF!,#REF!),2,FALSE),"")</f>
        <v/>
      </c>
    </row>
    <row r="260" spans="1:31">
      <c r="A260" s="43">
        <v>44411</v>
      </c>
      <c r="B260" s="43">
        <v>2</v>
      </c>
      <c r="C260" s="43">
        <v>0</v>
      </c>
      <c r="D260" s="43">
        <v>3</v>
      </c>
      <c r="E260" s="43">
        <v>2</v>
      </c>
      <c r="F260" s="43" t="s">
        <v>101</v>
      </c>
      <c r="G260" s="43">
        <f>IF(F260&gt;0,INDEX(Fish!$D:$D,MATCH(F260,Fish!$L:$L,0)),"")</f>
        <v>11090</v>
      </c>
      <c r="H260" s="43">
        <v>55000</v>
      </c>
      <c r="I260" s="43">
        <v>1</v>
      </c>
      <c r="J260" s="43">
        <v>0</v>
      </c>
      <c r="K260" s="43">
        <v>1</v>
      </c>
      <c r="L260" s="43" t="s">
        <v>99</v>
      </c>
      <c r="M260" s="43">
        <f>IF(L260&gt;0,INDEX(Fish!$D:$D,MATCH(L260,Fish!$L:$L,0)),"")</f>
        <v>11024</v>
      </c>
      <c r="N260" s="43">
        <v>45000</v>
      </c>
      <c r="O260" s="43">
        <v>1</v>
      </c>
      <c r="P260" s="43">
        <v>0</v>
      </c>
      <c r="Q260" s="43">
        <v>1</v>
      </c>
      <c r="S260" s="43" t="str">
        <f>IF(R260&gt;0,INDEX(Fish!$D:$D,MATCH(R260,Fish!$L:$L,0)),"")</f>
        <v/>
      </c>
      <c r="Y260" s="43" t="str">
        <f>IF(X260&gt;0,INDEX(Fish!$D:$D,MATCH(X260,Fish!$L:$L,0)),"")</f>
        <v/>
      </c>
      <c r="AE260" s="43" t="str">
        <f>IF(AD260&gt;0,VLOOKUP(AD260,IF({1,0},#REF!,#REF!),2,FALSE),"")</f>
        <v/>
      </c>
    </row>
    <row r="261" spans="1:31">
      <c r="A261" s="43">
        <v>44411</v>
      </c>
      <c r="B261" s="43">
        <v>2</v>
      </c>
      <c r="C261" s="43">
        <v>0</v>
      </c>
      <c r="D261" s="43">
        <v>4</v>
      </c>
      <c r="E261" s="43">
        <v>2</v>
      </c>
      <c r="F261" s="43" t="s">
        <v>351</v>
      </c>
      <c r="G261" s="43">
        <f>IF(F261&gt;0,INDEX(Fish!$D:$D,MATCH(F261,Fish!$L:$L,0)),"")</f>
        <v>11018</v>
      </c>
      <c r="H261" s="43">
        <v>30000</v>
      </c>
      <c r="I261" s="43">
        <v>1</v>
      </c>
      <c r="J261" s="43">
        <v>0</v>
      </c>
      <c r="K261" s="43">
        <v>1</v>
      </c>
      <c r="L261" s="43" t="s">
        <v>361</v>
      </c>
      <c r="M261" s="43">
        <f>IF(L261&gt;0,INDEX(Fish!$D:$D,MATCH(L261,Fish!$L:$L,0)),"")</f>
        <v>11214</v>
      </c>
      <c r="N261" s="43">
        <v>30000</v>
      </c>
      <c r="O261" s="43">
        <v>1</v>
      </c>
      <c r="P261" s="43">
        <v>0</v>
      </c>
      <c r="Q261" s="43">
        <v>1</v>
      </c>
      <c r="R261" s="43" t="s">
        <v>355</v>
      </c>
      <c r="S261" s="43">
        <f>IF(R261&gt;0,INDEX(Fish!$D:$D,MATCH(R261,Fish!$L:$L,0)),"")</f>
        <v>11021</v>
      </c>
      <c r="T261" s="43">
        <v>25000</v>
      </c>
      <c r="U261" s="43">
        <v>1</v>
      </c>
      <c r="V261" s="43">
        <v>0</v>
      </c>
      <c r="W261" s="43">
        <v>1</v>
      </c>
      <c r="X261" s="46" t="s">
        <v>353</v>
      </c>
      <c r="Y261" s="43">
        <f>IF(X261&gt;0,INDEX(Fish!$D:$D,MATCH(X261,Fish!$L:$L,0)),"")</f>
        <v>11092</v>
      </c>
      <c r="Z261" s="43">
        <v>15000</v>
      </c>
      <c r="AA261" s="43">
        <v>1</v>
      </c>
      <c r="AB261" s="43">
        <v>0</v>
      </c>
      <c r="AC261" s="43">
        <v>1</v>
      </c>
      <c r="AE261" s="43" t="str">
        <f>IF(AD261&gt;0,VLOOKUP(AD261,IF({1,0},#REF!,#REF!),2,FALSE),"")</f>
        <v/>
      </c>
    </row>
    <row r="262" spans="1:31">
      <c r="A262" s="43">
        <v>44411</v>
      </c>
      <c r="B262" s="43">
        <v>2</v>
      </c>
      <c r="C262" s="43">
        <v>0</v>
      </c>
      <c r="D262" s="43">
        <v>5</v>
      </c>
      <c r="E262" s="43">
        <v>2</v>
      </c>
      <c r="F262" s="43" t="s">
        <v>120</v>
      </c>
      <c r="G262" s="43">
        <f>IF(F262&gt;0,INDEX(Fish!$D:$D,MATCH(F262,Fish!$L:$L,0)),"")</f>
        <v>14009</v>
      </c>
      <c r="H262" s="43">
        <v>38000</v>
      </c>
      <c r="I262" s="43">
        <v>1</v>
      </c>
      <c r="J262" s="43">
        <v>0</v>
      </c>
      <c r="K262" s="43">
        <v>1</v>
      </c>
      <c r="L262" s="43" t="s">
        <v>121</v>
      </c>
      <c r="M262" s="43">
        <f>IF(L262&gt;0,INDEX(Fish!$D:$D,MATCH(L262,Fish!$L:$L,0)),"")</f>
        <v>14011</v>
      </c>
      <c r="N262" s="43">
        <v>30000</v>
      </c>
      <c r="O262" s="43">
        <v>1</v>
      </c>
      <c r="P262" s="43">
        <v>0</v>
      </c>
      <c r="Q262" s="43">
        <v>1</v>
      </c>
      <c r="R262" s="43" t="s">
        <v>123</v>
      </c>
      <c r="S262" s="43">
        <f>IF(R262&gt;0,INDEX(Fish!$D:$D,MATCH(R262,Fish!$L:$L,0)),"")</f>
        <v>14015</v>
      </c>
      <c r="T262" s="43">
        <v>17000</v>
      </c>
      <c r="U262" s="43">
        <v>1</v>
      </c>
      <c r="V262" s="43">
        <v>0</v>
      </c>
      <c r="W262" s="43">
        <v>1</v>
      </c>
      <c r="X262" s="43" t="s">
        <v>124</v>
      </c>
      <c r="Y262" s="43">
        <f>IF(X262&gt;0,INDEX(Fish!$D:$D,MATCH(X262,Fish!$L:$L,0)),"")</f>
        <v>14020</v>
      </c>
      <c r="Z262" s="43">
        <v>15000</v>
      </c>
      <c r="AA262" s="43">
        <v>1</v>
      </c>
      <c r="AB262" s="43">
        <v>0</v>
      </c>
      <c r="AC262" s="43">
        <v>1</v>
      </c>
      <c r="AE262" s="43" t="str">
        <f>IF(AD262&gt;0,VLOOKUP(AD262,IF({1,0},#REF!,#REF!),2,FALSE),"")</f>
        <v/>
      </c>
    </row>
    <row r="263" spans="1:31">
      <c r="A263" s="43">
        <v>44412</v>
      </c>
      <c r="B263" s="43">
        <v>2</v>
      </c>
      <c r="C263" s="43">
        <v>8</v>
      </c>
      <c r="D263" s="43">
        <v>1</v>
      </c>
      <c r="E263" s="43">
        <v>1</v>
      </c>
      <c r="F263" s="43" t="s">
        <v>61</v>
      </c>
      <c r="G263" s="43">
        <f>IF(F263&gt;0,INDEX(Fish!$D:$D,MATCH(F263,Fish!$L:$L,0)),"")</f>
        <v>11001</v>
      </c>
      <c r="H263" s="43">
        <v>0</v>
      </c>
      <c r="I263" s="43">
        <v>4</v>
      </c>
      <c r="J263" s="43">
        <v>14</v>
      </c>
      <c r="K263" s="43">
        <v>16</v>
      </c>
      <c r="L263" s="43" t="s">
        <v>65</v>
      </c>
      <c r="M263" s="43">
        <f>IF(L263&gt;0,INDEX(Fish!$D:$D,MATCH(L263,Fish!$L:$L,0)),"")</f>
        <v>11003</v>
      </c>
      <c r="N263" s="43">
        <v>0</v>
      </c>
      <c r="O263" s="43">
        <v>3</v>
      </c>
      <c r="P263" s="43">
        <v>10</v>
      </c>
      <c r="Q263" s="43">
        <v>14</v>
      </c>
      <c r="S263" s="43" t="str">
        <f>IF(R263&gt;0,INDEX(Fish!$D:$D,MATCH(R263,Fish!$L:$L,0)),"")</f>
        <v/>
      </c>
      <c r="Y263" s="43" t="str">
        <f>IF(X263&gt;0,INDEX(Fish!$D:$D,MATCH(X263,Fish!$L:$L,0)),"")</f>
        <v/>
      </c>
      <c r="AE263" s="43" t="str">
        <f>IF(AD263&gt;0,VLOOKUP(AD263,IF({1,0},#REF!,#REF!),2,FALSE),"")</f>
        <v/>
      </c>
    </row>
    <row r="264" spans="1:31">
      <c r="A264" s="43">
        <v>44412</v>
      </c>
      <c r="B264" s="43">
        <v>2</v>
      </c>
      <c r="C264" s="43">
        <v>8</v>
      </c>
      <c r="D264" s="43">
        <v>1</v>
      </c>
      <c r="E264" s="43">
        <v>1</v>
      </c>
      <c r="F264" s="43" t="s">
        <v>61</v>
      </c>
      <c r="G264" s="43">
        <f>IF(F264&gt;0,INDEX(Fish!$D:$D,MATCH(F264,Fish!$L:$L,0)),"")</f>
        <v>11001</v>
      </c>
      <c r="H264" s="43">
        <v>0</v>
      </c>
      <c r="I264" s="43">
        <v>4</v>
      </c>
      <c r="J264" s="43">
        <v>14</v>
      </c>
      <c r="K264" s="43">
        <v>16</v>
      </c>
      <c r="L264" s="43" t="s">
        <v>67</v>
      </c>
      <c r="M264" s="43">
        <f>IF(L264&gt;0,INDEX(Fish!$D:$D,MATCH(L264,Fish!$L:$L,0)),"")</f>
        <v>11004</v>
      </c>
      <c r="N264" s="43">
        <v>0</v>
      </c>
      <c r="O264" s="43">
        <v>3</v>
      </c>
      <c r="P264" s="43">
        <v>10</v>
      </c>
      <c r="Q264" s="43">
        <v>14</v>
      </c>
      <c r="S264" s="43" t="str">
        <f>IF(R264&gt;0,INDEX(Fish!$D:$D,MATCH(R264,Fish!$L:$L,0)),"")</f>
        <v/>
      </c>
      <c r="Y264" s="43" t="str">
        <f>IF(X264&gt;0,INDEX(Fish!$D:$D,MATCH(X264,Fish!$L:$L,0)),"")</f>
        <v/>
      </c>
      <c r="AE264" s="43" t="str">
        <f>IF(AD264&gt;0,VLOOKUP(AD264,IF({1,0},#REF!,#REF!),2,FALSE),"")</f>
        <v/>
      </c>
    </row>
    <row r="265" spans="1:31">
      <c r="A265" s="43">
        <v>44412</v>
      </c>
      <c r="B265" s="43">
        <v>2</v>
      </c>
      <c r="C265" s="43">
        <v>8</v>
      </c>
      <c r="D265" s="43">
        <v>1</v>
      </c>
      <c r="E265" s="43">
        <v>1</v>
      </c>
      <c r="F265" s="43" t="s">
        <v>63</v>
      </c>
      <c r="G265" s="43">
        <f>IF(F265&gt;0,INDEX(Fish!$D:$D,MATCH(F265,Fish!$L:$L,0)),"")</f>
        <v>11002</v>
      </c>
      <c r="H265" s="43">
        <v>0</v>
      </c>
      <c r="I265" s="43">
        <v>4</v>
      </c>
      <c r="J265" s="43">
        <v>14</v>
      </c>
      <c r="K265" s="43">
        <v>16</v>
      </c>
      <c r="L265" s="43" t="s">
        <v>65</v>
      </c>
      <c r="M265" s="43">
        <f>IF(L265&gt;0,INDEX(Fish!$D:$D,MATCH(L265,Fish!$L:$L,0)),"")</f>
        <v>11003</v>
      </c>
      <c r="N265" s="43">
        <v>0</v>
      </c>
      <c r="O265" s="43">
        <v>3</v>
      </c>
      <c r="P265" s="43">
        <v>10</v>
      </c>
      <c r="Q265" s="43">
        <v>14</v>
      </c>
      <c r="S265" s="43" t="str">
        <f>IF(R265&gt;0,INDEX(Fish!$D:$D,MATCH(R265,Fish!$L:$L,0)),"")</f>
        <v/>
      </c>
      <c r="Y265" s="43" t="str">
        <f>IF(X265&gt;0,INDEX(Fish!$D:$D,MATCH(X265,Fish!$L:$L,0)),"")</f>
        <v/>
      </c>
      <c r="AE265" s="43" t="str">
        <f>IF(AD265&gt;0,VLOOKUP(AD265,IF({1,0},#REF!,#REF!),2,FALSE),"")</f>
        <v/>
      </c>
    </row>
    <row r="266" spans="1:31">
      <c r="A266" s="43">
        <v>44412</v>
      </c>
      <c r="B266" s="43">
        <v>2</v>
      </c>
      <c r="C266" s="43">
        <v>8</v>
      </c>
      <c r="D266" s="43">
        <v>1</v>
      </c>
      <c r="E266" s="43">
        <v>1</v>
      </c>
      <c r="F266" s="43" t="s">
        <v>63</v>
      </c>
      <c r="G266" s="43">
        <f>IF(F266&gt;0,INDEX(Fish!$D:$D,MATCH(F266,Fish!$L:$L,0)),"")</f>
        <v>11002</v>
      </c>
      <c r="H266" s="43">
        <v>0</v>
      </c>
      <c r="I266" s="43">
        <v>4</v>
      </c>
      <c r="J266" s="43">
        <v>14</v>
      </c>
      <c r="K266" s="43">
        <v>16</v>
      </c>
      <c r="L266" s="43" t="s">
        <v>67</v>
      </c>
      <c r="M266" s="43">
        <f>IF(L266&gt;0,INDEX(Fish!$D:$D,MATCH(L266,Fish!$L:$L,0)),"")</f>
        <v>11004</v>
      </c>
      <c r="N266" s="43">
        <v>0</v>
      </c>
      <c r="O266" s="43">
        <v>3</v>
      </c>
      <c r="P266" s="43">
        <v>10</v>
      </c>
      <c r="Q266" s="43">
        <v>14</v>
      </c>
      <c r="S266" s="43" t="str">
        <f>IF(R266&gt;0,INDEX(Fish!$D:$D,MATCH(R266,Fish!$L:$L,0)),"")</f>
        <v/>
      </c>
      <c r="Y266" s="43" t="str">
        <f>IF(X266&gt;0,INDEX(Fish!$D:$D,MATCH(X266,Fish!$L:$L,0)),"")</f>
        <v/>
      </c>
      <c r="AE266" s="43" t="str">
        <f>IF(AD266&gt;0,VLOOKUP(AD266,IF({1,0},#REF!,#REF!),2,FALSE),"")</f>
        <v/>
      </c>
    </row>
    <row r="267" spans="1:35">
      <c r="A267" s="43">
        <v>44412</v>
      </c>
      <c r="B267" s="43">
        <v>4</v>
      </c>
      <c r="C267" s="43">
        <v>0</v>
      </c>
      <c r="D267" s="43">
        <v>2</v>
      </c>
      <c r="E267" s="43">
        <v>1</v>
      </c>
      <c r="F267" s="43" t="s">
        <v>75</v>
      </c>
      <c r="G267" s="43">
        <f>IF(F267&gt;0,INDEX(Fish!$D:$D,MATCH(F267,Fish!$L:$L,0)),"")</f>
        <v>11008</v>
      </c>
      <c r="H267" s="43">
        <v>0</v>
      </c>
      <c r="I267" s="43">
        <v>1</v>
      </c>
      <c r="J267" s="43">
        <v>3</v>
      </c>
      <c r="K267" s="43">
        <v>4</v>
      </c>
      <c r="L267" s="43" t="s">
        <v>83</v>
      </c>
      <c r="M267" s="43">
        <f>IF(L267&gt;0,INDEX(Fish!$D:$D,MATCH(L267,Fish!$L:$L,0)),"")</f>
        <v>11011</v>
      </c>
      <c r="N267" s="43">
        <v>0</v>
      </c>
      <c r="O267" s="43">
        <v>1</v>
      </c>
      <c r="P267" s="43">
        <v>2</v>
      </c>
      <c r="Q267" s="43">
        <v>3</v>
      </c>
      <c r="R267" s="43" t="s">
        <v>95</v>
      </c>
      <c r="S267" s="43">
        <f>IF(R267&gt;0,INDEX(Fish!$D:$D,MATCH(R267,Fish!$L:$L,0)),"")</f>
        <v>11017</v>
      </c>
      <c r="T267" s="43">
        <v>0</v>
      </c>
      <c r="U267" s="43">
        <v>1</v>
      </c>
      <c r="V267" s="43">
        <v>1</v>
      </c>
      <c r="W267" s="43">
        <v>2</v>
      </c>
      <c r="X267" s="43" t="s">
        <v>91</v>
      </c>
      <c r="Y267" s="43">
        <f>IF(X267&gt;0,INDEX(Fish!$D:$D,MATCH(X267,Fish!$L:$L,0)),"")</f>
        <v>11015</v>
      </c>
      <c r="Z267" s="43">
        <v>0</v>
      </c>
      <c r="AA267" s="43">
        <v>1</v>
      </c>
      <c r="AB267" s="43">
        <v>1</v>
      </c>
      <c r="AC267" s="43">
        <v>2</v>
      </c>
      <c r="AD267" s="43" t="s">
        <v>87</v>
      </c>
      <c r="AE267" s="43">
        <f>IF(AD267&gt;0,INDEX(Fish!$D:$D,MATCH(AD267,Fish!$L:$L,0)),"")</f>
        <v>11013</v>
      </c>
      <c r="AF267" s="43">
        <v>0</v>
      </c>
      <c r="AG267" s="43">
        <v>1</v>
      </c>
      <c r="AH267" s="43">
        <v>1</v>
      </c>
      <c r="AI267" s="43">
        <v>1</v>
      </c>
    </row>
    <row r="268" spans="1:35">
      <c r="A268" s="43">
        <v>44412</v>
      </c>
      <c r="B268" s="43">
        <v>4</v>
      </c>
      <c r="C268" s="43">
        <v>0</v>
      </c>
      <c r="D268" s="43">
        <v>2</v>
      </c>
      <c r="E268" s="43">
        <v>1</v>
      </c>
      <c r="F268" s="43" t="s">
        <v>75</v>
      </c>
      <c r="G268" s="43">
        <f>IF(F268&gt;0,INDEX(Fish!$D:$D,MATCH(F268,Fish!$L:$L,0)),"")</f>
        <v>11008</v>
      </c>
      <c r="H268" s="43">
        <v>0</v>
      </c>
      <c r="I268" s="43">
        <v>1</v>
      </c>
      <c r="J268" s="43">
        <v>3</v>
      </c>
      <c r="K268" s="43">
        <v>4</v>
      </c>
      <c r="L268" s="43" t="s">
        <v>83</v>
      </c>
      <c r="M268" s="43">
        <f>IF(L268&gt;0,INDEX(Fish!$D:$D,MATCH(L268,Fish!$L:$L,0)),"")</f>
        <v>11011</v>
      </c>
      <c r="N268" s="43">
        <v>0</v>
      </c>
      <c r="O268" s="43">
        <v>1</v>
      </c>
      <c r="P268" s="43">
        <v>2</v>
      </c>
      <c r="Q268" s="43">
        <v>3</v>
      </c>
      <c r="R268" s="43" t="s">
        <v>95</v>
      </c>
      <c r="S268" s="43">
        <f>IF(R268&gt;0,INDEX(Fish!$D:$D,MATCH(R268,Fish!$L:$L,0)),"")</f>
        <v>11017</v>
      </c>
      <c r="T268" s="43">
        <v>0</v>
      </c>
      <c r="U268" s="43">
        <v>1</v>
      </c>
      <c r="V268" s="43">
        <v>1</v>
      </c>
      <c r="W268" s="43">
        <v>2</v>
      </c>
      <c r="X268" s="43" t="s">
        <v>91</v>
      </c>
      <c r="Y268" s="43">
        <f>IF(X268&gt;0,INDEX(Fish!$D:$D,MATCH(X268,Fish!$L:$L,0)),"")</f>
        <v>11015</v>
      </c>
      <c r="Z268" s="43">
        <v>0</v>
      </c>
      <c r="AA268" s="43">
        <v>1</v>
      </c>
      <c r="AB268" s="43">
        <v>1</v>
      </c>
      <c r="AC268" s="43">
        <v>2</v>
      </c>
      <c r="AD268" s="43" t="s">
        <v>93</v>
      </c>
      <c r="AE268" s="43">
        <f>IF(AD268&gt;0,INDEX(Fish!$D:$D,MATCH(AD268,Fish!$L:$L,0)),"")</f>
        <v>11016</v>
      </c>
      <c r="AF268" s="43">
        <v>0</v>
      </c>
      <c r="AG268" s="43">
        <v>1</v>
      </c>
      <c r="AH268" s="43">
        <v>1</v>
      </c>
      <c r="AI268" s="43">
        <v>1</v>
      </c>
    </row>
    <row r="269" spans="1:35">
      <c r="A269" s="43">
        <v>44412</v>
      </c>
      <c r="B269" s="43">
        <v>4</v>
      </c>
      <c r="C269" s="43">
        <v>0</v>
      </c>
      <c r="D269" s="43">
        <v>2</v>
      </c>
      <c r="E269" s="43">
        <v>1</v>
      </c>
      <c r="F269" s="43" t="s">
        <v>75</v>
      </c>
      <c r="G269" s="43">
        <f>IF(F269&gt;0,INDEX(Fish!$D:$D,MATCH(F269,Fish!$L:$L,0)),"")</f>
        <v>11008</v>
      </c>
      <c r="H269" s="43">
        <v>0</v>
      </c>
      <c r="I269" s="43">
        <v>1</v>
      </c>
      <c r="J269" s="43">
        <v>3</v>
      </c>
      <c r="K269" s="43">
        <v>4</v>
      </c>
      <c r="L269" s="43" t="s">
        <v>83</v>
      </c>
      <c r="M269" s="43">
        <f>IF(L269&gt;0,INDEX(Fish!$D:$D,MATCH(L269,Fish!$L:$L,0)),"")</f>
        <v>11011</v>
      </c>
      <c r="N269" s="43">
        <v>0</v>
      </c>
      <c r="O269" s="43">
        <v>1</v>
      </c>
      <c r="P269" s="43">
        <v>2</v>
      </c>
      <c r="Q269" s="43">
        <v>3</v>
      </c>
      <c r="R269" s="43" t="s">
        <v>95</v>
      </c>
      <c r="S269" s="43">
        <f>IF(R269&gt;0,INDEX(Fish!$D:$D,MATCH(R269,Fish!$L:$L,0)),"")</f>
        <v>11017</v>
      </c>
      <c r="T269" s="43">
        <v>0</v>
      </c>
      <c r="U269" s="43">
        <v>1</v>
      </c>
      <c r="V269" s="43">
        <v>1</v>
      </c>
      <c r="W269" s="43">
        <v>2</v>
      </c>
      <c r="X269" s="43" t="s">
        <v>97</v>
      </c>
      <c r="Y269" s="43">
        <f>IF(X269&gt;0,INDEX(Fish!$D:$D,MATCH(X269,Fish!$L:$L,0)),"")</f>
        <v>11020</v>
      </c>
      <c r="Z269" s="43">
        <v>0</v>
      </c>
      <c r="AA269" s="43">
        <v>1</v>
      </c>
      <c r="AB269" s="43">
        <v>1</v>
      </c>
      <c r="AC269" s="43">
        <v>2</v>
      </c>
      <c r="AD269" s="43" t="s">
        <v>87</v>
      </c>
      <c r="AE269" s="43">
        <f>IF(AD269&gt;0,INDEX(Fish!$D:$D,MATCH(AD269,Fish!$L:$L,0)),"")</f>
        <v>11013</v>
      </c>
      <c r="AF269" s="43">
        <v>0</v>
      </c>
      <c r="AG269" s="43">
        <v>1</v>
      </c>
      <c r="AH269" s="43">
        <v>1</v>
      </c>
      <c r="AI269" s="43">
        <v>1</v>
      </c>
    </row>
    <row r="270" spans="1:35">
      <c r="A270" s="43">
        <v>44412</v>
      </c>
      <c r="B270" s="43">
        <v>4</v>
      </c>
      <c r="C270" s="43">
        <v>0</v>
      </c>
      <c r="D270" s="43">
        <v>2</v>
      </c>
      <c r="E270" s="43">
        <v>1</v>
      </c>
      <c r="F270" s="43" t="s">
        <v>75</v>
      </c>
      <c r="G270" s="43">
        <f>IF(F270&gt;0,INDEX(Fish!$D:$D,MATCH(F270,Fish!$L:$L,0)),"")</f>
        <v>11008</v>
      </c>
      <c r="H270" s="43">
        <v>0</v>
      </c>
      <c r="I270" s="43">
        <v>1</v>
      </c>
      <c r="J270" s="43">
        <v>3</v>
      </c>
      <c r="K270" s="43">
        <v>4</v>
      </c>
      <c r="L270" s="43" t="s">
        <v>83</v>
      </c>
      <c r="M270" s="43">
        <f>IF(L270&gt;0,INDEX(Fish!$D:$D,MATCH(L270,Fish!$L:$L,0)),"")</f>
        <v>11011</v>
      </c>
      <c r="N270" s="43">
        <v>0</v>
      </c>
      <c r="O270" s="43">
        <v>1</v>
      </c>
      <c r="P270" s="43">
        <v>2</v>
      </c>
      <c r="Q270" s="43">
        <v>3</v>
      </c>
      <c r="R270" s="43" t="s">
        <v>95</v>
      </c>
      <c r="S270" s="43">
        <f>IF(R270&gt;0,INDEX(Fish!$D:$D,MATCH(R270,Fish!$L:$L,0)),"")</f>
        <v>11017</v>
      </c>
      <c r="T270" s="43">
        <v>0</v>
      </c>
      <c r="U270" s="43">
        <v>1</v>
      </c>
      <c r="V270" s="43">
        <v>1</v>
      </c>
      <c r="W270" s="43">
        <v>2</v>
      </c>
      <c r="X270" s="43" t="s">
        <v>97</v>
      </c>
      <c r="Y270" s="43">
        <f>IF(X270&gt;0,INDEX(Fish!$D:$D,MATCH(X270,Fish!$L:$L,0)),"")</f>
        <v>11020</v>
      </c>
      <c r="Z270" s="43">
        <v>0</v>
      </c>
      <c r="AA270" s="43">
        <v>1</v>
      </c>
      <c r="AB270" s="43">
        <v>1</v>
      </c>
      <c r="AC270" s="43">
        <v>2</v>
      </c>
      <c r="AD270" s="43" t="s">
        <v>93</v>
      </c>
      <c r="AE270" s="43">
        <f>IF(AD270&gt;0,INDEX(Fish!$D:$D,MATCH(AD270,Fish!$L:$L,0)),"")</f>
        <v>11016</v>
      </c>
      <c r="AF270" s="43">
        <v>0</v>
      </c>
      <c r="AG270" s="43">
        <v>1</v>
      </c>
      <c r="AH270" s="43">
        <v>1</v>
      </c>
      <c r="AI270" s="43">
        <v>1</v>
      </c>
    </row>
    <row r="271" spans="1:35">
      <c r="A271" s="43">
        <v>44412</v>
      </c>
      <c r="B271" s="43">
        <v>4</v>
      </c>
      <c r="C271" s="43">
        <v>0</v>
      </c>
      <c r="D271" s="43">
        <v>2</v>
      </c>
      <c r="E271" s="43">
        <v>1</v>
      </c>
      <c r="F271" s="43" t="s">
        <v>75</v>
      </c>
      <c r="G271" s="43">
        <f>IF(F271&gt;0,INDEX(Fish!$D:$D,MATCH(F271,Fish!$L:$L,0)),"")</f>
        <v>11008</v>
      </c>
      <c r="H271" s="43">
        <v>0</v>
      </c>
      <c r="I271" s="43">
        <v>1</v>
      </c>
      <c r="J271" s="43">
        <v>3</v>
      </c>
      <c r="K271" s="43">
        <v>4</v>
      </c>
      <c r="L271" s="43" t="s">
        <v>83</v>
      </c>
      <c r="M271" s="43">
        <f>IF(L271&gt;0,INDEX(Fish!$D:$D,MATCH(L271,Fish!$L:$L,0)),"")</f>
        <v>11011</v>
      </c>
      <c r="N271" s="43">
        <v>0</v>
      </c>
      <c r="O271" s="43">
        <v>1</v>
      </c>
      <c r="P271" s="43">
        <v>2</v>
      </c>
      <c r="Q271" s="43">
        <v>3</v>
      </c>
      <c r="R271" s="43" t="s">
        <v>85</v>
      </c>
      <c r="S271" s="43">
        <f>IF(R271&gt;0,INDEX(Fish!$D:$D,MATCH(R271,Fish!$L:$L,0)),"")</f>
        <v>11012</v>
      </c>
      <c r="T271" s="43">
        <v>0</v>
      </c>
      <c r="U271" s="43">
        <v>1</v>
      </c>
      <c r="V271" s="43">
        <v>1</v>
      </c>
      <c r="W271" s="43">
        <v>2</v>
      </c>
      <c r="X271" s="43" t="s">
        <v>91</v>
      </c>
      <c r="Y271" s="43">
        <f>IF(X271&gt;0,INDEX(Fish!$D:$D,MATCH(X271,Fish!$L:$L,0)),"")</f>
        <v>11015</v>
      </c>
      <c r="Z271" s="43">
        <v>0</v>
      </c>
      <c r="AA271" s="43">
        <v>1</v>
      </c>
      <c r="AB271" s="43">
        <v>1</v>
      </c>
      <c r="AC271" s="43">
        <v>2</v>
      </c>
      <c r="AD271" s="43" t="s">
        <v>87</v>
      </c>
      <c r="AE271" s="43">
        <f>IF(AD271&gt;0,INDEX(Fish!$D:$D,MATCH(AD271,Fish!$L:$L,0)),"")</f>
        <v>11013</v>
      </c>
      <c r="AF271" s="43">
        <v>0</v>
      </c>
      <c r="AG271" s="43">
        <v>1</v>
      </c>
      <c r="AH271" s="43">
        <v>1</v>
      </c>
      <c r="AI271" s="43">
        <v>1</v>
      </c>
    </row>
    <row r="272" spans="1:35">
      <c r="A272" s="43">
        <v>44412</v>
      </c>
      <c r="B272" s="43">
        <v>4</v>
      </c>
      <c r="C272" s="43">
        <v>0</v>
      </c>
      <c r="D272" s="43">
        <v>2</v>
      </c>
      <c r="E272" s="43">
        <v>1</v>
      </c>
      <c r="F272" s="43" t="s">
        <v>75</v>
      </c>
      <c r="G272" s="43">
        <f>IF(F272&gt;0,INDEX(Fish!$D:$D,MATCH(F272,Fish!$L:$L,0)),"")</f>
        <v>11008</v>
      </c>
      <c r="H272" s="43">
        <v>0</v>
      </c>
      <c r="I272" s="43">
        <v>1</v>
      </c>
      <c r="J272" s="43">
        <v>3</v>
      </c>
      <c r="K272" s="43">
        <v>4</v>
      </c>
      <c r="L272" s="43" t="s">
        <v>83</v>
      </c>
      <c r="M272" s="43">
        <f>IF(L272&gt;0,INDEX(Fish!$D:$D,MATCH(L272,Fish!$L:$L,0)),"")</f>
        <v>11011</v>
      </c>
      <c r="N272" s="43">
        <v>0</v>
      </c>
      <c r="O272" s="43">
        <v>1</v>
      </c>
      <c r="P272" s="43">
        <v>2</v>
      </c>
      <c r="Q272" s="43">
        <v>3</v>
      </c>
      <c r="R272" s="43" t="s">
        <v>85</v>
      </c>
      <c r="S272" s="43">
        <f>IF(R272&gt;0,INDEX(Fish!$D:$D,MATCH(R272,Fish!$L:$L,0)),"")</f>
        <v>11012</v>
      </c>
      <c r="T272" s="43">
        <v>0</v>
      </c>
      <c r="U272" s="43">
        <v>1</v>
      </c>
      <c r="V272" s="43">
        <v>1</v>
      </c>
      <c r="W272" s="43">
        <v>2</v>
      </c>
      <c r="X272" s="43" t="s">
        <v>91</v>
      </c>
      <c r="Y272" s="43">
        <f>IF(X272&gt;0,INDEX(Fish!$D:$D,MATCH(X272,Fish!$L:$L,0)),"")</f>
        <v>11015</v>
      </c>
      <c r="Z272" s="43">
        <v>0</v>
      </c>
      <c r="AA272" s="43">
        <v>1</v>
      </c>
      <c r="AB272" s="43">
        <v>1</v>
      </c>
      <c r="AC272" s="43">
        <v>2</v>
      </c>
      <c r="AD272" s="43" t="s">
        <v>93</v>
      </c>
      <c r="AE272" s="43">
        <f>IF(AD272&gt;0,INDEX(Fish!$D:$D,MATCH(AD272,Fish!$L:$L,0)),"")</f>
        <v>11016</v>
      </c>
      <c r="AF272" s="43">
        <v>0</v>
      </c>
      <c r="AG272" s="43">
        <v>1</v>
      </c>
      <c r="AH272" s="43">
        <v>1</v>
      </c>
      <c r="AI272" s="43">
        <v>1</v>
      </c>
    </row>
    <row r="273" spans="1:35">
      <c r="A273" s="43">
        <v>44412</v>
      </c>
      <c r="B273" s="43">
        <v>4</v>
      </c>
      <c r="C273" s="43">
        <v>0</v>
      </c>
      <c r="D273" s="43">
        <v>2</v>
      </c>
      <c r="E273" s="43">
        <v>1</v>
      </c>
      <c r="F273" s="43" t="s">
        <v>75</v>
      </c>
      <c r="G273" s="43">
        <f>IF(F273&gt;0,INDEX(Fish!$D:$D,MATCH(F273,Fish!$L:$L,0)),"")</f>
        <v>11008</v>
      </c>
      <c r="H273" s="43">
        <v>0</v>
      </c>
      <c r="I273" s="43">
        <v>1</v>
      </c>
      <c r="J273" s="43">
        <v>3</v>
      </c>
      <c r="K273" s="43">
        <v>4</v>
      </c>
      <c r="L273" s="43" t="s">
        <v>83</v>
      </c>
      <c r="M273" s="43">
        <f>IF(L273&gt;0,INDEX(Fish!$D:$D,MATCH(L273,Fish!$L:$L,0)),"")</f>
        <v>11011</v>
      </c>
      <c r="N273" s="43">
        <v>0</v>
      </c>
      <c r="O273" s="43">
        <v>1</v>
      </c>
      <c r="P273" s="43">
        <v>2</v>
      </c>
      <c r="Q273" s="43">
        <v>3</v>
      </c>
      <c r="R273" s="43" t="s">
        <v>85</v>
      </c>
      <c r="S273" s="43">
        <f>IF(R273&gt;0,INDEX(Fish!$D:$D,MATCH(R273,Fish!$L:$L,0)),"")</f>
        <v>11012</v>
      </c>
      <c r="T273" s="43">
        <v>0</v>
      </c>
      <c r="U273" s="43">
        <v>1</v>
      </c>
      <c r="V273" s="43">
        <v>1</v>
      </c>
      <c r="W273" s="43">
        <v>2</v>
      </c>
      <c r="X273" s="43" t="s">
        <v>97</v>
      </c>
      <c r="Y273" s="43">
        <f>IF(X273&gt;0,INDEX(Fish!$D:$D,MATCH(X273,Fish!$L:$L,0)),"")</f>
        <v>11020</v>
      </c>
      <c r="Z273" s="43">
        <v>0</v>
      </c>
      <c r="AA273" s="43">
        <v>1</v>
      </c>
      <c r="AB273" s="43">
        <v>1</v>
      </c>
      <c r="AC273" s="43">
        <v>2</v>
      </c>
      <c r="AD273" s="43" t="s">
        <v>87</v>
      </c>
      <c r="AE273" s="43">
        <f>IF(AD273&gt;0,INDEX(Fish!$D:$D,MATCH(AD273,Fish!$L:$L,0)),"")</f>
        <v>11013</v>
      </c>
      <c r="AF273" s="43">
        <v>0</v>
      </c>
      <c r="AG273" s="43">
        <v>1</v>
      </c>
      <c r="AH273" s="43">
        <v>1</v>
      </c>
      <c r="AI273" s="43">
        <v>1</v>
      </c>
    </row>
    <row r="274" spans="1:35">
      <c r="A274" s="43">
        <v>44412</v>
      </c>
      <c r="B274" s="43">
        <v>4</v>
      </c>
      <c r="C274" s="43">
        <v>0</v>
      </c>
      <c r="D274" s="43">
        <v>2</v>
      </c>
      <c r="E274" s="43">
        <v>1</v>
      </c>
      <c r="F274" s="43" t="s">
        <v>75</v>
      </c>
      <c r="G274" s="43">
        <f>IF(F274&gt;0,INDEX(Fish!$D:$D,MATCH(F274,Fish!$L:$L,0)),"")</f>
        <v>11008</v>
      </c>
      <c r="H274" s="43">
        <v>0</v>
      </c>
      <c r="I274" s="43">
        <v>1</v>
      </c>
      <c r="J274" s="43">
        <v>3</v>
      </c>
      <c r="K274" s="43">
        <v>4</v>
      </c>
      <c r="L274" s="43" t="s">
        <v>83</v>
      </c>
      <c r="M274" s="43">
        <f>IF(L274&gt;0,INDEX(Fish!$D:$D,MATCH(L274,Fish!$L:$L,0)),"")</f>
        <v>11011</v>
      </c>
      <c r="N274" s="43">
        <v>0</v>
      </c>
      <c r="O274" s="43">
        <v>1</v>
      </c>
      <c r="P274" s="43">
        <v>2</v>
      </c>
      <c r="Q274" s="43">
        <v>3</v>
      </c>
      <c r="R274" s="43" t="s">
        <v>85</v>
      </c>
      <c r="S274" s="43">
        <f>IF(R274&gt;0,INDEX(Fish!$D:$D,MATCH(R274,Fish!$L:$L,0)),"")</f>
        <v>11012</v>
      </c>
      <c r="T274" s="43">
        <v>0</v>
      </c>
      <c r="U274" s="43">
        <v>1</v>
      </c>
      <c r="V274" s="43">
        <v>1</v>
      </c>
      <c r="W274" s="43">
        <v>2</v>
      </c>
      <c r="X274" s="43" t="s">
        <v>97</v>
      </c>
      <c r="Y274" s="43">
        <f>IF(X274&gt;0,INDEX(Fish!$D:$D,MATCH(X274,Fish!$L:$L,0)),"")</f>
        <v>11020</v>
      </c>
      <c r="Z274" s="43">
        <v>0</v>
      </c>
      <c r="AA274" s="43">
        <v>1</v>
      </c>
      <c r="AB274" s="43">
        <v>1</v>
      </c>
      <c r="AC274" s="43">
        <v>2</v>
      </c>
      <c r="AD274" s="43" t="s">
        <v>93</v>
      </c>
      <c r="AE274" s="43">
        <f>IF(AD274&gt;0,INDEX(Fish!$D:$D,MATCH(AD274,Fish!$L:$L,0)),"")</f>
        <v>11016</v>
      </c>
      <c r="AF274" s="43">
        <v>0</v>
      </c>
      <c r="AG274" s="43">
        <v>1</v>
      </c>
      <c r="AH274" s="43">
        <v>1</v>
      </c>
      <c r="AI274" s="43">
        <v>1</v>
      </c>
    </row>
    <row r="275" spans="1:35">
      <c r="A275" s="43">
        <v>44412</v>
      </c>
      <c r="B275" s="43">
        <v>4</v>
      </c>
      <c r="C275" s="43">
        <v>0</v>
      </c>
      <c r="D275" s="43">
        <v>2</v>
      </c>
      <c r="E275" s="43">
        <v>1</v>
      </c>
      <c r="F275" s="43" t="s">
        <v>75</v>
      </c>
      <c r="G275" s="43">
        <f>IF(F275&gt;0,INDEX(Fish!$D:$D,MATCH(F275,Fish!$L:$L,0)),"")</f>
        <v>11008</v>
      </c>
      <c r="H275" s="43">
        <v>0</v>
      </c>
      <c r="I275" s="43">
        <v>1</v>
      </c>
      <c r="J275" s="43">
        <v>3</v>
      </c>
      <c r="K275" s="43">
        <v>4</v>
      </c>
      <c r="L275" s="43" t="s">
        <v>81</v>
      </c>
      <c r="M275" s="43">
        <f>IF(L275&gt;0,INDEX(Fish!$D:$D,MATCH(L275,Fish!$L:$L,0)),"")</f>
        <v>11010</v>
      </c>
      <c r="N275" s="43">
        <v>0</v>
      </c>
      <c r="O275" s="43">
        <v>1</v>
      </c>
      <c r="P275" s="43">
        <v>2</v>
      </c>
      <c r="Q275" s="43">
        <v>3</v>
      </c>
      <c r="R275" s="43" t="s">
        <v>95</v>
      </c>
      <c r="S275" s="43">
        <f>IF(R275&gt;0,INDEX(Fish!$D:$D,MATCH(R275,Fish!$L:$L,0)),"")</f>
        <v>11017</v>
      </c>
      <c r="T275" s="43">
        <v>0</v>
      </c>
      <c r="U275" s="43">
        <v>1</v>
      </c>
      <c r="V275" s="43">
        <v>1</v>
      </c>
      <c r="W275" s="43">
        <v>2</v>
      </c>
      <c r="X275" s="43" t="s">
        <v>91</v>
      </c>
      <c r="Y275" s="43">
        <f>IF(X275&gt;0,INDEX(Fish!$D:$D,MATCH(X275,Fish!$L:$L,0)),"")</f>
        <v>11015</v>
      </c>
      <c r="Z275" s="43">
        <v>0</v>
      </c>
      <c r="AA275" s="43">
        <v>1</v>
      </c>
      <c r="AB275" s="43">
        <v>1</v>
      </c>
      <c r="AC275" s="43">
        <v>2</v>
      </c>
      <c r="AD275" s="43" t="s">
        <v>87</v>
      </c>
      <c r="AE275" s="43">
        <f>IF(AD275&gt;0,INDEX(Fish!$D:$D,MATCH(AD275,Fish!$L:$L,0)),"")</f>
        <v>11013</v>
      </c>
      <c r="AF275" s="43">
        <v>0</v>
      </c>
      <c r="AG275" s="43">
        <v>1</v>
      </c>
      <c r="AH275" s="43">
        <v>1</v>
      </c>
      <c r="AI275" s="43">
        <v>1</v>
      </c>
    </row>
    <row r="276" spans="1:35">
      <c r="A276" s="43">
        <v>44412</v>
      </c>
      <c r="B276" s="43">
        <v>4</v>
      </c>
      <c r="C276" s="43">
        <v>0</v>
      </c>
      <c r="D276" s="43">
        <v>2</v>
      </c>
      <c r="E276" s="43">
        <v>1</v>
      </c>
      <c r="F276" s="43" t="s">
        <v>75</v>
      </c>
      <c r="G276" s="43">
        <f>IF(F276&gt;0,INDEX(Fish!$D:$D,MATCH(F276,Fish!$L:$L,0)),"")</f>
        <v>11008</v>
      </c>
      <c r="H276" s="43">
        <v>0</v>
      </c>
      <c r="I276" s="43">
        <v>1</v>
      </c>
      <c r="J276" s="43">
        <v>3</v>
      </c>
      <c r="K276" s="43">
        <v>4</v>
      </c>
      <c r="L276" s="43" t="s">
        <v>81</v>
      </c>
      <c r="M276" s="43">
        <f>IF(L276&gt;0,INDEX(Fish!$D:$D,MATCH(L276,Fish!$L:$L,0)),"")</f>
        <v>11010</v>
      </c>
      <c r="N276" s="43">
        <v>0</v>
      </c>
      <c r="O276" s="43">
        <v>1</v>
      </c>
      <c r="P276" s="43">
        <v>2</v>
      </c>
      <c r="Q276" s="43">
        <v>3</v>
      </c>
      <c r="R276" s="43" t="s">
        <v>95</v>
      </c>
      <c r="S276" s="43">
        <f>IF(R276&gt;0,INDEX(Fish!$D:$D,MATCH(R276,Fish!$L:$L,0)),"")</f>
        <v>11017</v>
      </c>
      <c r="T276" s="43">
        <v>0</v>
      </c>
      <c r="U276" s="43">
        <v>1</v>
      </c>
      <c r="V276" s="43">
        <v>1</v>
      </c>
      <c r="W276" s="43">
        <v>2</v>
      </c>
      <c r="X276" s="43" t="s">
        <v>91</v>
      </c>
      <c r="Y276" s="43">
        <f>IF(X276&gt;0,INDEX(Fish!$D:$D,MATCH(X276,Fish!$L:$L,0)),"")</f>
        <v>11015</v>
      </c>
      <c r="Z276" s="43">
        <v>0</v>
      </c>
      <c r="AA276" s="43">
        <v>1</v>
      </c>
      <c r="AB276" s="43">
        <v>1</v>
      </c>
      <c r="AC276" s="43">
        <v>2</v>
      </c>
      <c r="AD276" s="43" t="s">
        <v>93</v>
      </c>
      <c r="AE276" s="43">
        <f>IF(AD276&gt;0,INDEX(Fish!$D:$D,MATCH(AD276,Fish!$L:$L,0)),"")</f>
        <v>11016</v>
      </c>
      <c r="AF276" s="43">
        <v>0</v>
      </c>
      <c r="AG276" s="43">
        <v>1</v>
      </c>
      <c r="AH276" s="43">
        <v>1</v>
      </c>
      <c r="AI276" s="43">
        <v>1</v>
      </c>
    </row>
    <row r="277" spans="1:35">
      <c r="A277" s="43">
        <v>44412</v>
      </c>
      <c r="B277" s="43">
        <v>4</v>
      </c>
      <c r="C277" s="43">
        <v>0</v>
      </c>
      <c r="D277" s="43">
        <v>2</v>
      </c>
      <c r="E277" s="43">
        <v>1</v>
      </c>
      <c r="F277" s="43" t="s">
        <v>75</v>
      </c>
      <c r="G277" s="43">
        <f>IF(F277&gt;0,INDEX(Fish!$D:$D,MATCH(F277,Fish!$L:$L,0)),"")</f>
        <v>11008</v>
      </c>
      <c r="H277" s="43">
        <v>0</v>
      </c>
      <c r="I277" s="43">
        <v>1</v>
      </c>
      <c r="J277" s="43">
        <v>3</v>
      </c>
      <c r="K277" s="43">
        <v>4</v>
      </c>
      <c r="L277" s="43" t="s">
        <v>81</v>
      </c>
      <c r="M277" s="43">
        <f>IF(L277&gt;0,INDEX(Fish!$D:$D,MATCH(L277,Fish!$L:$L,0)),"")</f>
        <v>11010</v>
      </c>
      <c r="N277" s="43">
        <v>0</v>
      </c>
      <c r="O277" s="43">
        <v>1</v>
      </c>
      <c r="P277" s="43">
        <v>2</v>
      </c>
      <c r="Q277" s="43">
        <v>3</v>
      </c>
      <c r="R277" s="43" t="s">
        <v>95</v>
      </c>
      <c r="S277" s="43">
        <f>IF(R277&gt;0,INDEX(Fish!$D:$D,MATCH(R277,Fish!$L:$L,0)),"")</f>
        <v>11017</v>
      </c>
      <c r="T277" s="43">
        <v>0</v>
      </c>
      <c r="U277" s="43">
        <v>1</v>
      </c>
      <c r="V277" s="43">
        <v>1</v>
      </c>
      <c r="W277" s="43">
        <v>2</v>
      </c>
      <c r="X277" s="43" t="s">
        <v>97</v>
      </c>
      <c r="Y277" s="43">
        <f>IF(X277&gt;0,INDEX(Fish!$D:$D,MATCH(X277,Fish!$L:$L,0)),"")</f>
        <v>11020</v>
      </c>
      <c r="Z277" s="43">
        <v>0</v>
      </c>
      <c r="AA277" s="43">
        <v>1</v>
      </c>
      <c r="AB277" s="43">
        <v>1</v>
      </c>
      <c r="AC277" s="43">
        <v>2</v>
      </c>
      <c r="AD277" s="43" t="s">
        <v>87</v>
      </c>
      <c r="AE277" s="43">
        <f>IF(AD277&gt;0,INDEX(Fish!$D:$D,MATCH(AD277,Fish!$L:$L,0)),"")</f>
        <v>11013</v>
      </c>
      <c r="AF277" s="43">
        <v>0</v>
      </c>
      <c r="AG277" s="43">
        <v>1</v>
      </c>
      <c r="AH277" s="43">
        <v>1</v>
      </c>
      <c r="AI277" s="43">
        <v>1</v>
      </c>
    </row>
    <row r="278" spans="1:35">
      <c r="A278" s="43">
        <v>44412</v>
      </c>
      <c r="B278" s="43">
        <v>4</v>
      </c>
      <c r="C278" s="43">
        <v>0</v>
      </c>
      <c r="D278" s="43">
        <v>2</v>
      </c>
      <c r="E278" s="43">
        <v>1</v>
      </c>
      <c r="F278" s="43" t="s">
        <v>75</v>
      </c>
      <c r="G278" s="43">
        <f>IF(F278&gt;0,INDEX(Fish!$D:$D,MATCH(F278,Fish!$L:$L,0)),"")</f>
        <v>11008</v>
      </c>
      <c r="H278" s="43">
        <v>0</v>
      </c>
      <c r="I278" s="43">
        <v>1</v>
      </c>
      <c r="J278" s="43">
        <v>3</v>
      </c>
      <c r="K278" s="43">
        <v>4</v>
      </c>
      <c r="L278" s="43" t="s">
        <v>81</v>
      </c>
      <c r="M278" s="43">
        <f>IF(L278&gt;0,INDEX(Fish!$D:$D,MATCH(L278,Fish!$L:$L,0)),"")</f>
        <v>11010</v>
      </c>
      <c r="N278" s="43">
        <v>0</v>
      </c>
      <c r="O278" s="43">
        <v>1</v>
      </c>
      <c r="P278" s="43">
        <v>2</v>
      </c>
      <c r="Q278" s="43">
        <v>3</v>
      </c>
      <c r="R278" s="43" t="s">
        <v>95</v>
      </c>
      <c r="S278" s="43">
        <f>IF(R278&gt;0,INDEX(Fish!$D:$D,MATCH(R278,Fish!$L:$L,0)),"")</f>
        <v>11017</v>
      </c>
      <c r="T278" s="43">
        <v>0</v>
      </c>
      <c r="U278" s="43">
        <v>1</v>
      </c>
      <c r="V278" s="43">
        <v>1</v>
      </c>
      <c r="W278" s="43">
        <v>2</v>
      </c>
      <c r="X278" s="43" t="s">
        <v>97</v>
      </c>
      <c r="Y278" s="43">
        <f>IF(X278&gt;0,INDEX(Fish!$D:$D,MATCH(X278,Fish!$L:$L,0)),"")</f>
        <v>11020</v>
      </c>
      <c r="Z278" s="43">
        <v>0</v>
      </c>
      <c r="AA278" s="43">
        <v>1</v>
      </c>
      <c r="AB278" s="43">
        <v>1</v>
      </c>
      <c r="AC278" s="43">
        <v>2</v>
      </c>
      <c r="AD278" s="43" t="s">
        <v>93</v>
      </c>
      <c r="AE278" s="43">
        <f>IF(AD278&gt;0,INDEX(Fish!$D:$D,MATCH(AD278,Fish!$L:$L,0)),"")</f>
        <v>11016</v>
      </c>
      <c r="AF278" s="43">
        <v>0</v>
      </c>
      <c r="AG278" s="43">
        <v>1</v>
      </c>
      <c r="AH278" s="43">
        <v>1</v>
      </c>
      <c r="AI278" s="43">
        <v>1</v>
      </c>
    </row>
    <row r="279" spans="1:35">
      <c r="A279" s="43">
        <v>44412</v>
      </c>
      <c r="B279" s="43">
        <v>4</v>
      </c>
      <c r="C279" s="43">
        <v>0</v>
      </c>
      <c r="D279" s="43">
        <v>2</v>
      </c>
      <c r="E279" s="43">
        <v>1</v>
      </c>
      <c r="F279" s="43" t="s">
        <v>75</v>
      </c>
      <c r="G279" s="43">
        <f>IF(F279&gt;0,INDEX(Fish!$D:$D,MATCH(F279,Fish!$L:$L,0)),"")</f>
        <v>11008</v>
      </c>
      <c r="H279" s="43">
        <v>0</v>
      </c>
      <c r="I279" s="43">
        <v>1</v>
      </c>
      <c r="J279" s="43">
        <v>3</v>
      </c>
      <c r="K279" s="43">
        <v>4</v>
      </c>
      <c r="L279" s="43" t="s">
        <v>81</v>
      </c>
      <c r="M279" s="43">
        <f>IF(L279&gt;0,INDEX(Fish!$D:$D,MATCH(L279,Fish!$L:$L,0)),"")</f>
        <v>11010</v>
      </c>
      <c r="N279" s="43">
        <v>0</v>
      </c>
      <c r="O279" s="43">
        <v>1</v>
      </c>
      <c r="P279" s="43">
        <v>2</v>
      </c>
      <c r="Q279" s="43">
        <v>3</v>
      </c>
      <c r="R279" s="43" t="s">
        <v>85</v>
      </c>
      <c r="S279" s="43">
        <f>IF(R279&gt;0,INDEX(Fish!$D:$D,MATCH(R279,Fish!$L:$L,0)),"")</f>
        <v>11012</v>
      </c>
      <c r="T279" s="43">
        <v>0</v>
      </c>
      <c r="U279" s="43">
        <v>1</v>
      </c>
      <c r="V279" s="43">
        <v>1</v>
      </c>
      <c r="W279" s="43">
        <v>2</v>
      </c>
      <c r="X279" s="43" t="s">
        <v>91</v>
      </c>
      <c r="Y279" s="43">
        <f>IF(X279&gt;0,INDEX(Fish!$D:$D,MATCH(X279,Fish!$L:$L,0)),"")</f>
        <v>11015</v>
      </c>
      <c r="Z279" s="43">
        <v>0</v>
      </c>
      <c r="AA279" s="43">
        <v>1</v>
      </c>
      <c r="AB279" s="43">
        <v>1</v>
      </c>
      <c r="AC279" s="43">
        <v>2</v>
      </c>
      <c r="AD279" s="43" t="s">
        <v>87</v>
      </c>
      <c r="AE279" s="43">
        <f>IF(AD279&gt;0,INDEX(Fish!$D:$D,MATCH(AD279,Fish!$L:$L,0)),"")</f>
        <v>11013</v>
      </c>
      <c r="AF279" s="43">
        <v>0</v>
      </c>
      <c r="AG279" s="43">
        <v>1</v>
      </c>
      <c r="AH279" s="43">
        <v>1</v>
      </c>
      <c r="AI279" s="43">
        <v>1</v>
      </c>
    </row>
    <row r="280" spans="1:35">
      <c r="A280" s="43">
        <v>44412</v>
      </c>
      <c r="B280" s="43">
        <v>4</v>
      </c>
      <c r="C280" s="43">
        <v>0</v>
      </c>
      <c r="D280" s="43">
        <v>2</v>
      </c>
      <c r="E280" s="43">
        <v>1</v>
      </c>
      <c r="F280" s="43" t="s">
        <v>75</v>
      </c>
      <c r="G280" s="43">
        <f>IF(F280&gt;0,INDEX(Fish!$D:$D,MATCH(F280,Fish!$L:$L,0)),"")</f>
        <v>11008</v>
      </c>
      <c r="H280" s="43">
        <v>0</v>
      </c>
      <c r="I280" s="43">
        <v>1</v>
      </c>
      <c r="J280" s="43">
        <v>3</v>
      </c>
      <c r="K280" s="43">
        <v>4</v>
      </c>
      <c r="L280" s="43" t="s">
        <v>81</v>
      </c>
      <c r="M280" s="43">
        <f>IF(L280&gt;0,INDEX(Fish!$D:$D,MATCH(L280,Fish!$L:$L,0)),"")</f>
        <v>11010</v>
      </c>
      <c r="N280" s="43">
        <v>0</v>
      </c>
      <c r="O280" s="43">
        <v>1</v>
      </c>
      <c r="P280" s="43">
        <v>2</v>
      </c>
      <c r="Q280" s="43">
        <v>3</v>
      </c>
      <c r="R280" s="43" t="s">
        <v>85</v>
      </c>
      <c r="S280" s="43">
        <f>IF(R280&gt;0,INDEX(Fish!$D:$D,MATCH(R280,Fish!$L:$L,0)),"")</f>
        <v>11012</v>
      </c>
      <c r="T280" s="43">
        <v>0</v>
      </c>
      <c r="U280" s="43">
        <v>1</v>
      </c>
      <c r="V280" s="43">
        <v>1</v>
      </c>
      <c r="W280" s="43">
        <v>2</v>
      </c>
      <c r="X280" s="43" t="s">
        <v>91</v>
      </c>
      <c r="Y280" s="43">
        <f>IF(X280&gt;0,INDEX(Fish!$D:$D,MATCH(X280,Fish!$L:$L,0)),"")</f>
        <v>11015</v>
      </c>
      <c r="Z280" s="43">
        <v>0</v>
      </c>
      <c r="AA280" s="43">
        <v>1</v>
      </c>
      <c r="AB280" s="43">
        <v>1</v>
      </c>
      <c r="AC280" s="43">
        <v>2</v>
      </c>
      <c r="AD280" s="43" t="s">
        <v>93</v>
      </c>
      <c r="AE280" s="43">
        <f>IF(AD280&gt;0,INDEX(Fish!$D:$D,MATCH(AD280,Fish!$L:$L,0)),"")</f>
        <v>11016</v>
      </c>
      <c r="AF280" s="43">
        <v>0</v>
      </c>
      <c r="AG280" s="43">
        <v>1</v>
      </c>
      <c r="AH280" s="43">
        <v>1</v>
      </c>
      <c r="AI280" s="43">
        <v>1</v>
      </c>
    </row>
    <row r="281" spans="1:35">
      <c r="A281" s="43">
        <v>44412</v>
      </c>
      <c r="B281" s="43">
        <v>4</v>
      </c>
      <c r="C281" s="43">
        <v>0</v>
      </c>
      <c r="D281" s="43">
        <v>2</v>
      </c>
      <c r="E281" s="43">
        <v>1</v>
      </c>
      <c r="F281" s="43" t="s">
        <v>75</v>
      </c>
      <c r="G281" s="43">
        <f>IF(F281&gt;0,INDEX(Fish!$D:$D,MATCH(F281,Fish!$L:$L,0)),"")</f>
        <v>11008</v>
      </c>
      <c r="H281" s="43">
        <v>0</v>
      </c>
      <c r="I281" s="43">
        <v>1</v>
      </c>
      <c r="J281" s="43">
        <v>3</v>
      </c>
      <c r="K281" s="43">
        <v>4</v>
      </c>
      <c r="L281" s="43" t="s">
        <v>81</v>
      </c>
      <c r="M281" s="43">
        <f>IF(L281&gt;0,INDEX(Fish!$D:$D,MATCH(L281,Fish!$L:$L,0)),"")</f>
        <v>11010</v>
      </c>
      <c r="N281" s="43">
        <v>0</v>
      </c>
      <c r="O281" s="43">
        <v>1</v>
      </c>
      <c r="P281" s="43">
        <v>2</v>
      </c>
      <c r="Q281" s="43">
        <v>3</v>
      </c>
      <c r="R281" s="43" t="s">
        <v>85</v>
      </c>
      <c r="S281" s="43">
        <f>IF(R281&gt;0,INDEX(Fish!$D:$D,MATCH(R281,Fish!$L:$L,0)),"")</f>
        <v>11012</v>
      </c>
      <c r="T281" s="43">
        <v>0</v>
      </c>
      <c r="U281" s="43">
        <v>1</v>
      </c>
      <c r="V281" s="43">
        <v>1</v>
      </c>
      <c r="W281" s="43">
        <v>2</v>
      </c>
      <c r="X281" s="43" t="s">
        <v>97</v>
      </c>
      <c r="Y281" s="43">
        <f>IF(X281&gt;0,INDEX(Fish!$D:$D,MATCH(X281,Fish!$L:$L,0)),"")</f>
        <v>11020</v>
      </c>
      <c r="Z281" s="43">
        <v>0</v>
      </c>
      <c r="AA281" s="43">
        <v>1</v>
      </c>
      <c r="AB281" s="43">
        <v>1</v>
      </c>
      <c r="AC281" s="43">
        <v>2</v>
      </c>
      <c r="AD281" s="43" t="s">
        <v>87</v>
      </c>
      <c r="AE281" s="43">
        <f>IF(AD281&gt;0,INDEX(Fish!$D:$D,MATCH(AD281,Fish!$L:$L,0)),"")</f>
        <v>11013</v>
      </c>
      <c r="AF281" s="43">
        <v>0</v>
      </c>
      <c r="AG281" s="43">
        <v>1</v>
      </c>
      <c r="AH281" s="43">
        <v>1</v>
      </c>
      <c r="AI281" s="43">
        <v>1</v>
      </c>
    </row>
    <row r="282" spans="1:35">
      <c r="A282" s="43">
        <v>44412</v>
      </c>
      <c r="B282" s="43">
        <v>4</v>
      </c>
      <c r="C282" s="43">
        <v>0</v>
      </c>
      <c r="D282" s="43">
        <v>2</v>
      </c>
      <c r="E282" s="43">
        <v>1</v>
      </c>
      <c r="F282" s="43" t="s">
        <v>75</v>
      </c>
      <c r="G282" s="43">
        <f>IF(F282&gt;0,INDEX(Fish!$D:$D,MATCH(F282,Fish!$L:$L,0)),"")</f>
        <v>11008</v>
      </c>
      <c r="H282" s="43">
        <v>0</v>
      </c>
      <c r="I282" s="43">
        <v>1</v>
      </c>
      <c r="J282" s="43">
        <v>3</v>
      </c>
      <c r="K282" s="43">
        <v>4</v>
      </c>
      <c r="L282" s="43" t="s">
        <v>81</v>
      </c>
      <c r="M282" s="43">
        <f>IF(L282&gt;0,INDEX(Fish!$D:$D,MATCH(L282,Fish!$L:$L,0)),"")</f>
        <v>11010</v>
      </c>
      <c r="N282" s="43">
        <v>0</v>
      </c>
      <c r="O282" s="43">
        <v>1</v>
      </c>
      <c r="P282" s="43">
        <v>2</v>
      </c>
      <c r="Q282" s="43">
        <v>3</v>
      </c>
      <c r="R282" s="43" t="s">
        <v>85</v>
      </c>
      <c r="S282" s="43">
        <f>IF(R282&gt;0,INDEX(Fish!$D:$D,MATCH(R282,Fish!$L:$L,0)),"")</f>
        <v>11012</v>
      </c>
      <c r="T282" s="43">
        <v>0</v>
      </c>
      <c r="U282" s="43">
        <v>1</v>
      </c>
      <c r="V282" s="43">
        <v>1</v>
      </c>
      <c r="W282" s="43">
        <v>2</v>
      </c>
      <c r="X282" s="43" t="s">
        <v>97</v>
      </c>
      <c r="Y282" s="43">
        <f>IF(X282&gt;0,INDEX(Fish!$D:$D,MATCH(X282,Fish!$L:$L,0)),"")</f>
        <v>11020</v>
      </c>
      <c r="Z282" s="43">
        <v>0</v>
      </c>
      <c r="AA282" s="43">
        <v>1</v>
      </c>
      <c r="AB282" s="43">
        <v>1</v>
      </c>
      <c r="AC282" s="43">
        <v>2</v>
      </c>
      <c r="AD282" s="43" t="s">
        <v>93</v>
      </c>
      <c r="AE282" s="43">
        <f>IF(AD282&gt;0,INDEX(Fish!$D:$D,MATCH(AD282,Fish!$L:$L,0)),"")</f>
        <v>11016</v>
      </c>
      <c r="AF282" s="43">
        <v>0</v>
      </c>
      <c r="AG282" s="43">
        <v>1</v>
      </c>
      <c r="AH282" s="43">
        <v>1</v>
      </c>
      <c r="AI282" s="43">
        <v>1</v>
      </c>
    </row>
    <row r="283" spans="1:35">
      <c r="A283" s="43">
        <v>44412</v>
      </c>
      <c r="B283" s="43">
        <v>4</v>
      </c>
      <c r="C283" s="43">
        <v>0</v>
      </c>
      <c r="D283" s="43">
        <v>2</v>
      </c>
      <c r="E283" s="43">
        <v>1</v>
      </c>
      <c r="F283" s="43" t="s">
        <v>77</v>
      </c>
      <c r="G283" s="43">
        <f>IF(F283&gt;0,INDEX(Fish!$D:$D,MATCH(F283,Fish!$L:$L,0)),"")</f>
        <v>11009</v>
      </c>
      <c r="H283" s="43">
        <v>0</v>
      </c>
      <c r="I283" s="43">
        <v>1</v>
      </c>
      <c r="J283" s="43">
        <v>3</v>
      </c>
      <c r="K283" s="43">
        <v>4</v>
      </c>
      <c r="L283" s="43" t="s">
        <v>83</v>
      </c>
      <c r="M283" s="43">
        <f>IF(L283&gt;0,INDEX(Fish!$D:$D,MATCH(L283,Fish!$L:$L,0)),"")</f>
        <v>11011</v>
      </c>
      <c r="N283" s="43">
        <v>0</v>
      </c>
      <c r="O283" s="43">
        <v>1</v>
      </c>
      <c r="P283" s="43">
        <v>2</v>
      </c>
      <c r="Q283" s="43">
        <v>3</v>
      </c>
      <c r="R283" s="43" t="s">
        <v>95</v>
      </c>
      <c r="S283" s="43">
        <f>IF(R283&gt;0,INDEX(Fish!$D:$D,MATCH(R283,Fish!$L:$L,0)),"")</f>
        <v>11017</v>
      </c>
      <c r="T283" s="43">
        <v>0</v>
      </c>
      <c r="U283" s="43">
        <v>1</v>
      </c>
      <c r="V283" s="43">
        <v>1</v>
      </c>
      <c r="W283" s="43">
        <v>2</v>
      </c>
      <c r="X283" s="43" t="s">
        <v>91</v>
      </c>
      <c r="Y283" s="43">
        <f>IF(X283&gt;0,INDEX(Fish!$D:$D,MATCH(X283,Fish!$L:$L,0)),"")</f>
        <v>11015</v>
      </c>
      <c r="Z283" s="43">
        <v>0</v>
      </c>
      <c r="AA283" s="43">
        <v>1</v>
      </c>
      <c r="AB283" s="43">
        <v>1</v>
      </c>
      <c r="AC283" s="43">
        <v>2</v>
      </c>
      <c r="AD283" s="43" t="s">
        <v>87</v>
      </c>
      <c r="AE283" s="43">
        <f>IF(AD283&gt;0,INDEX(Fish!$D:$D,MATCH(AD283,Fish!$L:$L,0)),"")</f>
        <v>11013</v>
      </c>
      <c r="AF283" s="43">
        <v>0</v>
      </c>
      <c r="AG283" s="43">
        <v>1</v>
      </c>
      <c r="AH283" s="43">
        <v>1</v>
      </c>
      <c r="AI283" s="43">
        <v>1</v>
      </c>
    </row>
    <row r="284" spans="1:35">
      <c r="A284" s="43">
        <v>44412</v>
      </c>
      <c r="B284" s="43">
        <v>4</v>
      </c>
      <c r="C284" s="43">
        <v>0</v>
      </c>
      <c r="D284" s="43">
        <v>2</v>
      </c>
      <c r="E284" s="43">
        <v>1</v>
      </c>
      <c r="F284" s="43" t="s">
        <v>77</v>
      </c>
      <c r="G284" s="43">
        <f>IF(F284&gt;0,INDEX(Fish!$D:$D,MATCH(F284,Fish!$L:$L,0)),"")</f>
        <v>11009</v>
      </c>
      <c r="H284" s="43">
        <v>0</v>
      </c>
      <c r="I284" s="43">
        <v>1</v>
      </c>
      <c r="J284" s="43">
        <v>3</v>
      </c>
      <c r="K284" s="43">
        <v>4</v>
      </c>
      <c r="L284" s="43" t="s">
        <v>83</v>
      </c>
      <c r="M284" s="43">
        <f>IF(L284&gt;0,INDEX(Fish!$D:$D,MATCH(L284,Fish!$L:$L,0)),"")</f>
        <v>11011</v>
      </c>
      <c r="N284" s="43">
        <v>0</v>
      </c>
      <c r="O284" s="43">
        <v>1</v>
      </c>
      <c r="P284" s="43">
        <v>2</v>
      </c>
      <c r="Q284" s="43">
        <v>3</v>
      </c>
      <c r="R284" s="43" t="s">
        <v>95</v>
      </c>
      <c r="S284" s="43">
        <f>IF(R284&gt;0,INDEX(Fish!$D:$D,MATCH(R284,Fish!$L:$L,0)),"")</f>
        <v>11017</v>
      </c>
      <c r="T284" s="43">
        <v>0</v>
      </c>
      <c r="U284" s="43">
        <v>1</v>
      </c>
      <c r="V284" s="43">
        <v>1</v>
      </c>
      <c r="W284" s="43">
        <v>2</v>
      </c>
      <c r="X284" s="43" t="s">
        <v>91</v>
      </c>
      <c r="Y284" s="43">
        <f>IF(X284&gt;0,INDEX(Fish!$D:$D,MATCH(X284,Fish!$L:$L,0)),"")</f>
        <v>11015</v>
      </c>
      <c r="Z284" s="43">
        <v>0</v>
      </c>
      <c r="AA284" s="43">
        <v>1</v>
      </c>
      <c r="AB284" s="43">
        <v>1</v>
      </c>
      <c r="AC284" s="43">
        <v>2</v>
      </c>
      <c r="AD284" s="43" t="s">
        <v>93</v>
      </c>
      <c r="AE284" s="43">
        <f>IF(AD284&gt;0,INDEX(Fish!$D:$D,MATCH(AD284,Fish!$L:$L,0)),"")</f>
        <v>11016</v>
      </c>
      <c r="AF284" s="43">
        <v>0</v>
      </c>
      <c r="AG284" s="43">
        <v>1</v>
      </c>
      <c r="AH284" s="43">
        <v>1</v>
      </c>
      <c r="AI284" s="43">
        <v>1</v>
      </c>
    </row>
    <row r="285" spans="1:35">
      <c r="A285" s="43">
        <v>44412</v>
      </c>
      <c r="B285" s="43">
        <v>4</v>
      </c>
      <c r="C285" s="43">
        <v>0</v>
      </c>
      <c r="D285" s="43">
        <v>2</v>
      </c>
      <c r="E285" s="43">
        <v>1</v>
      </c>
      <c r="F285" s="43" t="s">
        <v>77</v>
      </c>
      <c r="G285" s="43">
        <f>IF(F285&gt;0,INDEX(Fish!$D:$D,MATCH(F285,Fish!$L:$L,0)),"")</f>
        <v>11009</v>
      </c>
      <c r="H285" s="43">
        <v>0</v>
      </c>
      <c r="I285" s="43">
        <v>1</v>
      </c>
      <c r="J285" s="43">
        <v>3</v>
      </c>
      <c r="K285" s="43">
        <v>4</v>
      </c>
      <c r="L285" s="43" t="s">
        <v>83</v>
      </c>
      <c r="M285" s="43">
        <f>IF(L285&gt;0,INDEX(Fish!$D:$D,MATCH(L285,Fish!$L:$L,0)),"")</f>
        <v>11011</v>
      </c>
      <c r="N285" s="43">
        <v>0</v>
      </c>
      <c r="O285" s="43">
        <v>1</v>
      </c>
      <c r="P285" s="43">
        <v>2</v>
      </c>
      <c r="Q285" s="43">
        <v>3</v>
      </c>
      <c r="R285" s="43" t="s">
        <v>95</v>
      </c>
      <c r="S285" s="43">
        <f>IF(R285&gt;0,INDEX(Fish!$D:$D,MATCH(R285,Fish!$L:$L,0)),"")</f>
        <v>11017</v>
      </c>
      <c r="T285" s="43">
        <v>0</v>
      </c>
      <c r="U285" s="43">
        <v>1</v>
      </c>
      <c r="V285" s="43">
        <v>1</v>
      </c>
      <c r="W285" s="43">
        <v>2</v>
      </c>
      <c r="X285" s="43" t="s">
        <v>97</v>
      </c>
      <c r="Y285" s="43">
        <f>IF(X285&gt;0,INDEX(Fish!$D:$D,MATCH(X285,Fish!$L:$L,0)),"")</f>
        <v>11020</v>
      </c>
      <c r="Z285" s="43">
        <v>0</v>
      </c>
      <c r="AA285" s="43">
        <v>1</v>
      </c>
      <c r="AB285" s="43">
        <v>1</v>
      </c>
      <c r="AC285" s="43">
        <v>2</v>
      </c>
      <c r="AD285" s="43" t="s">
        <v>87</v>
      </c>
      <c r="AE285" s="43">
        <f>IF(AD285&gt;0,INDEX(Fish!$D:$D,MATCH(AD285,Fish!$L:$L,0)),"")</f>
        <v>11013</v>
      </c>
      <c r="AF285" s="43">
        <v>0</v>
      </c>
      <c r="AG285" s="43">
        <v>1</v>
      </c>
      <c r="AH285" s="43">
        <v>1</v>
      </c>
      <c r="AI285" s="43">
        <v>1</v>
      </c>
    </row>
    <row r="286" spans="1:35">
      <c r="A286" s="43">
        <v>44412</v>
      </c>
      <c r="B286" s="43">
        <v>4</v>
      </c>
      <c r="C286" s="43">
        <v>0</v>
      </c>
      <c r="D286" s="43">
        <v>2</v>
      </c>
      <c r="E286" s="43">
        <v>1</v>
      </c>
      <c r="F286" s="43" t="s">
        <v>77</v>
      </c>
      <c r="G286" s="43">
        <f>IF(F286&gt;0,INDEX(Fish!$D:$D,MATCH(F286,Fish!$L:$L,0)),"")</f>
        <v>11009</v>
      </c>
      <c r="H286" s="43">
        <v>0</v>
      </c>
      <c r="I286" s="43">
        <v>1</v>
      </c>
      <c r="J286" s="43">
        <v>3</v>
      </c>
      <c r="K286" s="43">
        <v>4</v>
      </c>
      <c r="L286" s="43" t="s">
        <v>83</v>
      </c>
      <c r="M286" s="43">
        <f>IF(L286&gt;0,INDEX(Fish!$D:$D,MATCH(L286,Fish!$L:$L,0)),"")</f>
        <v>11011</v>
      </c>
      <c r="N286" s="43">
        <v>0</v>
      </c>
      <c r="O286" s="43">
        <v>1</v>
      </c>
      <c r="P286" s="43">
        <v>2</v>
      </c>
      <c r="Q286" s="43">
        <v>3</v>
      </c>
      <c r="R286" s="43" t="s">
        <v>95</v>
      </c>
      <c r="S286" s="43">
        <f>IF(R286&gt;0,INDEX(Fish!$D:$D,MATCH(R286,Fish!$L:$L,0)),"")</f>
        <v>11017</v>
      </c>
      <c r="T286" s="43">
        <v>0</v>
      </c>
      <c r="U286" s="43">
        <v>1</v>
      </c>
      <c r="V286" s="43">
        <v>1</v>
      </c>
      <c r="W286" s="43">
        <v>2</v>
      </c>
      <c r="X286" s="43" t="s">
        <v>97</v>
      </c>
      <c r="Y286" s="43">
        <f>IF(X286&gt;0,INDEX(Fish!$D:$D,MATCH(X286,Fish!$L:$L,0)),"")</f>
        <v>11020</v>
      </c>
      <c r="Z286" s="43">
        <v>0</v>
      </c>
      <c r="AA286" s="43">
        <v>1</v>
      </c>
      <c r="AB286" s="43">
        <v>1</v>
      </c>
      <c r="AC286" s="43">
        <v>2</v>
      </c>
      <c r="AD286" s="43" t="s">
        <v>93</v>
      </c>
      <c r="AE286" s="43">
        <f>IF(AD286&gt;0,INDEX(Fish!$D:$D,MATCH(AD286,Fish!$L:$L,0)),"")</f>
        <v>11016</v>
      </c>
      <c r="AF286" s="43">
        <v>0</v>
      </c>
      <c r="AG286" s="43">
        <v>1</v>
      </c>
      <c r="AH286" s="43">
        <v>1</v>
      </c>
      <c r="AI286" s="43">
        <v>1</v>
      </c>
    </row>
    <row r="287" spans="1:35">
      <c r="A287" s="43">
        <v>44412</v>
      </c>
      <c r="B287" s="43">
        <v>4</v>
      </c>
      <c r="C287" s="43">
        <v>0</v>
      </c>
      <c r="D287" s="43">
        <v>2</v>
      </c>
      <c r="E287" s="43">
        <v>1</v>
      </c>
      <c r="F287" s="43" t="s">
        <v>77</v>
      </c>
      <c r="G287" s="43">
        <f>IF(F287&gt;0,INDEX(Fish!$D:$D,MATCH(F287,Fish!$L:$L,0)),"")</f>
        <v>11009</v>
      </c>
      <c r="H287" s="43">
        <v>0</v>
      </c>
      <c r="I287" s="43">
        <v>1</v>
      </c>
      <c r="J287" s="43">
        <v>3</v>
      </c>
      <c r="K287" s="43">
        <v>4</v>
      </c>
      <c r="L287" s="43" t="s">
        <v>83</v>
      </c>
      <c r="M287" s="43">
        <f>IF(L287&gt;0,INDEX(Fish!$D:$D,MATCH(L287,Fish!$L:$L,0)),"")</f>
        <v>11011</v>
      </c>
      <c r="N287" s="43">
        <v>0</v>
      </c>
      <c r="O287" s="43">
        <v>1</v>
      </c>
      <c r="P287" s="43">
        <v>2</v>
      </c>
      <c r="Q287" s="43">
        <v>3</v>
      </c>
      <c r="R287" s="43" t="s">
        <v>85</v>
      </c>
      <c r="S287" s="43">
        <f>IF(R287&gt;0,INDEX(Fish!$D:$D,MATCH(R287,Fish!$L:$L,0)),"")</f>
        <v>11012</v>
      </c>
      <c r="T287" s="43">
        <v>0</v>
      </c>
      <c r="U287" s="43">
        <v>1</v>
      </c>
      <c r="V287" s="43">
        <v>1</v>
      </c>
      <c r="W287" s="43">
        <v>2</v>
      </c>
      <c r="X287" s="43" t="s">
        <v>91</v>
      </c>
      <c r="Y287" s="43">
        <f>IF(X287&gt;0,INDEX(Fish!$D:$D,MATCH(X287,Fish!$L:$L,0)),"")</f>
        <v>11015</v>
      </c>
      <c r="Z287" s="43">
        <v>0</v>
      </c>
      <c r="AA287" s="43">
        <v>1</v>
      </c>
      <c r="AB287" s="43">
        <v>1</v>
      </c>
      <c r="AC287" s="43">
        <v>2</v>
      </c>
      <c r="AD287" s="43" t="s">
        <v>87</v>
      </c>
      <c r="AE287" s="43">
        <f>IF(AD287&gt;0,INDEX(Fish!$D:$D,MATCH(AD287,Fish!$L:$L,0)),"")</f>
        <v>11013</v>
      </c>
      <c r="AF287" s="43">
        <v>0</v>
      </c>
      <c r="AG287" s="43">
        <v>1</v>
      </c>
      <c r="AH287" s="43">
        <v>1</v>
      </c>
      <c r="AI287" s="43">
        <v>1</v>
      </c>
    </row>
    <row r="288" spans="1:35">
      <c r="A288" s="43">
        <v>44412</v>
      </c>
      <c r="B288" s="43">
        <v>4</v>
      </c>
      <c r="C288" s="43">
        <v>0</v>
      </c>
      <c r="D288" s="43">
        <v>2</v>
      </c>
      <c r="E288" s="43">
        <v>1</v>
      </c>
      <c r="F288" s="43" t="s">
        <v>77</v>
      </c>
      <c r="G288" s="43">
        <f>IF(F288&gt;0,INDEX(Fish!$D:$D,MATCH(F288,Fish!$L:$L,0)),"")</f>
        <v>11009</v>
      </c>
      <c r="H288" s="43">
        <v>0</v>
      </c>
      <c r="I288" s="43">
        <v>1</v>
      </c>
      <c r="J288" s="43">
        <v>3</v>
      </c>
      <c r="K288" s="43">
        <v>4</v>
      </c>
      <c r="L288" s="43" t="s">
        <v>83</v>
      </c>
      <c r="M288" s="43">
        <f>IF(L288&gt;0,INDEX(Fish!$D:$D,MATCH(L288,Fish!$L:$L,0)),"")</f>
        <v>11011</v>
      </c>
      <c r="N288" s="43">
        <v>0</v>
      </c>
      <c r="O288" s="43">
        <v>1</v>
      </c>
      <c r="P288" s="43">
        <v>2</v>
      </c>
      <c r="Q288" s="43">
        <v>3</v>
      </c>
      <c r="R288" s="43" t="s">
        <v>85</v>
      </c>
      <c r="S288" s="43">
        <f>IF(R288&gt;0,INDEX(Fish!$D:$D,MATCH(R288,Fish!$L:$L,0)),"")</f>
        <v>11012</v>
      </c>
      <c r="T288" s="43">
        <v>0</v>
      </c>
      <c r="U288" s="43">
        <v>1</v>
      </c>
      <c r="V288" s="43">
        <v>1</v>
      </c>
      <c r="W288" s="43">
        <v>2</v>
      </c>
      <c r="X288" s="43" t="s">
        <v>91</v>
      </c>
      <c r="Y288" s="43">
        <f>IF(X288&gt;0,INDEX(Fish!$D:$D,MATCH(X288,Fish!$L:$L,0)),"")</f>
        <v>11015</v>
      </c>
      <c r="Z288" s="43">
        <v>0</v>
      </c>
      <c r="AA288" s="43">
        <v>1</v>
      </c>
      <c r="AB288" s="43">
        <v>1</v>
      </c>
      <c r="AC288" s="43">
        <v>2</v>
      </c>
      <c r="AD288" s="43" t="s">
        <v>93</v>
      </c>
      <c r="AE288" s="43">
        <f>IF(AD288&gt;0,INDEX(Fish!$D:$D,MATCH(AD288,Fish!$L:$L,0)),"")</f>
        <v>11016</v>
      </c>
      <c r="AF288" s="43">
        <v>0</v>
      </c>
      <c r="AG288" s="43">
        <v>1</v>
      </c>
      <c r="AH288" s="43">
        <v>1</v>
      </c>
      <c r="AI288" s="43">
        <v>1</v>
      </c>
    </row>
    <row r="289" spans="1:35">
      <c r="A289" s="43">
        <v>44412</v>
      </c>
      <c r="B289" s="43">
        <v>4</v>
      </c>
      <c r="C289" s="43">
        <v>0</v>
      </c>
      <c r="D289" s="43">
        <v>2</v>
      </c>
      <c r="E289" s="43">
        <v>1</v>
      </c>
      <c r="F289" s="43" t="s">
        <v>77</v>
      </c>
      <c r="G289" s="43">
        <f>IF(F289&gt;0,INDEX(Fish!$D:$D,MATCH(F289,Fish!$L:$L,0)),"")</f>
        <v>11009</v>
      </c>
      <c r="H289" s="43">
        <v>0</v>
      </c>
      <c r="I289" s="43">
        <v>1</v>
      </c>
      <c r="J289" s="43">
        <v>3</v>
      </c>
      <c r="K289" s="43">
        <v>4</v>
      </c>
      <c r="L289" s="43" t="s">
        <v>83</v>
      </c>
      <c r="M289" s="43">
        <f>IF(L289&gt;0,INDEX(Fish!$D:$D,MATCH(L289,Fish!$L:$L,0)),"")</f>
        <v>11011</v>
      </c>
      <c r="N289" s="43">
        <v>0</v>
      </c>
      <c r="O289" s="43">
        <v>1</v>
      </c>
      <c r="P289" s="43">
        <v>2</v>
      </c>
      <c r="Q289" s="43">
        <v>3</v>
      </c>
      <c r="R289" s="43" t="s">
        <v>85</v>
      </c>
      <c r="S289" s="43">
        <f>IF(R289&gt;0,INDEX(Fish!$D:$D,MATCH(R289,Fish!$L:$L,0)),"")</f>
        <v>11012</v>
      </c>
      <c r="T289" s="43">
        <v>0</v>
      </c>
      <c r="U289" s="43">
        <v>1</v>
      </c>
      <c r="V289" s="43">
        <v>1</v>
      </c>
      <c r="W289" s="43">
        <v>2</v>
      </c>
      <c r="X289" s="43" t="s">
        <v>97</v>
      </c>
      <c r="Y289" s="43">
        <f>IF(X289&gt;0,INDEX(Fish!$D:$D,MATCH(X289,Fish!$L:$L,0)),"")</f>
        <v>11020</v>
      </c>
      <c r="Z289" s="43">
        <v>0</v>
      </c>
      <c r="AA289" s="43">
        <v>1</v>
      </c>
      <c r="AB289" s="43">
        <v>1</v>
      </c>
      <c r="AC289" s="43">
        <v>2</v>
      </c>
      <c r="AD289" s="43" t="s">
        <v>87</v>
      </c>
      <c r="AE289" s="43">
        <f>IF(AD289&gt;0,INDEX(Fish!$D:$D,MATCH(AD289,Fish!$L:$L,0)),"")</f>
        <v>11013</v>
      </c>
      <c r="AF289" s="43">
        <v>0</v>
      </c>
      <c r="AG289" s="43">
        <v>1</v>
      </c>
      <c r="AH289" s="43">
        <v>1</v>
      </c>
      <c r="AI289" s="43">
        <v>1</v>
      </c>
    </row>
    <row r="290" spans="1:35">
      <c r="A290" s="43">
        <v>44412</v>
      </c>
      <c r="B290" s="43">
        <v>4</v>
      </c>
      <c r="C290" s="43">
        <v>0</v>
      </c>
      <c r="D290" s="43">
        <v>2</v>
      </c>
      <c r="E290" s="43">
        <v>1</v>
      </c>
      <c r="F290" s="43" t="s">
        <v>77</v>
      </c>
      <c r="G290" s="43">
        <f>IF(F290&gt;0,INDEX(Fish!$D:$D,MATCH(F290,Fish!$L:$L,0)),"")</f>
        <v>11009</v>
      </c>
      <c r="H290" s="43">
        <v>0</v>
      </c>
      <c r="I290" s="43">
        <v>1</v>
      </c>
      <c r="J290" s="43">
        <v>3</v>
      </c>
      <c r="K290" s="43">
        <v>4</v>
      </c>
      <c r="L290" s="43" t="s">
        <v>83</v>
      </c>
      <c r="M290" s="43">
        <f>IF(L290&gt;0,INDEX(Fish!$D:$D,MATCH(L290,Fish!$L:$L,0)),"")</f>
        <v>11011</v>
      </c>
      <c r="N290" s="43">
        <v>0</v>
      </c>
      <c r="O290" s="43">
        <v>1</v>
      </c>
      <c r="P290" s="43">
        <v>2</v>
      </c>
      <c r="Q290" s="43">
        <v>3</v>
      </c>
      <c r="R290" s="43" t="s">
        <v>85</v>
      </c>
      <c r="S290" s="43">
        <f>IF(R290&gt;0,INDEX(Fish!$D:$D,MATCH(R290,Fish!$L:$L,0)),"")</f>
        <v>11012</v>
      </c>
      <c r="T290" s="43">
        <v>0</v>
      </c>
      <c r="U290" s="43">
        <v>1</v>
      </c>
      <c r="V290" s="43">
        <v>1</v>
      </c>
      <c r="W290" s="43">
        <v>2</v>
      </c>
      <c r="X290" s="43" t="s">
        <v>97</v>
      </c>
      <c r="Y290" s="43">
        <f>IF(X290&gt;0,INDEX(Fish!$D:$D,MATCH(X290,Fish!$L:$L,0)),"")</f>
        <v>11020</v>
      </c>
      <c r="Z290" s="43">
        <v>0</v>
      </c>
      <c r="AA290" s="43">
        <v>1</v>
      </c>
      <c r="AB290" s="43">
        <v>1</v>
      </c>
      <c r="AC290" s="43">
        <v>2</v>
      </c>
      <c r="AD290" s="43" t="s">
        <v>93</v>
      </c>
      <c r="AE290" s="43">
        <f>IF(AD290&gt;0,INDEX(Fish!$D:$D,MATCH(AD290,Fish!$L:$L,0)),"")</f>
        <v>11016</v>
      </c>
      <c r="AF290" s="43">
        <v>0</v>
      </c>
      <c r="AG290" s="43">
        <v>1</v>
      </c>
      <c r="AH290" s="43">
        <v>1</v>
      </c>
      <c r="AI290" s="43">
        <v>1</v>
      </c>
    </row>
    <row r="291" spans="1:35">
      <c r="A291" s="43">
        <v>44412</v>
      </c>
      <c r="B291" s="43">
        <v>4</v>
      </c>
      <c r="C291" s="43">
        <v>0</v>
      </c>
      <c r="D291" s="43">
        <v>2</v>
      </c>
      <c r="E291" s="43">
        <v>1</v>
      </c>
      <c r="F291" s="43" t="s">
        <v>77</v>
      </c>
      <c r="G291" s="43">
        <f>IF(F291&gt;0,INDEX(Fish!$D:$D,MATCH(F291,Fish!$L:$L,0)),"")</f>
        <v>11009</v>
      </c>
      <c r="H291" s="43">
        <v>0</v>
      </c>
      <c r="I291" s="43">
        <v>1</v>
      </c>
      <c r="J291" s="43">
        <v>3</v>
      </c>
      <c r="K291" s="43">
        <v>4</v>
      </c>
      <c r="L291" s="43" t="s">
        <v>81</v>
      </c>
      <c r="M291" s="43">
        <f>IF(L291&gt;0,INDEX(Fish!$D:$D,MATCH(L291,Fish!$L:$L,0)),"")</f>
        <v>11010</v>
      </c>
      <c r="N291" s="43">
        <v>0</v>
      </c>
      <c r="O291" s="43">
        <v>1</v>
      </c>
      <c r="P291" s="43">
        <v>2</v>
      </c>
      <c r="Q291" s="43">
        <v>3</v>
      </c>
      <c r="R291" s="43" t="s">
        <v>95</v>
      </c>
      <c r="S291" s="43">
        <f>IF(R291&gt;0,INDEX(Fish!$D:$D,MATCH(R291,Fish!$L:$L,0)),"")</f>
        <v>11017</v>
      </c>
      <c r="T291" s="43">
        <v>0</v>
      </c>
      <c r="U291" s="43">
        <v>1</v>
      </c>
      <c r="V291" s="43">
        <v>1</v>
      </c>
      <c r="W291" s="43">
        <v>2</v>
      </c>
      <c r="X291" s="43" t="s">
        <v>91</v>
      </c>
      <c r="Y291" s="43">
        <f>IF(X291&gt;0,INDEX(Fish!$D:$D,MATCH(X291,Fish!$L:$L,0)),"")</f>
        <v>11015</v>
      </c>
      <c r="Z291" s="43">
        <v>0</v>
      </c>
      <c r="AA291" s="43">
        <v>1</v>
      </c>
      <c r="AB291" s="43">
        <v>1</v>
      </c>
      <c r="AC291" s="43">
        <v>2</v>
      </c>
      <c r="AD291" s="43" t="s">
        <v>87</v>
      </c>
      <c r="AE291" s="43">
        <f>IF(AD291&gt;0,INDEX(Fish!$D:$D,MATCH(AD291,Fish!$L:$L,0)),"")</f>
        <v>11013</v>
      </c>
      <c r="AF291" s="43">
        <v>0</v>
      </c>
      <c r="AG291" s="43">
        <v>1</v>
      </c>
      <c r="AH291" s="43">
        <v>1</v>
      </c>
      <c r="AI291" s="43">
        <v>1</v>
      </c>
    </row>
    <row r="292" spans="1:35">
      <c r="A292" s="43">
        <v>44412</v>
      </c>
      <c r="B292" s="43">
        <v>4</v>
      </c>
      <c r="C292" s="43">
        <v>0</v>
      </c>
      <c r="D292" s="43">
        <v>2</v>
      </c>
      <c r="E292" s="43">
        <v>1</v>
      </c>
      <c r="F292" s="43" t="s">
        <v>77</v>
      </c>
      <c r="G292" s="43">
        <f>IF(F292&gt;0,INDEX(Fish!$D:$D,MATCH(F292,Fish!$L:$L,0)),"")</f>
        <v>11009</v>
      </c>
      <c r="H292" s="43">
        <v>0</v>
      </c>
      <c r="I292" s="43">
        <v>1</v>
      </c>
      <c r="J292" s="43">
        <v>3</v>
      </c>
      <c r="K292" s="43">
        <v>4</v>
      </c>
      <c r="L292" s="43" t="s">
        <v>81</v>
      </c>
      <c r="M292" s="43">
        <f>IF(L292&gt;0,INDEX(Fish!$D:$D,MATCH(L292,Fish!$L:$L,0)),"")</f>
        <v>11010</v>
      </c>
      <c r="N292" s="43">
        <v>0</v>
      </c>
      <c r="O292" s="43">
        <v>1</v>
      </c>
      <c r="P292" s="43">
        <v>2</v>
      </c>
      <c r="Q292" s="43">
        <v>3</v>
      </c>
      <c r="R292" s="43" t="s">
        <v>95</v>
      </c>
      <c r="S292" s="43">
        <f>IF(R292&gt;0,INDEX(Fish!$D:$D,MATCH(R292,Fish!$L:$L,0)),"")</f>
        <v>11017</v>
      </c>
      <c r="T292" s="43">
        <v>0</v>
      </c>
      <c r="U292" s="43">
        <v>1</v>
      </c>
      <c r="V292" s="43">
        <v>1</v>
      </c>
      <c r="W292" s="43">
        <v>2</v>
      </c>
      <c r="X292" s="43" t="s">
        <v>91</v>
      </c>
      <c r="Y292" s="43">
        <f>IF(X292&gt;0,INDEX(Fish!$D:$D,MATCH(X292,Fish!$L:$L,0)),"")</f>
        <v>11015</v>
      </c>
      <c r="Z292" s="43">
        <v>0</v>
      </c>
      <c r="AA292" s="43">
        <v>1</v>
      </c>
      <c r="AB292" s="43">
        <v>1</v>
      </c>
      <c r="AC292" s="43">
        <v>2</v>
      </c>
      <c r="AD292" s="43" t="s">
        <v>93</v>
      </c>
      <c r="AE292" s="43">
        <f>IF(AD292&gt;0,INDEX(Fish!$D:$D,MATCH(AD292,Fish!$L:$L,0)),"")</f>
        <v>11016</v>
      </c>
      <c r="AF292" s="43">
        <v>0</v>
      </c>
      <c r="AG292" s="43">
        <v>1</v>
      </c>
      <c r="AH292" s="43">
        <v>1</v>
      </c>
      <c r="AI292" s="43">
        <v>1</v>
      </c>
    </row>
    <row r="293" spans="1:35">
      <c r="A293" s="43">
        <v>44412</v>
      </c>
      <c r="B293" s="43">
        <v>4</v>
      </c>
      <c r="C293" s="43">
        <v>0</v>
      </c>
      <c r="D293" s="43">
        <v>2</v>
      </c>
      <c r="E293" s="43">
        <v>1</v>
      </c>
      <c r="F293" s="43" t="s">
        <v>77</v>
      </c>
      <c r="G293" s="43">
        <f>IF(F293&gt;0,INDEX(Fish!$D:$D,MATCH(F293,Fish!$L:$L,0)),"")</f>
        <v>11009</v>
      </c>
      <c r="H293" s="43">
        <v>0</v>
      </c>
      <c r="I293" s="43">
        <v>1</v>
      </c>
      <c r="J293" s="43">
        <v>3</v>
      </c>
      <c r="K293" s="43">
        <v>4</v>
      </c>
      <c r="L293" s="43" t="s">
        <v>81</v>
      </c>
      <c r="M293" s="43">
        <f>IF(L293&gt;0,INDEX(Fish!$D:$D,MATCH(L293,Fish!$L:$L,0)),"")</f>
        <v>11010</v>
      </c>
      <c r="N293" s="43">
        <v>0</v>
      </c>
      <c r="O293" s="43">
        <v>1</v>
      </c>
      <c r="P293" s="43">
        <v>2</v>
      </c>
      <c r="Q293" s="43">
        <v>3</v>
      </c>
      <c r="R293" s="43" t="s">
        <v>95</v>
      </c>
      <c r="S293" s="43">
        <f>IF(R293&gt;0,INDEX(Fish!$D:$D,MATCH(R293,Fish!$L:$L,0)),"")</f>
        <v>11017</v>
      </c>
      <c r="T293" s="43">
        <v>0</v>
      </c>
      <c r="U293" s="43">
        <v>1</v>
      </c>
      <c r="V293" s="43">
        <v>1</v>
      </c>
      <c r="W293" s="43">
        <v>2</v>
      </c>
      <c r="X293" s="43" t="s">
        <v>97</v>
      </c>
      <c r="Y293" s="43">
        <f>IF(X293&gt;0,INDEX(Fish!$D:$D,MATCH(X293,Fish!$L:$L,0)),"")</f>
        <v>11020</v>
      </c>
      <c r="Z293" s="43">
        <v>0</v>
      </c>
      <c r="AA293" s="43">
        <v>1</v>
      </c>
      <c r="AB293" s="43">
        <v>1</v>
      </c>
      <c r="AC293" s="43">
        <v>2</v>
      </c>
      <c r="AD293" s="43" t="s">
        <v>87</v>
      </c>
      <c r="AE293" s="43">
        <f>IF(AD293&gt;0,INDEX(Fish!$D:$D,MATCH(AD293,Fish!$L:$L,0)),"")</f>
        <v>11013</v>
      </c>
      <c r="AF293" s="43">
        <v>0</v>
      </c>
      <c r="AG293" s="43">
        <v>1</v>
      </c>
      <c r="AH293" s="43">
        <v>1</v>
      </c>
      <c r="AI293" s="43">
        <v>1</v>
      </c>
    </row>
    <row r="294" spans="1:35">
      <c r="A294" s="43">
        <v>44412</v>
      </c>
      <c r="B294" s="43">
        <v>4</v>
      </c>
      <c r="C294" s="43">
        <v>0</v>
      </c>
      <c r="D294" s="43">
        <v>2</v>
      </c>
      <c r="E294" s="43">
        <v>1</v>
      </c>
      <c r="F294" s="43" t="s">
        <v>77</v>
      </c>
      <c r="G294" s="43">
        <f>IF(F294&gt;0,INDEX(Fish!$D:$D,MATCH(F294,Fish!$L:$L,0)),"")</f>
        <v>11009</v>
      </c>
      <c r="H294" s="43">
        <v>0</v>
      </c>
      <c r="I294" s="43">
        <v>1</v>
      </c>
      <c r="J294" s="43">
        <v>3</v>
      </c>
      <c r="K294" s="43">
        <v>4</v>
      </c>
      <c r="L294" s="43" t="s">
        <v>81</v>
      </c>
      <c r="M294" s="43">
        <f>IF(L294&gt;0,INDEX(Fish!$D:$D,MATCH(L294,Fish!$L:$L,0)),"")</f>
        <v>11010</v>
      </c>
      <c r="N294" s="43">
        <v>0</v>
      </c>
      <c r="O294" s="43">
        <v>1</v>
      </c>
      <c r="P294" s="43">
        <v>2</v>
      </c>
      <c r="Q294" s="43">
        <v>3</v>
      </c>
      <c r="R294" s="43" t="s">
        <v>95</v>
      </c>
      <c r="S294" s="43">
        <f>IF(R294&gt;0,INDEX(Fish!$D:$D,MATCH(R294,Fish!$L:$L,0)),"")</f>
        <v>11017</v>
      </c>
      <c r="T294" s="43">
        <v>0</v>
      </c>
      <c r="U294" s="43">
        <v>1</v>
      </c>
      <c r="V294" s="43">
        <v>1</v>
      </c>
      <c r="W294" s="43">
        <v>2</v>
      </c>
      <c r="X294" s="43" t="s">
        <v>97</v>
      </c>
      <c r="Y294" s="43">
        <f>IF(X294&gt;0,INDEX(Fish!$D:$D,MATCH(X294,Fish!$L:$L,0)),"")</f>
        <v>11020</v>
      </c>
      <c r="Z294" s="43">
        <v>0</v>
      </c>
      <c r="AA294" s="43">
        <v>1</v>
      </c>
      <c r="AB294" s="43">
        <v>1</v>
      </c>
      <c r="AC294" s="43">
        <v>2</v>
      </c>
      <c r="AD294" s="43" t="s">
        <v>93</v>
      </c>
      <c r="AE294" s="43">
        <f>IF(AD294&gt;0,INDEX(Fish!$D:$D,MATCH(AD294,Fish!$L:$L,0)),"")</f>
        <v>11016</v>
      </c>
      <c r="AF294" s="43">
        <v>0</v>
      </c>
      <c r="AG294" s="43">
        <v>1</v>
      </c>
      <c r="AH294" s="43">
        <v>1</v>
      </c>
      <c r="AI294" s="43">
        <v>1</v>
      </c>
    </row>
    <row r="295" spans="1:35">
      <c r="A295" s="43">
        <v>44412</v>
      </c>
      <c r="B295" s="43">
        <v>4</v>
      </c>
      <c r="C295" s="43">
        <v>0</v>
      </c>
      <c r="D295" s="43">
        <v>2</v>
      </c>
      <c r="E295" s="43">
        <v>1</v>
      </c>
      <c r="F295" s="43" t="s">
        <v>77</v>
      </c>
      <c r="G295" s="43">
        <f>IF(F295&gt;0,INDEX(Fish!$D:$D,MATCH(F295,Fish!$L:$L,0)),"")</f>
        <v>11009</v>
      </c>
      <c r="H295" s="43">
        <v>0</v>
      </c>
      <c r="I295" s="43">
        <v>1</v>
      </c>
      <c r="J295" s="43">
        <v>3</v>
      </c>
      <c r="K295" s="43">
        <v>4</v>
      </c>
      <c r="L295" s="43" t="s">
        <v>81</v>
      </c>
      <c r="M295" s="43">
        <f>IF(L295&gt;0,INDEX(Fish!$D:$D,MATCH(L295,Fish!$L:$L,0)),"")</f>
        <v>11010</v>
      </c>
      <c r="N295" s="43">
        <v>0</v>
      </c>
      <c r="O295" s="43">
        <v>1</v>
      </c>
      <c r="P295" s="43">
        <v>2</v>
      </c>
      <c r="Q295" s="43">
        <v>3</v>
      </c>
      <c r="R295" s="43" t="s">
        <v>85</v>
      </c>
      <c r="S295" s="43">
        <f>IF(R295&gt;0,INDEX(Fish!$D:$D,MATCH(R295,Fish!$L:$L,0)),"")</f>
        <v>11012</v>
      </c>
      <c r="T295" s="43">
        <v>0</v>
      </c>
      <c r="U295" s="43">
        <v>1</v>
      </c>
      <c r="V295" s="43">
        <v>1</v>
      </c>
      <c r="W295" s="43">
        <v>2</v>
      </c>
      <c r="X295" s="43" t="s">
        <v>91</v>
      </c>
      <c r="Y295" s="43">
        <f>IF(X295&gt;0,INDEX(Fish!$D:$D,MATCH(X295,Fish!$L:$L,0)),"")</f>
        <v>11015</v>
      </c>
      <c r="Z295" s="43">
        <v>0</v>
      </c>
      <c r="AA295" s="43">
        <v>1</v>
      </c>
      <c r="AB295" s="43">
        <v>1</v>
      </c>
      <c r="AC295" s="43">
        <v>2</v>
      </c>
      <c r="AD295" s="43" t="s">
        <v>87</v>
      </c>
      <c r="AE295" s="43">
        <f>IF(AD295&gt;0,INDEX(Fish!$D:$D,MATCH(AD295,Fish!$L:$L,0)),"")</f>
        <v>11013</v>
      </c>
      <c r="AF295" s="43">
        <v>0</v>
      </c>
      <c r="AG295" s="43">
        <v>1</v>
      </c>
      <c r="AH295" s="43">
        <v>1</v>
      </c>
      <c r="AI295" s="43">
        <v>1</v>
      </c>
    </row>
    <row r="296" spans="1:35">
      <c r="A296" s="43">
        <v>44412</v>
      </c>
      <c r="B296" s="43">
        <v>4</v>
      </c>
      <c r="C296" s="43">
        <v>0</v>
      </c>
      <c r="D296" s="43">
        <v>2</v>
      </c>
      <c r="E296" s="43">
        <v>1</v>
      </c>
      <c r="F296" s="43" t="s">
        <v>77</v>
      </c>
      <c r="G296" s="43">
        <f>IF(F296&gt;0,INDEX(Fish!$D:$D,MATCH(F296,Fish!$L:$L,0)),"")</f>
        <v>11009</v>
      </c>
      <c r="H296" s="43">
        <v>0</v>
      </c>
      <c r="I296" s="43">
        <v>1</v>
      </c>
      <c r="J296" s="43">
        <v>3</v>
      </c>
      <c r="K296" s="43">
        <v>4</v>
      </c>
      <c r="L296" s="43" t="s">
        <v>81</v>
      </c>
      <c r="M296" s="43">
        <f>IF(L296&gt;0,INDEX(Fish!$D:$D,MATCH(L296,Fish!$L:$L,0)),"")</f>
        <v>11010</v>
      </c>
      <c r="N296" s="43">
        <v>0</v>
      </c>
      <c r="O296" s="43">
        <v>1</v>
      </c>
      <c r="P296" s="43">
        <v>2</v>
      </c>
      <c r="Q296" s="43">
        <v>3</v>
      </c>
      <c r="R296" s="43" t="s">
        <v>85</v>
      </c>
      <c r="S296" s="43">
        <f>IF(R296&gt;0,INDEX(Fish!$D:$D,MATCH(R296,Fish!$L:$L,0)),"")</f>
        <v>11012</v>
      </c>
      <c r="T296" s="43">
        <v>0</v>
      </c>
      <c r="U296" s="43">
        <v>1</v>
      </c>
      <c r="V296" s="43">
        <v>1</v>
      </c>
      <c r="W296" s="43">
        <v>2</v>
      </c>
      <c r="X296" s="43" t="s">
        <v>91</v>
      </c>
      <c r="Y296" s="43">
        <f>IF(X296&gt;0,INDEX(Fish!$D:$D,MATCH(X296,Fish!$L:$L,0)),"")</f>
        <v>11015</v>
      </c>
      <c r="Z296" s="43">
        <v>0</v>
      </c>
      <c r="AA296" s="43">
        <v>1</v>
      </c>
      <c r="AB296" s="43">
        <v>1</v>
      </c>
      <c r="AC296" s="43">
        <v>2</v>
      </c>
      <c r="AD296" s="43" t="s">
        <v>93</v>
      </c>
      <c r="AE296" s="43">
        <f>IF(AD296&gt;0,INDEX(Fish!$D:$D,MATCH(AD296,Fish!$L:$L,0)),"")</f>
        <v>11016</v>
      </c>
      <c r="AF296" s="43">
        <v>0</v>
      </c>
      <c r="AG296" s="43">
        <v>1</v>
      </c>
      <c r="AH296" s="43">
        <v>1</v>
      </c>
      <c r="AI296" s="43">
        <v>1</v>
      </c>
    </row>
    <row r="297" spans="1:35">
      <c r="A297" s="43">
        <v>44412</v>
      </c>
      <c r="B297" s="43">
        <v>4</v>
      </c>
      <c r="C297" s="43">
        <v>0</v>
      </c>
      <c r="D297" s="43">
        <v>2</v>
      </c>
      <c r="E297" s="43">
        <v>1</v>
      </c>
      <c r="F297" s="43" t="s">
        <v>77</v>
      </c>
      <c r="G297" s="43">
        <f>IF(F297&gt;0,INDEX(Fish!$D:$D,MATCH(F297,Fish!$L:$L,0)),"")</f>
        <v>11009</v>
      </c>
      <c r="H297" s="43">
        <v>0</v>
      </c>
      <c r="I297" s="43">
        <v>1</v>
      </c>
      <c r="J297" s="43">
        <v>3</v>
      </c>
      <c r="K297" s="43">
        <v>4</v>
      </c>
      <c r="L297" s="43" t="s">
        <v>81</v>
      </c>
      <c r="M297" s="43">
        <f>IF(L297&gt;0,INDEX(Fish!$D:$D,MATCH(L297,Fish!$L:$L,0)),"")</f>
        <v>11010</v>
      </c>
      <c r="N297" s="43">
        <v>0</v>
      </c>
      <c r="O297" s="43">
        <v>1</v>
      </c>
      <c r="P297" s="43">
        <v>2</v>
      </c>
      <c r="Q297" s="43">
        <v>3</v>
      </c>
      <c r="R297" s="43" t="s">
        <v>85</v>
      </c>
      <c r="S297" s="43">
        <f>IF(R297&gt;0,INDEX(Fish!$D:$D,MATCH(R297,Fish!$L:$L,0)),"")</f>
        <v>11012</v>
      </c>
      <c r="T297" s="43">
        <v>0</v>
      </c>
      <c r="U297" s="43">
        <v>1</v>
      </c>
      <c r="V297" s="43">
        <v>1</v>
      </c>
      <c r="W297" s="43">
        <v>2</v>
      </c>
      <c r="X297" s="43" t="s">
        <v>97</v>
      </c>
      <c r="Y297" s="43">
        <f>IF(X297&gt;0,INDEX(Fish!$D:$D,MATCH(X297,Fish!$L:$L,0)),"")</f>
        <v>11020</v>
      </c>
      <c r="Z297" s="43">
        <v>0</v>
      </c>
      <c r="AA297" s="43">
        <v>1</v>
      </c>
      <c r="AB297" s="43">
        <v>1</v>
      </c>
      <c r="AC297" s="43">
        <v>2</v>
      </c>
      <c r="AD297" s="43" t="s">
        <v>87</v>
      </c>
      <c r="AE297" s="43">
        <f>IF(AD297&gt;0,INDEX(Fish!$D:$D,MATCH(AD297,Fish!$L:$L,0)),"")</f>
        <v>11013</v>
      </c>
      <c r="AF297" s="43">
        <v>0</v>
      </c>
      <c r="AG297" s="43">
        <v>1</v>
      </c>
      <c r="AH297" s="43">
        <v>1</v>
      </c>
      <c r="AI297" s="43">
        <v>1</v>
      </c>
    </row>
    <row r="298" spans="1:35">
      <c r="A298" s="43">
        <v>44412</v>
      </c>
      <c r="B298" s="43">
        <v>4</v>
      </c>
      <c r="C298" s="43">
        <v>0</v>
      </c>
      <c r="D298" s="43">
        <v>2</v>
      </c>
      <c r="E298" s="43">
        <v>1</v>
      </c>
      <c r="F298" s="43" t="s">
        <v>77</v>
      </c>
      <c r="G298" s="43">
        <f>IF(F298&gt;0,INDEX(Fish!$D:$D,MATCH(F298,Fish!$L:$L,0)),"")</f>
        <v>11009</v>
      </c>
      <c r="H298" s="43">
        <v>0</v>
      </c>
      <c r="I298" s="43">
        <v>1</v>
      </c>
      <c r="J298" s="43">
        <v>3</v>
      </c>
      <c r="K298" s="43">
        <v>4</v>
      </c>
      <c r="L298" s="43" t="s">
        <v>81</v>
      </c>
      <c r="M298" s="43">
        <f>IF(L298&gt;0,INDEX(Fish!$D:$D,MATCH(L298,Fish!$L:$L,0)),"")</f>
        <v>11010</v>
      </c>
      <c r="N298" s="43">
        <v>0</v>
      </c>
      <c r="O298" s="43">
        <v>1</v>
      </c>
      <c r="P298" s="43">
        <v>2</v>
      </c>
      <c r="Q298" s="43">
        <v>3</v>
      </c>
      <c r="R298" s="43" t="s">
        <v>85</v>
      </c>
      <c r="S298" s="43">
        <f>IF(R298&gt;0,INDEX(Fish!$D:$D,MATCH(R298,Fish!$L:$L,0)),"")</f>
        <v>11012</v>
      </c>
      <c r="T298" s="43">
        <v>0</v>
      </c>
      <c r="U298" s="43">
        <v>1</v>
      </c>
      <c r="V298" s="43">
        <v>1</v>
      </c>
      <c r="W298" s="43">
        <v>2</v>
      </c>
      <c r="X298" s="43" t="s">
        <v>97</v>
      </c>
      <c r="Y298" s="43">
        <f>IF(X298&gt;0,INDEX(Fish!$D:$D,MATCH(X298,Fish!$L:$L,0)),"")</f>
        <v>11020</v>
      </c>
      <c r="Z298" s="43">
        <v>0</v>
      </c>
      <c r="AA298" s="43">
        <v>1</v>
      </c>
      <c r="AB298" s="43">
        <v>1</v>
      </c>
      <c r="AC298" s="43">
        <v>2</v>
      </c>
      <c r="AD298" s="43" t="s">
        <v>93</v>
      </c>
      <c r="AE298" s="43">
        <f>IF(AD298&gt;0,INDEX(Fish!$D:$D,MATCH(AD298,Fish!$L:$L,0)),"")</f>
        <v>11016</v>
      </c>
      <c r="AF298" s="43">
        <v>0</v>
      </c>
      <c r="AG298" s="43">
        <v>1</v>
      </c>
      <c r="AH298" s="43">
        <v>1</v>
      </c>
      <c r="AI298" s="43">
        <v>1</v>
      </c>
    </row>
    <row r="299" spans="1:31">
      <c r="A299" s="43">
        <v>44412</v>
      </c>
      <c r="B299" s="43">
        <v>5</v>
      </c>
      <c r="C299" s="43">
        <v>0</v>
      </c>
      <c r="D299" s="43">
        <v>3</v>
      </c>
      <c r="E299" s="43">
        <v>2</v>
      </c>
      <c r="F299" s="43" t="s">
        <v>101</v>
      </c>
      <c r="G299" s="43">
        <f>IF(F299&gt;0,INDEX(Fish!$D:$D,MATCH(F299,Fish!$L:$L,0)),"")</f>
        <v>11090</v>
      </c>
      <c r="H299" s="43">
        <v>55000</v>
      </c>
      <c r="I299" s="43">
        <v>1</v>
      </c>
      <c r="J299" s="43">
        <v>0</v>
      </c>
      <c r="K299" s="43">
        <v>1</v>
      </c>
      <c r="L299" s="43" t="s">
        <v>99</v>
      </c>
      <c r="M299" s="43">
        <f>IF(L299&gt;0,INDEX(Fish!$D:$D,MATCH(L299,Fish!$L:$L,0)),"")</f>
        <v>11024</v>
      </c>
      <c r="N299" s="43">
        <v>45000</v>
      </c>
      <c r="O299" s="43">
        <v>1</v>
      </c>
      <c r="P299" s="43">
        <v>0</v>
      </c>
      <c r="Q299" s="43">
        <v>1</v>
      </c>
      <c r="S299" s="43" t="str">
        <f>IF(R299&gt;0,INDEX(Fish!$D:$D,MATCH(R299,Fish!$L:$L,0)),"")</f>
        <v/>
      </c>
      <c r="Y299" s="43" t="str">
        <f>IF(X299&gt;0,INDEX(Fish!$D:$D,MATCH(X299,Fish!$L:$L,0)),"")</f>
        <v/>
      </c>
      <c r="AE299" s="43" t="str">
        <f>IF(AD299&gt;0,INDEX(Fish!$D:$D,MATCH(AD299,Fish!$L:$L,0)),"")</f>
        <v/>
      </c>
    </row>
    <row r="300" spans="1:31">
      <c r="A300" s="43">
        <v>44412</v>
      </c>
      <c r="B300" s="43">
        <v>5</v>
      </c>
      <c r="C300" s="43">
        <v>0</v>
      </c>
      <c r="D300" s="43">
        <v>4</v>
      </c>
      <c r="E300" s="43">
        <v>2</v>
      </c>
      <c r="F300" s="43" t="s">
        <v>351</v>
      </c>
      <c r="G300" s="43">
        <f>IF(F300&gt;0,INDEX(Fish!$D:$D,MATCH(F300,Fish!$L:$L,0)),"")</f>
        <v>11018</v>
      </c>
      <c r="H300" s="43">
        <v>30000</v>
      </c>
      <c r="I300" s="43">
        <v>1</v>
      </c>
      <c r="J300" s="43">
        <v>0</v>
      </c>
      <c r="K300" s="43">
        <v>1</v>
      </c>
      <c r="L300" s="43" t="s">
        <v>361</v>
      </c>
      <c r="M300" s="43">
        <f>IF(L300&gt;0,INDEX(Fish!$D:$D,MATCH(L300,Fish!$L:$L,0)),"")</f>
        <v>11214</v>
      </c>
      <c r="N300" s="43">
        <v>30000</v>
      </c>
      <c r="O300" s="43">
        <v>1</v>
      </c>
      <c r="P300" s="43">
        <v>0</v>
      </c>
      <c r="Q300" s="43">
        <v>1</v>
      </c>
      <c r="R300" s="43" t="s">
        <v>355</v>
      </c>
      <c r="S300" s="43">
        <f>IF(R300&gt;0,INDEX(Fish!$D:$D,MATCH(R300,Fish!$L:$L,0)),"")</f>
        <v>11021</v>
      </c>
      <c r="T300" s="43">
        <v>25000</v>
      </c>
      <c r="U300" s="43">
        <v>1</v>
      </c>
      <c r="V300" s="43">
        <v>0</v>
      </c>
      <c r="W300" s="43">
        <v>1</v>
      </c>
      <c r="X300" s="46" t="s">
        <v>353</v>
      </c>
      <c r="Y300" s="43">
        <f>IF(X300&gt;0,INDEX(Fish!$D:$D,MATCH(X300,Fish!$L:$L,0)),"")</f>
        <v>11092</v>
      </c>
      <c r="Z300" s="43">
        <v>15000</v>
      </c>
      <c r="AA300" s="43">
        <v>1</v>
      </c>
      <c r="AB300" s="43">
        <v>0</v>
      </c>
      <c r="AC300" s="43">
        <v>1</v>
      </c>
      <c r="AE300" s="43" t="str">
        <f>IF(AD300&gt;0,INDEX(Fish!$D:$D,MATCH(AD300,Fish!$L:$L,0)),"")</f>
        <v/>
      </c>
    </row>
    <row r="301" spans="1:35">
      <c r="A301" s="43">
        <v>44412</v>
      </c>
      <c r="B301" s="43">
        <v>5</v>
      </c>
      <c r="C301" s="43">
        <v>0</v>
      </c>
      <c r="D301" s="43">
        <v>5</v>
      </c>
      <c r="E301" s="43">
        <v>2</v>
      </c>
      <c r="F301" s="43" t="s">
        <v>120</v>
      </c>
      <c r="G301" s="43">
        <f>IF(F301&gt;0,INDEX(Fish!$D:$D,MATCH(F301,Fish!$L:$L,0)),"")</f>
        <v>14009</v>
      </c>
      <c r="H301" s="43">
        <v>30000</v>
      </c>
      <c r="I301" s="43">
        <v>1</v>
      </c>
      <c r="J301" s="43">
        <v>0</v>
      </c>
      <c r="K301" s="43">
        <v>1</v>
      </c>
      <c r="L301" s="43" t="s">
        <v>121</v>
      </c>
      <c r="M301" s="43">
        <f>IF(L301&gt;0,INDEX(Fish!$D:$D,MATCH(L301,Fish!$L:$L,0)),"")</f>
        <v>14011</v>
      </c>
      <c r="N301" s="43">
        <v>28000</v>
      </c>
      <c r="O301" s="43">
        <v>1</v>
      </c>
      <c r="P301" s="43">
        <v>0</v>
      </c>
      <c r="Q301" s="43">
        <v>1</v>
      </c>
      <c r="R301" s="43" t="s">
        <v>123</v>
      </c>
      <c r="S301" s="43">
        <f>IF(R301&gt;0,INDEX(Fish!$D:$D,MATCH(R301,Fish!$L:$L,0)),"")</f>
        <v>14015</v>
      </c>
      <c r="T301" s="43">
        <v>20000</v>
      </c>
      <c r="U301" s="43">
        <v>1</v>
      </c>
      <c r="V301" s="43">
        <v>0</v>
      </c>
      <c r="W301" s="43">
        <v>1</v>
      </c>
      <c r="X301" s="43" t="s">
        <v>124</v>
      </c>
      <c r="Y301" s="43">
        <f>IF(X301&gt;0,INDEX(Fish!$D:$D,MATCH(X301,Fish!$L:$L,0)),"")</f>
        <v>14020</v>
      </c>
      <c r="Z301" s="43">
        <v>12000</v>
      </c>
      <c r="AA301" s="43">
        <v>1</v>
      </c>
      <c r="AB301" s="43">
        <v>0</v>
      </c>
      <c r="AC301" s="43">
        <v>1</v>
      </c>
      <c r="AD301" s="43" t="s">
        <v>122</v>
      </c>
      <c r="AE301" s="43">
        <f>IF(AD301&gt;0,INDEX(Fish!$D:$D,MATCH(AD301,Fish!$L:$L,0)),"")</f>
        <v>14013</v>
      </c>
      <c r="AF301" s="43">
        <v>10000</v>
      </c>
      <c r="AG301" s="43">
        <v>1</v>
      </c>
      <c r="AH301" s="43">
        <v>0</v>
      </c>
      <c r="AI301" s="43">
        <v>1</v>
      </c>
    </row>
    <row r="302" spans="1:17">
      <c r="A302" s="43">
        <v>44601</v>
      </c>
      <c r="B302" s="43">
        <v>1</v>
      </c>
      <c r="C302" s="43">
        <v>8</v>
      </c>
      <c r="D302" s="43">
        <v>1</v>
      </c>
      <c r="E302" s="43">
        <v>1</v>
      </c>
      <c r="F302" s="43" t="s">
        <v>61</v>
      </c>
      <c r="G302" s="43">
        <f>IF(F302&gt;0,INDEX(Fish!$D:$D,MATCH(F302,Fish!$L:$L,0)),"")</f>
        <v>11001</v>
      </c>
      <c r="H302" s="43">
        <v>0</v>
      </c>
      <c r="I302" s="43">
        <v>4</v>
      </c>
      <c r="J302" s="43">
        <v>14</v>
      </c>
      <c r="K302" s="43">
        <v>16</v>
      </c>
      <c r="L302" s="43" t="s">
        <v>65</v>
      </c>
      <c r="M302" s="43">
        <f>IF(L302&gt;0,INDEX(Fish!$D:$D,MATCH(L302,Fish!$L:$L,0)),"")</f>
        <v>11003</v>
      </c>
      <c r="N302" s="43">
        <v>0</v>
      </c>
      <c r="O302" s="43">
        <v>3</v>
      </c>
      <c r="P302" s="43">
        <v>10</v>
      </c>
      <c r="Q302" s="43">
        <v>14</v>
      </c>
    </row>
    <row r="303" spans="1:17">
      <c r="A303" s="43">
        <v>44601</v>
      </c>
      <c r="B303" s="43">
        <v>1</v>
      </c>
      <c r="C303" s="43">
        <v>8</v>
      </c>
      <c r="D303" s="43">
        <v>1</v>
      </c>
      <c r="E303" s="43">
        <v>1</v>
      </c>
      <c r="F303" s="43" t="s">
        <v>61</v>
      </c>
      <c r="G303" s="43">
        <f>IF(F303&gt;0,INDEX(Fish!$D:$D,MATCH(F303,Fish!$L:$L,0)),"")</f>
        <v>11001</v>
      </c>
      <c r="H303" s="43">
        <v>0</v>
      </c>
      <c r="I303" s="43">
        <v>4</v>
      </c>
      <c r="J303" s="43">
        <v>14</v>
      </c>
      <c r="K303" s="43">
        <v>16</v>
      </c>
      <c r="L303" s="43" t="s">
        <v>67</v>
      </c>
      <c r="M303" s="43">
        <f>IF(L303&gt;0,INDEX(Fish!$D:$D,MATCH(L303,Fish!$L:$L,0)),"")</f>
        <v>11004</v>
      </c>
      <c r="N303" s="43">
        <v>0</v>
      </c>
      <c r="O303" s="43">
        <v>3</v>
      </c>
      <c r="P303" s="43">
        <v>10</v>
      </c>
      <c r="Q303" s="43">
        <v>14</v>
      </c>
    </row>
    <row r="304" spans="1:17">
      <c r="A304" s="43">
        <v>44601</v>
      </c>
      <c r="B304" s="43">
        <v>1</v>
      </c>
      <c r="C304" s="43">
        <v>8</v>
      </c>
      <c r="D304" s="43">
        <v>1</v>
      </c>
      <c r="E304" s="43">
        <v>1</v>
      </c>
      <c r="F304" s="43" t="s">
        <v>61</v>
      </c>
      <c r="G304" s="43">
        <f>IF(F304&gt;0,INDEX(Fish!$D:$D,MATCH(F304,Fish!$L:$L,0)),"")</f>
        <v>11001</v>
      </c>
      <c r="H304" s="43">
        <v>0</v>
      </c>
      <c r="I304" s="43">
        <v>4</v>
      </c>
      <c r="J304" s="43">
        <v>14</v>
      </c>
      <c r="K304" s="43">
        <v>16</v>
      </c>
      <c r="L304" s="43" t="s">
        <v>73</v>
      </c>
      <c r="M304" s="43">
        <f>IF(L304&gt;0,INDEX(Fish!$D:$D,MATCH(L304,Fish!$L:$L,0)),"")</f>
        <v>11007</v>
      </c>
      <c r="N304" s="43">
        <v>0</v>
      </c>
      <c r="O304" s="43">
        <v>3</v>
      </c>
      <c r="P304" s="43">
        <v>10</v>
      </c>
      <c r="Q304" s="43">
        <v>14</v>
      </c>
    </row>
    <row r="305" spans="1:17">
      <c r="A305" s="43">
        <v>44601</v>
      </c>
      <c r="B305" s="43">
        <v>1</v>
      </c>
      <c r="C305" s="43">
        <v>8</v>
      </c>
      <c r="D305" s="43">
        <v>1</v>
      </c>
      <c r="E305" s="43">
        <v>1</v>
      </c>
      <c r="F305" s="43" t="s">
        <v>63</v>
      </c>
      <c r="G305" s="43">
        <f>IF(F305&gt;0,INDEX(Fish!$D:$D,MATCH(F305,Fish!$L:$L,0)),"")</f>
        <v>11002</v>
      </c>
      <c r="H305" s="43">
        <v>0</v>
      </c>
      <c r="I305" s="43">
        <v>4</v>
      </c>
      <c r="J305" s="43">
        <v>14</v>
      </c>
      <c r="K305" s="43">
        <v>16</v>
      </c>
      <c r="L305" s="43" t="s">
        <v>65</v>
      </c>
      <c r="M305" s="43">
        <f>IF(L305&gt;0,INDEX(Fish!$D:$D,MATCH(L305,Fish!$L:$L,0)),"")</f>
        <v>11003</v>
      </c>
      <c r="N305" s="43">
        <v>0</v>
      </c>
      <c r="O305" s="43">
        <v>3</v>
      </c>
      <c r="P305" s="43">
        <v>10</v>
      </c>
      <c r="Q305" s="43">
        <v>14</v>
      </c>
    </row>
    <row r="306" spans="1:17">
      <c r="A306" s="43">
        <v>44601</v>
      </c>
      <c r="B306" s="43">
        <v>1</v>
      </c>
      <c r="C306" s="43">
        <v>8</v>
      </c>
      <c r="D306" s="43">
        <v>1</v>
      </c>
      <c r="E306" s="43">
        <v>1</v>
      </c>
      <c r="F306" s="43" t="s">
        <v>63</v>
      </c>
      <c r="G306" s="43">
        <f>IF(F306&gt;0,INDEX(Fish!$D:$D,MATCH(F306,Fish!$L:$L,0)),"")</f>
        <v>11002</v>
      </c>
      <c r="H306" s="43">
        <v>0</v>
      </c>
      <c r="I306" s="43">
        <v>4</v>
      </c>
      <c r="J306" s="43">
        <v>14</v>
      </c>
      <c r="K306" s="43">
        <v>16</v>
      </c>
      <c r="L306" s="43" t="s">
        <v>67</v>
      </c>
      <c r="M306" s="43">
        <f>IF(L306&gt;0,INDEX(Fish!$D:$D,MATCH(L306,Fish!$L:$L,0)),"")</f>
        <v>11004</v>
      </c>
      <c r="N306" s="43">
        <v>0</v>
      </c>
      <c r="O306" s="43">
        <v>3</v>
      </c>
      <c r="P306" s="43">
        <v>10</v>
      </c>
      <c r="Q306" s="43">
        <v>14</v>
      </c>
    </row>
    <row r="307" spans="1:17">
      <c r="A307" s="43">
        <v>44601</v>
      </c>
      <c r="B307" s="43">
        <v>1</v>
      </c>
      <c r="C307" s="43">
        <v>8</v>
      </c>
      <c r="D307" s="43">
        <v>1</v>
      </c>
      <c r="E307" s="43">
        <v>1</v>
      </c>
      <c r="F307" s="43" t="s">
        <v>63</v>
      </c>
      <c r="G307" s="43">
        <f>IF(F307&gt;0,INDEX(Fish!$D:$D,MATCH(F307,Fish!$L:$L,0)),"")</f>
        <v>11002</v>
      </c>
      <c r="H307" s="43">
        <v>0</v>
      </c>
      <c r="I307" s="43">
        <v>4</v>
      </c>
      <c r="J307" s="43">
        <v>14</v>
      </c>
      <c r="K307" s="43">
        <v>16</v>
      </c>
      <c r="L307" s="43" t="s">
        <v>73</v>
      </c>
      <c r="M307" s="43">
        <f>IF(L307&gt;0,INDEX(Fish!$D:$D,MATCH(L307,Fish!$L:$L,0)),"")</f>
        <v>11007</v>
      </c>
      <c r="N307" s="43">
        <v>0</v>
      </c>
      <c r="O307" s="43">
        <v>3</v>
      </c>
      <c r="P307" s="43">
        <v>10</v>
      </c>
      <c r="Q307" s="43">
        <v>14</v>
      </c>
    </row>
    <row r="308" spans="1:35">
      <c r="A308" s="43">
        <v>44601</v>
      </c>
      <c r="B308" s="43">
        <v>2</v>
      </c>
      <c r="C308" s="43">
        <v>0</v>
      </c>
      <c r="D308" s="43">
        <v>2</v>
      </c>
      <c r="E308" s="43">
        <v>1</v>
      </c>
      <c r="F308" s="43" t="s">
        <v>75</v>
      </c>
      <c r="G308" s="43">
        <f>IF(F308&gt;0,INDEX(Fish!$D:$D,MATCH(F308,Fish!$L:$L,0)),"")</f>
        <v>11008</v>
      </c>
      <c r="H308" s="43">
        <v>0</v>
      </c>
      <c r="I308" s="43">
        <v>1</v>
      </c>
      <c r="J308" s="43">
        <v>3</v>
      </c>
      <c r="K308" s="43">
        <v>4</v>
      </c>
      <c r="L308" s="43" t="s">
        <v>83</v>
      </c>
      <c r="M308" s="43">
        <f>IF(L308&gt;0,INDEX(Fish!$D:$D,MATCH(L308,Fish!$L:$L,0)),"")</f>
        <v>11011</v>
      </c>
      <c r="N308" s="43">
        <v>0</v>
      </c>
      <c r="O308" s="43">
        <v>1</v>
      </c>
      <c r="P308" s="43">
        <v>2</v>
      </c>
      <c r="Q308" s="43">
        <v>3</v>
      </c>
      <c r="R308" s="43" t="s">
        <v>95</v>
      </c>
      <c r="S308" s="43">
        <f>IF(R308&gt;0,INDEX(Fish!$D:$D,MATCH(R308,Fish!$L:$L,0)),"")</f>
        <v>11017</v>
      </c>
      <c r="T308" s="43">
        <v>0</v>
      </c>
      <c r="U308" s="43">
        <v>1</v>
      </c>
      <c r="V308" s="43">
        <v>1</v>
      </c>
      <c r="W308" s="43">
        <v>2</v>
      </c>
      <c r="X308" s="43" t="s">
        <v>91</v>
      </c>
      <c r="Y308" s="43">
        <f>IF(X308&gt;0,INDEX(Fish!$D:$D,MATCH(X308,Fish!$L:$L,0)),"")</f>
        <v>11015</v>
      </c>
      <c r="Z308" s="43">
        <v>0</v>
      </c>
      <c r="AA308" s="43">
        <v>1</v>
      </c>
      <c r="AB308" s="43">
        <v>1</v>
      </c>
      <c r="AC308" s="43">
        <v>2</v>
      </c>
      <c r="AD308" s="43" t="s">
        <v>87</v>
      </c>
      <c r="AE308" s="43">
        <f>IF(AD308&gt;0,INDEX(Fish!$D:$D,MATCH(AD308,Fish!$L:$L,0)),"")</f>
        <v>11013</v>
      </c>
      <c r="AF308" s="43">
        <v>0</v>
      </c>
      <c r="AG308" s="43">
        <v>1</v>
      </c>
      <c r="AH308" s="43">
        <v>1</v>
      </c>
      <c r="AI308" s="43">
        <v>1</v>
      </c>
    </row>
    <row r="309" spans="1:35">
      <c r="A309" s="43">
        <v>44601</v>
      </c>
      <c r="B309" s="43">
        <v>2</v>
      </c>
      <c r="C309" s="43">
        <v>0</v>
      </c>
      <c r="D309" s="43">
        <v>2</v>
      </c>
      <c r="E309" s="43">
        <v>1</v>
      </c>
      <c r="F309" s="43" t="s">
        <v>75</v>
      </c>
      <c r="G309" s="43">
        <f>IF(F309&gt;0,INDEX(Fish!$D:$D,MATCH(F309,Fish!$L:$L,0)),"")</f>
        <v>11008</v>
      </c>
      <c r="H309" s="43">
        <v>0</v>
      </c>
      <c r="I309" s="43">
        <v>1</v>
      </c>
      <c r="J309" s="43">
        <v>3</v>
      </c>
      <c r="K309" s="43">
        <v>4</v>
      </c>
      <c r="L309" s="43" t="s">
        <v>83</v>
      </c>
      <c r="M309" s="43">
        <f>IF(L309&gt;0,INDEX(Fish!$D:$D,MATCH(L309,Fish!$L:$L,0)),"")</f>
        <v>11011</v>
      </c>
      <c r="N309" s="43">
        <v>0</v>
      </c>
      <c r="O309" s="43">
        <v>1</v>
      </c>
      <c r="P309" s="43">
        <v>2</v>
      </c>
      <c r="Q309" s="43">
        <v>3</v>
      </c>
      <c r="R309" s="43" t="s">
        <v>95</v>
      </c>
      <c r="S309" s="43">
        <f>IF(R309&gt;0,INDEX(Fish!$D:$D,MATCH(R309,Fish!$L:$L,0)),"")</f>
        <v>11017</v>
      </c>
      <c r="T309" s="43">
        <v>0</v>
      </c>
      <c r="U309" s="43">
        <v>1</v>
      </c>
      <c r="V309" s="43">
        <v>1</v>
      </c>
      <c r="W309" s="43">
        <v>2</v>
      </c>
      <c r="X309" s="43" t="s">
        <v>91</v>
      </c>
      <c r="Y309" s="43">
        <f>IF(X309&gt;0,INDEX(Fish!$D:$D,MATCH(X309,Fish!$L:$L,0)),"")</f>
        <v>11015</v>
      </c>
      <c r="Z309" s="43">
        <v>0</v>
      </c>
      <c r="AA309" s="43">
        <v>1</v>
      </c>
      <c r="AB309" s="43">
        <v>1</v>
      </c>
      <c r="AC309" s="43">
        <v>2</v>
      </c>
      <c r="AD309" s="43" t="s">
        <v>93</v>
      </c>
      <c r="AE309" s="43">
        <f>IF(AD309&gt;0,INDEX(Fish!$D:$D,MATCH(AD309,Fish!$L:$L,0)),"")</f>
        <v>11016</v>
      </c>
      <c r="AF309" s="43">
        <v>0</v>
      </c>
      <c r="AG309" s="43">
        <v>1</v>
      </c>
      <c r="AH309" s="43">
        <v>1</v>
      </c>
      <c r="AI309" s="43">
        <v>1</v>
      </c>
    </row>
    <row r="310" spans="1:35">
      <c r="A310" s="43">
        <v>44601</v>
      </c>
      <c r="B310" s="43">
        <v>2</v>
      </c>
      <c r="C310" s="43">
        <v>0</v>
      </c>
      <c r="D310" s="43">
        <v>2</v>
      </c>
      <c r="E310" s="43">
        <v>1</v>
      </c>
      <c r="F310" s="43" t="s">
        <v>75</v>
      </c>
      <c r="G310" s="43">
        <f>IF(F310&gt;0,INDEX(Fish!$D:$D,MATCH(F310,Fish!$L:$L,0)),"")</f>
        <v>11008</v>
      </c>
      <c r="H310" s="43">
        <v>0</v>
      </c>
      <c r="I310" s="43">
        <v>1</v>
      </c>
      <c r="J310" s="43">
        <v>3</v>
      </c>
      <c r="K310" s="43">
        <v>4</v>
      </c>
      <c r="L310" s="43" t="s">
        <v>83</v>
      </c>
      <c r="M310" s="43">
        <f>IF(L310&gt;0,INDEX(Fish!$D:$D,MATCH(L310,Fish!$L:$L,0)),"")</f>
        <v>11011</v>
      </c>
      <c r="N310" s="43">
        <v>0</v>
      </c>
      <c r="O310" s="43">
        <v>1</v>
      </c>
      <c r="P310" s="43">
        <v>2</v>
      </c>
      <c r="Q310" s="43">
        <v>3</v>
      </c>
      <c r="R310" s="43" t="s">
        <v>95</v>
      </c>
      <c r="S310" s="43">
        <f>IF(R310&gt;0,INDEX(Fish!$D:$D,MATCH(R310,Fish!$L:$L,0)),"")</f>
        <v>11017</v>
      </c>
      <c r="T310" s="43">
        <v>0</v>
      </c>
      <c r="U310" s="43">
        <v>1</v>
      </c>
      <c r="V310" s="43">
        <v>1</v>
      </c>
      <c r="W310" s="43">
        <v>2</v>
      </c>
      <c r="X310" s="43" t="s">
        <v>97</v>
      </c>
      <c r="Y310" s="43">
        <f>IF(X310&gt;0,INDEX(Fish!$D:$D,MATCH(X310,Fish!$L:$L,0)),"")</f>
        <v>11020</v>
      </c>
      <c r="Z310" s="43">
        <v>0</v>
      </c>
      <c r="AA310" s="43">
        <v>1</v>
      </c>
      <c r="AB310" s="43">
        <v>1</v>
      </c>
      <c r="AC310" s="43">
        <v>2</v>
      </c>
      <c r="AD310" s="43" t="s">
        <v>87</v>
      </c>
      <c r="AE310" s="43">
        <f>IF(AD310&gt;0,INDEX(Fish!$D:$D,MATCH(AD310,Fish!$L:$L,0)),"")</f>
        <v>11013</v>
      </c>
      <c r="AF310" s="43">
        <v>0</v>
      </c>
      <c r="AG310" s="43">
        <v>1</v>
      </c>
      <c r="AH310" s="43">
        <v>1</v>
      </c>
      <c r="AI310" s="43">
        <v>1</v>
      </c>
    </row>
    <row r="311" spans="1:35">
      <c r="A311" s="43">
        <v>44601</v>
      </c>
      <c r="B311" s="43">
        <v>2</v>
      </c>
      <c r="C311" s="43">
        <v>0</v>
      </c>
      <c r="D311" s="43">
        <v>2</v>
      </c>
      <c r="E311" s="43">
        <v>1</v>
      </c>
      <c r="F311" s="43" t="s">
        <v>75</v>
      </c>
      <c r="G311" s="43">
        <f>IF(F311&gt;0,INDEX(Fish!$D:$D,MATCH(F311,Fish!$L:$L,0)),"")</f>
        <v>11008</v>
      </c>
      <c r="H311" s="43">
        <v>0</v>
      </c>
      <c r="I311" s="43">
        <v>1</v>
      </c>
      <c r="J311" s="43">
        <v>3</v>
      </c>
      <c r="K311" s="43">
        <v>4</v>
      </c>
      <c r="L311" s="43" t="s">
        <v>83</v>
      </c>
      <c r="M311" s="43">
        <f>IF(L311&gt;0,INDEX(Fish!$D:$D,MATCH(L311,Fish!$L:$L,0)),"")</f>
        <v>11011</v>
      </c>
      <c r="N311" s="43">
        <v>0</v>
      </c>
      <c r="O311" s="43">
        <v>1</v>
      </c>
      <c r="P311" s="43">
        <v>2</v>
      </c>
      <c r="Q311" s="43">
        <v>3</v>
      </c>
      <c r="R311" s="43" t="s">
        <v>95</v>
      </c>
      <c r="S311" s="43">
        <f>IF(R311&gt;0,INDEX(Fish!$D:$D,MATCH(R311,Fish!$L:$L,0)),"")</f>
        <v>11017</v>
      </c>
      <c r="T311" s="43">
        <v>0</v>
      </c>
      <c r="U311" s="43">
        <v>1</v>
      </c>
      <c r="V311" s="43">
        <v>1</v>
      </c>
      <c r="W311" s="43">
        <v>2</v>
      </c>
      <c r="X311" s="43" t="s">
        <v>97</v>
      </c>
      <c r="Y311" s="43">
        <f>IF(X311&gt;0,INDEX(Fish!$D:$D,MATCH(X311,Fish!$L:$L,0)),"")</f>
        <v>11020</v>
      </c>
      <c r="Z311" s="43">
        <v>0</v>
      </c>
      <c r="AA311" s="43">
        <v>1</v>
      </c>
      <c r="AB311" s="43">
        <v>1</v>
      </c>
      <c r="AC311" s="43">
        <v>2</v>
      </c>
      <c r="AD311" s="43" t="s">
        <v>93</v>
      </c>
      <c r="AE311" s="43">
        <f>IF(AD311&gt;0,INDEX(Fish!$D:$D,MATCH(AD311,Fish!$L:$L,0)),"")</f>
        <v>11016</v>
      </c>
      <c r="AF311" s="43">
        <v>0</v>
      </c>
      <c r="AG311" s="43">
        <v>1</v>
      </c>
      <c r="AH311" s="43">
        <v>1</v>
      </c>
      <c r="AI311" s="43">
        <v>1</v>
      </c>
    </row>
    <row r="312" spans="1:35">
      <c r="A312" s="43">
        <v>44601</v>
      </c>
      <c r="B312" s="43">
        <v>2</v>
      </c>
      <c r="C312" s="43">
        <v>0</v>
      </c>
      <c r="D312" s="43">
        <v>2</v>
      </c>
      <c r="E312" s="43">
        <v>1</v>
      </c>
      <c r="F312" s="43" t="s">
        <v>75</v>
      </c>
      <c r="G312" s="43">
        <f>IF(F312&gt;0,INDEX(Fish!$D:$D,MATCH(F312,Fish!$L:$L,0)),"")</f>
        <v>11008</v>
      </c>
      <c r="H312" s="43">
        <v>0</v>
      </c>
      <c r="I312" s="43">
        <v>1</v>
      </c>
      <c r="J312" s="43">
        <v>3</v>
      </c>
      <c r="K312" s="43">
        <v>4</v>
      </c>
      <c r="L312" s="43" t="s">
        <v>83</v>
      </c>
      <c r="M312" s="43">
        <f>IF(L312&gt;0,INDEX(Fish!$D:$D,MATCH(L312,Fish!$L:$L,0)),"")</f>
        <v>11011</v>
      </c>
      <c r="N312" s="43">
        <v>0</v>
      </c>
      <c r="O312" s="43">
        <v>1</v>
      </c>
      <c r="P312" s="43">
        <v>2</v>
      </c>
      <c r="Q312" s="43">
        <v>3</v>
      </c>
      <c r="R312" s="43" t="s">
        <v>85</v>
      </c>
      <c r="S312" s="43">
        <f>IF(R312&gt;0,INDEX(Fish!$D:$D,MATCH(R312,Fish!$L:$L,0)),"")</f>
        <v>11012</v>
      </c>
      <c r="T312" s="43">
        <v>0</v>
      </c>
      <c r="U312" s="43">
        <v>1</v>
      </c>
      <c r="V312" s="43">
        <v>1</v>
      </c>
      <c r="W312" s="43">
        <v>2</v>
      </c>
      <c r="X312" s="43" t="s">
        <v>91</v>
      </c>
      <c r="Y312" s="43">
        <f>IF(X312&gt;0,INDEX(Fish!$D:$D,MATCH(X312,Fish!$L:$L,0)),"")</f>
        <v>11015</v>
      </c>
      <c r="Z312" s="43">
        <v>0</v>
      </c>
      <c r="AA312" s="43">
        <v>1</v>
      </c>
      <c r="AB312" s="43">
        <v>1</v>
      </c>
      <c r="AC312" s="43">
        <v>2</v>
      </c>
      <c r="AD312" s="43" t="s">
        <v>87</v>
      </c>
      <c r="AE312" s="43">
        <f>IF(AD312&gt;0,INDEX(Fish!$D:$D,MATCH(AD312,Fish!$L:$L,0)),"")</f>
        <v>11013</v>
      </c>
      <c r="AF312" s="43">
        <v>0</v>
      </c>
      <c r="AG312" s="43">
        <v>1</v>
      </c>
      <c r="AH312" s="43">
        <v>1</v>
      </c>
      <c r="AI312" s="43">
        <v>1</v>
      </c>
    </row>
    <row r="313" spans="1:35">
      <c r="A313" s="43">
        <v>44601</v>
      </c>
      <c r="B313" s="43">
        <v>2</v>
      </c>
      <c r="C313" s="43">
        <v>0</v>
      </c>
      <c r="D313" s="43">
        <v>2</v>
      </c>
      <c r="E313" s="43">
        <v>1</v>
      </c>
      <c r="F313" s="43" t="s">
        <v>75</v>
      </c>
      <c r="G313" s="43">
        <f>IF(F313&gt;0,INDEX(Fish!$D:$D,MATCH(F313,Fish!$L:$L,0)),"")</f>
        <v>11008</v>
      </c>
      <c r="H313" s="43">
        <v>0</v>
      </c>
      <c r="I313" s="43">
        <v>1</v>
      </c>
      <c r="J313" s="43">
        <v>3</v>
      </c>
      <c r="K313" s="43">
        <v>4</v>
      </c>
      <c r="L313" s="43" t="s">
        <v>83</v>
      </c>
      <c r="M313" s="43">
        <f>IF(L313&gt;0,INDEX(Fish!$D:$D,MATCH(L313,Fish!$L:$L,0)),"")</f>
        <v>11011</v>
      </c>
      <c r="N313" s="43">
        <v>0</v>
      </c>
      <c r="O313" s="43">
        <v>1</v>
      </c>
      <c r="P313" s="43">
        <v>2</v>
      </c>
      <c r="Q313" s="43">
        <v>3</v>
      </c>
      <c r="R313" s="43" t="s">
        <v>85</v>
      </c>
      <c r="S313" s="43">
        <f>IF(R313&gt;0,INDEX(Fish!$D:$D,MATCH(R313,Fish!$L:$L,0)),"")</f>
        <v>11012</v>
      </c>
      <c r="T313" s="43">
        <v>0</v>
      </c>
      <c r="U313" s="43">
        <v>1</v>
      </c>
      <c r="V313" s="43">
        <v>1</v>
      </c>
      <c r="W313" s="43">
        <v>2</v>
      </c>
      <c r="X313" s="43" t="s">
        <v>91</v>
      </c>
      <c r="Y313" s="43">
        <f>IF(X313&gt;0,INDEX(Fish!$D:$D,MATCH(X313,Fish!$L:$L,0)),"")</f>
        <v>11015</v>
      </c>
      <c r="Z313" s="43">
        <v>0</v>
      </c>
      <c r="AA313" s="43">
        <v>1</v>
      </c>
      <c r="AB313" s="43">
        <v>1</v>
      </c>
      <c r="AC313" s="43">
        <v>2</v>
      </c>
      <c r="AD313" s="43" t="s">
        <v>93</v>
      </c>
      <c r="AE313" s="43">
        <f>IF(AD313&gt;0,INDEX(Fish!$D:$D,MATCH(AD313,Fish!$L:$L,0)),"")</f>
        <v>11016</v>
      </c>
      <c r="AF313" s="43">
        <v>0</v>
      </c>
      <c r="AG313" s="43">
        <v>1</v>
      </c>
      <c r="AH313" s="43">
        <v>1</v>
      </c>
      <c r="AI313" s="43">
        <v>1</v>
      </c>
    </row>
    <row r="314" spans="1:35">
      <c r="A314" s="43">
        <v>44601</v>
      </c>
      <c r="B314" s="43">
        <v>2</v>
      </c>
      <c r="C314" s="43">
        <v>0</v>
      </c>
      <c r="D314" s="43">
        <v>2</v>
      </c>
      <c r="E314" s="43">
        <v>1</v>
      </c>
      <c r="F314" s="43" t="s">
        <v>75</v>
      </c>
      <c r="G314" s="43">
        <f>IF(F314&gt;0,INDEX(Fish!$D:$D,MATCH(F314,Fish!$L:$L,0)),"")</f>
        <v>11008</v>
      </c>
      <c r="H314" s="43">
        <v>0</v>
      </c>
      <c r="I314" s="43">
        <v>1</v>
      </c>
      <c r="J314" s="43">
        <v>3</v>
      </c>
      <c r="K314" s="43">
        <v>4</v>
      </c>
      <c r="L314" s="43" t="s">
        <v>83</v>
      </c>
      <c r="M314" s="43">
        <f>IF(L314&gt;0,INDEX(Fish!$D:$D,MATCH(L314,Fish!$L:$L,0)),"")</f>
        <v>11011</v>
      </c>
      <c r="N314" s="43">
        <v>0</v>
      </c>
      <c r="O314" s="43">
        <v>1</v>
      </c>
      <c r="P314" s="43">
        <v>2</v>
      </c>
      <c r="Q314" s="43">
        <v>3</v>
      </c>
      <c r="R314" s="43" t="s">
        <v>85</v>
      </c>
      <c r="S314" s="43">
        <f>IF(R314&gt;0,INDEX(Fish!$D:$D,MATCH(R314,Fish!$L:$L,0)),"")</f>
        <v>11012</v>
      </c>
      <c r="T314" s="43">
        <v>0</v>
      </c>
      <c r="U314" s="43">
        <v>1</v>
      </c>
      <c r="V314" s="43">
        <v>1</v>
      </c>
      <c r="W314" s="43">
        <v>2</v>
      </c>
      <c r="X314" s="43" t="s">
        <v>97</v>
      </c>
      <c r="Y314" s="43">
        <f>IF(X314&gt;0,INDEX(Fish!$D:$D,MATCH(X314,Fish!$L:$L,0)),"")</f>
        <v>11020</v>
      </c>
      <c r="Z314" s="43">
        <v>0</v>
      </c>
      <c r="AA314" s="43">
        <v>1</v>
      </c>
      <c r="AB314" s="43">
        <v>1</v>
      </c>
      <c r="AC314" s="43">
        <v>2</v>
      </c>
      <c r="AD314" s="43" t="s">
        <v>87</v>
      </c>
      <c r="AE314" s="43">
        <f>IF(AD314&gt;0,INDEX(Fish!$D:$D,MATCH(AD314,Fish!$L:$L,0)),"")</f>
        <v>11013</v>
      </c>
      <c r="AF314" s="43">
        <v>0</v>
      </c>
      <c r="AG314" s="43">
        <v>1</v>
      </c>
      <c r="AH314" s="43">
        <v>1</v>
      </c>
      <c r="AI314" s="43">
        <v>1</v>
      </c>
    </row>
    <row r="315" spans="1:35">
      <c r="A315" s="43">
        <v>44601</v>
      </c>
      <c r="B315" s="43">
        <v>2</v>
      </c>
      <c r="C315" s="43">
        <v>0</v>
      </c>
      <c r="D315" s="43">
        <v>2</v>
      </c>
      <c r="E315" s="43">
        <v>1</v>
      </c>
      <c r="F315" s="43" t="s">
        <v>75</v>
      </c>
      <c r="G315" s="43">
        <f>IF(F315&gt;0,INDEX(Fish!$D:$D,MATCH(F315,Fish!$L:$L,0)),"")</f>
        <v>11008</v>
      </c>
      <c r="H315" s="43">
        <v>0</v>
      </c>
      <c r="I315" s="43">
        <v>1</v>
      </c>
      <c r="J315" s="43">
        <v>3</v>
      </c>
      <c r="K315" s="43">
        <v>4</v>
      </c>
      <c r="L315" s="43" t="s">
        <v>83</v>
      </c>
      <c r="M315" s="43">
        <f>IF(L315&gt;0,INDEX(Fish!$D:$D,MATCH(L315,Fish!$L:$L,0)),"")</f>
        <v>11011</v>
      </c>
      <c r="N315" s="43">
        <v>0</v>
      </c>
      <c r="O315" s="43">
        <v>1</v>
      </c>
      <c r="P315" s="43">
        <v>2</v>
      </c>
      <c r="Q315" s="43">
        <v>3</v>
      </c>
      <c r="R315" s="43" t="s">
        <v>85</v>
      </c>
      <c r="S315" s="43">
        <f>IF(R315&gt;0,INDEX(Fish!$D:$D,MATCH(R315,Fish!$L:$L,0)),"")</f>
        <v>11012</v>
      </c>
      <c r="T315" s="43">
        <v>0</v>
      </c>
      <c r="U315" s="43">
        <v>1</v>
      </c>
      <c r="V315" s="43">
        <v>1</v>
      </c>
      <c r="W315" s="43">
        <v>2</v>
      </c>
      <c r="X315" s="43" t="s">
        <v>97</v>
      </c>
      <c r="Y315" s="43">
        <f>IF(X315&gt;0,INDEX(Fish!$D:$D,MATCH(X315,Fish!$L:$L,0)),"")</f>
        <v>11020</v>
      </c>
      <c r="Z315" s="43">
        <v>0</v>
      </c>
      <c r="AA315" s="43">
        <v>1</v>
      </c>
      <c r="AB315" s="43">
        <v>1</v>
      </c>
      <c r="AC315" s="43">
        <v>2</v>
      </c>
      <c r="AD315" s="43" t="s">
        <v>93</v>
      </c>
      <c r="AE315" s="43">
        <f>IF(AD315&gt;0,INDEX(Fish!$D:$D,MATCH(AD315,Fish!$L:$L,0)),"")</f>
        <v>11016</v>
      </c>
      <c r="AF315" s="43">
        <v>0</v>
      </c>
      <c r="AG315" s="43">
        <v>1</v>
      </c>
      <c r="AH315" s="43">
        <v>1</v>
      </c>
      <c r="AI315" s="43">
        <v>1</v>
      </c>
    </row>
    <row r="316" spans="1:35">
      <c r="A316" s="43">
        <v>44601</v>
      </c>
      <c r="B316" s="43">
        <v>2</v>
      </c>
      <c r="C316" s="43">
        <v>0</v>
      </c>
      <c r="D316" s="43">
        <v>2</v>
      </c>
      <c r="E316" s="43">
        <v>1</v>
      </c>
      <c r="F316" s="43" t="s">
        <v>75</v>
      </c>
      <c r="G316" s="43">
        <f>IF(F316&gt;0,INDEX(Fish!$D:$D,MATCH(F316,Fish!$L:$L,0)),"")</f>
        <v>11008</v>
      </c>
      <c r="H316" s="43">
        <v>0</v>
      </c>
      <c r="I316" s="43">
        <v>1</v>
      </c>
      <c r="J316" s="43">
        <v>3</v>
      </c>
      <c r="K316" s="43">
        <v>4</v>
      </c>
      <c r="L316" s="43" t="s">
        <v>81</v>
      </c>
      <c r="M316" s="43">
        <f>IF(L316&gt;0,INDEX(Fish!$D:$D,MATCH(L316,Fish!$L:$L,0)),"")</f>
        <v>11010</v>
      </c>
      <c r="N316" s="43">
        <v>0</v>
      </c>
      <c r="O316" s="43">
        <v>1</v>
      </c>
      <c r="P316" s="43">
        <v>2</v>
      </c>
      <c r="Q316" s="43">
        <v>3</v>
      </c>
      <c r="R316" s="43" t="s">
        <v>95</v>
      </c>
      <c r="S316" s="43">
        <f>IF(R316&gt;0,INDEX(Fish!$D:$D,MATCH(R316,Fish!$L:$L,0)),"")</f>
        <v>11017</v>
      </c>
      <c r="T316" s="43">
        <v>0</v>
      </c>
      <c r="U316" s="43">
        <v>1</v>
      </c>
      <c r="V316" s="43">
        <v>1</v>
      </c>
      <c r="W316" s="43">
        <v>2</v>
      </c>
      <c r="X316" s="43" t="s">
        <v>91</v>
      </c>
      <c r="Y316" s="43">
        <f>IF(X316&gt;0,INDEX(Fish!$D:$D,MATCH(X316,Fish!$L:$L,0)),"")</f>
        <v>11015</v>
      </c>
      <c r="Z316" s="43">
        <v>0</v>
      </c>
      <c r="AA316" s="43">
        <v>1</v>
      </c>
      <c r="AB316" s="43">
        <v>1</v>
      </c>
      <c r="AC316" s="43">
        <v>2</v>
      </c>
      <c r="AD316" s="43" t="s">
        <v>87</v>
      </c>
      <c r="AE316" s="43">
        <f>IF(AD316&gt;0,INDEX(Fish!$D:$D,MATCH(AD316,Fish!$L:$L,0)),"")</f>
        <v>11013</v>
      </c>
      <c r="AF316" s="43">
        <v>0</v>
      </c>
      <c r="AG316" s="43">
        <v>1</v>
      </c>
      <c r="AH316" s="43">
        <v>1</v>
      </c>
      <c r="AI316" s="43">
        <v>1</v>
      </c>
    </row>
    <row r="317" spans="1:35">
      <c r="A317" s="43">
        <v>44601</v>
      </c>
      <c r="B317" s="43">
        <v>2</v>
      </c>
      <c r="C317" s="43">
        <v>0</v>
      </c>
      <c r="D317" s="43">
        <v>2</v>
      </c>
      <c r="E317" s="43">
        <v>1</v>
      </c>
      <c r="F317" s="43" t="s">
        <v>75</v>
      </c>
      <c r="G317" s="43">
        <f>IF(F317&gt;0,INDEX(Fish!$D:$D,MATCH(F317,Fish!$L:$L,0)),"")</f>
        <v>11008</v>
      </c>
      <c r="H317" s="43">
        <v>0</v>
      </c>
      <c r="I317" s="43">
        <v>1</v>
      </c>
      <c r="J317" s="43">
        <v>3</v>
      </c>
      <c r="K317" s="43">
        <v>4</v>
      </c>
      <c r="L317" s="43" t="s">
        <v>81</v>
      </c>
      <c r="M317" s="43">
        <f>IF(L317&gt;0,INDEX(Fish!$D:$D,MATCH(L317,Fish!$L:$L,0)),"")</f>
        <v>11010</v>
      </c>
      <c r="N317" s="43">
        <v>0</v>
      </c>
      <c r="O317" s="43">
        <v>1</v>
      </c>
      <c r="P317" s="43">
        <v>2</v>
      </c>
      <c r="Q317" s="43">
        <v>3</v>
      </c>
      <c r="R317" s="43" t="s">
        <v>95</v>
      </c>
      <c r="S317" s="43">
        <f>IF(R317&gt;0,INDEX(Fish!$D:$D,MATCH(R317,Fish!$L:$L,0)),"")</f>
        <v>11017</v>
      </c>
      <c r="T317" s="43">
        <v>0</v>
      </c>
      <c r="U317" s="43">
        <v>1</v>
      </c>
      <c r="V317" s="43">
        <v>1</v>
      </c>
      <c r="W317" s="43">
        <v>2</v>
      </c>
      <c r="X317" s="43" t="s">
        <v>91</v>
      </c>
      <c r="Y317" s="43">
        <f>IF(X317&gt;0,INDEX(Fish!$D:$D,MATCH(X317,Fish!$L:$L,0)),"")</f>
        <v>11015</v>
      </c>
      <c r="Z317" s="43">
        <v>0</v>
      </c>
      <c r="AA317" s="43">
        <v>1</v>
      </c>
      <c r="AB317" s="43">
        <v>1</v>
      </c>
      <c r="AC317" s="43">
        <v>2</v>
      </c>
      <c r="AD317" s="43" t="s">
        <v>93</v>
      </c>
      <c r="AE317" s="43">
        <f>IF(AD317&gt;0,INDEX(Fish!$D:$D,MATCH(AD317,Fish!$L:$L,0)),"")</f>
        <v>11016</v>
      </c>
      <c r="AF317" s="43">
        <v>0</v>
      </c>
      <c r="AG317" s="43">
        <v>1</v>
      </c>
      <c r="AH317" s="43">
        <v>1</v>
      </c>
      <c r="AI317" s="43">
        <v>1</v>
      </c>
    </row>
    <row r="318" spans="1:35">
      <c r="A318" s="43">
        <v>44601</v>
      </c>
      <c r="B318" s="43">
        <v>2</v>
      </c>
      <c r="C318" s="43">
        <v>0</v>
      </c>
      <c r="D318" s="43">
        <v>2</v>
      </c>
      <c r="E318" s="43">
        <v>1</v>
      </c>
      <c r="F318" s="43" t="s">
        <v>75</v>
      </c>
      <c r="G318" s="43">
        <f>IF(F318&gt;0,INDEX(Fish!$D:$D,MATCH(F318,Fish!$L:$L,0)),"")</f>
        <v>11008</v>
      </c>
      <c r="H318" s="43">
        <v>0</v>
      </c>
      <c r="I318" s="43">
        <v>1</v>
      </c>
      <c r="J318" s="43">
        <v>3</v>
      </c>
      <c r="K318" s="43">
        <v>4</v>
      </c>
      <c r="L318" s="43" t="s">
        <v>81</v>
      </c>
      <c r="M318" s="43">
        <f>IF(L318&gt;0,INDEX(Fish!$D:$D,MATCH(L318,Fish!$L:$L,0)),"")</f>
        <v>11010</v>
      </c>
      <c r="N318" s="43">
        <v>0</v>
      </c>
      <c r="O318" s="43">
        <v>1</v>
      </c>
      <c r="P318" s="43">
        <v>2</v>
      </c>
      <c r="Q318" s="43">
        <v>3</v>
      </c>
      <c r="R318" s="43" t="s">
        <v>95</v>
      </c>
      <c r="S318" s="43">
        <f>IF(R318&gt;0,INDEX(Fish!$D:$D,MATCH(R318,Fish!$L:$L,0)),"")</f>
        <v>11017</v>
      </c>
      <c r="T318" s="43">
        <v>0</v>
      </c>
      <c r="U318" s="43">
        <v>1</v>
      </c>
      <c r="V318" s="43">
        <v>1</v>
      </c>
      <c r="W318" s="43">
        <v>2</v>
      </c>
      <c r="X318" s="43" t="s">
        <v>97</v>
      </c>
      <c r="Y318" s="43">
        <f>IF(X318&gt;0,INDEX(Fish!$D:$D,MATCH(X318,Fish!$L:$L,0)),"")</f>
        <v>11020</v>
      </c>
      <c r="Z318" s="43">
        <v>0</v>
      </c>
      <c r="AA318" s="43">
        <v>1</v>
      </c>
      <c r="AB318" s="43">
        <v>1</v>
      </c>
      <c r="AC318" s="43">
        <v>2</v>
      </c>
      <c r="AD318" s="43" t="s">
        <v>87</v>
      </c>
      <c r="AE318" s="43">
        <f>IF(AD318&gt;0,INDEX(Fish!$D:$D,MATCH(AD318,Fish!$L:$L,0)),"")</f>
        <v>11013</v>
      </c>
      <c r="AF318" s="43">
        <v>0</v>
      </c>
      <c r="AG318" s="43">
        <v>1</v>
      </c>
      <c r="AH318" s="43">
        <v>1</v>
      </c>
      <c r="AI318" s="43">
        <v>1</v>
      </c>
    </row>
    <row r="319" spans="1:35">
      <c r="A319" s="43">
        <v>44601</v>
      </c>
      <c r="B319" s="43">
        <v>2</v>
      </c>
      <c r="C319" s="43">
        <v>0</v>
      </c>
      <c r="D319" s="43">
        <v>2</v>
      </c>
      <c r="E319" s="43">
        <v>1</v>
      </c>
      <c r="F319" s="43" t="s">
        <v>75</v>
      </c>
      <c r="G319" s="43">
        <f>IF(F319&gt;0,INDEX(Fish!$D:$D,MATCH(F319,Fish!$L:$L,0)),"")</f>
        <v>11008</v>
      </c>
      <c r="H319" s="43">
        <v>0</v>
      </c>
      <c r="I319" s="43">
        <v>1</v>
      </c>
      <c r="J319" s="43">
        <v>3</v>
      </c>
      <c r="K319" s="43">
        <v>4</v>
      </c>
      <c r="L319" s="43" t="s">
        <v>81</v>
      </c>
      <c r="M319" s="43">
        <f>IF(L319&gt;0,INDEX(Fish!$D:$D,MATCH(L319,Fish!$L:$L,0)),"")</f>
        <v>11010</v>
      </c>
      <c r="N319" s="43">
        <v>0</v>
      </c>
      <c r="O319" s="43">
        <v>1</v>
      </c>
      <c r="P319" s="43">
        <v>2</v>
      </c>
      <c r="Q319" s="43">
        <v>3</v>
      </c>
      <c r="R319" s="43" t="s">
        <v>95</v>
      </c>
      <c r="S319" s="43">
        <f>IF(R319&gt;0,INDEX(Fish!$D:$D,MATCH(R319,Fish!$L:$L,0)),"")</f>
        <v>11017</v>
      </c>
      <c r="T319" s="43">
        <v>0</v>
      </c>
      <c r="U319" s="43">
        <v>1</v>
      </c>
      <c r="V319" s="43">
        <v>1</v>
      </c>
      <c r="W319" s="43">
        <v>2</v>
      </c>
      <c r="X319" s="43" t="s">
        <v>97</v>
      </c>
      <c r="Y319" s="43">
        <f>IF(X319&gt;0,INDEX(Fish!$D:$D,MATCH(X319,Fish!$L:$L,0)),"")</f>
        <v>11020</v>
      </c>
      <c r="Z319" s="43">
        <v>0</v>
      </c>
      <c r="AA319" s="43">
        <v>1</v>
      </c>
      <c r="AB319" s="43">
        <v>1</v>
      </c>
      <c r="AC319" s="43">
        <v>2</v>
      </c>
      <c r="AD319" s="43" t="s">
        <v>93</v>
      </c>
      <c r="AE319" s="43">
        <f>IF(AD319&gt;0,INDEX(Fish!$D:$D,MATCH(AD319,Fish!$L:$L,0)),"")</f>
        <v>11016</v>
      </c>
      <c r="AF319" s="43">
        <v>0</v>
      </c>
      <c r="AG319" s="43">
        <v>1</v>
      </c>
      <c r="AH319" s="43">
        <v>1</v>
      </c>
      <c r="AI319" s="43">
        <v>1</v>
      </c>
    </row>
    <row r="320" spans="1:35">
      <c r="A320" s="43">
        <v>44601</v>
      </c>
      <c r="B320" s="43">
        <v>2</v>
      </c>
      <c r="C320" s="43">
        <v>0</v>
      </c>
      <c r="D320" s="43">
        <v>2</v>
      </c>
      <c r="E320" s="43">
        <v>1</v>
      </c>
      <c r="F320" s="43" t="s">
        <v>75</v>
      </c>
      <c r="G320" s="43">
        <f>IF(F320&gt;0,INDEX(Fish!$D:$D,MATCH(F320,Fish!$L:$L,0)),"")</f>
        <v>11008</v>
      </c>
      <c r="H320" s="43">
        <v>0</v>
      </c>
      <c r="I320" s="43">
        <v>1</v>
      </c>
      <c r="J320" s="43">
        <v>3</v>
      </c>
      <c r="K320" s="43">
        <v>4</v>
      </c>
      <c r="L320" s="43" t="s">
        <v>81</v>
      </c>
      <c r="M320" s="43">
        <f>IF(L320&gt;0,INDEX(Fish!$D:$D,MATCH(L320,Fish!$L:$L,0)),"")</f>
        <v>11010</v>
      </c>
      <c r="N320" s="43">
        <v>0</v>
      </c>
      <c r="O320" s="43">
        <v>1</v>
      </c>
      <c r="P320" s="43">
        <v>2</v>
      </c>
      <c r="Q320" s="43">
        <v>3</v>
      </c>
      <c r="R320" s="43" t="s">
        <v>85</v>
      </c>
      <c r="S320" s="43">
        <f>IF(R320&gt;0,INDEX(Fish!$D:$D,MATCH(R320,Fish!$L:$L,0)),"")</f>
        <v>11012</v>
      </c>
      <c r="T320" s="43">
        <v>0</v>
      </c>
      <c r="U320" s="43">
        <v>1</v>
      </c>
      <c r="V320" s="43">
        <v>1</v>
      </c>
      <c r="W320" s="43">
        <v>2</v>
      </c>
      <c r="X320" s="43" t="s">
        <v>91</v>
      </c>
      <c r="Y320" s="43">
        <f>IF(X320&gt;0,INDEX(Fish!$D:$D,MATCH(X320,Fish!$L:$L,0)),"")</f>
        <v>11015</v>
      </c>
      <c r="Z320" s="43">
        <v>0</v>
      </c>
      <c r="AA320" s="43">
        <v>1</v>
      </c>
      <c r="AB320" s="43">
        <v>1</v>
      </c>
      <c r="AC320" s="43">
        <v>2</v>
      </c>
      <c r="AD320" s="43" t="s">
        <v>87</v>
      </c>
      <c r="AE320" s="43">
        <f>IF(AD320&gt;0,INDEX(Fish!$D:$D,MATCH(AD320,Fish!$L:$L,0)),"")</f>
        <v>11013</v>
      </c>
      <c r="AF320" s="43">
        <v>0</v>
      </c>
      <c r="AG320" s="43">
        <v>1</v>
      </c>
      <c r="AH320" s="43">
        <v>1</v>
      </c>
      <c r="AI320" s="43">
        <v>1</v>
      </c>
    </row>
    <row r="321" spans="1:35">
      <c r="A321" s="43">
        <v>44601</v>
      </c>
      <c r="B321" s="43">
        <v>2</v>
      </c>
      <c r="C321" s="43">
        <v>0</v>
      </c>
      <c r="D321" s="43">
        <v>2</v>
      </c>
      <c r="E321" s="43">
        <v>1</v>
      </c>
      <c r="F321" s="43" t="s">
        <v>75</v>
      </c>
      <c r="G321" s="43">
        <f>IF(F321&gt;0,INDEX(Fish!$D:$D,MATCH(F321,Fish!$L:$L,0)),"")</f>
        <v>11008</v>
      </c>
      <c r="H321" s="43">
        <v>0</v>
      </c>
      <c r="I321" s="43">
        <v>1</v>
      </c>
      <c r="J321" s="43">
        <v>3</v>
      </c>
      <c r="K321" s="43">
        <v>4</v>
      </c>
      <c r="L321" s="43" t="s">
        <v>81</v>
      </c>
      <c r="M321" s="43">
        <f>IF(L321&gt;0,INDEX(Fish!$D:$D,MATCH(L321,Fish!$L:$L,0)),"")</f>
        <v>11010</v>
      </c>
      <c r="N321" s="43">
        <v>0</v>
      </c>
      <c r="O321" s="43">
        <v>1</v>
      </c>
      <c r="P321" s="43">
        <v>2</v>
      </c>
      <c r="Q321" s="43">
        <v>3</v>
      </c>
      <c r="R321" s="43" t="s">
        <v>85</v>
      </c>
      <c r="S321" s="43">
        <f>IF(R321&gt;0,INDEX(Fish!$D:$D,MATCH(R321,Fish!$L:$L,0)),"")</f>
        <v>11012</v>
      </c>
      <c r="T321" s="43">
        <v>0</v>
      </c>
      <c r="U321" s="43">
        <v>1</v>
      </c>
      <c r="V321" s="43">
        <v>1</v>
      </c>
      <c r="W321" s="43">
        <v>2</v>
      </c>
      <c r="X321" s="43" t="s">
        <v>91</v>
      </c>
      <c r="Y321" s="43">
        <f>IF(X321&gt;0,INDEX(Fish!$D:$D,MATCH(X321,Fish!$L:$L,0)),"")</f>
        <v>11015</v>
      </c>
      <c r="Z321" s="43">
        <v>0</v>
      </c>
      <c r="AA321" s="43">
        <v>1</v>
      </c>
      <c r="AB321" s="43">
        <v>1</v>
      </c>
      <c r="AC321" s="43">
        <v>2</v>
      </c>
      <c r="AD321" s="43" t="s">
        <v>93</v>
      </c>
      <c r="AE321" s="43">
        <f>IF(AD321&gt;0,INDEX(Fish!$D:$D,MATCH(AD321,Fish!$L:$L,0)),"")</f>
        <v>11016</v>
      </c>
      <c r="AF321" s="43">
        <v>0</v>
      </c>
      <c r="AG321" s="43">
        <v>1</v>
      </c>
      <c r="AH321" s="43">
        <v>1</v>
      </c>
      <c r="AI321" s="43">
        <v>1</v>
      </c>
    </row>
    <row r="322" spans="1:35">
      <c r="A322" s="43">
        <v>44601</v>
      </c>
      <c r="B322" s="43">
        <v>2</v>
      </c>
      <c r="C322" s="43">
        <v>0</v>
      </c>
      <c r="D322" s="43">
        <v>2</v>
      </c>
      <c r="E322" s="43">
        <v>1</v>
      </c>
      <c r="F322" s="43" t="s">
        <v>75</v>
      </c>
      <c r="G322" s="43">
        <f>IF(F322&gt;0,INDEX(Fish!$D:$D,MATCH(F322,Fish!$L:$L,0)),"")</f>
        <v>11008</v>
      </c>
      <c r="H322" s="43">
        <v>0</v>
      </c>
      <c r="I322" s="43">
        <v>1</v>
      </c>
      <c r="J322" s="43">
        <v>3</v>
      </c>
      <c r="K322" s="43">
        <v>4</v>
      </c>
      <c r="L322" s="43" t="s">
        <v>81</v>
      </c>
      <c r="M322" s="43">
        <f>IF(L322&gt;0,INDEX(Fish!$D:$D,MATCH(L322,Fish!$L:$L,0)),"")</f>
        <v>11010</v>
      </c>
      <c r="N322" s="43">
        <v>0</v>
      </c>
      <c r="O322" s="43">
        <v>1</v>
      </c>
      <c r="P322" s="43">
        <v>2</v>
      </c>
      <c r="Q322" s="43">
        <v>3</v>
      </c>
      <c r="R322" s="43" t="s">
        <v>85</v>
      </c>
      <c r="S322" s="43">
        <f>IF(R322&gt;0,INDEX(Fish!$D:$D,MATCH(R322,Fish!$L:$L,0)),"")</f>
        <v>11012</v>
      </c>
      <c r="T322" s="43">
        <v>0</v>
      </c>
      <c r="U322" s="43">
        <v>1</v>
      </c>
      <c r="V322" s="43">
        <v>1</v>
      </c>
      <c r="W322" s="43">
        <v>2</v>
      </c>
      <c r="X322" s="43" t="s">
        <v>97</v>
      </c>
      <c r="Y322" s="43">
        <f>IF(X322&gt;0,INDEX(Fish!$D:$D,MATCH(X322,Fish!$L:$L,0)),"")</f>
        <v>11020</v>
      </c>
      <c r="Z322" s="43">
        <v>0</v>
      </c>
      <c r="AA322" s="43">
        <v>1</v>
      </c>
      <c r="AB322" s="43">
        <v>1</v>
      </c>
      <c r="AC322" s="43">
        <v>2</v>
      </c>
      <c r="AD322" s="43" t="s">
        <v>87</v>
      </c>
      <c r="AE322" s="43">
        <f>IF(AD322&gt;0,INDEX(Fish!$D:$D,MATCH(AD322,Fish!$L:$L,0)),"")</f>
        <v>11013</v>
      </c>
      <c r="AF322" s="43">
        <v>0</v>
      </c>
      <c r="AG322" s="43">
        <v>1</v>
      </c>
      <c r="AH322" s="43">
        <v>1</v>
      </c>
      <c r="AI322" s="43">
        <v>1</v>
      </c>
    </row>
    <row r="323" spans="1:35">
      <c r="A323" s="43">
        <v>44601</v>
      </c>
      <c r="B323" s="43">
        <v>2</v>
      </c>
      <c r="C323" s="43">
        <v>0</v>
      </c>
      <c r="D323" s="43">
        <v>2</v>
      </c>
      <c r="E323" s="43">
        <v>1</v>
      </c>
      <c r="F323" s="43" t="s">
        <v>75</v>
      </c>
      <c r="G323" s="43">
        <f>IF(F323&gt;0,INDEX(Fish!$D:$D,MATCH(F323,Fish!$L:$L,0)),"")</f>
        <v>11008</v>
      </c>
      <c r="H323" s="43">
        <v>0</v>
      </c>
      <c r="I323" s="43">
        <v>1</v>
      </c>
      <c r="J323" s="43">
        <v>3</v>
      </c>
      <c r="K323" s="43">
        <v>4</v>
      </c>
      <c r="L323" s="43" t="s">
        <v>81</v>
      </c>
      <c r="M323" s="43">
        <f>IF(L323&gt;0,INDEX(Fish!$D:$D,MATCH(L323,Fish!$L:$L,0)),"")</f>
        <v>11010</v>
      </c>
      <c r="N323" s="43">
        <v>0</v>
      </c>
      <c r="O323" s="43">
        <v>1</v>
      </c>
      <c r="P323" s="43">
        <v>2</v>
      </c>
      <c r="Q323" s="43">
        <v>3</v>
      </c>
      <c r="R323" s="43" t="s">
        <v>85</v>
      </c>
      <c r="S323" s="43">
        <f>IF(R323&gt;0,INDEX(Fish!$D:$D,MATCH(R323,Fish!$L:$L,0)),"")</f>
        <v>11012</v>
      </c>
      <c r="T323" s="43">
        <v>0</v>
      </c>
      <c r="U323" s="43">
        <v>1</v>
      </c>
      <c r="V323" s="43">
        <v>1</v>
      </c>
      <c r="W323" s="43">
        <v>2</v>
      </c>
      <c r="X323" s="43" t="s">
        <v>97</v>
      </c>
      <c r="Y323" s="43">
        <f>IF(X323&gt;0,INDEX(Fish!$D:$D,MATCH(X323,Fish!$L:$L,0)),"")</f>
        <v>11020</v>
      </c>
      <c r="Z323" s="43">
        <v>0</v>
      </c>
      <c r="AA323" s="43">
        <v>1</v>
      </c>
      <c r="AB323" s="43">
        <v>1</v>
      </c>
      <c r="AC323" s="43">
        <v>2</v>
      </c>
      <c r="AD323" s="43" t="s">
        <v>93</v>
      </c>
      <c r="AE323" s="43">
        <f>IF(AD323&gt;0,INDEX(Fish!$D:$D,MATCH(AD323,Fish!$L:$L,0)),"")</f>
        <v>11016</v>
      </c>
      <c r="AF323" s="43">
        <v>0</v>
      </c>
      <c r="AG323" s="43">
        <v>1</v>
      </c>
      <c r="AH323" s="43">
        <v>1</v>
      </c>
      <c r="AI323" s="43">
        <v>1</v>
      </c>
    </row>
    <row r="324" spans="1:35">
      <c r="A324" s="43">
        <v>44601</v>
      </c>
      <c r="B324" s="43">
        <v>2</v>
      </c>
      <c r="C324" s="43">
        <v>0</v>
      </c>
      <c r="D324" s="43">
        <v>2</v>
      </c>
      <c r="E324" s="43">
        <v>1</v>
      </c>
      <c r="F324" s="43" t="s">
        <v>77</v>
      </c>
      <c r="G324" s="43">
        <f>IF(F324&gt;0,INDEX(Fish!$D:$D,MATCH(F324,Fish!$L:$L,0)),"")</f>
        <v>11009</v>
      </c>
      <c r="H324" s="43">
        <v>0</v>
      </c>
      <c r="I324" s="43">
        <v>1</v>
      </c>
      <c r="J324" s="43">
        <v>3</v>
      </c>
      <c r="K324" s="43">
        <v>4</v>
      </c>
      <c r="L324" s="43" t="s">
        <v>83</v>
      </c>
      <c r="M324" s="43">
        <f>IF(L324&gt;0,INDEX(Fish!$D:$D,MATCH(L324,Fish!$L:$L,0)),"")</f>
        <v>11011</v>
      </c>
      <c r="N324" s="43">
        <v>0</v>
      </c>
      <c r="O324" s="43">
        <v>1</v>
      </c>
      <c r="P324" s="43">
        <v>2</v>
      </c>
      <c r="Q324" s="43">
        <v>3</v>
      </c>
      <c r="R324" s="43" t="s">
        <v>95</v>
      </c>
      <c r="S324" s="43">
        <f>IF(R324&gt;0,INDEX(Fish!$D:$D,MATCH(R324,Fish!$L:$L,0)),"")</f>
        <v>11017</v>
      </c>
      <c r="T324" s="43">
        <v>0</v>
      </c>
      <c r="U324" s="43">
        <v>1</v>
      </c>
      <c r="V324" s="43">
        <v>1</v>
      </c>
      <c r="W324" s="43">
        <v>2</v>
      </c>
      <c r="X324" s="43" t="s">
        <v>91</v>
      </c>
      <c r="Y324" s="43">
        <f>IF(X324&gt;0,INDEX(Fish!$D:$D,MATCH(X324,Fish!$L:$L,0)),"")</f>
        <v>11015</v>
      </c>
      <c r="Z324" s="43">
        <v>0</v>
      </c>
      <c r="AA324" s="43">
        <v>1</v>
      </c>
      <c r="AB324" s="43">
        <v>1</v>
      </c>
      <c r="AC324" s="43">
        <v>2</v>
      </c>
      <c r="AD324" s="43" t="s">
        <v>87</v>
      </c>
      <c r="AE324" s="43">
        <f>IF(AD324&gt;0,INDEX(Fish!$D:$D,MATCH(AD324,Fish!$L:$L,0)),"")</f>
        <v>11013</v>
      </c>
      <c r="AF324" s="43">
        <v>0</v>
      </c>
      <c r="AG324" s="43">
        <v>1</v>
      </c>
      <c r="AH324" s="43">
        <v>1</v>
      </c>
      <c r="AI324" s="43">
        <v>1</v>
      </c>
    </row>
    <row r="325" spans="1:35">
      <c r="A325" s="43">
        <v>44601</v>
      </c>
      <c r="B325" s="43">
        <v>2</v>
      </c>
      <c r="C325" s="43">
        <v>0</v>
      </c>
      <c r="D325" s="43">
        <v>2</v>
      </c>
      <c r="E325" s="43">
        <v>1</v>
      </c>
      <c r="F325" s="43" t="s">
        <v>77</v>
      </c>
      <c r="G325" s="43">
        <f>IF(F325&gt;0,INDEX(Fish!$D:$D,MATCH(F325,Fish!$L:$L,0)),"")</f>
        <v>11009</v>
      </c>
      <c r="H325" s="43">
        <v>0</v>
      </c>
      <c r="I325" s="43">
        <v>1</v>
      </c>
      <c r="J325" s="43">
        <v>3</v>
      </c>
      <c r="K325" s="43">
        <v>4</v>
      </c>
      <c r="L325" s="43" t="s">
        <v>83</v>
      </c>
      <c r="M325" s="43">
        <f>IF(L325&gt;0,INDEX(Fish!$D:$D,MATCH(L325,Fish!$L:$L,0)),"")</f>
        <v>11011</v>
      </c>
      <c r="N325" s="43">
        <v>0</v>
      </c>
      <c r="O325" s="43">
        <v>1</v>
      </c>
      <c r="P325" s="43">
        <v>2</v>
      </c>
      <c r="Q325" s="43">
        <v>3</v>
      </c>
      <c r="R325" s="43" t="s">
        <v>95</v>
      </c>
      <c r="S325" s="43">
        <f>IF(R325&gt;0,INDEX(Fish!$D:$D,MATCH(R325,Fish!$L:$L,0)),"")</f>
        <v>11017</v>
      </c>
      <c r="T325" s="43">
        <v>0</v>
      </c>
      <c r="U325" s="43">
        <v>1</v>
      </c>
      <c r="V325" s="43">
        <v>1</v>
      </c>
      <c r="W325" s="43">
        <v>2</v>
      </c>
      <c r="X325" s="43" t="s">
        <v>91</v>
      </c>
      <c r="Y325" s="43">
        <f>IF(X325&gt;0,INDEX(Fish!$D:$D,MATCH(X325,Fish!$L:$L,0)),"")</f>
        <v>11015</v>
      </c>
      <c r="Z325" s="43">
        <v>0</v>
      </c>
      <c r="AA325" s="43">
        <v>1</v>
      </c>
      <c r="AB325" s="43">
        <v>1</v>
      </c>
      <c r="AC325" s="43">
        <v>2</v>
      </c>
      <c r="AD325" s="43" t="s">
        <v>93</v>
      </c>
      <c r="AE325" s="43">
        <f>IF(AD325&gt;0,INDEX(Fish!$D:$D,MATCH(AD325,Fish!$L:$L,0)),"")</f>
        <v>11016</v>
      </c>
      <c r="AF325" s="43">
        <v>0</v>
      </c>
      <c r="AG325" s="43">
        <v>1</v>
      </c>
      <c r="AH325" s="43">
        <v>1</v>
      </c>
      <c r="AI325" s="43">
        <v>1</v>
      </c>
    </row>
    <row r="326" spans="1:35">
      <c r="A326" s="43">
        <v>44601</v>
      </c>
      <c r="B326" s="43">
        <v>2</v>
      </c>
      <c r="C326" s="43">
        <v>0</v>
      </c>
      <c r="D326" s="43">
        <v>2</v>
      </c>
      <c r="E326" s="43">
        <v>1</v>
      </c>
      <c r="F326" s="43" t="s">
        <v>77</v>
      </c>
      <c r="G326" s="43">
        <f>IF(F326&gt;0,INDEX(Fish!$D:$D,MATCH(F326,Fish!$L:$L,0)),"")</f>
        <v>11009</v>
      </c>
      <c r="H326" s="43">
        <v>0</v>
      </c>
      <c r="I326" s="43">
        <v>1</v>
      </c>
      <c r="J326" s="43">
        <v>3</v>
      </c>
      <c r="K326" s="43">
        <v>4</v>
      </c>
      <c r="L326" s="43" t="s">
        <v>83</v>
      </c>
      <c r="M326" s="43">
        <f>IF(L326&gt;0,INDEX(Fish!$D:$D,MATCH(L326,Fish!$L:$L,0)),"")</f>
        <v>11011</v>
      </c>
      <c r="N326" s="43">
        <v>0</v>
      </c>
      <c r="O326" s="43">
        <v>1</v>
      </c>
      <c r="P326" s="43">
        <v>2</v>
      </c>
      <c r="Q326" s="43">
        <v>3</v>
      </c>
      <c r="R326" s="43" t="s">
        <v>95</v>
      </c>
      <c r="S326" s="43">
        <f>IF(R326&gt;0,INDEX(Fish!$D:$D,MATCH(R326,Fish!$L:$L,0)),"")</f>
        <v>11017</v>
      </c>
      <c r="T326" s="43">
        <v>0</v>
      </c>
      <c r="U326" s="43">
        <v>1</v>
      </c>
      <c r="V326" s="43">
        <v>1</v>
      </c>
      <c r="W326" s="43">
        <v>2</v>
      </c>
      <c r="X326" s="43" t="s">
        <v>97</v>
      </c>
      <c r="Y326" s="43">
        <f>IF(X326&gt;0,INDEX(Fish!$D:$D,MATCH(X326,Fish!$L:$L,0)),"")</f>
        <v>11020</v>
      </c>
      <c r="Z326" s="43">
        <v>0</v>
      </c>
      <c r="AA326" s="43">
        <v>1</v>
      </c>
      <c r="AB326" s="43">
        <v>1</v>
      </c>
      <c r="AC326" s="43">
        <v>2</v>
      </c>
      <c r="AD326" s="43" t="s">
        <v>87</v>
      </c>
      <c r="AE326" s="43">
        <f>IF(AD326&gt;0,INDEX(Fish!$D:$D,MATCH(AD326,Fish!$L:$L,0)),"")</f>
        <v>11013</v>
      </c>
      <c r="AF326" s="43">
        <v>0</v>
      </c>
      <c r="AG326" s="43">
        <v>1</v>
      </c>
      <c r="AH326" s="43">
        <v>1</v>
      </c>
      <c r="AI326" s="43">
        <v>1</v>
      </c>
    </row>
    <row r="327" spans="1:35">
      <c r="A327" s="43">
        <v>44601</v>
      </c>
      <c r="B327" s="43">
        <v>2</v>
      </c>
      <c r="C327" s="43">
        <v>0</v>
      </c>
      <c r="D327" s="43">
        <v>2</v>
      </c>
      <c r="E327" s="43">
        <v>1</v>
      </c>
      <c r="F327" s="43" t="s">
        <v>77</v>
      </c>
      <c r="G327" s="43">
        <f>IF(F327&gt;0,INDEX(Fish!$D:$D,MATCH(F327,Fish!$L:$L,0)),"")</f>
        <v>11009</v>
      </c>
      <c r="H327" s="43">
        <v>0</v>
      </c>
      <c r="I327" s="43">
        <v>1</v>
      </c>
      <c r="J327" s="43">
        <v>3</v>
      </c>
      <c r="K327" s="43">
        <v>4</v>
      </c>
      <c r="L327" s="43" t="s">
        <v>83</v>
      </c>
      <c r="M327" s="43">
        <f>IF(L327&gt;0,INDEX(Fish!$D:$D,MATCH(L327,Fish!$L:$L,0)),"")</f>
        <v>11011</v>
      </c>
      <c r="N327" s="43">
        <v>0</v>
      </c>
      <c r="O327" s="43">
        <v>1</v>
      </c>
      <c r="P327" s="43">
        <v>2</v>
      </c>
      <c r="Q327" s="43">
        <v>3</v>
      </c>
      <c r="R327" s="43" t="s">
        <v>95</v>
      </c>
      <c r="S327" s="43">
        <f>IF(R327&gt;0,INDEX(Fish!$D:$D,MATCH(R327,Fish!$L:$L,0)),"")</f>
        <v>11017</v>
      </c>
      <c r="T327" s="43">
        <v>0</v>
      </c>
      <c r="U327" s="43">
        <v>1</v>
      </c>
      <c r="V327" s="43">
        <v>1</v>
      </c>
      <c r="W327" s="43">
        <v>2</v>
      </c>
      <c r="X327" s="43" t="s">
        <v>97</v>
      </c>
      <c r="Y327" s="43">
        <f>IF(X327&gt;0,INDEX(Fish!$D:$D,MATCH(X327,Fish!$L:$L,0)),"")</f>
        <v>11020</v>
      </c>
      <c r="Z327" s="43">
        <v>0</v>
      </c>
      <c r="AA327" s="43">
        <v>1</v>
      </c>
      <c r="AB327" s="43">
        <v>1</v>
      </c>
      <c r="AC327" s="43">
        <v>2</v>
      </c>
      <c r="AD327" s="43" t="s">
        <v>93</v>
      </c>
      <c r="AE327" s="43">
        <f>IF(AD327&gt;0,INDEX(Fish!$D:$D,MATCH(AD327,Fish!$L:$L,0)),"")</f>
        <v>11016</v>
      </c>
      <c r="AF327" s="43">
        <v>0</v>
      </c>
      <c r="AG327" s="43">
        <v>1</v>
      </c>
      <c r="AH327" s="43">
        <v>1</v>
      </c>
      <c r="AI327" s="43">
        <v>1</v>
      </c>
    </row>
    <row r="328" spans="1:35">
      <c r="A328" s="43">
        <v>44601</v>
      </c>
      <c r="B328" s="43">
        <v>2</v>
      </c>
      <c r="C328" s="43">
        <v>0</v>
      </c>
      <c r="D328" s="43">
        <v>2</v>
      </c>
      <c r="E328" s="43">
        <v>1</v>
      </c>
      <c r="F328" s="43" t="s">
        <v>77</v>
      </c>
      <c r="G328" s="43">
        <f>IF(F328&gt;0,INDEX(Fish!$D:$D,MATCH(F328,Fish!$L:$L,0)),"")</f>
        <v>11009</v>
      </c>
      <c r="H328" s="43">
        <v>0</v>
      </c>
      <c r="I328" s="43">
        <v>1</v>
      </c>
      <c r="J328" s="43">
        <v>3</v>
      </c>
      <c r="K328" s="43">
        <v>4</v>
      </c>
      <c r="L328" s="43" t="s">
        <v>83</v>
      </c>
      <c r="M328" s="43">
        <f>IF(L328&gt;0,INDEX(Fish!$D:$D,MATCH(L328,Fish!$L:$L,0)),"")</f>
        <v>11011</v>
      </c>
      <c r="N328" s="43">
        <v>0</v>
      </c>
      <c r="O328" s="43">
        <v>1</v>
      </c>
      <c r="P328" s="43">
        <v>2</v>
      </c>
      <c r="Q328" s="43">
        <v>3</v>
      </c>
      <c r="R328" s="43" t="s">
        <v>85</v>
      </c>
      <c r="S328" s="43">
        <f>IF(R328&gt;0,INDEX(Fish!$D:$D,MATCH(R328,Fish!$L:$L,0)),"")</f>
        <v>11012</v>
      </c>
      <c r="T328" s="43">
        <v>0</v>
      </c>
      <c r="U328" s="43">
        <v>1</v>
      </c>
      <c r="V328" s="43">
        <v>1</v>
      </c>
      <c r="W328" s="43">
        <v>2</v>
      </c>
      <c r="X328" s="43" t="s">
        <v>91</v>
      </c>
      <c r="Y328" s="43">
        <f>IF(X328&gt;0,INDEX(Fish!$D:$D,MATCH(X328,Fish!$L:$L,0)),"")</f>
        <v>11015</v>
      </c>
      <c r="Z328" s="43">
        <v>0</v>
      </c>
      <c r="AA328" s="43">
        <v>1</v>
      </c>
      <c r="AB328" s="43">
        <v>1</v>
      </c>
      <c r="AC328" s="43">
        <v>2</v>
      </c>
      <c r="AD328" s="43" t="s">
        <v>87</v>
      </c>
      <c r="AE328" s="43">
        <f>IF(AD328&gt;0,INDEX(Fish!$D:$D,MATCH(AD328,Fish!$L:$L,0)),"")</f>
        <v>11013</v>
      </c>
      <c r="AF328" s="43">
        <v>0</v>
      </c>
      <c r="AG328" s="43">
        <v>1</v>
      </c>
      <c r="AH328" s="43">
        <v>1</v>
      </c>
      <c r="AI328" s="43">
        <v>1</v>
      </c>
    </row>
    <row r="329" spans="1:35">
      <c r="A329" s="43">
        <v>44601</v>
      </c>
      <c r="B329" s="43">
        <v>2</v>
      </c>
      <c r="C329" s="43">
        <v>0</v>
      </c>
      <c r="D329" s="43">
        <v>2</v>
      </c>
      <c r="E329" s="43">
        <v>1</v>
      </c>
      <c r="F329" s="43" t="s">
        <v>77</v>
      </c>
      <c r="G329" s="43">
        <f>IF(F329&gt;0,INDEX(Fish!$D:$D,MATCH(F329,Fish!$L:$L,0)),"")</f>
        <v>11009</v>
      </c>
      <c r="H329" s="43">
        <v>0</v>
      </c>
      <c r="I329" s="43">
        <v>1</v>
      </c>
      <c r="J329" s="43">
        <v>3</v>
      </c>
      <c r="K329" s="43">
        <v>4</v>
      </c>
      <c r="L329" s="43" t="s">
        <v>83</v>
      </c>
      <c r="M329" s="43">
        <f>IF(L329&gt;0,INDEX(Fish!$D:$D,MATCH(L329,Fish!$L:$L,0)),"")</f>
        <v>11011</v>
      </c>
      <c r="N329" s="43">
        <v>0</v>
      </c>
      <c r="O329" s="43">
        <v>1</v>
      </c>
      <c r="P329" s="43">
        <v>2</v>
      </c>
      <c r="Q329" s="43">
        <v>3</v>
      </c>
      <c r="R329" s="43" t="s">
        <v>85</v>
      </c>
      <c r="S329" s="43">
        <f>IF(R329&gt;0,INDEX(Fish!$D:$D,MATCH(R329,Fish!$L:$L,0)),"")</f>
        <v>11012</v>
      </c>
      <c r="T329" s="43">
        <v>0</v>
      </c>
      <c r="U329" s="43">
        <v>1</v>
      </c>
      <c r="V329" s="43">
        <v>1</v>
      </c>
      <c r="W329" s="43">
        <v>2</v>
      </c>
      <c r="X329" s="43" t="s">
        <v>91</v>
      </c>
      <c r="Y329" s="43">
        <f>IF(X329&gt;0,INDEX(Fish!$D:$D,MATCH(X329,Fish!$L:$L,0)),"")</f>
        <v>11015</v>
      </c>
      <c r="Z329" s="43">
        <v>0</v>
      </c>
      <c r="AA329" s="43">
        <v>1</v>
      </c>
      <c r="AB329" s="43">
        <v>1</v>
      </c>
      <c r="AC329" s="43">
        <v>2</v>
      </c>
      <c r="AD329" s="43" t="s">
        <v>93</v>
      </c>
      <c r="AE329" s="43">
        <f>IF(AD329&gt;0,INDEX(Fish!$D:$D,MATCH(AD329,Fish!$L:$L,0)),"")</f>
        <v>11016</v>
      </c>
      <c r="AF329" s="43">
        <v>0</v>
      </c>
      <c r="AG329" s="43">
        <v>1</v>
      </c>
      <c r="AH329" s="43">
        <v>1</v>
      </c>
      <c r="AI329" s="43">
        <v>1</v>
      </c>
    </row>
    <row r="330" spans="1:35">
      <c r="A330" s="43">
        <v>44601</v>
      </c>
      <c r="B330" s="43">
        <v>2</v>
      </c>
      <c r="C330" s="43">
        <v>0</v>
      </c>
      <c r="D330" s="43">
        <v>2</v>
      </c>
      <c r="E330" s="43">
        <v>1</v>
      </c>
      <c r="F330" s="43" t="s">
        <v>77</v>
      </c>
      <c r="G330" s="43">
        <f>IF(F330&gt;0,INDEX(Fish!$D:$D,MATCH(F330,Fish!$L:$L,0)),"")</f>
        <v>11009</v>
      </c>
      <c r="H330" s="43">
        <v>0</v>
      </c>
      <c r="I330" s="43">
        <v>1</v>
      </c>
      <c r="J330" s="43">
        <v>3</v>
      </c>
      <c r="K330" s="43">
        <v>4</v>
      </c>
      <c r="L330" s="43" t="s">
        <v>83</v>
      </c>
      <c r="M330" s="43">
        <f>IF(L330&gt;0,INDEX(Fish!$D:$D,MATCH(L330,Fish!$L:$L,0)),"")</f>
        <v>11011</v>
      </c>
      <c r="N330" s="43">
        <v>0</v>
      </c>
      <c r="O330" s="43">
        <v>1</v>
      </c>
      <c r="P330" s="43">
        <v>2</v>
      </c>
      <c r="Q330" s="43">
        <v>3</v>
      </c>
      <c r="R330" s="43" t="s">
        <v>85</v>
      </c>
      <c r="S330" s="43">
        <f>IF(R330&gt;0,INDEX(Fish!$D:$D,MATCH(R330,Fish!$L:$L,0)),"")</f>
        <v>11012</v>
      </c>
      <c r="T330" s="43">
        <v>0</v>
      </c>
      <c r="U330" s="43">
        <v>1</v>
      </c>
      <c r="V330" s="43">
        <v>1</v>
      </c>
      <c r="W330" s="43">
        <v>2</v>
      </c>
      <c r="X330" s="43" t="s">
        <v>97</v>
      </c>
      <c r="Y330" s="43">
        <f>IF(X330&gt;0,INDEX(Fish!$D:$D,MATCH(X330,Fish!$L:$L,0)),"")</f>
        <v>11020</v>
      </c>
      <c r="Z330" s="43">
        <v>0</v>
      </c>
      <c r="AA330" s="43">
        <v>1</v>
      </c>
      <c r="AB330" s="43">
        <v>1</v>
      </c>
      <c r="AC330" s="43">
        <v>2</v>
      </c>
      <c r="AD330" s="43" t="s">
        <v>87</v>
      </c>
      <c r="AE330" s="43">
        <f>IF(AD330&gt;0,INDEX(Fish!$D:$D,MATCH(AD330,Fish!$L:$L,0)),"")</f>
        <v>11013</v>
      </c>
      <c r="AF330" s="43">
        <v>0</v>
      </c>
      <c r="AG330" s="43">
        <v>1</v>
      </c>
      <c r="AH330" s="43">
        <v>1</v>
      </c>
      <c r="AI330" s="43">
        <v>1</v>
      </c>
    </row>
    <row r="331" spans="1:35">
      <c r="A331" s="43">
        <v>44601</v>
      </c>
      <c r="B331" s="43">
        <v>2</v>
      </c>
      <c r="C331" s="43">
        <v>0</v>
      </c>
      <c r="D331" s="43">
        <v>2</v>
      </c>
      <c r="E331" s="43">
        <v>1</v>
      </c>
      <c r="F331" s="43" t="s">
        <v>77</v>
      </c>
      <c r="G331" s="43">
        <f>IF(F331&gt;0,INDEX(Fish!$D:$D,MATCH(F331,Fish!$L:$L,0)),"")</f>
        <v>11009</v>
      </c>
      <c r="H331" s="43">
        <v>0</v>
      </c>
      <c r="I331" s="43">
        <v>1</v>
      </c>
      <c r="J331" s="43">
        <v>3</v>
      </c>
      <c r="K331" s="43">
        <v>4</v>
      </c>
      <c r="L331" s="43" t="s">
        <v>83</v>
      </c>
      <c r="M331" s="43">
        <f>IF(L331&gt;0,INDEX(Fish!$D:$D,MATCH(L331,Fish!$L:$L,0)),"")</f>
        <v>11011</v>
      </c>
      <c r="N331" s="43">
        <v>0</v>
      </c>
      <c r="O331" s="43">
        <v>1</v>
      </c>
      <c r="P331" s="43">
        <v>2</v>
      </c>
      <c r="Q331" s="43">
        <v>3</v>
      </c>
      <c r="R331" s="43" t="s">
        <v>85</v>
      </c>
      <c r="S331" s="43">
        <f>IF(R331&gt;0,INDEX(Fish!$D:$D,MATCH(R331,Fish!$L:$L,0)),"")</f>
        <v>11012</v>
      </c>
      <c r="T331" s="43">
        <v>0</v>
      </c>
      <c r="U331" s="43">
        <v>1</v>
      </c>
      <c r="V331" s="43">
        <v>1</v>
      </c>
      <c r="W331" s="43">
        <v>2</v>
      </c>
      <c r="X331" s="43" t="s">
        <v>97</v>
      </c>
      <c r="Y331" s="43">
        <f>IF(X331&gt;0,INDEX(Fish!$D:$D,MATCH(X331,Fish!$L:$L,0)),"")</f>
        <v>11020</v>
      </c>
      <c r="Z331" s="43">
        <v>0</v>
      </c>
      <c r="AA331" s="43">
        <v>1</v>
      </c>
      <c r="AB331" s="43">
        <v>1</v>
      </c>
      <c r="AC331" s="43">
        <v>2</v>
      </c>
      <c r="AD331" s="43" t="s">
        <v>93</v>
      </c>
      <c r="AE331" s="43">
        <f>IF(AD331&gt;0,INDEX(Fish!$D:$D,MATCH(AD331,Fish!$L:$L,0)),"")</f>
        <v>11016</v>
      </c>
      <c r="AF331" s="43">
        <v>0</v>
      </c>
      <c r="AG331" s="43">
        <v>1</v>
      </c>
      <c r="AH331" s="43">
        <v>1</v>
      </c>
      <c r="AI331" s="43">
        <v>1</v>
      </c>
    </row>
    <row r="332" spans="1:35">
      <c r="A332" s="43">
        <v>44601</v>
      </c>
      <c r="B332" s="43">
        <v>2</v>
      </c>
      <c r="C332" s="43">
        <v>0</v>
      </c>
      <c r="D332" s="43">
        <v>2</v>
      </c>
      <c r="E332" s="43">
        <v>1</v>
      </c>
      <c r="F332" s="43" t="s">
        <v>77</v>
      </c>
      <c r="G332" s="43">
        <f>IF(F332&gt;0,INDEX(Fish!$D:$D,MATCH(F332,Fish!$L:$L,0)),"")</f>
        <v>11009</v>
      </c>
      <c r="H332" s="43">
        <v>0</v>
      </c>
      <c r="I332" s="43">
        <v>1</v>
      </c>
      <c r="J332" s="43">
        <v>3</v>
      </c>
      <c r="K332" s="43">
        <v>4</v>
      </c>
      <c r="L332" s="43" t="s">
        <v>81</v>
      </c>
      <c r="M332" s="43">
        <f>IF(L332&gt;0,INDEX(Fish!$D:$D,MATCH(L332,Fish!$L:$L,0)),"")</f>
        <v>11010</v>
      </c>
      <c r="N332" s="43">
        <v>0</v>
      </c>
      <c r="O332" s="43">
        <v>1</v>
      </c>
      <c r="P332" s="43">
        <v>2</v>
      </c>
      <c r="Q332" s="43">
        <v>3</v>
      </c>
      <c r="R332" s="43" t="s">
        <v>95</v>
      </c>
      <c r="S332" s="43">
        <f>IF(R332&gt;0,INDEX(Fish!$D:$D,MATCH(R332,Fish!$L:$L,0)),"")</f>
        <v>11017</v>
      </c>
      <c r="T332" s="43">
        <v>0</v>
      </c>
      <c r="U332" s="43">
        <v>1</v>
      </c>
      <c r="V332" s="43">
        <v>1</v>
      </c>
      <c r="W332" s="43">
        <v>2</v>
      </c>
      <c r="X332" s="43" t="s">
        <v>91</v>
      </c>
      <c r="Y332" s="43">
        <f>IF(X332&gt;0,INDEX(Fish!$D:$D,MATCH(X332,Fish!$L:$L,0)),"")</f>
        <v>11015</v>
      </c>
      <c r="Z332" s="43">
        <v>0</v>
      </c>
      <c r="AA332" s="43">
        <v>1</v>
      </c>
      <c r="AB332" s="43">
        <v>1</v>
      </c>
      <c r="AC332" s="43">
        <v>2</v>
      </c>
      <c r="AD332" s="43" t="s">
        <v>87</v>
      </c>
      <c r="AE332" s="43">
        <f>IF(AD332&gt;0,INDEX(Fish!$D:$D,MATCH(AD332,Fish!$L:$L,0)),"")</f>
        <v>11013</v>
      </c>
      <c r="AF332" s="43">
        <v>0</v>
      </c>
      <c r="AG332" s="43">
        <v>1</v>
      </c>
      <c r="AH332" s="43">
        <v>1</v>
      </c>
      <c r="AI332" s="43">
        <v>1</v>
      </c>
    </row>
    <row r="333" spans="1:35">
      <c r="A333" s="43">
        <v>44601</v>
      </c>
      <c r="B333" s="43">
        <v>2</v>
      </c>
      <c r="C333" s="43">
        <v>0</v>
      </c>
      <c r="D333" s="43">
        <v>2</v>
      </c>
      <c r="E333" s="43">
        <v>1</v>
      </c>
      <c r="F333" s="43" t="s">
        <v>77</v>
      </c>
      <c r="G333" s="43">
        <f>IF(F333&gt;0,INDEX(Fish!$D:$D,MATCH(F333,Fish!$L:$L,0)),"")</f>
        <v>11009</v>
      </c>
      <c r="H333" s="43">
        <v>0</v>
      </c>
      <c r="I333" s="43">
        <v>1</v>
      </c>
      <c r="J333" s="43">
        <v>3</v>
      </c>
      <c r="K333" s="43">
        <v>4</v>
      </c>
      <c r="L333" s="43" t="s">
        <v>81</v>
      </c>
      <c r="M333" s="43">
        <f>IF(L333&gt;0,INDEX(Fish!$D:$D,MATCH(L333,Fish!$L:$L,0)),"")</f>
        <v>11010</v>
      </c>
      <c r="N333" s="43">
        <v>0</v>
      </c>
      <c r="O333" s="43">
        <v>1</v>
      </c>
      <c r="P333" s="43">
        <v>2</v>
      </c>
      <c r="Q333" s="43">
        <v>3</v>
      </c>
      <c r="R333" s="43" t="s">
        <v>95</v>
      </c>
      <c r="S333" s="43">
        <f>IF(R333&gt;0,INDEX(Fish!$D:$D,MATCH(R333,Fish!$L:$L,0)),"")</f>
        <v>11017</v>
      </c>
      <c r="T333" s="43">
        <v>0</v>
      </c>
      <c r="U333" s="43">
        <v>1</v>
      </c>
      <c r="V333" s="43">
        <v>1</v>
      </c>
      <c r="W333" s="43">
        <v>2</v>
      </c>
      <c r="X333" s="43" t="s">
        <v>91</v>
      </c>
      <c r="Y333" s="43">
        <f>IF(X333&gt;0,INDEX(Fish!$D:$D,MATCH(X333,Fish!$L:$L,0)),"")</f>
        <v>11015</v>
      </c>
      <c r="Z333" s="43">
        <v>0</v>
      </c>
      <c r="AA333" s="43">
        <v>1</v>
      </c>
      <c r="AB333" s="43">
        <v>1</v>
      </c>
      <c r="AC333" s="43">
        <v>2</v>
      </c>
      <c r="AD333" s="43" t="s">
        <v>93</v>
      </c>
      <c r="AE333" s="43">
        <f>IF(AD333&gt;0,INDEX(Fish!$D:$D,MATCH(AD333,Fish!$L:$L,0)),"")</f>
        <v>11016</v>
      </c>
      <c r="AF333" s="43">
        <v>0</v>
      </c>
      <c r="AG333" s="43">
        <v>1</v>
      </c>
      <c r="AH333" s="43">
        <v>1</v>
      </c>
      <c r="AI333" s="43">
        <v>1</v>
      </c>
    </row>
    <row r="334" spans="1:35">
      <c r="A334" s="43">
        <v>44601</v>
      </c>
      <c r="B334" s="43">
        <v>2</v>
      </c>
      <c r="C334" s="43">
        <v>0</v>
      </c>
      <c r="D334" s="43">
        <v>2</v>
      </c>
      <c r="E334" s="43">
        <v>1</v>
      </c>
      <c r="F334" s="43" t="s">
        <v>77</v>
      </c>
      <c r="G334" s="43">
        <f>IF(F334&gt;0,INDEX(Fish!$D:$D,MATCH(F334,Fish!$L:$L,0)),"")</f>
        <v>11009</v>
      </c>
      <c r="H334" s="43">
        <v>0</v>
      </c>
      <c r="I334" s="43">
        <v>1</v>
      </c>
      <c r="J334" s="43">
        <v>3</v>
      </c>
      <c r="K334" s="43">
        <v>4</v>
      </c>
      <c r="L334" s="43" t="s">
        <v>81</v>
      </c>
      <c r="M334" s="43">
        <f>IF(L334&gt;0,INDEX(Fish!$D:$D,MATCH(L334,Fish!$L:$L,0)),"")</f>
        <v>11010</v>
      </c>
      <c r="N334" s="43">
        <v>0</v>
      </c>
      <c r="O334" s="43">
        <v>1</v>
      </c>
      <c r="P334" s="43">
        <v>2</v>
      </c>
      <c r="Q334" s="43">
        <v>3</v>
      </c>
      <c r="R334" s="43" t="s">
        <v>95</v>
      </c>
      <c r="S334" s="43">
        <f>IF(R334&gt;0,INDEX(Fish!$D:$D,MATCH(R334,Fish!$L:$L,0)),"")</f>
        <v>11017</v>
      </c>
      <c r="T334" s="43">
        <v>0</v>
      </c>
      <c r="U334" s="43">
        <v>1</v>
      </c>
      <c r="V334" s="43">
        <v>1</v>
      </c>
      <c r="W334" s="43">
        <v>2</v>
      </c>
      <c r="X334" s="43" t="s">
        <v>97</v>
      </c>
      <c r="Y334" s="43">
        <f>IF(X334&gt;0,INDEX(Fish!$D:$D,MATCH(X334,Fish!$L:$L,0)),"")</f>
        <v>11020</v>
      </c>
      <c r="Z334" s="43">
        <v>0</v>
      </c>
      <c r="AA334" s="43">
        <v>1</v>
      </c>
      <c r="AB334" s="43">
        <v>1</v>
      </c>
      <c r="AC334" s="43">
        <v>2</v>
      </c>
      <c r="AD334" s="43" t="s">
        <v>87</v>
      </c>
      <c r="AE334" s="43">
        <f>IF(AD334&gt;0,INDEX(Fish!$D:$D,MATCH(AD334,Fish!$L:$L,0)),"")</f>
        <v>11013</v>
      </c>
      <c r="AF334" s="43">
        <v>0</v>
      </c>
      <c r="AG334" s="43">
        <v>1</v>
      </c>
      <c r="AH334" s="43">
        <v>1</v>
      </c>
      <c r="AI334" s="43">
        <v>1</v>
      </c>
    </row>
    <row r="335" spans="1:35">
      <c r="A335" s="43">
        <v>44601</v>
      </c>
      <c r="B335" s="43">
        <v>2</v>
      </c>
      <c r="C335" s="43">
        <v>0</v>
      </c>
      <c r="D335" s="43">
        <v>2</v>
      </c>
      <c r="E335" s="43">
        <v>1</v>
      </c>
      <c r="F335" s="43" t="s">
        <v>77</v>
      </c>
      <c r="G335" s="43">
        <f>IF(F335&gt;0,INDEX(Fish!$D:$D,MATCH(F335,Fish!$L:$L,0)),"")</f>
        <v>11009</v>
      </c>
      <c r="H335" s="43">
        <v>0</v>
      </c>
      <c r="I335" s="43">
        <v>1</v>
      </c>
      <c r="J335" s="43">
        <v>3</v>
      </c>
      <c r="K335" s="43">
        <v>4</v>
      </c>
      <c r="L335" s="43" t="s">
        <v>81</v>
      </c>
      <c r="M335" s="43">
        <f>IF(L335&gt;0,INDEX(Fish!$D:$D,MATCH(L335,Fish!$L:$L,0)),"")</f>
        <v>11010</v>
      </c>
      <c r="N335" s="43">
        <v>0</v>
      </c>
      <c r="O335" s="43">
        <v>1</v>
      </c>
      <c r="P335" s="43">
        <v>2</v>
      </c>
      <c r="Q335" s="43">
        <v>3</v>
      </c>
      <c r="R335" s="43" t="s">
        <v>95</v>
      </c>
      <c r="S335" s="43">
        <f>IF(R335&gt;0,INDEX(Fish!$D:$D,MATCH(R335,Fish!$L:$L,0)),"")</f>
        <v>11017</v>
      </c>
      <c r="T335" s="43">
        <v>0</v>
      </c>
      <c r="U335" s="43">
        <v>1</v>
      </c>
      <c r="V335" s="43">
        <v>1</v>
      </c>
      <c r="W335" s="43">
        <v>2</v>
      </c>
      <c r="X335" s="43" t="s">
        <v>97</v>
      </c>
      <c r="Y335" s="43">
        <f>IF(X335&gt;0,INDEX(Fish!$D:$D,MATCH(X335,Fish!$L:$L,0)),"")</f>
        <v>11020</v>
      </c>
      <c r="Z335" s="43">
        <v>0</v>
      </c>
      <c r="AA335" s="43">
        <v>1</v>
      </c>
      <c r="AB335" s="43">
        <v>1</v>
      </c>
      <c r="AC335" s="43">
        <v>2</v>
      </c>
      <c r="AD335" s="43" t="s">
        <v>93</v>
      </c>
      <c r="AE335" s="43">
        <f>IF(AD335&gt;0,INDEX(Fish!$D:$D,MATCH(AD335,Fish!$L:$L,0)),"")</f>
        <v>11016</v>
      </c>
      <c r="AF335" s="43">
        <v>0</v>
      </c>
      <c r="AG335" s="43">
        <v>1</v>
      </c>
      <c r="AH335" s="43">
        <v>1</v>
      </c>
      <c r="AI335" s="43">
        <v>1</v>
      </c>
    </row>
    <row r="336" spans="1:35">
      <c r="A336" s="43">
        <v>44601</v>
      </c>
      <c r="B336" s="43">
        <v>2</v>
      </c>
      <c r="C336" s="43">
        <v>0</v>
      </c>
      <c r="D336" s="43">
        <v>2</v>
      </c>
      <c r="E336" s="43">
        <v>1</v>
      </c>
      <c r="F336" s="43" t="s">
        <v>77</v>
      </c>
      <c r="G336" s="43">
        <f>IF(F336&gt;0,INDEX(Fish!$D:$D,MATCH(F336,Fish!$L:$L,0)),"")</f>
        <v>11009</v>
      </c>
      <c r="H336" s="43">
        <v>0</v>
      </c>
      <c r="I336" s="43">
        <v>1</v>
      </c>
      <c r="J336" s="43">
        <v>3</v>
      </c>
      <c r="K336" s="43">
        <v>4</v>
      </c>
      <c r="L336" s="43" t="s">
        <v>81</v>
      </c>
      <c r="M336" s="43">
        <f>IF(L336&gt;0,INDEX(Fish!$D:$D,MATCH(L336,Fish!$L:$L,0)),"")</f>
        <v>11010</v>
      </c>
      <c r="N336" s="43">
        <v>0</v>
      </c>
      <c r="O336" s="43">
        <v>1</v>
      </c>
      <c r="P336" s="43">
        <v>2</v>
      </c>
      <c r="Q336" s="43">
        <v>3</v>
      </c>
      <c r="R336" s="43" t="s">
        <v>85</v>
      </c>
      <c r="S336" s="43">
        <f>IF(R336&gt;0,INDEX(Fish!$D:$D,MATCH(R336,Fish!$L:$L,0)),"")</f>
        <v>11012</v>
      </c>
      <c r="T336" s="43">
        <v>0</v>
      </c>
      <c r="U336" s="43">
        <v>1</v>
      </c>
      <c r="V336" s="43">
        <v>1</v>
      </c>
      <c r="W336" s="43">
        <v>2</v>
      </c>
      <c r="X336" s="43" t="s">
        <v>91</v>
      </c>
      <c r="Y336" s="43">
        <f>IF(X336&gt;0,INDEX(Fish!$D:$D,MATCH(X336,Fish!$L:$L,0)),"")</f>
        <v>11015</v>
      </c>
      <c r="Z336" s="43">
        <v>0</v>
      </c>
      <c r="AA336" s="43">
        <v>1</v>
      </c>
      <c r="AB336" s="43">
        <v>1</v>
      </c>
      <c r="AC336" s="43">
        <v>2</v>
      </c>
      <c r="AD336" s="43" t="s">
        <v>87</v>
      </c>
      <c r="AE336" s="43">
        <f>IF(AD336&gt;0,INDEX(Fish!$D:$D,MATCH(AD336,Fish!$L:$L,0)),"")</f>
        <v>11013</v>
      </c>
      <c r="AF336" s="43">
        <v>0</v>
      </c>
      <c r="AG336" s="43">
        <v>1</v>
      </c>
      <c r="AH336" s="43">
        <v>1</v>
      </c>
      <c r="AI336" s="43">
        <v>1</v>
      </c>
    </row>
    <row r="337" spans="1:35">
      <c r="A337" s="43">
        <v>44601</v>
      </c>
      <c r="B337" s="43">
        <v>2</v>
      </c>
      <c r="C337" s="43">
        <v>0</v>
      </c>
      <c r="D337" s="43">
        <v>2</v>
      </c>
      <c r="E337" s="43">
        <v>1</v>
      </c>
      <c r="F337" s="43" t="s">
        <v>77</v>
      </c>
      <c r="G337" s="43">
        <f>IF(F337&gt;0,INDEX(Fish!$D:$D,MATCH(F337,Fish!$L:$L,0)),"")</f>
        <v>11009</v>
      </c>
      <c r="H337" s="43">
        <v>0</v>
      </c>
      <c r="I337" s="43">
        <v>1</v>
      </c>
      <c r="J337" s="43">
        <v>3</v>
      </c>
      <c r="K337" s="43">
        <v>4</v>
      </c>
      <c r="L337" s="43" t="s">
        <v>81</v>
      </c>
      <c r="M337" s="43">
        <f>IF(L337&gt;0,INDEX(Fish!$D:$D,MATCH(L337,Fish!$L:$L,0)),"")</f>
        <v>11010</v>
      </c>
      <c r="N337" s="43">
        <v>0</v>
      </c>
      <c r="O337" s="43">
        <v>1</v>
      </c>
      <c r="P337" s="43">
        <v>2</v>
      </c>
      <c r="Q337" s="43">
        <v>3</v>
      </c>
      <c r="R337" s="43" t="s">
        <v>85</v>
      </c>
      <c r="S337" s="43">
        <f>IF(R337&gt;0,INDEX(Fish!$D:$D,MATCH(R337,Fish!$L:$L,0)),"")</f>
        <v>11012</v>
      </c>
      <c r="T337" s="43">
        <v>0</v>
      </c>
      <c r="U337" s="43">
        <v>1</v>
      </c>
      <c r="V337" s="43">
        <v>1</v>
      </c>
      <c r="W337" s="43">
        <v>2</v>
      </c>
      <c r="X337" s="43" t="s">
        <v>91</v>
      </c>
      <c r="Y337" s="43">
        <f>IF(X337&gt;0,INDEX(Fish!$D:$D,MATCH(X337,Fish!$L:$L,0)),"")</f>
        <v>11015</v>
      </c>
      <c r="Z337" s="43">
        <v>0</v>
      </c>
      <c r="AA337" s="43">
        <v>1</v>
      </c>
      <c r="AB337" s="43">
        <v>1</v>
      </c>
      <c r="AC337" s="43">
        <v>2</v>
      </c>
      <c r="AD337" s="43" t="s">
        <v>93</v>
      </c>
      <c r="AE337" s="43">
        <f>IF(AD337&gt;0,INDEX(Fish!$D:$D,MATCH(AD337,Fish!$L:$L,0)),"")</f>
        <v>11016</v>
      </c>
      <c r="AF337" s="43">
        <v>0</v>
      </c>
      <c r="AG337" s="43">
        <v>1</v>
      </c>
      <c r="AH337" s="43">
        <v>1</v>
      </c>
      <c r="AI337" s="43">
        <v>1</v>
      </c>
    </row>
    <row r="338" spans="1:35">
      <c r="A338" s="43">
        <v>44601</v>
      </c>
      <c r="B338" s="43">
        <v>2</v>
      </c>
      <c r="C338" s="43">
        <v>0</v>
      </c>
      <c r="D338" s="43">
        <v>2</v>
      </c>
      <c r="E338" s="43">
        <v>1</v>
      </c>
      <c r="F338" s="43" t="s">
        <v>77</v>
      </c>
      <c r="G338" s="43">
        <f>IF(F338&gt;0,INDEX(Fish!$D:$D,MATCH(F338,Fish!$L:$L,0)),"")</f>
        <v>11009</v>
      </c>
      <c r="H338" s="43">
        <v>0</v>
      </c>
      <c r="I338" s="43">
        <v>1</v>
      </c>
      <c r="J338" s="43">
        <v>3</v>
      </c>
      <c r="K338" s="43">
        <v>4</v>
      </c>
      <c r="L338" s="43" t="s">
        <v>81</v>
      </c>
      <c r="M338" s="43">
        <f>IF(L338&gt;0,INDEX(Fish!$D:$D,MATCH(L338,Fish!$L:$L,0)),"")</f>
        <v>11010</v>
      </c>
      <c r="N338" s="43">
        <v>0</v>
      </c>
      <c r="O338" s="43">
        <v>1</v>
      </c>
      <c r="P338" s="43">
        <v>2</v>
      </c>
      <c r="Q338" s="43">
        <v>3</v>
      </c>
      <c r="R338" s="43" t="s">
        <v>85</v>
      </c>
      <c r="S338" s="43">
        <f>IF(R338&gt;0,INDEX(Fish!$D:$D,MATCH(R338,Fish!$L:$L,0)),"")</f>
        <v>11012</v>
      </c>
      <c r="T338" s="43">
        <v>0</v>
      </c>
      <c r="U338" s="43">
        <v>1</v>
      </c>
      <c r="V338" s="43">
        <v>1</v>
      </c>
      <c r="W338" s="43">
        <v>2</v>
      </c>
      <c r="X338" s="43" t="s">
        <v>97</v>
      </c>
      <c r="Y338" s="43">
        <f>IF(X338&gt;0,INDEX(Fish!$D:$D,MATCH(X338,Fish!$L:$L,0)),"")</f>
        <v>11020</v>
      </c>
      <c r="Z338" s="43">
        <v>0</v>
      </c>
      <c r="AA338" s="43">
        <v>1</v>
      </c>
      <c r="AB338" s="43">
        <v>1</v>
      </c>
      <c r="AC338" s="43">
        <v>2</v>
      </c>
      <c r="AD338" s="43" t="s">
        <v>87</v>
      </c>
      <c r="AE338" s="43">
        <f>IF(AD338&gt;0,INDEX(Fish!$D:$D,MATCH(AD338,Fish!$L:$L,0)),"")</f>
        <v>11013</v>
      </c>
      <c r="AF338" s="43">
        <v>0</v>
      </c>
      <c r="AG338" s="43">
        <v>1</v>
      </c>
      <c r="AH338" s="43">
        <v>1</v>
      </c>
      <c r="AI338" s="43">
        <v>1</v>
      </c>
    </row>
    <row r="339" spans="1:35">
      <c r="A339" s="43">
        <v>44601</v>
      </c>
      <c r="B339" s="43">
        <v>2</v>
      </c>
      <c r="C339" s="43">
        <v>0</v>
      </c>
      <c r="D339" s="43">
        <v>2</v>
      </c>
      <c r="E339" s="43">
        <v>1</v>
      </c>
      <c r="F339" s="43" t="s">
        <v>77</v>
      </c>
      <c r="G339" s="43">
        <f>IF(F339&gt;0,INDEX(Fish!$D:$D,MATCH(F339,Fish!$L:$L,0)),"")</f>
        <v>11009</v>
      </c>
      <c r="H339" s="43">
        <v>0</v>
      </c>
      <c r="I339" s="43">
        <v>1</v>
      </c>
      <c r="J339" s="43">
        <v>3</v>
      </c>
      <c r="K339" s="43">
        <v>4</v>
      </c>
      <c r="L339" s="43" t="s">
        <v>81</v>
      </c>
      <c r="M339" s="43">
        <f>IF(L339&gt;0,INDEX(Fish!$D:$D,MATCH(L339,Fish!$L:$L,0)),"")</f>
        <v>11010</v>
      </c>
      <c r="N339" s="43">
        <v>0</v>
      </c>
      <c r="O339" s="43">
        <v>1</v>
      </c>
      <c r="P339" s="43">
        <v>2</v>
      </c>
      <c r="Q339" s="43">
        <v>3</v>
      </c>
      <c r="R339" s="43" t="s">
        <v>85</v>
      </c>
      <c r="S339" s="43">
        <f>IF(R339&gt;0,INDEX(Fish!$D:$D,MATCH(R339,Fish!$L:$L,0)),"")</f>
        <v>11012</v>
      </c>
      <c r="T339" s="43">
        <v>0</v>
      </c>
      <c r="U339" s="43">
        <v>1</v>
      </c>
      <c r="V339" s="43">
        <v>1</v>
      </c>
      <c r="W339" s="43">
        <v>2</v>
      </c>
      <c r="X339" s="43" t="s">
        <v>97</v>
      </c>
      <c r="Y339" s="43">
        <f>IF(X339&gt;0,INDEX(Fish!$D:$D,MATCH(X339,Fish!$L:$L,0)),"")</f>
        <v>11020</v>
      </c>
      <c r="Z339" s="43">
        <v>0</v>
      </c>
      <c r="AA339" s="43">
        <v>1</v>
      </c>
      <c r="AB339" s="43">
        <v>1</v>
      </c>
      <c r="AC339" s="43">
        <v>2</v>
      </c>
      <c r="AD339" s="43" t="s">
        <v>93</v>
      </c>
      <c r="AE339" s="43">
        <f>IF(AD339&gt;0,INDEX(Fish!$D:$D,MATCH(AD339,Fish!$L:$L,0)),"")</f>
        <v>11016</v>
      </c>
      <c r="AF339" s="43">
        <v>0</v>
      </c>
      <c r="AG339" s="43">
        <v>1</v>
      </c>
      <c r="AH339" s="43">
        <v>1</v>
      </c>
      <c r="AI339" s="43">
        <v>1</v>
      </c>
    </row>
    <row r="340" spans="1:23">
      <c r="A340" s="43">
        <v>44601</v>
      </c>
      <c r="B340" s="43">
        <v>5</v>
      </c>
      <c r="C340" s="43">
        <v>0</v>
      </c>
      <c r="D340" s="43">
        <v>3</v>
      </c>
      <c r="E340" s="43">
        <v>2</v>
      </c>
      <c r="F340" s="43" t="s">
        <v>101</v>
      </c>
      <c r="G340" s="43">
        <f>IF(F340&gt;0,INDEX(Fish!$D:$D,MATCH(F340,Fish!$L:$L,0)),"")</f>
        <v>11090</v>
      </c>
      <c r="H340" s="43">
        <v>40000</v>
      </c>
      <c r="I340" s="43">
        <v>1</v>
      </c>
      <c r="J340" s="43">
        <v>0</v>
      </c>
      <c r="K340" s="43">
        <v>1</v>
      </c>
      <c r="L340" s="43" t="s">
        <v>99</v>
      </c>
      <c r="M340" s="43">
        <f>IF(L340&gt;0,INDEX(Fish!$D:$D,MATCH(L340,Fish!$L:$L,0)),"")</f>
        <v>11024</v>
      </c>
      <c r="N340" s="43">
        <v>30000</v>
      </c>
      <c r="O340" s="43">
        <v>1</v>
      </c>
      <c r="P340" s="43">
        <v>0</v>
      </c>
      <c r="Q340" s="43">
        <v>1</v>
      </c>
      <c r="R340" s="43" t="s">
        <v>103</v>
      </c>
      <c r="S340" s="43">
        <f>IF(R340&gt;0,INDEX(Fish!$D:$D,MATCH(R340,Fish!$L:$L,0)),"")</f>
        <v>11025</v>
      </c>
      <c r="T340" s="43">
        <v>30000</v>
      </c>
      <c r="U340" s="43">
        <v>1</v>
      </c>
      <c r="V340" s="43">
        <v>0</v>
      </c>
      <c r="W340" s="43">
        <v>1</v>
      </c>
    </row>
    <row r="341" spans="1:35">
      <c r="A341" s="43">
        <v>44601</v>
      </c>
      <c r="B341" s="43">
        <v>5</v>
      </c>
      <c r="C341" s="43">
        <v>0</v>
      </c>
      <c r="D341" s="43">
        <v>4</v>
      </c>
      <c r="E341" s="43">
        <v>2</v>
      </c>
      <c r="F341" s="43" t="s">
        <v>351</v>
      </c>
      <c r="G341" s="43">
        <f>IF(F341&gt;0,INDEX(Fish!$D:$D,MATCH(F341,Fish!$L:$L,0)),"")</f>
        <v>11018</v>
      </c>
      <c r="H341" s="43">
        <v>30000</v>
      </c>
      <c r="I341" s="43">
        <v>1</v>
      </c>
      <c r="J341" s="43">
        <v>0</v>
      </c>
      <c r="K341" s="43">
        <v>1</v>
      </c>
      <c r="L341" s="43" t="s">
        <v>361</v>
      </c>
      <c r="M341" s="43">
        <f>IF(L341&gt;0,INDEX(Fish!$D:$D,MATCH(L341,Fish!$L:$L,0)),"")</f>
        <v>11214</v>
      </c>
      <c r="N341" s="43">
        <v>25000</v>
      </c>
      <c r="O341" s="43">
        <v>1</v>
      </c>
      <c r="P341" s="43">
        <v>0</v>
      </c>
      <c r="Q341" s="43">
        <v>1</v>
      </c>
      <c r="R341" s="43" t="s">
        <v>355</v>
      </c>
      <c r="S341" s="43">
        <f>IF(R341&gt;0,INDEX(Fish!$D:$D,MATCH(R341,Fish!$L:$L,0)),"")</f>
        <v>11021</v>
      </c>
      <c r="T341" s="43">
        <v>20000</v>
      </c>
      <c r="U341" s="43">
        <v>1</v>
      </c>
      <c r="V341" s="43">
        <v>0</v>
      </c>
      <c r="W341" s="43">
        <v>1</v>
      </c>
      <c r="X341" s="43" t="s">
        <v>353</v>
      </c>
      <c r="Y341" s="43">
        <f>IF(X341&gt;0,INDEX(Fish!$D:$D,MATCH(X341,Fish!$L:$L,0)),"")</f>
        <v>11092</v>
      </c>
      <c r="Z341" s="43">
        <v>15000</v>
      </c>
      <c r="AA341" s="43">
        <v>1</v>
      </c>
      <c r="AB341" s="43">
        <v>0</v>
      </c>
      <c r="AC341" s="43">
        <v>1</v>
      </c>
      <c r="AD341" s="43" t="s">
        <v>357</v>
      </c>
      <c r="AE341" s="43">
        <f>IF(AD341&gt;0,INDEX(Fish!$D:$D,MATCH(AD341,Fish!$L:$L,0)),"")</f>
        <v>11026</v>
      </c>
      <c r="AF341" s="43">
        <v>10000</v>
      </c>
      <c r="AG341" s="43">
        <v>1</v>
      </c>
      <c r="AH341" s="43">
        <v>0</v>
      </c>
      <c r="AI341" s="43">
        <v>1</v>
      </c>
    </row>
    <row r="342" spans="1:35">
      <c r="A342" s="43">
        <v>44601</v>
      </c>
      <c r="B342" s="43">
        <v>5</v>
      </c>
      <c r="C342" s="43">
        <v>0</v>
      </c>
      <c r="D342" s="43">
        <v>5</v>
      </c>
      <c r="E342" s="43">
        <v>2</v>
      </c>
      <c r="F342" s="43" t="s">
        <v>121</v>
      </c>
      <c r="G342" s="43">
        <f>IF(F342&gt;0,INDEX(Fish!$D:$D,MATCH(F342,Fish!$L:$L,0)),"")</f>
        <v>14011</v>
      </c>
      <c r="H342" s="43">
        <v>32000</v>
      </c>
      <c r="I342" s="43">
        <v>1</v>
      </c>
      <c r="J342" s="43">
        <v>0</v>
      </c>
      <c r="K342" s="43">
        <v>1</v>
      </c>
      <c r="L342" s="43" t="s">
        <v>123</v>
      </c>
      <c r="M342" s="43">
        <f>IF(L342&gt;0,INDEX(Fish!$D:$D,MATCH(L342,Fish!$L:$L,0)),"")</f>
        <v>14015</v>
      </c>
      <c r="N342" s="43">
        <v>23000</v>
      </c>
      <c r="O342" s="43">
        <v>1</v>
      </c>
      <c r="P342" s="43">
        <v>0</v>
      </c>
      <c r="Q342" s="43">
        <v>1</v>
      </c>
      <c r="R342" s="43" t="s">
        <v>124</v>
      </c>
      <c r="S342" s="43">
        <f>IF(R342&gt;0,INDEX(Fish!$D:$D,MATCH(R342,Fish!$L:$L,0)),"")</f>
        <v>14020</v>
      </c>
      <c r="T342" s="43">
        <v>20000</v>
      </c>
      <c r="U342" s="43">
        <v>1</v>
      </c>
      <c r="V342" s="43">
        <v>0</v>
      </c>
      <c r="W342" s="43">
        <v>1</v>
      </c>
      <c r="X342" s="43" t="s">
        <v>122</v>
      </c>
      <c r="Y342" s="43">
        <f>IF(X342&gt;0,INDEX(Fish!$D:$D,MATCH(X342,Fish!$L:$L,0)),"")</f>
        <v>14013</v>
      </c>
      <c r="Z342" s="43">
        <v>15000</v>
      </c>
      <c r="AA342" s="43">
        <v>1</v>
      </c>
      <c r="AB342" s="43">
        <v>0</v>
      </c>
      <c r="AC342" s="43">
        <v>1</v>
      </c>
      <c r="AD342" s="43" t="s">
        <v>128</v>
      </c>
      <c r="AE342" s="43">
        <f>IF(AD342&gt;0,INDEX(Fish!$D:$D,MATCH(AD342,Fish!$L:$L,0)),"")</f>
        <v>14090</v>
      </c>
      <c r="AF342" s="43">
        <v>10000</v>
      </c>
      <c r="AG342" s="43">
        <v>1</v>
      </c>
      <c r="AH342" s="43">
        <v>0</v>
      </c>
      <c r="AI342" s="43">
        <v>1</v>
      </c>
    </row>
    <row r="343" spans="1:17">
      <c r="A343" s="43">
        <v>44414</v>
      </c>
      <c r="B343" s="43">
        <v>1</v>
      </c>
      <c r="C343" s="43">
        <v>8</v>
      </c>
      <c r="D343" s="43">
        <v>1</v>
      </c>
      <c r="E343" s="43">
        <v>1</v>
      </c>
      <c r="F343" s="43" t="s">
        <v>61</v>
      </c>
      <c r="G343" s="43">
        <f>IF(F343&gt;0,INDEX(Fish!$D:$D,MATCH(F343,Fish!$L:$L,0)),"")</f>
        <v>11001</v>
      </c>
      <c r="H343" s="43">
        <v>0</v>
      </c>
      <c r="I343" s="43">
        <v>4</v>
      </c>
      <c r="J343" s="43">
        <v>14</v>
      </c>
      <c r="K343" s="43">
        <v>16</v>
      </c>
      <c r="L343" s="43" t="s">
        <v>71</v>
      </c>
      <c r="M343" s="43">
        <f>IF(L343&gt;0,INDEX(Fish!$D:$D,MATCH(L343,Fish!$L:$L,0)),"")</f>
        <v>11006</v>
      </c>
      <c r="N343" s="43">
        <v>0</v>
      </c>
      <c r="O343" s="43">
        <v>3</v>
      </c>
      <c r="P343" s="43">
        <v>10</v>
      </c>
      <c r="Q343" s="43">
        <v>14</v>
      </c>
    </row>
    <row r="344" spans="1:17">
      <c r="A344" s="43">
        <v>44414</v>
      </c>
      <c r="B344" s="43">
        <v>1</v>
      </c>
      <c r="C344" s="43">
        <v>8</v>
      </c>
      <c r="D344" s="43">
        <v>1</v>
      </c>
      <c r="E344" s="43">
        <v>1</v>
      </c>
      <c r="F344" s="43" t="s">
        <v>61</v>
      </c>
      <c r="G344" s="43">
        <f>IF(F344&gt;0,INDEX(Fish!$D:$D,MATCH(F344,Fish!$L:$L,0)),"")</f>
        <v>11001</v>
      </c>
      <c r="H344" s="43">
        <v>0</v>
      </c>
      <c r="I344" s="43">
        <v>4</v>
      </c>
      <c r="J344" s="43">
        <v>14</v>
      </c>
      <c r="K344" s="43">
        <v>16</v>
      </c>
      <c r="L344" s="43" t="s">
        <v>65</v>
      </c>
      <c r="M344" s="43">
        <f>IF(L344&gt;0,INDEX(Fish!$D:$D,MATCH(L344,Fish!$L:$L,0)),"")</f>
        <v>11003</v>
      </c>
      <c r="N344" s="43">
        <v>0</v>
      </c>
      <c r="O344" s="43">
        <v>3</v>
      </c>
      <c r="P344" s="43">
        <v>10</v>
      </c>
      <c r="Q344" s="43">
        <v>14</v>
      </c>
    </row>
    <row r="345" spans="1:17">
      <c r="A345" s="43">
        <v>44414</v>
      </c>
      <c r="B345" s="43">
        <v>1</v>
      </c>
      <c r="C345" s="43">
        <v>8</v>
      </c>
      <c r="D345" s="43">
        <v>1</v>
      </c>
      <c r="E345" s="43">
        <v>1</v>
      </c>
      <c r="F345" s="43" t="s">
        <v>61</v>
      </c>
      <c r="G345" s="43">
        <f>IF(F345&gt;0,INDEX(Fish!$D:$D,MATCH(F345,Fish!$L:$L,0)),"")</f>
        <v>11001</v>
      </c>
      <c r="H345" s="43">
        <v>0</v>
      </c>
      <c r="I345" s="43">
        <v>4</v>
      </c>
      <c r="J345" s="43">
        <v>14</v>
      </c>
      <c r="K345" s="43">
        <v>16</v>
      </c>
      <c r="L345" s="43" t="s">
        <v>73</v>
      </c>
      <c r="M345" s="43">
        <f>IF(L345&gt;0,INDEX(Fish!$D:$D,MATCH(L345,Fish!$L:$L,0)),"")</f>
        <v>11007</v>
      </c>
      <c r="N345" s="43">
        <v>0</v>
      </c>
      <c r="O345" s="43">
        <v>3</v>
      </c>
      <c r="P345" s="43">
        <v>10</v>
      </c>
      <c r="Q345" s="43">
        <v>14</v>
      </c>
    </row>
    <row r="346" spans="1:17">
      <c r="A346" s="43">
        <v>44414</v>
      </c>
      <c r="B346" s="43">
        <v>1</v>
      </c>
      <c r="C346" s="43">
        <v>8</v>
      </c>
      <c r="D346" s="43">
        <v>1</v>
      </c>
      <c r="E346" s="43">
        <v>1</v>
      </c>
      <c r="F346" s="43" t="s">
        <v>61</v>
      </c>
      <c r="G346" s="43">
        <f>IF(F346&gt;0,INDEX(Fish!$D:$D,MATCH(F346,Fish!$L:$L,0)),"")</f>
        <v>11001</v>
      </c>
      <c r="H346" s="43">
        <v>0</v>
      </c>
      <c r="I346" s="43">
        <v>4</v>
      </c>
      <c r="J346" s="43">
        <v>14</v>
      </c>
      <c r="K346" s="43">
        <v>16</v>
      </c>
      <c r="L346" s="43" t="s">
        <v>79</v>
      </c>
      <c r="M346" s="43">
        <f>IF(L346&gt;0,INDEX(Fish!$D:$D,MATCH(L346,Fish!$L:$L,0)),"")</f>
        <v>11085</v>
      </c>
      <c r="N346" s="43">
        <v>0</v>
      </c>
      <c r="O346" s="43">
        <v>3</v>
      </c>
      <c r="P346" s="43">
        <v>10</v>
      </c>
      <c r="Q346" s="43">
        <v>14</v>
      </c>
    </row>
    <row r="347" spans="1:17">
      <c r="A347" s="43">
        <v>44414</v>
      </c>
      <c r="B347" s="43">
        <v>1</v>
      </c>
      <c r="C347" s="43">
        <v>8</v>
      </c>
      <c r="D347" s="43">
        <v>1</v>
      </c>
      <c r="E347" s="43">
        <v>1</v>
      </c>
      <c r="F347" s="43" t="s">
        <v>61</v>
      </c>
      <c r="G347" s="43">
        <f>IF(F347&gt;0,INDEX(Fish!$D:$D,MATCH(F347,Fish!$L:$L,0)),"")</f>
        <v>11001</v>
      </c>
      <c r="H347" s="43">
        <v>0</v>
      </c>
      <c r="I347" s="43">
        <v>4</v>
      </c>
      <c r="J347" s="43">
        <v>14</v>
      </c>
      <c r="K347" s="43">
        <v>16</v>
      </c>
      <c r="L347" s="43" t="s">
        <v>67</v>
      </c>
      <c r="M347" s="43">
        <f>IF(L347&gt;0,INDEX(Fish!$D:$D,MATCH(L347,Fish!$L:$L,0)),"")</f>
        <v>11004</v>
      </c>
      <c r="N347" s="43">
        <v>0</v>
      </c>
      <c r="O347" s="43">
        <v>3</v>
      </c>
      <c r="P347" s="43">
        <v>10</v>
      </c>
      <c r="Q347" s="43">
        <v>14</v>
      </c>
    </row>
    <row r="348" spans="1:17">
      <c r="A348" s="43">
        <v>44414</v>
      </c>
      <c r="B348" s="43">
        <v>1</v>
      </c>
      <c r="C348" s="43">
        <v>8</v>
      </c>
      <c r="D348" s="43">
        <v>1</v>
      </c>
      <c r="E348" s="43">
        <v>1</v>
      </c>
      <c r="F348" s="43" t="s">
        <v>63</v>
      </c>
      <c r="G348" s="43">
        <f>IF(F348&gt;0,INDEX(Fish!$D:$D,MATCH(F348,Fish!$L:$L,0)),"")</f>
        <v>11002</v>
      </c>
      <c r="H348" s="43">
        <v>0</v>
      </c>
      <c r="I348" s="43">
        <v>4</v>
      </c>
      <c r="J348" s="43">
        <v>14</v>
      </c>
      <c r="K348" s="43">
        <v>16</v>
      </c>
      <c r="L348" s="43" t="s">
        <v>71</v>
      </c>
      <c r="M348" s="43">
        <f>IF(L348&gt;0,INDEX(Fish!$D:$D,MATCH(L348,Fish!$L:$L,0)),"")</f>
        <v>11006</v>
      </c>
      <c r="N348" s="43">
        <v>0</v>
      </c>
      <c r="O348" s="43">
        <v>3</v>
      </c>
      <c r="P348" s="43">
        <v>10</v>
      </c>
      <c r="Q348" s="43">
        <v>14</v>
      </c>
    </row>
    <row r="349" spans="1:17">
      <c r="A349" s="43">
        <v>44414</v>
      </c>
      <c r="B349" s="43">
        <v>1</v>
      </c>
      <c r="C349" s="43">
        <v>8</v>
      </c>
      <c r="D349" s="43">
        <v>1</v>
      </c>
      <c r="E349" s="43">
        <v>1</v>
      </c>
      <c r="F349" s="43" t="s">
        <v>63</v>
      </c>
      <c r="G349" s="43">
        <f>IF(F349&gt;0,INDEX(Fish!$D:$D,MATCH(F349,Fish!$L:$L,0)),"")</f>
        <v>11002</v>
      </c>
      <c r="H349" s="43">
        <v>0</v>
      </c>
      <c r="I349" s="43">
        <v>4</v>
      </c>
      <c r="J349" s="43">
        <v>14</v>
      </c>
      <c r="K349" s="43">
        <v>16</v>
      </c>
      <c r="L349" s="43" t="s">
        <v>65</v>
      </c>
      <c r="M349" s="43">
        <f>IF(L349&gt;0,INDEX(Fish!$D:$D,MATCH(L349,Fish!$L:$L,0)),"")</f>
        <v>11003</v>
      </c>
      <c r="N349" s="43">
        <v>0</v>
      </c>
      <c r="O349" s="43">
        <v>3</v>
      </c>
      <c r="P349" s="43">
        <v>10</v>
      </c>
      <c r="Q349" s="43">
        <v>14</v>
      </c>
    </row>
    <row r="350" spans="1:17">
      <c r="A350" s="43">
        <v>44414</v>
      </c>
      <c r="B350" s="43">
        <v>1</v>
      </c>
      <c r="C350" s="43">
        <v>8</v>
      </c>
      <c r="D350" s="43">
        <v>1</v>
      </c>
      <c r="E350" s="43">
        <v>1</v>
      </c>
      <c r="F350" s="43" t="s">
        <v>63</v>
      </c>
      <c r="G350" s="43">
        <f>IF(F350&gt;0,INDEX(Fish!$D:$D,MATCH(F350,Fish!$L:$L,0)),"")</f>
        <v>11002</v>
      </c>
      <c r="H350" s="43">
        <v>0</v>
      </c>
      <c r="I350" s="43">
        <v>4</v>
      </c>
      <c r="J350" s="43">
        <v>14</v>
      </c>
      <c r="K350" s="43">
        <v>16</v>
      </c>
      <c r="L350" s="43" t="s">
        <v>73</v>
      </c>
      <c r="M350" s="43">
        <f>IF(L350&gt;0,INDEX(Fish!$D:$D,MATCH(L350,Fish!$L:$L,0)),"")</f>
        <v>11007</v>
      </c>
      <c r="N350" s="43">
        <v>0</v>
      </c>
      <c r="O350" s="43">
        <v>3</v>
      </c>
      <c r="P350" s="43">
        <v>10</v>
      </c>
      <c r="Q350" s="43">
        <v>14</v>
      </c>
    </row>
    <row r="351" spans="1:17">
      <c r="A351" s="43">
        <v>44414</v>
      </c>
      <c r="B351" s="43">
        <v>1</v>
      </c>
      <c r="C351" s="43">
        <v>8</v>
      </c>
      <c r="D351" s="43">
        <v>1</v>
      </c>
      <c r="E351" s="43">
        <v>1</v>
      </c>
      <c r="F351" s="43" t="s">
        <v>63</v>
      </c>
      <c r="G351" s="43">
        <f>IF(F351&gt;0,INDEX(Fish!$D:$D,MATCH(F351,Fish!$L:$L,0)),"")</f>
        <v>11002</v>
      </c>
      <c r="H351" s="43">
        <v>0</v>
      </c>
      <c r="I351" s="43">
        <v>4</v>
      </c>
      <c r="J351" s="43">
        <v>14</v>
      </c>
      <c r="K351" s="43">
        <v>16</v>
      </c>
      <c r="L351" s="43" t="s">
        <v>79</v>
      </c>
      <c r="M351" s="43">
        <f>IF(L351&gt;0,INDEX(Fish!$D:$D,MATCH(L351,Fish!$L:$L,0)),"")</f>
        <v>11085</v>
      </c>
      <c r="N351" s="43">
        <v>0</v>
      </c>
      <c r="O351" s="43">
        <v>3</v>
      </c>
      <c r="P351" s="43">
        <v>10</v>
      </c>
      <c r="Q351" s="43">
        <v>14</v>
      </c>
    </row>
    <row r="352" spans="1:17">
      <c r="A352" s="43">
        <v>44414</v>
      </c>
      <c r="B352" s="43">
        <v>1</v>
      </c>
      <c r="C352" s="43">
        <v>8</v>
      </c>
      <c r="D352" s="43">
        <v>1</v>
      </c>
      <c r="E352" s="43">
        <v>1</v>
      </c>
      <c r="F352" s="43" t="s">
        <v>63</v>
      </c>
      <c r="G352" s="43">
        <f>IF(F352&gt;0,INDEX(Fish!$D:$D,MATCH(F352,Fish!$L:$L,0)),"")</f>
        <v>11002</v>
      </c>
      <c r="H352" s="43">
        <v>0</v>
      </c>
      <c r="I352" s="43">
        <v>4</v>
      </c>
      <c r="J352" s="43">
        <v>14</v>
      </c>
      <c r="K352" s="43">
        <v>16</v>
      </c>
      <c r="L352" s="43" t="s">
        <v>67</v>
      </c>
      <c r="M352" s="43">
        <f>IF(L352&gt;0,INDEX(Fish!$D:$D,MATCH(L352,Fish!$L:$L,0)),"")</f>
        <v>11004</v>
      </c>
      <c r="N352" s="43">
        <v>0</v>
      </c>
      <c r="O352" s="43">
        <v>3</v>
      </c>
      <c r="P352" s="43">
        <v>10</v>
      </c>
      <c r="Q352" s="43">
        <v>14</v>
      </c>
    </row>
    <row r="353" spans="1:29">
      <c r="A353" s="43">
        <v>44414</v>
      </c>
      <c r="B353" s="43">
        <v>2</v>
      </c>
      <c r="C353" s="43">
        <v>0</v>
      </c>
      <c r="D353" s="43">
        <v>2</v>
      </c>
      <c r="E353" s="43">
        <v>1</v>
      </c>
      <c r="F353" s="43" t="s">
        <v>75</v>
      </c>
      <c r="G353" s="43">
        <f>IF(F353&gt;0,INDEX(Fish!$D:$D,MATCH(F353,Fish!$L:$L,0)),"")</f>
        <v>11008</v>
      </c>
      <c r="H353" s="43">
        <v>0</v>
      </c>
      <c r="I353" s="43">
        <v>1</v>
      </c>
      <c r="J353" s="43">
        <v>3</v>
      </c>
      <c r="K353" s="43">
        <v>4</v>
      </c>
      <c r="L353" s="43" t="s">
        <v>81</v>
      </c>
      <c r="M353" s="43">
        <f>IF(L353&gt;0,INDEX(Fish!$D:$D,MATCH(L353,Fish!$L:$L,0)),"")</f>
        <v>11010</v>
      </c>
      <c r="N353" s="43">
        <v>0</v>
      </c>
      <c r="O353" s="43">
        <v>1</v>
      </c>
      <c r="P353" s="43">
        <v>2</v>
      </c>
      <c r="Q353" s="43">
        <v>3</v>
      </c>
      <c r="R353" s="43" t="s">
        <v>85</v>
      </c>
      <c r="S353" s="43">
        <f>IF(R353&gt;0,INDEX(Fish!$D:$D,MATCH(R353,Fish!$L:$L,0)),"")</f>
        <v>11012</v>
      </c>
      <c r="T353" s="43">
        <v>0</v>
      </c>
      <c r="U353" s="43">
        <v>1</v>
      </c>
      <c r="V353" s="43">
        <v>2</v>
      </c>
      <c r="W353" s="43">
        <v>3</v>
      </c>
      <c r="X353" s="43" t="s">
        <v>87</v>
      </c>
      <c r="Y353" s="43">
        <f>IF(X353&gt;0,INDEX(Fish!$D:$D,MATCH(X353,Fish!$L:$L,0)),"")</f>
        <v>11013</v>
      </c>
      <c r="Z353" s="43">
        <v>0</v>
      </c>
      <c r="AA353" s="43">
        <v>1</v>
      </c>
      <c r="AB353" s="43">
        <v>1</v>
      </c>
      <c r="AC353" s="43">
        <v>2</v>
      </c>
    </row>
    <row r="354" spans="1:29">
      <c r="A354" s="43">
        <v>44414</v>
      </c>
      <c r="B354" s="43">
        <v>2</v>
      </c>
      <c r="C354" s="43">
        <v>0</v>
      </c>
      <c r="D354" s="43">
        <v>2</v>
      </c>
      <c r="E354" s="43">
        <v>1</v>
      </c>
      <c r="F354" s="43" t="s">
        <v>75</v>
      </c>
      <c r="G354" s="43">
        <f>IF(F354&gt;0,INDEX(Fish!$D:$D,MATCH(F354,Fish!$L:$L,0)),"")</f>
        <v>11008</v>
      </c>
      <c r="H354" s="43">
        <v>0</v>
      </c>
      <c r="I354" s="43">
        <v>1</v>
      </c>
      <c r="J354" s="43">
        <v>3</v>
      </c>
      <c r="K354" s="43">
        <v>4</v>
      </c>
      <c r="L354" s="43" t="s">
        <v>81</v>
      </c>
      <c r="M354" s="43">
        <f>IF(L354&gt;0,INDEX(Fish!$D:$D,MATCH(L354,Fish!$L:$L,0)),"")</f>
        <v>11010</v>
      </c>
      <c r="N354" s="43">
        <v>0</v>
      </c>
      <c r="O354" s="43">
        <v>1</v>
      </c>
      <c r="P354" s="43">
        <v>2</v>
      </c>
      <c r="Q354" s="43">
        <v>3</v>
      </c>
      <c r="R354" s="43" t="s">
        <v>85</v>
      </c>
      <c r="S354" s="43">
        <f>IF(R354&gt;0,INDEX(Fish!$D:$D,MATCH(R354,Fish!$L:$L,0)),"")</f>
        <v>11012</v>
      </c>
      <c r="T354" s="43">
        <v>0</v>
      </c>
      <c r="U354" s="43">
        <v>1</v>
      </c>
      <c r="V354" s="43">
        <v>2</v>
      </c>
      <c r="W354" s="43">
        <v>3</v>
      </c>
      <c r="X354" s="43" t="s">
        <v>93</v>
      </c>
      <c r="Y354" s="43">
        <f>IF(X354&gt;0,INDEX(Fish!$D:$D,MATCH(X354,Fish!$L:$L,0)),"")</f>
        <v>11016</v>
      </c>
      <c r="Z354" s="43">
        <v>0</v>
      </c>
      <c r="AA354" s="43">
        <v>1</v>
      </c>
      <c r="AB354" s="43">
        <v>1</v>
      </c>
      <c r="AC354" s="43">
        <v>2</v>
      </c>
    </row>
    <row r="355" spans="1:29">
      <c r="A355" s="43">
        <v>44414</v>
      </c>
      <c r="B355" s="43">
        <v>2</v>
      </c>
      <c r="C355" s="43">
        <v>0</v>
      </c>
      <c r="D355" s="43">
        <v>2</v>
      </c>
      <c r="E355" s="43">
        <v>1</v>
      </c>
      <c r="F355" s="43" t="s">
        <v>75</v>
      </c>
      <c r="G355" s="43">
        <f>IF(F355&gt;0,INDEX(Fish!$D:$D,MATCH(F355,Fish!$L:$L,0)),"")</f>
        <v>11008</v>
      </c>
      <c r="H355" s="43">
        <v>0</v>
      </c>
      <c r="I355" s="43">
        <v>1</v>
      </c>
      <c r="J355" s="43">
        <v>3</v>
      </c>
      <c r="K355" s="43">
        <v>4</v>
      </c>
      <c r="L355" s="43" t="s">
        <v>81</v>
      </c>
      <c r="M355" s="43">
        <f>IF(L355&gt;0,INDEX(Fish!$D:$D,MATCH(L355,Fish!$L:$L,0)),"")</f>
        <v>11010</v>
      </c>
      <c r="N355" s="43">
        <v>0</v>
      </c>
      <c r="O355" s="43">
        <v>1</v>
      </c>
      <c r="P355" s="43">
        <v>2</v>
      </c>
      <c r="Q355" s="43">
        <v>3</v>
      </c>
      <c r="R355" s="43" t="s">
        <v>85</v>
      </c>
      <c r="S355" s="43">
        <f>IF(R355&gt;0,INDEX(Fish!$D:$D,MATCH(R355,Fish!$L:$L,0)),"")</f>
        <v>11012</v>
      </c>
      <c r="T355" s="43">
        <v>0</v>
      </c>
      <c r="U355" s="43">
        <v>1</v>
      </c>
      <c r="V355" s="43">
        <v>2</v>
      </c>
      <c r="W355" s="43">
        <v>3</v>
      </c>
      <c r="X355" s="43" t="s">
        <v>89</v>
      </c>
      <c r="Y355" s="43">
        <f>IF(X355&gt;0,INDEX(Fish!$D:$D,MATCH(X355,Fish!$L:$L,0)),"")</f>
        <v>11235</v>
      </c>
      <c r="Z355" s="43">
        <v>0</v>
      </c>
      <c r="AA355" s="43">
        <v>1</v>
      </c>
      <c r="AB355" s="43">
        <v>1</v>
      </c>
      <c r="AC355" s="43">
        <v>2</v>
      </c>
    </row>
    <row r="356" spans="1:29">
      <c r="A356" s="43">
        <v>44414</v>
      </c>
      <c r="B356" s="43">
        <v>2</v>
      </c>
      <c r="C356" s="43">
        <v>0</v>
      </c>
      <c r="D356" s="43">
        <v>2</v>
      </c>
      <c r="E356" s="43">
        <v>1</v>
      </c>
      <c r="F356" s="43" t="s">
        <v>75</v>
      </c>
      <c r="G356" s="43">
        <f>IF(F356&gt;0,INDEX(Fish!$D:$D,MATCH(F356,Fish!$L:$L,0)),"")</f>
        <v>11008</v>
      </c>
      <c r="H356" s="43">
        <v>0</v>
      </c>
      <c r="I356" s="43">
        <v>1</v>
      </c>
      <c r="J356" s="43">
        <v>3</v>
      </c>
      <c r="K356" s="43">
        <v>4</v>
      </c>
      <c r="L356" s="43" t="s">
        <v>81</v>
      </c>
      <c r="M356" s="43">
        <f>IF(L356&gt;0,INDEX(Fish!$D:$D,MATCH(L356,Fish!$L:$L,0)),"")</f>
        <v>11010</v>
      </c>
      <c r="N356" s="43">
        <v>0</v>
      </c>
      <c r="O356" s="43">
        <v>1</v>
      </c>
      <c r="P356" s="43">
        <v>2</v>
      </c>
      <c r="Q356" s="43">
        <v>3</v>
      </c>
      <c r="R356" s="43" t="s">
        <v>91</v>
      </c>
      <c r="S356" s="43">
        <f>IF(R356&gt;0,INDEX(Fish!$D:$D,MATCH(R356,Fish!$L:$L,0)),"")</f>
        <v>11015</v>
      </c>
      <c r="T356" s="43">
        <v>0</v>
      </c>
      <c r="U356" s="43">
        <v>1</v>
      </c>
      <c r="V356" s="43">
        <v>2</v>
      </c>
      <c r="W356" s="43">
        <v>3</v>
      </c>
      <c r="X356" s="43" t="s">
        <v>87</v>
      </c>
      <c r="Y356" s="43">
        <f>IF(X356&gt;0,INDEX(Fish!$D:$D,MATCH(X356,Fish!$L:$L,0)),"")</f>
        <v>11013</v>
      </c>
      <c r="Z356" s="43">
        <v>0</v>
      </c>
      <c r="AA356" s="43">
        <v>1</v>
      </c>
      <c r="AB356" s="43">
        <v>1</v>
      </c>
      <c r="AC356" s="43">
        <v>2</v>
      </c>
    </row>
    <row r="357" spans="1:29">
      <c r="A357" s="43">
        <v>44414</v>
      </c>
      <c r="B357" s="43">
        <v>2</v>
      </c>
      <c r="C357" s="43">
        <v>0</v>
      </c>
      <c r="D357" s="43">
        <v>2</v>
      </c>
      <c r="E357" s="43">
        <v>1</v>
      </c>
      <c r="F357" s="43" t="s">
        <v>75</v>
      </c>
      <c r="G357" s="43">
        <f>IF(F357&gt;0,INDEX(Fish!$D:$D,MATCH(F357,Fish!$L:$L,0)),"")</f>
        <v>11008</v>
      </c>
      <c r="H357" s="43">
        <v>0</v>
      </c>
      <c r="I357" s="43">
        <v>1</v>
      </c>
      <c r="J357" s="43">
        <v>3</v>
      </c>
      <c r="K357" s="43">
        <v>4</v>
      </c>
      <c r="L357" s="43" t="s">
        <v>81</v>
      </c>
      <c r="M357" s="43">
        <f>IF(L357&gt;0,INDEX(Fish!$D:$D,MATCH(L357,Fish!$L:$L,0)),"")</f>
        <v>11010</v>
      </c>
      <c r="N357" s="43">
        <v>0</v>
      </c>
      <c r="O357" s="43">
        <v>1</v>
      </c>
      <c r="P357" s="43">
        <v>2</v>
      </c>
      <c r="Q357" s="43">
        <v>3</v>
      </c>
      <c r="R357" s="43" t="s">
        <v>91</v>
      </c>
      <c r="S357" s="43">
        <f>IF(R357&gt;0,INDEX(Fish!$D:$D,MATCH(R357,Fish!$L:$L,0)),"")</f>
        <v>11015</v>
      </c>
      <c r="T357" s="43">
        <v>0</v>
      </c>
      <c r="U357" s="43">
        <v>1</v>
      </c>
      <c r="V357" s="43">
        <v>2</v>
      </c>
      <c r="W357" s="43">
        <v>3</v>
      </c>
      <c r="X357" s="43" t="s">
        <v>93</v>
      </c>
      <c r="Y357" s="43">
        <f>IF(X357&gt;0,INDEX(Fish!$D:$D,MATCH(X357,Fish!$L:$L,0)),"")</f>
        <v>11016</v>
      </c>
      <c r="Z357" s="43">
        <v>0</v>
      </c>
      <c r="AA357" s="43">
        <v>1</v>
      </c>
      <c r="AB357" s="43">
        <v>1</v>
      </c>
      <c r="AC357" s="43">
        <v>2</v>
      </c>
    </row>
    <row r="358" spans="1:29">
      <c r="A358" s="43">
        <v>44414</v>
      </c>
      <c r="B358" s="43">
        <v>2</v>
      </c>
      <c r="C358" s="43">
        <v>0</v>
      </c>
      <c r="D358" s="43">
        <v>2</v>
      </c>
      <c r="E358" s="43">
        <v>1</v>
      </c>
      <c r="F358" s="43" t="s">
        <v>75</v>
      </c>
      <c r="G358" s="43">
        <f>IF(F358&gt;0,INDEX(Fish!$D:$D,MATCH(F358,Fish!$L:$L,0)),"")</f>
        <v>11008</v>
      </c>
      <c r="H358" s="43">
        <v>0</v>
      </c>
      <c r="I358" s="43">
        <v>1</v>
      </c>
      <c r="J358" s="43">
        <v>3</v>
      </c>
      <c r="K358" s="43">
        <v>4</v>
      </c>
      <c r="L358" s="43" t="s">
        <v>81</v>
      </c>
      <c r="M358" s="43">
        <f>IF(L358&gt;0,INDEX(Fish!$D:$D,MATCH(L358,Fish!$L:$L,0)),"")</f>
        <v>11010</v>
      </c>
      <c r="N358" s="43">
        <v>0</v>
      </c>
      <c r="O358" s="43">
        <v>1</v>
      </c>
      <c r="P358" s="43">
        <v>2</v>
      </c>
      <c r="Q358" s="43">
        <v>3</v>
      </c>
      <c r="R358" s="43" t="s">
        <v>91</v>
      </c>
      <c r="S358" s="43">
        <f>IF(R358&gt;0,INDEX(Fish!$D:$D,MATCH(R358,Fish!$L:$L,0)),"")</f>
        <v>11015</v>
      </c>
      <c r="T358" s="43">
        <v>0</v>
      </c>
      <c r="U358" s="43">
        <v>1</v>
      </c>
      <c r="V358" s="43">
        <v>2</v>
      </c>
      <c r="W358" s="43">
        <v>3</v>
      </c>
      <c r="X358" s="43" t="s">
        <v>89</v>
      </c>
      <c r="Y358" s="43">
        <f>IF(X358&gt;0,INDEX(Fish!$D:$D,MATCH(X358,Fish!$L:$L,0)),"")</f>
        <v>11235</v>
      </c>
      <c r="Z358" s="43">
        <v>0</v>
      </c>
      <c r="AA358" s="43">
        <v>1</v>
      </c>
      <c r="AB358" s="43">
        <v>1</v>
      </c>
      <c r="AC358" s="43">
        <v>2</v>
      </c>
    </row>
    <row r="359" spans="1:29">
      <c r="A359" s="43">
        <v>44414</v>
      </c>
      <c r="B359" s="43">
        <v>2</v>
      </c>
      <c r="C359" s="43">
        <v>0</v>
      </c>
      <c r="D359" s="43">
        <v>2</v>
      </c>
      <c r="E359" s="43">
        <v>1</v>
      </c>
      <c r="F359" s="43" t="s">
        <v>75</v>
      </c>
      <c r="G359" s="43">
        <f>IF(F359&gt;0,INDEX(Fish!$D:$D,MATCH(F359,Fish!$L:$L,0)),"")</f>
        <v>11008</v>
      </c>
      <c r="H359" s="43">
        <v>0</v>
      </c>
      <c r="I359" s="43">
        <v>1</v>
      </c>
      <c r="J359" s="43">
        <v>3</v>
      </c>
      <c r="K359" s="43">
        <v>4</v>
      </c>
      <c r="L359" s="43" t="s">
        <v>95</v>
      </c>
      <c r="M359" s="43">
        <f>IF(L359&gt;0,INDEX(Fish!$D:$D,MATCH(L359,Fish!$L:$L,0)),"")</f>
        <v>11017</v>
      </c>
      <c r="N359" s="43">
        <v>0</v>
      </c>
      <c r="O359" s="43">
        <v>1</v>
      </c>
      <c r="P359" s="43">
        <v>2</v>
      </c>
      <c r="Q359" s="43">
        <v>3</v>
      </c>
      <c r="R359" s="43" t="s">
        <v>85</v>
      </c>
      <c r="S359" s="43">
        <f>IF(R359&gt;0,INDEX(Fish!$D:$D,MATCH(R359,Fish!$L:$L,0)),"")</f>
        <v>11012</v>
      </c>
      <c r="T359" s="43">
        <v>0</v>
      </c>
      <c r="U359" s="43">
        <v>1</v>
      </c>
      <c r="V359" s="43">
        <v>2</v>
      </c>
      <c r="W359" s="43">
        <v>3</v>
      </c>
      <c r="X359" s="43" t="s">
        <v>87</v>
      </c>
      <c r="Y359" s="43">
        <f>IF(X359&gt;0,INDEX(Fish!$D:$D,MATCH(X359,Fish!$L:$L,0)),"")</f>
        <v>11013</v>
      </c>
      <c r="Z359" s="43">
        <v>0</v>
      </c>
      <c r="AA359" s="43">
        <v>1</v>
      </c>
      <c r="AB359" s="43">
        <v>1</v>
      </c>
      <c r="AC359" s="43">
        <v>2</v>
      </c>
    </row>
    <row r="360" spans="1:29">
      <c r="A360" s="43">
        <v>44414</v>
      </c>
      <c r="B360" s="43">
        <v>2</v>
      </c>
      <c r="C360" s="43">
        <v>0</v>
      </c>
      <c r="D360" s="43">
        <v>2</v>
      </c>
      <c r="E360" s="43">
        <v>1</v>
      </c>
      <c r="F360" s="43" t="s">
        <v>75</v>
      </c>
      <c r="G360" s="43">
        <f>IF(F360&gt;0,INDEX(Fish!$D:$D,MATCH(F360,Fish!$L:$L,0)),"")</f>
        <v>11008</v>
      </c>
      <c r="H360" s="43">
        <v>0</v>
      </c>
      <c r="I360" s="43">
        <v>1</v>
      </c>
      <c r="J360" s="43">
        <v>3</v>
      </c>
      <c r="K360" s="43">
        <v>4</v>
      </c>
      <c r="L360" s="43" t="s">
        <v>95</v>
      </c>
      <c r="M360" s="43">
        <f>IF(L360&gt;0,INDEX(Fish!$D:$D,MATCH(L360,Fish!$L:$L,0)),"")</f>
        <v>11017</v>
      </c>
      <c r="N360" s="43">
        <v>0</v>
      </c>
      <c r="O360" s="43">
        <v>1</v>
      </c>
      <c r="P360" s="43">
        <v>2</v>
      </c>
      <c r="Q360" s="43">
        <v>3</v>
      </c>
      <c r="R360" s="43" t="s">
        <v>85</v>
      </c>
      <c r="S360" s="43">
        <f>IF(R360&gt;0,INDEX(Fish!$D:$D,MATCH(R360,Fish!$L:$L,0)),"")</f>
        <v>11012</v>
      </c>
      <c r="T360" s="43">
        <v>0</v>
      </c>
      <c r="U360" s="43">
        <v>1</v>
      </c>
      <c r="V360" s="43">
        <v>2</v>
      </c>
      <c r="W360" s="43">
        <v>3</v>
      </c>
      <c r="X360" s="43" t="s">
        <v>93</v>
      </c>
      <c r="Y360" s="43">
        <f>IF(X360&gt;0,INDEX(Fish!$D:$D,MATCH(X360,Fish!$L:$L,0)),"")</f>
        <v>11016</v>
      </c>
      <c r="Z360" s="43">
        <v>0</v>
      </c>
      <c r="AA360" s="43">
        <v>1</v>
      </c>
      <c r="AB360" s="43">
        <v>1</v>
      </c>
      <c r="AC360" s="43">
        <v>2</v>
      </c>
    </row>
    <row r="361" spans="1:29">
      <c r="A361" s="43">
        <v>44414</v>
      </c>
      <c r="B361" s="43">
        <v>2</v>
      </c>
      <c r="C361" s="43">
        <v>0</v>
      </c>
      <c r="D361" s="43">
        <v>2</v>
      </c>
      <c r="E361" s="43">
        <v>1</v>
      </c>
      <c r="F361" s="43" t="s">
        <v>75</v>
      </c>
      <c r="G361" s="43">
        <f>IF(F361&gt;0,INDEX(Fish!$D:$D,MATCH(F361,Fish!$L:$L,0)),"")</f>
        <v>11008</v>
      </c>
      <c r="H361" s="43">
        <v>0</v>
      </c>
      <c r="I361" s="43">
        <v>1</v>
      </c>
      <c r="J361" s="43">
        <v>3</v>
      </c>
      <c r="K361" s="43">
        <v>4</v>
      </c>
      <c r="L361" s="43" t="s">
        <v>95</v>
      </c>
      <c r="M361" s="43">
        <f>IF(L361&gt;0,INDEX(Fish!$D:$D,MATCH(L361,Fish!$L:$L,0)),"")</f>
        <v>11017</v>
      </c>
      <c r="N361" s="43">
        <v>0</v>
      </c>
      <c r="O361" s="43">
        <v>1</v>
      </c>
      <c r="P361" s="43">
        <v>2</v>
      </c>
      <c r="Q361" s="43">
        <v>3</v>
      </c>
      <c r="R361" s="43" t="s">
        <v>85</v>
      </c>
      <c r="S361" s="43">
        <f>IF(R361&gt;0,INDEX(Fish!$D:$D,MATCH(R361,Fish!$L:$L,0)),"")</f>
        <v>11012</v>
      </c>
      <c r="T361" s="43">
        <v>0</v>
      </c>
      <c r="U361" s="43">
        <v>1</v>
      </c>
      <c r="V361" s="43">
        <v>2</v>
      </c>
      <c r="W361" s="43">
        <v>3</v>
      </c>
      <c r="X361" s="43" t="s">
        <v>89</v>
      </c>
      <c r="Y361" s="43">
        <f>IF(X361&gt;0,INDEX(Fish!$D:$D,MATCH(X361,Fish!$L:$L,0)),"")</f>
        <v>11235</v>
      </c>
      <c r="Z361" s="43">
        <v>0</v>
      </c>
      <c r="AA361" s="43">
        <v>1</v>
      </c>
      <c r="AB361" s="43">
        <v>1</v>
      </c>
      <c r="AC361" s="43">
        <v>2</v>
      </c>
    </row>
    <row r="362" spans="1:29">
      <c r="A362" s="43">
        <v>44414</v>
      </c>
      <c r="B362" s="43">
        <v>2</v>
      </c>
      <c r="C362" s="43">
        <v>0</v>
      </c>
      <c r="D362" s="43">
        <v>2</v>
      </c>
      <c r="E362" s="43">
        <v>1</v>
      </c>
      <c r="F362" s="43" t="s">
        <v>75</v>
      </c>
      <c r="G362" s="43">
        <f>IF(F362&gt;0,INDEX(Fish!$D:$D,MATCH(F362,Fish!$L:$L,0)),"")</f>
        <v>11008</v>
      </c>
      <c r="H362" s="43">
        <v>0</v>
      </c>
      <c r="I362" s="43">
        <v>1</v>
      </c>
      <c r="J362" s="43">
        <v>3</v>
      </c>
      <c r="K362" s="43">
        <v>4</v>
      </c>
      <c r="L362" s="43" t="s">
        <v>95</v>
      </c>
      <c r="M362" s="43">
        <f>IF(L362&gt;0,INDEX(Fish!$D:$D,MATCH(L362,Fish!$L:$L,0)),"")</f>
        <v>11017</v>
      </c>
      <c r="N362" s="43">
        <v>0</v>
      </c>
      <c r="O362" s="43">
        <v>1</v>
      </c>
      <c r="P362" s="43">
        <v>2</v>
      </c>
      <c r="Q362" s="43">
        <v>3</v>
      </c>
      <c r="R362" s="43" t="s">
        <v>91</v>
      </c>
      <c r="S362" s="43">
        <f>IF(R362&gt;0,INDEX(Fish!$D:$D,MATCH(R362,Fish!$L:$L,0)),"")</f>
        <v>11015</v>
      </c>
      <c r="T362" s="43">
        <v>0</v>
      </c>
      <c r="U362" s="43">
        <v>1</v>
      </c>
      <c r="V362" s="43">
        <v>2</v>
      </c>
      <c r="W362" s="43">
        <v>3</v>
      </c>
      <c r="X362" s="43" t="s">
        <v>87</v>
      </c>
      <c r="Y362" s="43">
        <f>IF(X362&gt;0,INDEX(Fish!$D:$D,MATCH(X362,Fish!$L:$L,0)),"")</f>
        <v>11013</v>
      </c>
      <c r="Z362" s="43">
        <v>0</v>
      </c>
      <c r="AA362" s="43">
        <v>1</v>
      </c>
      <c r="AB362" s="43">
        <v>1</v>
      </c>
      <c r="AC362" s="43">
        <v>2</v>
      </c>
    </row>
    <row r="363" spans="1:29">
      <c r="A363" s="43">
        <v>44414</v>
      </c>
      <c r="B363" s="43">
        <v>2</v>
      </c>
      <c r="C363" s="43">
        <v>0</v>
      </c>
      <c r="D363" s="43">
        <v>2</v>
      </c>
      <c r="E363" s="43">
        <v>1</v>
      </c>
      <c r="F363" s="43" t="s">
        <v>75</v>
      </c>
      <c r="G363" s="43">
        <f>IF(F363&gt;0,INDEX(Fish!$D:$D,MATCH(F363,Fish!$L:$L,0)),"")</f>
        <v>11008</v>
      </c>
      <c r="H363" s="43">
        <v>0</v>
      </c>
      <c r="I363" s="43">
        <v>1</v>
      </c>
      <c r="J363" s="43">
        <v>3</v>
      </c>
      <c r="K363" s="43">
        <v>4</v>
      </c>
      <c r="L363" s="43" t="s">
        <v>95</v>
      </c>
      <c r="M363" s="43">
        <f>IF(L363&gt;0,INDEX(Fish!$D:$D,MATCH(L363,Fish!$L:$L,0)),"")</f>
        <v>11017</v>
      </c>
      <c r="N363" s="43">
        <v>0</v>
      </c>
      <c r="O363" s="43">
        <v>1</v>
      </c>
      <c r="P363" s="43">
        <v>2</v>
      </c>
      <c r="Q363" s="43">
        <v>3</v>
      </c>
      <c r="R363" s="43" t="s">
        <v>91</v>
      </c>
      <c r="S363" s="43">
        <f>IF(R363&gt;0,INDEX(Fish!$D:$D,MATCH(R363,Fish!$L:$L,0)),"")</f>
        <v>11015</v>
      </c>
      <c r="T363" s="43">
        <v>0</v>
      </c>
      <c r="U363" s="43">
        <v>1</v>
      </c>
      <c r="V363" s="43">
        <v>2</v>
      </c>
      <c r="W363" s="43">
        <v>3</v>
      </c>
      <c r="X363" s="43" t="s">
        <v>93</v>
      </c>
      <c r="Y363" s="43">
        <f>IF(X363&gt;0,INDEX(Fish!$D:$D,MATCH(X363,Fish!$L:$L,0)),"")</f>
        <v>11016</v>
      </c>
      <c r="Z363" s="43">
        <v>0</v>
      </c>
      <c r="AA363" s="43">
        <v>1</v>
      </c>
      <c r="AB363" s="43">
        <v>1</v>
      </c>
      <c r="AC363" s="43">
        <v>2</v>
      </c>
    </row>
    <row r="364" spans="1:29">
      <c r="A364" s="43">
        <v>44414</v>
      </c>
      <c r="B364" s="43">
        <v>2</v>
      </c>
      <c r="C364" s="43">
        <v>0</v>
      </c>
      <c r="D364" s="43">
        <v>2</v>
      </c>
      <c r="E364" s="43">
        <v>1</v>
      </c>
      <c r="F364" s="43" t="s">
        <v>75</v>
      </c>
      <c r="G364" s="43">
        <f>IF(F364&gt;0,INDEX(Fish!$D:$D,MATCH(F364,Fish!$L:$L,0)),"")</f>
        <v>11008</v>
      </c>
      <c r="H364" s="43">
        <v>0</v>
      </c>
      <c r="I364" s="43">
        <v>1</v>
      </c>
      <c r="J364" s="43">
        <v>3</v>
      </c>
      <c r="K364" s="43">
        <v>4</v>
      </c>
      <c r="L364" s="43" t="s">
        <v>95</v>
      </c>
      <c r="M364" s="43">
        <f>IF(L364&gt;0,INDEX(Fish!$D:$D,MATCH(L364,Fish!$L:$L,0)),"")</f>
        <v>11017</v>
      </c>
      <c r="N364" s="43">
        <v>0</v>
      </c>
      <c r="O364" s="43">
        <v>1</v>
      </c>
      <c r="P364" s="43">
        <v>2</v>
      </c>
      <c r="Q364" s="43">
        <v>3</v>
      </c>
      <c r="R364" s="43" t="s">
        <v>91</v>
      </c>
      <c r="S364" s="43">
        <f>IF(R364&gt;0,INDEX(Fish!$D:$D,MATCH(R364,Fish!$L:$L,0)),"")</f>
        <v>11015</v>
      </c>
      <c r="T364" s="43">
        <v>0</v>
      </c>
      <c r="U364" s="43">
        <v>1</v>
      </c>
      <c r="V364" s="43">
        <v>2</v>
      </c>
      <c r="W364" s="43">
        <v>3</v>
      </c>
      <c r="X364" s="43" t="s">
        <v>89</v>
      </c>
      <c r="Y364" s="43">
        <f>IF(X364&gt;0,INDEX(Fish!$D:$D,MATCH(X364,Fish!$L:$L,0)),"")</f>
        <v>11235</v>
      </c>
      <c r="Z364" s="43">
        <v>0</v>
      </c>
      <c r="AA364" s="43">
        <v>1</v>
      </c>
      <c r="AB364" s="43">
        <v>1</v>
      </c>
      <c r="AC364" s="43">
        <v>2</v>
      </c>
    </row>
    <row r="365" spans="1:29">
      <c r="A365" s="43">
        <v>44414</v>
      </c>
      <c r="B365" s="43">
        <v>2</v>
      </c>
      <c r="C365" s="43">
        <v>0</v>
      </c>
      <c r="D365" s="43">
        <v>2</v>
      </c>
      <c r="E365" s="43">
        <v>1</v>
      </c>
      <c r="F365" s="43" t="s">
        <v>69</v>
      </c>
      <c r="G365" s="43">
        <f>IF(F365&gt;0,INDEX(Fish!$D:$D,MATCH(F365,Fish!$L:$L,0)),"")</f>
        <v>11005</v>
      </c>
      <c r="H365" s="43">
        <v>0</v>
      </c>
      <c r="I365" s="43">
        <v>1</v>
      </c>
      <c r="J365" s="43">
        <v>3</v>
      </c>
      <c r="K365" s="43">
        <v>4</v>
      </c>
      <c r="L365" s="43" t="s">
        <v>81</v>
      </c>
      <c r="M365" s="43">
        <f>IF(L365&gt;0,INDEX(Fish!$D:$D,MATCH(L365,Fish!$L:$L,0)),"")</f>
        <v>11010</v>
      </c>
      <c r="N365" s="43">
        <v>0</v>
      </c>
      <c r="O365" s="43">
        <v>1</v>
      </c>
      <c r="P365" s="43">
        <v>2</v>
      </c>
      <c r="Q365" s="43">
        <v>3</v>
      </c>
      <c r="R365" s="43" t="s">
        <v>85</v>
      </c>
      <c r="S365" s="43">
        <f>IF(R365&gt;0,INDEX(Fish!$D:$D,MATCH(R365,Fish!$L:$L,0)),"")</f>
        <v>11012</v>
      </c>
      <c r="T365" s="43">
        <v>0</v>
      </c>
      <c r="U365" s="43">
        <v>1</v>
      </c>
      <c r="V365" s="43">
        <v>2</v>
      </c>
      <c r="W365" s="43">
        <v>3</v>
      </c>
      <c r="X365" s="43" t="s">
        <v>87</v>
      </c>
      <c r="Y365" s="43">
        <f>IF(X365&gt;0,INDEX(Fish!$D:$D,MATCH(X365,Fish!$L:$L,0)),"")</f>
        <v>11013</v>
      </c>
      <c r="Z365" s="43">
        <v>0</v>
      </c>
      <c r="AA365" s="43">
        <v>1</v>
      </c>
      <c r="AB365" s="43">
        <v>1</v>
      </c>
      <c r="AC365" s="43">
        <v>2</v>
      </c>
    </row>
    <row r="366" spans="1:29">
      <c r="A366" s="43">
        <v>44414</v>
      </c>
      <c r="B366" s="43">
        <v>2</v>
      </c>
      <c r="C366" s="43">
        <v>0</v>
      </c>
      <c r="D366" s="43">
        <v>2</v>
      </c>
      <c r="E366" s="43">
        <v>1</v>
      </c>
      <c r="F366" s="43" t="s">
        <v>69</v>
      </c>
      <c r="G366" s="43">
        <f>IF(F366&gt;0,INDEX(Fish!$D:$D,MATCH(F366,Fish!$L:$L,0)),"")</f>
        <v>11005</v>
      </c>
      <c r="H366" s="43">
        <v>0</v>
      </c>
      <c r="I366" s="43">
        <v>1</v>
      </c>
      <c r="J366" s="43">
        <v>3</v>
      </c>
      <c r="K366" s="43">
        <v>4</v>
      </c>
      <c r="L366" s="43" t="s">
        <v>81</v>
      </c>
      <c r="M366" s="43">
        <f>IF(L366&gt;0,INDEX(Fish!$D:$D,MATCH(L366,Fish!$L:$L,0)),"")</f>
        <v>11010</v>
      </c>
      <c r="N366" s="43">
        <v>0</v>
      </c>
      <c r="O366" s="43">
        <v>1</v>
      </c>
      <c r="P366" s="43">
        <v>2</v>
      </c>
      <c r="Q366" s="43">
        <v>3</v>
      </c>
      <c r="R366" s="43" t="s">
        <v>85</v>
      </c>
      <c r="S366" s="43">
        <f>IF(R366&gt;0,INDEX(Fish!$D:$D,MATCH(R366,Fish!$L:$L,0)),"")</f>
        <v>11012</v>
      </c>
      <c r="T366" s="43">
        <v>0</v>
      </c>
      <c r="U366" s="43">
        <v>1</v>
      </c>
      <c r="V366" s="43">
        <v>2</v>
      </c>
      <c r="W366" s="43">
        <v>3</v>
      </c>
      <c r="X366" s="43" t="s">
        <v>93</v>
      </c>
      <c r="Y366" s="43">
        <f>IF(X366&gt;0,INDEX(Fish!$D:$D,MATCH(X366,Fish!$L:$L,0)),"")</f>
        <v>11016</v>
      </c>
      <c r="Z366" s="43">
        <v>0</v>
      </c>
      <c r="AA366" s="43">
        <v>1</v>
      </c>
      <c r="AB366" s="43">
        <v>1</v>
      </c>
      <c r="AC366" s="43">
        <v>2</v>
      </c>
    </row>
    <row r="367" spans="1:29">
      <c r="A367" s="43">
        <v>44414</v>
      </c>
      <c r="B367" s="43">
        <v>2</v>
      </c>
      <c r="C367" s="43">
        <v>0</v>
      </c>
      <c r="D367" s="43">
        <v>2</v>
      </c>
      <c r="E367" s="43">
        <v>1</v>
      </c>
      <c r="F367" s="43" t="s">
        <v>69</v>
      </c>
      <c r="G367" s="43">
        <f>IF(F367&gt;0,INDEX(Fish!$D:$D,MATCH(F367,Fish!$L:$L,0)),"")</f>
        <v>11005</v>
      </c>
      <c r="H367" s="43">
        <v>0</v>
      </c>
      <c r="I367" s="43">
        <v>1</v>
      </c>
      <c r="J367" s="43">
        <v>3</v>
      </c>
      <c r="K367" s="43">
        <v>4</v>
      </c>
      <c r="L367" s="43" t="s">
        <v>81</v>
      </c>
      <c r="M367" s="43">
        <f>IF(L367&gt;0,INDEX(Fish!$D:$D,MATCH(L367,Fish!$L:$L,0)),"")</f>
        <v>11010</v>
      </c>
      <c r="N367" s="43">
        <v>0</v>
      </c>
      <c r="O367" s="43">
        <v>1</v>
      </c>
      <c r="P367" s="43">
        <v>2</v>
      </c>
      <c r="Q367" s="43">
        <v>3</v>
      </c>
      <c r="R367" s="43" t="s">
        <v>85</v>
      </c>
      <c r="S367" s="43">
        <f>IF(R367&gt;0,INDEX(Fish!$D:$D,MATCH(R367,Fish!$L:$L,0)),"")</f>
        <v>11012</v>
      </c>
      <c r="T367" s="43">
        <v>0</v>
      </c>
      <c r="U367" s="43">
        <v>1</v>
      </c>
      <c r="V367" s="43">
        <v>2</v>
      </c>
      <c r="W367" s="43">
        <v>3</v>
      </c>
      <c r="X367" s="43" t="s">
        <v>89</v>
      </c>
      <c r="Y367" s="43">
        <f>IF(X367&gt;0,INDEX(Fish!$D:$D,MATCH(X367,Fish!$L:$L,0)),"")</f>
        <v>11235</v>
      </c>
      <c r="Z367" s="43">
        <v>0</v>
      </c>
      <c r="AA367" s="43">
        <v>1</v>
      </c>
      <c r="AB367" s="43">
        <v>1</v>
      </c>
      <c r="AC367" s="43">
        <v>2</v>
      </c>
    </row>
    <row r="368" spans="1:29">
      <c r="A368" s="43">
        <v>44414</v>
      </c>
      <c r="B368" s="43">
        <v>2</v>
      </c>
      <c r="C368" s="43">
        <v>0</v>
      </c>
      <c r="D368" s="43">
        <v>2</v>
      </c>
      <c r="E368" s="43">
        <v>1</v>
      </c>
      <c r="F368" s="43" t="s">
        <v>69</v>
      </c>
      <c r="G368" s="43">
        <f>IF(F368&gt;0,INDEX(Fish!$D:$D,MATCH(F368,Fish!$L:$L,0)),"")</f>
        <v>11005</v>
      </c>
      <c r="H368" s="43">
        <v>0</v>
      </c>
      <c r="I368" s="43">
        <v>1</v>
      </c>
      <c r="J368" s="43">
        <v>3</v>
      </c>
      <c r="K368" s="43">
        <v>4</v>
      </c>
      <c r="L368" s="43" t="s">
        <v>81</v>
      </c>
      <c r="M368" s="43">
        <f>IF(L368&gt;0,INDEX(Fish!$D:$D,MATCH(L368,Fish!$L:$L,0)),"")</f>
        <v>11010</v>
      </c>
      <c r="N368" s="43">
        <v>0</v>
      </c>
      <c r="O368" s="43">
        <v>1</v>
      </c>
      <c r="P368" s="43">
        <v>2</v>
      </c>
      <c r="Q368" s="43">
        <v>3</v>
      </c>
      <c r="R368" s="43" t="s">
        <v>91</v>
      </c>
      <c r="S368" s="43">
        <f>IF(R368&gt;0,INDEX(Fish!$D:$D,MATCH(R368,Fish!$L:$L,0)),"")</f>
        <v>11015</v>
      </c>
      <c r="T368" s="43">
        <v>0</v>
      </c>
      <c r="U368" s="43">
        <v>1</v>
      </c>
      <c r="V368" s="43">
        <v>2</v>
      </c>
      <c r="W368" s="43">
        <v>3</v>
      </c>
      <c r="X368" s="43" t="s">
        <v>87</v>
      </c>
      <c r="Y368" s="43">
        <f>IF(X368&gt;0,INDEX(Fish!$D:$D,MATCH(X368,Fish!$L:$L,0)),"")</f>
        <v>11013</v>
      </c>
      <c r="Z368" s="43">
        <v>0</v>
      </c>
      <c r="AA368" s="43">
        <v>1</v>
      </c>
      <c r="AB368" s="43">
        <v>1</v>
      </c>
      <c r="AC368" s="43">
        <v>2</v>
      </c>
    </row>
    <row r="369" spans="1:29">
      <c r="A369" s="43">
        <v>44414</v>
      </c>
      <c r="B369" s="43">
        <v>2</v>
      </c>
      <c r="C369" s="43">
        <v>0</v>
      </c>
      <c r="D369" s="43">
        <v>2</v>
      </c>
      <c r="E369" s="43">
        <v>1</v>
      </c>
      <c r="F369" s="43" t="s">
        <v>69</v>
      </c>
      <c r="G369" s="43">
        <f>IF(F369&gt;0,INDEX(Fish!$D:$D,MATCH(F369,Fish!$L:$L,0)),"")</f>
        <v>11005</v>
      </c>
      <c r="H369" s="43">
        <v>0</v>
      </c>
      <c r="I369" s="43">
        <v>1</v>
      </c>
      <c r="J369" s="43">
        <v>3</v>
      </c>
      <c r="K369" s="43">
        <v>4</v>
      </c>
      <c r="L369" s="43" t="s">
        <v>81</v>
      </c>
      <c r="M369" s="43">
        <f>IF(L369&gt;0,INDEX(Fish!$D:$D,MATCH(L369,Fish!$L:$L,0)),"")</f>
        <v>11010</v>
      </c>
      <c r="N369" s="43">
        <v>0</v>
      </c>
      <c r="O369" s="43">
        <v>1</v>
      </c>
      <c r="P369" s="43">
        <v>2</v>
      </c>
      <c r="Q369" s="43">
        <v>3</v>
      </c>
      <c r="R369" s="43" t="s">
        <v>91</v>
      </c>
      <c r="S369" s="43">
        <f>IF(R369&gt;0,INDEX(Fish!$D:$D,MATCH(R369,Fish!$L:$L,0)),"")</f>
        <v>11015</v>
      </c>
      <c r="T369" s="43">
        <v>0</v>
      </c>
      <c r="U369" s="43">
        <v>1</v>
      </c>
      <c r="V369" s="43">
        <v>2</v>
      </c>
      <c r="W369" s="43">
        <v>3</v>
      </c>
      <c r="X369" s="43" t="s">
        <v>93</v>
      </c>
      <c r="Y369" s="43">
        <f>IF(X369&gt;0,INDEX(Fish!$D:$D,MATCH(X369,Fish!$L:$L,0)),"")</f>
        <v>11016</v>
      </c>
      <c r="Z369" s="43">
        <v>0</v>
      </c>
      <c r="AA369" s="43">
        <v>1</v>
      </c>
      <c r="AB369" s="43">
        <v>1</v>
      </c>
      <c r="AC369" s="43">
        <v>2</v>
      </c>
    </row>
    <row r="370" spans="1:29">
      <c r="A370" s="43">
        <v>44414</v>
      </c>
      <c r="B370" s="43">
        <v>2</v>
      </c>
      <c r="C370" s="43">
        <v>0</v>
      </c>
      <c r="D370" s="43">
        <v>2</v>
      </c>
      <c r="E370" s="43">
        <v>1</v>
      </c>
      <c r="F370" s="43" t="s">
        <v>69</v>
      </c>
      <c r="G370" s="43">
        <f>IF(F370&gt;0,INDEX(Fish!$D:$D,MATCH(F370,Fish!$L:$L,0)),"")</f>
        <v>11005</v>
      </c>
      <c r="H370" s="43">
        <v>0</v>
      </c>
      <c r="I370" s="43">
        <v>1</v>
      </c>
      <c r="J370" s="43">
        <v>3</v>
      </c>
      <c r="K370" s="43">
        <v>4</v>
      </c>
      <c r="L370" s="43" t="s">
        <v>81</v>
      </c>
      <c r="M370" s="43">
        <f>IF(L370&gt;0,INDEX(Fish!$D:$D,MATCH(L370,Fish!$L:$L,0)),"")</f>
        <v>11010</v>
      </c>
      <c r="N370" s="43">
        <v>0</v>
      </c>
      <c r="O370" s="43">
        <v>1</v>
      </c>
      <c r="P370" s="43">
        <v>2</v>
      </c>
      <c r="Q370" s="43">
        <v>3</v>
      </c>
      <c r="R370" s="43" t="s">
        <v>91</v>
      </c>
      <c r="S370" s="43">
        <f>IF(R370&gt;0,INDEX(Fish!$D:$D,MATCH(R370,Fish!$L:$L,0)),"")</f>
        <v>11015</v>
      </c>
      <c r="T370" s="43">
        <v>0</v>
      </c>
      <c r="U370" s="43">
        <v>1</v>
      </c>
      <c r="V370" s="43">
        <v>2</v>
      </c>
      <c r="W370" s="43">
        <v>3</v>
      </c>
      <c r="X370" s="43" t="s">
        <v>89</v>
      </c>
      <c r="Y370" s="43">
        <f>IF(X370&gt;0,INDEX(Fish!$D:$D,MATCH(X370,Fish!$L:$L,0)),"")</f>
        <v>11235</v>
      </c>
      <c r="Z370" s="43">
        <v>0</v>
      </c>
      <c r="AA370" s="43">
        <v>1</v>
      </c>
      <c r="AB370" s="43">
        <v>1</v>
      </c>
      <c r="AC370" s="43">
        <v>2</v>
      </c>
    </row>
    <row r="371" spans="1:29">
      <c r="A371" s="43">
        <v>44414</v>
      </c>
      <c r="B371" s="43">
        <v>2</v>
      </c>
      <c r="C371" s="43">
        <v>0</v>
      </c>
      <c r="D371" s="43">
        <v>2</v>
      </c>
      <c r="E371" s="43">
        <v>1</v>
      </c>
      <c r="F371" s="43" t="s">
        <v>69</v>
      </c>
      <c r="G371" s="43">
        <f>IF(F371&gt;0,INDEX(Fish!$D:$D,MATCH(F371,Fish!$L:$L,0)),"")</f>
        <v>11005</v>
      </c>
      <c r="H371" s="43">
        <v>0</v>
      </c>
      <c r="I371" s="43">
        <v>1</v>
      </c>
      <c r="J371" s="43">
        <v>3</v>
      </c>
      <c r="K371" s="43">
        <v>4</v>
      </c>
      <c r="L371" s="43" t="s">
        <v>95</v>
      </c>
      <c r="M371" s="43">
        <f>IF(L371&gt;0,INDEX(Fish!$D:$D,MATCH(L371,Fish!$L:$L,0)),"")</f>
        <v>11017</v>
      </c>
      <c r="N371" s="43">
        <v>0</v>
      </c>
      <c r="O371" s="43">
        <v>1</v>
      </c>
      <c r="P371" s="43">
        <v>2</v>
      </c>
      <c r="Q371" s="43">
        <v>3</v>
      </c>
      <c r="R371" s="43" t="s">
        <v>85</v>
      </c>
      <c r="S371" s="43">
        <f>IF(R371&gt;0,INDEX(Fish!$D:$D,MATCH(R371,Fish!$L:$L,0)),"")</f>
        <v>11012</v>
      </c>
      <c r="T371" s="43">
        <v>0</v>
      </c>
      <c r="U371" s="43">
        <v>1</v>
      </c>
      <c r="V371" s="43">
        <v>2</v>
      </c>
      <c r="W371" s="43">
        <v>3</v>
      </c>
      <c r="X371" s="43" t="s">
        <v>87</v>
      </c>
      <c r="Y371" s="43">
        <f>IF(X371&gt;0,INDEX(Fish!$D:$D,MATCH(X371,Fish!$L:$L,0)),"")</f>
        <v>11013</v>
      </c>
      <c r="Z371" s="43">
        <v>0</v>
      </c>
      <c r="AA371" s="43">
        <v>1</v>
      </c>
      <c r="AB371" s="43">
        <v>1</v>
      </c>
      <c r="AC371" s="43">
        <v>2</v>
      </c>
    </row>
    <row r="372" spans="1:29">
      <c r="A372" s="43">
        <v>44414</v>
      </c>
      <c r="B372" s="43">
        <v>2</v>
      </c>
      <c r="C372" s="43">
        <v>0</v>
      </c>
      <c r="D372" s="43">
        <v>2</v>
      </c>
      <c r="E372" s="43">
        <v>1</v>
      </c>
      <c r="F372" s="43" t="s">
        <v>69</v>
      </c>
      <c r="G372" s="43">
        <f>IF(F372&gt;0,INDEX(Fish!$D:$D,MATCH(F372,Fish!$L:$L,0)),"")</f>
        <v>11005</v>
      </c>
      <c r="H372" s="43">
        <v>0</v>
      </c>
      <c r="I372" s="43">
        <v>1</v>
      </c>
      <c r="J372" s="43">
        <v>3</v>
      </c>
      <c r="K372" s="43">
        <v>4</v>
      </c>
      <c r="L372" s="43" t="s">
        <v>95</v>
      </c>
      <c r="M372" s="43">
        <f>IF(L372&gt;0,INDEX(Fish!$D:$D,MATCH(L372,Fish!$L:$L,0)),"")</f>
        <v>11017</v>
      </c>
      <c r="N372" s="43">
        <v>0</v>
      </c>
      <c r="O372" s="43">
        <v>1</v>
      </c>
      <c r="P372" s="43">
        <v>2</v>
      </c>
      <c r="Q372" s="43">
        <v>3</v>
      </c>
      <c r="R372" s="43" t="s">
        <v>85</v>
      </c>
      <c r="S372" s="43">
        <f>IF(R372&gt;0,INDEX(Fish!$D:$D,MATCH(R372,Fish!$L:$L,0)),"")</f>
        <v>11012</v>
      </c>
      <c r="T372" s="43">
        <v>0</v>
      </c>
      <c r="U372" s="43">
        <v>1</v>
      </c>
      <c r="V372" s="43">
        <v>2</v>
      </c>
      <c r="W372" s="43">
        <v>3</v>
      </c>
      <c r="X372" s="43" t="s">
        <v>93</v>
      </c>
      <c r="Y372" s="43">
        <f>IF(X372&gt;0,INDEX(Fish!$D:$D,MATCH(X372,Fish!$L:$L,0)),"")</f>
        <v>11016</v>
      </c>
      <c r="Z372" s="43">
        <v>0</v>
      </c>
      <c r="AA372" s="43">
        <v>1</v>
      </c>
      <c r="AB372" s="43">
        <v>1</v>
      </c>
      <c r="AC372" s="43">
        <v>2</v>
      </c>
    </row>
    <row r="373" spans="1:29">
      <c r="A373" s="43">
        <v>44414</v>
      </c>
      <c r="B373" s="43">
        <v>2</v>
      </c>
      <c r="C373" s="43">
        <v>0</v>
      </c>
      <c r="D373" s="43">
        <v>2</v>
      </c>
      <c r="E373" s="43">
        <v>1</v>
      </c>
      <c r="F373" s="43" t="s">
        <v>69</v>
      </c>
      <c r="G373" s="43">
        <f>IF(F373&gt;0,INDEX(Fish!$D:$D,MATCH(F373,Fish!$L:$L,0)),"")</f>
        <v>11005</v>
      </c>
      <c r="H373" s="43">
        <v>0</v>
      </c>
      <c r="I373" s="43">
        <v>1</v>
      </c>
      <c r="J373" s="43">
        <v>3</v>
      </c>
      <c r="K373" s="43">
        <v>4</v>
      </c>
      <c r="L373" s="43" t="s">
        <v>95</v>
      </c>
      <c r="M373" s="43">
        <f>IF(L373&gt;0,INDEX(Fish!$D:$D,MATCH(L373,Fish!$L:$L,0)),"")</f>
        <v>11017</v>
      </c>
      <c r="N373" s="43">
        <v>0</v>
      </c>
      <c r="O373" s="43">
        <v>1</v>
      </c>
      <c r="P373" s="43">
        <v>2</v>
      </c>
      <c r="Q373" s="43">
        <v>3</v>
      </c>
      <c r="R373" s="43" t="s">
        <v>85</v>
      </c>
      <c r="S373" s="43">
        <f>IF(R373&gt;0,INDEX(Fish!$D:$D,MATCH(R373,Fish!$L:$L,0)),"")</f>
        <v>11012</v>
      </c>
      <c r="T373" s="43">
        <v>0</v>
      </c>
      <c r="U373" s="43">
        <v>1</v>
      </c>
      <c r="V373" s="43">
        <v>2</v>
      </c>
      <c r="W373" s="43">
        <v>3</v>
      </c>
      <c r="X373" s="43" t="s">
        <v>89</v>
      </c>
      <c r="Y373" s="43">
        <f>IF(X373&gt;0,INDEX(Fish!$D:$D,MATCH(X373,Fish!$L:$L,0)),"")</f>
        <v>11235</v>
      </c>
      <c r="Z373" s="43">
        <v>0</v>
      </c>
      <c r="AA373" s="43">
        <v>1</v>
      </c>
      <c r="AB373" s="43">
        <v>1</v>
      </c>
      <c r="AC373" s="43">
        <v>2</v>
      </c>
    </row>
    <row r="374" spans="1:29">
      <c r="A374" s="43">
        <v>44414</v>
      </c>
      <c r="B374" s="43">
        <v>2</v>
      </c>
      <c r="C374" s="43">
        <v>0</v>
      </c>
      <c r="D374" s="43">
        <v>2</v>
      </c>
      <c r="E374" s="43">
        <v>1</v>
      </c>
      <c r="F374" s="43" t="s">
        <v>69</v>
      </c>
      <c r="G374" s="43">
        <f>IF(F374&gt;0,INDEX(Fish!$D:$D,MATCH(F374,Fish!$L:$L,0)),"")</f>
        <v>11005</v>
      </c>
      <c r="H374" s="43">
        <v>0</v>
      </c>
      <c r="I374" s="43">
        <v>1</v>
      </c>
      <c r="J374" s="43">
        <v>3</v>
      </c>
      <c r="K374" s="43">
        <v>4</v>
      </c>
      <c r="L374" s="43" t="s">
        <v>95</v>
      </c>
      <c r="M374" s="43">
        <f>IF(L374&gt;0,INDEX(Fish!$D:$D,MATCH(L374,Fish!$L:$L,0)),"")</f>
        <v>11017</v>
      </c>
      <c r="N374" s="43">
        <v>0</v>
      </c>
      <c r="O374" s="43">
        <v>1</v>
      </c>
      <c r="P374" s="43">
        <v>2</v>
      </c>
      <c r="Q374" s="43">
        <v>3</v>
      </c>
      <c r="R374" s="43" t="s">
        <v>91</v>
      </c>
      <c r="S374" s="43">
        <f>IF(R374&gt;0,INDEX(Fish!$D:$D,MATCH(R374,Fish!$L:$L,0)),"")</f>
        <v>11015</v>
      </c>
      <c r="T374" s="43">
        <v>0</v>
      </c>
      <c r="U374" s="43">
        <v>1</v>
      </c>
      <c r="V374" s="43">
        <v>2</v>
      </c>
      <c r="W374" s="43">
        <v>3</v>
      </c>
      <c r="X374" s="43" t="s">
        <v>87</v>
      </c>
      <c r="Y374" s="43">
        <f>IF(X374&gt;0,INDEX(Fish!$D:$D,MATCH(X374,Fish!$L:$L,0)),"")</f>
        <v>11013</v>
      </c>
      <c r="Z374" s="43">
        <v>0</v>
      </c>
      <c r="AA374" s="43">
        <v>1</v>
      </c>
      <c r="AB374" s="43">
        <v>1</v>
      </c>
      <c r="AC374" s="43">
        <v>2</v>
      </c>
    </row>
    <row r="375" spans="1:29">
      <c r="A375" s="43">
        <v>44414</v>
      </c>
      <c r="B375" s="43">
        <v>2</v>
      </c>
      <c r="C375" s="43">
        <v>0</v>
      </c>
      <c r="D375" s="43">
        <v>2</v>
      </c>
      <c r="E375" s="43">
        <v>1</v>
      </c>
      <c r="F375" s="43" t="s">
        <v>69</v>
      </c>
      <c r="G375" s="43">
        <f>IF(F375&gt;0,INDEX(Fish!$D:$D,MATCH(F375,Fish!$L:$L,0)),"")</f>
        <v>11005</v>
      </c>
      <c r="H375" s="43">
        <v>0</v>
      </c>
      <c r="I375" s="43">
        <v>1</v>
      </c>
      <c r="J375" s="43">
        <v>3</v>
      </c>
      <c r="K375" s="43">
        <v>4</v>
      </c>
      <c r="L375" s="43" t="s">
        <v>95</v>
      </c>
      <c r="M375" s="43">
        <f>IF(L375&gt;0,INDEX(Fish!$D:$D,MATCH(L375,Fish!$L:$L,0)),"")</f>
        <v>11017</v>
      </c>
      <c r="N375" s="43">
        <v>0</v>
      </c>
      <c r="O375" s="43">
        <v>1</v>
      </c>
      <c r="P375" s="43">
        <v>2</v>
      </c>
      <c r="Q375" s="43">
        <v>3</v>
      </c>
      <c r="R375" s="43" t="s">
        <v>91</v>
      </c>
      <c r="S375" s="43">
        <f>IF(R375&gt;0,INDEX(Fish!$D:$D,MATCH(R375,Fish!$L:$L,0)),"")</f>
        <v>11015</v>
      </c>
      <c r="T375" s="43">
        <v>0</v>
      </c>
      <c r="U375" s="43">
        <v>1</v>
      </c>
      <c r="V375" s="43">
        <v>2</v>
      </c>
      <c r="W375" s="43">
        <v>3</v>
      </c>
      <c r="X375" s="43" t="s">
        <v>93</v>
      </c>
      <c r="Y375" s="43">
        <f>IF(X375&gt;0,INDEX(Fish!$D:$D,MATCH(X375,Fish!$L:$L,0)),"")</f>
        <v>11016</v>
      </c>
      <c r="Z375" s="43">
        <v>0</v>
      </c>
      <c r="AA375" s="43">
        <v>1</v>
      </c>
      <c r="AB375" s="43">
        <v>1</v>
      </c>
      <c r="AC375" s="43">
        <v>2</v>
      </c>
    </row>
    <row r="376" spans="1:29">
      <c r="A376" s="43">
        <v>44414</v>
      </c>
      <c r="B376" s="43">
        <v>2</v>
      </c>
      <c r="C376" s="43">
        <v>0</v>
      </c>
      <c r="D376" s="43">
        <v>2</v>
      </c>
      <c r="E376" s="43">
        <v>1</v>
      </c>
      <c r="F376" s="43" t="s">
        <v>69</v>
      </c>
      <c r="G376" s="43">
        <f>IF(F376&gt;0,INDEX(Fish!$D:$D,MATCH(F376,Fish!$L:$L,0)),"")</f>
        <v>11005</v>
      </c>
      <c r="H376" s="43">
        <v>0</v>
      </c>
      <c r="I376" s="43">
        <v>1</v>
      </c>
      <c r="J376" s="43">
        <v>3</v>
      </c>
      <c r="K376" s="43">
        <v>4</v>
      </c>
      <c r="L376" s="43" t="s">
        <v>95</v>
      </c>
      <c r="M376" s="43">
        <f>IF(L376&gt;0,INDEX(Fish!$D:$D,MATCH(L376,Fish!$L:$L,0)),"")</f>
        <v>11017</v>
      </c>
      <c r="N376" s="43">
        <v>0</v>
      </c>
      <c r="O376" s="43">
        <v>1</v>
      </c>
      <c r="P376" s="43">
        <v>2</v>
      </c>
      <c r="Q376" s="43">
        <v>3</v>
      </c>
      <c r="R376" s="43" t="s">
        <v>91</v>
      </c>
      <c r="S376" s="43">
        <f>IF(R376&gt;0,INDEX(Fish!$D:$D,MATCH(R376,Fish!$L:$L,0)),"")</f>
        <v>11015</v>
      </c>
      <c r="T376" s="43">
        <v>0</v>
      </c>
      <c r="U376" s="43">
        <v>1</v>
      </c>
      <c r="V376" s="43">
        <v>2</v>
      </c>
      <c r="W376" s="43">
        <v>3</v>
      </c>
      <c r="X376" s="43" t="s">
        <v>89</v>
      </c>
      <c r="Y376" s="43">
        <f>IF(X376&gt;0,INDEX(Fish!$D:$D,MATCH(X376,Fish!$L:$L,0)),"")</f>
        <v>11235</v>
      </c>
      <c r="Z376" s="43">
        <v>0</v>
      </c>
      <c r="AA376" s="43">
        <v>1</v>
      </c>
      <c r="AB376" s="43">
        <v>1</v>
      </c>
      <c r="AC376" s="43">
        <v>2</v>
      </c>
    </row>
    <row r="377" spans="1:23">
      <c r="A377" s="43">
        <v>44414</v>
      </c>
      <c r="B377" s="43">
        <v>5</v>
      </c>
      <c r="C377" s="43">
        <v>0</v>
      </c>
      <c r="D377" s="43">
        <v>3</v>
      </c>
      <c r="E377" s="43">
        <v>2</v>
      </c>
      <c r="F377" s="43" t="s">
        <v>101</v>
      </c>
      <c r="G377" s="43">
        <f>IF(F377&gt;0,INDEX(Fish!$D:$D,MATCH(F377,Fish!$L:$L,0)),"")</f>
        <v>11090</v>
      </c>
      <c r="H377" s="43">
        <v>40000</v>
      </c>
      <c r="I377" s="43">
        <v>1</v>
      </c>
      <c r="J377" s="43">
        <v>0</v>
      </c>
      <c r="K377" s="43">
        <v>1</v>
      </c>
      <c r="L377" s="43" t="s">
        <v>99</v>
      </c>
      <c r="M377" s="43">
        <f>IF(L377&gt;0,INDEX(Fish!$D:$D,MATCH(L377,Fish!$L:$L,0)),"")</f>
        <v>11024</v>
      </c>
      <c r="N377" s="43">
        <v>30000</v>
      </c>
      <c r="O377" s="43">
        <v>1</v>
      </c>
      <c r="P377" s="43">
        <v>0</v>
      </c>
      <c r="Q377" s="43">
        <v>1</v>
      </c>
      <c r="R377" s="43" t="s">
        <v>103</v>
      </c>
      <c r="S377" s="43">
        <f>IF(R377&gt;0,INDEX(Fish!$D:$D,MATCH(R377,Fish!$L:$L,0)),"")</f>
        <v>11025</v>
      </c>
      <c r="T377" s="43">
        <v>30000</v>
      </c>
      <c r="U377" s="43">
        <v>1</v>
      </c>
      <c r="V377" s="43">
        <v>0</v>
      </c>
      <c r="W377" s="43">
        <v>1</v>
      </c>
    </row>
    <row r="378" spans="1:35">
      <c r="A378" s="43">
        <v>44414</v>
      </c>
      <c r="B378" s="43">
        <v>5</v>
      </c>
      <c r="C378" s="43">
        <v>0</v>
      </c>
      <c r="D378" s="43">
        <v>4</v>
      </c>
      <c r="E378" s="43">
        <v>2</v>
      </c>
      <c r="F378" s="43" t="s">
        <v>361</v>
      </c>
      <c r="G378" s="43">
        <f>IF(F378&gt;0,INDEX(Fish!$D:$D,MATCH(F378,Fish!$L:$L,0)),"")</f>
        <v>11214</v>
      </c>
      <c r="H378" s="43">
        <v>30000</v>
      </c>
      <c r="I378" s="43">
        <v>1</v>
      </c>
      <c r="J378" s="43">
        <v>0</v>
      </c>
      <c r="K378" s="43">
        <v>1</v>
      </c>
      <c r="L378" s="43" t="s">
        <v>355</v>
      </c>
      <c r="M378" s="43">
        <f>IF(L378&gt;0,INDEX(Fish!$D:$D,MATCH(L378,Fish!$L:$L,0)),"")</f>
        <v>11021</v>
      </c>
      <c r="N378" s="43">
        <v>25000</v>
      </c>
      <c r="O378" s="43">
        <v>1</v>
      </c>
      <c r="P378" s="43">
        <v>0</v>
      </c>
      <c r="Q378" s="43">
        <v>1</v>
      </c>
      <c r="R378" s="43" t="s">
        <v>353</v>
      </c>
      <c r="S378" s="43">
        <f>IF(R378&gt;0,INDEX(Fish!$D:$D,MATCH(R378,Fish!$L:$L,0)),"")</f>
        <v>11092</v>
      </c>
      <c r="T378" s="43">
        <v>18000</v>
      </c>
      <c r="U378" s="43">
        <v>1</v>
      </c>
      <c r="V378" s="43">
        <v>0</v>
      </c>
      <c r="W378" s="43">
        <v>1</v>
      </c>
      <c r="X378" s="43" t="s">
        <v>357</v>
      </c>
      <c r="Y378" s="43">
        <f>IF(X378&gt;0,INDEX(Fish!$D:$D,MATCH(X378,Fish!$L:$L,0)),"")</f>
        <v>11026</v>
      </c>
      <c r="Z378" s="43">
        <v>15000</v>
      </c>
      <c r="AA378" s="43">
        <v>1</v>
      </c>
      <c r="AB378" s="43">
        <v>0</v>
      </c>
      <c r="AC378" s="43">
        <v>1</v>
      </c>
      <c r="AD378" s="43" t="s">
        <v>359</v>
      </c>
      <c r="AE378" s="43">
        <f>IF(AD378&gt;0,INDEX(Fish!$D:$D,MATCH(AD378,Fish!$L:$L,0)),"")</f>
        <v>11027</v>
      </c>
      <c r="AF378" s="43">
        <v>12000</v>
      </c>
      <c r="AG378" s="43">
        <v>1</v>
      </c>
      <c r="AH378" s="43">
        <v>0</v>
      </c>
      <c r="AI378" s="43">
        <v>1</v>
      </c>
    </row>
    <row r="379" spans="1:35">
      <c r="A379" s="43">
        <v>44414</v>
      </c>
      <c r="B379" s="43">
        <v>5</v>
      </c>
      <c r="C379" s="43">
        <v>0</v>
      </c>
      <c r="D379" s="43">
        <v>5</v>
      </c>
      <c r="E379" s="43">
        <v>2</v>
      </c>
      <c r="F379" s="43" t="s">
        <v>123</v>
      </c>
      <c r="G379" s="43">
        <f>IF(F379&gt;0,INDEX(Fish!$D:$D,MATCH(F379,Fish!$L:$L,0)),"")</f>
        <v>14015</v>
      </c>
      <c r="H379" s="43">
        <v>30000</v>
      </c>
      <c r="I379" s="43">
        <v>1</v>
      </c>
      <c r="J379" s="43">
        <v>0</v>
      </c>
      <c r="K379" s="43">
        <v>1</v>
      </c>
      <c r="L379" s="43" t="s">
        <v>127</v>
      </c>
      <c r="M379" s="43">
        <f>IF(L379&gt;0,INDEX(Fish!$D:$D,MATCH(L379,Fish!$L:$L,0)),"")</f>
        <v>14235</v>
      </c>
      <c r="N379" s="43">
        <v>25000</v>
      </c>
      <c r="O379" s="43">
        <v>1</v>
      </c>
      <c r="P379" s="43">
        <v>0</v>
      </c>
      <c r="Q379" s="43">
        <v>1</v>
      </c>
      <c r="R379" s="43" t="s">
        <v>122</v>
      </c>
      <c r="S379" s="43">
        <f>IF(R379&gt;0,INDEX(Fish!$D:$D,MATCH(R379,Fish!$L:$L,0)),"")</f>
        <v>14013</v>
      </c>
      <c r="T379" s="43">
        <v>18000</v>
      </c>
      <c r="U379" s="43">
        <v>1</v>
      </c>
      <c r="V379" s="43">
        <v>0</v>
      </c>
      <c r="W379" s="43">
        <v>1</v>
      </c>
      <c r="X379" s="43" t="s">
        <v>128</v>
      </c>
      <c r="Y379" s="43">
        <f>IF(X379&gt;0,INDEX(Fish!$D:$D,MATCH(X379,Fish!$L:$L,0)),"")</f>
        <v>14090</v>
      </c>
      <c r="Z379" s="43">
        <v>15000</v>
      </c>
      <c r="AA379" s="43">
        <v>1</v>
      </c>
      <c r="AB379" s="43">
        <v>0</v>
      </c>
      <c r="AC379" s="43">
        <v>1</v>
      </c>
      <c r="AD379" s="43" t="s">
        <v>125</v>
      </c>
      <c r="AE379" s="43">
        <f>IF(AD379&gt;0,INDEX(Fish!$D:$D,MATCH(AD379,Fish!$L:$L,0)),"")</f>
        <v>14024</v>
      </c>
      <c r="AF379" s="43">
        <v>12000</v>
      </c>
      <c r="AG379" s="43">
        <v>1</v>
      </c>
      <c r="AH379" s="43">
        <v>0</v>
      </c>
      <c r="AI379" s="43">
        <v>1</v>
      </c>
    </row>
    <row r="380" spans="1:17">
      <c r="A380" s="43">
        <v>44415</v>
      </c>
      <c r="B380" s="43">
        <v>1</v>
      </c>
      <c r="C380" s="43">
        <v>8</v>
      </c>
      <c r="D380" s="43">
        <v>1</v>
      </c>
      <c r="E380" s="43">
        <v>1</v>
      </c>
      <c r="F380" s="43" t="s">
        <v>61</v>
      </c>
      <c r="G380" s="43">
        <f>IF(F380&gt;0,INDEX(Fish!$D:$D,MATCH(F380,Fish!$L:$L,0)),"")</f>
        <v>11001</v>
      </c>
      <c r="H380" s="43">
        <v>0</v>
      </c>
      <c r="I380" s="43">
        <v>4</v>
      </c>
      <c r="J380" s="43">
        <v>14</v>
      </c>
      <c r="K380" s="43">
        <v>16</v>
      </c>
      <c r="L380" s="43" t="s">
        <v>71</v>
      </c>
      <c r="M380" s="43">
        <f>IF(L380&gt;0,INDEX(Fish!$D:$D,MATCH(L380,Fish!$L:$L,0)),"")</f>
        <v>11006</v>
      </c>
      <c r="N380" s="43">
        <v>0</v>
      </c>
      <c r="O380" s="43">
        <v>3</v>
      </c>
      <c r="P380" s="43">
        <v>10</v>
      </c>
      <c r="Q380" s="43">
        <v>14</v>
      </c>
    </row>
    <row r="381" spans="1:17">
      <c r="A381" s="43">
        <v>44415</v>
      </c>
      <c r="B381" s="43">
        <v>1</v>
      </c>
      <c r="C381" s="43">
        <v>8</v>
      </c>
      <c r="D381" s="43">
        <v>1</v>
      </c>
      <c r="E381" s="43">
        <v>1</v>
      </c>
      <c r="F381" s="43" t="s">
        <v>61</v>
      </c>
      <c r="G381" s="43">
        <f>IF(F381&gt;0,INDEX(Fish!$D:$D,MATCH(F381,Fish!$L:$L,0)),"")</f>
        <v>11001</v>
      </c>
      <c r="H381" s="43">
        <v>0</v>
      </c>
      <c r="I381" s="43">
        <v>4</v>
      </c>
      <c r="J381" s="43">
        <v>14</v>
      </c>
      <c r="K381" s="43">
        <v>16</v>
      </c>
      <c r="L381" s="43" t="s">
        <v>65</v>
      </c>
      <c r="M381" s="43">
        <f>IF(L381&gt;0,INDEX(Fish!$D:$D,MATCH(L381,Fish!$L:$L,0)),"")</f>
        <v>11003</v>
      </c>
      <c r="N381" s="43">
        <v>0</v>
      </c>
      <c r="O381" s="43">
        <v>3</v>
      </c>
      <c r="P381" s="43">
        <v>10</v>
      </c>
      <c r="Q381" s="43">
        <v>14</v>
      </c>
    </row>
    <row r="382" spans="1:17">
      <c r="A382" s="43">
        <v>44415</v>
      </c>
      <c r="B382" s="43">
        <v>1</v>
      </c>
      <c r="C382" s="43">
        <v>8</v>
      </c>
      <c r="D382" s="43">
        <v>1</v>
      </c>
      <c r="E382" s="43">
        <v>1</v>
      </c>
      <c r="F382" s="43" t="s">
        <v>61</v>
      </c>
      <c r="G382" s="43">
        <f>IF(F382&gt;0,INDEX(Fish!$D:$D,MATCH(F382,Fish!$L:$L,0)),"")</f>
        <v>11001</v>
      </c>
      <c r="H382" s="43">
        <v>0</v>
      </c>
      <c r="I382" s="43">
        <v>4</v>
      </c>
      <c r="J382" s="43">
        <v>14</v>
      </c>
      <c r="K382" s="43">
        <v>16</v>
      </c>
      <c r="L382" s="43" t="s">
        <v>73</v>
      </c>
      <c r="M382" s="43">
        <f>IF(L382&gt;0,INDEX(Fish!$D:$D,MATCH(L382,Fish!$L:$L,0)),"")</f>
        <v>11007</v>
      </c>
      <c r="N382" s="43">
        <v>0</v>
      </c>
      <c r="O382" s="43">
        <v>3</v>
      </c>
      <c r="P382" s="43">
        <v>10</v>
      </c>
      <c r="Q382" s="43">
        <v>14</v>
      </c>
    </row>
    <row r="383" spans="1:17">
      <c r="A383" s="43">
        <v>44415</v>
      </c>
      <c r="B383" s="43">
        <v>1</v>
      </c>
      <c r="C383" s="43">
        <v>8</v>
      </c>
      <c r="D383" s="43">
        <v>1</v>
      </c>
      <c r="E383" s="43">
        <v>1</v>
      </c>
      <c r="F383" s="43" t="s">
        <v>61</v>
      </c>
      <c r="G383" s="43">
        <f>IF(F383&gt;0,INDEX(Fish!$D:$D,MATCH(F383,Fish!$L:$L,0)),"")</f>
        <v>11001</v>
      </c>
      <c r="H383" s="43">
        <v>0</v>
      </c>
      <c r="I383" s="43">
        <v>4</v>
      </c>
      <c r="J383" s="43">
        <v>14</v>
      </c>
      <c r="K383" s="43">
        <v>16</v>
      </c>
      <c r="L383" s="43" t="s">
        <v>79</v>
      </c>
      <c r="M383" s="43">
        <f>IF(L383&gt;0,INDEX(Fish!$D:$D,MATCH(L383,Fish!$L:$L,0)),"")</f>
        <v>11085</v>
      </c>
      <c r="N383" s="43">
        <v>0</v>
      </c>
      <c r="O383" s="43">
        <v>3</v>
      </c>
      <c r="P383" s="43">
        <v>10</v>
      </c>
      <c r="Q383" s="43">
        <v>14</v>
      </c>
    </row>
    <row r="384" spans="1:17">
      <c r="A384" s="43">
        <v>44415</v>
      </c>
      <c r="B384" s="43">
        <v>1</v>
      </c>
      <c r="C384" s="43">
        <v>8</v>
      </c>
      <c r="D384" s="43">
        <v>1</v>
      </c>
      <c r="E384" s="43">
        <v>1</v>
      </c>
      <c r="F384" s="43" t="s">
        <v>61</v>
      </c>
      <c r="G384" s="43">
        <f>IF(F384&gt;0,INDEX(Fish!$D:$D,MATCH(F384,Fish!$L:$L,0)),"")</f>
        <v>11001</v>
      </c>
      <c r="H384" s="43">
        <v>0</v>
      </c>
      <c r="I384" s="43">
        <v>4</v>
      </c>
      <c r="J384" s="43">
        <v>14</v>
      </c>
      <c r="K384" s="43">
        <v>16</v>
      </c>
      <c r="L384" s="43" t="s">
        <v>67</v>
      </c>
      <c r="M384" s="43">
        <f>IF(L384&gt;0,INDEX(Fish!$D:$D,MATCH(L384,Fish!$L:$L,0)),"")</f>
        <v>11004</v>
      </c>
      <c r="N384" s="43">
        <v>0</v>
      </c>
      <c r="O384" s="43">
        <v>3</v>
      </c>
      <c r="P384" s="43">
        <v>10</v>
      </c>
      <c r="Q384" s="43">
        <v>14</v>
      </c>
    </row>
    <row r="385" spans="1:17">
      <c r="A385" s="43">
        <v>44415</v>
      </c>
      <c r="B385" s="43">
        <v>1</v>
      </c>
      <c r="C385" s="43">
        <v>8</v>
      </c>
      <c r="D385" s="43">
        <v>1</v>
      </c>
      <c r="E385" s="43">
        <v>1</v>
      </c>
      <c r="F385" s="43" t="s">
        <v>63</v>
      </c>
      <c r="G385" s="43">
        <f>IF(F385&gt;0,INDEX(Fish!$D:$D,MATCH(F385,Fish!$L:$L,0)),"")</f>
        <v>11002</v>
      </c>
      <c r="H385" s="43">
        <v>0</v>
      </c>
      <c r="I385" s="43">
        <v>4</v>
      </c>
      <c r="J385" s="43">
        <v>14</v>
      </c>
      <c r="K385" s="43">
        <v>16</v>
      </c>
      <c r="L385" s="43" t="s">
        <v>71</v>
      </c>
      <c r="M385" s="43">
        <f>IF(L385&gt;0,INDEX(Fish!$D:$D,MATCH(L385,Fish!$L:$L,0)),"")</f>
        <v>11006</v>
      </c>
      <c r="N385" s="43">
        <v>0</v>
      </c>
      <c r="O385" s="43">
        <v>3</v>
      </c>
      <c r="P385" s="43">
        <v>10</v>
      </c>
      <c r="Q385" s="43">
        <v>14</v>
      </c>
    </row>
    <row r="386" spans="1:17">
      <c r="A386" s="43">
        <v>44415</v>
      </c>
      <c r="B386" s="43">
        <v>1</v>
      </c>
      <c r="C386" s="43">
        <v>8</v>
      </c>
      <c r="D386" s="43">
        <v>1</v>
      </c>
      <c r="E386" s="43">
        <v>1</v>
      </c>
      <c r="F386" s="43" t="s">
        <v>63</v>
      </c>
      <c r="G386" s="43">
        <f>IF(F386&gt;0,INDEX(Fish!$D:$D,MATCH(F386,Fish!$L:$L,0)),"")</f>
        <v>11002</v>
      </c>
      <c r="H386" s="43">
        <v>0</v>
      </c>
      <c r="I386" s="43">
        <v>4</v>
      </c>
      <c r="J386" s="43">
        <v>14</v>
      </c>
      <c r="K386" s="43">
        <v>16</v>
      </c>
      <c r="L386" s="43" t="s">
        <v>65</v>
      </c>
      <c r="M386" s="43">
        <f>IF(L386&gt;0,INDEX(Fish!$D:$D,MATCH(L386,Fish!$L:$L,0)),"")</f>
        <v>11003</v>
      </c>
      <c r="N386" s="43">
        <v>0</v>
      </c>
      <c r="O386" s="43">
        <v>3</v>
      </c>
      <c r="P386" s="43">
        <v>10</v>
      </c>
      <c r="Q386" s="43">
        <v>14</v>
      </c>
    </row>
    <row r="387" spans="1:17">
      <c r="A387" s="43">
        <v>44415</v>
      </c>
      <c r="B387" s="43">
        <v>1</v>
      </c>
      <c r="C387" s="43">
        <v>8</v>
      </c>
      <c r="D387" s="43">
        <v>1</v>
      </c>
      <c r="E387" s="43">
        <v>1</v>
      </c>
      <c r="F387" s="43" t="s">
        <v>63</v>
      </c>
      <c r="G387" s="43">
        <f>IF(F387&gt;0,INDEX(Fish!$D:$D,MATCH(F387,Fish!$L:$L,0)),"")</f>
        <v>11002</v>
      </c>
      <c r="H387" s="43">
        <v>0</v>
      </c>
      <c r="I387" s="43">
        <v>4</v>
      </c>
      <c r="J387" s="43">
        <v>14</v>
      </c>
      <c r="K387" s="43">
        <v>16</v>
      </c>
      <c r="L387" s="43" t="s">
        <v>73</v>
      </c>
      <c r="M387" s="43">
        <f>IF(L387&gt;0,INDEX(Fish!$D:$D,MATCH(L387,Fish!$L:$L,0)),"")</f>
        <v>11007</v>
      </c>
      <c r="N387" s="43">
        <v>0</v>
      </c>
      <c r="O387" s="43">
        <v>3</v>
      </c>
      <c r="P387" s="43">
        <v>10</v>
      </c>
      <c r="Q387" s="43">
        <v>14</v>
      </c>
    </row>
    <row r="388" spans="1:17">
      <c r="A388" s="43">
        <v>44415</v>
      </c>
      <c r="B388" s="43">
        <v>1</v>
      </c>
      <c r="C388" s="43">
        <v>8</v>
      </c>
      <c r="D388" s="43">
        <v>1</v>
      </c>
      <c r="E388" s="43">
        <v>1</v>
      </c>
      <c r="F388" s="43" t="s">
        <v>63</v>
      </c>
      <c r="G388" s="43">
        <f>IF(F388&gt;0,INDEX(Fish!$D:$D,MATCH(F388,Fish!$L:$L,0)),"")</f>
        <v>11002</v>
      </c>
      <c r="H388" s="43">
        <v>0</v>
      </c>
      <c r="I388" s="43">
        <v>4</v>
      </c>
      <c r="J388" s="43">
        <v>14</v>
      </c>
      <c r="K388" s="43">
        <v>16</v>
      </c>
      <c r="L388" s="43" t="s">
        <v>79</v>
      </c>
      <c r="M388" s="43">
        <f>IF(L388&gt;0,INDEX(Fish!$D:$D,MATCH(L388,Fish!$L:$L,0)),"")</f>
        <v>11085</v>
      </c>
      <c r="N388" s="43">
        <v>0</v>
      </c>
      <c r="O388" s="43">
        <v>3</v>
      </c>
      <c r="P388" s="43">
        <v>10</v>
      </c>
      <c r="Q388" s="43">
        <v>14</v>
      </c>
    </row>
    <row r="389" spans="1:17">
      <c r="A389" s="43">
        <v>44415</v>
      </c>
      <c r="B389" s="43">
        <v>1</v>
      </c>
      <c r="C389" s="43">
        <v>8</v>
      </c>
      <c r="D389" s="43">
        <v>1</v>
      </c>
      <c r="E389" s="43">
        <v>1</v>
      </c>
      <c r="F389" s="43" t="s">
        <v>63</v>
      </c>
      <c r="G389" s="43">
        <f>IF(F389&gt;0,INDEX(Fish!$D:$D,MATCH(F389,Fish!$L:$L,0)),"")</f>
        <v>11002</v>
      </c>
      <c r="H389" s="43">
        <v>0</v>
      </c>
      <c r="I389" s="43">
        <v>4</v>
      </c>
      <c r="J389" s="43">
        <v>14</v>
      </c>
      <c r="K389" s="43">
        <v>16</v>
      </c>
      <c r="L389" s="43" t="s">
        <v>67</v>
      </c>
      <c r="M389" s="43">
        <f>IF(L389&gt;0,INDEX(Fish!$D:$D,MATCH(L389,Fish!$L:$L,0)),"")</f>
        <v>11004</v>
      </c>
      <c r="N389" s="43">
        <v>0</v>
      </c>
      <c r="O389" s="43">
        <v>3</v>
      </c>
      <c r="P389" s="43">
        <v>10</v>
      </c>
      <c r="Q389" s="43">
        <v>14</v>
      </c>
    </row>
    <row r="390" spans="1:29">
      <c r="A390" s="43">
        <v>44415</v>
      </c>
      <c r="B390" s="43">
        <v>2</v>
      </c>
      <c r="C390" s="43">
        <v>0</v>
      </c>
      <c r="D390" s="43">
        <v>2</v>
      </c>
      <c r="E390" s="43">
        <v>1</v>
      </c>
      <c r="F390" s="43" t="s">
        <v>75</v>
      </c>
      <c r="G390" s="43">
        <f>IF(F390&gt;0,INDEX(Fish!$D:$D,MATCH(F390,Fish!$L:$L,0)),"")</f>
        <v>11008</v>
      </c>
      <c r="H390" s="43">
        <v>0</v>
      </c>
      <c r="I390" s="43">
        <v>1</v>
      </c>
      <c r="J390" s="43">
        <v>3</v>
      </c>
      <c r="K390" s="43">
        <v>4</v>
      </c>
      <c r="L390" s="43" t="s">
        <v>81</v>
      </c>
      <c r="M390" s="43">
        <f>IF(L390&gt;0,INDEX(Fish!$D:$D,MATCH(L390,Fish!$L:$L,0)),"")</f>
        <v>11010</v>
      </c>
      <c r="N390" s="43">
        <v>0</v>
      </c>
      <c r="O390" s="43">
        <v>1</v>
      </c>
      <c r="P390" s="43">
        <v>2</v>
      </c>
      <c r="Q390" s="43">
        <v>3</v>
      </c>
      <c r="R390" s="43" t="s">
        <v>85</v>
      </c>
      <c r="S390" s="43">
        <f>IF(R390&gt;0,INDEX(Fish!$D:$D,MATCH(R390,Fish!$L:$L,0)),"")</f>
        <v>11012</v>
      </c>
      <c r="T390" s="43">
        <v>0</v>
      </c>
      <c r="U390" s="43">
        <v>1</v>
      </c>
      <c r="V390" s="43">
        <v>2</v>
      </c>
      <c r="W390" s="43">
        <v>3</v>
      </c>
      <c r="X390" s="43" t="s">
        <v>87</v>
      </c>
      <c r="Y390" s="43">
        <f>IF(X390&gt;0,INDEX(Fish!$D:$D,MATCH(X390,Fish!$L:$L,0)),"")</f>
        <v>11013</v>
      </c>
      <c r="Z390" s="43">
        <v>0</v>
      </c>
      <c r="AA390" s="43">
        <v>1</v>
      </c>
      <c r="AB390" s="43">
        <v>1</v>
      </c>
      <c r="AC390" s="43">
        <v>2</v>
      </c>
    </row>
    <row r="391" spans="1:29">
      <c r="A391" s="43">
        <v>44415</v>
      </c>
      <c r="B391" s="43">
        <v>2</v>
      </c>
      <c r="C391" s="43">
        <v>0</v>
      </c>
      <c r="D391" s="43">
        <v>2</v>
      </c>
      <c r="E391" s="43">
        <v>1</v>
      </c>
      <c r="F391" s="43" t="s">
        <v>75</v>
      </c>
      <c r="G391" s="43">
        <f>IF(F391&gt;0,INDEX(Fish!$D:$D,MATCH(F391,Fish!$L:$L,0)),"")</f>
        <v>11008</v>
      </c>
      <c r="H391" s="43">
        <v>0</v>
      </c>
      <c r="I391" s="43">
        <v>1</v>
      </c>
      <c r="J391" s="43">
        <v>3</v>
      </c>
      <c r="K391" s="43">
        <v>4</v>
      </c>
      <c r="L391" s="43" t="s">
        <v>81</v>
      </c>
      <c r="M391" s="43">
        <f>IF(L391&gt;0,INDEX(Fish!$D:$D,MATCH(L391,Fish!$L:$L,0)),"")</f>
        <v>11010</v>
      </c>
      <c r="N391" s="43">
        <v>0</v>
      </c>
      <c r="O391" s="43">
        <v>1</v>
      </c>
      <c r="P391" s="43">
        <v>2</v>
      </c>
      <c r="Q391" s="43">
        <v>3</v>
      </c>
      <c r="R391" s="43" t="s">
        <v>85</v>
      </c>
      <c r="S391" s="43">
        <f>IF(R391&gt;0,INDEX(Fish!$D:$D,MATCH(R391,Fish!$L:$L,0)),"")</f>
        <v>11012</v>
      </c>
      <c r="T391" s="43">
        <v>0</v>
      </c>
      <c r="U391" s="43">
        <v>1</v>
      </c>
      <c r="V391" s="43">
        <v>2</v>
      </c>
      <c r="W391" s="43">
        <v>3</v>
      </c>
      <c r="X391" s="43" t="s">
        <v>93</v>
      </c>
      <c r="Y391" s="43">
        <f>IF(X391&gt;0,INDEX(Fish!$D:$D,MATCH(X391,Fish!$L:$L,0)),"")</f>
        <v>11016</v>
      </c>
      <c r="Z391" s="43">
        <v>0</v>
      </c>
      <c r="AA391" s="43">
        <v>1</v>
      </c>
      <c r="AB391" s="43">
        <v>1</v>
      </c>
      <c r="AC391" s="43">
        <v>2</v>
      </c>
    </row>
    <row r="392" spans="1:29">
      <c r="A392" s="43">
        <v>44415</v>
      </c>
      <c r="B392" s="43">
        <v>2</v>
      </c>
      <c r="C392" s="43">
        <v>0</v>
      </c>
      <c r="D392" s="43">
        <v>2</v>
      </c>
      <c r="E392" s="43">
        <v>1</v>
      </c>
      <c r="F392" s="43" t="s">
        <v>75</v>
      </c>
      <c r="G392" s="43">
        <f>IF(F392&gt;0,INDEX(Fish!$D:$D,MATCH(F392,Fish!$L:$L,0)),"")</f>
        <v>11008</v>
      </c>
      <c r="H392" s="43">
        <v>0</v>
      </c>
      <c r="I392" s="43">
        <v>1</v>
      </c>
      <c r="J392" s="43">
        <v>3</v>
      </c>
      <c r="K392" s="43">
        <v>4</v>
      </c>
      <c r="L392" s="43" t="s">
        <v>81</v>
      </c>
      <c r="M392" s="43">
        <f>IF(L392&gt;0,INDEX(Fish!$D:$D,MATCH(L392,Fish!$L:$L,0)),"")</f>
        <v>11010</v>
      </c>
      <c r="N392" s="43">
        <v>0</v>
      </c>
      <c r="O392" s="43">
        <v>1</v>
      </c>
      <c r="P392" s="43">
        <v>2</v>
      </c>
      <c r="Q392" s="43">
        <v>3</v>
      </c>
      <c r="R392" s="43" t="s">
        <v>85</v>
      </c>
      <c r="S392" s="43">
        <f>IF(R392&gt;0,INDEX(Fish!$D:$D,MATCH(R392,Fish!$L:$L,0)),"")</f>
        <v>11012</v>
      </c>
      <c r="T392" s="43">
        <v>0</v>
      </c>
      <c r="U392" s="43">
        <v>1</v>
      </c>
      <c r="V392" s="43">
        <v>2</v>
      </c>
      <c r="W392" s="43">
        <v>3</v>
      </c>
      <c r="X392" s="43" t="s">
        <v>89</v>
      </c>
      <c r="Y392" s="43">
        <f>IF(X392&gt;0,INDEX(Fish!$D:$D,MATCH(X392,Fish!$L:$L,0)),"")</f>
        <v>11235</v>
      </c>
      <c r="Z392" s="43">
        <v>0</v>
      </c>
      <c r="AA392" s="43">
        <v>1</v>
      </c>
      <c r="AB392" s="43">
        <v>1</v>
      </c>
      <c r="AC392" s="43">
        <v>2</v>
      </c>
    </row>
    <row r="393" spans="1:29">
      <c r="A393" s="43">
        <v>44415</v>
      </c>
      <c r="B393" s="43">
        <v>2</v>
      </c>
      <c r="C393" s="43">
        <v>0</v>
      </c>
      <c r="D393" s="43">
        <v>2</v>
      </c>
      <c r="E393" s="43">
        <v>1</v>
      </c>
      <c r="F393" s="43" t="s">
        <v>75</v>
      </c>
      <c r="G393" s="43">
        <f>IF(F393&gt;0,INDEX(Fish!$D:$D,MATCH(F393,Fish!$L:$L,0)),"")</f>
        <v>11008</v>
      </c>
      <c r="H393" s="43">
        <v>0</v>
      </c>
      <c r="I393" s="43">
        <v>1</v>
      </c>
      <c r="J393" s="43">
        <v>3</v>
      </c>
      <c r="K393" s="43">
        <v>4</v>
      </c>
      <c r="L393" s="43" t="s">
        <v>81</v>
      </c>
      <c r="M393" s="43">
        <f>IF(L393&gt;0,INDEX(Fish!$D:$D,MATCH(L393,Fish!$L:$L,0)),"")</f>
        <v>11010</v>
      </c>
      <c r="N393" s="43">
        <v>0</v>
      </c>
      <c r="O393" s="43">
        <v>1</v>
      </c>
      <c r="P393" s="43">
        <v>2</v>
      </c>
      <c r="Q393" s="43">
        <v>3</v>
      </c>
      <c r="R393" s="43" t="s">
        <v>91</v>
      </c>
      <c r="S393" s="43">
        <f>IF(R393&gt;0,INDEX(Fish!$D:$D,MATCH(R393,Fish!$L:$L,0)),"")</f>
        <v>11015</v>
      </c>
      <c r="T393" s="43">
        <v>0</v>
      </c>
      <c r="U393" s="43">
        <v>1</v>
      </c>
      <c r="V393" s="43">
        <v>2</v>
      </c>
      <c r="W393" s="43">
        <v>3</v>
      </c>
      <c r="X393" s="43" t="s">
        <v>87</v>
      </c>
      <c r="Y393" s="43">
        <f>IF(X393&gt;0,INDEX(Fish!$D:$D,MATCH(X393,Fish!$L:$L,0)),"")</f>
        <v>11013</v>
      </c>
      <c r="Z393" s="43">
        <v>0</v>
      </c>
      <c r="AA393" s="43">
        <v>1</v>
      </c>
      <c r="AB393" s="43">
        <v>1</v>
      </c>
      <c r="AC393" s="43">
        <v>2</v>
      </c>
    </row>
    <row r="394" spans="1:29">
      <c r="A394" s="43">
        <v>44415</v>
      </c>
      <c r="B394" s="43">
        <v>2</v>
      </c>
      <c r="C394" s="43">
        <v>0</v>
      </c>
      <c r="D394" s="43">
        <v>2</v>
      </c>
      <c r="E394" s="43">
        <v>1</v>
      </c>
      <c r="F394" s="43" t="s">
        <v>75</v>
      </c>
      <c r="G394" s="43">
        <f>IF(F394&gt;0,INDEX(Fish!$D:$D,MATCH(F394,Fish!$L:$L,0)),"")</f>
        <v>11008</v>
      </c>
      <c r="H394" s="43">
        <v>0</v>
      </c>
      <c r="I394" s="43">
        <v>1</v>
      </c>
      <c r="J394" s="43">
        <v>3</v>
      </c>
      <c r="K394" s="43">
        <v>4</v>
      </c>
      <c r="L394" s="43" t="s">
        <v>81</v>
      </c>
      <c r="M394" s="43">
        <f>IF(L394&gt;0,INDEX(Fish!$D:$D,MATCH(L394,Fish!$L:$L,0)),"")</f>
        <v>11010</v>
      </c>
      <c r="N394" s="43">
        <v>0</v>
      </c>
      <c r="O394" s="43">
        <v>1</v>
      </c>
      <c r="P394" s="43">
        <v>2</v>
      </c>
      <c r="Q394" s="43">
        <v>3</v>
      </c>
      <c r="R394" s="43" t="s">
        <v>91</v>
      </c>
      <c r="S394" s="43">
        <f>IF(R394&gt;0,INDEX(Fish!$D:$D,MATCH(R394,Fish!$L:$L,0)),"")</f>
        <v>11015</v>
      </c>
      <c r="T394" s="43">
        <v>0</v>
      </c>
      <c r="U394" s="43">
        <v>1</v>
      </c>
      <c r="V394" s="43">
        <v>2</v>
      </c>
      <c r="W394" s="43">
        <v>3</v>
      </c>
      <c r="X394" s="43" t="s">
        <v>93</v>
      </c>
      <c r="Y394" s="43">
        <f>IF(X394&gt;0,INDEX(Fish!$D:$D,MATCH(X394,Fish!$L:$L,0)),"")</f>
        <v>11016</v>
      </c>
      <c r="Z394" s="43">
        <v>0</v>
      </c>
      <c r="AA394" s="43">
        <v>1</v>
      </c>
      <c r="AB394" s="43">
        <v>1</v>
      </c>
      <c r="AC394" s="43">
        <v>2</v>
      </c>
    </row>
    <row r="395" spans="1:29">
      <c r="A395" s="43">
        <v>44415</v>
      </c>
      <c r="B395" s="43">
        <v>2</v>
      </c>
      <c r="C395" s="43">
        <v>0</v>
      </c>
      <c r="D395" s="43">
        <v>2</v>
      </c>
      <c r="E395" s="43">
        <v>1</v>
      </c>
      <c r="F395" s="43" t="s">
        <v>75</v>
      </c>
      <c r="G395" s="43">
        <f>IF(F395&gt;0,INDEX(Fish!$D:$D,MATCH(F395,Fish!$L:$L,0)),"")</f>
        <v>11008</v>
      </c>
      <c r="H395" s="43">
        <v>0</v>
      </c>
      <c r="I395" s="43">
        <v>1</v>
      </c>
      <c r="J395" s="43">
        <v>3</v>
      </c>
      <c r="K395" s="43">
        <v>4</v>
      </c>
      <c r="L395" s="43" t="s">
        <v>81</v>
      </c>
      <c r="M395" s="43">
        <f>IF(L395&gt;0,INDEX(Fish!$D:$D,MATCH(L395,Fish!$L:$L,0)),"")</f>
        <v>11010</v>
      </c>
      <c r="N395" s="43">
        <v>0</v>
      </c>
      <c r="O395" s="43">
        <v>1</v>
      </c>
      <c r="P395" s="43">
        <v>2</v>
      </c>
      <c r="Q395" s="43">
        <v>3</v>
      </c>
      <c r="R395" s="43" t="s">
        <v>91</v>
      </c>
      <c r="S395" s="43">
        <f>IF(R395&gt;0,INDEX(Fish!$D:$D,MATCH(R395,Fish!$L:$L,0)),"")</f>
        <v>11015</v>
      </c>
      <c r="T395" s="43">
        <v>0</v>
      </c>
      <c r="U395" s="43">
        <v>1</v>
      </c>
      <c r="V395" s="43">
        <v>2</v>
      </c>
      <c r="W395" s="43">
        <v>3</v>
      </c>
      <c r="X395" s="43" t="s">
        <v>89</v>
      </c>
      <c r="Y395" s="43">
        <f>IF(X395&gt;0,INDEX(Fish!$D:$D,MATCH(X395,Fish!$L:$L,0)),"")</f>
        <v>11235</v>
      </c>
      <c r="Z395" s="43">
        <v>0</v>
      </c>
      <c r="AA395" s="43">
        <v>1</v>
      </c>
      <c r="AB395" s="43">
        <v>1</v>
      </c>
      <c r="AC395" s="43">
        <v>2</v>
      </c>
    </row>
    <row r="396" spans="1:29">
      <c r="A396" s="43">
        <v>44415</v>
      </c>
      <c r="B396" s="43">
        <v>2</v>
      </c>
      <c r="C396" s="43">
        <v>0</v>
      </c>
      <c r="D396" s="43">
        <v>2</v>
      </c>
      <c r="E396" s="43">
        <v>1</v>
      </c>
      <c r="F396" s="43" t="s">
        <v>75</v>
      </c>
      <c r="G396" s="43">
        <f>IF(F396&gt;0,INDEX(Fish!$D:$D,MATCH(F396,Fish!$L:$L,0)),"")</f>
        <v>11008</v>
      </c>
      <c r="H396" s="43">
        <v>0</v>
      </c>
      <c r="I396" s="43">
        <v>1</v>
      </c>
      <c r="J396" s="43">
        <v>3</v>
      </c>
      <c r="K396" s="43">
        <v>4</v>
      </c>
      <c r="L396" s="43" t="s">
        <v>95</v>
      </c>
      <c r="M396" s="43">
        <f>IF(L396&gt;0,INDEX(Fish!$D:$D,MATCH(L396,Fish!$L:$L,0)),"")</f>
        <v>11017</v>
      </c>
      <c r="N396" s="43">
        <v>0</v>
      </c>
      <c r="O396" s="43">
        <v>1</v>
      </c>
      <c r="P396" s="43">
        <v>2</v>
      </c>
      <c r="Q396" s="43">
        <v>3</v>
      </c>
      <c r="R396" s="43" t="s">
        <v>85</v>
      </c>
      <c r="S396" s="43">
        <f>IF(R396&gt;0,INDEX(Fish!$D:$D,MATCH(R396,Fish!$L:$L,0)),"")</f>
        <v>11012</v>
      </c>
      <c r="T396" s="43">
        <v>0</v>
      </c>
      <c r="U396" s="43">
        <v>1</v>
      </c>
      <c r="V396" s="43">
        <v>2</v>
      </c>
      <c r="W396" s="43">
        <v>3</v>
      </c>
      <c r="X396" s="43" t="s">
        <v>87</v>
      </c>
      <c r="Y396" s="43">
        <f>IF(X396&gt;0,INDEX(Fish!$D:$D,MATCH(X396,Fish!$L:$L,0)),"")</f>
        <v>11013</v>
      </c>
      <c r="Z396" s="43">
        <v>0</v>
      </c>
      <c r="AA396" s="43">
        <v>1</v>
      </c>
      <c r="AB396" s="43">
        <v>1</v>
      </c>
      <c r="AC396" s="43">
        <v>2</v>
      </c>
    </row>
    <row r="397" spans="1:29">
      <c r="A397" s="43">
        <v>44415</v>
      </c>
      <c r="B397" s="43">
        <v>2</v>
      </c>
      <c r="C397" s="43">
        <v>0</v>
      </c>
      <c r="D397" s="43">
        <v>2</v>
      </c>
      <c r="E397" s="43">
        <v>1</v>
      </c>
      <c r="F397" s="43" t="s">
        <v>75</v>
      </c>
      <c r="G397" s="43">
        <f>IF(F397&gt;0,INDEX(Fish!$D:$D,MATCH(F397,Fish!$L:$L,0)),"")</f>
        <v>11008</v>
      </c>
      <c r="H397" s="43">
        <v>0</v>
      </c>
      <c r="I397" s="43">
        <v>1</v>
      </c>
      <c r="J397" s="43">
        <v>3</v>
      </c>
      <c r="K397" s="43">
        <v>4</v>
      </c>
      <c r="L397" s="43" t="s">
        <v>95</v>
      </c>
      <c r="M397" s="43">
        <f>IF(L397&gt;0,INDEX(Fish!$D:$D,MATCH(L397,Fish!$L:$L,0)),"")</f>
        <v>11017</v>
      </c>
      <c r="N397" s="43">
        <v>0</v>
      </c>
      <c r="O397" s="43">
        <v>1</v>
      </c>
      <c r="P397" s="43">
        <v>2</v>
      </c>
      <c r="Q397" s="43">
        <v>3</v>
      </c>
      <c r="R397" s="43" t="s">
        <v>85</v>
      </c>
      <c r="S397" s="43">
        <f>IF(R397&gt;0,INDEX(Fish!$D:$D,MATCH(R397,Fish!$L:$L,0)),"")</f>
        <v>11012</v>
      </c>
      <c r="T397" s="43">
        <v>0</v>
      </c>
      <c r="U397" s="43">
        <v>1</v>
      </c>
      <c r="V397" s="43">
        <v>2</v>
      </c>
      <c r="W397" s="43">
        <v>3</v>
      </c>
      <c r="X397" s="43" t="s">
        <v>93</v>
      </c>
      <c r="Y397" s="43">
        <f>IF(X397&gt;0,INDEX(Fish!$D:$D,MATCH(X397,Fish!$L:$L,0)),"")</f>
        <v>11016</v>
      </c>
      <c r="Z397" s="43">
        <v>0</v>
      </c>
      <c r="AA397" s="43">
        <v>1</v>
      </c>
      <c r="AB397" s="43">
        <v>1</v>
      </c>
      <c r="AC397" s="43">
        <v>2</v>
      </c>
    </row>
    <row r="398" spans="1:29">
      <c r="A398" s="43">
        <v>44415</v>
      </c>
      <c r="B398" s="43">
        <v>2</v>
      </c>
      <c r="C398" s="43">
        <v>0</v>
      </c>
      <c r="D398" s="43">
        <v>2</v>
      </c>
      <c r="E398" s="43">
        <v>1</v>
      </c>
      <c r="F398" s="43" t="s">
        <v>75</v>
      </c>
      <c r="G398" s="43">
        <f>IF(F398&gt;0,INDEX(Fish!$D:$D,MATCH(F398,Fish!$L:$L,0)),"")</f>
        <v>11008</v>
      </c>
      <c r="H398" s="43">
        <v>0</v>
      </c>
      <c r="I398" s="43">
        <v>1</v>
      </c>
      <c r="J398" s="43">
        <v>3</v>
      </c>
      <c r="K398" s="43">
        <v>4</v>
      </c>
      <c r="L398" s="43" t="s">
        <v>95</v>
      </c>
      <c r="M398" s="43">
        <f>IF(L398&gt;0,INDEX(Fish!$D:$D,MATCH(L398,Fish!$L:$L,0)),"")</f>
        <v>11017</v>
      </c>
      <c r="N398" s="43">
        <v>0</v>
      </c>
      <c r="O398" s="43">
        <v>1</v>
      </c>
      <c r="P398" s="43">
        <v>2</v>
      </c>
      <c r="Q398" s="43">
        <v>3</v>
      </c>
      <c r="R398" s="43" t="s">
        <v>85</v>
      </c>
      <c r="S398" s="43">
        <f>IF(R398&gt;0,INDEX(Fish!$D:$D,MATCH(R398,Fish!$L:$L,0)),"")</f>
        <v>11012</v>
      </c>
      <c r="T398" s="43">
        <v>0</v>
      </c>
      <c r="U398" s="43">
        <v>1</v>
      </c>
      <c r="V398" s="43">
        <v>2</v>
      </c>
      <c r="W398" s="43">
        <v>3</v>
      </c>
      <c r="X398" s="43" t="s">
        <v>89</v>
      </c>
      <c r="Y398" s="43">
        <f>IF(X398&gt;0,INDEX(Fish!$D:$D,MATCH(X398,Fish!$L:$L,0)),"")</f>
        <v>11235</v>
      </c>
      <c r="Z398" s="43">
        <v>0</v>
      </c>
      <c r="AA398" s="43">
        <v>1</v>
      </c>
      <c r="AB398" s="43">
        <v>1</v>
      </c>
      <c r="AC398" s="43">
        <v>2</v>
      </c>
    </row>
    <row r="399" spans="1:29">
      <c r="A399" s="43">
        <v>44415</v>
      </c>
      <c r="B399" s="43">
        <v>2</v>
      </c>
      <c r="C399" s="43">
        <v>0</v>
      </c>
      <c r="D399" s="43">
        <v>2</v>
      </c>
      <c r="E399" s="43">
        <v>1</v>
      </c>
      <c r="F399" s="43" t="s">
        <v>75</v>
      </c>
      <c r="G399" s="43">
        <f>IF(F399&gt;0,INDEX(Fish!$D:$D,MATCH(F399,Fish!$L:$L,0)),"")</f>
        <v>11008</v>
      </c>
      <c r="H399" s="43">
        <v>0</v>
      </c>
      <c r="I399" s="43">
        <v>1</v>
      </c>
      <c r="J399" s="43">
        <v>3</v>
      </c>
      <c r="K399" s="43">
        <v>4</v>
      </c>
      <c r="L399" s="43" t="s">
        <v>95</v>
      </c>
      <c r="M399" s="43">
        <f>IF(L399&gt;0,INDEX(Fish!$D:$D,MATCH(L399,Fish!$L:$L,0)),"")</f>
        <v>11017</v>
      </c>
      <c r="N399" s="43">
        <v>0</v>
      </c>
      <c r="O399" s="43">
        <v>1</v>
      </c>
      <c r="P399" s="43">
        <v>2</v>
      </c>
      <c r="Q399" s="43">
        <v>3</v>
      </c>
      <c r="R399" s="43" t="s">
        <v>91</v>
      </c>
      <c r="S399" s="43">
        <f>IF(R399&gt;0,INDEX(Fish!$D:$D,MATCH(R399,Fish!$L:$L,0)),"")</f>
        <v>11015</v>
      </c>
      <c r="T399" s="43">
        <v>0</v>
      </c>
      <c r="U399" s="43">
        <v>1</v>
      </c>
      <c r="V399" s="43">
        <v>2</v>
      </c>
      <c r="W399" s="43">
        <v>3</v>
      </c>
      <c r="X399" s="43" t="s">
        <v>87</v>
      </c>
      <c r="Y399" s="43">
        <f>IF(X399&gt;0,INDEX(Fish!$D:$D,MATCH(X399,Fish!$L:$L,0)),"")</f>
        <v>11013</v>
      </c>
      <c r="Z399" s="43">
        <v>0</v>
      </c>
      <c r="AA399" s="43">
        <v>1</v>
      </c>
      <c r="AB399" s="43">
        <v>1</v>
      </c>
      <c r="AC399" s="43">
        <v>2</v>
      </c>
    </row>
    <row r="400" spans="1:29">
      <c r="A400" s="43">
        <v>44415</v>
      </c>
      <c r="B400" s="43">
        <v>2</v>
      </c>
      <c r="C400" s="43">
        <v>0</v>
      </c>
      <c r="D400" s="43">
        <v>2</v>
      </c>
      <c r="E400" s="43">
        <v>1</v>
      </c>
      <c r="F400" s="43" t="s">
        <v>75</v>
      </c>
      <c r="G400" s="43">
        <f>IF(F400&gt;0,INDEX(Fish!$D:$D,MATCH(F400,Fish!$L:$L,0)),"")</f>
        <v>11008</v>
      </c>
      <c r="H400" s="43">
        <v>0</v>
      </c>
      <c r="I400" s="43">
        <v>1</v>
      </c>
      <c r="J400" s="43">
        <v>3</v>
      </c>
      <c r="K400" s="43">
        <v>4</v>
      </c>
      <c r="L400" s="43" t="s">
        <v>95</v>
      </c>
      <c r="M400" s="43">
        <f>IF(L400&gt;0,INDEX(Fish!$D:$D,MATCH(L400,Fish!$L:$L,0)),"")</f>
        <v>11017</v>
      </c>
      <c r="N400" s="43">
        <v>0</v>
      </c>
      <c r="O400" s="43">
        <v>1</v>
      </c>
      <c r="P400" s="43">
        <v>2</v>
      </c>
      <c r="Q400" s="43">
        <v>3</v>
      </c>
      <c r="R400" s="43" t="s">
        <v>91</v>
      </c>
      <c r="S400" s="43">
        <f>IF(R400&gt;0,INDEX(Fish!$D:$D,MATCH(R400,Fish!$L:$L,0)),"")</f>
        <v>11015</v>
      </c>
      <c r="T400" s="43">
        <v>0</v>
      </c>
      <c r="U400" s="43">
        <v>1</v>
      </c>
      <c r="V400" s="43">
        <v>2</v>
      </c>
      <c r="W400" s="43">
        <v>3</v>
      </c>
      <c r="X400" s="43" t="s">
        <v>93</v>
      </c>
      <c r="Y400" s="43">
        <f>IF(X400&gt;0,INDEX(Fish!$D:$D,MATCH(X400,Fish!$L:$L,0)),"")</f>
        <v>11016</v>
      </c>
      <c r="Z400" s="43">
        <v>0</v>
      </c>
      <c r="AA400" s="43">
        <v>1</v>
      </c>
      <c r="AB400" s="43">
        <v>1</v>
      </c>
      <c r="AC400" s="43">
        <v>2</v>
      </c>
    </row>
    <row r="401" spans="1:29">
      <c r="A401" s="43">
        <v>44415</v>
      </c>
      <c r="B401" s="43">
        <v>2</v>
      </c>
      <c r="C401" s="43">
        <v>0</v>
      </c>
      <c r="D401" s="43">
        <v>2</v>
      </c>
      <c r="E401" s="43">
        <v>1</v>
      </c>
      <c r="F401" s="43" t="s">
        <v>75</v>
      </c>
      <c r="G401" s="43">
        <f>IF(F401&gt;0,INDEX(Fish!$D:$D,MATCH(F401,Fish!$L:$L,0)),"")</f>
        <v>11008</v>
      </c>
      <c r="H401" s="43">
        <v>0</v>
      </c>
      <c r="I401" s="43">
        <v>1</v>
      </c>
      <c r="J401" s="43">
        <v>3</v>
      </c>
      <c r="K401" s="43">
        <v>4</v>
      </c>
      <c r="L401" s="43" t="s">
        <v>95</v>
      </c>
      <c r="M401" s="43">
        <f>IF(L401&gt;0,INDEX(Fish!$D:$D,MATCH(L401,Fish!$L:$L,0)),"")</f>
        <v>11017</v>
      </c>
      <c r="N401" s="43">
        <v>0</v>
      </c>
      <c r="O401" s="43">
        <v>1</v>
      </c>
      <c r="P401" s="43">
        <v>2</v>
      </c>
      <c r="Q401" s="43">
        <v>3</v>
      </c>
      <c r="R401" s="43" t="s">
        <v>91</v>
      </c>
      <c r="S401" s="43">
        <f>IF(R401&gt;0,INDEX(Fish!$D:$D,MATCH(R401,Fish!$L:$L,0)),"")</f>
        <v>11015</v>
      </c>
      <c r="T401" s="43">
        <v>0</v>
      </c>
      <c r="U401" s="43">
        <v>1</v>
      </c>
      <c r="V401" s="43">
        <v>2</v>
      </c>
      <c r="W401" s="43">
        <v>3</v>
      </c>
      <c r="X401" s="43" t="s">
        <v>89</v>
      </c>
      <c r="Y401" s="43">
        <f>IF(X401&gt;0,INDEX(Fish!$D:$D,MATCH(X401,Fish!$L:$L,0)),"")</f>
        <v>11235</v>
      </c>
      <c r="Z401" s="43">
        <v>0</v>
      </c>
      <c r="AA401" s="43">
        <v>1</v>
      </c>
      <c r="AB401" s="43">
        <v>1</v>
      </c>
      <c r="AC401" s="43">
        <v>2</v>
      </c>
    </row>
    <row r="402" spans="1:29">
      <c r="A402" s="43">
        <v>44415</v>
      </c>
      <c r="B402" s="43">
        <v>2</v>
      </c>
      <c r="C402" s="43">
        <v>0</v>
      </c>
      <c r="D402" s="43">
        <v>2</v>
      </c>
      <c r="E402" s="43">
        <v>1</v>
      </c>
      <c r="F402" s="43" t="s">
        <v>69</v>
      </c>
      <c r="G402" s="43">
        <f>IF(F402&gt;0,INDEX(Fish!$D:$D,MATCH(F402,Fish!$L:$L,0)),"")</f>
        <v>11005</v>
      </c>
      <c r="H402" s="43">
        <v>0</v>
      </c>
      <c r="I402" s="43">
        <v>1</v>
      </c>
      <c r="J402" s="43">
        <v>3</v>
      </c>
      <c r="K402" s="43">
        <v>4</v>
      </c>
      <c r="L402" s="43" t="s">
        <v>81</v>
      </c>
      <c r="M402" s="43">
        <f>IF(L402&gt;0,INDEX(Fish!$D:$D,MATCH(L402,Fish!$L:$L,0)),"")</f>
        <v>11010</v>
      </c>
      <c r="N402" s="43">
        <v>0</v>
      </c>
      <c r="O402" s="43">
        <v>1</v>
      </c>
      <c r="P402" s="43">
        <v>2</v>
      </c>
      <c r="Q402" s="43">
        <v>3</v>
      </c>
      <c r="R402" s="43" t="s">
        <v>85</v>
      </c>
      <c r="S402" s="43">
        <f>IF(R402&gt;0,INDEX(Fish!$D:$D,MATCH(R402,Fish!$L:$L,0)),"")</f>
        <v>11012</v>
      </c>
      <c r="T402" s="43">
        <v>0</v>
      </c>
      <c r="U402" s="43">
        <v>1</v>
      </c>
      <c r="V402" s="43">
        <v>2</v>
      </c>
      <c r="W402" s="43">
        <v>3</v>
      </c>
      <c r="X402" s="43" t="s">
        <v>87</v>
      </c>
      <c r="Y402" s="43">
        <f>IF(X402&gt;0,INDEX(Fish!$D:$D,MATCH(X402,Fish!$L:$L,0)),"")</f>
        <v>11013</v>
      </c>
      <c r="Z402" s="43">
        <v>0</v>
      </c>
      <c r="AA402" s="43">
        <v>1</v>
      </c>
      <c r="AB402" s="43">
        <v>1</v>
      </c>
      <c r="AC402" s="43">
        <v>2</v>
      </c>
    </row>
    <row r="403" spans="1:29">
      <c r="A403" s="43">
        <v>44415</v>
      </c>
      <c r="B403" s="43">
        <v>2</v>
      </c>
      <c r="C403" s="43">
        <v>0</v>
      </c>
      <c r="D403" s="43">
        <v>2</v>
      </c>
      <c r="E403" s="43">
        <v>1</v>
      </c>
      <c r="F403" s="43" t="s">
        <v>69</v>
      </c>
      <c r="G403" s="43">
        <f>IF(F403&gt;0,INDEX(Fish!$D:$D,MATCH(F403,Fish!$L:$L,0)),"")</f>
        <v>11005</v>
      </c>
      <c r="H403" s="43">
        <v>0</v>
      </c>
      <c r="I403" s="43">
        <v>1</v>
      </c>
      <c r="J403" s="43">
        <v>3</v>
      </c>
      <c r="K403" s="43">
        <v>4</v>
      </c>
      <c r="L403" s="43" t="s">
        <v>81</v>
      </c>
      <c r="M403" s="43">
        <f>IF(L403&gt;0,INDEX(Fish!$D:$D,MATCH(L403,Fish!$L:$L,0)),"")</f>
        <v>11010</v>
      </c>
      <c r="N403" s="43">
        <v>0</v>
      </c>
      <c r="O403" s="43">
        <v>1</v>
      </c>
      <c r="P403" s="43">
        <v>2</v>
      </c>
      <c r="Q403" s="43">
        <v>3</v>
      </c>
      <c r="R403" s="43" t="s">
        <v>85</v>
      </c>
      <c r="S403" s="43">
        <f>IF(R403&gt;0,INDEX(Fish!$D:$D,MATCH(R403,Fish!$L:$L,0)),"")</f>
        <v>11012</v>
      </c>
      <c r="T403" s="43">
        <v>0</v>
      </c>
      <c r="U403" s="43">
        <v>1</v>
      </c>
      <c r="V403" s="43">
        <v>2</v>
      </c>
      <c r="W403" s="43">
        <v>3</v>
      </c>
      <c r="X403" s="43" t="s">
        <v>93</v>
      </c>
      <c r="Y403" s="43">
        <f>IF(X403&gt;0,INDEX(Fish!$D:$D,MATCH(X403,Fish!$L:$L,0)),"")</f>
        <v>11016</v>
      </c>
      <c r="Z403" s="43">
        <v>0</v>
      </c>
      <c r="AA403" s="43">
        <v>1</v>
      </c>
      <c r="AB403" s="43">
        <v>1</v>
      </c>
      <c r="AC403" s="43">
        <v>2</v>
      </c>
    </row>
    <row r="404" spans="1:29">
      <c r="A404" s="43">
        <v>44415</v>
      </c>
      <c r="B404" s="43">
        <v>2</v>
      </c>
      <c r="C404" s="43">
        <v>0</v>
      </c>
      <c r="D404" s="43">
        <v>2</v>
      </c>
      <c r="E404" s="43">
        <v>1</v>
      </c>
      <c r="F404" s="43" t="s">
        <v>69</v>
      </c>
      <c r="G404" s="43">
        <f>IF(F404&gt;0,INDEX(Fish!$D:$D,MATCH(F404,Fish!$L:$L,0)),"")</f>
        <v>11005</v>
      </c>
      <c r="H404" s="43">
        <v>0</v>
      </c>
      <c r="I404" s="43">
        <v>1</v>
      </c>
      <c r="J404" s="43">
        <v>3</v>
      </c>
      <c r="K404" s="43">
        <v>4</v>
      </c>
      <c r="L404" s="43" t="s">
        <v>81</v>
      </c>
      <c r="M404" s="43">
        <f>IF(L404&gt;0,INDEX(Fish!$D:$D,MATCH(L404,Fish!$L:$L,0)),"")</f>
        <v>11010</v>
      </c>
      <c r="N404" s="43">
        <v>0</v>
      </c>
      <c r="O404" s="43">
        <v>1</v>
      </c>
      <c r="P404" s="43">
        <v>2</v>
      </c>
      <c r="Q404" s="43">
        <v>3</v>
      </c>
      <c r="R404" s="43" t="s">
        <v>85</v>
      </c>
      <c r="S404" s="43">
        <f>IF(R404&gt;0,INDEX(Fish!$D:$D,MATCH(R404,Fish!$L:$L,0)),"")</f>
        <v>11012</v>
      </c>
      <c r="T404" s="43">
        <v>0</v>
      </c>
      <c r="U404" s="43">
        <v>1</v>
      </c>
      <c r="V404" s="43">
        <v>2</v>
      </c>
      <c r="W404" s="43">
        <v>3</v>
      </c>
      <c r="X404" s="43" t="s">
        <v>89</v>
      </c>
      <c r="Y404" s="43">
        <f>IF(X404&gt;0,INDEX(Fish!$D:$D,MATCH(X404,Fish!$L:$L,0)),"")</f>
        <v>11235</v>
      </c>
      <c r="Z404" s="43">
        <v>0</v>
      </c>
      <c r="AA404" s="43">
        <v>1</v>
      </c>
      <c r="AB404" s="43">
        <v>1</v>
      </c>
      <c r="AC404" s="43">
        <v>2</v>
      </c>
    </row>
    <row r="405" spans="1:29">
      <c r="A405" s="43">
        <v>44415</v>
      </c>
      <c r="B405" s="43">
        <v>2</v>
      </c>
      <c r="C405" s="43">
        <v>0</v>
      </c>
      <c r="D405" s="43">
        <v>2</v>
      </c>
      <c r="E405" s="43">
        <v>1</v>
      </c>
      <c r="F405" s="43" t="s">
        <v>69</v>
      </c>
      <c r="G405" s="43">
        <f>IF(F405&gt;0,INDEX(Fish!$D:$D,MATCH(F405,Fish!$L:$L,0)),"")</f>
        <v>11005</v>
      </c>
      <c r="H405" s="43">
        <v>0</v>
      </c>
      <c r="I405" s="43">
        <v>1</v>
      </c>
      <c r="J405" s="43">
        <v>3</v>
      </c>
      <c r="K405" s="43">
        <v>4</v>
      </c>
      <c r="L405" s="43" t="s">
        <v>81</v>
      </c>
      <c r="M405" s="43">
        <f>IF(L405&gt;0,INDEX(Fish!$D:$D,MATCH(L405,Fish!$L:$L,0)),"")</f>
        <v>11010</v>
      </c>
      <c r="N405" s="43">
        <v>0</v>
      </c>
      <c r="O405" s="43">
        <v>1</v>
      </c>
      <c r="P405" s="43">
        <v>2</v>
      </c>
      <c r="Q405" s="43">
        <v>3</v>
      </c>
      <c r="R405" s="43" t="s">
        <v>91</v>
      </c>
      <c r="S405" s="43">
        <f>IF(R405&gt;0,INDEX(Fish!$D:$D,MATCH(R405,Fish!$L:$L,0)),"")</f>
        <v>11015</v>
      </c>
      <c r="T405" s="43">
        <v>0</v>
      </c>
      <c r="U405" s="43">
        <v>1</v>
      </c>
      <c r="V405" s="43">
        <v>2</v>
      </c>
      <c r="W405" s="43">
        <v>3</v>
      </c>
      <c r="X405" s="43" t="s">
        <v>87</v>
      </c>
      <c r="Y405" s="43">
        <f>IF(X405&gt;0,INDEX(Fish!$D:$D,MATCH(X405,Fish!$L:$L,0)),"")</f>
        <v>11013</v>
      </c>
      <c r="Z405" s="43">
        <v>0</v>
      </c>
      <c r="AA405" s="43">
        <v>1</v>
      </c>
      <c r="AB405" s="43">
        <v>1</v>
      </c>
      <c r="AC405" s="43">
        <v>2</v>
      </c>
    </row>
    <row r="406" spans="1:29">
      <c r="A406" s="43">
        <v>44415</v>
      </c>
      <c r="B406" s="43">
        <v>2</v>
      </c>
      <c r="C406" s="43">
        <v>0</v>
      </c>
      <c r="D406" s="43">
        <v>2</v>
      </c>
      <c r="E406" s="43">
        <v>1</v>
      </c>
      <c r="F406" s="43" t="s">
        <v>69</v>
      </c>
      <c r="G406" s="43">
        <f>IF(F406&gt;0,INDEX(Fish!$D:$D,MATCH(F406,Fish!$L:$L,0)),"")</f>
        <v>11005</v>
      </c>
      <c r="H406" s="43">
        <v>0</v>
      </c>
      <c r="I406" s="43">
        <v>1</v>
      </c>
      <c r="J406" s="43">
        <v>3</v>
      </c>
      <c r="K406" s="43">
        <v>4</v>
      </c>
      <c r="L406" s="43" t="s">
        <v>81</v>
      </c>
      <c r="M406" s="43">
        <f>IF(L406&gt;0,INDEX(Fish!$D:$D,MATCH(L406,Fish!$L:$L,0)),"")</f>
        <v>11010</v>
      </c>
      <c r="N406" s="43">
        <v>0</v>
      </c>
      <c r="O406" s="43">
        <v>1</v>
      </c>
      <c r="P406" s="43">
        <v>2</v>
      </c>
      <c r="Q406" s="43">
        <v>3</v>
      </c>
      <c r="R406" s="43" t="s">
        <v>91</v>
      </c>
      <c r="S406" s="43">
        <f>IF(R406&gt;0,INDEX(Fish!$D:$D,MATCH(R406,Fish!$L:$L,0)),"")</f>
        <v>11015</v>
      </c>
      <c r="T406" s="43">
        <v>0</v>
      </c>
      <c r="U406" s="43">
        <v>1</v>
      </c>
      <c r="V406" s="43">
        <v>2</v>
      </c>
      <c r="W406" s="43">
        <v>3</v>
      </c>
      <c r="X406" s="43" t="s">
        <v>93</v>
      </c>
      <c r="Y406" s="43">
        <f>IF(X406&gt;0,INDEX(Fish!$D:$D,MATCH(X406,Fish!$L:$L,0)),"")</f>
        <v>11016</v>
      </c>
      <c r="Z406" s="43">
        <v>0</v>
      </c>
      <c r="AA406" s="43">
        <v>1</v>
      </c>
      <c r="AB406" s="43">
        <v>1</v>
      </c>
      <c r="AC406" s="43">
        <v>2</v>
      </c>
    </row>
    <row r="407" spans="1:29">
      <c r="A407" s="43">
        <v>44415</v>
      </c>
      <c r="B407" s="43">
        <v>2</v>
      </c>
      <c r="C407" s="43">
        <v>0</v>
      </c>
      <c r="D407" s="43">
        <v>2</v>
      </c>
      <c r="E407" s="43">
        <v>1</v>
      </c>
      <c r="F407" s="43" t="s">
        <v>69</v>
      </c>
      <c r="G407" s="43">
        <f>IF(F407&gt;0,INDEX(Fish!$D:$D,MATCH(F407,Fish!$L:$L,0)),"")</f>
        <v>11005</v>
      </c>
      <c r="H407" s="43">
        <v>0</v>
      </c>
      <c r="I407" s="43">
        <v>1</v>
      </c>
      <c r="J407" s="43">
        <v>3</v>
      </c>
      <c r="K407" s="43">
        <v>4</v>
      </c>
      <c r="L407" s="43" t="s">
        <v>81</v>
      </c>
      <c r="M407" s="43">
        <f>IF(L407&gt;0,INDEX(Fish!$D:$D,MATCH(L407,Fish!$L:$L,0)),"")</f>
        <v>11010</v>
      </c>
      <c r="N407" s="43">
        <v>0</v>
      </c>
      <c r="O407" s="43">
        <v>1</v>
      </c>
      <c r="P407" s="43">
        <v>2</v>
      </c>
      <c r="Q407" s="43">
        <v>3</v>
      </c>
      <c r="R407" s="43" t="s">
        <v>91</v>
      </c>
      <c r="S407" s="43">
        <f>IF(R407&gt;0,INDEX(Fish!$D:$D,MATCH(R407,Fish!$L:$L,0)),"")</f>
        <v>11015</v>
      </c>
      <c r="T407" s="43">
        <v>0</v>
      </c>
      <c r="U407" s="43">
        <v>1</v>
      </c>
      <c r="V407" s="43">
        <v>2</v>
      </c>
      <c r="W407" s="43">
        <v>3</v>
      </c>
      <c r="X407" s="43" t="s">
        <v>89</v>
      </c>
      <c r="Y407" s="43">
        <f>IF(X407&gt;0,INDEX(Fish!$D:$D,MATCH(X407,Fish!$L:$L,0)),"")</f>
        <v>11235</v>
      </c>
      <c r="Z407" s="43">
        <v>0</v>
      </c>
      <c r="AA407" s="43">
        <v>1</v>
      </c>
      <c r="AB407" s="43">
        <v>1</v>
      </c>
      <c r="AC407" s="43">
        <v>2</v>
      </c>
    </row>
    <row r="408" spans="1:29">
      <c r="A408" s="43">
        <v>44415</v>
      </c>
      <c r="B408" s="43">
        <v>2</v>
      </c>
      <c r="C408" s="43">
        <v>0</v>
      </c>
      <c r="D408" s="43">
        <v>2</v>
      </c>
      <c r="E408" s="43">
        <v>1</v>
      </c>
      <c r="F408" s="43" t="s">
        <v>69</v>
      </c>
      <c r="G408" s="43">
        <f>IF(F408&gt;0,INDEX(Fish!$D:$D,MATCH(F408,Fish!$L:$L,0)),"")</f>
        <v>11005</v>
      </c>
      <c r="H408" s="43">
        <v>0</v>
      </c>
      <c r="I408" s="43">
        <v>1</v>
      </c>
      <c r="J408" s="43">
        <v>3</v>
      </c>
      <c r="K408" s="43">
        <v>4</v>
      </c>
      <c r="L408" s="43" t="s">
        <v>95</v>
      </c>
      <c r="M408" s="43">
        <f>IF(L408&gt;0,INDEX(Fish!$D:$D,MATCH(L408,Fish!$L:$L,0)),"")</f>
        <v>11017</v>
      </c>
      <c r="N408" s="43">
        <v>0</v>
      </c>
      <c r="O408" s="43">
        <v>1</v>
      </c>
      <c r="P408" s="43">
        <v>2</v>
      </c>
      <c r="Q408" s="43">
        <v>3</v>
      </c>
      <c r="R408" s="43" t="s">
        <v>85</v>
      </c>
      <c r="S408" s="43">
        <f>IF(R408&gt;0,INDEX(Fish!$D:$D,MATCH(R408,Fish!$L:$L,0)),"")</f>
        <v>11012</v>
      </c>
      <c r="T408" s="43">
        <v>0</v>
      </c>
      <c r="U408" s="43">
        <v>1</v>
      </c>
      <c r="V408" s="43">
        <v>2</v>
      </c>
      <c r="W408" s="43">
        <v>3</v>
      </c>
      <c r="X408" s="43" t="s">
        <v>87</v>
      </c>
      <c r="Y408" s="43">
        <f>IF(X408&gt;0,INDEX(Fish!$D:$D,MATCH(X408,Fish!$L:$L,0)),"")</f>
        <v>11013</v>
      </c>
      <c r="Z408" s="43">
        <v>0</v>
      </c>
      <c r="AA408" s="43">
        <v>1</v>
      </c>
      <c r="AB408" s="43">
        <v>1</v>
      </c>
      <c r="AC408" s="43">
        <v>2</v>
      </c>
    </row>
    <row r="409" spans="1:29">
      <c r="A409" s="43">
        <v>44415</v>
      </c>
      <c r="B409" s="43">
        <v>2</v>
      </c>
      <c r="C409" s="43">
        <v>0</v>
      </c>
      <c r="D409" s="43">
        <v>2</v>
      </c>
      <c r="E409" s="43">
        <v>1</v>
      </c>
      <c r="F409" s="43" t="s">
        <v>69</v>
      </c>
      <c r="G409" s="43">
        <f>IF(F409&gt;0,INDEX(Fish!$D:$D,MATCH(F409,Fish!$L:$L,0)),"")</f>
        <v>11005</v>
      </c>
      <c r="H409" s="43">
        <v>0</v>
      </c>
      <c r="I409" s="43">
        <v>1</v>
      </c>
      <c r="J409" s="43">
        <v>3</v>
      </c>
      <c r="K409" s="43">
        <v>4</v>
      </c>
      <c r="L409" s="43" t="s">
        <v>95</v>
      </c>
      <c r="M409" s="43">
        <f>IF(L409&gt;0,INDEX(Fish!$D:$D,MATCH(L409,Fish!$L:$L,0)),"")</f>
        <v>11017</v>
      </c>
      <c r="N409" s="43">
        <v>0</v>
      </c>
      <c r="O409" s="43">
        <v>1</v>
      </c>
      <c r="P409" s="43">
        <v>2</v>
      </c>
      <c r="Q409" s="43">
        <v>3</v>
      </c>
      <c r="R409" s="43" t="s">
        <v>85</v>
      </c>
      <c r="S409" s="43">
        <f>IF(R409&gt;0,INDEX(Fish!$D:$D,MATCH(R409,Fish!$L:$L,0)),"")</f>
        <v>11012</v>
      </c>
      <c r="T409" s="43">
        <v>0</v>
      </c>
      <c r="U409" s="43">
        <v>1</v>
      </c>
      <c r="V409" s="43">
        <v>2</v>
      </c>
      <c r="W409" s="43">
        <v>3</v>
      </c>
      <c r="X409" s="43" t="s">
        <v>93</v>
      </c>
      <c r="Y409" s="43">
        <f>IF(X409&gt;0,INDEX(Fish!$D:$D,MATCH(X409,Fish!$L:$L,0)),"")</f>
        <v>11016</v>
      </c>
      <c r="Z409" s="43">
        <v>0</v>
      </c>
      <c r="AA409" s="43">
        <v>1</v>
      </c>
      <c r="AB409" s="43">
        <v>1</v>
      </c>
      <c r="AC409" s="43">
        <v>2</v>
      </c>
    </row>
    <row r="410" spans="1:29">
      <c r="A410" s="43">
        <v>44415</v>
      </c>
      <c r="B410" s="43">
        <v>2</v>
      </c>
      <c r="C410" s="43">
        <v>0</v>
      </c>
      <c r="D410" s="43">
        <v>2</v>
      </c>
      <c r="E410" s="43">
        <v>1</v>
      </c>
      <c r="F410" s="43" t="s">
        <v>69</v>
      </c>
      <c r="G410" s="43">
        <f>IF(F410&gt;0,INDEX(Fish!$D:$D,MATCH(F410,Fish!$L:$L,0)),"")</f>
        <v>11005</v>
      </c>
      <c r="H410" s="43">
        <v>0</v>
      </c>
      <c r="I410" s="43">
        <v>1</v>
      </c>
      <c r="J410" s="43">
        <v>3</v>
      </c>
      <c r="K410" s="43">
        <v>4</v>
      </c>
      <c r="L410" s="43" t="s">
        <v>95</v>
      </c>
      <c r="M410" s="43">
        <f>IF(L410&gt;0,INDEX(Fish!$D:$D,MATCH(L410,Fish!$L:$L,0)),"")</f>
        <v>11017</v>
      </c>
      <c r="N410" s="43">
        <v>0</v>
      </c>
      <c r="O410" s="43">
        <v>1</v>
      </c>
      <c r="P410" s="43">
        <v>2</v>
      </c>
      <c r="Q410" s="43">
        <v>3</v>
      </c>
      <c r="R410" s="43" t="s">
        <v>85</v>
      </c>
      <c r="S410" s="43">
        <f>IF(R410&gt;0,INDEX(Fish!$D:$D,MATCH(R410,Fish!$L:$L,0)),"")</f>
        <v>11012</v>
      </c>
      <c r="T410" s="43">
        <v>0</v>
      </c>
      <c r="U410" s="43">
        <v>1</v>
      </c>
      <c r="V410" s="43">
        <v>2</v>
      </c>
      <c r="W410" s="43">
        <v>3</v>
      </c>
      <c r="X410" s="43" t="s">
        <v>89</v>
      </c>
      <c r="Y410" s="43">
        <f>IF(X410&gt;0,INDEX(Fish!$D:$D,MATCH(X410,Fish!$L:$L,0)),"")</f>
        <v>11235</v>
      </c>
      <c r="Z410" s="43">
        <v>0</v>
      </c>
      <c r="AA410" s="43">
        <v>1</v>
      </c>
      <c r="AB410" s="43">
        <v>1</v>
      </c>
      <c r="AC410" s="43">
        <v>2</v>
      </c>
    </row>
    <row r="411" spans="1:29">
      <c r="A411" s="43">
        <v>44415</v>
      </c>
      <c r="B411" s="43">
        <v>2</v>
      </c>
      <c r="C411" s="43">
        <v>0</v>
      </c>
      <c r="D411" s="43">
        <v>2</v>
      </c>
      <c r="E411" s="43">
        <v>1</v>
      </c>
      <c r="F411" s="43" t="s">
        <v>69</v>
      </c>
      <c r="G411" s="43">
        <f>IF(F411&gt;0,INDEX(Fish!$D:$D,MATCH(F411,Fish!$L:$L,0)),"")</f>
        <v>11005</v>
      </c>
      <c r="H411" s="43">
        <v>0</v>
      </c>
      <c r="I411" s="43">
        <v>1</v>
      </c>
      <c r="J411" s="43">
        <v>3</v>
      </c>
      <c r="K411" s="43">
        <v>4</v>
      </c>
      <c r="L411" s="43" t="s">
        <v>95</v>
      </c>
      <c r="M411" s="43">
        <f>IF(L411&gt;0,INDEX(Fish!$D:$D,MATCH(L411,Fish!$L:$L,0)),"")</f>
        <v>11017</v>
      </c>
      <c r="N411" s="43">
        <v>0</v>
      </c>
      <c r="O411" s="43">
        <v>1</v>
      </c>
      <c r="P411" s="43">
        <v>2</v>
      </c>
      <c r="Q411" s="43">
        <v>3</v>
      </c>
      <c r="R411" s="43" t="s">
        <v>91</v>
      </c>
      <c r="S411" s="43">
        <f>IF(R411&gt;0,INDEX(Fish!$D:$D,MATCH(R411,Fish!$L:$L,0)),"")</f>
        <v>11015</v>
      </c>
      <c r="T411" s="43">
        <v>0</v>
      </c>
      <c r="U411" s="43">
        <v>1</v>
      </c>
      <c r="V411" s="43">
        <v>2</v>
      </c>
      <c r="W411" s="43">
        <v>3</v>
      </c>
      <c r="X411" s="43" t="s">
        <v>87</v>
      </c>
      <c r="Y411" s="43">
        <f>IF(X411&gt;0,INDEX(Fish!$D:$D,MATCH(X411,Fish!$L:$L,0)),"")</f>
        <v>11013</v>
      </c>
      <c r="Z411" s="43">
        <v>0</v>
      </c>
      <c r="AA411" s="43">
        <v>1</v>
      </c>
      <c r="AB411" s="43">
        <v>1</v>
      </c>
      <c r="AC411" s="43">
        <v>2</v>
      </c>
    </row>
    <row r="412" spans="1:29">
      <c r="A412" s="43">
        <v>44415</v>
      </c>
      <c r="B412" s="43">
        <v>2</v>
      </c>
      <c r="C412" s="43">
        <v>0</v>
      </c>
      <c r="D412" s="43">
        <v>2</v>
      </c>
      <c r="E412" s="43">
        <v>1</v>
      </c>
      <c r="F412" s="43" t="s">
        <v>69</v>
      </c>
      <c r="G412" s="43">
        <f>IF(F412&gt;0,INDEX(Fish!$D:$D,MATCH(F412,Fish!$L:$L,0)),"")</f>
        <v>11005</v>
      </c>
      <c r="H412" s="43">
        <v>0</v>
      </c>
      <c r="I412" s="43">
        <v>1</v>
      </c>
      <c r="J412" s="43">
        <v>3</v>
      </c>
      <c r="K412" s="43">
        <v>4</v>
      </c>
      <c r="L412" s="43" t="s">
        <v>95</v>
      </c>
      <c r="M412" s="43">
        <f>IF(L412&gt;0,INDEX(Fish!$D:$D,MATCH(L412,Fish!$L:$L,0)),"")</f>
        <v>11017</v>
      </c>
      <c r="N412" s="43">
        <v>0</v>
      </c>
      <c r="O412" s="43">
        <v>1</v>
      </c>
      <c r="P412" s="43">
        <v>2</v>
      </c>
      <c r="Q412" s="43">
        <v>3</v>
      </c>
      <c r="R412" s="43" t="s">
        <v>91</v>
      </c>
      <c r="S412" s="43">
        <f>IF(R412&gt;0,INDEX(Fish!$D:$D,MATCH(R412,Fish!$L:$L,0)),"")</f>
        <v>11015</v>
      </c>
      <c r="T412" s="43">
        <v>0</v>
      </c>
      <c r="U412" s="43">
        <v>1</v>
      </c>
      <c r="V412" s="43">
        <v>2</v>
      </c>
      <c r="W412" s="43">
        <v>3</v>
      </c>
      <c r="X412" s="43" t="s">
        <v>93</v>
      </c>
      <c r="Y412" s="43">
        <f>IF(X412&gt;0,INDEX(Fish!$D:$D,MATCH(X412,Fish!$L:$L,0)),"")</f>
        <v>11016</v>
      </c>
      <c r="Z412" s="43">
        <v>0</v>
      </c>
      <c r="AA412" s="43">
        <v>1</v>
      </c>
      <c r="AB412" s="43">
        <v>1</v>
      </c>
      <c r="AC412" s="43">
        <v>2</v>
      </c>
    </row>
    <row r="413" spans="1:29">
      <c r="A413" s="43">
        <v>44415</v>
      </c>
      <c r="B413" s="43">
        <v>2</v>
      </c>
      <c r="C413" s="43">
        <v>0</v>
      </c>
      <c r="D413" s="43">
        <v>2</v>
      </c>
      <c r="E413" s="43">
        <v>1</v>
      </c>
      <c r="F413" s="43" t="s">
        <v>69</v>
      </c>
      <c r="G413" s="43">
        <f>IF(F413&gt;0,INDEX(Fish!$D:$D,MATCH(F413,Fish!$L:$L,0)),"")</f>
        <v>11005</v>
      </c>
      <c r="H413" s="43">
        <v>0</v>
      </c>
      <c r="I413" s="43">
        <v>1</v>
      </c>
      <c r="J413" s="43">
        <v>3</v>
      </c>
      <c r="K413" s="43">
        <v>4</v>
      </c>
      <c r="L413" s="43" t="s">
        <v>95</v>
      </c>
      <c r="M413" s="43">
        <f>IF(L413&gt;0,INDEX(Fish!$D:$D,MATCH(L413,Fish!$L:$L,0)),"")</f>
        <v>11017</v>
      </c>
      <c r="N413" s="43">
        <v>0</v>
      </c>
      <c r="O413" s="43">
        <v>1</v>
      </c>
      <c r="P413" s="43">
        <v>2</v>
      </c>
      <c r="Q413" s="43">
        <v>3</v>
      </c>
      <c r="R413" s="43" t="s">
        <v>91</v>
      </c>
      <c r="S413" s="43">
        <f>IF(R413&gt;0,INDEX(Fish!$D:$D,MATCH(R413,Fish!$L:$L,0)),"")</f>
        <v>11015</v>
      </c>
      <c r="T413" s="43">
        <v>0</v>
      </c>
      <c r="U413" s="43">
        <v>1</v>
      </c>
      <c r="V413" s="43">
        <v>2</v>
      </c>
      <c r="W413" s="43">
        <v>3</v>
      </c>
      <c r="X413" s="43" t="s">
        <v>89</v>
      </c>
      <c r="Y413" s="43">
        <f>IF(X413&gt;0,INDEX(Fish!$D:$D,MATCH(X413,Fish!$L:$L,0)),"")</f>
        <v>11235</v>
      </c>
      <c r="Z413" s="43">
        <v>0</v>
      </c>
      <c r="AA413" s="43">
        <v>1</v>
      </c>
      <c r="AB413" s="43">
        <v>1</v>
      </c>
      <c r="AC413" s="43">
        <v>2</v>
      </c>
    </row>
    <row r="414" spans="1:23">
      <c r="A414" s="43">
        <v>44415</v>
      </c>
      <c r="B414" s="43">
        <v>5</v>
      </c>
      <c r="C414" s="43">
        <v>0</v>
      </c>
      <c r="D414" s="43">
        <v>3</v>
      </c>
      <c r="E414" s="43">
        <v>2</v>
      </c>
      <c r="F414" s="43" t="s">
        <v>99</v>
      </c>
      <c r="G414" s="43">
        <f>IF(F414&gt;0,INDEX(Fish!$D:$D,MATCH(F414,Fish!$L:$L,0)),"")</f>
        <v>11024</v>
      </c>
      <c r="H414" s="43">
        <v>40000</v>
      </c>
      <c r="I414" s="43">
        <v>1</v>
      </c>
      <c r="J414" s="43">
        <v>0</v>
      </c>
      <c r="K414" s="43">
        <v>1</v>
      </c>
      <c r="L414" s="43" t="s">
        <v>103</v>
      </c>
      <c r="M414" s="43">
        <f>IF(L414&gt;0,INDEX(Fish!$D:$D,MATCH(L414,Fish!$L:$L,0)),"")</f>
        <v>11025</v>
      </c>
      <c r="N414" s="43">
        <v>30000</v>
      </c>
      <c r="O414" s="43">
        <v>1</v>
      </c>
      <c r="P414" s="43">
        <v>0</v>
      </c>
      <c r="Q414" s="43">
        <v>1</v>
      </c>
      <c r="R414" s="43" t="s">
        <v>105</v>
      </c>
      <c r="S414" s="43">
        <f>IF(R414&gt;0,INDEX(Fish!$D:$D,MATCH(R414,Fish!$L:$L,0)),"")</f>
        <v>11211</v>
      </c>
      <c r="T414" s="43">
        <v>30000</v>
      </c>
      <c r="U414" s="43">
        <v>1</v>
      </c>
      <c r="V414" s="43">
        <v>0</v>
      </c>
      <c r="W414" s="43">
        <v>1</v>
      </c>
    </row>
    <row r="415" spans="1:35">
      <c r="A415" s="43">
        <v>44415</v>
      </c>
      <c r="B415" s="43">
        <v>5</v>
      </c>
      <c r="C415" s="43">
        <v>0</v>
      </c>
      <c r="D415" s="43">
        <v>4</v>
      </c>
      <c r="E415" s="43">
        <v>2</v>
      </c>
      <c r="F415" s="43" t="s">
        <v>355</v>
      </c>
      <c r="G415" s="43">
        <f>IF(F415&gt;0,INDEX(Fish!$D:$D,MATCH(F415,Fish!$L:$L,0)),"")</f>
        <v>11021</v>
      </c>
      <c r="H415" s="43">
        <v>30000</v>
      </c>
      <c r="I415" s="43">
        <v>1</v>
      </c>
      <c r="J415" s="43">
        <v>0</v>
      </c>
      <c r="K415" s="43">
        <v>1</v>
      </c>
      <c r="L415" s="43" t="s">
        <v>353</v>
      </c>
      <c r="M415" s="43">
        <f>IF(L415&gt;0,INDEX(Fish!$D:$D,MATCH(L415,Fish!$L:$L,0)),"")</f>
        <v>11092</v>
      </c>
      <c r="N415" s="43">
        <v>24000</v>
      </c>
      <c r="O415" s="43">
        <v>1</v>
      </c>
      <c r="P415" s="43">
        <v>0</v>
      </c>
      <c r="Q415" s="43">
        <v>1</v>
      </c>
      <c r="R415" s="43" t="s">
        <v>357</v>
      </c>
      <c r="S415" s="43">
        <f>IF(R415&gt;0,INDEX(Fish!$D:$D,MATCH(R415,Fish!$L:$L,0)),"")</f>
        <v>11026</v>
      </c>
      <c r="T415" s="43">
        <v>20000</v>
      </c>
      <c r="U415" s="43">
        <v>1</v>
      </c>
      <c r="V415" s="43">
        <v>0</v>
      </c>
      <c r="W415" s="43">
        <v>1</v>
      </c>
      <c r="X415" s="43" t="s">
        <v>359</v>
      </c>
      <c r="Y415" s="43">
        <f>IF(X415&gt;0,INDEX(Fish!$D:$D,MATCH(X415,Fish!$L:$L,0)),"")</f>
        <v>11027</v>
      </c>
      <c r="Z415" s="43">
        <v>14000</v>
      </c>
      <c r="AA415" s="43">
        <v>1</v>
      </c>
      <c r="AB415" s="43">
        <v>0</v>
      </c>
      <c r="AC415" s="43">
        <v>1</v>
      </c>
      <c r="AD415" s="43" t="s">
        <v>362</v>
      </c>
      <c r="AE415" s="43">
        <f>IF(AD415&gt;0,INDEX(Fish!$D:$D,MATCH(AD415,Fish!$L:$L,0)),"")</f>
        <v>11231</v>
      </c>
      <c r="AF415" s="43">
        <v>12000</v>
      </c>
      <c r="AG415" s="43">
        <v>1</v>
      </c>
      <c r="AH415" s="43">
        <v>0</v>
      </c>
      <c r="AI415" s="43">
        <v>1</v>
      </c>
    </row>
    <row r="416" spans="1:35">
      <c r="A416" s="43">
        <v>44415</v>
      </c>
      <c r="B416" s="43">
        <v>5</v>
      </c>
      <c r="C416" s="43">
        <v>0</v>
      </c>
      <c r="D416" s="43">
        <v>5</v>
      </c>
      <c r="E416" s="43">
        <v>2</v>
      </c>
      <c r="F416" s="43" t="s">
        <v>123</v>
      </c>
      <c r="G416" s="43">
        <f>IF(F416&gt;0,INDEX(Fish!$D:$D,MATCH(F416,Fish!$L:$L,0)),"")</f>
        <v>14015</v>
      </c>
      <c r="H416" s="43">
        <v>35000</v>
      </c>
      <c r="I416" s="43">
        <v>1</v>
      </c>
      <c r="J416" s="43">
        <v>0</v>
      </c>
      <c r="K416" s="43">
        <v>1</v>
      </c>
      <c r="L416" s="43" t="s">
        <v>127</v>
      </c>
      <c r="M416" s="43">
        <f>IF(L416&gt;0,INDEX(Fish!$D:$D,MATCH(L416,Fish!$L:$L,0)),"")</f>
        <v>14235</v>
      </c>
      <c r="N416" s="43">
        <v>26000</v>
      </c>
      <c r="O416" s="43">
        <v>1</v>
      </c>
      <c r="P416" s="43">
        <v>0</v>
      </c>
      <c r="Q416" s="43">
        <v>1</v>
      </c>
      <c r="R416" s="43" t="s">
        <v>122</v>
      </c>
      <c r="S416" s="43">
        <f>IF(R416&gt;0,INDEX(Fish!$D:$D,MATCH(R416,Fish!$L:$L,0)),"")</f>
        <v>14013</v>
      </c>
      <c r="T416" s="43">
        <v>16000</v>
      </c>
      <c r="U416" s="43">
        <v>1</v>
      </c>
      <c r="V416" s="43">
        <v>0</v>
      </c>
      <c r="W416" s="43">
        <v>1</v>
      </c>
      <c r="X416" s="43" t="s">
        <v>125</v>
      </c>
      <c r="Y416" s="43">
        <f>IF(X416&gt;0,INDEX(Fish!$D:$D,MATCH(X416,Fish!$L:$L,0)),"")</f>
        <v>14024</v>
      </c>
      <c r="Z416" s="43">
        <v>13000</v>
      </c>
      <c r="AA416" s="43">
        <v>1</v>
      </c>
      <c r="AB416" s="43">
        <v>0</v>
      </c>
      <c r="AC416" s="43">
        <v>1</v>
      </c>
      <c r="AD416" s="48" t="s">
        <v>126</v>
      </c>
      <c r="AE416" s="43">
        <f>IF(AD416&gt;0,INDEX(Fish!$D:$D,MATCH(AD416,Fish!$L:$L,0)),"")</f>
        <v>14025</v>
      </c>
      <c r="AF416" s="43">
        <v>10000</v>
      </c>
      <c r="AG416" s="43">
        <v>1</v>
      </c>
      <c r="AH416" s="43">
        <v>0</v>
      </c>
      <c r="AI416" s="43">
        <v>1</v>
      </c>
    </row>
    <row r="417" spans="1:11">
      <c r="A417" s="43">
        <v>44415</v>
      </c>
      <c r="B417" s="43">
        <v>5</v>
      </c>
      <c r="C417" s="43">
        <v>0</v>
      </c>
      <c r="D417" s="43">
        <v>6</v>
      </c>
      <c r="E417" s="43">
        <v>2</v>
      </c>
      <c r="F417" s="48" t="s">
        <v>321</v>
      </c>
      <c r="G417" s="43">
        <f>IF(F417&gt;0,INDEX(Fish!$D:$D,MATCH(F417,Fish!$L:$L,0)),"")</f>
        <v>75210</v>
      </c>
      <c r="H417" s="43">
        <v>100000</v>
      </c>
      <c r="I417" s="43">
        <v>1</v>
      </c>
      <c r="J417" s="43">
        <v>1</v>
      </c>
      <c r="K417" s="43">
        <v>1</v>
      </c>
    </row>
  </sheetData>
  <conditionalFormatting sqref="X113">
    <cfRule type="notContainsBlanks" dxfId="3" priority="63">
      <formula>LEN(TRIM(X113))&gt;0</formula>
    </cfRule>
  </conditionalFormatting>
  <conditionalFormatting sqref="AD113">
    <cfRule type="notContainsBlanks" dxfId="3" priority="64">
      <formula>LEN(TRIM(AD113))&gt;0</formula>
    </cfRule>
  </conditionalFormatting>
  <conditionalFormatting sqref="R150">
    <cfRule type="notContainsBlanks" dxfId="3" priority="60">
      <formula>LEN(TRIM(R150))&gt;0</formula>
    </cfRule>
  </conditionalFormatting>
  <conditionalFormatting sqref="X150">
    <cfRule type="notContainsBlanks" dxfId="3" priority="66">
      <formula>LEN(TRIM(X150))&gt;0</formula>
    </cfRule>
  </conditionalFormatting>
  <conditionalFormatting sqref="AD150">
    <cfRule type="notContainsBlanks" dxfId="3" priority="65">
      <formula>LEN(TRIM(AD150))&gt;0</formula>
    </cfRule>
  </conditionalFormatting>
  <conditionalFormatting sqref="X341">
    <cfRule type="notContainsBlanks" dxfId="3" priority="71">
      <formula>LEN(TRIM(X341))&gt;0</formula>
    </cfRule>
  </conditionalFormatting>
  <conditionalFormatting sqref="AD341">
    <cfRule type="notContainsBlanks" dxfId="3" priority="70">
      <formula>LEN(TRIM(AD341))&gt;0</formula>
    </cfRule>
  </conditionalFormatting>
  <conditionalFormatting sqref="R378">
    <cfRule type="notContainsBlanks" dxfId="3" priority="76">
      <formula>LEN(TRIM(R378))&gt;0</formula>
    </cfRule>
  </conditionalFormatting>
  <conditionalFormatting sqref="X378">
    <cfRule type="notContainsBlanks" dxfId="3" priority="73">
      <formula>LEN(TRIM(X378))&gt;0</formula>
    </cfRule>
  </conditionalFormatting>
  <conditionalFormatting sqref="AD378">
    <cfRule type="notContainsBlanks" dxfId="3" priority="72">
      <formula>LEN(TRIM(AD378))&gt;0</formula>
    </cfRule>
  </conditionalFormatting>
  <conditionalFormatting sqref="R415">
    <cfRule type="notContainsBlanks" dxfId="3" priority="75">
      <formula>LEN(TRIM(R415))&gt;0</formula>
    </cfRule>
  </conditionalFormatting>
  <conditionalFormatting sqref="AD416">
    <cfRule type="notContainsBlanks" dxfId="3" priority="74">
      <formula>LEN(TRIM(AD416))&gt;0</formula>
    </cfRule>
  </conditionalFormatting>
  <conditionalFormatting sqref="C35:C38">
    <cfRule type="notContainsBlanks" dxfId="3" priority="34">
      <formula>LEN(TRIM(C35))&gt;0</formula>
    </cfRule>
  </conditionalFormatting>
  <conditionalFormatting sqref="C74:C79">
    <cfRule type="notContainsBlanks" dxfId="3" priority="33">
      <formula>LEN(TRIM(C74))&gt;0</formula>
    </cfRule>
  </conditionalFormatting>
  <conditionalFormatting sqref="C115:C124">
    <cfRule type="notContainsBlanks" dxfId="3" priority="31">
      <formula>LEN(TRIM(C115))&gt;0</formula>
    </cfRule>
    <cfRule type="notContainsBlanks" dxfId="3" priority="32">
      <formula>LEN(TRIM(C115))&gt;0</formula>
    </cfRule>
  </conditionalFormatting>
  <conditionalFormatting sqref="C152:C161">
    <cfRule type="notContainsBlanks" dxfId="3" priority="28">
      <formula>LEN(TRIM(C152))&gt;0</formula>
    </cfRule>
    <cfRule type="notContainsBlanks" dxfId="3" priority="29">
      <formula>LEN(TRIM(C152))&gt;0</formula>
    </cfRule>
    <cfRule type="notContainsBlanks" dxfId="3" priority="30">
      <formula>LEN(TRIM(C152))&gt;0</formula>
    </cfRule>
  </conditionalFormatting>
  <conditionalFormatting sqref="C189:C192">
    <cfRule type="notContainsBlanks" dxfId="3" priority="24">
      <formula>LEN(TRIM(C189))&gt;0</formula>
    </cfRule>
    <cfRule type="notContainsBlanks" dxfId="3" priority="25">
      <formula>LEN(TRIM(C189))&gt;0</formula>
    </cfRule>
    <cfRule type="notContainsBlanks" dxfId="3" priority="26">
      <formula>LEN(TRIM(C189))&gt;0</formula>
    </cfRule>
    <cfRule type="notContainsBlanks" dxfId="3" priority="27">
      <formula>LEN(TRIM(C189))&gt;0</formula>
    </cfRule>
  </conditionalFormatting>
  <conditionalFormatting sqref="C232:C235">
    <cfRule type="notContainsBlanks" dxfId="3" priority="20">
      <formula>LEN(TRIM(C232))&gt;0</formula>
    </cfRule>
    <cfRule type="notContainsBlanks" dxfId="3" priority="21">
      <formula>LEN(TRIM(C232))&gt;0</formula>
    </cfRule>
    <cfRule type="notContainsBlanks" dxfId="3" priority="22">
      <formula>LEN(TRIM(C232))&gt;0</formula>
    </cfRule>
    <cfRule type="notContainsBlanks" dxfId="3" priority="23">
      <formula>LEN(TRIM(C232))&gt;0</formula>
    </cfRule>
  </conditionalFormatting>
  <conditionalFormatting sqref="C263:C266">
    <cfRule type="notContainsBlanks" dxfId="3" priority="16">
      <formula>LEN(TRIM(C263))&gt;0</formula>
    </cfRule>
    <cfRule type="notContainsBlanks" dxfId="3" priority="17">
      <formula>LEN(TRIM(C263))&gt;0</formula>
    </cfRule>
    <cfRule type="notContainsBlanks" dxfId="3" priority="18">
      <formula>LEN(TRIM(C263))&gt;0</formula>
    </cfRule>
    <cfRule type="notContainsBlanks" dxfId="3" priority="19">
      <formula>LEN(TRIM(C263))&gt;0</formula>
    </cfRule>
  </conditionalFormatting>
  <conditionalFormatting sqref="C267:C301">
    <cfRule type="notContainsBlanks" dxfId="3" priority="44">
      <formula>LEN(TRIM(C267))&gt;0</formula>
    </cfRule>
  </conditionalFormatting>
  <conditionalFormatting sqref="C302:C307">
    <cfRule type="notContainsBlanks" dxfId="3" priority="12">
      <formula>LEN(TRIM(C302))&gt;0</formula>
    </cfRule>
    <cfRule type="notContainsBlanks" dxfId="3" priority="13">
      <formula>LEN(TRIM(C302))&gt;0</formula>
    </cfRule>
    <cfRule type="notContainsBlanks" dxfId="3" priority="14">
      <formula>LEN(TRIM(C302))&gt;0</formula>
    </cfRule>
    <cfRule type="notContainsBlanks" dxfId="3" priority="15">
      <formula>LEN(TRIM(C302))&gt;0</formula>
    </cfRule>
  </conditionalFormatting>
  <conditionalFormatting sqref="C308:C342">
    <cfRule type="notContainsBlanks" dxfId="3" priority="42">
      <formula>LEN(TRIM(C308))&gt;0</formula>
    </cfRule>
    <cfRule type="notContainsBlanks" dxfId="3" priority="43">
      <formula>LEN(TRIM(C308))&gt;0</formula>
    </cfRule>
  </conditionalFormatting>
  <conditionalFormatting sqref="C343:C352">
    <cfRule type="notContainsBlanks" dxfId="3" priority="7">
      <formula>LEN(TRIM(C343))&gt;0</formula>
    </cfRule>
    <cfRule type="notContainsBlanks" dxfId="3" priority="8">
      <formula>LEN(TRIM(C343))&gt;0</formula>
    </cfRule>
    <cfRule type="notContainsBlanks" dxfId="3" priority="9">
      <formula>LEN(TRIM(C343))&gt;0</formula>
    </cfRule>
    <cfRule type="notContainsBlanks" dxfId="3" priority="10">
      <formula>LEN(TRIM(C343))&gt;0</formula>
    </cfRule>
    <cfRule type="notContainsBlanks" dxfId="3" priority="11">
      <formula>LEN(TRIM(C343))&gt;0</formula>
    </cfRule>
  </conditionalFormatting>
  <conditionalFormatting sqref="C353:C379">
    <cfRule type="notContainsBlanks" dxfId="3" priority="39">
      <formula>LEN(TRIM(C353))&gt;0</formula>
    </cfRule>
    <cfRule type="notContainsBlanks" dxfId="3" priority="40">
      <formula>LEN(TRIM(C353))&gt;0</formula>
    </cfRule>
    <cfRule type="notContainsBlanks" dxfId="3" priority="41">
      <formula>LEN(TRIM(C353))&gt;0</formula>
    </cfRule>
  </conditionalFormatting>
  <conditionalFormatting sqref="C380:C389">
    <cfRule type="notContainsBlanks" dxfId="3" priority="1">
      <formula>LEN(TRIM(C380))&gt;0</formula>
    </cfRule>
    <cfRule type="notContainsBlanks" dxfId="3" priority="2">
      <formula>LEN(TRIM(C380))&gt;0</formula>
    </cfRule>
    <cfRule type="notContainsBlanks" dxfId="3" priority="3">
      <formula>LEN(TRIM(C380))&gt;0</formula>
    </cfRule>
    <cfRule type="notContainsBlanks" dxfId="3" priority="4">
      <formula>LEN(TRIM(C380))&gt;0</formula>
    </cfRule>
    <cfRule type="notContainsBlanks" dxfId="3" priority="5">
      <formula>LEN(TRIM(C380))&gt;0</formula>
    </cfRule>
    <cfRule type="notContainsBlanks" dxfId="3" priority="6">
      <formula>LEN(TRIM(C380))&gt;0</formula>
    </cfRule>
  </conditionalFormatting>
  <conditionalFormatting sqref="C390:C416">
    <cfRule type="notContainsBlanks" dxfId="3" priority="35">
      <formula>LEN(TRIM(C390))&gt;0</formula>
    </cfRule>
    <cfRule type="notContainsBlanks" dxfId="3" priority="36">
      <formula>LEN(TRIM(C390))&gt;0</formula>
    </cfRule>
    <cfRule type="notContainsBlanks" dxfId="3" priority="37">
      <formula>LEN(TRIM(C390))&gt;0</formula>
    </cfRule>
    <cfRule type="notContainsBlanks" dxfId="3" priority="38">
      <formula>LEN(TRIM(C390))&gt;0</formula>
    </cfRule>
  </conditionalFormatting>
  <conditionalFormatting sqref="X39:X51">
    <cfRule type="notContainsBlanks" dxfId="3" priority="62">
      <formula>LEN(TRIM(X39))&gt;0</formula>
    </cfRule>
  </conditionalFormatting>
  <conditionalFormatting sqref="X267:X279">
    <cfRule type="notContainsBlanks" dxfId="3" priority="69">
      <formula>LEN(TRIM(X267))&gt;0</formula>
    </cfRule>
  </conditionalFormatting>
  <conditionalFormatting sqref="AD39:AD51">
    <cfRule type="notContainsBlanks" dxfId="3" priority="61">
      <formula>LEN(TRIM(AD39))&gt;0</formula>
    </cfRule>
  </conditionalFormatting>
  <conditionalFormatting sqref="AD267:AD279">
    <cfRule type="notContainsBlanks" dxfId="3" priority="68">
      <formula>LEN(TRIM(AD267))&gt;0</formula>
    </cfRule>
  </conditionalFormatting>
  <conditionalFormatting sqref="D$1:E$1048576 L225:O225 A1:B228 A229:A231 A232:C1048576 AJ$1:XFD$1048576 AD225:AG225 AD227:AG227 X227:AA227 R226:U227 F226:O227 X225:AA225 C1:C188 C193:C228 AD213:AI214 AD209:AI210 AD197:AI198 AD194:AI194 J194:AC224 L1:AI193 F1:K225 F228:AI1048576">
    <cfRule type="notContainsBlanks" dxfId="3" priority="77">
      <formula>LEN(TRIM(A1))&gt;0</formula>
    </cfRule>
  </conditionalFormatting>
  <conditionalFormatting sqref="AD188:AD194 R226 X215:X224 AD227 AD225 X211:X212 AD213:AD214 AD209:AD210 X199:X208 X195:X196 AD197:AD198">
    <cfRule type="notContainsBlanks" dxfId="3" priority="67">
      <formula>LEN(TRIM(R188))&gt;0</formula>
    </cfRule>
  </conditionalFormatting>
  <conditionalFormatting sqref="P225:Q227">
    <cfRule type="notContainsBlanks" dxfId="3" priority="59">
      <formula>LEN(TRIM(P225))&gt;0</formula>
    </cfRule>
  </conditionalFormatting>
  <conditionalFormatting sqref="V225:W227">
    <cfRule type="notContainsBlanks" dxfId="3" priority="58">
      <formula>LEN(TRIM(V225))&gt;0</formula>
    </cfRule>
  </conditionalFormatting>
  <conditionalFormatting sqref="AB225:AC227">
    <cfRule type="notContainsBlanks" dxfId="3" priority="57">
      <formula>LEN(TRIM(AB225))&gt;0</formula>
    </cfRule>
  </conditionalFormatting>
  <conditionalFormatting sqref="AH225:AI227">
    <cfRule type="notContainsBlanks" dxfId="3" priority="56">
      <formula>LEN(TRIM(AH225))&gt;0</formula>
    </cfRule>
  </conditionalFormatting>
  <conditionalFormatting sqref="B229:B231 C229:C231">
    <cfRule type="notContainsBlanks" dxfId="3" priority="55">
      <formula>LEN(TRIM(B229))&gt;0</formula>
    </cfRule>
  </conditionalFormatting>
  <pageMargins left="0.75" right="0.75" top="1" bottom="1" header="0.511805555555556" footer="0.511805555555556"/>
  <headerFooter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L45"/>
  <sheetViews>
    <sheetView topLeftCell="C1" workbookViewId="0">
      <selection activeCell="H12" sqref="H12"/>
    </sheetView>
  </sheetViews>
  <sheetFormatPr defaultColWidth="8.79605263157895" defaultRowHeight="15.2"/>
  <cols>
    <col min="2" max="2" width="13.1973684210526" customWidth="1"/>
    <col min="4" max="4" width="11.0986842105263"/>
    <col min="5" max="5" width="18.2960526315789" customWidth="1"/>
    <col min="6" max="7" width="11.0986842105263"/>
    <col min="8" max="8" width="38.5986842105263" customWidth="1"/>
    <col min="12" max="12" width="13.2960526315789" customWidth="1"/>
  </cols>
  <sheetData>
    <row r="1" ht="16" spans="1:12">
      <c r="A1" s="41" t="s">
        <v>1103</v>
      </c>
      <c r="B1" s="41" t="s">
        <v>1104</v>
      </c>
      <c r="C1" s="41" t="s">
        <v>1105</v>
      </c>
      <c r="D1" s="41" t="s">
        <v>1106</v>
      </c>
      <c r="E1" s="41" t="s">
        <v>1107</v>
      </c>
      <c r="F1" s="41" t="s">
        <v>1108</v>
      </c>
      <c r="G1" s="41" t="s">
        <v>1109</v>
      </c>
      <c r="H1" s="41" t="s">
        <v>35</v>
      </c>
      <c r="I1" s="41" t="s">
        <v>1110</v>
      </c>
      <c r="J1" s="41" t="s">
        <v>1111</v>
      </c>
      <c r="K1" s="41" t="s">
        <v>26</v>
      </c>
      <c r="L1" s="41" t="s">
        <v>1112</v>
      </c>
    </row>
    <row r="2" ht="16" spans="1:12">
      <c r="A2" s="41" t="s">
        <v>40</v>
      </c>
      <c r="B2" s="41" t="s">
        <v>40</v>
      </c>
      <c r="C2" s="41" t="s">
        <v>41</v>
      </c>
      <c r="D2" s="41" t="s">
        <v>40</v>
      </c>
      <c r="E2" s="41" t="s">
        <v>40</v>
      </c>
      <c r="F2" s="41" t="s">
        <v>40</v>
      </c>
      <c r="G2" s="41" t="s">
        <v>40</v>
      </c>
      <c r="H2" s="42" t="s">
        <v>41</v>
      </c>
      <c r="I2" s="41" t="s">
        <v>40</v>
      </c>
      <c r="J2" s="41" t="s">
        <v>40</v>
      </c>
      <c r="K2" s="41" t="s">
        <v>40</v>
      </c>
      <c r="L2" s="41" t="s">
        <v>40</v>
      </c>
    </row>
    <row r="3" ht="16" spans="1:12">
      <c r="A3" s="41" t="s">
        <v>1113</v>
      </c>
      <c r="B3" s="41" t="s">
        <v>1093</v>
      </c>
      <c r="C3" s="41" t="s">
        <v>1114</v>
      </c>
      <c r="D3" s="41" t="s">
        <v>1115</v>
      </c>
      <c r="E3" s="41" t="s">
        <v>1116</v>
      </c>
      <c r="F3" s="41" t="s">
        <v>1116</v>
      </c>
      <c r="G3" s="42" t="s">
        <v>1117</v>
      </c>
      <c r="H3" s="42" t="s">
        <v>1118</v>
      </c>
      <c r="I3" s="41" t="s">
        <v>1119</v>
      </c>
      <c r="J3" s="41" t="s">
        <v>1120</v>
      </c>
      <c r="K3" s="41" t="s">
        <v>1033</v>
      </c>
      <c r="L3" s="41" t="s">
        <v>1120</v>
      </c>
    </row>
    <row r="4" spans="1:12">
      <c r="A4" s="41">
        <v>64301</v>
      </c>
      <c r="B4" s="41">
        <v>44411</v>
      </c>
      <c r="C4" s="41">
        <v>1</v>
      </c>
      <c r="D4" s="41">
        <v>2</v>
      </c>
      <c r="E4" s="41">
        <v>4</v>
      </c>
      <c r="F4" s="41">
        <v>60</v>
      </c>
      <c r="G4" s="41">
        <v>1</v>
      </c>
      <c r="H4" s="42" t="s">
        <v>1121</v>
      </c>
      <c r="I4" s="41">
        <v>11004</v>
      </c>
      <c r="J4" s="41">
        <v>1</v>
      </c>
      <c r="K4" s="41">
        <v>101</v>
      </c>
      <c r="L4" s="41">
        <v>100</v>
      </c>
    </row>
    <row r="5" spans="1:12">
      <c r="A5" s="41">
        <v>64302</v>
      </c>
      <c r="B5" s="41">
        <v>44411</v>
      </c>
      <c r="C5" s="41">
        <v>2</v>
      </c>
      <c r="D5" s="41">
        <v>2</v>
      </c>
      <c r="E5" s="41">
        <v>4</v>
      </c>
      <c r="F5" s="41">
        <v>60</v>
      </c>
      <c r="G5" s="41">
        <v>1</v>
      </c>
      <c r="H5" s="42" t="s">
        <v>1121</v>
      </c>
      <c r="I5" s="41">
        <v>11003</v>
      </c>
      <c r="J5" s="41">
        <v>2</v>
      </c>
      <c r="K5" s="41">
        <v>101</v>
      </c>
      <c r="L5" s="41">
        <v>100</v>
      </c>
    </row>
    <row r="6" spans="1:12">
      <c r="A6" s="41">
        <v>64303</v>
      </c>
      <c r="B6" s="41">
        <v>44411</v>
      </c>
      <c r="C6" s="41">
        <v>3</v>
      </c>
      <c r="D6" s="41">
        <v>2</v>
      </c>
      <c r="E6" s="41">
        <v>4</v>
      </c>
      <c r="F6" s="41">
        <v>60</v>
      </c>
      <c r="G6" s="41">
        <v>2</v>
      </c>
      <c r="H6" s="42" t="s">
        <v>1122</v>
      </c>
      <c r="I6" s="41"/>
      <c r="J6" s="41">
        <v>30</v>
      </c>
      <c r="K6" s="41">
        <v>101</v>
      </c>
      <c r="L6" s="41">
        <v>100</v>
      </c>
    </row>
    <row r="7" spans="1:12">
      <c r="A7" s="41">
        <v>64304</v>
      </c>
      <c r="B7" s="41">
        <v>44411</v>
      </c>
      <c r="C7" s="41">
        <v>4</v>
      </c>
      <c r="D7" s="41">
        <v>2</v>
      </c>
      <c r="E7" s="41">
        <v>4</v>
      </c>
      <c r="F7" s="41">
        <v>60</v>
      </c>
      <c r="G7" s="41">
        <v>3</v>
      </c>
      <c r="H7" s="42" t="s">
        <v>1123</v>
      </c>
      <c r="I7" s="41"/>
      <c r="J7" s="41">
        <v>180</v>
      </c>
      <c r="K7" s="41">
        <v>101</v>
      </c>
      <c r="L7" s="41">
        <v>100</v>
      </c>
    </row>
    <row r="8" spans="1:12">
      <c r="A8" s="41">
        <v>64305</v>
      </c>
      <c r="B8" s="41">
        <v>44411</v>
      </c>
      <c r="C8" s="41">
        <v>5</v>
      </c>
      <c r="D8" s="41">
        <v>2</v>
      </c>
      <c r="E8" s="41">
        <v>4</v>
      </c>
      <c r="F8" s="41">
        <v>60</v>
      </c>
      <c r="G8" s="41">
        <v>2</v>
      </c>
      <c r="H8" s="42" t="s">
        <v>1122</v>
      </c>
      <c r="I8" s="41"/>
      <c r="J8" s="41">
        <v>30</v>
      </c>
      <c r="K8" s="41">
        <v>101</v>
      </c>
      <c r="L8" s="41">
        <v>100</v>
      </c>
    </row>
    <row r="9" spans="1:12">
      <c r="A9" s="41">
        <v>64306</v>
      </c>
      <c r="B9" s="41">
        <v>44411</v>
      </c>
      <c r="C9" s="41">
        <v>6</v>
      </c>
      <c r="D9" s="41">
        <v>2</v>
      </c>
      <c r="E9" s="41">
        <v>4</v>
      </c>
      <c r="F9" s="41">
        <v>60</v>
      </c>
      <c r="G9" s="41">
        <v>1</v>
      </c>
      <c r="H9" s="42" t="s">
        <v>1121</v>
      </c>
      <c r="I9" s="41">
        <v>11003</v>
      </c>
      <c r="J9" s="41">
        <v>1</v>
      </c>
      <c r="K9" s="41">
        <v>101</v>
      </c>
      <c r="L9" s="41">
        <v>100</v>
      </c>
    </row>
    <row r="10" spans="1:12">
      <c r="A10" s="41">
        <v>64307</v>
      </c>
      <c r="B10" s="41">
        <v>44411</v>
      </c>
      <c r="C10" s="41">
        <v>7</v>
      </c>
      <c r="D10" s="41">
        <v>2</v>
      </c>
      <c r="E10" s="41">
        <v>4</v>
      </c>
      <c r="F10" s="41">
        <v>60</v>
      </c>
      <c r="G10" s="41">
        <v>2</v>
      </c>
      <c r="H10" s="42" t="s">
        <v>1122</v>
      </c>
      <c r="I10" s="41"/>
      <c r="J10" s="41">
        <v>30</v>
      </c>
      <c r="K10" s="41">
        <v>101</v>
      </c>
      <c r="L10" s="41">
        <v>100</v>
      </c>
    </row>
    <row r="11" spans="1:12">
      <c r="A11" s="41">
        <v>64308</v>
      </c>
      <c r="B11" s="41">
        <v>44411</v>
      </c>
      <c r="C11" s="41">
        <v>8</v>
      </c>
      <c r="D11" s="41">
        <v>2</v>
      </c>
      <c r="E11" s="41">
        <v>4</v>
      </c>
      <c r="F11" s="41">
        <v>60</v>
      </c>
      <c r="G11" s="41">
        <v>1</v>
      </c>
      <c r="H11" s="42" t="s">
        <v>1121</v>
      </c>
      <c r="I11" s="41">
        <v>11003</v>
      </c>
      <c r="J11" s="41">
        <v>1</v>
      </c>
      <c r="K11" s="41">
        <v>101</v>
      </c>
      <c r="L11" s="41">
        <v>100</v>
      </c>
    </row>
    <row r="12" spans="1:12">
      <c r="A12" s="41">
        <v>64401</v>
      </c>
      <c r="B12" s="41">
        <v>44412</v>
      </c>
      <c r="C12" s="41">
        <v>1</v>
      </c>
      <c r="D12" s="41">
        <v>2</v>
      </c>
      <c r="E12" s="41">
        <v>4</v>
      </c>
      <c r="F12" s="41">
        <v>60</v>
      </c>
      <c r="G12" s="41">
        <v>1</v>
      </c>
      <c r="H12" s="42" t="s">
        <v>1121</v>
      </c>
      <c r="I12" s="41"/>
      <c r="J12" s="41">
        <v>1</v>
      </c>
      <c r="K12" s="41">
        <v>101</v>
      </c>
      <c r="L12" s="41">
        <v>100</v>
      </c>
    </row>
    <row r="13" spans="1:12">
      <c r="A13" s="41">
        <v>64402</v>
      </c>
      <c r="B13" s="41">
        <v>44412</v>
      </c>
      <c r="C13" s="41">
        <v>2</v>
      </c>
      <c r="D13" s="41">
        <v>2</v>
      </c>
      <c r="E13" s="41">
        <v>4</v>
      </c>
      <c r="F13" s="41">
        <v>60</v>
      </c>
      <c r="G13" s="41">
        <v>1</v>
      </c>
      <c r="H13" s="42" t="s">
        <v>1121</v>
      </c>
      <c r="I13" s="41">
        <v>11003</v>
      </c>
      <c r="J13" s="41">
        <v>2</v>
      </c>
      <c r="K13" s="41">
        <v>101</v>
      </c>
      <c r="L13" s="41">
        <v>100</v>
      </c>
    </row>
    <row r="14" spans="1:12">
      <c r="A14" s="41">
        <v>64403</v>
      </c>
      <c r="B14" s="41">
        <v>44412</v>
      </c>
      <c r="C14" s="41">
        <v>3</v>
      </c>
      <c r="D14" s="41">
        <v>2</v>
      </c>
      <c r="E14" s="41">
        <v>4</v>
      </c>
      <c r="F14" s="41">
        <v>60</v>
      </c>
      <c r="G14" s="41">
        <v>2</v>
      </c>
      <c r="H14" s="42" t="s">
        <v>1122</v>
      </c>
      <c r="I14" s="41"/>
      <c r="J14" s="41">
        <v>30</v>
      </c>
      <c r="K14" s="41">
        <v>101</v>
      </c>
      <c r="L14" s="41">
        <v>100</v>
      </c>
    </row>
    <row r="15" spans="1:12">
      <c r="A15" s="41">
        <v>64404</v>
      </c>
      <c r="B15" s="41">
        <v>44412</v>
      </c>
      <c r="C15" s="41">
        <v>4</v>
      </c>
      <c r="D15" s="41">
        <v>2</v>
      </c>
      <c r="E15" s="41">
        <v>4</v>
      </c>
      <c r="F15" s="41">
        <v>60</v>
      </c>
      <c r="G15" s="41">
        <v>3</v>
      </c>
      <c r="H15" s="42" t="s">
        <v>1123</v>
      </c>
      <c r="I15" s="41"/>
      <c r="J15" s="41">
        <v>200</v>
      </c>
      <c r="K15" s="41">
        <v>101</v>
      </c>
      <c r="L15" s="41">
        <v>100</v>
      </c>
    </row>
    <row r="16" spans="1:12">
      <c r="A16" s="41">
        <v>64405</v>
      </c>
      <c r="B16" s="41">
        <v>44412</v>
      </c>
      <c r="C16" s="41">
        <v>5</v>
      </c>
      <c r="D16" s="41">
        <v>2</v>
      </c>
      <c r="E16" s="41">
        <v>4</v>
      </c>
      <c r="F16" s="41">
        <v>60</v>
      </c>
      <c r="G16" s="41">
        <v>2</v>
      </c>
      <c r="H16" s="42" t="s">
        <v>1122</v>
      </c>
      <c r="I16" s="41"/>
      <c r="J16" s="41">
        <v>32</v>
      </c>
      <c r="K16" s="41">
        <v>101</v>
      </c>
      <c r="L16" s="41">
        <v>100</v>
      </c>
    </row>
    <row r="17" spans="1:12">
      <c r="A17" s="41">
        <v>64406</v>
      </c>
      <c r="B17" s="41">
        <v>44412</v>
      </c>
      <c r="C17" s="41">
        <v>6</v>
      </c>
      <c r="D17" s="41">
        <v>2</v>
      </c>
      <c r="E17" s="41">
        <v>4</v>
      </c>
      <c r="F17" s="41">
        <v>60</v>
      </c>
      <c r="G17" s="41">
        <v>1</v>
      </c>
      <c r="H17" s="42" t="s">
        <v>1121</v>
      </c>
      <c r="I17" s="41">
        <v>11003</v>
      </c>
      <c r="J17" s="41">
        <v>1</v>
      </c>
      <c r="K17" s="41">
        <v>101</v>
      </c>
      <c r="L17" s="41">
        <v>100</v>
      </c>
    </row>
    <row r="18" spans="1:12">
      <c r="A18" s="41">
        <v>64407</v>
      </c>
      <c r="B18" s="41">
        <v>44412</v>
      </c>
      <c r="C18" s="41">
        <v>7</v>
      </c>
      <c r="D18" s="41">
        <v>2</v>
      </c>
      <c r="E18" s="41">
        <v>4</v>
      </c>
      <c r="F18" s="41">
        <v>60</v>
      </c>
      <c r="G18" s="41">
        <v>2</v>
      </c>
      <c r="H18" s="42" t="s">
        <v>1122</v>
      </c>
      <c r="I18" s="41"/>
      <c r="J18" s="41">
        <v>32</v>
      </c>
      <c r="K18" s="41">
        <v>101</v>
      </c>
      <c r="L18" s="41">
        <v>100</v>
      </c>
    </row>
    <row r="19" spans="1:12">
      <c r="A19" s="41">
        <v>64408</v>
      </c>
      <c r="B19" s="41">
        <v>44412</v>
      </c>
      <c r="C19" s="41">
        <v>8</v>
      </c>
      <c r="D19" s="41">
        <v>2</v>
      </c>
      <c r="E19" s="41">
        <v>4</v>
      </c>
      <c r="F19" s="41">
        <v>60</v>
      </c>
      <c r="G19" s="41">
        <v>1</v>
      </c>
      <c r="H19" s="42" t="s">
        <v>1121</v>
      </c>
      <c r="I19" s="41">
        <v>11003</v>
      </c>
      <c r="J19" s="41">
        <v>1</v>
      </c>
      <c r="K19" s="41">
        <v>101</v>
      </c>
      <c r="L19" s="41">
        <v>100</v>
      </c>
    </row>
    <row r="20" spans="1:12">
      <c r="A20" s="41">
        <v>64501</v>
      </c>
      <c r="B20" s="41">
        <v>44413</v>
      </c>
      <c r="C20" s="41">
        <v>1</v>
      </c>
      <c r="D20" s="41">
        <v>2</v>
      </c>
      <c r="E20" s="41">
        <v>4</v>
      </c>
      <c r="F20" s="41">
        <v>60</v>
      </c>
      <c r="G20" s="41">
        <v>1</v>
      </c>
      <c r="H20" s="42" t="s">
        <v>1121</v>
      </c>
      <c r="I20" s="41">
        <v>11003</v>
      </c>
      <c r="J20" s="41">
        <v>1</v>
      </c>
      <c r="K20" s="41">
        <v>101</v>
      </c>
      <c r="L20" s="41">
        <v>100</v>
      </c>
    </row>
    <row r="21" spans="1:12">
      <c r="A21" s="41">
        <v>64502</v>
      </c>
      <c r="B21" s="41">
        <v>44413</v>
      </c>
      <c r="C21" s="41">
        <v>2</v>
      </c>
      <c r="D21" s="41">
        <v>2</v>
      </c>
      <c r="E21" s="41">
        <v>4</v>
      </c>
      <c r="F21" s="41">
        <v>60</v>
      </c>
      <c r="G21" s="41">
        <v>1</v>
      </c>
      <c r="H21" s="42" t="s">
        <v>1121</v>
      </c>
      <c r="I21" s="41">
        <v>11003</v>
      </c>
      <c r="J21" s="41">
        <v>2</v>
      </c>
      <c r="K21" s="41">
        <v>101</v>
      </c>
      <c r="L21" s="41">
        <v>100</v>
      </c>
    </row>
    <row r="22" spans="1:12">
      <c r="A22" s="41">
        <v>64503</v>
      </c>
      <c r="B22" s="41">
        <v>44413</v>
      </c>
      <c r="C22" s="41">
        <v>3</v>
      </c>
      <c r="D22" s="41">
        <v>2</v>
      </c>
      <c r="E22" s="41">
        <v>4</v>
      </c>
      <c r="F22" s="41">
        <v>60</v>
      </c>
      <c r="G22" s="41">
        <v>2</v>
      </c>
      <c r="H22" s="42" t="s">
        <v>1122</v>
      </c>
      <c r="I22" s="41"/>
      <c r="J22" s="41">
        <v>30</v>
      </c>
      <c r="K22" s="41">
        <v>101</v>
      </c>
      <c r="L22" s="41">
        <v>100</v>
      </c>
    </row>
    <row r="23" spans="1:12">
      <c r="A23" s="41">
        <v>64504</v>
      </c>
      <c r="B23" s="41">
        <v>44413</v>
      </c>
      <c r="C23" s="41">
        <v>4</v>
      </c>
      <c r="D23" s="41">
        <v>2</v>
      </c>
      <c r="E23" s="41">
        <v>4</v>
      </c>
      <c r="F23" s="41">
        <v>60</v>
      </c>
      <c r="G23" s="41">
        <v>3</v>
      </c>
      <c r="H23" s="42" t="s">
        <v>1123</v>
      </c>
      <c r="I23" s="41"/>
      <c r="J23" s="41">
        <v>300</v>
      </c>
      <c r="K23" s="41">
        <v>101</v>
      </c>
      <c r="L23" s="41">
        <v>100</v>
      </c>
    </row>
    <row r="24" spans="1:12">
      <c r="A24" s="41">
        <v>64505</v>
      </c>
      <c r="B24" s="41">
        <v>44413</v>
      </c>
      <c r="C24" s="41">
        <v>5</v>
      </c>
      <c r="D24" s="41">
        <v>2</v>
      </c>
      <c r="E24" s="41">
        <v>4</v>
      </c>
      <c r="F24" s="41">
        <v>60</v>
      </c>
      <c r="G24" s="41">
        <v>2</v>
      </c>
      <c r="H24" s="42" t="s">
        <v>1122</v>
      </c>
      <c r="I24" s="41"/>
      <c r="J24" s="41">
        <v>36</v>
      </c>
      <c r="K24" s="41">
        <v>101</v>
      </c>
      <c r="L24" s="41">
        <v>100</v>
      </c>
    </row>
    <row r="25" spans="1:12">
      <c r="A25" s="41">
        <v>64506</v>
      </c>
      <c r="B25" s="41">
        <v>44413</v>
      </c>
      <c r="C25" s="41">
        <v>6</v>
      </c>
      <c r="D25" s="41">
        <v>2</v>
      </c>
      <c r="E25" s="41">
        <v>4</v>
      </c>
      <c r="F25" s="41">
        <v>60</v>
      </c>
      <c r="G25" s="41">
        <v>1</v>
      </c>
      <c r="H25" s="42" t="s">
        <v>1121</v>
      </c>
      <c r="I25" s="41"/>
      <c r="J25" s="41">
        <v>2</v>
      </c>
      <c r="K25" s="41">
        <v>101</v>
      </c>
      <c r="L25" s="41">
        <v>100</v>
      </c>
    </row>
    <row r="26" spans="1:12">
      <c r="A26" s="41">
        <v>64507</v>
      </c>
      <c r="B26" s="41">
        <v>44413</v>
      </c>
      <c r="C26" s="41">
        <v>7</v>
      </c>
      <c r="D26" s="41">
        <v>2</v>
      </c>
      <c r="E26" s="41">
        <v>4</v>
      </c>
      <c r="F26" s="41">
        <v>60</v>
      </c>
      <c r="G26" s="41">
        <v>2</v>
      </c>
      <c r="H26" s="42" t="s">
        <v>1122</v>
      </c>
      <c r="I26" s="41"/>
      <c r="J26" s="41">
        <v>36</v>
      </c>
      <c r="K26" s="41">
        <v>101</v>
      </c>
      <c r="L26" s="41">
        <v>100</v>
      </c>
    </row>
    <row r="27" spans="1:12">
      <c r="A27" s="41">
        <v>64508</v>
      </c>
      <c r="B27" s="41">
        <v>44413</v>
      </c>
      <c r="C27" s="41">
        <v>8</v>
      </c>
      <c r="D27" s="41">
        <v>2</v>
      </c>
      <c r="E27" s="41">
        <v>4</v>
      </c>
      <c r="F27" s="41">
        <v>60</v>
      </c>
      <c r="G27" s="41">
        <v>1</v>
      </c>
      <c r="H27" s="42" t="s">
        <v>1121</v>
      </c>
      <c r="I27" s="41">
        <v>11003</v>
      </c>
      <c r="J27" s="41">
        <v>1</v>
      </c>
      <c r="K27" s="41">
        <v>101</v>
      </c>
      <c r="L27" s="41">
        <v>100</v>
      </c>
    </row>
    <row r="28" spans="1:12">
      <c r="A28" s="41">
        <v>64601</v>
      </c>
      <c r="B28" s="41">
        <v>44414</v>
      </c>
      <c r="C28" s="41">
        <v>1</v>
      </c>
      <c r="D28" s="41">
        <v>2</v>
      </c>
      <c r="E28" s="41">
        <v>4</v>
      </c>
      <c r="F28" s="41">
        <v>60</v>
      </c>
      <c r="G28" s="41">
        <v>1</v>
      </c>
      <c r="H28" s="42" t="s">
        <v>1121</v>
      </c>
      <c r="I28" s="41">
        <v>11003</v>
      </c>
      <c r="J28" s="41">
        <v>1</v>
      </c>
      <c r="K28" s="41">
        <v>101</v>
      </c>
      <c r="L28" s="41">
        <v>100</v>
      </c>
    </row>
    <row r="29" spans="1:12">
      <c r="A29" s="41">
        <v>64602</v>
      </c>
      <c r="B29" s="41">
        <v>44414</v>
      </c>
      <c r="C29" s="41">
        <v>2</v>
      </c>
      <c r="D29" s="41">
        <v>2</v>
      </c>
      <c r="E29" s="41">
        <v>4</v>
      </c>
      <c r="F29" s="41">
        <v>60</v>
      </c>
      <c r="G29" s="41">
        <v>1</v>
      </c>
      <c r="H29" s="42" t="s">
        <v>1121</v>
      </c>
      <c r="I29" s="41">
        <v>11003</v>
      </c>
      <c r="J29" s="41">
        <v>2</v>
      </c>
      <c r="K29" s="41">
        <v>101</v>
      </c>
      <c r="L29" s="41">
        <v>100</v>
      </c>
    </row>
    <row r="30" spans="1:12">
      <c r="A30" s="41">
        <v>64603</v>
      </c>
      <c r="B30" s="41">
        <v>44414</v>
      </c>
      <c r="C30" s="41">
        <v>3</v>
      </c>
      <c r="D30" s="41">
        <v>2</v>
      </c>
      <c r="E30" s="41">
        <v>4</v>
      </c>
      <c r="F30" s="41">
        <v>60</v>
      </c>
      <c r="G30" s="41">
        <v>2</v>
      </c>
      <c r="H30" s="42" t="s">
        <v>1122</v>
      </c>
      <c r="I30" s="41"/>
      <c r="J30" s="41">
        <v>30</v>
      </c>
      <c r="K30" s="41">
        <v>101</v>
      </c>
      <c r="L30" s="41">
        <v>100</v>
      </c>
    </row>
    <row r="31" spans="1:12">
      <c r="A31" s="41">
        <v>64604</v>
      </c>
      <c r="B31" s="41">
        <v>44414</v>
      </c>
      <c r="C31" s="41">
        <v>4</v>
      </c>
      <c r="D31" s="41">
        <v>2</v>
      </c>
      <c r="E31" s="41">
        <v>4</v>
      </c>
      <c r="F31" s="41">
        <v>60</v>
      </c>
      <c r="G31" s="41">
        <v>3</v>
      </c>
      <c r="H31" s="42" t="s">
        <v>1123</v>
      </c>
      <c r="I31" s="41"/>
      <c r="J31" s="41">
        <v>400</v>
      </c>
      <c r="K31" s="41">
        <v>101</v>
      </c>
      <c r="L31" s="41">
        <v>100</v>
      </c>
    </row>
    <row r="32" spans="1:12">
      <c r="A32" s="41">
        <v>64605</v>
      </c>
      <c r="B32" s="41">
        <v>44414</v>
      </c>
      <c r="C32" s="41">
        <v>5</v>
      </c>
      <c r="D32" s="41">
        <v>2</v>
      </c>
      <c r="E32" s="41">
        <v>4</v>
      </c>
      <c r="F32" s="41">
        <v>60</v>
      </c>
      <c r="G32" s="41">
        <v>2</v>
      </c>
      <c r="H32" s="42" t="s">
        <v>1122</v>
      </c>
      <c r="I32" s="41"/>
      <c r="J32" s="41">
        <v>40</v>
      </c>
      <c r="K32" s="41">
        <v>101</v>
      </c>
      <c r="L32" s="41">
        <v>100</v>
      </c>
    </row>
    <row r="33" spans="1:12">
      <c r="A33" s="41">
        <v>64606</v>
      </c>
      <c r="B33" s="41">
        <v>44414</v>
      </c>
      <c r="C33" s="41">
        <v>6</v>
      </c>
      <c r="D33" s="41">
        <v>2</v>
      </c>
      <c r="E33" s="41">
        <v>4</v>
      </c>
      <c r="F33" s="41">
        <v>60</v>
      </c>
      <c r="G33" s="41">
        <v>1</v>
      </c>
      <c r="H33" s="42" t="s">
        <v>1121</v>
      </c>
      <c r="I33" s="41">
        <v>11003</v>
      </c>
      <c r="J33" s="41">
        <v>1</v>
      </c>
      <c r="K33" s="41">
        <v>101</v>
      </c>
      <c r="L33" s="41">
        <v>100</v>
      </c>
    </row>
    <row r="34" spans="1:12">
      <c r="A34" s="41">
        <v>64607</v>
      </c>
      <c r="B34" s="41">
        <v>44414</v>
      </c>
      <c r="C34" s="41">
        <v>7</v>
      </c>
      <c r="D34" s="41">
        <v>2</v>
      </c>
      <c r="E34" s="41">
        <v>4</v>
      </c>
      <c r="F34" s="41">
        <v>60</v>
      </c>
      <c r="G34" s="41">
        <v>2</v>
      </c>
      <c r="H34" s="42" t="s">
        <v>1122</v>
      </c>
      <c r="I34" s="41"/>
      <c r="J34" s="41">
        <v>40</v>
      </c>
      <c r="K34" s="41">
        <v>101</v>
      </c>
      <c r="L34" s="41">
        <v>100</v>
      </c>
    </row>
    <row r="35" spans="1:12">
      <c r="A35" s="41">
        <v>64608</v>
      </c>
      <c r="B35" s="41">
        <v>44414</v>
      </c>
      <c r="C35" s="41">
        <v>8</v>
      </c>
      <c r="D35" s="41">
        <v>2</v>
      </c>
      <c r="E35" s="41">
        <v>4</v>
      </c>
      <c r="F35" s="41">
        <v>60</v>
      </c>
      <c r="G35" s="41">
        <v>1</v>
      </c>
      <c r="H35" s="42" t="s">
        <v>1121</v>
      </c>
      <c r="I35" s="41">
        <v>11003</v>
      </c>
      <c r="J35" s="41">
        <v>1</v>
      </c>
      <c r="K35" s="41">
        <v>101</v>
      </c>
      <c r="L35" s="41">
        <v>100</v>
      </c>
    </row>
    <row r="36" spans="1:12">
      <c r="A36" s="41">
        <v>64609</v>
      </c>
      <c r="B36" s="41">
        <v>44414</v>
      </c>
      <c r="C36" s="41">
        <v>9</v>
      </c>
      <c r="D36" s="41">
        <v>2</v>
      </c>
      <c r="E36" s="41">
        <v>4</v>
      </c>
      <c r="F36" s="41">
        <v>60</v>
      </c>
      <c r="G36" s="41">
        <v>3</v>
      </c>
      <c r="H36" s="42" t="s">
        <v>1123</v>
      </c>
      <c r="I36" s="41"/>
      <c r="J36" s="41">
        <v>500</v>
      </c>
      <c r="K36" s="41">
        <v>101</v>
      </c>
      <c r="L36" s="41">
        <v>100</v>
      </c>
    </row>
    <row r="37" spans="1:12">
      <c r="A37" s="41">
        <v>64701</v>
      </c>
      <c r="B37" s="41">
        <v>44415</v>
      </c>
      <c r="C37" s="41">
        <v>1</v>
      </c>
      <c r="D37" s="41">
        <v>2</v>
      </c>
      <c r="E37" s="41">
        <v>4</v>
      </c>
      <c r="F37" s="41">
        <v>60</v>
      </c>
      <c r="G37" s="41">
        <v>1</v>
      </c>
      <c r="H37" s="42" t="s">
        <v>1121</v>
      </c>
      <c r="I37" s="41">
        <v>11003</v>
      </c>
      <c r="J37" s="41">
        <v>1</v>
      </c>
      <c r="K37" s="41">
        <v>101</v>
      </c>
      <c r="L37" s="41">
        <v>100</v>
      </c>
    </row>
    <row r="38" spans="1:12">
      <c r="A38" s="41">
        <v>64702</v>
      </c>
      <c r="B38" s="41">
        <v>44415</v>
      </c>
      <c r="C38" s="41">
        <v>2</v>
      </c>
      <c r="D38" s="41">
        <v>2</v>
      </c>
      <c r="E38" s="41">
        <v>4</v>
      </c>
      <c r="F38" s="41">
        <v>60</v>
      </c>
      <c r="G38" s="41">
        <v>1</v>
      </c>
      <c r="H38" s="42" t="s">
        <v>1121</v>
      </c>
      <c r="I38" s="41">
        <v>11003</v>
      </c>
      <c r="J38" s="41">
        <v>2</v>
      </c>
      <c r="K38" s="41">
        <v>101</v>
      </c>
      <c r="L38" s="41">
        <v>100</v>
      </c>
    </row>
    <row r="39" spans="1:12">
      <c r="A39" s="41">
        <v>64703</v>
      </c>
      <c r="B39" s="41">
        <v>44415</v>
      </c>
      <c r="C39" s="41">
        <v>3</v>
      </c>
      <c r="D39" s="41">
        <v>2</v>
      </c>
      <c r="E39" s="41">
        <v>4</v>
      </c>
      <c r="F39" s="41">
        <v>60</v>
      </c>
      <c r="G39" s="41">
        <v>2</v>
      </c>
      <c r="H39" s="42" t="s">
        <v>1122</v>
      </c>
      <c r="I39" s="41"/>
      <c r="J39" s="41">
        <v>30</v>
      </c>
      <c r="K39" s="41">
        <v>101</v>
      </c>
      <c r="L39" s="41">
        <v>100</v>
      </c>
    </row>
    <row r="40" spans="1:12">
      <c r="A40" s="41">
        <v>64704</v>
      </c>
      <c r="B40" s="41">
        <v>44415</v>
      </c>
      <c r="C40" s="41">
        <v>4</v>
      </c>
      <c r="D40" s="41">
        <v>2</v>
      </c>
      <c r="E40" s="41">
        <v>4</v>
      </c>
      <c r="F40" s="41">
        <v>60</v>
      </c>
      <c r="G40" s="41">
        <v>3</v>
      </c>
      <c r="H40" s="42" t="s">
        <v>1123</v>
      </c>
      <c r="I40" s="41"/>
      <c r="J40" s="41">
        <v>420</v>
      </c>
      <c r="K40" s="41">
        <v>101</v>
      </c>
      <c r="L40" s="41">
        <v>100</v>
      </c>
    </row>
    <row r="41" spans="1:12">
      <c r="A41" s="41">
        <v>64705</v>
      </c>
      <c r="B41" s="41">
        <v>44415</v>
      </c>
      <c r="C41" s="41">
        <v>5</v>
      </c>
      <c r="D41" s="41">
        <v>2</v>
      </c>
      <c r="E41" s="41">
        <v>4</v>
      </c>
      <c r="F41" s="41">
        <v>60</v>
      </c>
      <c r="G41" s="41">
        <v>2</v>
      </c>
      <c r="H41" s="42" t="s">
        <v>1122</v>
      </c>
      <c r="I41" s="41"/>
      <c r="J41" s="41">
        <v>40</v>
      </c>
      <c r="K41" s="41">
        <v>101</v>
      </c>
      <c r="L41" s="41">
        <v>100</v>
      </c>
    </row>
    <row r="42" spans="1:12">
      <c r="A42" s="41">
        <v>64706</v>
      </c>
      <c r="B42" s="41">
        <v>44415</v>
      </c>
      <c r="C42" s="41">
        <v>6</v>
      </c>
      <c r="D42" s="41">
        <v>2</v>
      </c>
      <c r="E42" s="41">
        <v>4</v>
      </c>
      <c r="F42" s="41">
        <v>60</v>
      </c>
      <c r="G42" s="41">
        <v>1</v>
      </c>
      <c r="H42" s="42" t="s">
        <v>1121</v>
      </c>
      <c r="I42" s="41">
        <v>11003</v>
      </c>
      <c r="J42" s="41">
        <v>1</v>
      </c>
      <c r="K42" s="41">
        <v>101</v>
      </c>
      <c r="L42" s="41">
        <v>100</v>
      </c>
    </row>
    <row r="43" spans="1:12">
      <c r="A43" s="41">
        <v>64707</v>
      </c>
      <c r="B43" s="41">
        <v>44415</v>
      </c>
      <c r="C43" s="41">
        <v>7</v>
      </c>
      <c r="D43" s="41">
        <v>2</v>
      </c>
      <c r="E43" s="41">
        <v>4</v>
      </c>
      <c r="F43" s="41">
        <v>60</v>
      </c>
      <c r="G43" s="41">
        <v>2</v>
      </c>
      <c r="H43" s="42" t="s">
        <v>1122</v>
      </c>
      <c r="I43" s="41"/>
      <c r="J43" s="41">
        <v>40</v>
      </c>
      <c r="K43" s="41">
        <v>101</v>
      </c>
      <c r="L43" s="41">
        <v>100</v>
      </c>
    </row>
    <row r="44" spans="1:12">
      <c r="A44" s="41">
        <v>64708</v>
      </c>
      <c r="B44" s="41">
        <v>44415</v>
      </c>
      <c r="C44" s="41">
        <v>8</v>
      </c>
      <c r="D44" s="41">
        <v>2</v>
      </c>
      <c r="E44" s="41">
        <v>4</v>
      </c>
      <c r="F44" s="41">
        <v>60</v>
      </c>
      <c r="G44" s="41">
        <v>1</v>
      </c>
      <c r="H44" s="42" t="s">
        <v>1121</v>
      </c>
      <c r="I44" s="41">
        <v>11003</v>
      </c>
      <c r="J44" s="41">
        <v>1</v>
      </c>
      <c r="K44" s="41">
        <v>101</v>
      </c>
      <c r="L44" s="41">
        <v>100</v>
      </c>
    </row>
    <row r="45" spans="1:12">
      <c r="A45" s="41">
        <v>64709</v>
      </c>
      <c r="B45" s="41">
        <v>44415</v>
      </c>
      <c r="C45" s="41">
        <v>9</v>
      </c>
      <c r="D45" s="41">
        <v>2</v>
      </c>
      <c r="E45" s="41">
        <v>4</v>
      </c>
      <c r="F45" s="41">
        <v>60</v>
      </c>
      <c r="G45" s="41">
        <v>3</v>
      </c>
      <c r="H45" s="42" t="s">
        <v>1123</v>
      </c>
      <c r="I45" s="41"/>
      <c r="J45" s="41">
        <v>600</v>
      </c>
      <c r="K45" s="41">
        <v>101</v>
      </c>
      <c r="L45" s="41">
        <v>100</v>
      </c>
    </row>
  </sheetData>
  <pageMargins left="0.75" right="0.75" top="1" bottom="1" header="0.511805555555556" footer="0.511805555555556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Y11"/>
  <sheetViews>
    <sheetView workbookViewId="0">
      <selection activeCell="F17" sqref="F17"/>
    </sheetView>
  </sheetViews>
  <sheetFormatPr defaultColWidth="8.79605263157895" defaultRowHeight="15.2"/>
  <sheetData>
    <row r="1" ht="36" spans="1:25">
      <c r="A1" s="25" t="s">
        <v>434</v>
      </c>
      <c r="B1" s="25" t="s">
        <v>1124</v>
      </c>
      <c r="C1" s="25" t="s">
        <v>31</v>
      </c>
      <c r="D1" s="25" t="s">
        <v>1125</v>
      </c>
      <c r="E1" s="25" t="s">
        <v>1126</v>
      </c>
      <c r="F1" s="25" t="s">
        <v>1127</v>
      </c>
      <c r="G1" s="25" t="s">
        <v>32</v>
      </c>
      <c r="H1" s="25" t="s">
        <v>1128</v>
      </c>
      <c r="I1" s="25" t="s">
        <v>1126</v>
      </c>
      <c r="J1" s="25" t="s">
        <v>1129</v>
      </c>
      <c r="K1" s="25" t="s">
        <v>438</v>
      </c>
      <c r="L1" s="25" t="s">
        <v>1130</v>
      </c>
      <c r="M1" s="25" t="s">
        <v>1126</v>
      </c>
      <c r="N1" s="25" t="s">
        <v>1131</v>
      </c>
      <c r="O1" s="25" t="s">
        <v>440</v>
      </c>
      <c r="P1" s="25" t="s">
        <v>1132</v>
      </c>
      <c r="Q1" s="25" t="s">
        <v>1126</v>
      </c>
      <c r="R1" s="25" t="s">
        <v>1133</v>
      </c>
      <c r="S1" s="25" t="s">
        <v>442</v>
      </c>
      <c r="T1" s="25" t="s">
        <v>1132</v>
      </c>
      <c r="U1" s="25" t="s">
        <v>1126</v>
      </c>
      <c r="V1" s="25" t="s">
        <v>1134</v>
      </c>
      <c r="W1" s="25" t="s">
        <v>444</v>
      </c>
      <c r="X1" s="25" t="s">
        <v>1132</v>
      </c>
      <c r="Y1" s="25" t="s">
        <v>1126</v>
      </c>
    </row>
    <row r="2" ht="18" spans="1:25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  <c r="J2" s="25" t="s">
        <v>40</v>
      </c>
      <c r="K2" s="25" t="s">
        <v>40</v>
      </c>
      <c r="L2" s="25" t="s">
        <v>40</v>
      </c>
      <c r="M2" s="25" t="s">
        <v>40</v>
      </c>
      <c r="N2" s="25" t="s">
        <v>40</v>
      </c>
      <c r="O2" s="25" t="s">
        <v>40</v>
      </c>
      <c r="P2" s="25" t="s">
        <v>40</v>
      </c>
      <c r="Q2" s="25" t="s">
        <v>40</v>
      </c>
      <c r="R2" s="25" t="s">
        <v>40</v>
      </c>
      <c r="S2" s="25" t="s">
        <v>40</v>
      </c>
      <c r="T2" s="25" t="s">
        <v>40</v>
      </c>
      <c r="U2" s="25" t="s">
        <v>40</v>
      </c>
      <c r="V2" s="25" t="s">
        <v>40</v>
      </c>
      <c r="W2" s="25" t="s">
        <v>40</v>
      </c>
      <c r="X2" s="25" t="s">
        <v>40</v>
      </c>
      <c r="Y2" s="25" t="s">
        <v>40</v>
      </c>
    </row>
    <row r="3" ht="41" spans="1:25">
      <c r="A3" s="25" t="s">
        <v>1093</v>
      </c>
      <c r="B3" s="25" t="s">
        <v>1035</v>
      </c>
      <c r="C3" s="25" t="s">
        <v>448</v>
      </c>
      <c r="D3" s="36" t="s">
        <v>1135</v>
      </c>
      <c r="E3" s="36" t="s">
        <v>1136</v>
      </c>
      <c r="F3" s="25" t="s">
        <v>1035</v>
      </c>
      <c r="G3" s="25" t="s">
        <v>448</v>
      </c>
      <c r="H3" s="36" t="s">
        <v>1135</v>
      </c>
      <c r="I3" s="36" t="s">
        <v>1136</v>
      </c>
      <c r="J3" s="25" t="s">
        <v>1035</v>
      </c>
      <c r="K3" s="25" t="s">
        <v>448</v>
      </c>
      <c r="L3" s="36" t="s">
        <v>1135</v>
      </c>
      <c r="M3" s="36" t="s">
        <v>1136</v>
      </c>
      <c r="N3" s="25" t="s">
        <v>1035</v>
      </c>
      <c r="O3" s="25" t="s">
        <v>448</v>
      </c>
      <c r="P3" s="36" t="s">
        <v>1135</v>
      </c>
      <c r="Q3" s="36" t="s">
        <v>1136</v>
      </c>
      <c r="R3" s="25" t="s">
        <v>1035</v>
      </c>
      <c r="S3" s="25" t="s">
        <v>448</v>
      </c>
      <c r="T3" s="36" t="s">
        <v>1135</v>
      </c>
      <c r="U3" s="36" t="s">
        <v>1136</v>
      </c>
      <c r="V3" s="25" t="s">
        <v>1035</v>
      </c>
      <c r="W3" s="25" t="s">
        <v>448</v>
      </c>
      <c r="X3" s="36" t="s">
        <v>1135</v>
      </c>
      <c r="Y3" s="36" t="s">
        <v>1136</v>
      </c>
    </row>
    <row r="4" ht="17.6" spans="1:25">
      <c r="A4" s="25">
        <v>44411</v>
      </c>
      <c r="B4" s="30">
        <v>2</v>
      </c>
      <c r="C4" s="25">
        <v>1500</v>
      </c>
      <c r="D4" s="25">
        <v>0</v>
      </c>
      <c r="E4" s="25">
        <v>0</v>
      </c>
      <c r="F4" s="25">
        <v>3</v>
      </c>
      <c r="G4" s="25">
        <v>3000</v>
      </c>
      <c r="H4" s="25">
        <v>0</v>
      </c>
      <c r="I4" s="25">
        <v>0</v>
      </c>
      <c r="J4" s="31">
        <v>5</v>
      </c>
      <c r="K4" s="25">
        <v>3000</v>
      </c>
      <c r="L4" s="25">
        <v>0</v>
      </c>
      <c r="M4" s="25">
        <v>0</v>
      </c>
      <c r="N4" s="30">
        <v>10</v>
      </c>
      <c r="O4" s="25">
        <v>2000</v>
      </c>
      <c r="P4" s="25">
        <v>0</v>
      </c>
      <c r="Q4" s="25">
        <v>0</v>
      </c>
      <c r="R4" s="25">
        <v>20</v>
      </c>
      <c r="S4" s="25">
        <v>400</v>
      </c>
      <c r="T4" s="25">
        <v>0</v>
      </c>
      <c r="U4" s="25">
        <v>0</v>
      </c>
      <c r="V4" s="25">
        <v>50</v>
      </c>
      <c r="W4" s="25">
        <v>100</v>
      </c>
      <c r="X4" s="25">
        <v>0</v>
      </c>
      <c r="Y4" s="25">
        <v>0</v>
      </c>
    </row>
    <row r="5" ht="17.6" spans="1:25">
      <c r="A5" s="25">
        <v>44412</v>
      </c>
      <c r="B5" s="30">
        <v>2</v>
      </c>
      <c r="C5" s="25">
        <v>1500</v>
      </c>
      <c r="D5" s="25">
        <v>0</v>
      </c>
      <c r="E5" s="25">
        <v>0</v>
      </c>
      <c r="F5" s="25">
        <v>3</v>
      </c>
      <c r="G5" s="25">
        <v>3000</v>
      </c>
      <c r="H5" s="25">
        <v>0</v>
      </c>
      <c r="I5" s="25">
        <v>0</v>
      </c>
      <c r="J5" s="31">
        <v>5</v>
      </c>
      <c r="K5" s="25">
        <v>3000</v>
      </c>
      <c r="L5" s="25">
        <v>0</v>
      </c>
      <c r="M5" s="25">
        <v>0</v>
      </c>
      <c r="N5" s="30">
        <v>10</v>
      </c>
      <c r="O5" s="25">
        <v>2000</v>
      </c>
      <c r="P5" s="25">
        <v>0</v>
      </c>
      <c r="Q5" s="25">
        <v>0</v>
      </c>
      <c r="R5" s="25">
        <v>20</v>
      </c>
      <c r="S5" s="25">
        <v>400</v>
      </c>
      <c r="T5" s="25">
        <v>0</v>
      </c>
      <c r="U5" s="25">
        <v>0</v>
      </c>
      <c r="V5" s="25">
        <v>50</v>
      </c>
      <c r="W5" s="25">
        <v>100</v>
      </c>
      <c r="X5" s="25">
        <v>0</v>
      </c>
      <c r="Y5" s="25">
        <v>0</v>
      </c>
    </row>
    <row r="6" ht="17.6" spans="1:25">
      <c r="A6" s="25">
        <v>44413</v>
      </c>
      <c r="B6" s="30">
        <v>2</v>
      </c>
      <c r="C6" s="25">
        <v>1500</v>
      </c>
      <c r="D6" s="25">
        <v>0</v>
      </c>
      <c r="E6" s="25">
        <v>0</v>
      </c>
      <c r="F6" s="25">
        <v>3</v>
      </c>
      <c r="G6" s="25">
        <v>3000</v>
      </c>
      <c r="H6" s="25">
        <v>0</v>
      </c>
      <c r="I6" s="25">
        <v>0</v>
      </c>
      <c r="J6" s="31">
        <v>5</v>
      </c>
      <c r="K6" s="25">
        <v>3000</v>
      </c>
      <c r="L6" s="25">
        <v>0</v>
      </c>
      <c r="M6" s="25">
        <v>0</v>
      </c>
      <c r="N6" s="30">
        <v>10</v>
      </c>
      <c r="O6" s="25">
        <v>2000</v>
      </c>
      <c r="P6" s="25">
        <v>0</v>
      </c>
      <c r="Q6" s="25">
        <v>0</v>
      </c>
      <c r="R6" s="25">
        <v>20</v>
      </c>
      <c r="S6" s="25">
        <v>400</v>
      </c>
      <c r="T6" s="25">
        <v>0</v>
      </c>
      <c r="U6" s="25">
        <v>0</v>
      </c>
      <c r="V6" s="25">
        <v>50</v>
      </c>
      <c r="W6" s="25">
        <v>100</v>
      </c>
      <c r="X6" s="25">
        <v>0</v>
      </c>
      <c r="Y6" s="25">
        <v>0</v>
      </c>
    </row>
    <row r="7" ht="17.6" spans="1:25">
      <c r="A7" s="25">
        <v>44414</v>
      </c>
      <c r="B7" s="30">
        <v>2</v>
      </c>
      <c r="C7" s="25">
        <v>1500</v>
      </c>
      <c r="D7" s="25">
        <v>0</v>
      </c>
      <c r="E7" s="25">
        <v>0</v>
      </c>
      <c r="F7" s="25">
        <v>3</v>
      </c>
      <c r="G7" s="25">
        <v>3000</v>
      </c>
      <c r="H7" s="25">
        <v>0</v>
      </c>
      <c r="I7" s="25">
        <v>0</v>
      </c>
      <c r="J7" s="31">
        <v>5</v>
      </c>
      <c r="K7" s="25">
        <v>3000</v>
      </c>
      <c r="L7" s="25">
        <v>0</v>
      </c>
      <c r="M7" s="25">
        <v>0</v>
      </c>
      <c r="N7" s="30">
        <v>10</v>
      </c>
      <c r="O7" s="25">
        <v>2000</v>
      </c>
      <c r="P7" s="25">
        <v>0</v>
      </c>
      <c r="Q7" s="25">
        <v>0</v>
      </c>
      <c r="R7" s="25">
        <v>20</v>
      </c>
      <c r="S7" s="25">
        <v>400</v>
      </c>
      <c r="T7" s="25">
        <v>0</v>
      </c>
      <c r="U7" s="25">
        <v>0</v>
      </c>
      <c r="V7" s="25">
        <v>50</v>
      </c>
      <c r="W7" s="25">
        <v>100</v>
      </c>
      <c r="X7" s="25">
        <v>0</v>
      </c>
      <c r="Y7" s="25">
        <v>0</v>
      </c>
    </row>
    <row r="8" ht="17.6" spans="1:25">
      <c r="A8" s="25">
        <v>44415</v>
      </c>
      <c r="B8" s="30">
        <v>2</v>
      </c>
      <c r="C8" s="25">
        <v>1500</v>
      </c>
      <c r="D8" s="25">
        <v>0</v>
      </c>
      <c r="E8" s="25">
        <v>0</v>
      </c>
      <c r="F8" s="25">
        <v>3</v>
      </c>
      <c r="G8" s="25">
        <v>3000</v>
      </c>
      <c r="H8" s="25">
        <v>0</v>
      </c>
      <c r="I8" s="25">
        <v>0</v>
      </c>
      <c r="J8" s="31">
        <v>5</v>
      </c>
      <c r="K8" s="25">
        <v>3000</v>
      </c>
      <c r="L8" s="25">
        <v>0</v>
      </c>
      <c r="M8" s="25">
        <v>0</v>
      </c>
      <c r="N8" s="30">
        <v>10</v>
      </c>
      <c r="O8" s="25">
        <v>2000</v>
      </c>
      <c r="P8" s="25">
        <v>0</v>
      </c>
      <c r="Q8" s="25">
        <v>0</v>
      </c>
      <c r="R8" s="25">
        <v>20</v>
      </c>
      <c r="S8" s="25">
        <v>400</v>
      </c>
      <c r="T8" s="25">
        <v>0</v>
      </c>
      <c r="U8" s="25">
        <v>0</v>
      </c>
      <c r="V8" s="25">
        <v>50</v>
      </c>
      <c r="W8" s="25">
        <v>100</v>
      </c>
      <c r="X8" s="25">
        <v>0</v>
      </c>
      <c r="Y8" s="25">
        <v>0</v>
      </c>
    </row>
    <row r="9" ht="17.6" spans="1:25">
      <c r="A9" s="25">
        <v>44301</v>
      </c>
      <c r="B9" s="25">
        <v>3</v>
      </c>
      <c r="C9" s="25">
        <v>3000</v>
      </c>
      <c r="D9" s="25">
        <v>0</v>
      </c>
      <c r="E9" s="25">
        <v>0</v>
      </c>
      <c r="F9" s="31">
        <v>4</v>
      </c>
      <c r="G9" s="25">
        <v>4000</v>
      </c>
      <c r="H9" s="25">
        <v>0</v>
      </c>
      <c r="I9" s="25">
        <v>0</v>
      </c>
      <c r="J9" s="30">
        <v>5</v>
      </c>
      <c r="K9" s="25">
        <v>2250</v>
      </c>
      <c r="L9" s="25">
        <v>0</v>
      </c>
      <c r="M9" s="25">
        <v>0</v>
      </c>
      <c r="N9" s="26">
        <v>10</v>
      </c>
      <c r="O9" s="25">
        <v>550</v>
      </c>
      <c r="P9" s="25">
        <v>0</v>
      </c>
      <c r="Q9" s="25">
        <v>0</v>
      </c>
      <c r="R9" s="25">
        <v>20</v>
      </c>
      <c r="S9" s="25">
        <v>200</v>
      </c>
      <c r="T9" s="25">
        <v>0</v>
      </c>
      <c r="U9" s="25">
        <v>0</v>
      </c>
      <c r="V9" s="25">
        <v>50</v>
      </c>
      <c r="W9" s="25"/>
      <c r="X9" s="25"/>
      <c r="Y9" s="25"/>
    </row>
    <row r="10" ht="17.6" spans="1:25">
      <c r="A10" s="25">
        <v>44501</v>
      </c>
      <c r="B10" s="30">
        <v>2</v>
      </c>
      <c r="C10" s="25">
        <v>1500</v>
      </c>
      <c r="D10" s="26">
        <v>0</v>
      </c>
      <c r="E10" s="26">
        <v>0</v>
      </c>
      <c r="F10" s="25">
        <v>3</v>
      </c>
      <c r="G10" s="25">
        <v>3000</v>
      </c>
      <c r="H10" s="25">
        <v>0</v>
      </c>
      <c r="I10" s="25">
        <v>0</v>
      </c>
      <c r="J10" s="31">
        <v>5</v>
      </c>
      <c r="K10" s="25">
        <v>3000</v>
      </c>
      <c r="L10" s="25">
        <v>0</v>
      </c>
      <c r="M10" s="25">
        <v>0</v>
      </c>
      <c r="N10" s="30">
        <v>10</v>
      </c>
      <c r="O10" s="25">
        <v>2000</v>
      </c>
      <c r="P10" s="25">
        <v>0</v>
      </c>
      <c r="Q10" s="25">
        <v>0</v>
      </c>
      <c r="R10" s="25">
        <v>20</v>
      </c>
      <c r="S10" s="25">
        <v>400</v>
      </c>
      <c r="T10" s="25">
        <v>0</v>
      </c>
      <c r="U10" s="25">
        <v>0</v>
      </c>
      <c r="V10" s="25">
        <v>50</v>
      </c>
      <c r="W10" s="25">
        <v>100</v>
      </c>
      <c r="X10" s="25">
        <v>0</v>
      </c>
      <c r="Y10" s="25">
        <v>0</v>
      </c>
    </row>
    <row r="11" ht="17.6" spans="1:25">
      <c r="A11" s="25">
        <v>44601</v>
      </c>
      <c r="B11" s="30">
        <v>2</v>
      </c>
      <c r="C11" s="25">
        <v>1500</v>
      </c>
      <c r="D11" s="25">
        <v>0</v>
      </c>
      <c r="E11" s="25">
        <v>0</v>
      </c>
      <c r="F11" s="25">
        <v>3</v>
      </c>
      <c r="G11" s="25">
        <v>3000</v>
      </c>
      <c r="H11" s="25">
        <v>0</v>
      </c>
      <c r="I11" s="25">
        <v>0</v>
      </c>
      <c r="J11" s="31">
        <v>5</v>
      </c>
      <c r="K11" s="25">
        <v>3000</v>
      </c>
      <c r="L11" s="25">
        <v>0</v>
      </c>
      <c r="M11" s="25">
        <v>0</v>
      </c>
      <c r="N11" s="30">
        <v>10</v>
      </c>
      <c r="O11" s="25">
        <v>2000</v>
      </c>
      <c r="P11" s="25">
        <v>0</v>
      </c>
      <c r="Q11" s="25">
        <v>0</v>
      </c>
      <c r="R11" s="25">
        <v>20</v>
      </c>
      <c r="S11" s="25">
        <v>400</v>
      </c>
      <c r="T11" s="25">
        <v>0</v>
      </c>
      <c r="U11" s="25">
        <v>0</v>
      </c>
      <c r="V11" s="25">
        <v>50</v>
      </c>
      <c r="W11" s="25">
        <v>100</v>
      </c>
      <c r="X11" s="25">
        <v>0</v>
      </c>
      <c r="Y11" s="25">
        <v>0</v>
      </c>
    </row>
  </sheetData>
  <pageMargins left="0.75" right="0.75" top="1" bottom="1" header="0.511805555555556" footer="0.511805555555556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21"/>
  <sheetViews>
    <sheetView workbookViewId="0">
      <selection activeCell="B11" sqref="B11"/>
    </sheetView>
  </sheetViews>
  <sheetFormatPr defaultColWidth="8.79605263157895" defaultRowHeight="15.2"/>
  <sheetData>
    <row r="1" ht="18" spans="1:9">
      <c r="A1" s="25" t="s">
        <v>27</v>
      </c>
      <c r="B1" s="25" t="s">
        <v>1124</v>
      </c>
      <c r="C1" s="25" t="s">
        <v>31</v>
      </c>
      <c r="D1" s="25" t="s">
        <v>1127</v>
      </c>
      <c r="E1" s="25" t="s">
        <v>32</v>
      </c>
      <c r="F1" s="25" t="s">
        <v>1129</v>
      </c>
      <c r="G1" s="25" t="s">
        <v>438</v>
      </c>
      <c r="H1" s="25" t="s">
        <v>1131</v>
      </c>
      <c r="I1" s="25" t="s">
        <v>440</v>
      </c>
    </row>
    <row r="2" ht="18" spans="1:9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</row>
    <row r="3" ht="17" spans="1:9">
      <c r="A3" s="40" t="s">
        <v>47</v>
      </c>
      <c r="B3" s="25" t="s">
        <v>1035</v>
      </c>
      <c r="C3" s="25" t="s">
        <v>448</v>
      </c>
      <c r="D3" s="25" t="s">
        <v>1035</v>
      </c>
      <c r="E3" s="25" t="s">
        <v>448</v>
      </c>
      <c r="F3" s="25" t="s">
        <v>1035</v>
      </c>
      <c r="G3" s="25" t="s">
        <v>448</v>
      </c>
      <c r="H3" s="25" t="s">
        <v>1035</v>
      </c>
      <c r="I3" s="25" t="s">
        <v>448</v>
      </c>
    </row>
    <row r="4" ht="17.6" spans="1:9">
      <c r="A4" s="3">
        <v>12028</v>
      </c>
      <c r="B4" s="25">
        <v>1</v>
      </c>
      <c r="C4" s="25">
        <v>2500</v>
      </c>
      <c r="D4" s="25">
        <v>1.5</v>
      </c>
      <c r="E4" s="25">
        <v>2500</v>
      </c>
      <c r="F4" s="30">
        <v>2</v>
      </c>
      <c r="G4" s="25">
        <v>2500</v>
      </c>
      <c r="H4" s="25">
        <v>2.5</v>
      </c>
      <c r="I4" s="25">
        <v>2500</v>
      </c>
    </row>
    <row r="5" ht="17.6" spans="1:9">
      <c r="A5" s="3">
        <v>12032</v>
      </c>
      <c r="B5" s="25">
        <v>1</v>
      </c>
      <c r="C5" s="25">
        <v>2500</v>
      </c>
      <c r="D5" s="25">
        <v>1.5</v>
      </c>
      <c r="E5" s="25">
        <v>2500</v>
      </c>
      <c r="F5" s="30">
        <v>2</v>
      </c>
      <c r="G5" s="25">
        <v>2500</v>
      </c>
      <c r="H5" s="25">
        <v>2.5</v>
      </c>
      <c r="I5" s="25">
        <v>2500</v>
      </c>
    </row>
    <row r="6" ht="17.6" spans="1:9">
      <c r="A6" s="3">
        <v>12031</v>
      </c>
      <c r="B6" s="25">
        <v>1</v>
      </c>
      <c r="C6" s="25">
        <v>2500</v>
      </c>
      <c r="D6" s="25">
        <v>1.5</v>
      </c>
      <c r="E6" s="25">
        <v>2500</v>
      </c>
      <c r="F6" s="30">
        <v>2</v>
      </c>
      <c r="G6" s="25">
        <v>2500</v>
      </c>
      <c r="H6" s="25">
        <v>2.5</v>
      </c>
      <c r="I6" s="25">
        <v>2500</v>
      </c>
    </row>
    <row r="7" ht="17.6" spans="1:9">
      <c r="A7" s="3">
        <v>12213</v>
      </c>
      <c r="B7" s="25">
        <v>1</v>
      </c>
      <c r="C7" s="25">
        <v>2500</v>
      </c>
      <c r="D7" s="25">
        <v>1.5</v>
      </c>
      <c r="E7" s="25">
        <v>2500</v>
      </c>
      <c r="F7" s="30">
        <v>2</v>
      </c>
      <c r="G7" s="25">
        <v>2500</v>
      </c>
      <c r="H7" s="25">
        <v>2.5</v>
      </c>
      <c r="I7" s="25">
        <v>2500</v>
      </c>
    </row>
    <row r="8" ht="17.6" spans="1:9">
      <c r="A8" s="3">
        <v>12232</v>
      </c>
      <c r="B8" s="25">
        <v>1</v>
      </c>
      <c r="C8" s="25">
        <v>2500</v>
      </c>
      <c r="D8" s="25">
        <v>1.5</v>
      </c>
      <c r="E8" s="25">
        <v>2500</v>
      </c>
      <c r="F8" s="30">
        <v>2</v>
      </c>
      <c r="G8" s="25">
        <v>2500</v>
      </c>
      <c r="H8" s="25">
        <v>2.5</v>
      </c>
      <c r="I8" s="25">
        <v>2500</v>
      </c>
    </row>
    <row r="9" ht="17.6" spans="1:9">
      <c r="A9" s="3">
        <v>12233</v>
      </c>
      <c r="B9" s="25">
        <v>1</v>
      </c>
      <c r="C9" s="25">
        <v>2500</v>
      </c>
      <c r="D9" s="25">
        <v>1.5</v>
      </c>
      <c r="E9" s="25">
        <v>2500</v>
      </c>
      <c r="F9" s="30">
        <v>2</v>
      </c>
      <c r="G9" s="25">
        <v>2500</v>
      </c>
      <c r="H9" s="25">
        <v>2.5</v>
      </c>
      <c r="I9" s="25">
        <v>2500</v>
      </c>
    </row>
    <row r="10" ht="17.6" spans="1:9">
      <c r="A10" s="3">
        <v>12234</v>
      </c>
      <c r="B10" s="25">
        <v>1</v>
      </c>
      <c r="C10" s="25">
        <v>2500</v>
      </c>
      <c r="D10" s="25">
        <v>1.5</v>
      </c>
      <c r="E10" s="25">
        <v>2500</v>
      </c>
      <c r="F10" s="30">
        <v>2</v>
      </c>
      <c r="G10" s="25">
        <v>2500</v>
      </c>
      <c r="H10" s="25">
        <v>2.5</v>
      </c>
      <c r="I10" s="25">
        <v>2500</v>
      </c>
    </row>
    <row r="11" ht="17.6" spans="1:9">
      <c r="A11" s="3">
        <v>35027</v>
      </c>
      <c r="B11" s="25">
        <v>1</v>
      </c>
      <c r="C11" s="25">
        <v>2500</v>
      </c>
      <c r="D11" s="25">
        <v>1.5</v>
      </c>
      <c r="E11" s="25">
        <v>2500</v>
      </c>
      <c r="F11" s="30">
        <v>2</v>
      </c>
      <c r="G11" s="25">
        <v>2500</v>
      </c>
      <c r="H11" s="25">
        <v>2.5</v>
      </c>
      <c r="I11" s="25">
        <v>2500</v>
      </c>
    </row>
    <row r="12" ht="17.6" spans="1:9">
      <c r="A12" s="3">
        <v>35030</v>
      </c>
      <c r="B12" s="25">
        <v>1</v>
      </c>
      <c r="C12" s="25">
        <v>2500</v>
      </c>
      <c r="D12" s="25">
        <v>1.5</v>
      </c>
      <c r="E12" s="25">
        <v>2500</v>
      </c>
      <c r="F12" s="30">
        <v>2</v>
      </c>
      <c r="G12" s="25">
        <v>2500</v>
      </c>
      <c r="H12" s="25">
        <v>2.5</v>
      </c>
      <c r="I12" s="25">
        <v>2500</v>
      </c>
    </row>
    <row r="13" ht="17.6" spans="1:9">
      <c r="A13" s="3">
        <v>35031</v>
      </c>
      <c r="B13" s="25">
        <v>1</v>
      </c>
      <c r="C13" s="25">
        <v>2500</v>
      </c>
      <c r="D13" s="25">
        <v>1.5</v>
      </c>
      <c r="E13" s="25">
        <v>2500</v>
      </c>
      <c r="F13" s="30">
        <v>2</v>
      </c>
      <c r="G13" s="25">
        <v>2500</v>
      </c>
      <c r="H13" s="25">
        <v>2.5</v>
      </c>
      <c r="I13" s="25">
        <v>2500</v>
      </c>
    </row>
    <row r="14" ht="17.6" spans="1:9">
      <c r="A14" s="3">
        <v>35028</v>
      </c>
      <c r="B14" s="25">
        <v>1</v>
      </c>
      <c r="C14" s="25">
        <v>2500</v>
      </c>
      <c r="D14" s="25">
        <v>1.5</v>
      </c>
      <c r="E14" s="25">
        <v>2500</v>
      </c>
      <c r="F14" s="30">
        <v>2</v>
      </c>
      <c r="G14" s="25">
        <v>2500</v>
      </c>
      <c r="H14" s="25">
        <v>2.5</v>
      </c>
      <c r="I14" s="25">
        <v>2500</v>
      </c>
    </row>
    <row r="15" ht="17.6" spans="1:9">
      <c r="A15" s="3">
        <v>71201</v>
      </c>
      <c r="B15" s="25">
        <v>1</v>
      </c>
      <c r="C15" s="25">
        <v>2500</v>
      </c>
      <c r="D15" s="25">
        <v>1.5</v>
      </c>
      <c r="E15" s="25">
        <v>2500</v>
      </c>
      <c r="F15" s="30">
        <v>2</v>
      </c>
      <c r="G15" s="25">
        <v>2500</v>
      </c>
      <c r="H15" s="25">
        <v>2.5</v>
      </c>
      <c r="I15" s="25">
        <v>2500</v>
      </c>
    </row>
    <row r="16" ht="17.6" spans="1:9">
      <c r="A16" s="3">
        <v>71202</v>
      </c>
      <c r="B16" s="25">
        <v>1</v>
      </c>
      <c r="C16" s="25">
        <v>2500</v>
      </c>
      <c r="D16" s="25">
        <v>1.5</v>
      </c>
      <c r="E16" s="25">
        <v>2500</v>
      </c>
      <c r="F16" s="30">
        <v>2</v>
      </c>
      <c r="G16" s="25">
        <v>2500</v>
      </c>
      <c r="H16" s="25">
        <v>2.5</v>
      </c>
      <c r="I16" s="25">
        <v>2500</v>
      </c>
    </row>
    <row r="17" ht="17.6" spans="1:9">
      <c r="A17" s="3">
        <v>73204</v>
      </c>
      <c r="B17" s="25">
        <v>1</v>
      </c>
      <c r="C17" s="25">
        <v>2500</v>
      </c>
      <c r="D17" s="25">
        <v>1.5</v>
      </c>
      <c r="E17" s="25">
        <v>2500</v>
      </c>
      <c r="F17" s="30">
        <v>2</v>
      </c>
      <c r="G17" s="25">
        <v>2500</v>
      </c>
      <c r="H17" s="25">
        <v>2.5</v>
      </c>
      <c r="I17" s="25">
        <v>2500</v>
      </c>
    </row>
    <row r="18" ht="17.6" spans="1:9">
      <c r="A18" s="3">
        <v>73205</v>
      </c>
      <c r="B18" s="25">
        <v>1</v>
      </c>
      <c r="C18" s="25">
        <v>2500</v>
      </c>
      <c r="D18" s="25">
        <v>1.5</v>
      </c>
      <c r="E18" s="25">
        <v>2500</v>
      </c>
      <c r="F18" s="30">
        <v>2</v>
      </c>
      <c r="G18" s="25">
        <v>2500</v>
      </c>
      <c r="H18" s="25">
        <v>2.5</v>
      </c>
      <c r="I18" s="25">
        <v>2500</v>
      </c>
    </row>
    <row r="19" ht="17.6" spans="1:9">
      <c r="A19" s="3">
        <v>73206</v>
      </c>
      <c r="B19" s="25">
        <v>1</v>
      </c>
      <c r="C19" s="25">
        <v>2500</v>
      </c>
      <c r="D19" s="25">
        <v>1.5</v>
      </c>
      <c r="E19" s="25">
        <v>2500</v>
      </c>
      <c r="F19" s="30">
        <v>2</v>
      </c>
      <c r="G19" s="25">
        <v>2500</v>
      </c>
      <c r="H19" s="25">
        <v>2.5</v>
      </c>
      <c r="I19" s="25">
        <v>2500</v>
      </c>
    </row>
    <row r="20" ht="17.6" spans="1:9">
      <c r="A20" s="3">
        <v>74215</v>
      </c>
      <c r="B20" s="25">
        <v>1</v>
      </c>
      <c r="C20" s="25">
        <v>10000</v>
      </c>
      <c r="D20" s="25"/>
      <c r="E20" s="25"/>
      <c r="F20" s="30"/>
      <c r="G20" s="25"/>
      <c r="H20" s="25"/>
      <c r="I20" s="25"/>
    </row>
    <row r="21" ht="17.6" spans="1:9">
      <c r="A21" s="3">
        <v>75208</v>
      </c>
      <c r="B21" s="25">
        <v>1</v>
      </c>
      <c r="C21" s="25">
        <v>2500</v>
      </c>
      <c r="D21" s="25">
        <v>1.5</v>
      </c>
      <c r="E21" s="25">
        <v>2500</v>
      </c>
      <c r="F21" s="30">
        <v>2</v>
      </c>
      <c r="G21" s="25">
        <v>2500</v>
      </c>
      <c r="H21" s="25">
        <v>2.5</v>
      </c>
      <c r="I21" s="25">
        <v>2500</v>
      </c>
    </row>
  </sheetData>
  <pageMargins left="0.75" right="0.75" top="1" bottom="1" header="0.511805555555556" footer="0.511805555555556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L58"/>
  <sheetViews>
    <sheetView topLeftCell="A37" workbookViewId="0">
      <selection activeCell="C46" sqref="C46"/>
    </sheetView>
  </sheetViews>
  <sheetFormatPr defaultColWidth="8.79605263157895" defaultRowHeight="15.2"/>
  <cols>
    <col min="1" max="1" width="9.90131578947368" customWidth="1"/>
    <col min="2" max="2" width="11" customWidth="1"/>
    <col min="3" max="3" width="6.29605263157895" customWidth="1"/>
    <col min="4" max="4" width="8" customWidth="1"/>
    <col min="5" max="5" width="12.1973684210526" customWidth="1"/>
    <col min="6" max="6" width="5.29605263157895" customWidth="1"/>
    <col min="7" max="8" width="14.0986842105263" customWidth="1"/>
    <col min="9" max="9" width="7.29605263157895" customWidth="1"/>
    <col min="10" max="10" width="9.90131578947368" customWidth="1"/>
    <col min="11" max="11" width="33.1973684210526" customWidth="1"/>
    <col min="12" max="12" width="9.90131578947368" customWidth="1"/>
  </cols>
  <sheetData>
    <row r="1" ht="23.1" customHeight="1" spans="1:12">
      <c r="A1" s="33" t="s">
        <v>25</v>
      </c>
      <c r="B1" s="33" t="s">
        <v>1137</v>
      </c>
      <c r="C1" s="33" t="s">
        <v>1138</v>
      </c>
      <c r="D1" s="33" t="s">
        <v>1139</v>
      </c>
      <c r="E1" s="33" t="s">
        <v>29</v>
      </c>
      <c r="F1" s="33" t="s">
        <v>30</v>
      </c>
      <c r="G1" s="25" t="s">
        <v>1140</v>
      </c>
      <c r="H1" s="25" t="s">
        <v>1141</v>
      </c>
      <c r="I1" s="33" t="s">
        <v>1142</v>
      </c>
      <c r="J1" s="33" t="s">
        <v>822</v>
      </c>
      <c r="K1" s="34" t="s">
        <v>434</v>
      </c>
      <c r="L1" s="33" t="s">
        <v>35</v>
      </c>
    </row>
    <row r="2" ht="23.1" customHeight="1" spans="1:12">
      <c r="A2" s="33" t="s">
        <v>40</v>
      </c>
      <c r="B2" s="33" t="s">
        <v>41</v>
      </c>
      <c r="C2" s="33" t="s">
        <v>40</v>
      </c>
      <c r="D2" s="33" t="s">
        <v>40</v>
      </c>
      <c r="E2" s="33" t="s">
        <v>40</v>
      </c>
      <c r="F2" s="33" t="s">
        <v>40</v>
      </c>
      <c r="G2" s="25" t="s">
        <v>42</v>
      </c>
      <c r="H2" s="25" t="s">
        <v>42</v>
      </c>
      <c r="I2" s="33" t="s">
        <v>40</v>
      </c>
      <c r="J2" s="33" t="s">
        <v>40</v>
      </c>
      <c r="K2" s="35" t="s">
        <v>41</v>
      </c>
      <c r="L2" s="33" t="s">
        <v>41</v>
      </c>
    </row>
    <row r="3" ht="23.1" customHeight="1" spans="1:12">
      <c r="A3" s="33" t="s">
        <v>44</v>
      </c>
      <c r="B3" s="33" t="s">
        <v>46</v>
      </c>
      <c r="C3" s="33" t="s">
        <v>47</v>
      </c>
      <c r="D3" s="33" t="s">
        <v>48</v>
      </c>
      <c r="E3" s="27" t="s">
        <v>1143</v>
      </c>
      <c r="F3" s="33" t="s">
        <v>50</v>
      </c>
      <c r="G3" s="25" t="s">
        <v>51</v>
      </c>
      <c r="H3" s="25" t="s">
        <v>52</v>
      </c>
      <c r="I3" s="33" t="s">
        <v>53</v>
      </c>
      <c r="J3" s="36" t="s">
        <v>1144</v>
      </c>
      <c r="K3" s="37" t="s">
        <v>1145</v>
      </c>
      <c r="L3" s="33" t="s">
        <v>55</v>
      </c>
    </row>
    <row r="4" ht="23.1" customHeight="1" spans="1:12">
      <c r="A4" s="33">
        <v>1</v>
      </c>
      <c r="B4" s="33" t="s">
        <v>61</v>
      </c>
      <c r="C4" s="33">
        <v>11001</v>
      </c>
      <c r="D4" s="33">
        <v>1</v>
      </c>
      <c r="E4" s="33">
        <v>0</v>
      </c>
      <c r="F4" s="33">
        <v>2</v>
      </c>
      <c r="G4" s="33">
        <v>2</v>
      </c>
      <c r="H4" s="33">
        <v>2</v>
      </c>
      <c r="I4" s="33">
        <v>0</v>
      </c>
      <c r="J4" s="38">
        <v>5</v>
      </c>
      <c r="K4" s="35" t="s">
        <v>1146</v>
      </c>
      <c r="L4" s="33" t="s">
        <v>61</v>
      </c>
    </row>
    <row r="5" ht="23.1" customHeight="1" spans="1:12">
      <c r="A5" s="33">
        <v>2</v>
      </c>
      <c r="B5" s="33" t="s">
        <v>63</v>
      </c>
      <c r="C5" s="33">
        <v>11002</v>
      </c>
      <c r="D5" s="33">
        <v>1</v>
      </c>
      <c r="E5" s="33">
        <v>0</v>
      </c>
      <c r="F5" s="33">
        <v>2</v>
      </c>
      <c r="G5" s="33">
        <v>2</v>
      </c>
      <c r="H5" s="33">
        <v>2</v>
      </c>
      <c r="I5" s="33">
        <v>0</v>
      </c>
      <c r="J5" s="38">
        <v>5</v>
      </c>
      <c r="K5" s="35" t="s">
        <v>1146</v>
      </c>
      <c r="L5" s="33" t="s">
        <v>63</v>
      </c>
    </row>
    <row r="6" ht="23.1" customHeight="1" spans="1:12">
      <c r="A6" s="33">
        <v>3</v>
      </c>
      <c r="B6" s="33" t="s">
        <v>65</v>
      </c>
      <c r="C6" s="33">
        <v>11003</v>
      </c>
      <c r="D6" s="33">
        <v>1</v>
      </c>
      <c r="E6" s="33">
        <v>0</v>
      </c>
      <c r="F6" s="33">
        <v>3</v>
      </c>
      <c r="G6" s="33">
        <v>3</v>
      </c>
      <c r="H6" s="33">
        <v>3</v>
      </c>
      <c r="I6" s="33">
        <v>0</v>
      </c>
      <c r="J6" s="38">
        <v>5</v>
      </c>
      <c r="K6" s="35" t="s">
        <v>1146</v>
      </c>
      <c r="L6" s="33" t="s">
        <v>65</v>
      </c>
    </row>
    <row r="7" ht="23.1" customHeight="1" spans="1:12">
      <c r="A7" s="33">
        <v>4</v>
      </c>
      <c r="B7" s="33" t="s">
        <v>1147</v>
      </c>
      <c r="C7" s="33">
        <v>11004</v>
      </c>
      <c r="D7" s="33">
        <v>1</v>
      </c>
      <c r="E7" s="33">
        <v>0</v>
      </c>
      <c r="F7" s="33">
        <v>4</v>
      </c>
      <c r="G7" s="33">
        <v>4</v>
      </c>
      <c r="H7" s="33">
        <v>4</v>
      </c>
      <c r="I7" s="33">
        <v>0</v>
      </c>
      <c r="J7" s="38">
        <v>5</v>
      </c>
      <c r="K7" s="35" t="s">
        <v>1146</v>
      </c>
      <c r="L7" s="33" t="s">
        <v>1147</v>
      </c>
    </row>
    <row r="8" ht="23.1" customHeight="1" spans="1:12">
      <c r="A8" s="33">
        <v>5</v>
      </c>
      <c r="B8" s="33" t="s">
        <v>69</v>
      </c>
      <c r="C8" s="33">
        <v>11005</v>
      </c>
      <c r="D8" s="33">
        <v>1</v>
      </c>
      <c r="E8" s="33">
        <v>0</v>
      </c>
      <c r="F8" s="33">
        <v>7</v>
      </c>
      <c r="G8" s="33">
        <v>7</v>
      </c>
      <c r="H8" s="33">
        <v>7</v>
      </c>
      <c r="I8" s="33">
        <v>0</v>
      </c>
      <c r="J8" s="38">
        <v>4</v>
      </c>
      <c r="K8" s="35" t="s">
        <v>1146</v>
      </c>
      <c r="L8" s="33" t="s">
        <v>69</v>
      </c>
    </row>
    <row r="9" ht="23.1" customHeight="1" spans="1:12">
      <c r="A9" s="33">
        <v>6</v>
      </c>
      <c r="B9" s="33" t="s">
        <v>71</v>
      </c>
      <c r="C9" s="33">
        <v>11006</v>
      </c>
      <c r="D9" s="33">
        <v>1</v>
      </c>
      <c r="E9" s="33">
        <v>0</v>
      </c>
      <c r="F9" s="33">
        <v>3</v>
      </c>
      <c r="G9" s="33">
        <v>3</v>
      </c>
      <c r="H9" s="33">
        <v>3</v>
      </c>
      <c r="I9" s="33">
        <v>0</v>
      </c>
      <c r="J9" s="38">
        <v>5</v>
      </c>
      <c r="K9" s="35" t="s">
        <v>1146</v>
      </c>
      <c r="L9" s="33" t="s">
        <v>71</v>
      </c>
    </row>
    <row r="10" ht="23.1" customHeight="1" spans="1:12">
      <c r="A10" s="33">
        <v>7</v>
      </c>
      <c r="B10" s="33" t="s">
        <v>73</v>
      </c>
      <c r="C10" s="33">
        <v>11007</v>
      </c>
      <c r="D10" s="33">
        <v>1</v>
      </c>
      <c r="E10" s="33">
        <v>0</v>
      </c>
      <c r="F10" s="33">
        <v>4</v>
      </c>
      <c r="G10" s="33">
        <v>4</v>
      </c>
      <c r="H10" s="33">
        <v>4</v>
      </c>
      <c r="I10" s="33">
        <v>0</v>
      </c>
      <c r="J10" s="38">
        <v>5</v>
      </c>
      <c r="K10" s="35" t="s">
        <v>1146</v>
      </c>
      <c r="L10" s="33" t="s">
        <v>73</v>
      </c>
    </row>
    <row r="11" ht="23.1" customHeight="1" spans="1:12">
      <c r="A11" s="33">
        <v>8</v>
      </c>
      <c r="B11" s="33" t="s">
        <v>75</v>
      </c>
      <c r="C11" s="33">
        <v>11008</v>
      </c>
      <c r="D11" s="33">
        <v>1</v>
      </c>
      <c r="E11" s="33">
        <v>0</v>
      </c>
      <c r="F11" s="33">
        <v>5</v>
      </c>
      <c r="G11" s="33">
        <v>5</v>
      </c>
      <c r="H11" s="33">
        <v>5</v>
      </c>
      <c r="I11" s="33">
        <v>0</v>
      </c>
      <c r="J11" s="38">
        <v>5</v>
      </c>
      <c r="K11" s="35" t="s">
        <v>1146</v>
      </c>
      <c r="L11" s="33" t="s">
        <v>75</v>
      </c>
    </row>
    <row r="12" ht="23.1" customHeight="1" spans="1:12">
      <c r="A12" s="33">
        <v>9</v>
      </c>
      <c r="B12" s="33" t="s">
        <v>77</v>
      </c>
      <c r="C12" s="33">
        <v>11009</v>
      </c>
      <c r="D12" s="33">
        <v>1</v>
      </c>
      <c r="E12" s="33">
        <v>0</v>
      </c>
      <c r="F12" s="33">
        <v>6</v>
      </c>
      <c r="G12" s="33">
        <v>6</v>
      </c>
      <c r="H12" s="33">
        <v>6</v>
      </c>
      <c r="I12" s="33">
        <v>0</v>
      </c>
      <c r="J12" s="38">
        <v>4</v>
      </c>
      <c r="K12" s="35" t="s">
        <v>1148</v>
      </c>
      <c r="L12" s="33" t="s">
        <v>77</v>
      </c>
    </row>
    <row r="13" ht="23.1" customHeight="1" spans="1:12">
      <c r="A13" s="33">
        <v>10</v>
      </c>
      <c r="B13" s="33" t="s">
        <v>81</v>
      </c>
      <c r="C13" s="33">
        <v>11010</v>
      </c>
      <c r="D13" s="33">
        <v>1</v>
      </c>
      <c r="E13" s="33">
        <v>0</v>
      </c>
      <c r="F13" s="33">
        <v>8</v>
      </c>
      <c r="G13" s="33">
        <v>8</v>
      </c>
      <c r="H13" s="33">
        <v>8</v>
      </c>
      <c r="I13" s="33">
        <v>0</v>
      </c>
      <c r="J13" s="38">
        <v>4</v>
      </c>
      <c r="K13" s="35" t="s">
        <v>1148</v>
      </c>
      <c r="L13" s="33" t="s">
        <v>81</v>
      </c>
    </row>
    <row r="14" ht="23.1" customHeight="1" spans="1:12">
      <c r="A14" s="33">
        <v>11</v>
      </c>
      <c r="B14" s="33" t="s">
        <v>83</v>
      </c>
      <c r="C14" s="33">
        <v>11011</v>
      </c>
      <c r="D14" s="33">
        <v>1</v>
      </c>
      <c r="E14" s="33">
        <v>0</v>
      </c>
      <c r="F14" s="33">
        <v>7</v>
      </c>
      <c r="G14" s="33">
        <v>7</v>
      </c>
      <c r="H14" s="33">
        <v>7</v>
      </c>
      <c r="I14" s="33">
        <v>0</v>
      </c>
      <c r="J14" s="38">
        <v>4</v>
      </c>
      <c r="K14" s="35" t="s">
        <v>1148</v>
      </c>
      <c r="L14" s="33" t="s">
        <v>83</v>
      </c>
    </row>
    <row r="15" ht="23.1" customHeight="1" spans="1:12">
      <c r="A15" s="33">
        <v>12</v>
      </c>
      <c r="B15" s="33" t="s">
        <v>85</v>
      </c>
      <c r="C15" s="33">
        <v>11012</v>
      </c>
      <c r="D15" s="33">
        <v>1</v>
      </c>
      <c r="E15" s="33">
        <v>0</v>
      </c>
      <c r="F15" s="33">
        <v>10</v>
      </c>
      <c r="G15" s="33">
        <v>10</v>
      </c>
      <c r="H15" s="33">
        <v>10</v>
      </c>
      <c r="I15" s="33">
        <v>0</v>
      </c>
      <c r="J15" s="38">
        <v>3</v>
      </c>
      <c r="K15" s="35" t="s">
        <v>1148</v>
      </c>
      <c r="L15" s="33" t="s">
        <v>85</v>
      </c>
    </row>
    <row r="16" ht="23.1" customHeight="1" spans="1:12">
      <c r="A16" s="33">
        <v>13</v>
      </c>
      <c r="B16" s="33" t="s">
        <v>87</v>
      </c>
      <c r="C16" s="33">
        <v>11013</v>
      </c>
      <c r="D16" s="33">
        <v>1</v>
      </c>
      <c r="E16" s="33">
        <v>0</v>
      </c>
      <c r="F16" s="33">
        <v>18</v>
      </c>
      <c r="G16" s="33">
        <v>18</v>
      </c>
      <c r="H16" s="33">
        <v>18</v>
      </c>
      <c r="I16" s="33">
        <v>0</v>
      </c>
      <c r="J16" s="38">
        <v>3</v>
      </c>
      <c r="K16" s="35" t="s">
        <v>1149</v>
      </c>
      <c r="L16" s="33" t="s">
        <v>87</v>
      </c>
    </row>
    <row r="17" ht="23.1" customHeight="1" spans="1:12">
      <c r="A17" s="33">
        <v>15</v>
      </c>
      <c r="B17" s="33" t="s">
        <v>91</v>
      </c>
      <c r="C17" s="33">
        <v>11015</v>
      </c>
      <c r="D17" s="33">
        <v>1</v>
      </c>
      <c r="E17" s="33">
        <v>0</v>
      </c>
      <c r="F17" s="33">
        <v>12</v>
      </c>
      <c r="G17" s="33">
        <v>12</v>
      </c>
      <c r="H17" s="33">
        <v>12</v>
      </c>
      <c r="I17" s="33">
        <v>0</v>
      </c>
      <c r="J17" s="38">
        <v>3</v>
      </c>
      <c r="K17" s="35" t="s">
        <v>1149</v>
      </c>
      <c r="L17" s="33" t="s">
        <v>91</v>
      </c>
    </row>
    <row r="18" ht="23.1" customHeight="1" spans="1:12">
      <c r="A18" s="33">
        <v>16</v>
      </c>
      <c r="B18" s="33" t="s">
        <v>93</v>
      </c>
      <c r="C18" s="33">
        <v>11016</v>
      </c>
      <c r="D18" s="33">
        <v>1</v>
      </c>
      <c r="E18" s="33">
        <v>0</v>
      </c>
      <c r="F18" s="33">
        <v>20</v>
      </c>
      <c r="G18" s="33">
        <v>20</v>
      </c>
      <c r="H18" s="33">
        <v>20</v>
      </c>
      <c r="I18" s="33">
        <v>0</v>
      </c>
      <c r="J18" s="38">
        <v>3</v>
      </c>
      <c r="K18" s="35" t="s">
        <v>1149</v>
      </c>
      <c r="L18" s="33" t="s">
        <v>93</v>
      </c>
    </row>
    <row r="19" ht="23.1" customHeight="1" spans="1:12">
      <c r="A19" s="33">
        <v>17</v>
      </c>
      <c r="B19" s="33" t="s">
        <v>95</v>
      </c>
      <c r="C19" s="33">
        <v>11017</v>
      </c>
      <c r="D19" s="33">
        <v>1</v>
      </c>
      <c r="E19" s="33">
        <v>0</v>
      </c>
      <c r="F19" s="33">
        <v>9</v>
      </c>
      <c r="G19" s="33">
        <v>9</v>
      </c>
      <c r="H19" s="33">
        <v>9</v>
      </c>
      <c r="I19" s="33">
        <v>0</v>
      </c>
      <c r="J19" s="38">
        <v>4</v>
      </c>
      <c r="K19" s="35" t="s">
        <v>1149</v>
      </c>
      <c r="L19" s="33" t="s">
        <v>95</v>
      </c>
    </row>
    <row r="20" ht="23.1" customHeight="1" spans="1:12">
      <c r="A20" s="33">
        <v>18</v>
      </c>
      <c r="B20" s="33" t="s">
        <v>351</v>
      </c>
      <c r="C20" s="33">
        <v>11018</v>
      </c>
      <c r="D20" s="33">
        <v>1</v>
      </c>
      <c r="E20" s="33">
        <v>0</v>
      </c>
      <c r="F20" s="33">
        <v>60</v>
      </c>
      <c r="G20" s="33">
        <v>60</v>
      </c>
      <c r="H20" s="33">
        <v>60</v>
      </c>
      <c r="I20" s="33">
        <v>0</v>
      </c>
      <c r="J20" s="38">
        <v>2</v>
      </c>
      <c r="K20" s="35">
        <v>44103</v>
      </c>
      <c r="L20" s="33" t="s">
        <v>351</v>
      </c>
    </row>
    <row r="21" ht="23.1" customHeight="1" spans="1:12">
      <c r="A21" s="33">
        <v>20</v>
      </c>
      <c r="B21" s="33" t="s">
        <v>97</v>
      </c>
      <c r="C21" s="33">
        <v>11020</v>
      </c>
      <c r="D21" s="33">
        <v>1</v>
      </c>
      <c r="E21" s="33">
        <v>0</v>
      </c>
      <c r="F21" s="33">
        <v>16</v>
      </c>
      <c r="G21" s="33">
        <v>16</v>
      </c>
      <c r="H21" s="33">
        <v>16</v>
      </c>
      <c r="I21" s="33">
        <v>0</v>
      </c>
      <c r="J21" s="38">
        <v>3</v>
      </c>
      <c r="K21" s="35">
        <v>44103</v>
      </c>
      <c r="L21" s="33" t="s">
        <v>97</v>
      </c>
    </row>
    <row r="22" ht="23.1" customHeight="1" spans="1:12">
      <c r="A22" s="33">
        <v>21</v>
      </c>
      <c r="B22" s="33" t="s">
        <v>355</v>
      </c>
      <c r="C22" s="33">
        <v>11021</v>
      </c>
      <c r="D22" s="33">
        <v>1</v>
      </c>
      <c r="E22" s="33">
        <v>0</v>
      </c>
      <c r="F22" s="33">
        <v>100</v>
      </c>
      <c r="G22" s="33">
        <v>100</v>
      </c>
      <c r="H22" s="33">
        <v>100</v>
      </c>
      <c r="I22" s="33">
        <v>0</v>
      </c>
      <c r="J22" s="38">
        <v>3</v>
      </c>
      <c r="K22" s="35">
        <v>44103</v>
      </c>
      <c r="L22" s="33" t="s">
        <v>355</v>
      </c>
    </row>
    <row r="23" ht="23.1" customHeight="1" spans="1:12">
      <c r="A23" s="33">
        <v>24</v>
      </c>
      <c r="B23" s="33" t="s">
        <v>99</v>
      </c>
      <c r="C23" s="33">
        <v>11024</v>
      </c>
      <c r="D23" s="33">
        <v>1</v>
      </c>
      <c r="E23" s="33">
        <v>0</v>
      </c>
      <c r="F23" s="33">
        <v>30</v>
      </c>
      <c r="G23" s="33">
        <v>30</v>
      </c>
      <c r="H23" s="33">
        <v>30</v>
      </c>
      <c r="I23" s="33">
        <v>0</v>
      </c>
      <c r="J23" s="38">
        <v>3</v>
      </c>
      <c r="K23" s="35">
        <v>44103</v>
      </c>
      <c r="L23" s="33" t="s">
        <v>99</v>
      </c>
    </row>
    <row r="24" ht="23.1" customHeight="1" spans="1:12">
      <c r="A24" s="33">
        <v>25</v>
      </c>
      <c r="B24" s="33" t="s">
        <v>103</v>
      </c>
      <c r="C24" s="33">
        <v>11025</v>
      </c>
      <c r="D24" s="33">
        <v>1</v>
      </c>
      <c r="E24" s="33">
        <v>0</v>
      </c>
      <c r="F24" s="33">
        <v>40</v>
      </c>
      <c r="G24" s="33">
        <v>40</v>
      </c>
      <c r="H24" s="33">
        <v>40</v>
      </c>
      <c r="I24" s="33">
        <v>0</v>
      </c>
      <c r="J24" s="38">
        <v>3</v>
      </c>
      <c r="K24" s="35">
        <v>44103</v>
      </c>
      <c r="L24" s="33" t="s">
        <v>103</v>
      </c>
    </row>
    <row r="25" ht="23.1" customHeight="1" spans="1:12">
      <c r="A25" s="33">
        <v>26</v>
      </c>
      <c r="B25" s="33" t="s">
        <v>357</v>
      </c>
      <c r="C25" s="33">
        <v>11026</v>
      </c>
      <c r="D25" s="33">
        <v>1</v>
      </c>
      <c r="E25" s="33">
        <v>0</v>
      </c>
      <c r="F25" s="33">
        <v>160</v>
      </c>
      <c r="G25" s="33">
        <v>160</v>
      </c>
      <c r="H25" s="33">
        <v>160</v>
      </c>
      <c r="I25" s="33">
        <v>0</v>
      </c>
      <c r="J25" s="38">
        <v>2</v>
      </c>
      <c r="K25" s="35">
        <v>44103</v>
      </c>
      <c r="L25" s="33" t="s">
        <v>357</v>
      </c>
    </row>
    <row r="26" ht="23.1" customHeight="1" spans="1:12">
      <c r="A26" s="33">
        <v>26</v>
      </c>
      <c r="B26" s="33" t="s">
        <v>89</v>
      </c>
      <c r="C26" s="33">
        <v>11235</v>
      </c>
      <c r="D26" s="33">
        <v>1</v>
      </c>
      <c r="E26" s="33">
        <v>0</v>
      </c>
      <c r="F26" s="33">
        <v>15</v>
      </c>
      <c r="G26" s="33">
        <v>15</v>
      </c>
      <c r="H26" s="33">
        <v>15</v>
      </c>
      <c r="I26" s="33">
        <v>0</v>
      </c>
      <c r="J26" s="38">
        <v>3</v>
      </c>
      <c r="K26" s="35"/>
      <c r="L26" s="33" t="s">
        <v>89</v>
      </c>
    </row>
    <row r="27" ht="23.1" customHeight="1" spans="1:12">
      <c r="A27" s="33">
        <v>26</v>
      </c>
      <c r="B27" s="33" t="s">
        <v>79</v>
      </c>
      <c r="C27" s="33">
        <v>11085</v>
      </c>
      <c r="D27" s="33">
        <v>1</v>
      </c>
      <c r="E27" s="33">
        <v>0</v>
      </c>
      <c r="F27" s="33">
        <v>4</v>
      </c>
      <c r="G27" s="33">
        <v>4</v>
      </c>
      <c r="H27" s="33">
        <v>4</v>
      </c>
      <c r="I27" s="33">
        <v>0</v>
      </c>
      <c r="J27" s="38">
        <v>5</v>
      </c>
      <c r="K27" s="35"/>
      <c r="L27" s="33" t="s">
        <v>79</v>
      </c>
    </row>
    <row r="28" ht="23.1" customHeight="1" spans="1:12">
      <c r="A28" s="33">
        <v>26</v>
      </c>
      <c r="B28" s="33" t="s">
        <v>101</v>
      </c>
      <c r="C28" s="33">
        <v>11090</v>
      </c>
      <c r="D28" s="33">
        <v>1</v>
      </c>
      <c r="E28" s="33">
        <v>0</v>
      </c>
      <c r="F28" s="33">
        <v>25</v>
      </c>
      <c r="G28" s="33">
        <v>25</v>
      </c>
      <c r="H28" s="33">
        <v>25</v>
      </c>
      <c r="I28" s="33">
        <v>0</v>
      </c>
      <c r="J28" s="38">
        <v>3</v>
      </c>
      <c r="K28" s="35"/>
      <c r="L28" s="33" t="s">
        <v>101</v>
      </c>
    </row>
    <row r="29" ht="23.1" customHeight="1" spans="1:12">
      <c r="A29" s="33">
        <v>26</v>
      </c>
      <c r="B29" s="33" t="s">
        <v>353</v>
      </c>
      <c r="C29" s="33">
        <v>11092</v>
      </c>
      <c r="D29" s="33">
        <v>1</v>
      </c>
      <c r="E29" s="33">
        <v>0</v>
      </c>
      <c r="F29" s="33">
        <v>120</v>
      </c>
      <c r="G29" s="33">
        <v>120</v>
      </c>
      <c r="H29" s="33">
        <v>120</v>
      </c>
      <c r="I29" s="33">
        <v>0</v>
      </c>
      <c r="J29" s="38">
        <v>3</v>
      </c>
      <c r="K29" s="35"/>
      <c r="L29" s="33" t="s">
        <v>353</v>
      </c>
    </row>
    <row r="30" ht="23.1" customHeight="1" spans="1:12">
      <c r="A30" s="33">
        <v>26</v>
      </c>
      <c r="B30" s="33" t="s">
        <v>105</v>
      </c>
      <c r="C30" s="33">
        <v>11211</v>
      </c>
      <c r="D30" s="33">
        <v>1</v>
      </c>
      <c r="E30" s="33">
        <v>0</v>
      </c>
      <c r="F30" s="33">
        <v>50</v>
      </c>
      <c r="G30" s="33">
        <v>50</v>
      </c>
      <c r="H30" s="33">
        <v>50</v>
      </c>
      <c r="I30" s="33">
        <v>0</v>
      </c>
      <c r="J30" s="38">
        <v>3</v>
      </c>
      <c r="K30" s="35"/>
      <c r="L30" s="33" t="s">
        <v>105</v>
      </c>
    </row>
    <row r="31" ht="23.1" customHeight="1" spans="1:12">
      <c r="A31" s="33">
        <v>26</v>
      </c>
      <c r="B31" s="33" t="s">
        <v>359</v>
      </c>
      <c r="C31" s="33">
        <v>11212</v>
      </c>
      <c r="D31" s="33">
        <v>1</v>
      </c>
      <c r="E31" s="33">
        <v>0</v>
      </c>
      <c r="F31" s="33">
        <v>200</v>
      </c>
      <c r="G31" s="33">
        <v>200</v>
      </c>
      <c r="H31" s="33">
        <v>200</v>
      </c>
      <c r="I31" s="33">
        <v>0</v>
      </c>
      <c r="J31" s="38">
        <v>3</v>
      </c>
      <c r="K31" s="35"/>
      <c r="L31" s="33" t="s">
        <v>359</v>
      </c>
    </row>
    <row r="32" ht="23.1" customHeight="1" spans="1:12">
      <c r="A32" s="33">
        <v>26</v>
      </c>
      <c r="B32" s="33" t="s">
        <v>361</v>
      </c>
      <c r="C32" s="33">
        <v>11214</v>
      </c>
      <c r="D32" s="33">
        <v>1</v>
      </c>
      <c r="E32" s="33">
        <v>0</v>
      </c>
      <c r="F32" s="33">
        <v>80</v>
      </c>
      <c r="G32" s="33">
        <v>80</v>
      </c>
      <c r="H32" s="33">
        <v>80</v>
      </c>
      <c r="I32" s="33">
        <v>0</v>
      </c>
      <c r="J32" s="38">
        <v>3</v>
      </c>
      <c r="K32" s="35"/>
      <c r="L32" s="33" t="s">
        <v>361</v>
      </c>
    </row>
    <row r="33" ht="23.1" customHeight="1" spans="1:12">
      <c r="A33" s="33">
        <v>26</v>
      </c>
      <c r="B33" s="33" t="s">
        <v>362</v>
      </c>
      <c r="C33" s="33">
        <v>11231</v>
      </c>
      <c r="D33" s="33">
        <v>1</v>
      </c>
      <c r="E33" s="33">
        <v>0</v>
      </c>
      <c r="F33" s="33">
        <v>250</v>
      </c>
      <c r="G33" s="33">
        <v>250</v>
      </c>
      <c r="H33" s="33">
        <v>250</v>
      </c>
      <c r="I33" s="33">
        <v>0</v>
      </c>
      <c r="J33" s="38">
        <v>3</v>
      </c>
      <c r="K33" s="35"/>
      <c r="L33" s="33" t="s">
        <v>362</v>
      </c>
    </row>
    <row r="34" ht="23.1" customHeight="1" spans="1:12">
      <c r="A34" s="33">
        <v>28</v>
      </c>
      <c r="B34" s="33" t="s">
        <v>107</v>
      </c>
      <c r="C34" s="33">
        <v>12028</v>
      </c>
      <c r="D34" s="33">
        <v>2</v>
      </c>
      <c r="E34" s="33">
        <v>0</v>
      </c>
      <c r="F34" s="33">
        <v>234</v>
      </c>
      <c r="G34" s="33">
        <v>234</v>
      </c>
      <c r="H34" s="33">
        <v>234</v>
      </c>
      <c r="I34" s="33">
        <v>0</v>
      </c>
      <c r="J34" s="38">
        <v>1</v>
      </c>
      <c r="K34" s="35"/>
      <c r="L34" s="33" t="s">
        <v>107</v>
      </c>
    </row>
    <row r="35" ht="23.1" customHeight="1" spans="1:12">
      <c r="A35" s="33">
        <v>29</v>
      </c>
      <c r="B35" s="33" t="s">
        <v>364</v>
      </c>
      <c r="C35" s="33">
        <v>12029</v>
      </c>
      <c r="D35" s="33">
        <v>2</v>
      </c>
      <c r="E35" s="33">
        <v>0</v>
      </c>
      <c r="F35" s="33">
        <v>250</v>
      </c>
      <c r="G35" s="33">
        <v>250</v>
      </c>
      <c r="H35" s="33">
        <v>250</v>
      </c>
      <c r="I35" s="33">
        <v>250</v>
      </c>
      <c r="J35" s="38">
        <v>1</v>
      </c>
      <c r="K35" s="35"/>
      <c r="L35" s="33" t="s">
        <v>364</v>
      </c>
    </row>
    <row r="36" ht="23.1" customHeight="1" spans="1:12">
      <c r="A36" s="33">
        <v>31</v>
      </c>
      <c r="B36" s="33" t="s">
        <v>111</v>
      </c>
      <c r="C36" s="33">
        <v>12031</v>
      </c>
      <c r="D36" s="33">
        <v>2</v>
      </c>
      <c r="E36" s="33">
        <v>0</v>
      </c>
      <c r="F36" s="33">
        <v>467</v>
      </c>
      <c r="G36" s="33">
        <v>467</v>
      </c>
      <c r="H36" s="33">
        <v>467</v>
      </c>
      <c r="I36" s="33">
        <v>0</v>
      </c>
      <c r="J36" s="38">
        <v>1</v>
      </c>
      <c r="K36" s="35"/>
      <c r="L36" s="33" t="s">
        <v>111</v>
      </c>
    </row>
    <row r="37" ht="23.1" customHeight="1" spans="1:12">
      <c r="A37" s="33">
        <v>32</v>
      </c>
      <c r="B37" s="33" t="s">
        <v>1150</v>
      </c>
      <c r="C37" s="33">
        <v>12032</v>
      </c>
      <c r="D37" s="33">
        <v>2</v>
      </c>
      <c r="E37" s="33">
        <v>0</v>
      </c>
      <c r="F37" s="33">
        <v>156</v>
      </c>
      <c r="G37" s="33">
        <v>156</v>
      </c>
      <c r="H37" s="33">
        <v>156</v>
      </c>
      <c r="I37" s="33">
        <v>0</v>
      </c>
      <c r="J37" s="38">
        <v>1</v>
      </c>
      <c r="K37" s="35"/>
      <c r="L37" s="33" t="s">
        <v>1150</v>
      </c>
    </row>
    <row r="38" ht="23.1" customHeight="1" spans="1:12">
      <c r="A38" s="33">
        <v>37</v>
      </c>
      <c r="B38" s="33" t="s">
        <v>120</v>
      </c>
      <c r="C38" s="33">
        <v>14009</v>
      </c>
      <c r="D38" s="33">
        <v>3</v>
      </c>
      <c r="E38" s="33">
        <v>0</v>
      </c>
      <c r="F38" s="33">
        <v>15</v>
      </c>
      <c r="G38" s="33">
        <v>15</v>
      </c>
      <c r="H38" s="33">
        <v>15</v>
      </c>
      <c r="I38" s="33">
        <v>0</v>
      </c>
      <c r="J38" s="38">
        <v>4</v>
      </c>
      <c r="K38" s="35"/>
      <c r="L38" s="33" t="s">
        <v>120</v>
      </c>
    </row>
    <row r="39" ht="23.1" customHeight="1" spans="1:12">
      <c r="A39" s="33">
        <v>38</v>
      </c>
      <c r="B39" s="33" t="s">
        <v>121</v>
      </c>
      <c r="C39" s="33">
        <v>14011</v>
      </c>
      <c r="D39" s="33">
        <v>3</v>
      </c>
      <c r="E39" s="33">
        <v>0</v>
      </c>
      <c r="F39" s="33">
        <v>18</v>
      </c>
      <c r="G39" s="33">
        <v>18</v>
      </c>
      <c r="H39" s="33">
        <v>18</v>
      </c>
      <c r="I39" s="33">
        <v>0</v>
      </c>
      <c r="J39" s="38">
        <v>4</v>
      </c>
      <c r="K39" s="35"/>
      <c r="L39" s="33" t="s">
        <v>121</v>
      </c>
    </row>
    <row r="40" ht="23.1" customHeight="1" spans="1:12">
      <c r="A40" s="33">
        <v>39</v>
      </c>
      <c r="B40" s="33" t="s">
        <v>122</v>
      </c>
      <c r="C40" s="33">
        <v>14013</v>
      </c>
      <c r="D40" s="33">
        <v>3</v>
      </c>
      <c r="E40" s="33">
        <v>0</v>
      </c>
      <c r="F40" s="33">
        <v>45</v>
      </c>
      <c r="G40" s="33">
        <v>45</v>
      </c>
      <c r="H40" s="33">
        <v>45</v>
      </c>
      <c r="I40" s="33">
        <v>0</v>
      </c>
      <c r="J40" s="38">
        <v>3</v>
      </c>
      <c r="K40" s="35"/>
      <c r="L40" s="33" t="s">
        <v>122</v>
      </c>
    </row>
    <row r="41" ht="23.1" customHeight="1" spans="1:12">
      <c r="A41" s="33">
        <v>40</v>
      </c>
      <c r="B41" s="33" t="s">
        <v>123</v>
      </c>
      <c r="C41" s="33">
        <v>14015</v>
      </c>
      <c r="D41" s="33">
        <v>3</v>
      </c>
      <c r="E41" s="33">
        <v>0</v>
      </c>
      <c r="F41" s="33">
        <v>30</v>
      </c>
      <c r="G41" s="33">
        <v>30</v>
      </c>
      <c r="H41" s="33">
        <v>30</v>
      </c>
      <c r="I41" s="33">
        <v>0</v>
      </c>
      <c r="J41" s="38">
        <v>3</v>
      </c>
      <c r="K41" s="35"/>
      <c r="L41" s="33" t="s">
        <v>123</v>
      </c>
    </row>
    <row r="42" ht="23.1" customHeight="1" spans="1:12">
      <c r="A42" s="33">
        <v>44</v>
      </c>
      <c r="B42" s="33" t="s">
        <v>124</v>
      </c>
      <c r="C42" s="33">
        <v>14020</v>
      </c>
      <c r="D42" s="33">
        <v>3</v>
      </c>
      <c r="E42" s="33">
        <v>0</v>
      </c>
      <c r="F42" s="33">
        <v>40</v>
      </c>
      <c r="G42" s="33">
        <v>40</v>
      </c>
      <c r="H42" s="33">
        <v>40</v>
      </c>
      <c r="I42" s="33">
        <v>0</v>
      </c>
      <c r="J42" s="38">
        <v>3</v>
      </c>
      <c r="K42" s="35"/>
      <c r="L42" s="33" t="s">
        <v>124</v>
      </c>
    </row>
    <row r="43" ht="23.1" customHeight="1" spans="1:12">
      <c r="A43" s="33">
        <v>48</v>
      </c>
      <c r="B43" s="33" t="s">
        <v>125</v>
      </c>
      <c r="C43" s="33">
        <v>14024</v>
      </c>
      <c r="D43" s="33">
        <v>3</v>
      </c>
      <c r="E43" s="33">
        <v>0</v>
      </c>
      <c r="F43" s="33">
        <v>75</v>
      </c>
      <c r="G43" s="33">
        <v>75</v>
      </c>
      <c r="H43" s="33">
        <v>75</v>
      </c>
      <c r="I43" s="33">
        <v>0</v>
      </c>
      <c r="J43" s="38">
        <v>2</v>
      </c>
      <c r="K43" s="35"/>
      <c r="L43" s="33" t="s">
        <v>125</v>
      </c>
    </row>
    <row r="44" ht="23.1" customHeight="1" spans="1:12">
      <c r="A44" s="33">
        <v>49</v>
      </c>
      <c r="B44" s="33" t="s">
        <v>1151</v>
      </c>
      <c r="C44" s="33">
        <v>14025</v>
      </c>
      <c r="D44" s="33">
        <v>3</v>
      </c>
      <c r="E44" s="33">
        <v>0</v>
      </c>
      <c r="F44" s="33">
        <v>100</v>
      </c>
      <c r="G44" s="33">
        <v>100</v>
      </c>
      <c r="H44" s="33">
        <v>100</v>
      </c>
      <c r="I44" s="33">
        <v>0</v>
      </c>
      <c r="J44" s="38">
        <v>2</v>
      </c>
      <c r="K44" s="35"/>
      <c r="L44" s="33" t="s">
        <v>1151</v>
      </c>
    </row>
    <row r="45" ht="23.1" customHeight="1" spans="1:12">
      <c r="A45" s="33">
        <v>49</v>
      </c>
      <c r="B45" s="33" t="s">
        <v>89</v>
      </c>
      <c r="C45" s="33">
        <v>14235</v>
      </c>
      <c r="D45" s="33">
        <v>3</v>
      </c>
      <c r="E45" s="33">
        <v>0</v>
      </c>
      <c r="F45" s="33">
        <v>38</v>
      </c>
      <c r="G45" s="33">
        <v>38</v>
      </c>
      <c r="H45" s="33">
        <v>38</v>
      </c>
      <c r="I45" s="33">
        <v>0</v>
      </c>
      <c r="J45" s="38">
        <v>2</v>
      </c>
      <c r="K45" s="35"/>
      <c r="L45" s="33" t="s">
        <v>89</v>
      </c>
    </row>
    <row r="46" ht="23.1" customHeight="1" spans="1:12">
      <c r="A46" s="33">
        <v>49</v>
      </c>
      <c r="B46" s="33" t="s">
        <v>101</v>
      </c>
      <c r="C46" s="33">
        <v>14090</v>
      </c>
      <c r="D46" s="33">
        <v>3</v>
      </c>
      <c r="E46" s="33">
        <v>0</v>
      </c>
      <c r="F46" s="33">
        <v>63</v>
      </c>
      <c r="G46" s="33">
        <v>63</v>
      </c>
      <c r="H46" s="33">
        <v>63</v>
      </c>
      <c r="I46" s="33">
        <v>0</v>
      </c>
      <c r="J46" s="38">
        <v>2</v>
      </c>
      <c r="K46" s="35"/>
      <c r="L46" s="33" t="s">
        <v>101</v>
      </c>
    </row>
    <row r="47" ht="23.1" customHeight="1" spans="1:12">
      <c r="A47" s="33">
        <v>50</v>
      </c>
      <c r="B47" s="33" t="s">
        <v>131</v>
      </c>
      <c r="C47" s="33">
        <v>15033</v>
      </c>
      <c r="D47" s="33">
        <v>4</v>
      </c>
      <c r="E47" s="33">
        <v>0</v>
      </c>
      <c r="F47" s="33">
        <v>1</v>
      </c>
      <c r="G47" s="33">
        <v>100000</v>
      </c>
      <c r="H47" s="33">
        <v>100000</v>
      </c>
      <c r="I47" s="33">
        <v>100000</v>
      </c>
      <c r="J47" s="38">
        <v>1</v>
      </c>
      <c r="K47" s="35"/>
      <c r="L47" s="33" t="s">
        <v>131</v>
      </c>
    </row>
    <row r="48" ht="23.1" customHeight="1" spans="1:12">
      <c r="A48" s="33">
        <v>51</v>
      </c>
      <c r="B48" s="33" t="s">
        <v>134</v>
      </c>
      <c r="C48" s="33">
        <v>15034</v>
      </c>
      <c r="D48" s="33">
        <v>4</v>
      </c>
      <c r="E48" s="33">
        <v>0</v>
      </c>
      <c r="F48" s="33">
        <v>5</v>
      </c>
      <c r="G48" s="33">
        <v>100000</v>
      </c>
      <c r="H48" s="33">
        <v>100000</v>
      </c>
      <c r="I48" s="33">
        <v>100000</v>
      </c>
      <c r="J48" s="38">
        <v>1</v>
      </c>
      <c r="K48" s="35"/>
      <c r="L48" s="33" t="s">
        <v>134</v>
      </c>
    </row>
    <row r="49" ht="23.1" customHeight="1" spans="1:12">
      <c r="A49" s="33">
        <v>52</v>
      </c>
      <c r="B49" s="33" t="s">
        <v>137</v>
      </c>
      <c r="C49" s="33">
        <v>15035</v>
      </c>
      <c r="D49" s="33">
        <v>4</v>
      </c>
      <c r="E49" s="33">
        <v>0</v>
      </c>
      <c r="F49" s="33">
        <v>10</v>
      </c>
      <c r="G49" s="33">
        <v>100000</v>
      </c>
      <c r="H49" s="33">
        <v>100000</v>
      </c>
      <c r="I49" s="33">
        <v>100000</v>
      </c>
      <c r="J49" s="38">
        <v>1</v>
      </c>
      <c r="K49" s="35"/>
      <c r="L49" s="33" t="s">
        <v>137</v>
      </c>
    </row>
    <row r="50" ht="23.1" customHeight="1" spans="1:12">
      <c r="A50" s="33">
        <v>53</v>
      </c>
      <c r="B50" s="33" t="s">
        <v>140</v>
      </c>
      <c r="C50" s="33">
        <v>15036</v>
      </c>
      <c r="D50" s="33">
        <v>4</v>
      </c>
      <c r="E50" s="33">
        <v>0</v>
      </c>
      <c r="F50" s="33">
        <v>40</v>
      </c>
      <c r="G50" s="33">
        <v>100000</v>
      </c>
      <c r="H50" s="33">
        <v>100000</v>
      </c>
      <c r="I50" s="33">
        <v>100000</v>
      </c>
      <c r="J50" s="38">
        <v>1</v>
      </c>
      <c r="K50" s="35"/>
      <c r="L50" s="33" t="s">
        <v>140</v>
      </c>
    </row>
    <row r="51" ht="23.1" customHeight="1" spans="1:12">
      <c r="A51" s="33">
        <v>54</v>
      </c>
      <c r="B51" s="33" t="s">
        <v>143</v>
      </c>
      <c r="C51" s="33">
        <v>15037</v>
      </c>
      <c r="D51" s="33">
        <v>4</v>
      </c>
      <c r="E51" s="33">
        <v>0</v>
      </c>
      <c r="F51" s="33">
        <v>100</v>
      </c>
      <c r="G51" s="33">
        <v>100000</v>
      </c>
      <c r="H51" s="33">
        <v>100000</v>
      </c>
      <c r="I51" s="33">
        <v>100000</v>
      </c>
      <c r="J51" s="38">
        <v>1</v>
      </c>
      <c r="K51" s="35"/>
      <c r="L51" s="33" t="s">
        <v>143</v>
      </c>
    </row>
    <row r="52" ht="23.1" customHeight="1" spans="1:12">
      <c r="A52" s="33">
        <v>55</v>
      </c>
      <c r="B52" s="33" t="s">
        <v>146</v>
      </c>
      <c r="C52" s="33">
        <v>15038</v>
      </c>
      <c r="D52" s="33">
        <v>4</v>
      </c>
      <c r="E52" s="33">
        <v>0</v>
      </c>
      <c r="F52" s="33">
        <v>200</v>
      </c>
      <c r="G52" s="33">
        <v>100000</v>
      </c>
      <c r="H52" s="33">
        <v>100000</v>
      </c>
      <c r="I52" s="33">
        <v>100000</v>
      </c>
      <c r="J52" s="38">
        <v>1</v>
      </c>
      <c r="K52" s="35"/>
      <c r="L52" s="33" t="s">
        <v>146</v>
      </c>
    </row>
    <row r="53" ht="23.1" customHeight="1" spans="1:12">
      <c r="A53" s="33">
        <v>56</v>
      </c>
      <c r="B53" s="33" t="s">
        <v>149</v>
      </c>
      <c r="C53" s="33">
        <v>15039</v>
      </c>
      <c r="D53" s="33">
        <v>4</v>
      </c>
      <c r="E53" s="33">
        <v>0</v>
      </c>
      <c r="F53" s="33">
        <v>300</v>
      </c>
      <c r="G53" s="33">
        <v>100000</v>
      </c>
      <c r="H53" s="33">
        <v>100000</v>
      </c>
      <c r="I53" s="33">
        <v>100000</v>
      </c>
      <c r="J53" s="38">
        <v>1</v>
      </c>
      <c r="K53" s="35"/>
      <c r="L53" s="33" t="s">
        <v>149</v>
      </c>
    </row>
    <row r="54" ht="23.1" customHeight="1" spans="1:12">
      <c r="A54" s="33">
        <v>57</v>
      </c>
      <c r="B54" s="33" t="s">
        <v>180</v>
      </c>
      <c r="C54" s="33">
        <v>16040</v>
      </c>
      <c r="D54" s="33">
        <v>5</v>
      </c>
      <c r="E54" s="33">
        <v>0</v>
      </c>
      <c r="F54" s="33">
        <v>0</v>
      </c>
      <c r="G54" s="33">
        <v>100</v>
      </c>
      <c r="H54" s="33">
        <v>1000</v>
      </c>
      <c r="I54" s="33">
        <v>100</v>
      </c>
      <c r="J54" s="38">
        <v>1</v>
      </c>
      <c r="K54" s="35"/>
      <c r="L54" s="33" t="s">
        <v>180</v>
      </c>
    </row>
    <row r="55" ht="23.1" customHeight="1" spans="1:12">
      <c r="A55" s="33">
        <v>63</v>
      </c>
      <c r="B55" s="33" t="s">
        <v>183</v>
      </c>
      <c r="C55" s="33">
        <v>22041</v>
      </c>
      <c r="D55" s="33">
        <v>6</v>
      </c>
      <c r="E55" s="33">
        <v>0</v>
      </c>
      <c r="F55" s="33">
        <v>0</v>
      </c>
      <c r="G55" s="33">
        <v>0</v>
      </c>
      <c r="H55" s="33">
        <v>0</v>
      </c>
      <c r="I55" s="33">
        <v>1</v>
      </c>
      <c r="J55" s="38">
        <v>1</v>
      </c>
      <c r="K55" s="35"/>
      <c r="L55" s="33" t="s">
        <v>183</v>
      </c>
    </row>
    <row r="56" ht="23.1" customHeight="1" spans="1:12">
      <c r="A56" s="33">
        <v>64</v>
      </c>
      <c r="B56" s="33" t="s">
        <v>185</v>
      </c>
      <c r="C56" s="33">
        <v>23042</v>
      </c>
      <c r="D56" s="33">
        <v>7</v>
      </c>
      <c r="E56" s="33">
        <v>0</v>
      </c>
      <c r="F56" s="33">
        <v>0</v>
      </c>
      <c r="G56" s="33">
        <v>0</v>
      </c>
      <c r="H56" s="33">
        <v>0</v>
      </c>
      <c r="I56" s="33">
        <v>1</v>
      </c>
      <c r="J56" s="38">
        <v>1</v>
      </c>
      <c r="K56" s="35"/>
      <c r="L56" s="33" t="s">
        <v>185</v>
      </c>
    </row>
    <row r="57" ht="23.1" customHeight="1" spans="1:12">
      <c r="A57" s="33">
        <v>115</v>
      </c>
      <c r="B57" s="33" t="s">
        <v>278</v>
      </c>
      <c r="C57" s="33">
        <v>37083</v>
      </c>
      <c r="D57" s="33">
        <v>21</v>
      </c>
      <c r="E57" s="33" t="s">
        <v>279</v>
      </c>
      <c r="F57" s="33">
        <v>0</v>
      </c>
      <c r="G57" s="33">
        <v>40</v>
      </c>
      <c r="H57" s="33">
        <v>40</v>
      </c>
      <c r="I57" s="33">
        <v>0</v>
      </c>
      <c r="J57" s="39">
        <v>0</v>
      </c>
      <c r="K57" s="33"/>
      <c r="L57" s="33" t="s">
        <v>278</v>
      </c>
    </row>
    <row r="58" ht="23.1" customHeight="1" spans="1:12">
      <c r="A58" s="33">
        <v>116</v>
      </c>
      <c r="B58" s="33" t="s">
        <v>278</v>
      </c>
      <c r="C58" s="33">
        <v>37084</v>
      </c>
      <c r="D58" s="33">
        <v>21</v>
      </c>
      <c r="E58" s="33" t="s">
        <v>280</v>
      </c>
      <c r="F58" s="33">
        <v>0</v>
      </c>
      <c r="G58" s="33">
        <v>100</v>
      </c>
      <c r="H58" s="33">
        <v>100</v>
      </c>
      <c r="I58" s="33">
        <v>0</v>
      </c>
      <c r="J58" s="39">
        <v>0</v>
      </c>
      <c r="K58" s="33"/>
      <c r="L58" s="33" t="s">
        <v>278</v>
      </c>
    </row>
  </sheetData>
  <pageMargins left="0.75" right="0.75" top="1" bottom="1" header="0.5" footer="0.5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7"/>
  <sheetViews>
    <sheetView workbookViewId="0">
      <selection activeCell="C26" sqref="C26"/>
    </sheetView>
  </sheetViews>
  <sheetFormatPr defaultColWidth="9" defaultRowHeight="23.1" customHeight="1" outlineLevelRow="6" outlineLevelCol="4"/>
  <sheetData>
    <row r="1" customHeight="1" spans="1:5">
      <c r="A1" s="25" t="s">
        <v>434</v>
      </c>
      <c r="B1" s="25" t="s">
        <v>435</v>
      </c>
      <c r="C1" s="25" t="s">
        <v>31</v>
      </c>
      <c r="D1" s="25" t="s">
        <v>436</v>
      </c>
      <c r="E1" s="25" t="s">
        <v>32</v>
      </c>
    </row>
    <row r="2" customHeight="1" spans="1:5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</row>
    <row r="3" customHeight="1" spans="1:5">
      <c r="A3" s="25" t="s">
        <v>1093</v>
      </c>
      <c r="B3" s="25" t="s">
        <v>447</v>
      </c>
      <c r="C3" s="25" t="s">
        <v>448</v>
      </c>
      <c r="D3" s="25" t="s">
        <v>447</v>
      </c>
      <c r="E3" s="25" t="s">
        <v>448</v>
      </c>
    </row>
    <row r="4" customHeight="1" spans="1:5">
      <c r="A4" s="25">
        <v>44101</v>
      </c>
      <c r="B4" s="25">
        <v>37083</v>
      </c>
      <c r="C4" s="25">
        <v>10000</v>
      </c>
      <c r="D4" s="25">
        <v>37084</v>
      </c>
      <c r="E4" s="25">
        <v>0</v>
      </c>
    </row>
    <row r="5" customHeight="1" spans="1:5">
      <c r="A5" s="25">
        <v>44102</v>
      </c>
      <c r="B5" s="25">
        <v>37083</v>
      </c>
      <c r="C5" s="25">
        <v>0</v>
      </c>
      <c r="D5" s="25">
        <v>37084</v>
      </c>
      <c r="E5" s="25">
        <v>10000</v>
      </c>
    </row>
    <row r="6" customHeight="1" spans="1:5">
      <c r="A6" s="25">
        <v>44103</v>
      </c>
      <c r="B6" s="25">
        <v>37083</v>
      </c>
      <c r="C6" s="25">
        <v>0</v>
      </c>
      <c r="D6" s="25">
        <v>37084</v>
      </c>
      <c r="E6" s="25">
        <v>10000</v>
      </c>
    </row>
    <row r="7" customHeight="1" spans="1:5">
      <c r="A7" s="25">
        <v>44104</v>
      </c>
      <c r="B7" s="25">
        <v>37083</v>
      </c>
      <c r="C7" s="25">
        <v>10000</v>
      </c>
      <c r="D7" s="25">
        <v>37084</v>
      </c>
      <c r="E7" s="25">
        <v>0</v>
      </c>
    </row>
  </sheetData>
  <pageMargins left="0.75" right="0.75" top="1" bottom="1" header="0.5" footer="0.5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K7"/>
  <sheetViews>
    <sheetView topLeftCell="N1" workbookViewId="0">
      <selection activeCell="O5" sqref="O5"/>
    </sheetView>
  </sheetViews>
  <sheetFormatPr defaultColWidth="11.0986842105263" defaultRowHeight="23.1" customHeight="1" outlineLevelRow="6"/>
  <cols>
    <col min="1" max="1" width="8" customWidth="1"/>
    <col min="2" max="2" width="10.0986842105263" customWidth="1"/>
    <col min="3" max="3" width="8.19736842105263" customWidth="1"/>
    <col min="4" max="4" width="6.40131578947368" customWidth="1"/>
    <col min="5" max="5" width="8.19736842105263" customWidth="1"/>
    <col min="6" max="6" width="6.40131578947368" customWidth="1"/>
    <col min="7" max="7" width="8.19736842105263" customWidth="1"/>
    <col min="8" max="8" width="6.40131578947368" customWidth="1"/>
    <col min="9" max="9" width="8.19736842105263" customWidth="1"/>
    <col min="10" max="10" width="6.40131578947368" customWidth="1"/>
    <col min="11" max="11" width="10.0986842105263" customWidth="1"/>
    <col min="12" max="12" width="8.19736842105263" customWidth="1"/>
    <col min="13" max="13" width="6.40131578947368" customWidth="1"/>
    <col min="14" max="14" width="8.19736842105263" customWidth="1"/>
    <col min="15" max="15" width="6.40131578947368" customWidth="1"/>
    <col min="16" max="16" width="8.19736842105263" customWidth="1"/>
    <col min="17" max="17" width="6.40131578947368" customWidth="1"/>
    <col min="18" max="18" width="8.19736842105263" customWidth="1"/>
    <col min="19" max="19" width="6.40131578947368" customWidth="1"/>
    <col min="20" max="20" width="10.0986842105263" customWidth="1"/>
    <col min="21" max="21" width="8.19736842105263" customWidth="1"/>
    <col min="22" max="22" width="6.40131578947368" customWidth="1"/>
    <col min="23" max="23" width="8.19736842105263" customWidth="1"/>
    <col min="24" max="24" width="6.40131578947368" customWidth="1"/>
    <col min="25" max="25" width="8.19736842105263" customWidth="1"/>
    <col min="26" max="26" width="6.40131578947368" customWidth="1"/>
    <col min="27" max="27" width="8.19736842105263" customWidth="1"/>
    <col min="28" max="28" width="6.40131578947368" customWidth="1"/>
    <col min="29" max="29" width="10.0986842105263" customWidth="1"/>
    <col min="30" max="30" width="8.19736842105263" customWidth="1"/>
    <col min="31" max="31" width="6.40131578947368" customWidth="1"/>
    <col min="32" max="32" width="8.19736842105263" customWidth="1"/>
    <col min="33" max="33" width="6.40131578947368" customWidth="1"/>
    <col min="34" max="34" width="8.19736842105263" customWidth="1"/>
    <col min="35" max="35" width="6.40131578947368" customWidth="1"/>
    <col min="36" max="36" width="8.19736842105263" customWidth="1"/>
    <col min="37" max="37" width="6.40131578947368" customWidth="1"/>
  </cols>
  <sheetData>
    <row r="1" customHeight="1" spans="1:37">
      <c r="A1" s="25" t="s">
        <v>434</v>
      </c>
      <c r="B1" s="25" t="s">
        <v>1152</v>
      </c>
      <c r="C1" s="25" t="s">
        <v>1124</v>
      </c>
      <c r="D1" s="25" t="s">
        <v>31</v>
      </c>
      <c r="E1" s="25" t="s">
        <v>1127</v>
      </c>
      <c r="F1" s="25" t="s">
        <v>32</v>
      </c>
      <c r="G1" s="25" t="s">
        <v>1129</v>
      </c>
      <c r="H1" s="25" t="s">
        <v>438</v>
      </c>
      <c r="I1" s="25" t="s">
        <v>1131</v>
      </c>
      <c r="J1" s="25" t="s">
        <v>440</v>
      </c>
      <c r="K1" s="32" t="s">
        <v>1152</v>
      </c>
      <c r="L1" s="25" t="s">
        <v>1124</v>
      </c>
      <c r="M1" s="25" t="s">
        <v>31</v>
      </c>
      <c r="N1" s="25" t="s">
        <v>1127</v>
      </c>
      <c r="O1" s="25" t="s">
        <v>32</v>
      </c>
      <c r="P1" s="25" t="s">
        <v>1129</v>
      </c>
      <c r="Q1" s="25" t="s">
        <v>438</v>
      </c>
      <c r="R1" s="25" t="s">
        <v>1131</v>
      </c>
      <c r="S1" s="25" t="s">
        <v>440</v>
      </c>
      <c r="T1" s="32" t="s">
        <v>1152</v>
      </c>
      <c r="U1" s="25" t="s">
        <v>1124</v>
      </c>
      <c r="V1" s="25" t="s">
        <v>31</v>
      </c>
      <c r="W1" s="25" t="s">
        <v>1127</v>
      </c>
      <c r="X1" s="25" t="s">
        <v>32</v>
      </c>
      <c r="Y1" s="25" t="s">
        <v>1129</v>
      </c>
      <c r="Z1" s="25" t="s">
        <v>438</v>
      </c>
      <c r="AA1" s="25" t="s">
        <v>1131</v>
      </c>
      <c r="AB1" s="25" t="s">
        <v>440</v>
      </c>
      <c r="AC1" s="32" t="s">
        <v>1152</v>
      </c>
      <c r="AD1" s="25" t="s">
        <v>1124</v>
      </c>
      <c r="AE1" s="25" t="s">
        <v>31</v>
      </c>
      <c r="AF1" s="25" t="s">
        <v>1127</v>
      </c>
      <c r="AG1" s="25" t="s">
        <v>32</v>
      </c>
      <c r="AH1" s="25" t="s">
        <v>1129</v>
      </c>
      <c r="AI1" s="25" t="s">
        <v>438</v>
      </c>
      <c r="AJ1" s="25" t="s">
        <v>1131</v>
      </c>
      <c r="AK1" s="25" t="s">
        <v>440</v>
      </c>
    </row>
    <row r="2" customHeight="1" spans="1:37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  <c r="J2" s="25" t="s">
        <v>40</v>
      </c>
      <c r="K2" s="32" t="s">
        <v>40</v>
      </c>
      <c r="L2" s="25" t="s">
        <v>40</v>
      </c>
      <c r="M2" s="25" t="s">
        <v>40</v>
      </c>
      <c r="N2" s="25" t="s">
        <v>40</v>
      </c>
      <c r="O2" s="25" t="s">
        <v>40</v>
      </c>
      <c r="P2" s="25" t="s">
        <v>40</v>
      </c>
      <c r="Q2" s="25" t="s">
        <v>40</v>
      </c>
      <c r="R2" s="25" t="s">
        <v>40</v>
      </c>
      <c r="S2" s="25" t="s">
        <v>40</v>
      </c>
      <c r="T2" s="32" t="s">
        <v>40</v>
      </c>
      <c r="U2" s="25" t="s">
        <v>40</v>
      </c>
      <c r="V2" s="25" t="s">
        <v>40</v>
      </c>
      <c r="W2" s="25" t="s">
        <v>40</v>
      </c>
      <c r="X2" s="25" t="s">
        <v>40</v>
      </c>
      <c r="Y2" s="25" t="s">
        <v>40</v>
      </c>
      <c r="Z2" s="25" t="s">
        <v>40</v>
      </c>
      <c r="AA2" s="25" t="s">
        <v>40</v>
      </c>
      <c r="AB2" s="25" t="s">
        <v>40</v>
      </c>
      <c r="AC2" s="32" t="s">
        <v>40</v>
      </c>
      <c r="AD2" s="25" t="s">
        <v>40</v>
      </c>
      <c r="AE2" s="25" t="s">
        <v>40</v>
      </c>
      <c r="AF2" s="25" t="s">
        <v>40</v>
      </c>
      <c r="AG2" s="25" t="s">
        <v>40</v>
      </c>
      <c r="AH2" s="25" t="s">
        <v>40</v>
      </c>
      <c r="AI2" s="25" t="s">
        <v>40</v>
      </c>
      <c r="AJ2" s="25" t="s">
        <v>40</v>
      </c>
      <c r="AK2" s="25" t="s">
        <v>40</v>
      </c>
    </row>
    <row r="3" customHeight="1" spans="1:37">
      <c r="A3" s="25" t="s">
        <v>1093</v>
      </c>
      <c r="B3" s="25" t="s">
        <v>1153</v>
      </c>
      <c r="C3" s="25" t="s">
        <v>1035</v>
      </c>
      <c r="D3" s="25" t="s">
        <v>448</v>
      </c>
      <c r="E3" s="25" t="s">
        <v>1035</v>
      </c>
      <c r="F3" s="25" t="s">
        <v>448</v>
      </c>
      <c r="G3" s="25" t="s">
        <v>1035</v>
      </c>
      <c r="H3" s="25" t="s">
        <v>448</v>
      </c>
      <c r="I3" s="25" t="s">
        <v>1035</v>
      </c>
      <c r="J3" s="25" t="s">
        <v>448</v>
      </c>
      <c r="K3" s="32" t="s">
        <v>1153</v>
      </c>
      <c r="L3" s="25" t="s">
        <v>1035</v>
      </c>
      <c r="M3" s="25" t="s">
        <v>448</v>
      </c>
      <c r="N3" s="25" t="s">
        <v>1035</v>
      </c>
      <c r="O3" s="25" t="s">
        <v>448</v>
      </c>
      <c r="P3" s="25" t="s">
        <v>1035</v>
      </c>
      <c r="Q3" s="25" t="s">
        <v>448</v>
      </c>
      <c r="R3" s="25" t="s">
        <v>1035</v>
      </c>
      <c r="S3" s="25" t="s">
        <v>448</v>
      </c>
      <c r="T3" s="32" t="s">
        <v>1153</v>
      </c>
      <c r="U3" s="25" t="s">
        <v>1035</v>
      </c>
      <c r="V3" s="25" t="s">
        <v>448</v>
      </c>
      <c r="W3" s="25" t="s">
        <v>1035</v>
      </c>
      <c r="X3" s="25" t="s">
        <v>448</v>
      </c>
      <c r="Y3" s="25" t="s">
        <v>1035</v>
      </c>
      <c r="Z3" s="25" t="s">
        <v>448</v>
      </c>
      <c r="AA3" s="25" t="s">
        <v>1035</v>
      </c>
      <c r="AB3" s="25" t="s">
        <v>448</v>
      </c>
      <c r="AC3" s="32" t="s">
        <v>1153</v>
      </c>
      <c r="AD3" s="25" t="s">
        <v>1035</v>
      </c>
      <c r="AE3" s="25" t="s">
        <v>448</v>
      </c>
      <c r="AF3" s="25" t="s">
        <v>1035</v>
      </c>
      <c r="AG3" s="25" t="s">
        <v>448</v>
      </c>
      <c r="AH3" s="25" t="s">
        <v>1035</v>
      </c>
      <c r="AI3" s="25" t="s">
        <v>448</v>
      </c>
      <c r="AJ3" s="25" t="s">
        <v>1035</v>
      </c>
      <c r="AK3" s="25" t="s">
        <v>448</v>
      </c>
    </row>
    <row r="4" customHeight="1" spans="1:37">
      <c r="A4" s="25">
        <v>44101</v>
      </c>
      <c r="B4" s="25">
        <v>2500</v>
      </c>
      <c r="C4" s="30">
        <v>1</v>
      </c>
      <c r="D4" s="25">
        <v>5000</v>
      </c>
      <c r="E4" s="25">
        <v>2</v>
      </c>
      <c r="F4" s="25">
        <v>5000</v>
      </c>
      <c r="G4" s="31">
        <v>3</v>
      </c>
      <c r="H4" s="25">
        <v>0</v>
      </c>
      <c r="I4" s="30">
        <v>5</v>
      </c>
      <c r="J4" s="25">
        <v>0</v>
      </c>
      <c r="K4" s="32">
        <v>5000</v>
      </c>
      <c r="L4" s="30">
        <v>1</v>
      </c>
      <c r="M4" s="25">
        <v>4000</v>
      </c>
      <c r="N4" s="25">
        <v>2</v>
      </c>
      <c r="O4" s="25">
        <v>5000</v>
      </c>
      <c r="P4" s="31">
        <v>3</v>
      </c>
      <c r="Q4" s="25">
        <v>1000</v>
      </c>
      <c r="R4" s="30">
        <v>5</v>
      </c>
      <c r="S4" s="25">
        <v>0</v>
      </c>
      <c r="T4" s="32">
        <v>7500</v>
      </c>
      <c r="U4" s="30">
        <v>1</v>
      </c>
      <c r="V4" s="25">
        <v>3000</v>
      </c>
      <c r="W4" s="25">
        <v>2</v>
      </c>
      <c r="X4" s="25">
        <v>4200</v>
      </c>
      <c r="Y4" s="31">
        <v>3</v>
      </c>
      <c r="Z4" s="25">
        <v>2500</v>
      </c>
      <c r="AA4" s="30">
        <v>5</v>
      </c>
      <c r="AB4" s="25">
        <v>300</v>
      </c>
      <c r="AC4" s="32">
        <v>10000</v>
      </c>
      <c r="AD4" s="30">
        <v>1</v>
      </c>
      <c r="AE4" s="25">
        <v>3000</v>
      </c>
      <c r="AF4" s="25">
        <v>2</v>
      </c>
      <c r="AG4" s="25">
        <v>3500</v>
      </c>
      <c r="AH4" s="31">
        <v>3</v>
      </c>
      <c r="AI4" s="25">
        <v>2500</v>
      </c>
      <c r="AJ4" s="30">
        <v>5</v>
      </c>
      <c r="AK4" s="25">
        <v>1000</v>
      </c>
    </row>
    <row r="5" customHeight="1" spans="1:37">
      <c r="A5" s="25">
        <v>44102</v>
      </c>
      <c r="B5" s="25">
        <v>2500</v>
      </c>
      <c r="C5" s="30">
        <v>1</v>
      </c>
      <c r="D5" s="25">
        <v>5000</v>
      </c>
      <c r="E5" s="25">
        <v>2</v>
      </c>
      <c r="F5" s="25">
        <v>5000</v>
      </c>
      <c r="G5" s="31">
        <v>3</v>
      </c>
      <c r="H5" s="25">
        <v>0</v>
      </c>
      <c r="I5" s="30">
        <v>5</v>
      </c>
      <c r="J5" s="25">
        <v>0</v>
      </c>
      <c r="K5" s="32">
        <v>5000</v>
      </c>
      <c r="L5" s="30">
        <v>1</v>
      </c>
      <c r="M5" s="25">
        <v>4000</v>
      </c>
      <c r="N5" s="25">
        <v>2</v>
      </c>
      <c r="O5" s="25">
        <v>5000</v>
      </c>
      <c r="P5" s="31">
        <v>3</v>
      </c>
      <c r="Q5" s="25">
        <v>1000</v>
      </c>
      <c r="R5" s="30">
        <v>5</v>
      </c>
      <c r="S5" s="25">
        <v>0</v>
      </c>
      <c r="T5" s="32">
        <v>7500</v>
      </c>
      <c r="U5" s="30">
        <v>1</v>
      </c>
      <c r="V5" s="25">
        <v>3000</v>
      </c>
      <c r="W5" s="25">
        <v>2</v>
      </c>
      <c r="X5" s="25">
        <v>4200</v>
      </c>
      <c r="Y5" s="31">
        <v>3</v>
      </c>
      <c r="Z5" s="25">
        <v>2500</v>
      </c>
      <c r="AA5" s="30">
        <v>5</v>
      </c>
      <c r="AB5" s="25">
        <v>300</v>
      </c>
      <c r="AC5" s="32">
        <v>10000</v>
      </c>
      <c r="AD5" s="30">
        <v>1</v>
      </c>
      <c r="AE5" s="25">
        <v>3000</v>
      </c>
      <c r="AF5" s="25">
        <v>2</v>
      </c>
      <c r="AG5" s="25">
        <v>3500</v>
      </c>
      <c r="AH5" s="31">
        <v>3</v>
      </c>
      <c r="AI5" s="25">
        <v>2500</v>
      </c>
      <c r="AJ5" s="30">
        <v>5</v>
      </c>
      <c r="AK5" s="25">
        <v>1000</v>
      </c>
    </row>
    <row r="6" customHeight="1" spans="1:37">
      <c r="A6" s="25">
        <v>44103</v>
      </c>
      <c r="B6" s="25">
        <v>2500</v>
      </c>
      <c r="C6" s="30">
        <v>1</v>
      </c>
      <c r="D6" s="25">
        <v>5000</v>
      </c>
      <c r="E6" s="25">
        <v>2</v>
      </c>
      <c r="F6" s="25">
        <v>5000</v>
      </c>
      <c r="G6" s="31">
        <v>3</v>
      </c>
      <c r="H6" s="25">
        <v>0</v>
      </c>
      <c r="I6" s="30">
        <v>5</v>
      </c>
      <c r="J6" s="25">
        <v>0</v>
      </c>
      <c r="K6" s="32">
        <v>5000</v>
      </c>
      <c r="L6" s="30">
        <v>1</v>
      </c>
      <c r="M6" s="25">
        <v>4000</v>
      </c>
      <c r="N6" s="25">
        <v>2</v>
      </c>
      <c r="O6" s="25">
        <v>5000</v>
      </c>
      <c r="P6" s="31">
        <v>3</v>
      </c>
      <c r="Q6" s="25">
        <v>1000</v>
      </c>
      <c r="R6" s="30">
        <v>5</v>
      </c>
      <c r="S6" s="25">
        <v>0</v>
      </c>
      <c r="T6" s="32">
        <v>7500</v>
      </c>
      <c r="U6" s="30">
        <v>1</v>
      </c>
      <c r="V6" s="25">
        <v>3000</v>
      </c>
      <c r="W6" s="25">
        <v>2</v>
      </c>
      <c r="X6" s="25">
        <v>4200</v>
      </c>
      <c r="Y6" s="31">
        <v>3</v>
      </c>
      <c r="Z6" s="25">
        <v>2500</v>
      </c>
      <c r="AA6" s="30">
        <v>5</v>
      </c>
      <c r="AB6" s="25">
        <v>300</v>
      </c>
      <c r="AC6" s="32">
        <v>10000</v>
      </c>
      <c r="AD6" s="30">
        <v>1</v>
      </c>
      <c r="AE6" s="25">
        <v>3000</v>
      </c>
      <c r="AF6" s="25">
        <v>2</v>
      </c>
      <c r="AG6" s="25">
        <v>3500</v>
      </c>
      <c r="AH6" s="31">
        <v>3</v>
      </c>
      <c r="AI6" s="25">
        <v>2500</v>
      </c>
      <c r="AJ6" s="30">
        <v>5</v>
      </c>
      <c r="AK6" s="25">
        <v>1000</v>
      </c>
    </row>
    <row r="7" customHeight="1" spans="1:37">
      <c r="A7" s="25">
        <v>44104</v>
      </c>
      <c r="B7" s="25">
        <v>2500</v>
      </c>
      <c r="C7" s="30">
        <v>1</v>
      </c>
      <c r="D7" s="25">
        <v>5000</v>
      </c>
      <c r="E7" s="25">
        <v>2</v>
      </c>
      <c r="F7" s="25">
        <v>5000</v>
      </c>
      <c r="G7" s="31">
        <v>3</v>
      </c>
      <c r="H7" s="25">
        <v>0</v>
      </c>
      <c r="I7" s="30">
        <v>5</v>
      </c>
      <c r="J7" s="25">
        <v>0</v>
      </c>
      <c r="K7" s="32">
        <v>5000</v>
      </c>
      <c r="L7" s="30">
        <v>1</v>
      </c>
      <c r="M7" s="25">
        <v>4000</v>
      </c>
      <c r="N7" s="25">
        <v>2</v>
      </c>
      <c r="O7" s="25">
        <v>5000</v>
      </c>
      <c r="P7" s="31">
        <v>3</v>
      </c>
      <c r="Q7" s="25">
        <v>1000</v>
      </c>
      <c r="R7" s="30">
        <v>5</v>
      </c>
      <c r="S7" s="25">
        <v>0</v>
      </c>
      <c r="T7" s="32">
        <v>7500</v>
      </c>
      <c r="U7" s="30">
        <v>1</v>
      </c>
      <c r="V7" s="25">
        <v>3000</v>
      </c>
      <c r="W7" s="25">
        <v>2</v>
      </c>
      <c r="X7" s="25">
        <v>4200</v>
      </c>
      <c r="Y7" s="31">
        <v>3</v>
      </c>
      <c r="Z7" s="25">
        <v>2500</v>
      </c>
      <c r="AA7" s="30">
        <v>5</v>
      </c>
      <c r="AB7" s="25">
        <v>300</v>
      </c>
      <c r="AC7" s="32">
        <v>10000</v>
      </c>
      <c r="AD7" s="30">
        <v>1</v>
      </c>
      <c r="AE7" s="25">
        <v>3000</v>
      </c>
      <c r="AF7" s="25">
        <v>2</v>
      </c>
      <c r="AG7" s="25">
        <v>3500</v>
      </c>
      <c r="AH7" s="31">
        <v>3</v>
      </c>
      <c r="AI7" s="25">
        <v>2500</v>
      </c>
      <c r="AJ7" s="30">
        <v>5</v>
      </c>
      <c r="AK7" s="25">
        <v>1000</v>
      </c>
    </row>
  </sheetData>
  <pageMargins left="0.699305555555556" right="0.699305555555556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7"/>
  <sheetViews>
    <sheetView workbookViewId="0">
      <selection activeCell="B18" sqref="B18"/>
    </sheetView>
  </sheetViews>
  <sheetFormatPr defaultColWidth="8.79605263157895" defaultRowHeight="15.2" outlineLevelRow="6"/>
  <cols>
    <col min="2" max="2" width="57.4013157894737" customWidth="1"/>
  </cols>
  <sheetData>
    <row r="1" ht="18" spans="1:11">
      <c r="A1" s="25" t="s">
        <v>434</v>
      </c>
      <c r="B1" s="25" t="s">
        <v>1154</v>
      </c>
      <c r="C1" s="25" t="s">
        <v>831</v>
      </c>
      <c r="D1" s="25" t="s">
        <v>1124</v>
      </c>
      <c r="E1" s="25" t="s">
        <v>31</v>
      </c>
      <c r="F1" s="25" t="s">
        <v>1127</v>
      </c>
      <c r="G1" s="25" t="s">
        <v>32</v>
      </c>
      <c r="H1" s="25" t="s">
        <v>1129</v>
      </c>
      <c r="I1" s="25" t="s">
        <v>438</v>
      </c>
      <c r="J1" s="25" t="s">
        <v>1131</v>
      </c>
      <c r="K1" s="25" t="s">
        <v>440</v>
      </c>
    </row>
    <row r="2" ht="18" spans="1:11">
      <c r="A2" s="25" t="s">
        <v>40</v>
      </c>
      <c r="B2" s="25" t="s">
        <v>41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  <c r="J2" s="25" t="s">
        <v>40</v>
      </c>
      <c r="K2" s="25" t="s">
        <v>40</v>
      </c>
    </row>
    <row r="3" ht="50" spans="1:11">
      <c r="A3" s="25" t="s">
        <v>1093</v>
      </c>
      <c r="B3" s="25" t="s">
        <v>1155</v>
      </c>
      <c r="C3" s="25" t="s">
        <v>1156</v>
      </c>
      <c r="D3" s="25" t="s">
        <v>1035</v>
      </c>
      <c r="E3" s="25" t="s">
        <v>448</v>
      </c>
      <c r="F3" s="25" t="s">
        <v>1035</v>
      </c>
      <c r="G3" s="25" t="s">
        <v>448</v>
      </c>
      <c r="H3" s="25" t="s">
        <v>1035</v>
      </c>
      <c r="I3" s="25" t="s">
        <v>448</v>
      </c>
      <c r="J3" s="25" t="s">
        <v>1035</v>
      </c>
      <c r="K3" s="25" t="s">
        <v>448</v>
      </c>
    </row>
    <row r="4" ht="36" spans="1:11">
      <c r="A4" s="25">
        <v>44101</v>
      </c>
      <c r="B4" s="25" t="s">
        <v>1157</v>
      </c>
      <c r="C4" s="25">
        <v>700</v>
      </c>
      <c r="D4" s="30">
        <v>2</v>
      </c>
      <c r="E4" s="25">
        <v>3000</v>
      </c>
      <c r="F4" s="25">
        <v>3</v>
      </c>
      <c r="G4" s="25">
        <v>3000</v>
      </c>
      <c r="H4" s="31">
        <v>4</v>
      </c>
      <c r="I4" s="25">
        <v>2000</v>
      </c>
      <c r="J4" s="30">
        <v>5</v>
      </c>
      <c r="K4" s="25">
        <v>2000</v>
      </c>
    </row>
    <row r="5" ht="36" spans="1:11">
      <c r="A5" s="25">
        <v>44102</v>
      </c>
      <c r="B5" s="25" t="s">
        <v>1158</v>
      </c>
      <c r="C5" s="25">
        <v>700</v>
      </c>
      <c r="D5" s="30">
        <v>2</v>
      </c>
      <c r="E5" s="25">
        <v>3000</v>
      </c>
      <c r="F5" s="25">
        <v>3</v>
      </c>
      <c r="G5" s="25">
        <v>3000</v>
      </c>
      <c r="H5" s="31">
        <v>4</v>
      </c>
      <c r="I5" s="25">
        <v>2000</v>
      </c>
      <c r="J5" s="30">
        <v>5</v>
      </c>
      <c r="K5" s="25">
        <v>2000</v>
      </c>
    </row>
    <row r="6" ht="36" spans="1:11">
      <c r="A6" s="25">
        <v>44103</v>
      </c>
      <c r="B6" s="25" t="s">
        <v>1159</v>
      </c>
      <c r="C6" s="25">
        <v>700</v>
      </c>
      <c r="D6" s="30">
        <v>2</v>
      </c>
      <c r="E6" s="25">
        <v>3000</v>
      </c>
      <c r="F6" s="25">
        <v>3</v>
      </c>
      <c r="G6" s="25">
        <v>3000</v>
      </c>
      <c r="H6" s="31">
        <v>4</v>
      </c>
      <c r="I6" s="25">
        <v>2000</v>
      </c>
      <c r="J6" s="30">
        <v>5</v>
      </c>
      <c r="K6" s="25">
        <v>2000</v>
      </c>
    </row>
    <row r="7" ht="18" spans="1:11">
      <c r="A7" s="25">
        <v>44104</v>
      </c>
      <c r="B7" s="25" t="s">
        <v>1160</v>
      </c>
      <c r="C7" s="25">
        <v>700</v>
      </c>
      <c r="D7" s="30">
        <v>2</v>
      </c>
      <c r="E7" s="25">
        <v>3000</v>
      </c>
      <c r="F7" s="25">
        <v>3</v>
      </c>
      <c r="G7" s="25">
        <v>3000</v>
      </c>
      <c r="H7" s="31">
        <v>4</v>
      </c>
      <c r="I7" s="25">
        <v>2000</v>
      </c>
      <c r="J7" s="30">
        <v>5</v>
      </c>
      <c r="K7" s="25">
        <v>2000</v>
      </c>
    </row>
  </sheetData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O7"/>
  <sheetViews>
    <sheetView workbookViewId="0">
      <selection activeCell="M14" sqref="A12:M14"/>
    </sheetView>
  </sheetViews>
  <sheetFormatPr defaultColWidth="8.79605263157895" defaultRowHeight="15.2" outlineLevelRow="6"/>
  <sheetData>
    <row r="1" ht="18" spans="1:15">
      <c r="A1" s="25" t="s">
        <v>434</v>
      </c>
      <c r="B1" s="25" t="s">
        <v>434</v>
      </c>
      <c r="C1" s="25" t="s">
        <v>434</v>
      </c>
      <c r="D1" s="25" t="s">
        <v>434</v>
      </c>
      <c r="E1" s="25" t="s">
        <v>434</v>
      </c>
      <c r="F1" s="25" t="s">
        <v>434</v>
      </c>
      <c r="G1" s="25" t="s">
        <v>434</v>
      </c>
      <c r="H1" s="25" t="s">
        <v>434</v>
      </c>
      <c r="I1" s="25" t="s">
        <v>434</v>
      </c>
      <c r="J1" s="25" t="s">
        <v>434</v>
      </c>
      <c r="K1" s="25" t="s">
        <v>434</v>
      </c>
      <c r="L1" s="25" t="s">
        <v>434</v>
      </c>
      <c r="M1" s="25" t="s">
        <v>434</v>
      </c>
      <c r="N1" s="25" t="s">
        <v>434</v>
      </c>
      <c r="O1" s="25" t="s">
        <v>434</v>
      </c>
    </row>
    <row r="2" ht="18" spans="1:15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  <c r="J2" s="25" t="s">
        <v>40</v>
      </c>
      <c r="K2" s="25" t="s">
        <v>40</v>
      </c>
      <c r="L2" s="25" t="s">
        <v>40</v>
      </c>
      <c r="M2" s="25" t="s">
        <v>40</v>
      </c>
      <c r="N2" s="25" t="s">
        <v>40</v>
      </c>
      <c r="O2" s="25" t="s">
        <v>40</v>
      </c>
    </row>
    <row r="3" ht="18" spans="1:15">
      <c r="A3" s="25" t="s">
        <v>1093</v>
      </c>
      <c r="B3" s="29" t="s">
        <v>47</v>
      </c>
      <c r="C3" s="29" t="s">
        <v>860</v>
      </c>
      <c r="D3" s="29" t="s">
        <v>47</v>
      </c>
      <c r="E3" s="29" t="s">
        <v>860</v>
      </c>
      <c r="F3" s="29" t="s">
        <v>47</v>
      </c>
      <c r="G3" s="29" t="s">
        <v>860</v>
      </c>
      <c r="H3" s="29" t="s">
        <v>47</v>
      </c>
      <c r="I3" s="29" t="s">
        <v>860</v>
      </c>
      <c r="J3" s="29" t="s">
        <v>47</v>
      </c>
      <c r="K3" s="29" t="s">
        <v>860</v>
      </c>
      <c r="L3" s="29" t="s">
        <v>47</v>
      </c>
      <c r="M3" s="29" t="s">
        <v>860</v>
      </c>
      <c r="N3" s="29" t="s">
        <v>47</v>
      </c>
      <c r="O3" s="29" t="s">
        <v>860</v>
      </c>
    </row>
    <row r="4" ht="17.6" spans="1:15">
      <c r="A4" s="25">
        <v>44101</v>
      </c>
      <c r="B4" s="29">
        <v>14009</v>
      </c>
      <c r="C4" s="29">
        <v>3000</v>
      </c>
      <c r="D4" s="29">
        <v>14011</v>
      </c>
      <c r="E4" s="29">
        <v>3000</v>
      </c>
      <c r="F4" s="29">
        <v>14013</v>
      </c>
      <c r="G4" s="29">
        <v>0</v>
      </c>
      <c r="H4" s="29">
        <v>14015</v>
      </c>
      <c r="I4" s="29">
        <v>2000</v>
      </c>
      <c r="J4" s="29">
        <v>14020</v>
      </c>
      <c r="K4" s="29">
        <v>2000</v>
      </c>
      <c r="L4" s="29">
        <v>14024</v>
      </c>
      <c r="M4" s="29">
        <v>0</v>
      </c>
      <c r="N4" s="29">
        <v>14090</v>
      </c>
      <c r="O4" s="29">
        <v>0</v>
      </c>
    </row>
    <row r="5" ht="17.6" spans="1:15">
      <c r="A5" s="25">
        <v>44102</v>
      </c>
      <c r="B5" s="29">
        <v>14009</v>
      </c>
      <c r="C5" s="29">
        <v>2000</v>
      </c>
      <c r="D5" s="29">
        <v>14011</v>
      </c>
      <c r="E5" s="29">
        <v>2000</v>
      </c>
      <c r="F5" s="29">
        <v>14013</v>
      </c>
      <c r="G5" s="29">
        <v>2000</v>
      </c>
      <c r="H5" s="29">
        <v>14015</v>
      </c>
      <c r="I5" s="29">
        <v>2000</v>
      </c>
      <c r="J5" s="29">
        <v>14020</v>
      </c>
      <c r="K5" s="29">
        <v>2000</v>
      </c>
      <c r="L5" s="29">
        <v>14024</v>
      </c>
      <c r="M5" s="29">
        <v>0</v>
      </c>
      <c r="N5" s="29">
        <v>14090</v>
      </c>
      <c r="O5" s="29">
        <v>0</v>
      </c>
    </row>
    <row r="6" ht="17.6" spans="1:15">
      <c r="A6" s="25">
        <v>44103</v>
      </c>
      <c r="B6" s="29">
        <v>14009</v>
      </c>
      <c r="C6" s="29">
        <v>0</v>
      </c>
      <c r="D6" s="29">
        <v>14011</v>
      </c>
      <c r="E6" s="29">
        <v>2000</v>
      </c>
      <c r="F6" s="29">
        <v>14013</v>
      </c>
      <c r="G6" s="29">
        <v>2000</v>
      </c>
      <c r="H6" s="29">
        <v>14015</v>
      </c>
      <c r="I6" s="29">
        <v>2000</v>
      </c>
      <c r="J6" s="29">
        <v>14020</v>
      </c>
      <c r="K6" s="29">
        <v>2000</v>
      </c>
      <c r="L6" s="29">
        <v>14024</v>
      </c>
      <c r="M6" s="29">
        <v>0</v>
      </c>
      <c r="N6" s="29">
        <v>14090</v>
      </c>
      <c r="O6" s="29">
        <v>2000</v>
      </c>
    </row>
    <row r="7" ht="17.6" spans="1:15">
      <c r="A7" s="25">
        <v>44104</v>
      </c>
      <c r="B7" s="29">
        <v>14009</v>
      </c>
      <c r="C7" s="29">
        <v>0</v>
      </c>
      <c r="D7" s="29">
        <v>14011</v>
      </c>
      <c r="E7" s="29">
        <v>0</v>
      </c>
      <c r="F7" s="29">
        <v>14013</v>
      </c>
      <c r="G7" s="29">
        <v>2500</v>
      </c>
      <c r="H7" s="29">
        <v>14015</v>
      </c>
      <c r="I7" s="29">
        <v>2500</v>
      </c>
      <c r="J7" s="29">
        <v>14020</v>
      </c>
      <c r="K7" s="29">
        <v>0</v>
      </c>
      <c r="L7" s="29">
        <v>14024</v>
      </c>
      <c r="M7" s="29">
        <v>2500</v>
      </c>
      <c r="N7" s="29">
        <v>14090</v>
      </c>
      <c r="O7" s="29">
        <v>2500</v>
      </c>
    </row>
  </sheetData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6"/>
  <sheetViews>
    <sheetView workbookViewId="0">
      <selection activeCell="C14" sqref="C14"/>
    </sheetView>
  </sheetViews>
  <sheetFormatPr defaultColWidth="11.0986842105263" defaultRowHeight="23.1" customHeight="1" outlineLevelRow="5"/>
  <cols>
    <col min="2" max="2" width="14.9013157894737" customWidth="1"/>
    <col min="3" max="3" width="15.6973684210526" customWidth="1"/>
    <col min="4" max="4" width="30.4013157894737" customWidth="1"/>
  </cols>
  <sheetData>
    <row r="1" customHeight="1" spans="1:8">
      <c r="A1" s="25" t="s">
        <v>1161</v>
      </c>
      <c r="B1" s="25" t="s">
        <v>1162</v>
      </c>
      <c r="C1" s="25" t="s">
        <v>1163</v>
      </c>
      <c r="D1" s="25" t="s">
        <v>1164</v>
      </c>
      <c r="E1" s="25" t="s">
        <v>1165</v>
      </c>
      <c r="F1" s="25" t="s">
        <v>1166</v>
      </c>
      <c r="G1" s="25" t="s">
        <v>373</v>
      </c>
      <c r="H1" s="25" t="s">
        <v>1167</v>
      </c>
    </row>
    <row r="2" customHeight="1" spans="1:8">
      <c r="A2" s="25" t="s">
        <v>40</v>
      </c>
      <c r="B2" s="25" t="s">
        <v>1168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</row>
    <row r="3" customHeight="1" spans="1:8">
      <c r="A3" s="25" t="s">
        <v>1169</v>
      </c>
      <c r="B3" s="27" t="s">
        <v>1170</v>
      </c>
      <c r="C3" s="27" t="s">
        <v>1171</v>
      </c>
      <c r="D3" s="27" t="s">
        <v>1172</v>
      </c>
      <c r="E3" s="27" t="s">
        <v>1173</v>
      </c>
      <c r="F3" s="27" t="s">
        <v>1174</v>
      </c>
      <c r="G3" s="27" t="s">
        <v>1175</v>
      </c>
      <c r="H3" s="27" t="s">
        <v>1176</v>
      </c>
    </row>
    <row r="4" customHeight="1" spans="1:9">
      <c r="A4" s="25">
        <v>10000</v>
      </c>
      <c r="B4" s="27" t="s">
        <v>1177</v>
      </c>
      <c r="C4" s="25" t="s">
        <v>1037</v>
      </c>
      <c r="D4" s="25">
        <v>1</v>
      </c>
      <c r="E4" s="25">
        <v>0</v>
      </c>
      <c r="F4" s="25">
        <v>0</v>
      </c>
      <c r="G4" s="25">
        <v>0</v>
      </c>
      <c r="H4" s="25">
        <v>1.3</v>
      </c>
      <c r="I4" s="28" t="s">
        <v>1178</v>
      </c>
    </row>
    <row r="5" customHeight="1" spans="1:9">
      <c r="A5" s="25">
        <v>10001</v>
      </c>
      <c r="B5" s="27" t="s">
        <v>1177</v>
      </c>
      <c r="C5" s="25" t="s">
        <v>1177</v>
      </c>
      <c r="D5" s="25">
        <v>0</v>
      </c>
      <c r="E5" s="25">
        <v>1</v>
      </c>
      <c r="F5" s="25">
        <v>0</v>
      </c>
      <c r="G5" s="25">
        <v>20</v>
      </c>
      <c r="H5" s="25">
        <v>1.3</v>
      </c>
      <c r="I5" s="28" t="s">
        <v>1179</v>
      </c>
    </row>
    <row r="6" customHeight="1" spans="1:9">
      <c r="A6" s="25">
        <v>10002</v>
      </c>
      <c r="B6" s="27" t="s">
        <v>1177</v>
      </c>
      <c r="C6" s="25" t="s">
        <v>1180</v>
      </c>
      <c r="D6" s="25">
        <v>0</v>
      </c>
      <c r="E6" s="25">
        <v>0</v>
      </c>
      <c r="F6" s="25">
        <v>1</v>
      </c>
      <c r="G6" s="25">
        <v>15</v>
      </c>
      <c r="H6" s="25">
        <v>1.3</v>
      </c>
      <c r="I6" s="28" t="s">
        <v>1181</v>
      </c>
    </row>
  </sheetData>
  <pageMargins left="0.75" right="0.75" top="1" bottom="1" header="0.5" footer="0.5"/>
  <pageSetup paperSize="9" orientation="portrait"/>
  <headerFooter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M10"/>
  <sheetViews>
    <sheetView showGridLines="0" workbookViewId="0">
      <selection activeCell="H7" sqref="H7"/>
    </sheetView>
  </sheetViews>
  <sheetFormatPr defaultColWidth="11.0986842105263" defaultRowHeight="15.2"/>
  <sheetData>
    <row r="1" ht="23.1" customHeight="1" spans="1:13">
      <c r="A1" s="25" t="s">
        <v>434</v>
      </c>
      <c r="B1" s="25" t="s">
        <v>435</v>
      </c>
      <c r="C1" s="25" t="s">
        <v>31</v>
      </c>
      <c r="D1" s="25" t="s">
        <v>436</v>
      </c>
      <c r="E1" s="25" t="s">
        <v>32</v>
      </c>
      <c r="F1" s="25" t="s">
        <v>437</v>
      </c>
      <c r="G1" s="25" t="s">
        <v>438</v>
      </c>
      <c r="H1" s="25" t="s">
        <v>439</v>
      </c>
      <c r="I1" s="25" t="s">
        <v>440</v>
      </c>
      <c r="J1" s="25" t="s">
        <v>441</v>
      </c>
      <c r="K1" s="25" t="s">
        <v>442</v>
      </c>
      <c r="L1" s="25" t="s">
        <v>443</v>
      </c>
      <c r="M1" s="25" t="s">
        <v>444</v>
      </c>
    </row>
    <row r="2" ht="23.1" customHeight="1" spans="1:13">
      <c r="A2" s="25" t="s">
        <v>40</v>
      </c>
      <c r="B2" s="25" t="s">
        <v>40</v>
      </c>
      <c r="C2" s="25" t="s">
        <v>40</v>
      </c>
      <c r="D2" s="25" t="s">
        <v>40</v>
      </c>
      <c r="E2" s="25" t="s">
        <v>40</v>
      </c>
      <c r="F2" s="25" t="s">
        <v>40</v>
      </c>
      <c r="G2" s="25" t="s">
        <v>40</v>
      </c>
      <c r="H2" s="25" t="s">
        <v>40</v>
      </c>
      <c r="I2" s="25" t="s">
        <v>40</v>
      </c>
      <c r="J2" s="25" t="s">
        <v>40</v>
      </c>
      <c r="K2" s="25" t="s">
        <v>40</v>
      </c>
      <c r="L2" s="25" t="s">
        <v>40</v>
      </c>
      <c r="M2" s="25" t="s">
        <v>40</v>
      </c>
    </row>
    <row r="3" ht="23.1" customHeight="1" spans="1:13">
      <c r="A3" s="25" t="s">
        <v>1093</v>
      </c>
      <c r="B3" s="25" t="s">
        <v>447</v>
      </c>
      <c r="C3" s="25" t="s">
        <v>448</v>
      </c>
      <c r="D3" s="25" t="s">
        <v>447</v>
      </c>
      <c r="E3" s="25" t="s">
        <v>448</v>
      </c>
      <c r="F3" s="25" t="s">
        <v>447</v>
      </c>
      <c r="G3" s="25" t="s">
        <v>448</v>
      </c>
      <c r="H3" s="25" t="s">
        <v>447</v>
      </c>
      <c r="I3" s="25" t="s">
        <v>448</v>
      </c>
      <c r="J3" s="25" t="s">
        <v>447</v>
      </c>
      <c r="K3" s="25" t="s">
        <v>448</v>
      </c>
      <c r="L3" s="25" t="s">
        <v>447</v>
      </c>
      <c r="M3" s="25" t="s">
        <v>448</v>
      </c>
    </row>
    <row r="4" ht="23.1" customHeight="1" spans="1:13">
      <c r="A4" s="25">
        <v>44411</v>
      </c>
      <c r="B4" s="25">
        <v>12032</v>
      </c>
      <c r="C4" s="25">
        <v>5000</v>
      </c>
      <c r="D4" s="25">
        <v>12028</v>
      </c>
      <c r="E4" s="25">
        <v>3000</v>
      </c>
      <c r="F4" s="25">
        <v>12232</v>
      </c>
      <c r="G4" s="25">
        <v>2000</v>
      </c>
      <c r="H4" s="25"/>
      <c r="I4" s="25"/>
      <c r="J4" s="25"/>
      <c r="K4" s="25"/>
      <c r="L4" s="25"/>
      <c r="M4" s="25"/>
    </row>
    <row r="5" ht="23.1" customHeight="1" spans="1:13">
      <c r="A5" s="25">
        <v>44412</v>
      </c>
      <c r="B5" s="25">
        <v>12032</v>
      </c>
      <c r="C5" s="25">
        <v>4500</v>
      </c>
      <c r="D5" s="25">
        <v>12028</v>
      </c>
      <c r="E5" s="25">
        <v>3000</v>
      </c>
      <c r="F5" s="25">
        <v>12213</v>
      </c>
      <c r="G5" s="25">
        <v>2500</v>
      </c>
      <c r="H5" s="25"/>
      <c r="I5" s="25"/>
      <c r="J5" s="25"/>
      <c r="K5" s="25"/>
      <c r="L5" s="25"/>
      <c r="M5" s="25"/>
    </row>
    <row r="6" ht="23.1" customHeight="1" spans="1:13">
      <c r="A6" s="25">
        <v>44413</v>
      </c>
      <c r="B6" s="25">
        <v>12232</v>
      </c>
      <c r="C6" s="25">
        <v>5500</v>
      </c>
      <c r="D6" s="25">
        <v>12031</v>
      </c>
      <c r="E6" s="25">
        <v>4500</v>
      </c>
      <c r="F6" s="25"/>
      <c r="G6" s="25"/>
      <c r="H6" s="25"/>
      <c r="I6" s="25"/>
      <c r="J6" s="25"/>
      <c r="K6" s="25"/>
      <c r="L6" s="25"/>
      <c r="M6" s="25"/>
    </row>
    <row r="7" ht="23.1" customHeight="1" spans="1:13">
      <c r="A7" s="25">
        <v>44414</v>
      </c>
      <c r="B7" s="25">
        <v>12213</v>
      </c>
      <c r="C7" s="25">
        <v>4500</v>
      </c>
      <c r="D7" s="25">
        <v>12031</v>
      </c>
      <c r="E7" s="25">
        <v>3000</v>
      </c>
      <c r="F7" s="25">
        <v>12234</v>
      </c>
      <c r="G7" s="25">
        <v>2500</v>
      </c>
      <c r="H7" s="25"/>
      <c r="I7" s="25"/>
      <c r="J7" s="25"/>
      <c r="K7" s="25"/>
      <c r="L7" s="25"/>
      <c r="M7" s="25"/>
    </row>
    <row r="8" ht="23.1" customHeight="1" spans="1:13">
      <c r="A8" s="25">
        <v>44415</v>
      </c>
      <c r="B8" s="25">
        <v>12031</v>
      </c>
      <c r="C8" s="25">
        <v>3500</v>
      </c>
      <c r="D8" s="25">
        <v>12234</v>
      </c>
      <c r="E8" s="25">
        <v>4000</v>
      </c>
      <c r="F8" s="25">
        <v>12233</v>
      </c>
      <c r="G8" s="25">
        <v>2500</v>
      </c>
      <c r="H8" s="25"/>
      <c r="I8" s="25"/>
      <c r="J8" s="25"/>
      <c r="K8" s="25"/>
      <c r="L8" s="25"/>
      <c r="M8" s="25"/>
    </row>
    <row r="9" ht="23.1" customHeight="1" spans="1:13">
      <c r="A9" s="25">
        <v>44301</v>
      </c>
      <c r="B9" s="25">
        <v>36031</v>
      </c>
      <c r="C9" s="25">
        <v>5000</v>
      </c>
      <c r="D9" s="25">
        <v>36078</v>
      </c>
      <c r="E9" s="25">
        <v>5000</v>
      </c>
      <c r="F9" s="25"/>
      <c r="G9" s="25"/>
      <c r="H9" s="25"/>
      <c r="I9" s="25"/>
      <c r="J9" s="25"/>
      <c r="K9" s="25"/>
      <c r="L9" s="25"/>
      <c r="M9" s="25"/>
    </row>
    <row r="10" ht="23.1" customHeight="1" spans="1:13">
      <c r="A10" s="25">
        <v>44501</v>
      </c>
      <c r="B10" s="26">
        <v>12032</v>
      </c>
      <c r="C10" s="26">
        <v>4800</v>
      </c>
      <c r="D10" s="26">
        <v>12213</v>
      </c>
      <c r="E10" s="26">
        <v>3600</v>
      </c>
      <c r="F10" s="26">
        <v>12031</v>
      </c>
      <c r="G10" s="26">
        <v>1600</v>
      </c>
      <c r="H10" s="26"/>
      <c r="I10" s="26"/>
      <c r="J10" s="25"/>
      <c r="K10" s="25"/>
      <c r="L10" s="25"/>
      <c r="M10" s="25"/>
    </row>
  </sheetData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Q16"/>
  <sheetViews>
    <sheetView workbookViewId="0">
      <selection activeCell="A4" sqref="A4"/>
    </sheetView>
  </sheetViews>
  <sheetFormatPr defaultColWidth="8.79605263157895" defaultRowHeight="25.5" customHeight="1"/>
  <cols>
    <col min="43" max="43" width="21" customWidth="1"/>
  </cols>
  <sheetData>
    <row r="1" customHeight="1" spans="1:43">
      <c r="A1" s="8" t="s">
        <v>1182</v>
      </c>
      <c r="B1" s="8" t="s">
        <v>1183</v>
      </c>
      <c r="C1" s="8" t="s">
        <v>1184</v>
      </c>
      <c r="D1" s="8" t="s">
        <v>456</v>
      </c>
      <c r="E1" s="8" t="s">
        <v>1185</v>
      </c>
      <c r="F1" s="8" t="s">
        <v>1186</v>
      </c>
      <c r="G1" s="8" t="s">
        <v>457</v>
      </c>
      <c r="I1" s="8" t="s">
        <v>1187</v>
      </c>
      <c r="J1" s="8" t="s">
        <v>1188</v>
      </c>
      <c r="L1" s="8" t="s">
        <v>1189</v>
      </c>
      <c r="M1" s="8" t="s">
        <v>1190</v>
      </c>
      <c r="O1" s="8" t="s">
        <v>1191</v>
      </c>
      <c r="Q1" s="8" t="s">
        <v>1192</v>
      </c>
      <c r="S1" s="8" t="s">
        <v>1193</v>
      </c>
      <c r="T1" s="8" t="s">
        <v>1022</v>
      </c>
      <c r="V1" s="16" t="s">
        <v>1137</v>
      </c>
      <c r="W1" s="16" t="s">
        <v>1138</v>
      </c>
      <c r="X1" s="16" t="s">
        <v>35</v>
      </c>
      <c r="Y1" s="18" t="s">
        <v>28</v>
      </c>
      <c r="Z1" s="19" t="s">
        <v>1112</v>
      </c>
      <c r="AA1" s="18" t="s">
        <v>1194</v>
      </c>
      <c r="AC1" s="16" t="s">
        <v>1195</v>
      </c>
      <c r="AD1" s="9" t="s">
        <v>1112</v>
      </c>
      <c r="AE1" s="9" t="s">
        <v>1196</v>
      </c>
      <c r="AF1" s="9" t="s">
        <v>1197</v>
      </c>
      <c r="AH1" s="8" t="s">
        <v>1195</v>
      </c>
      <c r="AI1" s="8" t="s">
        <v>456</v>
      </c>
      <c r="AJ1" s="8" t="s">
        <v>1198</v>
      </c>
      <c r="AL1" s="21" t="s">
        <v>1199</v>
      </c>
      <c r="AM1" s="21" t="s">
        <v>1200</v>
      </c>
      <c r="AN1" s="21" t="s">
        <v>1201</v>
      </c>
      <c r="AO1" s="23"/>
      <c r="AP1" s="21" t="s">
        <v>1202</v>
      </c>
      <c r="AQ1" s="21" t="s">
        <v>1203</v>
      </c>
    </row>
    <row r="2" customHeight="1" spans="1:43">
      <c r="A2" s="8" t="s">
        <v>40</v>
      </c>
      <c r="B2" s="8" t="s">
        <v>41</v>
      </c>
      <c r="C2" s="8" t="s">
        <v>41</v>
      </c>
      <c r="D2" s="8" t="s">
        <v>41</v>
      </c>
      <c r="E2" s="8" t="s">
        <v>41</v>
      </c>
      <c r="F2" s="9" t="s">
        <v>41</v>
      </c>
      <c r="G2" s="9" t="s">
        <v>41</v>
      </c>
      <c r="I2" s="8" t="s">
        <v>40</v>
      </c>
      <c r="J2" s="8" t="s">
        <v>42</v>
      </c>
      <c r="L2" s="8" t="s">
        <v>41</v>
      </c>
      <c r="M2" s="8" t="s">
        <v>41</v>
      </c>
      <c r="O2" s="8" t="s">
        <v>40</v>
      </c>
      <c r="Q2" s="8" t="s">
        <v>41</v>
      </c>
      <c r="S2" s="8" t="s">
        <v>40</v>
      </c>
      <c r="T2" s="8" t="s">
        <v>41</v>
      </c>
      <c r="V2" s="16" t="s">
        <v>41</v>
      </c>
      <c r="W2" s="16" t="s">
        <v>40</v>
      </c>
      <c r="X2" s="16" t="s">
        <v>41</v>
      </c>
      <c r="Y2" s="9" t="s">
        <v>40</v>
      </c>
      <c r="Z2" s="9" t="s">
        <v>40</v>
      </c>
      <c r="AA2" s="9" t="s">
        <v>40</v>
      </c>
      <c r="AC2" s="16" t="s">
        <v>40</v>
      </c>
      <c r="AD2" s="18" t="s">
        <v>40</v>
      </c>
      <c r="AE2" s="19" t="s">
        <v>40</v>
      </c>
      <c r="AF2" s="18" t="s">
        <v>40</v>
      </c>
      <c r="AH2" s="8" t="s">
        <v>40</v>
      </c>
      <c r="AI2" s="8" t="s">
        <v>41</v>
      </c>
      <c r="AJ2" s="8" t="s">
        <v>41</v>
      </c>
      <c r="AL2" s="21" t="s">
        <v>40</v>
      </c>
      <c r="AM2" s="21" t="s">
        <v>40</v>
      </c>
      <c r="AN2" s="21" t="s">
        <v>40</v>
      </c>
      <c r="AO2" s="23"/>
      <c r="AP2" s="22" t="s">
        <v>40</v>
      </c>
      <c r="AQ2" s="22" t="s">
        <v>41</v>
      </c>
    </row>
    <row r="3" customHeight="1" spans="1:43">
      <c r="A3" s="9" t="s">
        <v>1204</v>
      </c>
      <c r="B3" s="9" t="s">
        <v>1205</v>
      </c>
      <c r="C3" s="9" t="s">
        <v>1206</v>
      </c>
      <c r="D3" s="9" t="s">
        <v>1207</v>
      </c>
      <c r="E3" s="9" t="s">
        <v>1208</v>
      </c>
      <c r="F3" s="12" t="s">
        <v>1209</v>
      </c>
      <c r="G3" s="13" t="s">
        <v>1210</v>
      </c>
      <c r="I3" s="9" t="s">
        <v>1211</v>
      </c>
      <c r="J3" s="9" t="s">
        <v>1212</v>
      </c>
      <c r="L3" s="13" t="s">
        <v>1213</v>
      </c>
      <c r="M3" s="13" t="s">
        <v>1214</v>
      </c>
      <c r="O3" s="13" t="s">
        <v>1215</v>
      </c>
      <c r="Q3" s="13" t="s">
        <v>1216</v>
      </c>
      <c r="S3" s="13" t="s">
        <v>1217</v>
      </c>
      <c r="T3" s="13" t="s">
        <v>1033</v>
      </c>
      <c r="V3" s="16" t="s">
        <v>46</v>
      </c>
      <c r="W3" s="16" t="s">
        <v>47</v>
      </c>
      <c r="X3" s="16" t="s">
        <v>55</v>
      </c>
      <c r="Y3" s="18" t="s">
        <v>1218</v>
      </c>
      <c r="Z3" s="19" t="s">
        <v>1219</v>
      </c>
      <c r="AA3" s="18" t="s">
        <v>1220</v>
      </c>
      <c r="AC3" s="17" t="s">
        <v>1221</v>
      </c>
      <c r="AD3" s="20" t="s">
        <v>1222</v>
      </c>
      <c r="AE3" s="20" t="s">
        <v>1223</v>
      </c>
      <c r="AF3" s="20" t="s">
        <v>1224</v>
      </c>
      <c r="AH3" s="8" t="s">
        <v>1225</v>
      </c>
      <c r="AI3" s="8" t="s">
        <v>1226</v>
      </c>
      <c r="AJ3" s="8" t="s">
        <v>1227</v>
      </c>
      <c r="AL3" s="22" t="s">
        <v>1228</v>
      </c>
      <c r="AM3" s="22" t="s">
        <v>1229</v>
      </c>
      <c r="AN3" s="22" t="s">
        <v>1230</v>
      </c>
      <c r="AO3" s="23"/>
      <c r="AP3" s="22" t="s">
        <v>1231</v>
      </c>
      <c r="AQ3" s="24" t="s">
        <v>1232</v>
      </c>
    </row>
    <row r="4" customHeight="1" spans="1:43">
      <c r="A4" s="9">
        <v>1</v>
      </c>
      <c r="B4" s="10" t="s">
        <v>1233</v>
      </c>
      <c r="C4" s="10" t="s">
        <v>1234</v>
      </c>
      <c r="D4" s="11" t="s">
        <v>1235</v>
      </c>
      <c r="E4" s="14" t="s">
        <v>1236</v>
      </c>
      <c r="F4" s="9" t="s">
        <v>1237</v>
      </c>
      <c r="G4" s="9">
        <v>20</v>
      </c>
      <c r="I4" s="9">
        <v>1</v>
      </c>
      <c r="J4" s="9">
        <v>0</v>
      </c>
      <c r="L4" s="15" t="s">
        <v>1238</v>
      </c>
      <c r="M4" s="15" t="s">
        <v>1239</v>
      </c>
      <c r="O4" s="8" t="s">
        <v>1240</v>
      </c>
      <c r="Q4" s="8" t="s">
        <v>1241</v>
      </c>
      <c r="S4" s="8">
        <v>50000</v>
      </c>
      <c r="T4" s="8" t="s">
        <v>1242</v>
      </c>
      <c r="V4" s="17" t="s">
        <v>67</v>
      </c>
      <c r="W4" s="17">
        <v>11004</v>
      </c>
      <c r="X4" s="17" t="s">
        <v>67</v>
      </c>
      <c r="Y4" s="20">
        <v>1</v>
      </c>
      <c r="Z4" s="20">
        <v>8</v>
      </c>
      <c r="AA4" s="20">
        <v>2000</v>
      </c>
      <c r="AC4" s="17">
        <v>1</v>
      </c>
      <c r="AD4" s="20">
        <v>1</v>
      </c>
      <c r="AE4" s="20">
        <v>58001</v>
      </c>
      <c r="AF4" s="20">
        <v>60000</v>
      </c>
      <c r="AH4" s="8">
        <v>100</v>
      </c>
      <c r="AI4" s="8" t="s">
        <v>1243</v>
      </c>
      <c r="AJ4" s="8" t="s">
        <v>1244</v>
      </c>
      <c r="AL4" s="22">
        <v>10</v>
      </c>
      <c r="AM4" s="22">
        <v>4500</v>
      </c>
      <c r="AN4" s="22">
        <v>0</v>
      </c>
      <c r="AO4" s="23"/>
      <c r="AP4" s="22">
        <v>50000</v>
      </c>
      <c r="AQ4" s="22" t="s">
        <v>1245</v>
      </c>
    </row>
    <row r="5" customHeight="1" spans="9:43">
      <c r="I5" s="9">
        <v>2</v>
      </c>
      <c r="J5" s="9">
        <v>0</v>
      </c>
      <c r="V5" s="17" t="s">
        <v>81</v>
      </c>
      <c r="W5" s="17">
        <v>11010</v>
      </c>
      <c r="X5" s="17" t="s">
        <v>81</v>
      </c>
      <c r="Y5" s="20">
        <v>1</v>
      </c>
      <c r="Z5" s="20">
        <v>8</v>
      </c>
      <c r="AA5" s="20">
        <v>2000</v>
      </c>
      <c r="AC5" s="17">
        <v>2</v>
      </c>
      <c r="AD5" s="20">
        <v>1</v>
      </c>
      <c r="AE5" s="20">
        <v>56001</v>
      </c>
      <c r="AF5" s="20">
        <v>58000</v>
      </c>
      <c r="AH5" s="8">
        <v>80</v>
      </c>
      <c r="AI5" s="8" t="s">
        <v>1246</v>
      </c>
      <c r="AJ5" s="8" t="s">
        <v>1247</v>
      </c>
      <c r="AL5" s="22">
        <v>5000</v>
      </c>
      <c r="AM5" s="22">
        <v>9000</v>
      </c>
      <c r="AN5" s="22">
        <v>0.3</v>
      </c>
      <c r="AO5" s="23"/>
      <c r="AP5" s="22">
        <v>100000</v>
      </c>
      <c r="AQ5" s="22" t="s">
        <v>1245</v>
      </c>
    </row>
    <row r="6" customHeight="1" spans="9:43">
      <c r="I6" s="9">
        <v>3</v>
      </c>
      <c r="J6" s="9">
        <v>0</v>
      </c>
      <c r="V6" s="17" t="s">
        <v>351</v>
      </c>
      <c r="W6" s="17">
        <v>11018</v>
      </c>
      <c r="X6" s="17" t="s">
        <v>351</v>
      </c>
      <c r="Y6" s="20">
        <v>2</v>
      </c>
      <c r="Z6" s="20">
        <v>2</v>
      </c>
      <c r="AA6" s="20">
        <v>3000</v>
      </c>
      <c r="AC6" s="17">
        <v>3</v>
      </c>
      <c r="AD6" s="20">
        <v>1</v>
      </c>
      <c r="AE6" s="20">
        <v>54001</v>
      </c>
      <c r="AF6" s="20">
        <v>56000</v>
      </c>
      <c r="AH6" s="8">
        <v>50</v>
      </c>
      <c r="AI6" s="8" t="s">
        <v>1248</v>
      </c>
      <c r="AJ6" s="8" t="s">
        <v>1249</v>
      </c>
      <c r="AL6" s="22">
        <v>10000</v>
      </c>
      <c r="AM6" s="22">
        <v>25000</v>
      </c>
      <c r="AN6" s="22">
        <v>0.6</v>
      </c>
      <c r="AO6" s="23"/>
      <c r="AP6" s="22">
        <v>150000</v>
      </c>
      <c r="AQ6" s="22" t="s">
        <v>1250</v>
      </c>
    </row>
    <row r="7" customHeight="1" spans="9:43">
      <c r="I7" s="9">
        <v>4</v>
      </c>
      <c r="J7" s="9">
        <v>0</v>
      </c>
      <c r="V7" s="17" t="s">
        <v>97</v>
      </c>
      <c r="W7" s="17">
        <v>11020</v>
      </c>
      <c r="X7" s="17" t="s">
        <v>97</v>
      </c>
      <c r="Y7" s="20">
        <v>2</v>
      </c>
      <c r="Z7" s="20">
        <v>3</v>
      </c>
      <c r="AA7" s="20">
        <v>3000</v>
      </c>
      <c r="AC7" s="17" t="s">
        <v>1251</v>
      </c>
      <c r="AD7" s="20">
        <v>2</v>
      </c>
      <c r="AE7" s="20">
        <v>52001</v>
      </c>
      <c r="AF7" s="20">
        <v>54000</v>
      </c>
      <c r="AH7" s="8">
        <v>30</v>
      </c>
      <c r="AI7" s="8" t="s">
        <v>1252</v>
      </c>
      <c r="AJ7" s="8" t="s">
        <v>1253</v>
      </c>
      <c r="AL7" s="22">
        <v>30000</v>
      </c>
      <c r="AM7" s="22">
        <v>50000</v>
      </c>
      <c r="AN7" s="22">
        <v>1</v>
      </c>
      <c r="AO7" s="23"/>
      <c r="AP7" s="22">
        <v>180000</v>
      </c>
      <c r="AQ7" s="22" t="s">
        <v>1254</v>
      </c>
    </row>
    <row r="8" customHeight="1" spans="9:43">
      <c r="I8" s="9">
        <v>5</v>
      </c>
      <c r="J8" s="9">
        <v>0</v>
      </c>
      <c r="V8" s="17" t="s">
        <v>355</v>
      </c>
      <c r="W8" s="17">
        <v>11021</v>
      </c>
      <c r="X8" s="17" t="s">
        <v>355</v>
      </c>
      <c r="Y8" s="20">
        <v>3</v>
      </c>
      <c r="Z8" s="20">
        <v>2</v>
      </c>
      <c r="AA8" s="20">
        <v>5000</v>
      </c>
      <c r="AC8" s="17" t="s">
        <v>1255</v>
      </c>
      <c r="AD8" s="20">
        <v>5</v>
      </c>
      <c r="AE8" s="20">
        <v>50001</v>
      </c>
      <c r="AF8" s="20">
        <v>52000</v>
      </c>
      <c r="AH8" s="8">
        <v>20</v>
      </c>
      <c r="AI8" s="8" t="s">
        <v>1256</v>
      </c>
      <c r="AJ8" s="8" t="s">
        <v>1257</v>
      </c>
      <c r="AL8" s="22">
        <v>55000</v>
      </c>
      <c r="AM8" s="22">
        <v>75000</v>
      </c>
      <c r="AN8" s="22">
        <v>1.5</v>
      </c>
      <c r="AO8" s="23"/>
      <c r="AP8" s="22">
        <v>220000</v>
      </c>
      <c r="AQ8" s="22" t="s">
        <v>1258</v>
      </c>
    </row>
    <row r="9" customHeight="1" spans="22:43">
      <c r="V9" s="17" t="s">
        <v>101</v>
      </c>
      <c r="W9" s="17">
        <v>11090</v>
      </c>
      <c r="X9" s="17" t="s">
        <v>101</v>
      </c>
      <c r="Y9" s="20">
        <v>3</v>
      </c>
      <c r="Z9" s="20">
        <v>2</v>
      </c>
      <c r="AA9" s="20">
        <v>5000</v>
      </c>
      <c r="AC9" s="16" t="s">
        <v>1259</v>
      </c>
      <c r="AD9" s="9">
        <v>10</v>
      </c>
      <c r="AE9" s="9">
        <v>48001</v>
      </c>
      <c r="AF9" s="9">
        <v>50000</v>
      </c>
      <c r="AH9" s="8">
        <v>10</v>
      </c>
      <c r="AI9" s="8" t="s">
        <v>1260</v>
      </c>
      <c r="AJ9" s="8" t="s">
        <v>1259</v>
      </c>
      <c r="AL9" s="22">
        <v>80000</v>
      </c>
      <c r="AM9" s="22">
        <v>90000</v>
      </c>
      <c r="AN9" s="22">
        <v>2</v>
      </c>
      <c r="AO9" s="23"/>
      <c r="AP9" s="22">
        <v>260000</v>
      </c>
      <c r="AQ9" s="22" t="s">
        <v>1261</v>
      </c>
    </row>
    <row r="10" customHeight="1" spans="29:43">
      <c r="AC10" s="16" t="s">
        <v>1257</v>
      </c>
      <c r="AD10" s="18">
        <v>10</v>
      </c>
      <c r="AE10" s="19">
        <v>46001</v>
      </c>
      <c r="AF10" s="18">
        <v>48000</v>
      </c>
      <c r="AH10" s="8">
        <v>5</v>
      </c>
      <c r="AI10" s="8" t="s">
        <v>1262</v>
      </c>
      <c r="AJ10" s="8" t="s">
        <v>1255</v>
      </c>
      <c r="AL10" s="22">
        <v>100000</v>
      </c>
      <c r="AM10" s="22">
        <v>100000</v>
      </c>
      <c r="AN10" s="22">
        <v>2.5</v>
      </c>
      <c r="AO10" s="23"/>
      <c r="AP10" s="22">
        <v>300000</v>
      </c>
      <c r="AQ10" s="22" t="s">
        <v>1263</v>
      </c>
    </row>
    <row r="11" customHeight="1" spans="29:43">
      <c r="AC11" s="17" t="s">
        <v>1253</v>
      </c>
      <c r="AD11" s="20">
        <v>20</v>
      </c>
      <c r="AE11" s="20">
        <v>40001</v>
      </c>
      <c r="AF11" s="20">
        <v>46000</v>
      </c>
      <c r="AH11" s="8">
        <v>3</v>
      </c>
      <c r="AI11" s="8" t="s">
        <v>1264</v>
      </c>
      <c r="AJ11" s="8" t="s">
        <v>1251</v>
      </c>
      <c r="AL11" s="22">
        <v>200000</v>
      </c>
      <c r="AM11" s="22">
        <v>400000</v>
      </c>
      <c r="AN11" s="22">
        <v>2.5</v>
      </c>
      <c r="AO11" s="23"/>
      <c r="AP11" s="22">
        <v>350000</v>
      </c>
      <c r="AQ11" s="22" t="s">
        <v>1263</v>
      </c>
    </row>
    <row r="12" customHeight="1" spans="29:43">
      <c r="AC12" s="17" t="s">
        <v>1265</v>
      </c>
      <c r="AD12" s="20">
        <v>50</v>
      </c>
      <c r="AE12" s="20">
        <v>40000</v>
      </c>
      <c r="AF12" s="20">
        <v>42000</v>
      </c>
      <c r="AH12" s="8">
        <v>2</v>
      </c>
      <c r="AI12" s="8" t="s">
        <v>1266</v>
      </c>
      <c r="AJ12" s="8">
        <v>3</v>
      </c>
      <c r="AL12" s="23"/>
      <c r="AM12" s="23"/>
      <c r="AN12" s="23"/>
      <c r="AO12" s="23"/>
      <c r="AP12" s="22">
        <v>400000</v>
      </c>
      <c r="AQ12" s="22" t="s">
        <v>1267</v>
      </c>
    </row>
    <row r="13" customHeight="1" spans="34:43">
      <c r="AH13" s="8">
        <v>1</v>
      </c>
      <c r="AI13" s="8" t="s">
        <v>1268</v>
      </c>
      <c r="AJ13" s="8">
        <v>2</v>
      </c>
      <c r="AL13" s="23"/>
      <c r="AM13" s="23"/>
      <c r="AN13" s="23"/>
      <c r="AO13" s="23"/>
      <c r="AP13" s="22">
        <v>450000</v>
      </c>
      <c r="AQ13" s="22" t="s">
        <v>1269</v>
      </c>
    </row>
    <row r="14" customHeight="1" spans="41:41">
      <c r="AO14" s="23"/>
    </row>
    <row r="15" customHeight="1" spans="41:41">
      <c r="AO15" s="23"/>
    </row>
    <row r="16" customHeight="1" spans="41:41">
      <c r="AO16" s="23"/>
    </row>
  </sheetData>
  <pageMargins left="0.75" right="0.75" top="1" bottom="1" header="0.5" footer="0.5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R23"/>
  <sheetViews>
    <sheetView zoomScale="120" zoomScaleNormal="120" workbookViewId="0">
      <selection activeCell="F14" sqref="F13:F14"/>
    </sheetView>
  </sheetViews>
  <sheetFormatPr defaultColWidth="9" defaultRowHeight="15.2"/>
  <cols>
    <col min="1" max="3" width="9" style="6"/>
    <col min="4" max="6" width="12.1973684210526" style="6" customWidth="1"/>
    <col min="7" max="16384" width="9" style="6"/>
  </cols>
  <sheetData>
    <row r="1" ht="18" spans="1:18">
      <c r="A1" s="2" t="s">
        <v>434</v>
      </c>
      <c r="B1" s="2" t="s">
        <v>372</v>
      </c>
      <c r="C1" s="2" t="s">
        <v>435</v>
      </c>
      <c r="D1" s="2" t="s">
        <v>31</v>
      </c>
      <c r="E1" s="2" t="s">
        <v>436</v>
      </c>
      <c r="F1" s="2" t="s">
        <v>32</v>
      </c>
      <c r="G1" s="2" t="s">
        <v>437</v>
      </c>
      <c r="H1" s="2" t="s">
        <v>438</v>
      </c>
      <c r="I1" s="2" t="s">
        <v>439</v>
      </c>
      <c r="J1" s="2" t="s">
        <v>440</v>
      </c>
      <c r="K1" s="2" t="s">
        <v>441</v>
      </c>
      <c r="L1" s="2" t="s">
        <v>442</v>
      </c>
      <c r="M1" s="2" t="s">
        <v>443</v>
      </c>
      <c r="N1" s="2" t="s">
        <v>444</v>
      </c>
      <c r="O1" s="2" t="s">
        <v>1270</v>
      </c>
      <c r="P1" s="2" t="s">
        <v>1271</v>
      </c>
      <c r="Q1" s="2" t="s">
        <v>1272</v>
      </c>
      <c r="R1" s="2" t="s">
        <v>1273</v>
      </c>
    </row>
    <row r="2" ht="18" spans="1:18">
      <c r="A2" s="2" t="s">
        <v>40</v>
      </c>
      <c r="B2" s="2" t="s">
        <v>40</v>
      </c>
      <c r="C2" s="2" t="s">
        <v>40</v>
      </c>
      <c r="D2" s="2" t="s">
        <v>40</v>
      </c>
      <c r="E2" s="2" t="s">
        <v>40</v>
      </c>
      <c r="F2" s="2" t="s">
        <v>40</v>
      </c>
      <c r="G2" s="2" t="s">
        <v>40</v>
      </c>
      <c r="H2" s="2" t="s">
        <v>40</v>
      </c>
      <c r="I2" s="2" t="s">
        <v>40</v>
      </c>
      <c r="J2" s="2" t="s">
        <v>40</v>
      </c>
      <c r="K2" s="2" t="s">
        <v>40</v>
      </c>
      <c r="L2" s="2" t="s">
        <v>40</v>
      </c>
      <c r="M2" s="2" t="s">
        <v>40</v>
      </c>
      <c r="N2" s="2" t="s">
        <v>40</v>
      </c>
      <c r="O2" s="2" t="s">
        <v>40</v>
      </c>
      <c r="P2" s="2" t="s">
        <v>40</v>
      </c>
      <c r="Q2" s="2" t="s">
        <v>40</v>
      </c>
      <c r="R2" s="2" t="s">
        <v>40</v>
      </c>
    </row>
    <row r="3" ht="18" spans="1:18">
      <c r="A3" s="2" t="s">
        <v>445</v>
      </c>
      <c r="B3" s="2" t="s">
        <v>446</v>
      </c>
      <c r="C3" s="2" t="s">
        <v>447</v>
      </c>
      <c r="D3" s="2" t="s">
        <v>448</v>
      </c>
      <c r="E3" s="2" t="s">
        <v>447</v>
      </c>
      <c r="F3" s="2" t="s">
        <v>448</v>
      </c>
      <c r="G3" s="2" t="s">
        <v>447</v>
      </c>
      <c r="H3" s="2" t="s">
        <v>448</v>
      </c>
      <c r="I3" s="2" t="s">
        <v>447</v>
      </c>
      <c r="J3" s="2" t="s">
        <v>448</v>
      </c>
      <c r="K3" s="2" t="s">
        <v>447</v>
      </c>
      <c r="L3" s="2" t="s">
        <v>448</v>
      </c>
      <c r="M3" s="2" t="s">
        <v>447</v>
      </c>
      <c r="N3" s="2" t="s">
        <v>448</v>
      </c>
      <c r="O3" s="2" t="s">
        <v>447</v>
      </c>
      <c r="P3" s="2" t="s">
        <v>448</v>
      </c>
      <c r="Q3" s="2" t="s">
        <v>447</v>
      </c>
      <c r="R3" s="2" t="s">
        <v>448</v>
      </c>
    </row>
    <row r="4" ht="17.6" spans="1:18">
      <c r="A4" s="2">
        <v>44411</v>
      </c>
      <c r="B4" s="2">
        <v>60</v>
      </c>
      <c r="C4" s="2">
        <v>76217</v>
      </c>
      <c r="D4" s="2">
        <v>2500</v>
      </c>
      <c r="E4" s="2">
        <v>76218</v>
      </c>
      <c r="F4" s="2">
        <v>2000</v>
      </c>
      <c r="G4" s="2">
        <v>76223</v>
      </c>
      <c r="H4" s="2">
        <v>1800</v>
      </c>
      <c r="I4" s="2">
        <v>76219</v>
      </c>
      <c r="J4" s="2">
        <v>1500</v>
      </c>
      <c r="K4" s="2">
        <v>76221</v>
      </c>
      <c r="L4" s="2">
        <v>1200</v>
      </c>
      <c r="M4" s="2">
        <v>76224</v>
      </c>
      <c r="N4" s="2">
        <v>1000</v>
      </c>
      <c r="O4" s="2"/>
      <c r="P4" s="2"/>
      <c r="Q4" s="2"/>
      <c r="R4" s="2"/>
    </row>
    <row r="5" ht="17.6" spans="1:18">
      <c r="A5" s="2">
        <v>44412</v>
      </c>
      <c r="B5" s="2">
        <v>60</v>
      </c>
      <c r="C5" s="2">
        <v>76217</v>
      </c>
      <c r="D5" s="2">
        <v>2500</v>
      </c>
      <c r="E5" s="2">
        <v>76218</v>
      </c>
      <c r="F5" s="2">
        <v>2000</v>
      </c>
      <c r="G5" s="2">
        <v>76223</v>
      </c>
      <c r="H5" s="2">
        <v>1800</v>
      </c>
      <c r="I5" s="2">
        <v>76219</v>
      </c>
      <c r="J5" s="2">
        <v>1500</v>
      </c>
      <c r="K5" s="2">
        <v>76221</v>
      </c>
      <c r="L5" s="2">
        <v>1200</v>
      </c>
      <c r="M5" s="2">
        <v>76224</v>
      </c>
      <c r="N5" s="2">
        <v>1000</v>
      </c>
      <c r="O5" s="2"/>
      <c r="P5" s="2"/>
      <c r="Q5" s="2"/>
      <c r="R5" s="2"/>
    </row>
    <row r="6" ht="17.6" spans="1:18">
      <c r="A6" s="2">
        <v>44413</v>
      </c>
      <c r="B6" s="2">
        <v>60</v>
      </c>
      <c r="C6" s="2">
        <v>76217</v>
      </c>
      <c r="D6" s="2">
        <v>2500</v>
      </c>
      <c r="E6" s="2">
        <v>76218</v>
      </c>
      <c r="F6" s="2">
        <v>2000</v>
      </c>
      <c r="G6" s="2">
        <v>76223</v>
      </c>
      <c r="H6" s="2">
        <v>1800</v>
      </c>
      <c r="I6" s="2">
        <v>76219</v>
      </c>
      <c r="J6" s="2">
        <v>1200</v>
      </c>
      <c r="K6" s="2">
        <v>76224</v>
      </c>
      <c r="L6" s="2">
        <v>1200</v>
      </c>
      <c r="M6" s="2">
        <v>76225</v>
      </c>
      <c r="N6" s="2">
        <v>800</v>
      </c>
      <c r="O6" s="2">
        <v>76226</v>
      </c>
      <c r="P6" s="2">
        <v>500</v>
      </c>
      <c r="Q6" s="2"/>
      <c r="R6" s="2"/>
    </row>
    <row r="7" ht="17.6" spans="1:18">
      <c r="A7" s="2">
        <v>44414</v>
      </c>
      <c r="B7" s="2">
        <v>60</v>
      </c>
      <c r="C7" s="2">
        <v>76220</v>
      </c>
      <c r="D7" s="2">
        <v>2500</v>
      </c>
      <c r="E7" s="2">
        <v>76223</v>
      </c>
      <c r="F7" s="2">
        <v>2000</v>
      </c>
      <c r="G7" s="2">
        <v>76222</v>
      </c>
      <c r="H7" s="2">
        <v>1600</v>
      </c>
      <c r="I7" s="2">
        <v>76224</v>
      </c>
      <c r="J7" s="2">
        <v>1300</v>
      </c>
      <c r="K7" s="2">
        <v>76225</v>
      </c>
      <c r="L7" s="2">
        <v>1000</v>
      </c>
      <c r="M7" s="2">
        <v>76226</v>
      </c>
      <c r="N7" s="2">
        <v>800</v>
      </c>
      <c r="O7" s="2">
        <v>76227</v>
      </c>
      <c r="P7" s="2">
        <v>800</v>
      </c>
      <c r="Q7" s="2"/>
      <c r="R7" s="2"/>
    </row>
    <row r="8" ht="17.6" spans="1:18">
      <c r="A8" s="2">
        <v>44415</v>
      </c>
      <c r="B8" s="2">
        <v>60</v>
      </c>
      <c r="C8" s="2">
        <v>76220</v>
      </c>
      <c r="D8" s="2">
        <v>2500</v>
      </c>
      <c r="E8" s="2">
        <v>76223</v>
      </c>
      <c r="F8" s="2">
        <v>2000</v>
      </c>
      <c r="G8" s="2">
        <v>76222</v>
      </c>
      <c r="H8" s="2">
        <v>1600</v>
      </c>
      <c r="I8" s="2">
        <v>76224</v>
      </c>
      <c r="J8" s="2">
        <v>1300</v>
      </c>
      <c r="K8" s="2">
        <v>76225</v>
      </c>
      <c r="L8" s="2">
        <v>1000</v>
      </c>
      <c r="M8" s="2">
        <v>76226</v>
      </c>
      <c r="N8" s="2">
        <v>800</v>
      </c>
      <c r="O8" s="2">
        <v>76227</v>
      </c>
      <c r="P8" s="2">
        <v>800</v>
      </c>
      <c r="Q8" s="2"/>
      <c r="R8" s="2"/>
    </row>
    <row r="9" s="5" customFormat="1" ht="17.6" spans="1:18">
      <c r="A9" s="2">
        <v>44501</v>
      </c>
      <c r="B9" s="2">
        <v>60</v>
      </c>
      <c r="C9" s="2">
        <v>76217</v>
      </c>
      <c r="D9" s="2">
        <v>2200</v>
      </c>
      <c r="E9" s="2">
        <v>76218</v>
      </c>
      <c r="F9" s="2">
        <v>2000</v>
      </c>
      <c r="G9" s="2">
        <v>76223</v>
      </c>
      <c r="H9" s="2">
        <v>1500</v>
      </c>
      <c r="I9" s="2">
        <v>76219</v>
      </c>
      <c r="J9" s="2">
        <v>1200</v>
      </c>
      <c r="K9" s="2">
        <v>76221</v>
      </c>
      <c r="L9" s="2">
        <v>900</v>
      </c>
      <c r="M9" s="2">
        <v>76224</v>
      </c>
      <c r="N9" s="2">
        <v>800</v>
      </c>
      <c r="O9" s="2">
        <v>76225</v>
      </c>
      <c r="P9" s="2">
        <v>800</v>
      </c>
      <c r="Q9" s="2">
        <v>76226</v>
      </c>
      <c r="R9" s="2">
        <v>600</v>
      </c>
    </row>
    <row r="10" s="5" customFormat="1" ht="17.6" spans="1:18">
      <c r="A10" s="2">
        <v>44601</v>
      </c>
      <c r="B10" s="2">
        <v>60</v>
      </c>
      <c r="C10" s="2">
        <v>76217</v>
      </c>
      <c r="D10" s="2">
        <v>2500</v>
      </c>
      <c r="E10" s="2">
        <v>76218</v>
      </c>
      <c r="F10" s="2">
        <v>2000</v>
      </c>
      <c r="G10" s="2">
        <v>76223</v>
      </c>
      <c r="H10" s="2">
        <v>1800</v>
      </c>
      <c r="I10" s="2">
        <v>76219</v>
      </c>
      <c r="J10" s="2">
        <v>1200</v>
      </c>
      <c r="K10" s="2">
        <v>76224</v>
      </c>
      <c r="L10" s="2">
        <v>1200</v>
      </c>
      <c r="M10" s="2">
        <v>76225</v>
      </c>
      <c r="N10" s="2">
        <v>800</v>
      </c>
      <c r="O10" s="2">
        <v>76226</v>
      </c>
      <c r="P10" s="2">
        <v>500</v>
      </c>
      <c r="Q10" s="2"/>
      <c r="R10" s="2"/>
    </row>
    <row r="14" spans="4:5">
      <c r="D14" s="7"/>
      <c r="E14" s="7"/>
    </row>
    <row r="15" spans="4:5">
      <c r="D15" s="7"/>
      <c r="E15" s="7"/>
    </row>
    <row r="16" spans="4:5">
      <c r="D16" s="7"/>
      <c r="E16" s="7"/>
    </row>
    <row r="17" spans="4:5">
      <c r="D17" s="7"/>
      <c r="E17" s="7"/>
    </row>
    <row r="18" spans="4:5">
      <c r="D18" s="7"/>
      <c r="E18" s="7"/>
    </row>
    <row r="19" spans="4:5">
      <c r="D19" s="7"/>
      <c r="E19" s="7"/>
    </row>
    <row r="20" spans="4:5">
      <c r="D20" s="7"/>
      <c r="E20" s="7"/>
    </row>
    <row r="21" spans="4:5">
      <c r="D21" s="7"/>
      <c r="E21" s="7"/>
    </row>
    <row r="23" spans="4:5">
      <c r="D23" s="7"/>
      <c r="E23" s="7"/>
    </row>
  </sheetData>
  <pageMargins left="0.75" right="0.75" top="1" bottom="1" header="0.511805555555556" footer="0.511805555555556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25"/>
  <sheetViews>
    <sheetView workbookViewId="0">
      <selection activeCell="D19" sqref="D19"/>
    </sheetView>
  </sheetViews>
  <sheetFormatPr defaultColWidth="8.79605263157895" defaultRowHeight="21.95" customHeight="1"/>
  <cols>
    <col min="1" max="1" width="16.9013157894737" customWidth="1"/>
    <col min="3" max="3" width="22.4013157894737" customWidth="1"/>
    <col min="7" max="7" width="17.5986842105263" customWidth="1"/>
    <col min="9" max="9" width="22.2960526315789" customWidth="1"/>
  </cols>
  <sheetData>
    <row r="1" customHeight="1" spans="1:11">
      <c r="A1" s="1" t="s">
        <v>26</v>
      </c>
      <c r="B1" s="2" t="s">
        <v>27</v>
      </c>
      <c r="C1" s="2" t="s">
        <v>879</v>
      </c>
      <c r="D1" s="2" t="s">
        <v>30</v>
      </c>
      <c r="E1" s="2" t="s">
        <v>34</v>
      </c>
      <c r="G1" s="1" t="s">
        <v>26</v>
      </c>
      <c r="H1" s="2" t="s">
        <v>27</v>
      </c>
      <c r="I1" s="2" t="s">
        <v>879</v>
      </c>
      <c r="J1" s="2" t="s">
        <v>30</v>
      </c>
      <c r="K1" s="2" t="s">
        <v>34</v>
      </c>
    </row>
    <row r="2" customHeight="1" spans="1:11">
      <c r="A2" s="1" t="s">
        <v>41</v>
      </c>
      <c r="B2" s="2" t="s">
        <v>40</v>
      </c>
      <c r="C2" s="2" t="s">
        <v>40</v>
      </c>
      <c r="D2" s="2" t="s">
        <v>40</v>
      </c>
      <c r="E2" s="2" t="s">
        <v>40</v>
      </c>
      <c r="G2" s="1" t="s">
        <v>41</v>
      </c>
      <c r="H2" s="2" t="s">
        <v>40</v>
      </c>
      <c r="I2" s="2" t="s">
        <v>40</v>
      </c>
      <c r="J2" s="2" t="s">
        <v>40</v>
      </c>
      <c r="K2" s="2" t="s">
        <v>40</v>
      </c>
    </row>
    <row r="3" customHeight="1" spans="1:11">
      <c r="A3" s="1" t="s">
        <v>46</v>
      </c>
      <c r="B3" s="2" t="s">
        <v>1098</v>
      </c>
      <c r="C3" s="2" t="s">
        <v>1274</v>
      </c>
      <c r="D3" s="2" t="s">
        <v>50</v>
      </c>
      <c r="E3" s="2" t="s">
        <v>59</v>
      </c>
      <c r="G3" s="1" t="s">
        <v>46</v>
      </c>
      <c r="H3" s="2" t="s">
        <v>1098</v>
      </c>
      <c r="I3" s="4" t="s">
        <v>1275</v>
      </c>
      <c r="J3" s="2" t="s">
        <v>50</v>
      </c>
      <c r="K3" s="2" t="s">
        <v>59</v>
      </c>
    </row>
    <row r="4" customHeight="1" spans="1:11">
      <c r="A4" s="1" t="s">
        <v>297</v>
      </c>
      <c r="B4" s="1">
        <v>71201</v>
      </c>
      <c r="C4" s="1">
        <v>13757</v>
      </c>
      <c r="D4" s="1">
        <f>VLOOKUP(B4,Fish!$D:$I,6,FALSE)-VLOOKUP(B4,Fish!$D:$I,4,FALSE)</f>
        <v>31</v>
      </c>
      <c r="E4" s="1">
        <v>10000</v>
      </c>
      <c r="G4" s="1" t="s">
        <v>297</v>
      </c>
      <c r="H4" s="1">
        <v>71201</v>
      </c>
      <c r="I4" s="1">
        <v>13763</v>
      </c>
      <c r="J4" s="1">
        <f>VLOOKUP(H4,Fish!$D:$I,6,FALSE)-VLOOKUP(H4,Fish!$D:$I,4,FALSE)</f>
        <v>31</v>
      </c>
      <c r="K4" s="1">
        <v>10000</v>
      </c>
    </row>
    <row r="5" customHeight="1" spans="1:11">
      <c r="A5" s="1" t="s">
        <v>299</v>
      </c>
      <c r="B5" s="1">
        <v>71202</v>
      </c>
      <c r="C5" s="1">
        <v>13757</v>
      </c>
      <c r="D5" s="1">
        <f>VLOOKUP(B5,Fish!$D:$I,6,FALSE)-VLOOKUP(B5,Fish!$D:$I,4,FALSE)</f>
        <v>53</v>
      </c>
      <c r="E5" s="1">
        <v>10000</v>
      </c>
      <c r="G5" s="1" t="s">
        <v>299</v>
      </c>
      <c r="H5" s="1">
        <v>71202</v>
      </c>
      <c r="I5" s="1">
        <v>13763</v>
      </c>
      <c r="J5" s="1">
        <f>VLOOKUP(H5,Fish!$D:$I,6,FALSE)-VLOOKUP(H5,Fish!$D:$I,4,FALSE)</f>
        <v>53</v>
      </c>
      <c r="K5" s="1">
        <v>10000</v>
      </c>
    </row>
    <row r="6" customHeight="1" spans="1:11">
      <c r="A6" s="1" t="s">
        <v>301</v>
      </c>
      <c r="B6" s="1">
        <v>71203</v>
      </c>
      <c r="C6" s="1">
        <v>13757</v>
      </c>
      <c r="D6" s="1">
        <f>VLOOKUP(B6,Fish!$D:$I,6,FALSE)-VLOOKUP(B6,Fish!$D:$I,4,FALSE)</f>
        <v>101</v>
      </c>
      <c r="E6" s="1">
        <v>10000</v>
      </c>
      <c r="G6" s="1" t="s">
        <v>301</v>
      </c>
      <c r="H6" s="1">
        <v>71203</v>
      </c>
      <c r="I6" s="1">
        <v>13763</v>
      </c>
      <c r="J6" s="1">
        <f>VLOOKUP(H6,Fish!$D:$I,6,FALSE)-VLOOKUP(H6,Fish!$D:$I,4,FALSE)</f>
        <v>101</v>
      </c>
      <c r="K6" s="1">
        <v>10000</v>
      </c>
    </row>
    <row r="7" customHeight="1" spans="1:11">
      <c r="A7" s="1" t="s">
        <v>303</v>
      </c>
      <c r="B7" s="1">
        <v>73204</v>
      </c>
      <c r="C7" s="1">
        <v>13758</v>
      </c>
      <c r="D7" s="1">
        <f>VLOOKUP(B7,Fish!$D:$I,6,FALSE)-VLOOKUP(B7,Fish!$D:$I,4,FALSE)</f>
        <v>44</v>
      </c>
      <c r="E7" s="1">
        <v>50000</v>
      </c>
      <c r="G7" s="1" t="s">
        <v>303</v>
      </c>
      <c r="H7" s="1">
        <v>73204</v>
      </c>
      <c r="I7" s="1">
        <v>13764</v>
      </c>
      <c r="J7" s="1">
        <f>VLOOKUP(H7,Fish!$D:$I,6,FALSE)-VLOOKUP(H7,Fish!$D:$I,4,FALSE)</f>
        <v>44</v>
      </c>
      <c r="K7" s="1">
        <v>50000</v>
      </c>
    </row>
    <row r="8" customHeight="1" spans="1:11">
      <c r="A8" s="1" t="s">
        <v>305</v>
      </c>
      <c r="B8" s="1">
        <v>73205</v>
      </c>
      <c r="C8" s="1">
        <v>13759</v>
      </c>
      <c r="D8" s="1">
        <f>VLOOKUP(B8,Fish!$D:$I,6,FALSE)-VLOOKUP(B8,Fish!$D:$I,4,FALSE)</f>
        <v>75</v>
      </c>
      <c r="E8" s="1">
        <v>100000</v>
      </c>
      <c r="G8" s="1" t="s">
        <v>305</v>
      </c>
      <c r="H8" s="1">
        <v>73205</v>
      </c>
      <c r="I8" s="1">
        <v>13765</v>
      </c>
      <c r="J8" s="1">
        <f>VLOOKUP(H8,Fish!$D:$I,6,FALSE)-VLOOKUP(H8,Fish!$D:$I,4,FALSE)</f>
        <v>75</v>
      </c>
      <c r="K8" s="1">
        <v>100000</v>
      </c>
    </row>
    <row r="9" customHeight="1" spans="1:11">
      <c r="A9" s="1" t="s">
        <v>307</v>
      </c>
      <c r="B9" s="1">
        <v>73206</v>
      </c>
      <c r="C9" s="1">
        <v>13760</v>
      </c>
      <c r="D9" s="1">
        <f>VLOOKUP(B9,Fish!$D:$I,6,FALSE)-VLOOKUP(B9,Fish!$D:$I,4,FALSE)</f>
        <v>95</v>
      </c>
      <c r="E9" s="1">
        <v>200000</v>
      </c>
      <c r="G9" s="1" t="s">
        <v>307</v>
      </c>
      <c r="H9" s="1">
        <v>73206</v>
      </c>
      <c r="I9" s="1">
        <v>14114</v>
      </c>
      <c r="J9" s="1">
        <f>VLOOKUP(H9,Fish!$D:$I,6,FALSE)-VLOOKUP(H9,Fish!$D:$I,4,FALSE)</f>
        <v>95</v>
      </c>
      <c r="K9" s="1">
        <v>200000</v>
      </c>
    </row>
    <row r="10" customHeight="1" spans="1:11">
      <c r="A10" s="1" t="s">
        <v>309</v>
      </c>
      <c r="B10" s="1">
        <v>74207</v>
      </c>
      <c r="C10" s="1">
        <v>13761</v>
      </c>
      <c r="D10" s="1">
        <f>VLOOKUP(B10,Fish!$D:$I,6,FALSE)-VLOOKUP(B10,Fish!$D:$I,4,FALSE)</f>
        <v>122</v>
      </c>
      <c r="E10" s="1">
        <v>10000</v>
      </c>
      <c r="G10" s="1" t="s">
        <v>309</v>
      </c>
      <c r="H10" s="1">
        <v>74207</v>
      </c>
      <c r="I10" s="1">
        <v>14115</v>
      </c>
      <c r="J10" s="1">
        <f>VLOOKUP(H10,Fish!$D:$I,6,FALSE)-VLOOKUP(H10,Fish!$D:$I,4,FALSE)</f>
        <v>122</v>
      </c>
      <c r="K10" s="1">
        <v>10000</v>
      </c>
    </row>
    <row r="11" customHeight="1" spans="1:11">
      <c r="A11" s="1" t="s">
        <v>312</v>
      </c>
      <c r="B11" s="1">
        <v>74215</v>
      </c>
      <c r="C11" s="1">
        <v>13761</v>
      </c>
      <c r="D11" s="1">
        <f>VLOOKUP(B11,Fish!$D:$I,6,FALSE)-VLOOKUP(B11,Fish!$D:$I,4,FALSE)</f>
        <v>80</v>
      </c>
      <c r="E11" s="1">
        <v>10000</v>
      </c>
      <c r="G11" s="1" t="s">
        <v>312</v>
      </c>
      <c r="H11" s="1">
        <v>74215</v>
      </c>
      <c r="I11" s="1">
        <v>14115</v>
      </c>
      <c r="J11" s="1">
        <f>VLOOKUP(H11,Fish!$D:$I,6,FALSE)-VLOOKUP(H11,Fish!$D:$I,4,FALSE)</f>
        <v>80</v>
      </c>
      <c r="K11" s="1">
        <v>10000</v>
      </c>
    </row>
    <row r="12" customHeight="1" spans="1:11">
      <c r="A12" s="1" t="s">
        <v>315</v>
      </c>
      <c r="B12" s="1">
        <v>75208</v>
      </c>
      <c r="C12" s="1">
        <v>13762</v>
      </c>
      <c r="D12" s="1">
        <f>VLOOKUP(B12,Fish!$D:$I,6,FALSE)-VLOOKUP(B12,Fish!$D:$I,4,FALSE)</f>
        <v>100</v>
      </c>
      <c r="E12" s="1">
        <v>500000</v>
      </c>
      <c r="G12" s="1" t="s">
        <v>315</v>
      </c>
      <c r="H12" s="1">
        <v>75208</v>
      </c>
      <c r="I12" s="1">
        <v>14116</v>
      </c>
      <c r="J12" s="1">
        <f>VLOOKUP(H12,Fish!$D:$I,6,FALSE)-VLOOKUP(H12,Fish!$D:$I,4,FALSE)</f>
        <v>100</v>
      </c>
      <c r="K12" s="1">
        <v>500000</v>
      </c>
    </row>
    <row r="13" customHeight="1" spans="1:11">
      <c r="A13" s="1" t="s">
        <v>317</v>
      </c>
      <c r="B13" s="1">
        <v>75216</v>
      </c>
      <c r="C13" s="1">
        <v>13762</v>
      </c>
      <c r="D13" s="1">
        <f>VLOOKUP(B13,Fish!$D:$I,6,FALSE)-VLOOKUP(B13,Fish!$D:$I,4,FALSE)</f>
        <v>144</v>
      </c>
      <c r="E13" s="1">
        <v>500000</v>
      </c>
      <c r="G13" s="1" t="s">
        <v>317</v>
      </c>
      <c r="H13" s="1">
        <v>75216</v>
      </c>
      <c r="I13" s="1">
        <v>14116</v>
      </c>
      <c r="J13" s="1">
        <f>VLOOKUP(H13,Fish!$D:$I,6,FALSE)-VLOOKUP(H13,Fish!$D:$I,4,FALSE)</f>
        <v>144</v>
      </c>
      <c r="K13" s="1">
        <v>500000</v>
      </c>
    </row>
    <row r="14" customHeight="1" spans="1:11">
      <c r="A14" s="1" t="s">
        <v>319</v>
      </c>
      <c r="B14" s="1">
        <v>75209</v>
      </c>
      <c r="C14" s="1">
        <v>13762</v>
      </c>
      <c r="D14" s="1">
        <f>VLOOKUP(B14,Fish!$D:$I,6,FALSE)-VLOOKUP(B14,Fish!$D:$I,4,FALSE)</f>
        <v>60</v>
      </c>
      <c r="E14" s="1">
        <v>500000</v>
      </c>
      <c r="G14" s="1" t="s">
        <v>319</v>
      </c>
      <c r="H14" s="1">
        <v>75209</v>
      </c>
      <c r="I14" s="1">
        <v>13762</v>
      </c>
      <c r="J14" s="1">
        <f>VLOOKUP(H14,Fish!$D:$I,6,FALSE)-VLOOKUP(H14,Fish!$D:$I,4,FALSE)</f>
        <v>60</v>
      </c>
      <c r="K14" s="1">
        <v>500000</v>
      </c>
    </row>
    <row r="15" customHeight="1" spans="1:11">
      <c r="A15" s="1" t="s">
        <v>321</v>
      </c>
      <c r="B15" s="1">
        <v>75210</v>
      </c>
      <c r="C15" s="1">
        <v>13762</v>
      </c>
      <c r="D15" s="1">
        <f>VLOOKUP(B15,Fish!$D:$I,6,FALSE)-VLOOKUP(B15,Fish!$D:$I,4,FALSE)</f>
        <v>150</v>
      </c>
      <c r="E15" s="1">
        <v>500000</v>
      </c>
      <c r="G15" s="1" t="s">
        <v>321</v>
      </c>
      <c r="H15" s="1">
        <v>75210</v>
      </c>
      <c r="I15" s="1">
        <v>13762</v>
      </c>
      <c r="J15" s="1">
        <f>VLOOKUP(H15,Fish!$D:$I,6,FALSE)-VLOOKUP(H15,Fish!$D:$I,4,FALSE)</f>
        <v>150</v>
      </c>
      <c r="K15" s="1">
        <v>500000</v>
      </c>
    </row>
    <row r="16" customHeight="1" spans="1:11">
      <c r="A16" s="1" t="s">
        <v>63</v>
      </c>
      <c r="B16" s="1">
        <v>74002</v>
      </c>
      <c r="C16" s="1">
        <v>13761</v>
      </c>
      <c r="D16" s="1">
        <f>VLOOKUP(B16,Fish!$D:$I,6,FALSE)-VLOOKUP(B16,Fish!$D:$I,4,FALSE)</f>
        <v>2</v>
      </c>
      <c r="E16" s="1">
        <v>10000</v>
      </c>
      <c r="G16" s="1" t="s">
        <v>63</v>
      </c>
      <c r="H16" s="1">
        <v>74002</v>
      </c>
      <c r="I16" s="1">
        <v>13761</v>
      </c>
      <c r="J16" s="1">
        <f>VLOOKUP(H16,Fish!$D:$I,6,FALSE)-VLOOKUP(H16,Fish!$D:$I,4,FALSE)</f>
        <v>2</v>
      </c>
      <c r="K16" s="1">
        <v>10000</v>
      </c>
    </row>
    <row r="17" customHeight="1" spans="1:11">
      <c r="A17" s="1" t="s">
        <v>65</v>
      </c>
      <c r="B17" s="1">
        <v>74003</v>
      </c>
      <c r="C17" s="1">
        <v>13761</v>
      </c>
      <c r="D17" s="1">
        <f>VLOOKUP(B17,Fish!$D:$I,6,FALSE)-VLOOKUP(B17,Fish!$D:$I,4,FALSE)</f>
        <v>3</v>
      </c>
      <c r="E17" s="1">
        <v>10000</v>
      </c>
      <c r="G17" s="1" t="s">
        <v>65</v>
      </c>
      <c r="H17" s="1">
        <v>74003</v>
      </c>
      <c r="I17" s="1">
        <v>13761</v>
      </c>
      <c r="J17" s="1">
        <f>VLOOKUP(H17,Fish!$D:$I,6,FALSE)-VLOOKUP(H17,Fish!$D:$I,4,FALSE)</f>
        <v>3</v>
      </c>
      <c r="K17" s="1">
        <v>10000</v>
      </c>
    </row>
    <row r="18" customHeight="1" spans="1:11">
      <c r="A18" s="1" t="s">
        <v>67</v>
      </c>
      <c r="B18" s="1">
        <v>74004</v>
      </c>
      <c r="C18" s="1">
        <v>13761</v>
      </c>
      <c r="D18" s="1">
        <f>VLOOKUP(B18,Fish!$D:$I,6,FALSE)-VLOOKUP(B18,Fish!$D:$I,4,FALSE)</f>
        <v>4</v>
      </c>
      <c r="E18" s="1">
        <v>10000</v>
      </c>
      <c r="G18" s="1" t="s">
        <v>67</v>
      </c>
      <c r="H18" s="1">
        <v>74004</v>
      </c>
      <c r="I18" s="1">
        <v>13761</v>
      </c>
      <c r="J18" s="1">
        <f>VLOOKUP(H18,Fish!$D:$I,6,FALSE)-VLOOKUP(H18,Fish!$D:$I,4,FALSE)</f>
        <v>4</v>
      </c>
      <c r="K18" s="1">
        <v>10000</v>
      </c>
    </row>
    <row r="19" customHeight="1" spans="1:11">
      <c r="A19" s="1" t="s">
        <v>71</v>
      </c>
      <c r="B19" s="1">
        <v>74006</v>
      </c>
      <c r="C19" s="1">
        <v>13761</v>
      </c>
      <c r="D19" s="1">
        <f>VLOOKUP(B19,Fish!$D:$I,6,FALSE)-VLOOKUP(B19,Fish!$D:$I,4,FALSE)</f>
        <v>3</v>
      </c>
      <c r="E19" s="1">
        <v>10000</v>
      </c>
      <c r="G19" s="1" t="s">
        <v>71</v>
      </c>
      <c r="H19" s="1">
        <v>74006</v>
      </c>
      <c r="I19" s="1">
        <v>13761</v>
      </c>
      <c r="J19" s="1">
        <f>VLOOKUP(H19,Fish!$D:$I,6,FALSE)-VLOOKUP(H19,Fish!$D:$I,4,FALSE)</f>
        <v>3</v>
      </c>
      <c r="K19" s="1">
        <v>10000</v>
      </c>
    </row>
    <row r="20" customHeight="1" spans="1:11">
      <c r="A20" s="1" t="s">
        <v>73</v>
      </c>
      <c r="B20" s="1">
        <v>74007</v>
      </c>
      <c r="C20" s="1">
        <v>13761</v>
      </c>
      <c r="D20" s="1">
        <f>VLOOKUP(B20,Fish!$D:$I,6,FALSE)-VLOOKUP(B20,Fish!$D:$I,4,FALSE)</f>
        <v>4</v>
      </c>
      <c r="E20" s="1">
        <v>10000</v>
      </c>
      <c r="G20" s="1" t="s">
        <v>73</v>
      </c>
      <c r="H20" s="1">
        <v>74007</v>
      </c>
      <c r="I20" s="1">
        <v>13761</v>
      </c>
      <c r="J20" s="1">
        <f>VLOOKUP(H20,Fish!$D:$I,6,FALSE)-VLOOKUP(H20,Fish!$D:$I,4,FALSE)</f>
        <v>4</v>
      </c>
      <c r="K20" s="1">
        <v>10000</v>
      </c>
    </row>
    <row r="21" customHeight="1" spans="1:11">
      <c r="A21" s="1" t="s">
        <v>75</v>
      </c>
      <c r="B21" s="1">
        <v>74008</v>
      </c>
      <c r="C21" s="1">
        <v>13761</v>
      </c>
      <c r="D21" s="1">
        <f>VLOOKUP(B21,Fish!$D:$I,6,FALSE)-VLOOKUP(B21,Fish!$D:$I,4,FALSE)</f>
        <v>5</v>
      </c>
      <c r="E21" s="1">
        <v>10000</v>
      </c>
      <c r="G21" s="1" t="s">
        <v>75</v>
      </c>
      <c r="H21" s="1">
        <v>74008</v>
      </c>
      <c r="I21" s="1">
        <v>13761</v>
      </c>
      <c r="J21" s="1">
        <f>VLOOKUP(H21,Fish!$D:$I,6,FALSE)-VLOOKUP(H21,Fish!$D:$I,4,FALSE)</f>
        <v>5</v>
      </c>
      <c r="K21" s="1">
        <v>10000</v>
      </c>
    </row>
    <row r="22" customHeight="1" spans="1:11">
      <c r="A22" s="1" t="s">
        <v>77</v>
      </c>
      <c r="B22" s="1">
        <v>74009</v>
      </c>
      <c r="C22" s="1">
        <v>13761</v>
      </c>
      <c r="D22" s="1">
        <f>VLOOKUP(B22,Fish!$D:$I,6,FALSE)-VLOOKUP(B22,Fish!$D:$I,4,FALSE)</f>
        <v>6</v>
      </c>
      <c r="E22" s="1">
        <v>10000</v>
      </c>
      <c r="G22" s="1" t="s">
        <v>77</v>
      </c>
      <c r="H22" s="1">
        <v>74009</v>
      </c>
      <c r="I22" s="1">
        <v>13761</v>
      </c>
      <c r="J22" s="1">
        <f>VLOOKUP(H22,Fish!$D:$I,6,FALSE)-VLOOKUP(H22,Fish!$D:$I,4,FALSE)</f>
        <v>6</v>
      </c>
      <c r="K22" s="1">
        <v>10000</v>
      </c>
    </row>
    <row r="23" customHeight="1" spans="1:11">
      <c r="A23" s="3" t="s">
        <v>95</v>
      </c>
      <c r="B23" s="3">
        <v>74017</v>
      </c>
      <c r="C23" s="1">
        <v>13761</v>
      </c>
      <c r="D23" s="1">
        <f>VLOOKUP(B23,Fish!$D:$I,6,FALSE)-VLOOKUP(B23,Fish!$D:$I,4,FALSE)</f>
        <v>9</v>
      </c>
      <c r="E23" s="1">
        <v>10000</v>
      </c>
      <c r="G23" s="3" t="s">
        <v>95</v>
      </c>
      <c r="H23" s="3">
        <v>74017</v>
      </c>
      <c r="I23" s="1">
        <v>13761</v>
      </c>
      <c r="J23" s="1">
        <f>VLOOKUP(H23,Fish!$D:$I,6,FALSE)-VLOOKUP(H23,Fish!$D:$I,4,FALSE)</f>
        <v>9</v>
      </c>
      <c r="K23" s="1">
        <v>10000</v>
      </c>
    </row>
    <row r="24" customHeight="1" spans="1:11">
      <c r="A24" s="3" t="s">
        <v>97</v>
      </c>
      <c r="B24" s="3">
        <v>74020</v>
      </c>
      <c r="C24" s="1">
        <v>13761</v>
      </c>
      <c r="D24" s="1">
        <f>VLOOKUP(B24,Fish!$D:$I,6,FALSE)-VLOOKUP(B24,Fish!$D:$I,4,FALSE)</f>
        <v>16</v>
      </c>
      <c r="E24" s="1">
        <v>10000</v>
      </c>
      <c r="G24" s="3" t="s">
        <v>97</v>
      </c>
      <c r="H24" s="3">
        <v>74020</v>
      </c>
      <c r="I24" s="1">
        <v>13761</v>
      </c>
      <c r="J24" s="1">
        <f>VLOOKUP(H24,Fish!$D:$I,6,FALSE)-VLOOKUP(H24,Fish!$D:$I,4,FALSE)</f>
        <v>16</v>
      </c>
      <c r="K24" s="1">
        <v>10000</v>
      </c>
    </row>
    <row r="25" customHeight="1" spans="1:11">
      <c r="A25" s="3" t="s">
        <v>103</v>
      </c>
      <c r="B25" s="3">
        <v>74025</v>
      </c>
      <c r="C25" s="1">
        <v>13761</v>
      </c>
      <c r="D25" s="1">
        <f>VLOOKUP(B25,Fish!$D:$I,6,FALSE)-VLOOKUP(B25,Fish!$D:$I,4,FALSE)</f>
        <v>40</v>
      </c>
      <c r="E25" s="1">
        <v>10000</v>
      </c>
      <c r="G25" s="3" t="s">
        <v>103</v>
      </c>
      <c r="H25" s="3">
        <v>74025</v>
      </c>
      <c r="I25" s="1">
        <v>13761</v>
      </c>
      <c r="J25" s="1">
        <f>VLOOKUP(H25,Fish!$D:$I,6,FALSE)-VLOOKUP(H25,Fish!$D:$I,4,FALSE)</f>
        <v>40</v>
      </c>
      <c r="K25" s="1">
        <v>10000</v>
      </c>
    </row>
  </sheetData>
  <pageMargins left="0.75" right="0.75" top="1" bottom="1" header="0.511805555555556" footer="0.511805555555556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ID</vt:lpstr>
      <vt:lpstr>Fish</vt:lpstr>
      <vt:lpstr>SkillGrade</vt:lpstr>
      <vt:lpstr>SkillStar</vt:lpstr>
      <vt:lpstr>TerrorFish</vt:lpstr>
      <vt:lpstr>LevelFunds</vt:lpstr>
      <vt:lpstr>LevelFunds_25794</vt:lpstr>
      <vt:lpstr>SuperBossExchange</vt:lpstr>
      <vt:lpstr>SuperBossMinigame</vt:lpstr>
      <vt:lpstr>SuperBossCommon</vt:lpstr>
      <vt:lpstr>Gun</vt:lpstr>
      <vt:lpstr>GunSkin</vt:lpstr>
      <vt:lpstr>GunLevel</vt:lpstr>
      <vt:lpstr>Weapon</vt:lpstr>
      <vt:lpstr>WeaponPowerRate</vt:lpstr>
      <vt:lpstr>WeaponStageCount</vt:lpstr>
      <vt:lpstr>LevelPrizeWheel</vt:lpstr>
      <vt:lpstr>TimePointMatchSkill</vt:lpstr>
      <vt:lpstr>AutofillFish</vt:lpstr>
      <vt:lpstr>TideTask</vt:lpstr>
      <vt:lpstr>MultipleFish</vt:lpstr>
      <vt:lpstr>BossMultiple</vt:lpstr>
      <vt:lpstr>MatchFish</vt:lpstr>
      <vt:lpstr>MatchBufferFish</vt:lpstr>
      <vt:lpstr>MatchMultipleFish</vt:lpstr>
      <vt:lpstr>FixedMultipleFish</vt:lpstr>
      <vt:lpstr>RandomMultipleFish</vt:lpstr>
      <vt:lpstr>PlayerBuffer</vt:lpstr>
      <vt:lpstr>BossFish</vt:lpstr>
      <vt:lpstr>GrandPrix</vt:lpstr>
      <vt:lpstr>PlatterFish</vt:lpstr>
      <vt:lpstr>SuperBossDrop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caokai</dc:creator>
  <cp:lastModifiedBy>lingyun</cp:lastModifiedBy>
  <dcterms:created xsi:type="dcterms:W3CDTF">2018-03-06T11:36:00Z</dcterms:created>
  <dcterms:modified xsi:type="dcterms:W3CDTF">2020-08-08T02:09:57Z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