
<file path=[Content_Types].xml><?xml version="1.0" encoding="utf-8"?>
<Types xmlns="http://schemas.openxmlformats.org/package/2006/content-types">
  <Default Extension="vml" ContentType="application/vnd.openxmlformats-officedocument.vmlDrawing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Height="15380" tabRatio="932" firstSheet="10" activeTab="20"/>
  </bookViews>
  <sheets>
    <sheet name="LevelFunds" sheetId="161" r:id="rId1"/>
    <sheet name="LevelFunds_25794" sheetId="162" r:id="rId2"/>
    <sheet name="ID" sheetId="1" r:id="rId3"/>
    <sheet name="Fish" sheetId="152" r:id="rId4"/>
    <sheet name="SkillGrade" sheetId="153" r:id="rId5"/>
    <sheet name="SkillStar" sheetId="154" r:id="rId6"/>
    <sheet name="StarAbility" sheetId="155" r:id="rId7"/>
    <sheet name="TerrorFish" sheetId="165" r:id="rId8"/>
    <sheet name="SuperBossExchange" sheetId="151" r:id="rId9"/>
    <sheet name="SuperBossMinigame" sheetId="149" r:id="rId10"/>
    <sheet name="SuperBossCommon" sheetId="150" r:id="rId11"/>
    <sheet name="Gun" sheetId="156" r:id="rId12"/>
    <sheet name="GunSkin" sheetId="157" r:id="rId13"/>
    <sheet name="GunLevel" sheetId="158" r:id="rId14"/>
    <sheet name="Weapon" sheetId="160" r:id="rId15"/>
    <sheet name="WeaponPowerRate" sheetId="168" r:id="rId16"/>
    <sheet name="SuperBossPower" sheetId="159" r:id="rId17"/>
    <sheet name="LevelPrizeWheel" sheetId="163" r:id="rId18"/>
    <sheet name="TimePointMatchSkill" sheetId="164" r:id="rId19"/>
    <sheet name="AutofillFish" sheetId="166" r:id="rId20"/>
    <sheet name="SpecialFishEffectCount" sheetId="169" r:id="rId21"/>
  </sheets>
  <calcPr calcId="144525" concurrentCalc="0"/>
</workbook>
</file>

<file path=xl/comments1.xml><?xml version="1.0" encoding="utf-8"?>
<comments xmlns="http://schemas.openxmlformats.org/spreadsheetml/2006/main">
  <authors>
    <author>tugame</author>
  </authors>
  <commentList>
    <comment ref="B1" authorId="0">
      <text>
        <r>
          <rPr>
            <b/>
            <sz val="9"/>
            <rFont val="方正书宋_GBK"/>
            <charset val="134"/>
          </rPr>
          <t>tugame:</t>
        </r>
        <r>
          <rPr>
            <sz val="9"/>
            <rFont val="方正书宋_GBK"/>
            <charset val="134"/>
          </rPr>
          <t xml:space="preserve">
若要修改鱼名，复制对应的ID，去multiLangText.xlsx表中查找并修改</t>
        </r>
      </text>
    </comment>
    <comment ref="R1" authorId="0">
      <text>
        <r>
          <rPr>
            <sz val="16"/>
            <color rgb="FF000000"/>
            <rFont val="方正书宋_GBK"/>
            <charset val="134"/>
          </rPr>
          <t>用于计算补足子弹威力</t>
        </r>
        <r>
          <rPr>
            <sz val="9"/>
            <color rgb="FF000000"/>
            <rFont val="方正书宋_GBK"/>
            <charset val="134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Microsoft Office 用户</author>
  </authors>
  <commentList>
    <comment ref="B3" authorId="0">
      <text>
        <r>
          <rPr>
            <b/>
            <sz val="11"/>
            <rFont val="黑体"/>
            <charset val="134"/>
          </rPr>
          <t>0:无具体数值
1:数字
2:百分比</t>
        </r>
      </text>
    </comment>
  </commentList>
</comments>
</file>

<file path=xl/comments3.xml><?xml version="1.0" encoding="utf-8"?>
<comments xmlns="http://schemas.openxmlformats.org/spreadsheetml/2006/main">
  <authors>
    <author>tugame</author>
  </authors>
  <commentList>
    <comment ref="F3" authorId="0">
      <text>
        <r>
          <rPr>
            <sz val="18"/>
            <rFont val="方正书宋_GBK"/>
            <charset val="134"/>
          </rPr>
          <t>box,octopus,queen,dragon</t>
        </r>
      </text>
    </comment>
  </commentList>
</comments>
</file>

<file path=xl/comments4.xml><?xml version="1.0" encoding="utf-8"?>
<comments xmlns="http://schemas.openxmlformats.org/spreadsheetml/2006/main">
  <authors>
    <author>Microsoft Office 用户</author>
  </authors>
  <commentList>
    <comment ref="E3" authorId="0">
      <text>
        <r>
          <rPr>
            <b/>
            <sz val="11"/>
            <rFont val="MS PGothic"/>
            <charset val="128"/>
          </rPr>
          <t>0：无限制
1：VIP等级
2：称号ID
3：火炮等级</t>
        </r>
      </text>
    </comment>
    <comment ref="G3" authorId="0">
      <text>
        <r>
          <rPr>
            <b/>
            <sz val="11"/>
            <rFont val="MS PGothic"/>
            <charset val="128"/>
          </rPr>
          <t>0：无限制
1：VIP等级
2：称号ID
3：火炮等级</t>
        </r>
      </text>
    </comment>
  </commentList>
</comments>
</file>

<file path=xl/comments5.xml><?xml version="1.0" encoding="utf-8"?>
<comments xmlns="http://schemas.openxmlformats.org/spreadsheetml/2006/main">
  <authors>
    <author>zw</author>
  </authors>
  <commentList>
    <comment ref="C3" authorId="0">
      <text>
        <r>
          <rPr>
            <sz val="9"/>
            <rFont val="方正书宋_GBK"/>
            <charset val="134"/>
          </rPr>
          <t>1、小鱼
2、中鱼
3、大鱼
4、黄金鱼
5、倍率鱼</t>
        </r>
      </text>
    </comment>
    <comment ref="D3" authorId="0">
      <text>
        <r>
          <rPr>
            <sz val="9"/>
            <rFont val="方正书宋_GBK"/>
            <charset val="134"/>
          </rPr>
          <t>1、不随机
2、权重随机</t>
        </r>
      </text>
    </comment>
    <comment ref="C77" authorId="0">
      <text>
        <r>
          <rPr>
            <sz val="9"/>
            <rFont val="方正书宋_GBK"/>
            <charset val="134"/>
          </rPr>
          <t>1、小鱼
2、中鱼
3、大鱼
4、黄金鱼
5、倍率鱼</t>
        </r>
      </text>
    </comment>
    <comment ref="D77" authorId="0">
      <text>
        <r>
          <rPr>
            <sz val="9"/>
            <rFont val="方正书宋_GBK"/>
            <charset val="134"/>
          </rPr>
          <t>1、不随机
2、权重随机</t>
        </r>
      </text>
    </comment>
  </commentList>
</comments>
</file>

<file path=xl/sharedStrings.xml><?xml version="1.0" encoding="utf-8"?>
<sst xmlns="http://schemas.openxmlformats.org/spreadsheetml/2006/main" count="1045">
  <si>
    <t>canBuyIdx</t>
  </si>
  <si>
    <t>idx</t>
  </si>
  <si>
    <t>product_id</t>
  </si>
  <si>
    <t>type</t>
  </si>
  <si>
    <t>name</t>
  </si>
  <si>
    <t>buy_type</t>
  </si>
  <si>
    <t>price_direct</t>
  </si>
  <si>
    <t>price_diamond</t>
  </si>
  <si>
    <t>other_buyType</t>
  </si>
  <si>
    <t>des</t>
  </si>
  <si>
    <t>level</t>
  </si>
  <si>
    <t>free_rewards</t>
  </si>
  <si>
    <t>recharge_bonus</t>
  </si>
  <si>
    <t>paid_rewards</t>
  </si>
  <si>
    <t>str</t>
  </si>
  <si>
    <t>int</t>
  </si>
  <si>
    <t>可购买索引</t>
  </si>
  <si>
    <t>索引</t>
  </si>
  <si>
    <t>商品id</t>
  </si>
  <si>
    <t>类型</t>
  </si>
  <si>
    <t>基金名字</t>
  </si>
  <si>
    <t>购买方式</t>
  </si>
  <si>
    <t>价格/元</t>
  </si>
  <si>
    <t>钻石价格</t>
  </si>
  <si>
    <t>其他购买方式</t>
  </si>
  <si>
    <t>标题宣传语</t>
  </si>
  <si>
    <t>要求火炮倍率</t>
  </si>
  <si>
    <t>商品索引</t>
  </si>
  <si>
    <t>免费奖励</t>
  </si>
  <si>
    <t>免费奖励数量</t>
  </si>
  <si>
    <t>充值奖池</t>
  </si>
  <si>
    <t>基金奖励</t>
  </si>
  <si>
    <t>基金奖励数量</t>
  </si>
  <si>
    <t>[1,2,3,4,6]</t>
  </si>
  <si>
    <t>TY0044F00300001</t>
  </si>
  <si>
    <t>ID_CONFIG_LEVEL_FUNDS_NAME_QIHANG</t>
  </si>
  <si>
    <t>direct</t>
  </si>
  <si>
    <t>{"voucher": 30}</t>
  </si>
  <si>
    <r>
      <rPr>
        <sz val="14"/>
        <color rgb="FF000000"/>
        <rFont val="华文宋体"/>
        <charset val="134"/>
      </rPr>
      <t>30,</t>
    </r>
    <r>
      <rPr>
        <sz val="14"/>
        <color rgb="FF000000"/>
        <rFont val="Tahoma"/>
        <charset val="134"/>
      </rPr>
      <t>100</t>
    </r>
    <r>
      <rPr>
        <sz val="14"/>
        <color rgb="FF000000"/>
        <rFont val="华文宋体"/>
        <charset val="134"/>
      </rPr>
      <t>万</t>
    </r>
  </si>
  <si>
    <t>火舌加农炮技能卡</t>
  </si>
  <si>
    <t>[{"name":1147,"count":1}]</t>
  </si>
  <si>
    <t>40000金币</t>
  </si>
  <si>
    <t>[{"name":101,"count":40000}]</t>
  </si>
  <si>
    <t>TY0044F01980001</t>
  </si>
  <si>
    <t>ID_CONFIG_LEVEL_FUNDS_NAME_ADVANCED</t>
  </si>
  <si>
    <t>{"voucher": 198}</t>
  </si>
  <si>
    <r>
      <rPr>
        <sz val="14"/>
        <color rgb="FF000000"/>
        <rFont val="华文宋体"/>
        <charset val="134"/>
      </rPr>
      <t>198,</t>
    </r>
    <r>
      <rPr>
        <sz val="14"/>
        <color rgb="FF000000"/>
        <rFont val="Tahoma"/>
        <charset val="134"/>
      </rPr>
      <t>600</t>
    </r>
    <r>
      <rPr>
        <sz val="14"/>
        <color rgb="FF000000"/>
        <rFont val="华文宋体"/>
        <charset val="134"/>
      </rPr>
      <t>万</t>
    </r>
  </si>
  <si>
    <t>金币</t>
  </si>
  <si>
    <t>[{"name":101,"count":2500}]</t>
  </si>
  <si>
    <t>50000金币</t>
  </si>
  <si>
    <t>[{"name":101,"count":50000}]</t>
  </si>
  <si>
    <t>TY0044F03280001</t>
  </si>
  <si>
    <t>ID_CONFIG_LEVEL_FUNDS_NAME_TALENT</t>
  </si>
  <si>
    <t>{"voucher": 328}</t>
  </si>
  <si>
    <r>
      <rPr>
        <sz val="14"/>
        <color rgb="FF000000"/>
        <rFont val="华文宋体"/>
        <charset val="134"/>
      </rPr>
      <t>328,</t>
    </r>
    <r>
      <rPr>
        <sz val="14"/>
        <color rgb="FF000000"/>
        <rFont val="Tahoma"/>
        <charset val="134"/>
      </rPr>
      <t>1000</t>
    </r>
    <r>
      <rPr>
        <sz val="14"/>
        <color rgb="FF000000"/>
        <rFont val="华文宋体"/>
        <charset val="134"/>
      </rPr>
      <t>万</t>
    </r>
  </si>
  <si>
    <t>[{"name":101,"count":3000}]</t>
  </si>
  <si>
    <t>[{"name":101,"count":60000}]</t>
  </si>
  <si>
    <t>TY0044F06480001</t>
  </si>
  <si>
    <t>ID_CONFIG_LEVEL_FUNDS_NAME_REGAL</t>
  </si>
  <si>
    <t>{"voucher": 648}</t>
  </si>
  <si>
    <r>
      <rPr>
        <sz val="14"/>
        <color rgb="FF000000"/>
        <rFont val="华文宋体"/>
        <charset val="134"/>
      </rPr>
      <t>648,</t>
    </r>
    <r>
      <rPr>
        <sz val="14"/>
        <color rgb="FF000000"/>
        <rFont val="Tahoma"/>
        <charset val="134"/>
      </rPr>
      <t>2000</t>
    </r>
    <r>
      <rPr>
        <sz val="14"/>
        <color rgb="FF000000"/>
        <rFont val="华文宋体"/>
        <charset val="134"/>
      </rPr>
      <t>万</t>
    </r>
  </si>
  <si>
    <t>[{"name":101,"count":4000}]</t>
  </si>
  <si>
    <t>[{"name":101,"count":70000}]</t>
  </si>
  <si>
    <t>TY0044F03280002</t>
  </si>
  <si>
    <r>
      <rPr>
        <sz val="14"/>
        <color rgb="FF000000"/>
        <rFont val="华文宋体"/>
        <charset val="134"/>
      </rPr>
      <t>328,</t>
    </r>
    <r>
      <rPr>
        <sz val="14"/>
        <color rgb="FF000000"/>
        <rFont val="Tahoma"/>
        <charset val="134"/>
      </rPr>
      <t>1100</t>
    </r>
    <r>
      <rPr>
        <sz val="14"/>
        <color rgb="FF000000"/>
        <rFont val="华文宋体"/>
        <charset val="134"/>
      </rPr>
      <t>万</t>
    </r>
  </si>
  <si>
    <t>合金飞弹升星卡</t>
  </si>
  <si>
    <t>[{"name": 1155,"count":200}]</t>
  </si>
  <si>
    <t>[{"name":101,"count":80000}]</t>
  </si>
  <si>
    <t>TY0044F06480002</t>
  </si>
  <si>
    <t>ID_CONFIG_LEVEL_FUNDS_NAME_KING</t>
  </si>
  <si>
    <r>
      <rPr>
        <sz val="14"/>
        <color rgb="FF000000"/>
        <rFont val="华文宋体"/>
        <charset val="134"/>
      </rPr>
      <t>648,</t>
    </r>
    <r>
      <rPr>
        <sz val="14"/>
        <color rgb="FF000000"/>
        <rFont val="Tahoma"/>
        <charset val="134"/>
      </rPr>
      <t>2500</t>
    </r>
    <r>
      <rPr>
        <sz val="14"/>
        <color rgb="FF000000"/>
        <rFont val="华文宋体"/>
        <charset val="134"/>
      </rPr>
      <t>万</t>
    </r>
  </si>
  <si>
    <t>[{"name":101,"count":5000}]</t>
  </si>
  <si>
    <t>[{"name":101,"count":90000}]</t>
  </si>
  <si>
    <t>TY0044F03280003</t>
  </si>
  <si>
    <r>
      <rPr>
        <sz val="14"/>
        <color rgb="FF000000"/>
        <rFont val="华文宋体"/>
        <charset val="134"/>
      </rPr>
      <t>328,</t>
    </r>
    <r>
      <rPr>
        <sz val="14"/>
        <color rgb="FF000000"/>
        <rFont val="Tahoma"/>
        <charset val="134"/>
      </rPr>
      <t>1300</t>
    </r>
    <r>
      <rPr>
        <sz val="14"/>
        <color rgb="FF000000"/>
        <rFont val="华文宋体"/>
        <charset val="134"/>
      </rPr>
      <t>万</t>
    </r>
  </si>
  <si>
    <t>海星</t>
  </si>
  <si>
    <t>[{"name": 3106,"count":50,"des":"比赛门票"}]</t>
  </si>
  <si>
    <t>[{"name":101,"count":100000}]</t>
  </si>
  <si>
    <t>[{"name":101,"count":8000}]</t>
  </si>
  <si>
    <t>[{"name":101,"count":120000}]</t>
  </si>
  <si>
    <t>50钻石满减券</t>
  </si>
  <si>
    <t>[{"name": 13560,"count":1}]</t>
  </si>
  <si>
    <t>[{"name":101,"count":150000}]</t>
  </si>
  <si>
    <t>[{"name":101,"count":10000}]</t>
  </si>
  <si>
    <t>[{"name":101,"count":180000}]</t>
  </si>
  <si>
    <t>汇能弹技能卡</t>
  </si>
  <si>
    <t>[{"name": 1150,"count":15,"des":"稀有技能"}]</t>
  </si>
  <si>
    <t>[{"name":101,"count":200000}]</t>
  </si>
  <si>
    <t>[{"name":101,"count":15000}]</t>
  </si>
  <si>
    <t>[{"name":101,"count":800000}]</t>
  </si>
  <si>
    <t>冷却</t>
  </si>
  <si>
    <t>[{"name":1408,"count":15}]</t>
  </si>
  <si>
    <t>[{"name":101,"count":1000000}]</t>
  </si>
  <si>
    <t>[{"name":101,"count":20000}]</t>
  </si>
  <si>
    <t>[{"name":101,"count":1200000}]</t>
  </si>
  <si>
    <t>炎龙</t>
  </si>
  <si>
    <t>[{"name": 1166,"count":72,"des":"强力炮台"}]</t>
  </si>
  <si>
    <t>[{"name":101,"count":1500000}]</t>
  </si>
  <si>
    <t>[{"name":101,"count":25000}]</t>
  </si>
  <si>
    <t>[{"name":101,"count":2000000}]</t>
  </si>
  <si>
    <t>[{"name": 3106,"count":200,"des":"比赛门票"}]</t>
  </si>
  <si>
    <t>[{"name":101,"count":30000}]</t>
  </si>
  <si>
    <t>[{"name":101,"count":1800000}]</t>
  </si>
  <si>
    <t>120钻石满减券</t>
  </si>
  <si>
    <t>[{"name": 13561,"count":1}]</t>
  </si>
  <si>
    <t>[{"name":101,"count":2100000}]</t>
  </si>
  <si>
    <t>[{"name":101,"count":2400000}]</t>
  </si>
  <si>
    <t>激光炮技能卡</t>
  </si>
  <si>
    <t>[{"name": 1152,"count":25,"des":"稀有技能"}]</t>
  </si>
  <si>
    <t>[{"name":101,"count":3000000}]</t>
  </si>
  <si>
    <t>激光炮升星卡</t>
  </si>
  <si>
    <t>[{"name": 1162,"count":200}]</t>
  </si>
  <si>
    <t>[{"name":101,"count":3500000}]</t>
  </si>
  <si>
    <t>[{"name":101,"count":4000000}]</t>
  </si>
  <si>
    <t>魅影</t>
  </si>
  <si>
    <t>[{"name": 1167,"count":72}]</t>
  </si>
  <si>
    <t>[{"name":101,"count":5000000}]</t>
  </si>
  <si>
    <t>[{"name":101,"count":6000000}]</t>
  </si>
  <si>
    <t>[{"name":101,"count":2200000}]</t>
  </si>
  <si>
    <t>[{"name":101,"count":2500000}]</t>
  </si>
  <si>
    <t>230满减券</t>
  </si>
  <si>
    <t>[{"name": 13562,"count":1}]</t>
  </si>
  <si>
    <t>红宝石</t>
  </si>
  <si>
    <t>[{"name": 13543,"count":200}]</t>
  </si>
  <si>
    <t>暮刃</t>
  </si>
  <si>
    <t>[{"name": 1290,"count":72,"des":"技能双倍！"}]</t>
  </si>
  <si>
    <t>[{"name":101,"count":7000000}]</t>
  </si>
  <si>
    <t>xianlai.h5</t>
  </si>
  <si>
    <t>[{"name": 13543,"count":20}]</t>
  </si>
  <si>
    <t>[{"name": 13543,"count":100}]</t>
  </si>
  <si>
    <t>光辉</t>
  </si>
  <si>
    <t>[{"name": 1289,"count":72}]</t>
  </si>
  <si>
    <t>名称</t>
  </si>
  <si>
    <t>货币ID</t>
  </si>
  <si>
    <t>首位</t>
  </si>
  <si>
    <t>二位</t>
  </si>
  <si>
    <t>三位</t>
  </si>
  <si>
    <t>后2位</t>
  </si>
  <si>
    <t>鱼</t>
  </si>
  <si>
    <t>编号</t>
  </si>
  <si>
    <t>钻石</t>
  </si>
  <si>
    <t>武器</t>
  </si>
  <si>
    <t>奖券</t>
  </si>
  <si>
    <t>宝箱</t>
  </si>
  <si>
    <t>星级</t>
  </si>
  <si>
    <t>类别</t>
  </si>
  <si>
    <t>掉落</t>
  </si>
  <si>
    <t>技能</t>
  </si>
  <si>
    <t>任务</t>
  </si>
  <si>
    <t>所属房间</t>
  </si>
  <si>
    <t>礼包</t>
  </si>
  <si>
    <t>称号</t>
  </si>
  <si>
    <t>比赛*</t>
  </si>
  <si>
    <t>商品</t>
  </si>
  <si>
    <t>表情</t>
  </si>
  <si>
    <t>index</t>
  </si>
  <si>
    <t>fish_name</t>
  </si>
  <si>
    <t>fish_id</t>
  </si>
  <si>
    <t>fish_type</t>
  </si>
  <si>
    <t>item_id</t>
  </si>
  <si>
    <t>score</t>
  </si>
  <si>
    <t>min_count</t>
  </si>
  <si>
    <t>max_count</t>
  </si>
  <si>
    <t>probb1</t>
  </si>
  <si>
    <t>probb2</t>
  </si>
  <si>
    <t>fish_hp</t>
  </si>
  <si>
    <t>fish_value</t>
  </si>
  <si>
    <t>desc</t>
  </si>
  <si>
    <t>weaponId</t>
  </si>
  <si>
    <t>prizeWheel_val</t>
  </si>
  <si>
    <t>trigger_rate</t>
  </si>
  <si>
    <t>catch_value</t>
  </si>
  <si>
    <t>string</t>
  </si>
  <si>
    <t>float</t>
  </si>
  <si>
    <r>
      <rPr>
        <sz val="12"/>
        <color indexed="8"/>
        <rFont val="Verdana"/>
        <charset val="134"/>
      </rPr>
      <t>i</t>
    </r>
    <r>
      <rPr>
        <sz val="12"/>
        <color indexed="8"/>
        <rFont val="Verdana"/>
        <charset val="134"/>
      </rPr>
      <t>nt</t>
    </r>
  </si>
  <si>
    <t>鱼类型索引</t>
  </si>
  <si>
    <r>
      <rPr>
        <sz val="14"/>
        <color rgb="FF000000"/>
        <rFont val="华文宋体"/>
        <charset val="134"/>
      </rPr>
      <t>鱼名</t>
    </r>
    <r>
      <rPr>
        <sz val="14"/>
        <color rgb="FF000000"/>
        <rFont val="Tahoma"/>
        <charset val="134"/>
      </rPr>
      <t>ID</t>
    </r>
  </si>
  <si>
    <t>鱼种名</t>
  </si>
  <si>
    <t>鱼种ID</t>
  </si>
  <si>
    <t>鱼种类别</t>
  </si>
  <si>
    <t>捕获必掉道具ID</t>
  </si>
  <si>
    <t>分值</t>
  </si>
  <si>
    <t>掉落最小值</t>
  </si>
  <si>
    <t>掉落最大值</t>
  </si>
  <si>
    <t>无HP时概率基数</t>
  </si>
  <si>
    <t>有HP时概率基数</t>
  </si>
  <si>
    <t>生命</t>
  </si>
  <si>
    <t>实际价值</t>
  </si>
  <si>
    <t>描述</t>
  </si>
  <si>
    <t>武器Id</t>
  </si>
  <si>
    <t>积攒价值</t>
  </si>
  <si>
    <t>触发几率(10000)</t>
  </si>
  <si>
    <t>价值</t>
  </si>
  <si>
    <t>ID_CONFIG_FISH_NAME_11001</t>
  </si>
  <si>
    <t>小黄鱼</t>
  </si>
  <si>
    <t>ID_CONFIG_FISH_NAME_11002</t>
  </si>
  <si>
    <t>金枪鱼</t>
  </si>
  <si>
    <t>ID_CONFIG_FISH_NAME_11003</t>
  </si>
  <si>
    <t>小丑鱼</t>
  </si>
  <si>
    <t>ID_CONFIG_FISH_NAME_11004</t>
  </si>
  <si>
    <t>天使鱼</t>
  </si>
  <si>
    <t>ID_CONFIG_FISH_NAME_11005</t>
  </si>
  <si>
    <t>蓝藻鱼</t>
  </si>
  <si>
    <t>ID_CONFIG_FISH_NAME_11006</t>
  </si>
  <si>
    <t>红鹦鹉鱼</t>
  </si>
  <si>
    <t>ID_CONFIG_FISH_NAME_11007</t>
  </si>
  <si>
    <t>月光鱼</t>
  </si>
  <si>
    <t>ID_CONFIG_FISH_NAME_11008</t>
  </si>
  <si>
    <t>小飞鱼</t>
  </si>
  <si>
    <t>ID_CONFIG_FISH_NAME_11009</t>
  </si>
  <si>
    <t>孔雀鱼</t>
  </si>
  <si>
    <t>ID_CONFIG_FISH_NAME_11085</t>
  </si>
  <si>
    <t>红杉鱼</t>
  </si>
  <si>
    <t>ID_CONFIG_FISH_NAME_11086</t>
  </si>
  <si>
    <t>针鱼</t>
  </si>
  <si>
    <t>ID_CONFIG_FISH_NAME_11010</t>
  </si>
  <si>
    <t>海龟</t>
  </si>
  <si>
    <t>ID_CONFIG_FISH_NAME_11011</t>
  </si>
  <si>
    <t>河豚</t>
  </si>
  <si>
    <t>ID_CONFIG_FISH_NAME_11012</t>
  </si>
  <si>
    <t>水母</t>
  </si>
  <si>
    <t>ID_CONFIG_FISH_NAME_11013</t>
  </si>
  <si>
    <t>蝙蝠鱼</t>
  </si>
  <si>
    <t>ID_CONFIG_FISH_NAME_11014</t>
  </si>
  <si>
    <t>螃蟹</t>
  </si>
  <si>
    <t>ID_CONFIG_FISH_NAME_11087</t>
  </si>
  <si>
    <t>比目鱼</t>
  </si>
  <si>
    <t>ID_CONFIG_FISH_NAME_11015</t>
  </si>
  <si>
    <t>狮子鱼</t>
  </si>
  <si>
    <t>ID_CONFIG_FISH_NAME_11016</t>
  </si>
  <si>
    <t>灯笼鱼</t>
  </si>
  <si>
    <t>ID_CONFIG_FISH_NAME_11017</t>
  </si>
  <si>
    <t>剑鱼</t>
  </si>
  <si>
    <t>ID_CONFIG_FISH_NAME_11088</t>
  </si>
  <si>
    <t>松江鲈</t>
  </si>
  <si>
    <t>ID_CONFIG_FISH_NAME_11019</t>
  </si>
  <si>
    <t>亲嘴鱼</t>
  </si>
  <si>
    <t>ID_CONFIG_FISH_NAME_11018</t>
  </si>
  <si>
    <t>黄金龟</t>
  </si>
  <si>
    <t>ID_CONFIG_FISH_NAME_11092</t>
  </si>
  <si>
    <t>黄金水母</t>
  </si>
  <si>
    <t>ID_CONFIG_FISH_NAME_11020</t>
  </si>
  <si>
    <t>海豚</t>
  </si>
  <si>
    <t>ID_CONFIG_FISH_NAME_11089</t>
  </si>
  <si>
    <t>企鹅</t>
  </si>
  <si>
    <t>ID_CONFIG_FISH_NAME_11021</t>
  </si>
  <si>
    <t>金蝙蝠鱼</t>
  </si>
  <si>
    <t>ID_CONFIG_FISH_NAME_11022</t>
  </si>
  <si>
    <t>海豹</t>
  </si>
  <si>
    <t>ID_CONFIG_FISH_NAME_11023</t>
  </si>
  <si>
    <t>黄金蟹</t>
  </si>
  <si>
    <t>ID_CONFIG_FISH_NAME_11091</t>
  </si>
  <si>
    <t>河马</t>
  </si>
  <si>
    <t>ID_CONFIG_FISH_NAME_11024</t>
  </si>
  <si>
    <t>双髻鲨</t>
  </si>
  <si>
    <t>ID_CONFIG_FISH_NAME_11090</t>
  </si>
  <si>
    <t>鳄鱼</t>
  </si>
  <si>
    <t>ID_CONFIG_FISH_NAME_11025</t>
  </si>
  <si>
    <t>大白鲨</t>
  </si>
  <si>
    <t>ID_CONFIG_FISH_NAME_11026</t>
  </si>
  <si>
    <t>黄金双髻鲨</t>
  </si>
  <si>
    <t>ID_CONFIG_FISH_NAME_11093</t>
  </si>
  <si>
    <t>荧光红杉鱼</t>
  </si>
  <si>
    <t>ID_CONFIG_FISH_NAME_11094</t>
  </si>
  <si>
    <t>荧光针鱼</t>
  </si>
  <si>
    <t>ID_CONFIG_FISH_NAME_11095</t>
  </si>
  <si>
    <t>荧光比目鱼</t>
  </si>
  <si>
    <t>ID_CONFIG_FISH_NAME_11096</t>
  </si>
  <si>
    <t>荧光松江鲈</t>
  </si>
  <si>
    <t>ID_CONFIG_FISH_NAME_11097</t>
  </si>
  <si>
    <t>荧光企鹅</t>
  </si>
  <si>
    <t>ID_CONFIG_FISH_NAME_11098</t>
  </si>
  <si>
    <t>荧光鳄鱼</t>
  </si>
  <si>
    <t>ID_CONFIG_FISH_NAME_11099</t>
  </si>
  <si>
    <t>荧光河马</t>
  </si>
  <si>
    <t>ID_CONFIG_FISH_NAME_12027</t>
  </si>
  <si>
    <t>黄金白鲨</t>
  </si>
  <si>
    <t>ID_CONFIG_FISH_NAME_12028</t>
  </si>
  <si>
    <t>冰龙宝宝</t>
  </si>
  <si>
    <t>ID_CONFIG_FISH_NAME_12029</t>
  </si>
  <si>
    <t>美人鱼</t>
  </si>
  <si>
    <t>ID_CONFIG_FISH_NAME_12030</t>
  </si>
  <si>
    <t>海龙兽</t>
  </si>
  <si>
    <t>ID_CONFIG_FISH_NAME_12032</t>
  </si>
  <si>
    <t>章鱼王</t>
  </si>
  <si>
    <t>ID_CONFIG_FISH_NAME_25031</t>
  </si>
  <si>
    <t>小龙女</t>
  </si>
  <si>
    <t>加强美人鱼</t>
  </si>
  <si>
    <t>加强小龙女</t>
  </si>
  <si>
    <t>加强章鱼王</t>
  </si>
  <si>
    <t>倍率月光鱼</t>
  </si>
  <si>
    <t>倍率孔雀鱼</t>
  </si>
  <si>
    <t>倍率河豚</t>
  </si>
  <si>
    <t>倍率蝙蝠鱼</t>
  </si>
  <si>
    <t>倍率狮子鱼</t>
  </si>
  <si>
    <t>倍率灯笼鱼</t>
  </si>
  <si>
    <t>倍率剑鱼</t>
  </si>
  <si>
    <t>倍率亲嘴鱼</t>
  </si>
  <si>
    <t>倍率海豚</t>
  </si>
  <si>
    <t>倍率金蝙蝠鱼</t>
  </si>
  <si>
    <t>倍率海豹</t>
  </si>
  <si>
    <t>倍率黄金蟹</t>
  </si>
  <si>
    <t>倍率双髻鲨</t>
  </si>
  <si>
    <t>倍率大白鲨</t>
  </si>
  <si>
    <t>倍率红杉鱼</t>
  </si>
  <si>
    <t>倍率针鱼</t>
  </si>
  <si>
    <t>倍率比目鱼</t>
  </si>
  <si>
    <t>倍率松江鲈</t>
  </si>
  <si>
    <t>倍率企鹅</t>
  </si>
  <si>
    <t>倍率鳄鱼</t>
  </si>
  <si>
    <t>倍率河马</t>
  </si>
  <si>
    <t>ID_CONFIG_FISH_NAME_15033</t>
  </si>
  <si>
    <t>0.01奖券</t>
  </si>
  <si>
    <t>奖券x1</t>
  </si>
  <si>
    <t>ID_CONFIG_FISH_NAME_15034</t>
  </si>
  <si>
    <t>0.05奖券</t>
  </si>
  <si>
    <t>奖券x5</t>
  </si>
  <si>
    <t>ID_CONFIG_FISH_NAME_15035</t>
  </si>
  <si>
    <t>0.10奖券</t>
  </si>
  <si>
    <t>奖券x10</t>
  </si>
  <si>
    <t>ID_CONFIG_FISH_NAME_15036</t>
  </si>
  <si>
    <t>0.40奖券</t>
  </si>
  <si>
    <t>奖券x40</t>
  </si>
  <si>
    <t>ID_CONFIG_FISH_NAME_15037</t>
  </si>
  <si>
    <t>1.00奖券</t>
  </si>
  <si>
    <t>奖券x100</t>
  </si>
  <si>
    <t>ID_CONFIG_FISH_NAME_15038</t>
  </si>
  <si>
    <t>2.00奖券</t>
  </si>
  <si>
    <t>奖券x200</t>
  </si>
  <si>
    <t>ID_CONFIG_FISH_NAME_15039</t>
  </si>
  <si>
    <t>3.00奖券</t>
  </si>
  <si>
    <t>奖券x300</t>
  </si>
  <si>
    <t>ID_CONFIG_FISH_NAME_15055</t>
  </si>
  <si>
    <t>10.00奖券</t>
  </si>
  <si>
    <t>奖券x1000</t>
  </si>
  <si>
    <t>ID_CONFIG_FISH_NAME_15056</t>
  </si>
  <si>
    <t>20.00奖券</t>
  </si>
  <si>
    <t>奖券x2000</t>
  </si>
  <si>
    <t>ID_CONFIG_FISH_NAME_15057</t>
  </si>
  <si>
    <t>50.00奖券</t>
  </si>
  <si>
    <t>奖券x5000</t>
  </si>
  <si>
    <t>ID_CONFIG_FISH_NAME_15058</t>
  </si>
  <si>
    <t>100.00奖券</t>
  </si>
  <si>
    <t>奖券x10000</t>
  </si>
  <si>
    <t>ID_CONFIG_FISH_NAME_15081</t>
  </si>
  <si>
    <t>5.00奖券</t>
  </si>
  <si>
    <t>奖券x500</t>
  </si>
  <si>
    <t>ID_CONFIG_FISH_NAME_15082</t>
  </si>
  <si>
    <t>30.00奖券</t>
  </si>
  <si>
    <t>奖券x3000</t>
  </si>
  <si>
    <t>ID_CONFIG_FISH_NAME_16040</t>
  </si>
  <si>
    <t>炸弹鱼</t>
  </si>
  <si>
    <t>炸弹鱼v1</t>
  </si>
  <si>
    <t>炸弹鱼v2</t>
  </si>
  <si>
    <t>炸弹鱼v3</t>
  </si>
  <si>
    <t>炸弹鱼v4</t>
  </si>
  <si>
    <t>炸弹鱼v5</t>
  </si>
  <si>
    <t>炸弹鱼v6</t>
  </si>
  <si>
    <t>ID_CONFIG_FISH_NAME_22041</t>
  </si>
  <si>
    <t>冰锥</t>
  </si>
  <si>
    <t>ID_CONFIG_FISH_NAME_23042</t>
  </si>
  <si>
    <t>捕鱼机器人</t>
  </si>
  <si>
    <t>白银招财珠美人鱼</t>
  </si>
  <si>
    <t>白银招财珠冰龙</t>
  </si>
  <si>
    <t>白银招财珠海龙兽</t>
  </si>
  <si>
    <t>黄金招财珠海龙兽</t>
  </si>
  <si>
    <t>黄金招财珠小龙女</t>
  </si>
  <si>
    <t>黄金招财珠章鱼王</t>
  </si>
  <si>
    <t>加强黄金招财珠美人鱼</t>
  </si>
  <si>
    <t>ID_CONFIG_FISH_NAME_26043</t>
  </si>
  <si>
    <t>金币宝箱</t>
  </si>
  <si>
    <t>随机金币宝箱</t>
  </si>
  <si>
    <t>ID_CONFIG_FISH_NAME_27044</t>
  </si>
  <si>
    <t>1奖券</t>
  </si>
  <si>
    <t>1元微信红包</t>
  </si>
  <si>
    <t>ID_CONFIG_FISH_NAME_27080</t>
  </si>
  <si>
    <t>5奖券</t>
  </si>
  <si>
    <t>5元微信红包</t>
  </si>
  <si>
    <t>ID_CONFIG_FISH_NAME_27046</t>
  </si>
  <si>
    <t>10奖券</t>
  </si>
  <si>
    <t>10元微信红包</t>
  </si>
  <si>
    <t>ID_CONFIG_FISH_NAME_27047</t>
  </si>
  <si>
    <t>20奖券</t>
  </si>
  <si>
    <t>20元微信红包</t>
  </si>
  <si>
    <t>ID_CONFIG_FISH_NAME_27048</t>
  </si>
  <si>
    <t>50奖券</t>
  </si>
  <si>
    <t>50元微信红包</t>
  </si>
  <si>
    <t>ID_CONFIG_FISH_NAME_27049</t>
  </si>
  <si>
    <t>100奖券</t>
  </si>
  <si>
    <t>100元微信红包</t>
  </si>
  <si>
    <t>ID_CONFIG_FISH_NAME_28050</t>
  </si>
  <si>
    <t>海螺x1</t>
  </si>
  <si>
    <t>ID_CONFIG_FISH_NAME_28051</t>
  </si>
  <si>
    <t>海螺x3</t>
  </si>
  <si>
    <t>ID_CONFIG_FISH_NAME_28052</t>
  </si>
  <si>
    <t>海螺x10</t>
  </si>
  <si>
    <t>ID_CONFIG_FISH_NAME_28053</t>
  </si>
  <si>
    <t>海螺x30</t>
  </si>
  <si>
    <t>ID_CONFIG_FISH_NAME_28070</t>
  </si>
  <si>
    <t>海螺x100</t>
  </si>
  <si>
    <t>ID_CONFIG_FISH_NAME_28071</t>
  </si>
  <si>
    <t>海螺x300</t>
  </si>
  <si>
    <t>ID_CONFIG_FISH_NAME_28072</t>
  </si>
  <si>
    <t>海螺x400</t>
  </si>
  <si>
    <t>ID_CONFIG_FISH_NAME_28073</t>
  </si>
  <si>
    <t>海螺x1000</t>
  </si>
  <si>
    <t>ID_CONFIG_FISH_NAME_29054</t>
  </si>
  <si>
    <t>随机奖品</t>
  </si>
  <si>
    <t>随机奖品鱼-场次1</t>
  </si>
  <si>
    <t>随机奖品鱼-场次2</t>
  </si>
  <si>
    <t>随机奖品鱼-场次3</t>
  </si>
  <si>
    <t>随机奖品鱼-场次4</t>
  </si>
  <si>
    <t>ID_CONFIG_FISH_NAME_30059</t>
  </si>
  <si>
    <t>10元话费卡</t>
  </si>
  <si>
    <t>话费x10</t>
  </si>
  <si>
    <t>ID_CONFIG_FISH_NAME_30060</t>
  </si>
  <si>
    <t>30元话费卡</t>
  </si>
  <si>
    <t>话费x30</t>
  </si>
  <si>
    <t>ID_CONFIG_FISH_NAME_30061</t>
  </si>
  <si>
    <t>100元话费卡</t>
  </si>
  <si>
    <t>话费x100</t>
  </si>
  <si>
    <t>ID_CONFIG_FISH_NAME_31062</t>
  </si>
  <si>
    <t>100元京东卡</t>
  </si>
  <si>
    <t>京东卡x100</t>
  </si>
  <si>
    <t>ID_CONFIG_FISH_NAME_32063</t>
  </si>
  <si>
    <t>海星x1</t>
  </si>
  <si>
    <t>ID_CONFIG_FISH_NAME_32064</t>
  </si>
  <si>
    <t>海星x5</t>
  </si>
  <si>
    <t>ID_CONFIG_FISH_NAME_32065</t>
  </si>
  <si>
    <t>海星x20</t>
  </si>
  <si>
    <t>ID_CONFIG_FISH_NAME_32066</t>
  </si>
  <si>
    <t>海星x50</t>
  </si>
  <si>
    <t>ID_CONFIG_FISH_NAME_33074</t>
  </si>
  <si>
    <t>金钱鱼</t>
  </si>
  <si>
    <t>招财模式金钱鱼</t>
  </si>
  <si>
    <t>ID_CONFIG_FISH_NAME_33075</t>
  </si>
  <si>
    <t>绿鳍鱼</t>
  </si>
  <si>
    <t>招财模式绿鳍鱼</t>
  </si>
  <si>
    <t>ID_CONFIG_FISH_NAME_33076</t>
  </si>
  <si>
    <t>鸭嘴兽</t>
  </si>
  <si>
    <t>招财模式鸭嘴兽</t>
  </si>
  <si>
    <t>ID_CONFIG_FISH_NAME_34077</t>
  </si>
  <si>
    <t>黄金海马</t>
  </si>
  <si>
    <t>招财模式黄金海马(倍率鱼)</t>
  </si>
  <si>
    <t>ID_CONFIG_FISH_NAME_35027</t>
  </si>
  <si>
    <t>青铜招财珠黄金白鲨</t>
  </si>
  <si>
    <t>青铜招财珠海龙兽</t>
  </si>
  <si>
    <t>青铜招财珠小龙女</t>
  </si>
  <si>
    <t>招财模式小龙女(Boss)</t>
  </si>
  <si>
    <t>ID_CONFIG_FISH_NAME_36078</t>
  </si>
  <si>
    <t>海妖</t>
  </si>
  <si>
    <t>招财模式海妖(Boss)</t>
  </si>
  <si>
    <t>ID_CONFIG_FISH_NAME_37083</t>
  </si>
  <si>
    <t>Buff鱼</t>
  </si>
  <si>
    <t>[10000,10002]</t>
  </si>
  <si>
    <t>[10000,10001]</t>
  </si>
  <si>
    <t>荧光鱼河马</t>
  </si>
  <si>
    <t>加强黄金招财珠小龙女</t>
  </si>
  <si>
    <t>加强黄金招财珠章鱼王</t>
  </si>
  <si>
    <t>随机奖品鱼-场次5</t>
  </si>
  <si>
    <t>ID_CONFIG_FISH_NAME_50101</t>
  </si>
  <si>
    <t>随机分享宝箱鱼</t>
  </si>
  <si>
    <t>ID_CONFIG_FISH_NAME_55102</t>
  </si>
  <si>
    <t>彩虹小丑鱼</t>
  </si>
  <si>
    <t>彩虹小丑鱼1</t>
  </si>
  <si>
    <t>彩虹小丑鱼2</t>
  </si>
  <si>
    <t>ID_CONFIG_FISH_NAME_55103</t>
  </si>
  <si>
    <t>彩虹月光鱼</t>
  </si>
  <si>
    <t>彩虹月光鱼1</t>
  </si>
  <si>
    <t>彩虹月光鱼2</t>
  </si>
  <si>
    <t>ID_CONFIG_FISH_NAME_56104</t>
  </si>
  <si>
    <t>彩虹孔雀鱼</t>
  </si>
  <si>
    <t>彩虹孔雀鱼1</t>
  </si>
  <si>
    <t>彩虹孔雀鱼2</t>
  </si>
  <si>
    <t>ID_CONFIG_FISH_NAME_55105</t>
  </si>
  <si>
    <t>彩虹海龟</t>
  </si>
  <si>
    <t>彩虹海龟1</t>
  </si>
  <si>
    <t>彩虹海龟2</t>
  </si>
  <si>
    <t>ID_CONFIG_FISH_NAME_55106</t>
  </si>
  <si>
    <t>彩虹狮子鱼</t>
  </si>
  <si>
    <t>彩虹狮子鱼1</t>
  </si>
  <si>
    <t>彩虹狮子鱼2</t>
  </si>
  <si>
    <t>ID_CONFIG_FISH_NAME_55107</t>
  </si>
  <si>
    <t>彩虹金蝙蝠鱼</t>
  </si>
  <si>
    <t>彩虹金蝙蝠鱼1</t>
  </si>
  <si>
    <t>彩虹金蝙蝠鱼2</t>
  </si>
  <si>
    <t>ID_CONFIG_FISH_NAME_55108</t>
  </si>
  <si>
    <t>彩虹双髻鲨</t>
  </si>
  <si>
    <t>彩虹双髻鲨1</t>
  </si>
  <si>
    <t>彩虹双髻鲨2</t>
  </si>
  <si>
    <t>新手场章鱼王</t>
  </si>
  <si>
    <t>ID_CONFIG_FISH_NAME_58109</t>
  </si>
  <si>
    <t>分享宝箱鱼</t>
  </si>
  <si>
    <t>1倍场分享宝箱鱼</t>
  </si>
  <si>
    <t>10倍场分享宝箱鱼</t>
  </si>
  <si>
    <t>50倍场分享宝箱鱼</t>
  </si>
  <si>
    <t>200倍场分享宝箱鱼</t>
  </si>
  <si>
    <t>500倍场分享宝箱鱼</t>
  </si>
  <si>
    <t>分享奖券鱼</t>
  </si>
  <si>
    <t>全渔场分享奖券鱼奖券x10</t>
  </si>
  <si>
    <t>ID_CONFIG_FISH_NAME_15115</t>
  </si>
  <si>
    <t>0.20奖券</t>
  </si>
  <si>
    <t>奖券x20</t>
  </si>
  <si>
    <t>ID_CONFIG_FISH_NAME_28116</t>
  </si>
  <si>
    <t>海螺x800</t>
  </si>
  <si>
    <t>ID_CONFIG_FISH_NAME_28117</t>
  </si>
  <si>
    <t>海螺x3000</t>
  </si>
  <si>
    <t>ID_CONFIG_FISH_NAME_60118</t>
  </si>
  <si>
    <t>电鳗</t>
  </si>
  <si>
    <t>电鳗1</t>
  </si>
  <si>
    <t>电鳗2</t>
  </si>
  <si>
    <t>电鳗3</t>
  </si>
  <si>
    <t>电鳗4</t>
  </si>
  <si>
    <t>电鳗5</t>
  </si>
  <si>
    <t>ID_CONFIG_FISH_NAME_65119</t>
  </si>
  <si>
    <t>钻头鱼</t>
  </si>
  <si>
    <t>钻头1</t>
  </si>
  <si>
    <t>钻头2</t>
  </si>
  <si>
    <t>钻头3</t>
  </si>
  <si>
    <t>钻头4</t>
  </si>
  <si>
    <t>钻头5</t>
  </si>
  <si>
    <t>青铜招财珠冰龙宝宝</t>
  </si>
  <si>
    <t>ID_CONFIG_FISH_NAME_55120</t>
  </si>
  <si>
    <t>彩虹红杉鱼</t>
  </si>
  <si>
    <t>彩虹红杉鱼1</t>
  </si>
  <si>
    <t>彩虹红杉鱼2</t>
  </si>
  <si>
    <t>ID_CONFIG_FISH_NAME_55121</t>
  </si>
  <si>
    <t>彩虹针鱼</t>
  </si>
  <si>
    <t>彩虹针鱼1</t>
  </si>
  <si>
    <t>彩虹针鱼2</t>
  </si>
  <si>
    <t>ID_CONFIG_FISH_NAME_70122</t>
  </si>
  <si>
    <t>波塞冬</t>
  </si>
  <si>
    <t>海皇来袭模式波塞冬</t>
  </si>
  <si>
    <t>ID_CONFIG_FISH_NAME_71201</t>
  </si>
  <si>
    <t>宝箱宝宝</t>
  </si>
  <si>
    <t>超级BOSS</t>
  </si>
  <si>
    <t>ID_CONFIG_FISH_NAME_71202</t>
  </si>
  <si>
    <t>宝箱妈妈</t>
  </si>
  <si>
    <t>ID_CONFIG_FISH_NAME_71203</t>
  </si>
  <si>
    <t>宝箱爸爸</t>
  </si>
  <si>
    <t>ID_CONFIG_FISH_NAME_73204</t>
  </si>
  <si>
    <t>章鱼腿</t>
  </si>
  <si>
    <t>ID_CONFIG_FISH_NAME_73205</t>
  </si>
  <si>
    <t xml:space="preserve">章鱼腿&amp;钻戒 </t>
  </si>
  <si>
    <t>ID_CONFIG_FISH_NAME_73206</t>
  </si>
  <si>
    <t>章鱼腿&amp;皇冠</t>
  </si>
  <si>
    <t>ID_CONFIG_FISH_NAME_74207</t>
  </si>
  <si>
    <t>龙女王</t>
  </si>
  <si>
    <t>ID_CONFIG_FISH_NAME_74215</t>
  </si>
  <si>
    <t>龙女王保护罩</t>
  </si>
  <si>
    <t>ID_CONFIG_FISH_NAME_75208</t>
  </si>
  <si>
    <t>大冰龙（阶段一）</t>
  </si>
  <si>
    <t>ID_CONFIG_FISH_NAME_75216</t>
  </si>
  <si>
    <t>大冰龙（阶段二）</t>
  </si>
  <si>
    <t>ID_CONFIG_FISH_NAME_75209</t>
  </si>
  <si>
    <t>龙蛋</t>
  </si>
  <si>
    <t>ID_CONFIG_FISH_NAME_75210</t>
  </si>
  <si>
    <t>小龙</t>
  </si>
  <si>
    <t>ID_CONFIG_FISH_NAME_11211</t>
  </si>
  <si>
    <t>骷髅鲨</t>
  </si>
  <si>
    <t>ID_CONFIG_FISH_NAME_11212</t>
  </si>
  <si>
    <t>黄金鲨鱼</t>
  </si>
  <si>
    <t>ID_CONFIG_FISH_NAME_12213</t>
  </si>
  <si>
    <t>独角鲸</t>
  </si>
  <si>
    <t>ID_CONFIG_FISH_NAME_11214</t>
  </si>
  <si>
    <t>金河豚</t>
  </si>
  <si>
    <t>ID_CONFIG_FISH_NAME_76217</t>
  </si>
  <si>
    <t>彩虹小丑鱼盘</t>
  </si>
  <si>
    <t>ID_CONFIG_FISH_NAME_76218</t>
  </si>
  <si>
    <t>彩虹孔雀鱼盘</t>
  </si>
  <si>
    <t>ID_CONFIG_FISH_NAME_76219</t>
  </si>
  <si>
    <t>彩虹河豚盘</t>
  </si>
  <si>
    <t>ID_CONFIG_FISH_NAME_76220</t>
  </si>
  <si>
    <t>彩虹月光鱼盘</t>
  </si>
  <si>
    <t>ID_CONFIG_FISH_NAME_76221</t>
  </si>
  <si>
    <t>彩虹海龟盘</t>
  </si>
  <si>
    <t>ID_CONFIG_FISH_NAME_76222</t>
  </si>
  <si>
    <t>彩虹剑鱼盘</t>
  </si>
  <si>
    <t>ID_CONFIG_FISH_NAME_76223</t>
  </si>
  <si>
    <t>彩虹狮子鱼盘</t>
  </si>
  <si>
    <t>ID_CONFIG_FISH_NAME_76224</t>
  </si>
  <si>
    <t>彩虹蝙蝠鱼盘</t>
  </si>
  <si>
    <t>ID_CONFIG_FISH_NAME_76225</t>
  </si>
  <si>
    <t>彩虹灯笼鱼盘</t>
  </si>
  <si>
    <t>ID_CONFIG_FISH_NAME_76226</t>
  </si>
  <si>
    <t>彩虹双髻鲨盘</t>
  </si>
  <si>
    <t>ID_CONFIG_FISH_NAME_76227</t>
  </si>
  <si>
    <t>彩虹大白鲨盘</t>
  </si>
  <si>
    <t>ID_CONFIG_FISH_NAME_77228</t>
  </si>
  <si>
    <t>能量宝珠</t>
  </si>
  <si>
    <t>ID_CONFIG_FISH_NAME_78229</t>
  </si>
  <si>
    <t>三叉戟</t>
  </si>
  <si>
    <t>ID_CONFIG_FISH_NAME_79230</t>
  </si>
  <si>
    <t>金钱箱</t>
  </si>
  <si>
    <r>
      <rPr>
        <sz val="14"/>
        <color rgb="FF000000"/>
        <rFont val="Tahoma"/>
        <charset val="134"/>
      </rPr>
      <t>0.05</t>
    </r>
    <r>
      <rPr>
        <sz val="14"/>
        <color rgb="FF000000"/>
        <rFont val="宋体"/>
        <charset val="134"/>
      </rPr>
      <t>奖券</t>
    </r>
  </si>
  <si>
    <t>新手场红包券</t>
  </si>
  <si>
    <r>
      <rPr>
        <sz val="14"/>
        <color rgb="FF000000"/>
        <rFont val="Tahoma"/>
        <charset val="134"/>
      </rPr>
      <t>0.1</t>
    </r>
    <r>
      <rPr>
        <sz val="14"/>
        <color rgb="FF000000"/>
        <rFont val="宋体"/>
        <charset val="134"/>
      </rPr>
      <t>奖券</t>
    </r>
  </si>
  <si>
    <r>
      <rPr>
        <sz val="14"/>
        <color rgb="FF000000"/>
        <rFont val="Tahoma"/>
        <charset val="134"/>
      </rPr>
      <t>10</t>
    </r>
    <r>
      <rPr>
        <sz val="14"/>
        <color rgb="FF000000"/>
        <rFont val="宋体"/>
        <charset val="134"/>
      </rPr>
      <t>倍场红包券</t>
    </r>
  </si>
  <si>
    <r>
      <rPr>
        <sz val="14"/>
        <color rgb="FF000000"/>
        <rFont val="Tahoma"/>
        <charset val="134"/>
      </rPr>
      <t>0.4</t>
    </r>
    <r>
      <rPr>
        <sz val="14"/>
        <color rgb="FF000000"/>
        <rFont val="宋体"/>
        <charset val="134"/>
      </rPr>
      <t>奖券</t>
    </r>
  </si>
  <si>
    <r>
      <rPr>
        <sz val="14"/>
        <color rgb="FF000000"/>
        <rFont val="Tahoma"/>
        <charset val="134"/>
      </rPr>
      <t>50</t>
    </r>
    <r>
      <rPr>
        <sz val="14"/>
        <color rgb="FF000000"/>
        <rFont val="宋体"/>
        <charset val="134"/>
      </rPr>
      <t>倍场红包券</t>
    </r>
  </si>
  <si>
    <r>
      <rPr>
        <sz val="14"/>
        <color rgb="FF000000"/>
        <rFont val="Tahoma"/>
        <charset val="134"/>
      </rPr>
      <t>1</t>
    </r>
    <r>
      <rPr>
        <sz val="14"/>
        <color rgb="FF000000"/>
        <rFont val="宋体"/>
        <charset val="134"/>
      </rPr>
      <t>奖券</t>
    </r>
  </si>
  <si>
    <r>
      <rPr>
        <sz val="14"/>
        <color rgb="FF000000"/>
        <rFont val="Tahoma"/>
        <charset val="134"/>
      </rPr>
      <t>200</t>
    </r>
    <r>
      <rPr>
        <sz val="14"/>
        <color rgb="FF000000"/>
        <rFont val="宋体"/>
        <charset val="134"/>
      </rPr>
      <t>倍场红包券</t>
    </r>
  </si>
  <si>
    <t>白银招财珠章鱼王(召唤券)</t>
  </si>
  <si>
    <t>黄金招财珠美人鱼(召唤券)</t>
  </si>
  <si>
    <t>skill_name</t>
  </si>
  <si>
    <t>skill_id</t>
  </si>
  <si>
    <t>skill_level</t>
  </si>
  <si>
    <t>cost</t>
  </si>
  <si>
    <t>power</t>
  </si>
  <si>
    <t>HP</t>
  </si>
  <si>
    <t>impale</t>
  </si>
  <si>
    <t>bullet</t>
  </si>
  <si>
    <t>interval</t>
  </si>
  <si>
    <t>duration</t>
  </si>
  <si>
    <t>cool_down</t>
  </si>
  <si>
    <t>weapon_id</t>
  </si>
  <si>
    <t>double</t>
  </si>
  <si>
    <t>isReturn</t>
  </si>
  <si>
    <t>技能名</t>
  </si>
  <si>
    <t>技能ID</t>
  </si>
  <si>
    <t>技能等级</t>
  </si>
  <si>
    <t>消耗子弹</t>
  </si>
  <si>
    <t>单发威力</t>
  </si>
  <si>
    <t>贯穿力</t>
  </si>
  <si>
    <t>技能子弹数</t>
  </si>
  <si>
    <t>每发间隔时间</t>
  </si>
  <si>
    <t>效果时间</t>
  </si>
  <si>
    <t>冷却时间</t>
  </si>
  <si>
    <t>对应武器</t>
  </si>
  <si>
    <t>双倍皮肤炮ID</t>
  </si>
  <si>
    <t>打空是否返还子弹</t>
  </si>
  <si>
    <t>合金飞弹</t>
  </si>
  <si>
    <t>[1290]</t>
  </si>
  <si>
    <t>火蛇加农炮</t>
  </si>
  <si>
    <t>榴弹炮</t>
  </si>
  <si>
    <t>汇能弹</t>
  </si>
  <si>
    <t>激光炮</t>
  </si>
  <si>
    <t>猎鱼机甲</t>
  </si>
  <si>
    <t>格林机关枪</t>
  </si>
  <si>
    <t>ability_type</t>
  </si>
  <si>
    <t>value_type</t>
  </si>
  <si>
    <t>value</t>
  </si>
  <si>
    <t>技能星级</t>
  </si>
  <si>
    <t>提升能力类型</t>
  </si>
  <si>
    <t>数值类型</t>
  </si>
  <si>
    <t>数值</t>
  </si>
  <si>
    <t>skill_ability_type</t>
  </si>
  <si>
    <t>skill_ability_desc</t>
  </si>
  <si>
    <t>技能能力类型</t>
  </si>
  <si>
    <t>技能能力描述</t>
  </si>
  <si>
    <t>冷却时间减少[var]秒</t>
  </si>
  <si>
    <t>威力提高[var]%</t>
  </si>
  <si>
    <t>使召唤出的鱼在[var]秒内无法被其他玩家捕获</t>
  </si>
  <si>
    <t>无法被其他玩家捕获的时间增加[var]秒</t>
  </si>
  <si>
    <t>产生冰锥的数量增加[var]</t>
  </si>
  <si>
    <t>子弹总数量增加[var]发</t>
  </si>
  <si>
    <t>机器人耐久提高[var]%</t>
  </si>
  <si>
    <t>提高对远距离鱼的威力</t>
  </si>
  <si>
    <t>冰锥HP在[var]%以上受到致命伤害时HP最低为1</t>
  </si>
  <si>
    <t>被贯穿的鱼必被捕获</t>
  </si>
  <si>
    <t>爆炸范围变大[var]%</t>
  </si>
  <si>
    <t>子弹飞行时间减少[var]%</t>
  </si>
  <si>
    <t>喷射距离提升[var]%</t>
  </si>
  <si>
    <t>连续发炮的时间间隔减少[var]%</t>
  </si>
  <si>
    <t>冻结范围变大[var]%</t>
  </si>
  <si>
    <t>提高[var]%炮弹飞行速度</t>
  </si>
  <si>
    <t>反弹次数增加[var]次</t>
  </si>
  <si>
    <t>有效范围变大[var]%</t>
  </si>
  <si>
    <t>魔法球的飞行速度提高[var]%</t>
  </si>
  <si>
    <t>激光炮范围变宽[var]%</t>
  </si>
  <si>
    <t>蓄力时间减少[var]%</t>
  </si>
  <si>
    <t xml:space="preserve"> 机器人射出的子弹可反弹[var]次</t>
  </si>
  <si>
    <t>机器人射出的子弹速度提高[var]%</t>
  </si>
  <si>
    <t>机器人自爆时的范围增加[var]%</t>
  </si>
  <si>
    <t>每天可在最高[var]倍下免费使用1次</t>
  </si>
  <si>
    <t>fish_pool</t>
  </si>
  <si>
    <t>fish1</t>
  </si>
  <si>
    <t>fish2</t>
  </si>
  <si>
    <t>fish3</t>
  </si>
  <si>
    <t>probb3</t>
  </si>
  <si>
    <t>fish4</t>
  </si>
  <si>
    <t>probb4</t>
  </si>
  <si>
    <t>fish5</t>
  </si>
  <si>
    <t>probb5</t>
  </si>
  <si>
    <t>fish6</t>
  </si>
  <si>
    <t>probb6</t>
  </si>
  <si>
    <t>渔场</t>
  </si>
  <si>
    <t>间隔(秒)</t>
  </si>
  <si>
    <t>鱼ID</t>
  </si>
  <si>
    <t>概率</t>
  </si>
  <si>
    <t>mode</t>
  </si>
  <si>
    <t>currencyList</t>
  </si>
  <si>
    <t>id</t>
  </si>
  <si>
    <t>exchangeTimes</t>
  </si>
  <si>
    <t>costTypeCount</t>
  </si>
  <si>
    <t>costItem1</t>
  </si>
  <si>
    <t>costItem3</t>
  </si>
  <si>
    <t>listCount</t>
  </si>
  <si>
    <t>gainItem1</t>
  </si>
  <si>
    <t>gainItem2</t>
  </si>
  <si>
    <t>gainItem3</t>
  </si>
  <si>
    <t>gainItem4</t>
  </si>
  <si>
    <t>gainItem5</t>
  </si>
  <si>
    <t>gainItem6</t>
  </si>
  <si>
    <t>金币0/金环1</t>
  </si>
  <si>
    <t>货币列表</t>
  </si>
  <si>
    <t>兑换的唯一标识</t>
  </si>
  <si>
    <t>兑换次数</t>
  </si>
  <si>
    <t>消耗类型数量</t>
  </si>
  <si>
    <t>消耗物品</t>
  </si>
  <si>
    <t>兑换列表数量</t>
  </si>
  <si>
    <t>兑换物品</t>
  </si>
  <si>
    <t>box</t>
  </si>
  <si>
    <t>[101, 1402]</t>
  </si>
  <si>
    <t>{"name":1402, "count": 12}</t>
  </si>
  <si>
    <r>
      <rPr>
        <sz val="12"/>
        <color rgb="FF000000"/>
        <rFont val="Verdana"/>
        <charset val="134"/>
      </rPr>
      <t>{"name":101, "minCount": 10000</t>
    </r>
    <r>
      <rPr>
        <b/>
        <sz val="12"/>
        <color rgb="FF000000"/>
        <rFont val="Verdana"/>
        <charset val="134"/>
      </rPr>
      <t>, "maxCount": 10000</t>
    </r>
    <r>
      <rPr>
        <sz val="12"/>
        <color rgb="FF000000"/>
        <rFont val="Verdana"/>
        <charset val="134"/>
      </rPr>
      <t>}</t>
    </r>
  </si>
  <si>
    <t>octopus</t>
  </si>
  <si>
    <t>{"name":1402, "count": 35}</t>
  </si>
  <si>
    <r>
      <rPr>
        <sz val="12"/>
        <color rgb="FF000000"/>
        <rFont val="Verdana"/>
        <charset val="134"/>
      </rPr>
      <t>{"name":101, "minCount": 30000</t>
    </r>
    <r>
      <rPr>
        <b/>
        <sz val="12"/>
        <color rgb="FF000000"/>
        <rFont val="Verdana"/>
        <charset val="134"/>
      </rPr>
      <t>, "maxCount": 30000</t>
    </r>
    <r>
      <rPr>
        <sz val="12"/>
        <color rgb="FF000000"/>
        <rFont val="Verdana"/>
        <charset val="134"/>
      </rPr>
      <t>}</t>
    </r>
  </si>
  <si>
    <t>queen</t>
  </si>
  <si>
    <t>[101, 13761]</t>
  </si>
  <si>
    <t>{"name":1402, "count": 115}</t>
  </si>
  <si>
    <r>
      <rPr>
        <sz val="12"/>
        <color rgb="FF000000"/>
        <rFont val="Verdana"/>
        <charset val="134"/>
      </rPr>
      <t>{"name":101, "minCount": 100000</t>
    </r>
    <r>
      <rPr>
        <b/>
        <sz val="12"/>
        <color rgb="FF000000"/>
        <rFont val="Verdana"/>
        <charset val="134"/>
      </rPr>
      <t>, "maxCount": 100000</t>
    </r>
    <r>
      <rPr>
        <sz val="12"/>
        <color rgb="FF000000"/>
        <rFont val="Verdana"/>
        <charset val="134"/>
      </rPr>
      <t>}</t>
    </r>
  </si>
  <si>
    <t>{"name":1402, "count": 230}</t>
  </si>
  <si>
    <r>
      <rPr>
        <sz val="12"/>
        <color rgb="FF000000"/>
        <rFont val="Verdana"/>
        <charset val="134"/>
      </rPr>
      <t>{"name":101, "minCount": 200000</t>
    </r>
    <r>
      <rPr>
        <b/>
        <sz val="12"/>
        <color rgb="FF000000"/>
        <rFont val="Verdana"/>
        <charset val="134"/>
      </rPr>
      <t>, "maxCount": 200000</t>
    </r>
    <r>
      <rPr>
        <sz val="12"/>
        <color rgb="FF000000"/>
        <rFont val="Verdana"/>
        <charset val="134"/>
      </rPr>
      <t>}</t>
    </r>
  </si>
  <si>
    <t>{"name":1402, "count": 500}</t>
  </si>
  <si>
    <r>
      <rPr>
        <sz val="12"/>
        <color rgb="FF000000"/>
        <rFont val="Verdana"/>
        <charset val="134"/>
      </rPr>
      <t>{"name":101, "minCount": 500000</t>
    </r>
    <r>
      <rPr>
        <b/>
        <sz val="12"/>
        <color rgb="FF000000"/>
        <rFont val="Verdana"/>
        <charset val="134"/>
      </rPr>
      <t>, "maxCount": 500000</t>
    </r>
    <r>
      <rPr>
        <sz val="12"/>
        <color rgb="FF000000"/>
        <rFont val="Verdana"/>
        <charset val="134"/>
      </rPr>
      <t>}</t>
    </r>
  </si>
  <si>
    <t>{"name":1402, "count": 2500}</t>
  </si>
  <si>
    <r>
      <rPr>
        <sz val="12"/>
        <color rgb="FF000000"/>
        <rFont val="Verdana"/>
        <charset val="134"/>
      </rPr>
      <t>{"name":1194, "minCount": 5</t>
    </r>
    <r>
      <rPr>
        <b/>
        <sz val="12"/>
        <color rgb="FF000000"/>
        <rFont val="Verdana"/>
        <charset val="134"/>
      </rPr>
      <t>, "maxCount": 5</t>
    </r>
    <r>
      <rPr>
        <sz val="12"/>
        <color rgb="FF000000"/>
        <rFont val="Verdana"/>
        <charset val="134"/>
      </rPr>
      <t>}</t>
    </r>
  </si>
  <si>
    <r>
      <rPr>
        <sz val="12"/>
        <color rgb="FF000000"/>
        <rFont val="Verdana"/>
        <charset val="134"/>
      </rPr>
      <t>{"name":101, "minCount": 0</t>
    </r>
    <r>
      <rPr>
        <b/>
        <sz val="12"/>
        <color rgb="FF000000"/>
        <rFont val="Verdana"/>
        <charset val="134"/>
      </rPr>
      <t>, "maxCount": 20000</t>
    </r>
    <r>
      <rPr>
        <sz val="12"/>
        <color rgb="FF000000"/>
        <rFont val="Verdana"/>
        <charset val="134"/>
      </rPr>
      <t>}</t>
    </r>
  </si>
  <si>
    <r>
      <rPr>
        <sz val="12"/>
        <color rgb="FF000000"/>
        <rFont val="Verdana"/>
        <charset val="134"/>
      </rPr>
      <t>{"name":101, "minCount": 0</t>
    </r>
    <r>
      <rPr>
        <b/>
        <sz val="12"/>
        <color rgb="FF000000"/>
        <rFont val="Verdana"/>
        <charset val="134"/>
      </rPr>
      <t>, "maxCount": 60000</t>
    </r>
    <r>
      <rPr>
        <sz val="12"/>
        <color rgb="FF000000"/>
        <rFont val="Verdana"/>
        <charset val="134"/>
      </rPr>
      <t>}</t>
    </r>
  </si>
  <si>
    <r>
      <rPr>
        <sz val="12"/>
        <color rgb="FF000000"/>
        <rFont val="Verdana"/>
        <charset val="134"/>
      </rPr>
      <t>{"name":101, "minCount": 0</t>
    </r>
    <r>
      <rPr>
        <b/>
        <sz val="12"/>
        <color rgb="FF000000"/>
        <rFont val="Verdana"/>
        <charset val="134"/>
      </rPr>
      <t>, "maxCount": 200000</t>
    </r>
    <r>
      <rPr>
        <sz val="12"/>
        <color rgb="FF000000"/>
        <rFont val="Verdana"/>
        <charset val="134"/>
      </rPr>
      <t>}</t>
    </r>
  </si>
  <si>
    <r>
      <rPr>
        <sz val="12"/>
        <color rgb="FF000000"/>
        <rFont val="Verdana"/>
        <charset val="134"/>
      </rPr>
      <t>{"name":101, "minCount": 0</t>
    </r>
    <r>
      <rPr>
        <b/>
        <sz val="12"/>
        <color rgb="FF000000"/>
        <rFont val="Verdana"/>
        <charset val="134"/>
      </rPr>
      <t>, "maxCount": 400000</t>
    </r>
    <r>
      <rPr>
        <sz val="12"/>
        <color rgb="FF000000"/>
        <rFont val="Verdana"/>
        <charset val="134"/>
      </rPr>
      <t>}</t>
    </r>
  </si>
  <si>
    <r>
      <rPr>
        <sz val="12"/>
        <color rgb="FF000000"/>
        <rFont val="Verdana"/>
        <charset val="134"/>
      </rPr>
      <t>{"name":101, "minCount": 0</t>
    </r>
    <r>
      <rPr>
        <b/>
        <sz val="12"/>
        <color rgb="FF000000"/>
        <rFont val="Verdana"/>
        <charset val="134"/>
      </rPr>
      <t>, "maxCount": 1000000</t>
    </r>
    <r>
      <rPr>
        <sz val="12"/>
        <color rgb="FF000000"/>
        <rFont val="Verdana"/>
        <charset val="134"/>
      </rPr>
      <t>}</t>
    </r>
  </si>
  <si>
    <r>
      <rPr>
        <sz val="12"/>
        <color rgb="FF000000"/>
        <rFont val="Verdana"/>
        <charset val="134"/>
      </rPr>
      <t>{"name":1194, "minCount": 0</t>
    </r>
    <r>
      <rPr>
        <b/>
        <sz val="12"/>
        <color rgb="FF000000"/>
        <rFont val="Verdana"/>
        <charset val="134"/>
      </rPr>
      <t>, "maxCount": 10</t>
    </r>
    <r>
      <rPr>
        <sz val="12"/>
        <color rgb="FF000000"/>
        <rFont val="Verdana"/>
        <charset val="134"/>
      </rPr>
      <t>}</t>
    </r>
  </si>
  <si>
    <t>{"name":13758, "count": 1}</t>
  </si>
  <si>
    <t>{"name":13759, "count": 2}</t>
  </si>
  <si>
    <t>{"name":13760, "count": 3}</t>
  </si>
  <si>
    <t>{"name":13764, "count": 2}</t>
  </si>
  <si>
    <t>{"name":13765, "count": 10}</t>
  </si>
  <si>
    <t>{"name":14114, "count": 5}</t>
  </si>
  <si>
    <t>{"name":14114, "count": 2}</t>
  </si>
  <si>
    <t>{"name":13761, "count": 1}</t>
  </si>
  <si>
    <t>{"name":13761, "count": 2}</t>
  </si>
  <si>
    <t>{"name":13761, "count": 3}</t>
  </si>
  <si>
    <t>{"name":13761, "count": 4}</t>
  </si>
  <si>
    <t>{"name":13761, "count": 5}</t>
  </si>
  <si>
    <t>{"name":13761, "count": 6}</t>
  </si>
  <si>
    <t>{"name":13761, "count": 7}</t>
  </si>
  <si>
    <t>maxTimes</t>
  </si>
  <si>
    <t>costItem</t>
  </si>
  <si>
    <t>rewardItem</t>
  </si>
  <si>
    <t>最大次数</t>
  </si>
  <si>
    <t>[{"name":1402, "count": 2}]</t>
  </si>
  <si>
    <r>
      <rPr>
        <sz val="12"/>
        <color rgb="FF000000"/>
        <rFont val="Verdana"/>
        <charset val="134"/>
      </rPr>
      <t>[{"name":101, "count": 10000, "probb": 100}</t>
    </r>
    <r>
      <rPr>
        <sz val="12"/>
        <color rgb="FF000000"/>
        <rFont val="华文宋体"/>
        <charset val="134"/>
      </rPr>
      <t>,</t>
    </r>
    <r>
      <rPr>
        <sz val="12"/>
        <color rgb="FF000000"/>
        <rFont val="Verdana"/>
        <charset val="134"/>
      </rPr>
      <t xml:space="preserve"> {"name":101, "count": 20000, "probb": 100}</t>
    </r>
    <r>
      <rPr>
        <sz val="12"/>
        <color rgb="FF000000"/>
        <rFont val="华文宋体"/>
        <charset val="134"/>
      </rPr>
      <t>,</t>
    </r>
    <r>
      <rPr>
        <sz val="12"/>
        <color rgb="FF000000"/>
        <rFont val="Verdana"/>
        <charset val="134"/>
      </rPr>
      <t xml:space="preserve"> {"name":101, "count": 30000, "probb": 100}]</t>
    </r>
  </si>
  <si>
    <t>[{"name":1402, "count": 4}]</t>
  </si>
  <si>
    <t>[{"name":1402, "count": 6}]</t>
  </si>
  <si>
    <t>[{"name":1402, "count": 8}]</t>
  </si>
  <si>
    <t>[{"name":1402, "count": 10}]</t>
  </si>
  <si>
    <t>[{"name":1402, "count": 12}]</t>
  </si>
  <si>
    <t>[{"name":13758, "count": 1}]</t>
  </si>
  <si>
    <r>
      <rPr>
        <sz val="12"/>
        <color rgb="FF000000"/>
        <rFont val="Verdana"/>
        <charset val="134"/>
      </rPr>
      <t>[{"name":101, "count": 10000, "probb": 100}</t>
    </r>
    <r>
      <rPr>
        <sz val="12"/>
        <color rgb="FF000000"/>
        <rFont val="华文宋体"/>
        <charset val="134"/>
      </rPr>
      <t>,</t>
    </r>
    <r>
      <rPr>
        <sz val="12"/>
        <color rgb="FF000000"/>
        <rFont val="Verdana"/>
        <charset val="134"/>
      </rPr>
      <t xml:space="preserve"> {"name":101, "count": 20000, "probb": 100}</t>
    </r>
    <r>
      <rPr>
        <sz val="12"/>
        <color rgb="FF000000"/>
        <rFont val="华文宋体"/>
        <charset val="134"/>
      </rPr>
      <t>,</t>
    </r>
    <r>
      <rPr>
        <sz val="12"/>
        <color rgb="FF000000"/>
        <rFont val="Verdana"/>
        <charset val="134"/>
      </rPr>
      <t xml:space="preserve"> {"name":101, "count": 30000, "probb": 100},
{"name":101, "count": 50000, "probb": 100}, {"name":101, "count": 70000, "probb": 100}, {"name":101, "count": 90000, "probb": 100}]</t>
    </r>
  </si>
  <si>
    <t>[{"name":13759, "count": 1}]</t>
  </si>
  <si>
    <t>[{"name":13760, "count": 1}]</t>
  </si>
  <si>
    <t>[{"name":13758, "count": 1},{"name":13759, "count": 1}]</t>
  </si>
  <si>
    <t>[{"name":13758, "count": 1},{"name":13760, "count": 1}]</t>
  </si>
  <si>
    <t>[{"name":13759, "count": 1},{"name":13760, "count": 1}]</t>
  </si>
  <si>
    <t>[{"name":13758, "count": 1},{"name":13759, "count": 1},{"name":13760, "count": 1}]</t>
  </si>
  <si>
    <t>[{"name":13761, "count": 100}]</t>
  </si>
  <si>
    <t>[{"name":13761, "count": 80}]</t>
  </si>
  <si>
    <t>[{"name":13761, "count": 60}]</t>
  </si>
  <si>
    <t>[{"name":13761, "count": 40}]</t>
  </si>
  <si>
    <t>[{"name":13761, "count": 20}]</t>
  </si>
  <si>
    <t>roomId</t>
  </si>
  <si>
    <t>tabs</t>
  </si>
  <si>
    <t>poolPct</t>
  </si>
  <si>
    <t>nextDayPoolPct</t>
  </si>
  <si>
    <t>rule</t>
  </si>
  <si>
    <t>房间id</t>
  </si>
  <si>
    <r>
      <rPr>
        <sz val="12"/>
        <color rgb="FF000000"/>
        <rFont val="Verdana"/>
        <charset val="134"/>
      </rPr>
      <t>tab</t>
    </r>
    <r>
      <rPr>
        <sz val="12"/>
        <color rgb="FF000000"/>
        <rFont val="华文宋体"/>
        <charset val="134"/>
      </rPr>
      <t>数据</t>
    </r>
  </si>
  <si>
    <t>奖池占房间奖池比例</t>
  </si>
  <si>
    <t>第二天奖池占房间奖池比例</t>
  </si>
  <si>
    <t>规则</t>
  </si>
  <si>
    <r>
      <rPr>
        <sz val="12"/>
        <color rgb="FF000000"/>
        <rFont val="Verdana"/>
        <charset val="134"/>
      </rPr>
      <t>[{"title":"</t>
    </r>
    <r>
      <rPr>
        <sz val="12"/>
        <color rgb="FF000000"/>
        <rFont val="华文宋体"/>
        <charset val="134"/>
      </rPr>
      <t>ID_SUPERBOSS_GAME_MINIGAME:44411</t>
    </r>
    <r>
      <rPr>
        <sz val="12"/>
        <color rgb="FF000000"/>
        <rFont val="Verdana"/>
        <charset val="134"/>
      </rPr>
      <t>", "data": "minigame"}, {"title":"</t>
    </r>
    <r>
      <rPr>
        <sz val="12"/>
        <color rgb="FF000000"/>
        <rFont val="华文宋体"/>
        <charset val="134"/>
      </rPr>
      <t>ID_SUPERBOSS_GAME_EXCHANGE:44411</t>
    </r>
    <r>
      <rPr>
        <sz val="12"/>
        <color rgb="FF000000"/>
        <rFont val="Verdana"/>
        <charset val="134"/>
      </rPr>
      <t>", "data": "convert"}, {"title":"</t>
    </r>
    <r>
      <rPr>
        <sz val="12"/>
        <color rgb="FF000000"/>
        <rFont val="华文宋体"/>
        <charset val="134"/>
      </rPr>
      <t>ID_SUPERBOSS_RANK</t>
    </r>
    <r>
      <rPr>
        <sz val="12"/>
        <color rgb="FF000000"/>
        <rFont val="Verdana"/>
        <charset val="134"/>
      </rPr>
      <t>", "data": "rank", "param": 33}, {"title":"ID_LAST_SUPERBOSS_RANK", "data": "lastrank", "param": 34}]</t>
    </r>
  </si>
  <si>
    <t>{"game":"ID_SUPERBOSS_RULE:44411"}</t>
  </si>
  <si>
    <r>
      <rPr>
        <sz val="12"/>
        <color rgb="FF000000"/>
        <rFont val="Verdana"/>
        <charset val="134"/>
      </rPr>
      <t>[{"title":"</t>
    </r>
    <r>
      <rPr>
        <sz val="12"/>
        <color rgb="FF000000"/>
        <rFont val="华文宋体"/>
        <charset val="134"/>
      </rPr>
      <t>ID_SUPERBOSS_GAME_MINIGAME:44411</t>
    </r>
    <r>
      <rPr>
        <sz val="12"/>
        <color rgb="FF000000"/>
        <rFont val="Verdana"/>
        <charset val="134"/>
      </rPr>
      <t>", "data": "minigame"}, {"title":"</t>
    </r>
    <r>
      <rPr>
        <sz val="12"/>
        <color rgb="FF000000"/>
        <rFont val="华文宋体"/>
        <charset val="134"/>
      </rPr>
      <t>ID_SUPERBOSS_GAME_EXCHANGE:44411</t>
    </r>
    <r>
      <rPr>
        <sz val="12"/>
        <color rgb="FF000000"/>
        <rFont val="Verdana"/>
        <charset val="134"/>
      </rPr>
      <t>", "data": "convert"}, {"title":"</t>
    </r>
    <r>
      <rPr>
        <sz val="12"/>
        <color rgb="FF000000"/>
        <rFont val="华文宋体"/>
        <charset val="134"/>
      </rPr>
      <t>ID_SUPERBOSS_RANK</t>
    </r>
    <r>
      <rPr>
        <sz val="12"/>
        <color rgb="FF000000"/>
        <rFont val="Verdana"/>
        <charset val="134"/>
      </rPr>
      <t>", "data": "rank", "param": 41}, {"title":"ID_LAST_SUPERBOSS_RANK", "data": "lastrank", "param": 42}]</t>
    </r>
  </si>
  <si>
    <r>
      <rPr>
        <sz val="12"/>
        <color rgb="FF000000"/>
        <rFont val="Verdana"/>
        <charset val="134"/>
      </rPr>
      <t>[{"title":"</t>
    </r>
    <r>
      <rPr>
        <sz val="12"/>
        <color rgb="FF000000"/>
        <rFont val="华文宋体"/>
        <charset val="134"/>
      </rPr>
      <t>ID_SUPERBOSS_GAME_MINIGAME:44412</t>
    </r>
    <r>
      <rPr>
        <sz val="12"/>
        <color rgb="FF000000"/>
        <rFont val="Verdana"/>
        <charset val="134"/>
      </rPr>
      <t>", "data": "minigame"}, {"title":"</t>
    </r>
    <r>
      <rPr>
        <sz val="12"/>
        <color rgb="FF000000"/>
        <rFont val="华文宋体"/>
        <charset val="134"/>
      </rPr>
      <t>ID_SUPERBOSS_GAME_EXCHANGE:44412</t>
    </r>
    <r>
      <rPr>
        <sz val="12"/>
        <color rgb="FF000000"/>
        <rFont val="Verdana"/>
        <charset val="134"/>
      </rPr>
      <t>", "data": "convert"}, {"title":"</t>
    </r>
    <r>
      <rPr>
        <sz val="12"/>
        <color rgb="FF000000"/>
        <rFont val="华文宋体"/>
        <charset val="134"/>
      </rPr>
      <t>ID_SUPERBOSS_RANK</t>
    </r>
    <r>
      <rPr>
        <sz val="12"/>
        <color rgb="FF000000"/>
        <rFont val="Verdana"/>
        <charset val="134"/>
      </rPr>
      <t>", "data": "rank", "param": 35}, {"title":"ID_LAST_SUPERBOSS_RANK", "data": "lastrank", "param": 36}]</t>
    </r>
  </si>
  <si>
    <t>{"game":"ID_SUPERBOSS_RULE:44412"}</t>
  </si>
  <si>
    <r>
      <rPr>
        <sz val="12"/>
        <color rgb="FF000000"/>
        <rFont val="Verdana"/>
        <charset val="134"/>
      </rPr>
      <t>[{"title":"</t>
    </r>
    <r>
      <rPr>
        <sz val="12"/>
        <color rgb="FF000000"/>
        <rFont val="华文宋体"/>
        <charset val="134"/>
      </rPr>
      <t>ID_SUPERBOSS_GAME_MINIGAME:44412</t>
    </r>
    <r>
      <rPr>
        <sz val="12"/>
        <color rgb="FF000000"/>
        <rFont val="Verdana"/>
        <charset val="134"/>
      </rPr>
      <t>", "data": "minigame"}, {"title":"</t>
    </r>
    <r>
      <rPr>
        <sz val="12"/>
        <color rgb="FF000000"/>
        <rFont val="华文宋体"/>
        <charset val="134"/>
      </rPr>
      <t>ID_SUPERBOSS_GAME_EXCHANGE:44412</t>
    </r>
    <r>
      <rPr>
        <sz val="12"/>
        <color rgb="FF000000"/>
        <rFont val="Verdana"/>
        <charset val="134"/>
      </rPr>
      <t>", "data": "convert"}, {"title":"</t>
    </r>
    <r>
      <rPr>
        <sz val="12"/>
        <color rgb="FF000000"/>
        <rFont val="华文宋体"/>
        <charset val="134"/>
      </rPr>
      <t>ID_SUPERBOSS_RANK</t>
    </r>
    <r>
      <rPr>
        <sz val="12"/>
        <color rgb="FF000000"/>
        <rFont val="Verdana"/>
        <charset val="134"/>
      </rPr>
      <t>", "data": "rank", "param": 43}, {"title":"ID_LAST_SUPERBOSS_RANK", "data": "lastrank", "param": 44}]</t>
    </r>
  </si>
  <si>
    <r>
      <rPr>
        <sz val="12"/>
        <color rgb="FF000000"/>
        <rFont val="Verdana"/>
        <charset val="134"/>
      </rPr>
      <t>[{"title":"</t>
    </r>
    <r>
      <rPr>
        <sz val="12"/>
        <color rgb="FF000000"/>
        <rFont val="华文宋体"/>
        <charset val="134"/>
      </rPr>
      <t>ID_SUPERBOSS_GAME_MINIGAME:44414</t>
    </r>
    <r>
      <rPr>
        <sz val="12"/>
        <color rgb="FF000000"/>
        <rFont val="Verdana"/>
        <charset val="134"/>
      </rPr>
      <t>", "data": "minigame"}, {"title":"</t>
    </r>
    <r>
      <rPr>
        <sz val="12"/>
        <color rgb="FF000000"/>
        <rFont val="华文宋体"/>
        <charset val="134"/>
      </rPr>
      <t>ID_SUPERBOSS_GAME_EXCHANGE:44414</t>
    </r>
    <r>
      <rPr>
        <sz val="12"/>
        <color rgb="FF000000"/>
        <rFont val="Verdana"/>
        <charset val="134"/>
      </rPr>
      <t>", "data": "convert"}, {"title":"</t>
    </r>
    <r>
      <rPr>
        <sz val="12"/>
        <color rgb="FF000000"/>
        <rFont val="华文宋体"/>
        <charset val="134"/>
      </rPr>
      <t>ID_SUPERBOSS_RANK</t>
    </r>
    <r>
      <rPr>
        <sz val="12"/>
        <color rgb="FF000000"/>
        <rFont val="Verdana"/>
        <charset val="134"/>
      </rPr>
      <t>", "data": "rank", "param": 37}, {"title":"ID_LAST_SUPERBOSS_RANK", "data": "lastrank", "param": 38}]</t>
    </r>
  </si>
  <si>
    <t>{"game":"ID_SUPERBOSS_RULE:44414"}</t>
  </si>
  <si>
    <r>
      <rPr>
        <sz val="12"/>
        <color rgb="FF000000"/>
        <rFont val="Verdana"/>
        <charset val="134"/>
      </rPr>
      <t>[{"title":"</t>
    </r>
    <r>
      <rPr>
        <sz val="12"/>
        <color rgb="FF000000"/>
        <rFont val="华文宋体"/>
        <charset val="134"/>
      </rPr>
      <t>ID_SUPERBOSS_GAME_MINIGAME:44414</t>
    </r>
    <r>
      <rPr>
        <sz val="12"/>
        <color rgb="FF000000"/>
        <rFont val="Verdana"/>
        <charset val="134"/>
      </rPr>
      <t>", "data": "minigame"}, {"title":"</t>
    </r>
    <r>
      <rPr>
        <sz val="12"/>
        <color rgb="FF000000"/>
        <rFont val="华文宋体"/>
        <charset val="134"/>
      </rPr>
      <t>ID_SUPERBOSS_GAME_EXCHANGE:44414</t>
    </r>
    <r>
      <rPr>
        <sz val="12"/>
        <color rgb="FF000000"/>
        <rFont val="Verdana"/>
        <charset val="134"/>
      </rPr>
      <t>", "data": "convert"}, {"title":"</t>
    </r>
    <r>
      <rPr>
        <sz val="12"/>
        <color rgb="FF000000"/>
        <rFont val="华文宋体"/>
        <charset val="134"/>
      </rPr>
      <t>ID_SUPERBOSS_RANK</t>
    </r>
    <r>
      <rPr>
        <sz val="12"/>
        <color rgb="FF000000"/>
        <rFont val="Verdana"/>
        <charset val="134"/>
      </rPr>
      <t>", "data": "rank", "param": 45}, {"title":"ID_LAST_SUPERBOSS_RANK", "data": "lastrank", "param": 46}]</t>
    </r>
  </si>
  <si>
    <r>
      <rPr>
        <sz val="12"/>
        <color rgb="FF000000"/>
        <rFont val="Verdana"/>
        <charset val="134"/>
      </rPr>
      <t>[{"title":"</t>
    </r>
    <r>
      <rPr>
        <sz val="12"/>
        <color rgb="FF000000"/>
        <rFont val="华文宋体"/>
        <charset val="134"/>
      </rPr>
      <t>ID_SUPERBOSS_GAME_MINIGAME:44415</t>
    </r>
    <r>
      <rPr>
        <sz val="12"/>
        <color rgb="FF000000"/>
        <rFont val="Verdana"/>
        <charset val="134"/>
      </rPr>
      <t>", "data": "minigame"}, {"title":"</t>
    </r>
    <r>
      <rPr>
        <sz val="12"/>
        <color rgb="FF000000"/>
        <rFont val="华文宋体"/>
        <charset val="134"/>
      </rPr>
      <t>ID_SUPERBOSS_GAME_EXCHANGE:44415</t>
    </r>
    <r>
      <rPr>
        <sz val="12"/>
        <color rgb="FF000000"/>
        <rFont val="Verdana"/>
        <charset val="134"/>
      </rPr>
      <t>", "data": "convert"}, {"title":"</t>
    </r>
    <r>
      <rPr>
        <sz val="12"/>
        <color rgb="FF000000"/>
        <rFont val="华文宋体"/>
        <charset val="134"/>
      </rPr>
      <t>ID_SUPERBOSS_RANK</t>
    </r>
    <r>
      <rPr>
        <sz val="12"/>
        <color rgb="FF000000"/>
        <rFont val="Verdana"/>
        <charset val="134"/>
      </rPr>
      <t>", "data": "rank", "param": 39}, {"title":"ID_LAST_SUPERBOSS_RANK", "data": "lastrank", "param": 40}]</t>
    </r>
  </si>
  <si>
    <t>dragon</t>
  </si>
  <si>
    <t>{"game":"ID_SUPERBOSS_RULE:44415"}</t>
  </si>
  <si>
    <r>
      <rPr>
        <sz val="12"/>
        <color rgb="FF000000"/>
        <rFont val="Verdana"/>
        <charset val="134"/>
      </rPr>
      <t>[{"title":"</t>
    </r>
    <r>
      <rPr>
        <sz val="12"/>
        <color rgb="FF000000"/>
        <rFont val="华文宋体"/>
        <charset val="134"/>
      </rPr>
      <t>ID_SUPERBOSS_GAME_MINIGAME:44415</t>
    </r>
    <r>
      <rPr>
        <sz val="12"/>
        <color rgb="FF000000"/>
        <rFont val="Verdana"/>
        <charset val="134"/>
      </rPr>
      <t>", "data": "minigame"}, {"title":"</t>
    </r>
    <r>
      <rPr>
        <sz val="12"/>
        <color rgb="FF000000"/>
        <rFont val="华文宋体"/>
        <charset val="134"/>
      </rPr>
      <t>ID_SUPERBOSS_GAME_EXCHANGE:44415</t>
    </r>
    <r>
      <rPr>
        <sz val="12"/>
        <color rgb="FF000000"/>
        <rFont val="Verdana"/>
        <charset val="134"/>
      </rPr>
      <t>", "data": "convert"}, {"title":"</t>
    </r>
    <r>
      <rPr>
        <sz val="12"/>
        <color rgb="FF000000"/>
        <rFont val="华文宋体"/>
        <charset val="134"/>
      </rPr>
      <t>ID_SUPERBOSS_RANK</t>
    </r>
    <r>
      <rPr>
        <sz val="12"/>
        <color rgb="FF000000"/>
        <rFont val="Verdana"/>
        <charset val="134"/>
      </rPr>
      <t>", "data": "rank", "param": 47}, {"title":"ID_LAST_SUPERBOSS_RANK", "data": "lastrank", "param": 48}]</t>
    </r>
  </si>
  <si>
    <t>gunskin_name</t>
  </si>
  <si>
    <t>gunskin_id</t>
  </si>
  <si>
    <t>gunskin_level</t>
  </si>
  <si>
    <t>multiple</t>
  </si>
  <si>
    <t>unlock_type</t>
  </si>
  <si>
    <t>unlock_value</t>
  </si>
  <si>
    <t>equip_type</t>
  </si>
  <si>
    <t>equip_value</t>
  </si>
  <si>
    <t>exp</t>
  </si>
  <si>
    <t>sum_exp</t>
  </si>
  <si>
    <t>effect_addition</t>
  </si>
  <si>
    <t>effect_type</t>
  </si>
  <si>
    <t>probb</t>
  </si>
  <si>
    <t>unlock_desc</t>
  </si>
  <si>
    <t>equip_desc</t>
  </si>
  <si>
    <t xml:space="preserve">unit_price </t>
  </si>
  <si>
    <t>skins</t>
  </si>
  <si>
    <t>odds</t>
  </si>
  <si>
    <t>arr</t>
  </si>
  <si>
    <t>皮肤炮名</t>
  </si>
  <si>
    <t>皮肤炮ID</t>
  </si>
  <si>
    <t>皮肤炮等级</t>
  </si>
  <si>
    <t>消耗&amp;奖励倍率</t>
  </si>
  <si>
    <t>解锁条件</t>
  </si>
  <si>
    <r>
      <rPr>
        <sz val="14"/>
        <color rgb="FF000000"/>
        <rFont val="华文宋体"/>
        <charset val="134"/>
      </rPr>
      <t>条件数值</t>
    </r>
    <r>
      <rPr>
        <sz val="14"/>
        <color rgb="FF000000"/>
        <rFont val="Tahoma"/>
        <charset val="134"/>
      </rPr>
      <t>(</t>
    </r>
    <r>
      <rPr>
        <sz val="14"/>
        <color rgb="FF000000"/>
        <rFont val="华文宋体"/>
        <charset val="134"/>
      </rPr>
      <t>火炮倍率</t>
    </r>
    <r>
      <rPr>
        <sz val="14"/>
        <color rgb="FF000000"/>
        <rFont val="Tahoma"/>
        <charset val="134"/>
      </rPr>
      <t>)</t>
    </r>
  </si>
  <si>
    <t>装备条件</t>
  </si>
  <si>
    <t>所需经验</t>
  </si>
  <si>
    <t>累计经验</t>
  </si>
  <si>
    <t>熟练效果加成</t>
  </si>
  <si>
    <t>效果类型</t>
  </si>
  <si>
    <t>触发概率</t>
  </si>
  <si>
    <t>单价</t>
  </si>
  <si>
    <t>对应皮肤的Id</t>
  </si>
  <si>
    <t>概率系数</t>
  </si>
  <si>
    <t>出现概率</t>
  </si>
  <si>
    <t>ID_CONFIG_GUN_NAME_1</t>
  </si>
  <si>
    <t>[0,1366,-1]</t>
  </si>
  <si>
    <t>ID_CONFIG_GUN_NAME_2</t>
  </si>
  <si>
    <t>ID_CONFIG_LEVEL_UNLOCK_MULTIPLE</t>
  </si>
  <si>
    <t>ID_CONFIG_LEVEL_EQUIP_MULTIPLE</t>
  </si>
  <si>
    <t>[1352,1395,-1]</t>
  </si>
  <si>
    <t>ID_CONFIG_GUN_NAME_3</t>
  </si>
  <si>
    <t>[1353,1472,-1]</t>
  </si>
  <si>
    <t>ID_CONFIG_GUN_NAME_4</t>
  </si>
  <si>
    <t>[1354,1473,-1]</t>
  </si>
  <si>
    <t>ID_CONFIG_GUN_NAME_5</t>
  </si>
  <si>
    <t>[1355,1476,-1]</t>
  </si>
  <si>
    <t>ID_CONFIG_GUN_NAME_6</t>
  </si>
  <si>
    <t>[1356,1478,-1]</t>
  </si>
  <si>
    <t>ID_CONFIG_GUN_NAME_7</t>
  </si>
  <si>
    <t>[1357,-1,-1]</t>
  </si>
  <si>
    <t>skinId</t>
  </si>
  <si>
    <t>gunId</t>
  </si>
  <si>
    <t>kindId</t>
  </si>
  <si>
    <t>consumeCount</t>
  </si>
  <si>
    <t>皮肤ID</t>
  </si>
  <si>
    <t>对应的火炮ID</t>
  </si>
  <si>
    <t>消耗物品ID</t>
  </si>
  <si>
    <t>合成需要消耗碎片数</t>
  </si>
  <si>
    <t>gunLevel</t>
  </si>
  <si>
    <t>num</t>
  </si>
  <si>
    <t>rate</t>
  </si>
  <si>
    <t>weight</t>
  </si>
  <si>
    <t>fireInterval</t>
  </si>
  <si>
    <t>unlockMultiple</t>
  </si>
  <si>
    <t>levelAddition</t>
  </si>
  <si>
    <t>levelValue</t>
  </si>
  <si>
    <t>千炮火炮</t>
  </si>
  <si>
    <t>所需道具ID</t>
  </si>
  <si>
    <t>所需数量</t>
  </si>
  <si>
    <t>成功率</t>
  </si>
  <si>
    <t>100%升级成功率所需道具ID</t>
  </si>
  <si>
    <t>升级失败返还道具ID</t>
  </si>
  <si>
    <t>返还数量</t>
  </si>
  <si>
    <t>权重</t>
  </si>
  <si>
    <t>开火间隔</t>
  </si>
  <si>
    <t>解锁倍率</t>
  </si>
  <si>
    <t>大奖赛等级加成</t>
  </si>
  <si>
    <t>倍率</t>
  </si>
  <si>
    <t>weapon_name</t>
  </si>
  <si>
    <t>weapon_cost</t>
  </si>
  <si>
    <t>weapon_power</t>
  </si>
  <si>
    <t>match_addition</t>
  </si>
  <si>
    <t>cooldown</t>
  </si>
  <si>
    <t>bullet_speed</t>
  </si>
  <si>
    <t>net_size</t>
  </si>
  <si>
    <t>weapon_icon</t>
  </si>
  <si>
    <t>bullet_animation</t>
  </si>
  <si>
    <t>explosion_animation</t>
  </si>
  <si>
    <t>weapon_power_ratio</t>
  </si>
  <si>
    <t>weapon_single_power</t>
  </si>
  <si>
    <t>武器索引</t>
  </si>
  <si>
    <t>武器名</t>
  </si>
  <si>
    <t>武器ID</t>
  </si>
  <si>
    <t>武器威力</t>
  </si>
  <si>
    <t>炮等级对比赛的加成</t>
  </si>
  <si>
    <t>发射间隔</t>
  </si>
  <si>
    <t>弹失速度</t>
  </si>
  <si>
    <t>渔网大小</t>
  </si>
  <si>
    <t>武器图标</t>
  </si>
  <si>
    <t>子弹动画</t>
  </si>
  <si>
    <t>爆炸动画</t>
  </si>
  <si>
    <t>威力系数</t>
  </si>
  <si>
    <t>bullet01</t>
  </si>
  <si>
    <t>合金飞弹技能</t>
  </si>
  <si>
    <t>魔术炮技能</t>
  </si>
  <si>
    <t>火蛇加农炮技能</t>
  </si>
  <si>
    <t>极冻炮技能</t>
  </si>
  <si>
    <t>榴弹炮技能</t>
  </si>
  <si>
    <t>汇能弹技能</t>
  </si>
  <si>
    <t>欺诈水晶技能</t>
  </si>
  <si>
    <t>激光炮技能</t>
  </si>
  <si>
    <t>猎鱼机甲技能</t>
  </si>
  <si>
    <t>格林机关枪技能</t>
  </si>
  <si>
    <t>捕鱼机器人爆炸</t>
  </si>
  <si>
    <r>
      <rPr>
        <sz val="14"/>
        <color indexed="8"/>
        <rFont val="Tahoma"/>
        <charset val="134"/>
      </rPr>
      <t>电鳗</t>
    </r>
    <r>
      <rPr>
        <sz val="14"/>
        <color indexed="8"/>
        <rFont val="Tahoma"/>
        <charset val="134"/>
      </rPr>
      <t>1</t>
    </r>
  </si>
  <si>
    <r>
      <rPr>
        <sz val="14"/>
        <color indexed="8"/>
        <rFont val="Tahoma"/>
        <charset val="134"/>
      </rPr>
      <t>电鳗</t>
    </r>
    <r>
      <rPr>
        <sz val="14"/>
        <color indexed="8"/>
        <rFont val="Tahoma"/>
        <charset val="134"/>
      </rPr>
      <t>2</t>
    </r>
  </si>
  <si>
    <r>
      <rPr>
        <sz val="14"/>
        <color indexed="8"/>
        <rFont val="Tahoma"/>
        <charset val="134"/>
      </rPr>
      <t>电鳗</t>
    </r>
    <r>
      <rPr>
        <sz val="14"/>
        <color indexed="8"/>
        <rFont val="Tahoma"/>
        <charset val="134"/>
      </rPr>
      <t>3</t>
    </r>
  </si>
  <si>
    <r>
      <rPr>
        <sz val="14"/>
        <color indexed="8"/>
        <rFont val="Tahoma"/>
        <charset val="134"/>
      </rPr>
      <t>电鳗</t>
    </r>
    <r>
      <rPr>
        <sz val="14"/>
        <color indexed="8"/>
        <rFont val="Tahoma"/>
        <charset val="134"/>
      </rPr>
      <t>4</t>
    </r>
  </si>
  <si>
    <r>
      <rPr>
        <sz val="14"/>
        <color indexed="8"/>
        <rFont val="Tahoma"/>
        <charset val="134"/>
      </rPr>
      <t>电鳗</t>
    </r>
    <r>
      <rPr>
        <sz val="14"/>
        <color indexed="8"/>
        <rFont val="Tahoma"/>
        <charset val="134"/>
      </rPr>
      <t>5</t>
    </r>
  </si>
  <si>
    <r>
      <rPr>
        <sz val="14"/>
        <color rgb="FF000000"/>
        <rFont val="宋体-简"/>
        <charset val="134"/>
      </rPr>
      <t>钻头</t>
    </r>
    <r>
      <rPr>
        <sz val="14"/>
        <color rgb="FF000000"/>
        <rFont val="Tahoma"/>
        <charset val="134"/>
      </rPr>
      <t>1</t>
    </r>
  </si>
  <si>
    <r>
      <rPr>
        <sz val="14"/>
        <color rgb="FF000000"/>
        <rFont val="宋体-简"/>
        <charset val="134"/>
      </rPr>
      <t>钻头</t>
    </r>
    <r>
      <rPr>
        <sz val="14"/>
        <color rgb="FF000000"/>
        <rFont val="Tahoma"/>
        <charset val="134"/>
      </rPr>
      <t>2</t>
    </r>
  </si>
  <si>
    <r>
      <rPr>
        <sz val="14"/>
        <color rgb="FF000000"/>
        <rFont val="宋体-简"/>
        <charset val="134"/>
      </rPr>
      <t>钻头</t>
    </r>
    <r>
      <rPr>
        <sz val="14"/>
        <color rgb="FF000000"/>
        <rFont val="Tahoma"/>
        <charset val="134"/>
      </rPr>
      <t>3</t>
    </r>
  </si>
  <si>
    <r>
      <rPr>
        <sz val="14"/>
        <color rgb="FF000000"/>
        <rFont val="宋体-简"/>
        <charset val="134"/>
      </rPr>
      <t>钻头</t>
    </r>
    <r>
      <rPr>
        <sz val="14"/>
        <color rgb="FF000000"/>
        <rFont val="Tahoma"/>
        <charset val="134"/>
      </rPr>
      <t>4</t>
    </r>
  </si>
  <si>
    <r>
      <rPr>
        <sz val="14"/>
        <color rgb="FF000000"/>
        <rFont val="宋体-简"/>
        <charset val="134"/>
      </rPr>
      <t>钻头</t>
    </r>
    <r>
      <rPr>
        <sz val="14"/>
        <color rgb="FF000000"/>
        <rFont val="Tahoma"/>
        <charset val="134"/>
      </rPr>
      <t>5</t>
    </r>
  </si>
  <si>
    <t>大冰龙</t>
  </si>
  <si>
    <t>weapId</t>
  </si>
  <si>
    <t>percent1</t>
  </si>
  <si>
    <t>probability1</t>
  </si>
  <si>
    <t>随机值</t>
  </si>
  <si>
    <t>[2.5]</t>
  </si>
  <si>
    <t>[0.85]</t>
  </si>
  <si>
    <t>[0.25]</t>
  </si>
  <si>
    <t>[0.5]</t>
  </si>
  <si>
    <t>[0.75]</t>
  </si>
  <si>
    <t>[1]</t>
  </si>
  <si>
    <t>[1.5]</t>
  </si>
  <si>
    <t>[2]</t>
  </si>
  <si>
    <t>[3]</t>
  </si>
  <si>
    <t>[0.5,0.74]</t>
  </si>
  <si>
    <t>[0.75,0.99]</t>
  </si>
  <si>
    <t>[1,1.24]</t>
  </si>
  <si>
    <t>[1.25,1.49]</t>
  </si>
  <si>
    <t>[1.5,2]</t>
  </si>
  <si>
    <t>[0.4,0.7]</t>
  </si>
  <si>
    <t>[0.75,0.95]</t>
  </si>
  <si>
    <t>[0.85,1.5]</t>
  </si>
  <si>
    <t>[2,2.5]</t>
  </si>
  <si>
    <t>fishType</t>
  </si>
  <si>
    <t>countPct</t>
  </si>
  <si>
    <t>basePower</t>
  </si>
  <si>
    <t>minPower</t>
  </si>
  <si>
    <t>maxPower</t>
  </si>
  <si>
    <t>狂暴次数百分比</t>
  </si>
  <si>
    <t>基础威力</t>
  </si>
  <si>
    <t>威力区间</t>
  </si>
  <si>
    <t>威力倍率MIN</t>
  </si>
  <si>
    <t>威力倍率MAX</t>
  </si>
  <si>
    <t>[0,0,25,25,25,25]</t>
  </si>
  <si>
    <t>maxSpinTimes</t>
  </si>
  <si>
    <t>costValue</t>
  </si>
  <si>
    <t>ratio</t>
  </si>
  <si>
    <t>rewards</t>
  </si>
  <si>
    <t>reset</t>
  </si>
  <si>
    <t>bet</t>
  </si>
  <si>
    <t>fishpool</t>
  </si>
  <si>
    <t>data</t>
  </si>
  <si>
    <t>condition</t>
  </si>
  <si>
    <t>抽奖累计次数</t>
  </si>
  <si>
    <t>抽奖阶段</t>
  </si>
  <si>
    <t>耗能</t>
  </si>
  <si>
    <t>阶段</t>
  </si>
  <si>
    <t>可选取的翻倍倍数</t>
  </si>
  <si>
    <t>奖励</t>
  </si>
  <si>
    <t>转到重置</t>
  </si>
  <si>
    <t>倍数</t>
  </si>
  <si>
    <t>最低捕获鱼的条数</t>
  </si>
  <si>
    <t>{"name":1301,"count":100}</t>
  </si>
  <si>
    <t>{"name":1301,"count":10}</t>
  </si>
  <si>
    <t>{"name":1301,"count":30}</t>
  </si>
  <si>
    <t>{"name":1301,"count":6}</t>
  </si>
  <si>
    <t>{"name":1301,"count":15}</t>
  </si>
  <si>
    <t>{"name":0,"count":0}</t>
  </si>
  <si>
    <t>{"name":1301,"count":18}</t>
  </si>
  <si>
    <t>{"name":1301,"count":12}</t>
  </si>
  <si>
    <t>{"name":1301,"count":60}</t>
  </si>
  <si>
    <t>{"name":1301,"count":8}</t>
  </si>
  <si>
    <t>[{"ratio":0, "extra":0, "weight":100,"rate":"50%"},{"ratio":2, "extra":0, "weight":100,"rate":"50%"}]</t>
  </si>
  <si>
    <t>[2,3]</t>
  </si>
  <si>
    <t>{"name":1193,"count":20}</t>
  </si>
  <si>
    <t>{"name":1193,"count":2}</t>
  </si>
  <si>
    <t>{"name":1193,"count":10}</t>
  </si>
  <si>
    <t>{"name":1193,"count":1}</t>
  </si>
  <si>
    <t>{"name":1193,"count":3}</t>
  </si>
  <si>
    <t>{"name":1193,"count":5}</t>
  </si>
  <si>
    <t>{"name":1193,"count":15}</t>
  </si>
  <si>
    <t>[{"ratio":0, "extra":0, "weight":100,"rate":"33%"},{"ratio":0, "extra":0, "weight":100,"rate":"33%"},{"ratio":3, "extra":0, "weight":100,"rate":"34%"}]</t>
  </si>
  <si>
    <t>{"name":1193,"count":50}</t>
  </si>
  <si>
    <t>{"name":1193,"count":8}</t>
  </si>
  <si>
    <t>{"name":1193,"count":6}</t>
  </si>
  <si>
    <t>{"name":1193,"count":30}</t>
  </si>
  <si>
    <t>{"name":1193,"count":4}</t>
  </si>
  <si>
    <t>[{"ratio":0, "extra":0, "weight":100,"rate":"25%"},{"ratio":0, "extra":0, "weight":100,"rate":"25%"},{"ratio":0, "extra":0, "weight":100,"rate":"25%"},{"ratio":4, "extra":0, "weight":100,"rate":"25%"}]</t>
  </si>
  <si>
    <t>[2,3,4]</t>
  </si>
  <si>
    <t>{"name":1194,"count":50}</t>
  </si>
  <si>
    <t>{"name":1194,"count":4}</t>
  </si>
  <si>
    <t>{"name":1194,"count":10}</t>
  </si>
  <si>
    <t>{"name":1194,"count":2}</t>
  </si>
  <si>
    <t>{"name":1194,"count":6}</t>
  </si>
  <si>
    <t>{"name":1194,"count":8}</t>
  </si>
  <si>
    <t>{"name":1194,"count":5}</t>
  </si>
  <si>
    <t>{"name":1194,"count":20}</t>
  </si>
  <si>
    <t>{"name":1194,"count":3}</t>
  </si>
  <si>
    <t>bigroom</t>
  </si>
  <si>
    <t>skill_id1</t>
  </si>
  <si>
    <t>weight_1</t>
  </si>
  <si>
    <t>skill_id2</t>
  </si>
  <si>
    <t>weight_2</t>
  </si>
  <si>
    <t>渔场编号</t>
  </si>
  <si>
    <t>第一个技能</t>
  </si>
  <si>
    <t>第二个技能</t>
  </si>
  <si>
    <t>火舌加农炮</t>
  </si>
  <si>
    <t>汇能枪</t>
  </si>
  <si>
    <t>fishPool</t>
  </si>
  <si>
    <t>supplyInterval</t>
  </si>
  <si>
    <t>fishCategory</t>
  </si>
  <si>
    <t>groupType</t>
  </si>
  <si>
    <t>fishName</t>
  </si>
  <si>
    <t>fishId</t>
  </si>
  <si>
    <t>fishCount</t>
  </si>
  <si>
    <t>minCount</t>
  </si>
  <si>
    <t>maxCount</t>
  </si>
  <si>
    <t>所在渔场</t>
  </si>
  <si>
    <t>填充时间间隔</t>
  </si>
  <si>
    <t>分组规则</t>
  </si>
  <si>
    <t>鱼名称</t>
  </si>
  <si>
    <r>
      <rPr>
        <sz val="14"/>
        <color indexed="8"/>
        <rFont val="Tahoma"/>
        <charset val="134"/>
      </rPr>
      <t>鱼</t>
    </r>
    <r>
      <rPr>
        <sz val="14"/>
        <color rgb="FF000000"/>
        <rFont val="Tahoma"/>
        <charset val="134"/>
      </rPr>
      <t>ID</t>
    </r>
  </si>
  <si>
    <t>鱼数量</t>
  </si>
  <si>
    <t>最少条数</t>
  </si>
  <si>
    <t>最多条数</t>
  </si>
  <si>
    <t>神仙鱼</t>
  </si>
  <si>
    <t>times</t>
  </si>
  <si>
    <t>energy_pearl</t>
  </si>
  <si>
    <t>trident</t>
  </si>
  <si>
    <t>money_box</t>
  </si>
  <si>
    <t>判定次数</t>
  </si>
  <si>
    <t>能量宝珠概率</t>
  </si>
  <si>
    <t>三叉戟概率</t>
  </si>
  <si>
    <t>金钱箱概率</t>
  </si>
</sst>
</file>

<file path=xl/styles.xml><?xml version="1.0" encoding="utf-8"?>
<styleSheet xmlns="http://schemas.openxmlformats.org/spreadsheetml/2006/main">
  <numFmts count="5">
    <numFmt numFmtId="176" formatCode="0.00_);[Red]\(0.00\)"/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3" formatCode="_ * #,##0.00_ ;_ * \-#,##0.00_ ;_ * &quot;-&quot;??_ ;_ @_ "/>
    <numFmt numFmtId="41" formatCode="_ * #,##0_ ;_ * \-#,##0_ ;_ * &quot;-&quot;_ ;_ @_ "/>
  </numFmts>
  <fonts count="46">
    <font>
      <sz val="12"/>
      <color indexed="8"/>
      <name val="Verdana"/>
      <charset val="134"/>
    </font>
    <font>
      <sz val="14"/>
      <color indexed="8"/>
      <name val="Tahoma"/>
      <charset val="134"/>
    </font>
    <font>
      <sz val="11"/>
      <color theme="1"/>
      <name val="Helvetica"/>
      <charset val="134"/>
      <scheme val="minor"/>
    </font>
    <font>
      <sz val="14"/>
      <color indexed="8"/>
      <name val="Tahoma"/>
      <charset val="134"/>
    </font>
    <font>
      <sz val="14"/>
      <color rgb="FF000000"/>
      <name val="华文宋体"/>
      <charset val="134"/>
    </font>
    <font>
      <sz val="11"/>
      <color theme="1"/>
      <name val="Helvetica"/>
      <charset val="134"/>
      <scheme val="minor"/>
    </font>
    <font>
      <sz val="12"/>
      <color theme="1"/>
      <name val="Helvetica"/>
      <charset val="134"/>
      <scheme val="minor"/>
    </font>
    <font>
      <sz val="12"/>
      <color indexed="8"/>
      <name val="Helvetica"/>
      <charset val="134"/>
    </font>
    <font>
      <sz val="12"/>
      <color rgb="FF000000"/>
      <name val="华文宋体"/>
      <charset val="134"/>
    </font>
    <font>
      <sz val="12"/>
      <color indexed="8"/>
      <name val="华文宋体"/>
      <charset val="134"/>
    </font>
    <font>
      <sz val="11"/>
      <color indexed="8"/>
      <name val="Helvetica"/>
      <charset val="134"/>
    </font>
    <font>
      <sz val="12"/>
      <color indexed="8"/>
      <name val="Verdana"/>
      <charset val="134"/>
    </font>
    <font>
      <sz val="14"/>
      <color indexed="8"/>
      <name val="Helvetica"/>
      <charset val="134"/>
    </font>
    <font>
      <sz val="14"/>
      <color indexed="8"/>
      <name val="宋体"/>
      <charset val="134"/>
    </font>
    <font>
      <sz val="14"/>
      <color rgb="FF000000"/>
      <name val="宋体-简"/>
      <charset val="134"/>
    </font>
    <font>
      <sz val="11"/>
      <color theme="1"/>
      <name val="等线"/>
      <charset val="134"/>
    </font>
    <font>
      <sz val="14"/>
      <color rgb="FF000000"/>
      <name val="Tahoma"/>
      <charset val="134"/>
    </font>
    <font>
      <sz val="14"/>
      <color rgb="FF000000"/>
      <name val="Helvetica"/>
      <charset val="134"/>
    </font>
    <font>
      <sz val="14"/>
      <color theme="1"/>
      <name val="Tahoma"/>
      <charset val="134"/>
    </font>
    <font>
      <sz val="12"/>
      <color rgb="FF000000"/>
      <name val="Verdana"/>
      <charset val="134"/>
    </font>
    <font>
      <sz val="14"/>
      <color rgb="FFFF0000"/>
      <name val="Tahoma"/>
      <charset val="134"/>
    </font>
    <font>
      <sz val="14"/>
      <color indexed="8"/>
      <name val="Verdana"/>
      <charset val="134"/>
    </font>
    <font>
      <sz val="14"/>
      <color indexed="8"/>
      <name val="Microsoft YaHei"/>
      <charset val="134"/>
    </font>
    <font>
      <sz val="14"/>
      <color rgb="FF000000"/>
      <name val="Microsoft YaHei UI"/>
      <charset val="134"/>
    </font>
    <font>
      <sz val="11"/>
      <color rgb="FFFA7D00"/>
      <name val="Helvetica"/>
      <charset val="0"/>
      <scheme val="minor"/>
    </font>
    <font>
      <sz val="11"/>
      <color theme="1"/>
      <name val="Helvetica"/>
      <charset val="0"/>
      <scheme val="minor"/>
    </font>
    <font>
      <sz val="12"/>
      <color theme="1"/>
      <name val="Helvetica"/>
      <charset val="134"/>
      <scheme val="minor"/>
    </font>
    <font>
      <b/>
      <sz val="11"/>
      <color theme="3"/>
      <name val="Helvetica"/>
      <charset val="134"/>
      <scheme val="minor"/>
    </font>
    <font>
      <b/>
      <sz val="13"/>
      <color theme="3"/>
      <name val="Helvetica"/>
      <charset val="134"/>
      <scheme val="minor"/>
    </font>
    <font>
      <sz val="11"/>
      <color rgb="FFFF0000"/>
      <name val="Helvetica"/>
      <charset val="0"/>
      <scheme val="minor"/>
    </font>
    <font>
      <b/>
      <sz val="18"/>
      <color theme="3"/>
      <name val="Helvetica"/>
      <charset val="134"/>
      <scheme val="minor"/>
    </font>
    <font>
      <sz val="11"/>
      <color theme="0"/>
      <name val="Helvetica"/>
      <charset val="0"/>
      <scheme val="minor"/>
    </font>
    <font>
      <u/>
      <sz val="11"/>
      <color rgb="FF800080"/>
      <name val="Helvetica"/>
      <charset val="0"/>
      <scheme val="minor"/>
    </font>
    <font>
      <b/>
      <sz val="15"/>
      <color theme="3"/>
      <name val="Helvetica"/>
      <charset val="134"/>
      <scheme val="minor"/>
    </font>
    <font>
      <sz val="11"/>
      <color rgb="FF9C6500"/>
      <name val="Helvetica"/>
      <charset val="0"/>
      <scheme val="minor"/>
    </font>
    <font>
      <b/>
      <sz val="11"/>
      <color rgb="FFFA7D00"/>
      <name val="Helvetica"/>
      <charset val="0"/>
      <scheme val="minor"/>
    </font>
    <font>
      <sz val="11"/>
      <color rgb="FF9C0006"/>
      <name val="Helvetica"/>
      <charset val="0"/>
      <scheme val="minor"/>
    </font>
    <font>
      <b/>
      <sz val="11"/>
      <color rgb="FFFFFFFF"/>
      <name val="Helvetica"/>
      <charset val="0"/>
      <scheme val="minor"/>
    </font>
    <font>
      <u/>
      <sz val="11"/>
      <color rgb="FF0000FF"/>
      <name val="Helvetica"/>
      <charset val="0"/>
      <scheme val="minor"/>
    </font>
    <font>
      <sz val="11"/>
      <color rgb="FF3F3F76"/>
      <name val="Helvetica"/>
      <charset val="0"/>
      <scheme val="minor"/>
    </font>
    <font>
      <i/>
      <sz val="11"/>
      <color rgb="FF7F7F7F"/>
      <name val="Helvetica"/>
      <charset val="0"/>
      <scheme val="minor"/>
    </font>
    <font>
      <b/>
      <sz val="11"/>
      <color rgb="FF3F3F3F"/>
      <name val="Helvetica"/>
      <charset val="0"/>
      <scheme val="minor"/>
    </font>
    <font>
      <b/>
      <sz val="11"/>
      <color theme="1"/>
      <name val="Helvetica"/>
      <charset val="0"/>
      <scheme val="minor"/>
    </font>
    <font>
      <sz val="11"/>
      <color rgb="FF006100"/>
      <name val="Helvetica"/>
      <charset val="0"/>
      <scheme val="minor"/>
    </font>
    <font>
      <b/>
      <sz val="12"/>
      <color rgb="FF000000"/>
      <name val="Verdana"/>
      <charset val="134"/>
    </font>
    <font>
      <sz val="14"/>
      <color rgb="FF000000"/>
      <name val="宋体"/>
      <charset val="134"/>
    </font>
  </fonts>
  <fills count="4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5" tint="0.799951170384838"/>
        <bgColor indexed="64"/>
      </patternFill>
    </fill>
    <fill>
      <patternFill patternType="solid">
        <fgColor theme="3" tint="0.799340800195319"/>
        <bgColor indexed="64"/>
      </patternFill>
    </fill>
    <fill>
      <patternFill patternType="solid">
        <fgColor theme="3" tint="0.599993896298105"/>
        <bgColor indexed="64"/>
      </patternFill>
    </fill>
    <fill>
      <patternFill patternType="solid">
        <fgColor theme="4" tint="0.799340800195319"/>
        <bgColor indexed="64"/>
      </patternFill>
    </fill>
    <fill>
      <patternFill patternType="solid">
        <fgColor theme="5" tint="0.799340800195319"/>
        <bgColor indexed="64"/>
      </patternFill>
    </fill>
    <fill>
      <patternFill patternType="solid">
        <fgColor rgb="FFFCF5D6"/>
        <bgColor rgb="FF000000"/>
      </patternFill>
    </fill>
    <fill>
      <patternFill patternType="solid">
        <fgColor rgb="FFFFD5D2"/>
        <bgColor rgb="FF000000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/>
        <bgColor indexed="64"/>
      </patternFill>
    </fill>
  </fills>
  <borders count="3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10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12"/>
      </right>
      <top style="thin">
        <color indexed="8"/>
      </top>
      <bottom style="thin">
        <color indexed="8"/>
      </bottom>
      <diagonal/>
    </border>
    <border>
      <left style="thin">
        <color indexed="12"/>
      </left>
      <right style="thin">
        <color indexed="8"/>
      </right>
      <top style="thin">
        <color indexed="10"/>
      </top>
      <bottom style="thin">
        <color indexed="10"/>
      </bottom>
      <diagonal/>
    </border>
    <border>
      <left style="thin">
        <color indexed="12"/>
      </left>
      <right style="thin">
        <color indexed="8"/>
      </right>
      <top style="thin">
        <color indexed="12"/>
      </top>
      <bottom style="thin">
        <color indexed="10"/>
      </bottom>
      <diagonal/>
    </border>
    <border>
      <left style="thin">
        <color indexed="8"/>
      </left>
      <right style="thin">
        <color indexed="10"/>
      </right>
      <top style="thin">
        <color indexed="8"/>
      </top>
      <bottom style="thin">
        <color indexed="10"/>
      </bottom>
      <diagonal/>
    </border>
    <border>
      <left style="thin">
        <color indexed="8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thin">
        <color indexed="8"/>
      </left>
      <right style="thin">
        <color indexed="8"/>
      </right>
      <top style="thin">
        <color indexed="12"/>
      </top>
      <bottom style="thin">
        <color indexed="10"/>
      </bottom>
      <diagonal/>
    </border>
    <border>
      <left style="thin">
        <color indexed="8"/>
      </left>
      <right style="thin">
        <color indexed="8"/>
      </right>
      <top style="thin">
        <color indexed="10"/>
      </top>
      <bottom style="thin">
        <color indexed="10"/>
      </bottom>
      <diagonal/>
    </border>
    <border>
      <left style="thin">
        <color indexed="10"/>
      </left>
      <right style="thin">
        <color indexed="8"/>
      </right>
      <top style="thin">
        <color indexed="10"/>
      </top>
      <bottom style="thin">
        <color indexed="10"/>
      </bottom>
      <diagonal/>
    </border>
    <border>
      <left style="thin">
        <color indexed="8"/>
      </left>
      <right style="thin">
        <color indexed="8"/>
      </right>
      <top style="thin">
        <color indexed="10"/>
      </top>
      <bottom style="thin">
        <color indexed="12"/>
      </bottom>
      <diagonal/>
    </border>
    <border>
      <left style="thin">
        <color indexed="10"/>
      </left>
      <right style="thin">
        <color indexed="10"/>
      </right>
      <top style="thin">
        <color indexed="8"/>
      </top>
      <bottom style="thin">
        <color indexed="10"/>
      </bottom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indexed="8"/>
      </left>
      <right style="thin">
        <color indexed="8"/>
      </right>
      <top style="thin">
        <color rgb="FF000000"/>
      </top>
      <bottom style="thin">
        <color rgb="FF000000"/>
      </bottom>
      <diagonal/>
    </border>
    <border>
      <left style="thin">
        <color indexed="8"/>
      </left>
      <right style="thin">
        <color indexed="8"/>
      </right>
      <top style="thin">
        <color rgb="FF000000"/>
      </top>
      <bottom style="thin">
        <color indexed="8"/>
      </bottom>
      <diagonal/>
    </border>
    <border>
      <left style="thin">
        <color indexed="8"/>
      </left>
      <right style="thin">
        <color rgb="FF000000"/>
      </right>
      <top style="thin">
        <color indexed="8"/>
      </top>
      <bottom style="thin">
        <color indexed="8"/>
      </bottom>
      <diagonal/>
    </border>
    <border>
      <left/>
      <right/>
      <top style="thin">
        <color rgb="FF000000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77">
    <xf numFmtId="0" fontId="0" fillId="0" borderId="0" applyNumberFormat="0" applyFill="0" applyBorder="0" applyProtection="0">
      <alignment vertical="top" wrapText="1"/>
    </xf>
    <xf numFmtId="0" fontId="5" fillId="0" borderId="0"/>
    <xf numFmtId="0" fontId="5" fillId="0" borderId="0"/>
    <xf numFmtId="0" fontId="5" fillId="0" borderId="0"/>
    <xf numFmtId="0" fontId="11" fillId="0" borderId="0" applyNumberFormat="0" applyFill="0" applyBorder="0" applyProtection="0">
      <alignment vertical="top" wrapText="1"/>
    </xf>
    <xf numFmtId="0" fontId="5" fillId="0" borderId="0"/>
    <xf numFmtId="0" fontId="5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6" fillId="0" borderId="0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>
      <alignment vertical="center"/>
    </xf>
    <xf numFmtId="0" fontId="31" fillId="36" borderId="0" applyNumberFormat="0" applyBorder="0" applyAlignment="0" applyProtection="0">
      <alignment vertical="center"/>
    </xf>
    <xf numFmtId="0" fontId="25" fillId="44" borderId="0" applyNumberFormat="0" applyBorder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39" fillId="34" borderId="32" applyNumberFormat="0" applyAlignment="0" applyProtection="0">
      <alignment vertical="center"/>
    </xf>
    <xf numFmtId="0" fontId="25" fillId="33" borderId="0" applyNumberFormat="0" applyBorder="0" applyAlignment="0" applyProtection="0">
      <alignment vertical="center"/>
    </xf>
    <xf numFmtId="0" fontId="25" fillId="40" borderId="0" applyNumberFormat="0" applyBorder="0" applyAlignment="0" applyProtection="0">
      <alignment vertical="center"/>
    </xf>
    <xf numFmtId="44" fontId="26" fillId="0" borderId="0" applyFont="0" applyFill="0" applyBorder="0" applyAlignment="0" applyProtection="0">
      <alignment vertical="center"/>
    </xf>
    <xf numFmtId="0" fontId="31" fillId="46" borderId="0" applyNumberFormat="0" applyBorder="0" applyAlignment="0" applyProtection="0">
      <alignment vertical="center"/>
    </xf>
    <xf numFmtId="9" fontId="26" fillId="0" borderId="0" applyFont="0" applyFill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5" fillId="0" borderId="0">
      <alignment vertical="center"/>
    </xf>
    <xf numFmtId="0" fontId="31" fillId="28" borderId="0" applyNumberFormat="0" applyBorder="0" applyAlignment="0" applyProtection="0">
      <alignment vertical="center"/>
    </xf>
    <xf numFmtId="0" fontId="31" fillId="26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1" fillId="25" borderId="0" applyNumberFormat="0" applyBorder="0" applyAlignment="0" applyProtection="0">
      <alignment vertical="center"/>
    </xf>
    <xf numFmtId="0" fontId="35" fillId="29" borderId="32" applyNumberFormat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5" fillId="0" borderId="0">
      <alignment vertical="center"/>
    </xf>
    <xf numFmtId="0" fontId="34" fillId="24" borderId="0" applyNumberFormat="0" applyBorder="0" applyAlignment="0" applyProtection="0">
      <alignment vertical="center"/>
    </xf>
    <xf numFmtId="0" fontId="25" fillId="39" borderId="0" applyNumberFormat="0" applyBorder="0" applyAlignment="0" applyProtection="0">
      <alignment vertical="center"/>
    </xf>
    <xf numFmtId="0" fontId="43" fillId="43" borderId="0" applyNumberFormat="0" applyBorder="0" applyAlignment="0" applyProtection="0">
      <alignment vertical="center"/>
    </xf>
    <xf numFmtId="0" fontId="25" fillId="23" borderId="0" applyNumberFormat="0" applyBorder="0" applyAlignment="0" applyProtection="0">
      <alignment vertical="center"/>
    </xf>
    <xf numFmtId="0" fontId="42" fillId="0" borderId="35" applyNumberFormat="0" applyFill="0" applyAlignment="0" applyProtection="0">
      <alignment vertical="center"/>
    </xf>
    <xf numFmtId="0" fontId="5" fillId="0" borderId="0">
      <alignment vertical="center"/>
    </xf>
    <xf numFmtId="0" fontId="36" fillId="30" borderId="0" applyNumberFormat="0" applyBorder="0" applyAlignment="0" applyProtection="0">
      <alignment vertical="center"/>
    </xf>
    <xf numFmtId="0" fontId="5" fillId="0" borderId="0"/>
    <xf numFmtId="0" fontId="37" fillId="31" borderId="33" applyNumberFormat="0" applyAlignment="0" applyProtection="0">
      <alignment vertical="center"/>
    </xf>
    <xf numFmtId="0" fontId="5" fillId="0" borderId="0">
      <alignment vertical="center"/>
    </xf>
    <xf numFmtId="0" fontId="41" fillId="29" borderId="34" applyNumberFormat="0" applyAlignment="0" applyProtection="0">
      <alignment vertical="center"/>
    </xf>
    <xf numFmtId="0" fontId="33" fillId="0" borderId="31" applyNumberFormat="0" applyFill="0" applyAlignment="0" applyProtection="0">
      <alignment vertical="center"/>
    </xf>
    <xf numFmtId="0" fontId="5" fillId="0" borderId="0">
      <alignment vertical="center"/>
    </xf>
    <xf numFmtId="0" fontId="40" fillId="0" borderId="0" applyNumberFormat="0" applyFill="0" applyBorder="0" applyAlignment="0" applyProtection="0">
      <alignment vertical="center"/>
    </xf>
    <xf numFmtId="0" fontId="25" fillId="42" borderId="0" applyNumberFormat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42" fontId="26" fillId="0" borderId="0" applyFont="0" applyFill="0" applyBorder="0" applyAlignment="0" applyProtection="0">
      <alignment vertical="center"/>
    </xf>
    <xf numFmtId="0" fontId="11" fillId="0" borderId="0" applyNumberFormat="0" applyFill="0" applyBorder="0" applyProtection="0">
      <alignment vertical="top" wrapText="1"/>
    </xf>
    <xf numFmtId="0" fontId="25" fillId="22" borderId="0" applyNumberFormat="0" applyBorder="0" applyAlignment="0" applyProtection="0">
      <alignment vertical="center"/>
    </xf>
    <xf numFmtId="43" fontId="26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32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25" fillId="19" borderId="0" applyNumberFormat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31" fillId="37" borderId="0" applyNumberFormat="0" applyBorder="0" applyAlignment="0" applyProtection="0">
      <alignment vertical="center"/>
    </xf>
    <xf numFmtId="0" fontId="26" fillId="18" borderId="30" applyNumberFormat="0" applyFont="0" applyAlignment="0" applyProtection="0">
      <alignment vertical="center"/>
    </xf>
    <xf numFmtId="0" fontId="25" fillId="20" borderId="0" applyNumberFormat="0" applyBorder="0" applyAlignment="0" applyProtection="0">
      <alignment vertical="center"/>
    </xf>
    <xf numFmtId="0" fontId="31" fillId="21" borderId="0" applyNumberFormat="0" applyBorder="0" applyAlignment="0" applyProtection="0">
      <alignment vertical="center"/>
    </xf>
    <xf numFmtId="0" fontId="25" fillId="32" borderId="0" applyNumberFormat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41" fontId="26" fillId="0" borderId="0" applyFont="0" applyFill="0" applyBorder="0" applyAlignment="0" applyProtection="0">
      <alignment vertical="center"/>
    </xf>
    <xf numFmtId="0" fontId="28" fillId="0" borderId="31" applyNumberFormat="0" applyFill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5" fillId="0" borderId="0">
      <alignment vertical="center"/>
    </xf>
    <xf numFmtId="0" fontId="27" fillId="0" borderId="29" applyNumberFormat="0" applyFill="0" applyAlignment="0" applyProtection="0">
      <alignment vertical="center"/>
    </xf>
    <xf numFmtId="0" fontId="31" fillId="27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5" fillId="0" borderId="0">
      <alignment vertical="center"/>
    </xf>
    <xf numFmtId="0" fontId="24" fillId="0" borderId="28" applyNumberFormat="0" applyFill="0" applyAlignment="0" applyProtection="0">
      <alignment vertical="center"/>
    </xf>
  </cellStyleXfs>
  <cellXfs count="133">
    <xf numFmtId="0" fontId="0" fillId="0" borderId="0" xfId="0" applyFont="1" applyAlignment="1">
      <alignment vertical="top" wrapText="1"/>
    </xf>
    <xf numFmtId="0" fontId="1" fillId="0" borderId="1" xfId="0" applyNumberFormat="1" applyFont="1" applyFill="1" applyBorder="1" applyAlignment="1" applyProtection="1">
      <alignment horizontal="center" vertical="center"/>
    </xf>
    <xf numFmtId="0" fontId="2" fillId="0" borderId="1" xfId="0" applyNumberFormat="1" applyFont="1" applyFill="1" applyBorder="1" applyAlignment="1" applyProtection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4" fillId="0" borderId="1" xfId="0" applyNumberFormat="1" applyFont="1" applyFill="1" applyBorder="1" applyAlignment="1" applyProtection="1">
      <alignment horizontal="center" vertical="center"/>
    </xf>
    <xf numFmtId="0" fontId="5" fillId="2" borderId="1" xfId="0" applyNumberFormat="1" applyFont="1" applyFill="1" applyBorder="1" applyAlignment="1" applyProtection="1">
      <alignment horizontal="center"/>
    </xf>
    <xf numFmtId="0" fontId="6" fillId="0" borderId="1" xfId="0" applyNumberFormat="1" applyFont="1" applyFill="1" applyBorder="1" applyAlignment="1" applyProtection="1">
      <alignment vertical="center"/>
    </xf>
    <xf numFmtId="49" fontId="7" fillId="3" borderId="2" xfId="0" applyNumberFormat="1" applyFont="1" applyFill="1" applyBorder="1" applyAlignment="1" applyProtection="1">
      <alignment horizontal="center" vertical="center"/>
    </xf>
    <xf numFmtId="49" fontId="0" fillId="3" borderId="3" xfId="0" applyNumberFormat="1" applyFont="1" applyFill="1" applyBorder="1" applyAlignment="1" applyProtection="1">
      <alignment horizontal="center" vertical="center" wrapText="1"/>
    </xf>
    <xf numFmtId="49" fontId="0" fillId="3" borderId="4" xfId="0" applyNumberFormat="1" applyFont="1" applyFill="1" applyBorder="1" applyAlignment="1" applyProtection="1">
      <alignment horizontal="center" vertical="center" wrapText="1"/>
    </xf>
    <xf numFmtId="0" fontId="8" fillId="0" borderId="0" xfId="0" applyNumberFormat="1" applyFont="1" applyFill="1" applyBorder="1" applyAlignment="1" applyProtection="1">
      <alignment horizontal="center" vertical="top" wrapText="1"/>
    </xf>
    <xf numFmtId="0" fontId="0" fillId="0" borderId="0" xfId="0" applyNumberFormat="1" applyFont="1" applyFill="1" applyBorder="1" applyAlignment="1" applyProtection="1">
      <alignment horizontal="center" vertical="center" wrapText="1"/>
    </xf>
    <xf numFmtId="0" fontId="0" fillId="0" borderId="0" xfId="0" applyNumberFormat="1" applyFont="1" applyFill="1" applyBorder="1" applyAlignment="1" applyProtection="1">
      <alignment horizontal="center" vertical="top" wrapText="1"/>
    </xf>
    <xf numFmtId="49" fontId="0" fillId="3" borderId="3" xfId="0" applyNumberFormat="1" applyFont="1" applyFill="1" applyBorder="1" applyAlignment="1">
      <alignment horizontal="center" vertical="center" wrapText="1"/>
    </xf>
    <xf numFmtId="0" fontId="0" fillId="0" borderId="5" xfId="0" applyFont="1" applyBorder="1" applyAlignment="1">
      <alignment vertical="top" wrapText="1"/>
    </xf>
    <xf numFmtId="49" fontId="7" fillId="3" borderId="2" xfId="0" applyNumberFormat="1" applyFont="1" applyFill="1" applyBorder="1" applyAlignment="1">
      <alignment horizontal="center" vertical="center"/>
    </xf>
    <xf numFmtId="49" fontId="0" fillId="3" borderId="4" xfId="0" applyNumberFormat="1" applyFont="1" applyFill="1" applyBorder="1" applyAlignment="1">
      <alignment horizontal="center" vertical="center" wrapText="1"/>
    </xf>
    <xf numFmtId="0" fontId="0" fillId="0" borderId="6" xfId="0" applyFont="1" applyBorder="1" applyAlignment="1">
      <alignment vertical="top" wrapText="1"/>
    </xf>
    <xf numFmtId="49" fontId="9" fillId="3" borderId="4" xfId="0" applyNumberFormat="1" applyFont="1" applyFill="1" applyBorder="1" applyAlignment="1">
      <alignment horizontal="center" vertical="center" wrapText="1"/>
    </xf>
    <xf numFmtId="0" fontId="0" fillId="3" borderId="4" xfId="0" applyNumberFormat="1" applyFont="1" applyFill="1" applyBorder="1" applyAlignment="1">
      <alignment horizontal="center" vertical="center" wrapText="1"/>
    </xf>
    <xf numFmtId="0" fontId="10" fillId="3" borderId="2" xfId="0" applyNumberFormat="1" applyFont="1" applyFill="1" applyBorder="1" applyAlignment="1">
      <alignment horizontal="center"/>
    </xf>
    <xf numFmtId="0" fontId="7" fillId="3" borderId="2" xfId="0" applyNumberFormat="1" applyFont="1" applyFill="1" applyBorder="1" applyAlignment="1">
      <alignment horizontal="center" vertical="center"/>
    </xf>
    <xf numFmtId="0" fontId="10" fillId="0" borderId="7" xfId="0" applyNumberFormat="1" applyFont="1" applyBorder="1" applyAlignment="1">
      <alignment horizontal="center" vertical="top" wrapText="1"/>
    </xf>
    <xf numFmtId="0" fontId="10" fillId="0" borderId="8" xfId="0" applyNumberFormat="1" applyFont="1" applyBorder="1" applyAlignment="1">
      <alignment horizontal="center" vertical="top" wrapText="1"/>
    </xf>
    <xf numFmtId="0" fontId="0" fillId="0" borderId="9" xfId="0" applyFont="1" applyBorder="1" applyAlignment="1">
      <alignment vertical="top" wrapText="1"/>
    </xf>
    <xf numFmtId="0" fontId="0" fillId="0" borderId="10" xfId="0" applyFont="1" applyBorder="1" applyAlignment="1">
      <alignment vertical="top" wrapText="1"/>
    </xf>
    <xf numFmtId="49" fontId="10" fillId="3" borderId="2" xfId="0" applyNumberFormat="1" applyFont="1" applyFill="1" applyBorder="1" applyAlignment="1">
      <alignment horizontal="center"/>
    </xf>
    <xf numFmtId="0" fontId="0" fillId="0" borderId="11" xfId="0" applyFont="1" applyBorder="1" applyAlignment="1">
      <alignment vertical="top" wrapText="1"/>
    </xf>
    <xf numFmtId="0" fontId="0" fillId="4" borderId="12" xfId="0" applyFont="1" applyFill="1" applyBorder="1" applyAlignment="1">
      <alignment vertical="top" wrapText="1"/>
    </xf>
    <xf numFmtId="0" fontId="0" fillId="0" borderId="8" xfId="0" applyFont="1" applyBorder="1" applyAlignment="1">
      <alignment vertical="top" wrapText="1"/>
    </xf>
    <xf numFmtId="0" fontId="0" fillId="0" borderId="13" xfId="0" applyFont="1" applyBorder="1" applyAlignment="1">
      <alignment vertical="top" wrapText="1"/>
    </xf>
    <xf numFmtId="0" fontId="0" fillId="0" borderId="14" xfId="0" applyFont="1" applyBorder="1" applyAlignment="1">
      <alignment vertical="top" wrapText="1"/>
    </xf>
    <xf numFmtId="0" fontId="0" fillId="0" borderId="0" xfId="0" applyFont="1" applyAlignment="1">
      <alignment horizontal="center" vertical="top" wrapText="1"/>
    </xf>
    <xf numFmtId="0" fontId="8" fillId="0" borderId="0" xfId="0" applyFont="1" applyAlignment="1">
      <alignment horizontal="center" vertical="top" wrapText="1"/>
    </xf>
    <xf numFmtId="0" fontId="0" fillId="0" borderId="1" xfId="0" applyFont="1" applyBorder="1" applyAlignment="1">
      <alignment horizontal="center" vertical="center" wrapText="1"/>
    </xf>
    <xf numFmtId="0" fontId="5" fillId="0" borderId="1" xfId="0" applyNumberFormat="1" applyFont="1" applyFill="1" applyBorder="1" applyAlignment="1" applyProtection="1">
      <alignment horizontal="center" vertical="center"/>
    </xf>
    <xf numFmtId="0" fontId="5" fillId="0" borderId="0" xfId="0" applyNumberFormat="1" applyFont="1" applyFill="1" applyAlignment="1" applyProtection="1">
      <alignment horizontal="center" vertical="center"/>
    </xf>
    <xf numFmtId="0" fontId="11" fillId="0" borderId="0" xfId="54">
      <alignment vertical="top" wrapText="1"/>
    </xf>
    <xf numFmtId="0" fontId="12" fillId="0" borderId="1" xfId="54" applyNumberFormat="1" applyFont="1" applyBorder="1" applyAlignment="1">
      <alignment horizontal="center" vertical="center" wrapText="1"/>
    </xf>
    <xf numFmtId="0" fontId="11" fillId="0" borderId="1" xfId="54" applyBorder="1" applyAlignment="1">
      <alignment horizontal="center" vertical="center" wrapText="1"/>
    </xf>
    <xf numFmtId="0" fontId="0" fillId="0" borderId="0" xfId="0" applyNumberFormat="1" applyFont="1" applyAlignment="1">
      <alignment vertical="top" wrapText="1"/>
    </xf>
    <xf numFmtId="0" fontId="3" fillId="0" borderId="2" xfId="0" applyNumberFormat="1" applyFont="1" applyBorder="1" applyAlignment="1">
      <alignment horizontal="center" vertical="center" wrapText="1"/>
    </xf>
    <xf numFmtId="0" fontId="5" fillId="0" borderId="1" xfId="0" applyNumberFormat="1" applyFont="1" applyFill="1" applyBorder="1" applyAlignment="1" applyProtection="1"/>
    <xf numFmtId="0" fontId="3" fillId="0" borderId="2" xfId="0" applyNumberFormat="1" applyFont="1" applyBorder="1" applyAlignment="1">
      <alignment horizontal="center" vertical="center"/>
    </xf>
    <xf numFmtId="0" fontId="13" fillId="0" borderId="2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/>
    </xf>
    <xf numFmtId="1" fontId="3" fillId="0" borderId="2" xfId="0" applyNumberFormat="1" applyFont="1" applyBorder="1" applyAlignment="1">
      <alignment horizontal="center" vertical="center" wrapText="1"/>
    </xf>
    <xf numFmtId="0" fontId="14" fillId="2" borderId="15" xfId="11" applyNumberFormat="1" applyFont="1" applyFill="1" applyBorder="1" applyAlignment="1">
      <alignment horizontal="center" vertical="center" wrapText="1"/>
    </xf>
    <xf numFmtId="0" fontId="3" fillId="0" borderId="2" xfId="11" applyNumberFormat="1" applyFont="1" applyBorder="1" applyAlignment="1">
      <alignment horizontal="center" vertical="center" wrapText="1"/>
    </xf>
    <xf numFmtId="0" fontId="3" fillId="2" borderId="2" xfId="11" applyNumberFormat="1" applyFont="1" applyFill="1" applyBorder="1" applyAlignment="1">
      <alignment horizontal="center" vertical="center" wrapText="1"/>
    </xf>
    <xf numFmtId="0" fontId="6" fillId="5" borderId="16" xfId="0" applyFont="1" applyFill="1" applyBorder="1" applyAlignment="1">
      <alignment horizontal="center" vertical="center"/>
    </xf>
    <xf numFmtId="0" fontId="15" fillId="5" borderId="16" xfId="0" applyFont="1" applyFill="1" applyBorder="1" applyAlignment="1">
      <alignment horizontal="center" vertical="center" wrapText="1"/>
    </xf>
    <xf numFmtId="0" fontId="6" fillId="6" borderId="16" xfId="0" applyFont="1" applyFill="1" applyBorder="1" applyAlignment="1">
      <alignment horizontal="center" vertical="center"/>
    </xf>
    <xf numFmtId="0" fontId="15" fillId="6" borderId="16" xfId="0" applyFont="1" applyFill="1" applyBorder="1" applyAlignment="1">
      <alignment horizontal="center" vertical="center" wrapText="1"/>
    </xf>
    <xf numFmtId="0" fontId="16" fillId="0" borderId="17" xfId="0" applyFont="1" applyBorder="1" applyAlignment="1">
      <alignment horizontal="center" vertical="center" wrapText="1"/>
    </xf>
    <xf numFmtId="0" fontId="16" fillId="0" borderId="18" xfId="0" applyFont="1" applyBorder="1" applyAlignment="1">
      <alignment horizontal="center" vertical="center" wrapText="1"/>
    </xf>
    <xf numFmtId="0" fontId="16" fillId="0" borderId="19" xfId="0" applyFont="1" applyBorder="1" applyAlignment="1">
      <alignment horizontal="center" vertical="center" wrapText="1"/>
    </xf>
    <xf numFmtId="0" fontId="16" fillId="0" borderId="20" xfId="0" applyFont="1" applyBorder="1" applyAlignment="1">
      <alignment horizontal="center" vertical="center" wrapText="1"/>
    </xf>
    <xf numFmtId="0" fontId="4" fillId="0" borderId="20" xfId="0" applyFont="1" applyBorder="1" applyAlignment="1">
      <alignment horizontal="center" vertical="center" wrapText="1"/>
    </xf>
    <xf numFmtId="0" fontId="4" fillId="0" borderId="17" xfId="0" applyFont="1" applyBorder="1" applyAlignment="1">
      <alignment horizontal="center" vertical="center" wrapText="1"/>
    </xf>
    <xf numFmtId="176" fontId="16" fillId="0" borderId="19" xfId="0" applyNumberFormat="1" applyFont="1" applyBorder="1" applyAlignment="1">
      <alignment horizontal="center" vertical="center" wrapText="1"/>
    </xf>
    <xf numFmtId="176" fontId="16" fillId="0" borderId="17" xfId="0" applyNumberFormat="1" applyFont="1" applyBorder="1" applyAlignment="1">
      <alignment horizontal="center" vertical="center" wrapText="1"/>
    </xf>
    <xf numFmtId="0" fontId="17" fillId="0" borderId="17" xfId="0" applyFont="1" applyBorder="1" applyAlignment="1">
      <alignment horizontal="center" vertical="center" wrapText="1"/>
    </xf>
    <xf numFmtId="0" fontId="16" fillId="0" borderId="17" xfId="0" applyFont="1" applyBorder="1" applyAlignment="1">
      <alignment horizontal="center" vertical="center"/>
    </xf>
    <xf numFmtId="0" fontId="16" fillId="7" borderId="19" xfId="0" applyFont="1" applyFill="1" applyBorder="1" applyAlignment="1">
      <alignment horizontal="center" vertical="center" wrapText="1"/>
    </xf>
    <xf numFmtId="0" fontId="16" fillId="8" borderId="19" xfId="0" applyFont="1" applyFill="1" applyBorder="1" applyAlignment="1">
      <alignment horizontal="center" vertical="center" wrapText="1"/>
    </xf>
    <xf numFmtId="0" fontId="18" fillId="9" borderId="19" xfId="0" applyFont="1" applyFill="1" applyBorder="1" applyAlignment="1">
      <alignment horizontal="center" vertical="center" wrapText="1"/>
    </xf>
    <xf numFmtId="0" fontId="16" fillId="10" borderId="19" xfId="0" applyFont="1" applyFill="1" applyBorder="1" applyAlignment="1">
      <alignment horizontal="center" vertical="center" wrapText="1"/>
    </xf>
    <xf numFmtId="0" fontId="16" fillId="11" borderId="19" xfId="0" applyFont="1" applyFill="1" applyBorder="1" applyAlignment="1">
      <alignment horizontal="center" vertical="center" wrapText="1"/>
    </xf>
    <xf numFmtId="0" fontId="16" fillId="12" borderId="17" xfId="0" applyFont="1" applyFill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19" fillId="0" borderId="1" xfId="0" applyFont="1" applyBorder="1" applyAlignment="1">
      <alignment horizontal="center" vertical="center" wrapText="1"/>
    </xf>
    <xf numFmtId="0" fontId="0" fillId="0" borderId="0" xfId="0" applyFont="1" applyAlignment="1">
      <alignment horizontal="center" vertical="center" wrapText="1"/>
    </xf>
    <xf numFmtId="0" fontId="0" fillId="0" borderId="0" xfId="0">
      <alignment vertical="top" wrapText="1"/>
    </xf>
    <xf numFmtId="0" fontId="3" fillId="0" borderId="2" xfId="54" applyNumberFormat="1" applyFont="1" applyBorder="1" applyAlignment="1">
      <alignment horizontal="center" vertical="center" wrapText="1"/>
    </xf>
    <xf numFmtId="0" fontId="14" fillId="0" borderId="2" xfId="54" applyNumberFormat="1" applyFont="1" applyBorder="1" applyAlignment="1">
      <alignment horizontal="center" vertical="center" wrapText="1"/>
    </xf>
    <xf numFmtId="0" fontId="3" fillId="0" borderId="1" xfId="54" applyNumberFormat="1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1" xfId="0" applyNumberFormat="1" applyFont="1" applyBorder="1" applyAlignment="1">
      <alignment horizontal="center" vertical="center" wrapText="1"/>
    </xf>
    <xf numFmtId="0" fontId="3" fillId="0" borderId="2" xfId="46" applyFont="1" applyBorder="1" applyAlignment="1">
      <alignment horizontal="center" vertical="center" wrapText="1"/>
    </xf>
    <xf numFmtId="0" fontId="3" fillId="0" borderId="2" xfId="11" applyFont="1" applyBorder="1" applyAlignment="1">
      <alignment horizontal="center" vertical="center" wrapText="1"/>
    </xf>
    <xf numFmtId="0" fontId="13" fillId="0" borderId="2" xfId="0" applyNumberFormat="1" applyFont="1" applyBorder="1" applyAlignment="1">
      <alignment horizontal="center" vertical="center"/>
    </xf>
    <xf numFmtId="0" fontId="16" fillId="0" borderId="2" xfId="0" applyNumberFormat="1" applyFont="1" applyBorder="1" applyAlignment="1">
      <alignment horizontal="center" vertical="center" wrapText="1"/>
    </xf>
    <xf numFmtId="0" fontId="11" fillId="0" borderId="0" xfId="54" applyNumberFormat="1">
      <alignment vertical="top" wrapText="1"/>
    </xf>
    <xf numFmtId="0" fontId="11" fillId="0" borderId="0" xfId="54" applyNumberFormat="1" applyAlignment="1">
      <alignment horizontal="center" vertical="top" wrapText="1"/>
    </xf>
    <xf numFmtId="0" fontId="3" fillId="0" borderId="2" xfId="42" applyFont="1" applyBorder="1" applyAlignment="1">
      <alignment horizontal="center" vertical="center" wrapText="1"/>
    </xf>
    <xf numFmtId="0" fontId="4" fillId="0" borderId="2" xfId="42" applyFont="1" applyBorder="1" applyAlignment="1">
      <alignment horizontal="center" vertical="center" wrapText="1"/>
    </xf>
    <xf numFmtId="0" fontId="6" fillId="0" borderId="21" xfId="54" applyNumberFormat="1" applyFont="1" applyFill="1" applyBorder="1" applyAlignment="1" applyProtection="1">
      <alignment horizontal="center" vertical="center"/>
    </xf>
    <xf numFmtId="0" fontId="6" fillId="0" borderId="22" xfId="54" applyNumberFormat="1" applyFont="1" applyFill="1" applyBorder="1" applyAlignment="1" applyProtection="1">
      <alignment horizontal="center" vertical="center"/>
    </xf>
    <xf numFmtId="0" fontId="13" fillId="0" borderId="2" xfId="42" applyFont="1" applyBorder="1" applyAlignment="1">
      <alignment horizontal="center" vertical="center" wrapText="1"/>
    </xf>
    <xf numFmtId="0" fontId="3" fillId="0" borderId="23" xfId="42" applyFont="1" applyBorder="1" applyAlignment="1">
      <alignment horizontal="center" vertical="center" wrapText="1"/>
    </xf>
    <xf numFmtId="0" fontId="3" fillId="0" borderId="24" xfId="42" applyFont="1" applyBorder="1" applyAlignment="1">
      <alignment horizontal="center" vertical="center" wrapText="1"/>
    </xf>
    <xf numFmtId="0" fontId="3" fillId="0" borderId="15" xfId="42" applyFont="1" applyBorder="1" applyAlignment="1">
      <alignment horizontal="center" vertical="center" wrapText="1"/>
    </xf>
    <xf numFmtId="0" fontId="3" fillId="0" borderId="1" xfId="42" applyFont="1" applyBorder="1" applyAlignment="1">
      <alignment horizontal="center" vertical="center" wrapText="1"/>
    </xf>
    <xf numFmtId="0" fontId="11" fillId="0" borderId="1" xfId="54" applyNumberFormat="1" applyBorder="1" applyAlignment="1">
      <alignment horizontal="center" vertical="top" wrapText="1"/>
    </xf>
    <xf numFmtId="0" fontId="13" fillId="0" borderId="15" xfId="42" applyFont="1" applyBorder="1" applyAlignment="1">
      <alignment horizontal="center" vertical="center" wrapText="1"/>
    </xf>
    <xf numFmtId="0" fontId="18" fillId="0" borderId="1" xfId="42" applyFont="1" applyBorder="1" applyAlignment="1">
      <alignment horizontal="center" vertical="center" wrapText="1"/>
    </xf>
    <xf numFmtId="0" fontId="11" fillId="0" borderId="1" xfId="54" applyNumberFormat="1" applyBorder="1">
      <alignment vertical="top" wrapText="1"/>
    </xf>
    <xf numFmtId="0" fontId="13" fillId="0" borderId="1" xfId="42" applyFont="1" applyBorder="1" applyAlignment="1">
      <alignment horizontal="center" vertical="center" wrapText="1"/>
    </xf>
    <xf numFmtId="0" fontId="3" fillId="0" borderId="25" xfId="42" applyFont="1" applyBorder="1" applyAlignment="1">
      <alignment horizontal="center" vertical="center" wrapText="1"/>
    </xf>
    <xf numFmtId="0" fontId="18" fillId="0" borderId="1" xfId="7" applyFont="1" applyBorder="1" applyAlignment="1">
      <alignment horizontal="center" vertical="center" wrapText="1"/>
    </xf>
    <xf numFmtId="0" fontId="6" fillId="0" borderId="26" xfId="54" applyNumberFormat="1" applyFont="1" applyFill="1" applyBorder="1" applyAlignment="1" applyProtection="1">
      <alignment horizontal="center" vertical="center"/>
    </xf>
    <xf numFmtId="0" fontId="3" fillId="2" borderId="2" xfId="42" applyFont="1" applyFill="1" applyBorder="1" applyAlignment="1">
      <alignment horizontal="center" vertical="center" wrapText="1"/>
    </xf>
    <xf numFmtId="0" fontId="20" fillId="0" borderId="15" xfId="42" applyFont="1" applyBorder="1" applyAlignment="1">
      <alignment horizontal="center" vertical="center" wrapText="1"/>
    </xf>
    <xf numFmtId="0" fontId="19" fillId="0" borderId="1" xfId="54" applyFont="1" applyBorder="1">
      <alignment vertical="top" wrapText="1"/>
    </xf>
    <xf numFmtId="0" fontId="19" fillId="0" borderId="0" xfId="54" applyFont="1">
      <alignment vertical="top" wrapText="1"/>
    </xf>
    <xf numFmtId="0" fontId="14" fillId="0" borderId="2" xfId="42" applyFont="1" applyBorder="1" applyAlignment="1">
      <alignment horizontal="center" vertical="center" wrapText="1"/>
    </xf>
    <xf numFmtId="0" fontId="14" fillId="0" borderId="1" xfId="42" applyFont="1" applyBorder="1" applyAlignment="1">
      <alignment horizontal="center" vertical="center" wrapText="1"/>
    </xf>
    <xf numFmtId="0" fontId="3" fillId="2" borderId="15" xfId="42" applyFont="1" applyFill="1" applyBorder="1" applyAlignment="1">
      <alignment horizontal="center" vertical="center" wrapText="1"/>
    </xf>
    <xf numFmtId="0" fontId="3" fillId="2" borderId="1" xfId="42" applyFont="1" applyFill="1" applyBorder="1" applyAlignment="1">
      <alignment horizontal="center" vertical="center" wrapText="1"/>
    </xf>
    <xf numFmtId="0" fontId="16" fillId="0" borderId="2" xfId="42" applyFont="1" applyBorder="1" applyAlignment="1">
      <alignment horizontal="center" vertical="center" wrapText="1"/>
    </xf>
    <xf numFmtId="0" fontId="3" fillId="0" borderId="2" xfId="54" applyNumberFormat="1" applyFont="1" applyBorder="1" applyAlignment="1">
      <alignment horizontal="center" vertical="center"/>
    </xf>
    <xf numFmtId="0" fontId="21" fillId="0" borderId="0" xfId="0" applyNumberFormat="1" applyFont="1" applyAlignment="1">
      <alignment vertical="top" wrapText="1"/>
    </xf>
    <xf numFmtId="0" fontId="21" fillId="0" borderId="0" xfId="0" applyFont="1" applyAlignment="1">
      <alignment vertical="top" wrapText="1"/>
    </xf>
    <xf numFmtId="0" fontId="22" fillId="0" borderId="27" xfId="0" applyNumberFormat="1" applyFont="1" applyBorder="1" applyAlignment="1">
      <alignment horizontal="center"/>
    </xf>
    <xf numFmtId="1" fontId="3" fillId="0" borderId="27" xfId="0" applyNumberFormat="1" applyFont="1" applyBorder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 wrapText="1"/>
    </xf>
    <xf numFmtId="0" fontId="4" fillId="0" borderId="1" xfId="0" applyNumberFormat="1" applyFont="1" applyFill="1" applyBorder="1" applyAlignment="1" applyProtection="1">
      <alignment horizontal="center" vertical="center" wrapText="1"/>
    </xf>
    <xf numFmtId="0" fontId="3" fillId="13" borderId="1" xfId="0" applyNumberFormat="1" applyFont="1" applyFill="1" applyBorder="1" applyAlignment="1" applyProtection="1">
      <alignment horizontal="center" vertical="center" wrapText="1"/>
    </xf>
    <xf numFmtId="0" fontId="4" fillId="13" borderId="1" xfId="0" applyNumberFormat="1" applyFont="1" applyFill="1" applyBorder="1" applyAlignment="1" applyProtection="1">
      <alignment horizontal="center" vertical="center" wrapText="1"/>
    </xf>
    <xf numFmtId="0" fontId="16" fillId="13" borderId="1" xfId="0" applyNumberFormat="1" applyFont="1" applyFill="1" applyBorder="1" applyAlignment="1" applyProtection="1">
      <alignment horizontal="center" vertical="center" wrapText="1"/>
    </xf>
    <xf numFmtId="0" fontId="23" fillId="13" borderId="1" xfId="0" applyNumberFormat="1" applyFont="1" applyFill="1" applyBorder="1" applyAlignment="1" applyProtection="1">
      <alignment horizontal="center" vertical="center" wrapText="1"/>
    </xf>
    <xf numFmtId="0" fontId="3" fillId="7" borderId="1" xfId="0" applyNumberFormat="1" applyFont="1" applyFill="1" applyBorder="1" applyAlignment="1" applyProtection="1">
      <alignment horizontal="center" vertical="center" wrapText="1"/>
    </xf>
    <xf numFmtId="0" fontId="16" fillId="7" borderId="1" xfId="0" applyNumberFormat="1" applyFont="1" applyFill="1" applyBorder="1" applyAlignment="1" applyProtection="1">
      <alignment horizontal="center" vertical="center" wrapText="1"/>
    </xf>
    <xf numFmtId="0" fontId="3" fillId="14" borderId="1" xfId="0" applyNumberFormat="1" applyFont="1" applyFill="1" applyBorder="1" applyAlignment="1" applyProtection="1">
      <alignment horizontal="center" vertical="center" wrapText="1"/>
    </xf>
    <xf numFmtId="0" fontId="16" fillId="14" borderId="1" xfId="0" applyNumberFormat="1" applyFont="1" applyFill="1" applyBorder="1" applyAlignment="1" applyProtection="1">
      <alignment horizontal="center" vertical="center" wrapText="1"/>
    </xf>
    <xf numFmtId="0" fontId="23" fillId="14" borderId="1" xfId="0" applyNumberFormat="1" applyFont="1" applyFill="1" applyBorder="1" applyAlignment="1" applyProtection="1">
      <alignment horizontal="center" vertical="center" wrapText="1"/>
    </xf>
    <xf numFmtId="0" fontId="3" fillId="15" borderId="1" xfId="0" applyNumberFormat="1" applyFont="1" applyFill="1" applyBorder="1" applyAlignment="1" applyProtection="1">
      <alignment horizontal="center" vertical="center" wrapText="1"/>
    </xf>
    <xf numFmtId="0" fontId="3" fillId="9" borderId="1" xfId="0" applyNumberFormat="1" applyFont="1" applyFill="1" applyBorder="1" applyAlignment="1" applyProtection="1">
      <alignment horizontal="center" vertical="center" wrapText="1"/>
    </xf>
    <xf numFmtId="0" fontId="23" fillId="15" borderId="1" xfId="0" applyNumberFormat="1" applyFont="1" applyFill="1" applyBorder="1" applyAlignment="1" applyProtection="1">
      <alignment horizontal="center" vertical="center" wrapText="1"/>
    </xf>
    <xf numFmtId="0" fontId="16" fillId="15" borderId="1" xfId="0" applyNumberFormat="1" applyFont="1" applyFill="1" applyBorder="1" applyAlignment="1" applyProtection="1">
      <alignment horizontal="center" vertical="center" wrapText="1"/>
    </xf>
    <xf numFmtId="0" fontId="16" fillId="9" borderId="1" xfId="0" applyNumberFormat="1" applyFont="1" applyFill="1" applyBorder="1" applyAlignment="1" applyProtection="1">
      <alignment horizontal="center" vertical="center" wrapText="1"/>
    </xf>
  </cellXfs>
  <cellStyles count="77">
    <cellStyle name="常规" xfId="0" builtinId="0"/>
    <cellStyle name="常规 9 2 3" xfId="1"/>
    <cellStyle name="常规 9 2 2" xfId="2"/>
    <cellStyle name="常规 9 2" xfId="3"/>
    <cellStyle name="常规 6" xfId="4"/>
    <cellStyle name="常规 5 2" xfId="5"/>
    <cellStyle name="常规 5" xfId="6"/>
    <cellStyle name="常规 4 3 2 4" xfId="7"/>
    <cellStyle name="常规 4 3 2 3" xfId="8"/>
    <cellStyle name="常规 4 3 2" xfId="9"/>
    <cellStyle name="常规 4 2" xfId="10"/>
    <cellStyle name="常规 4" xfId="11"/>
    <cellStyle name="常规 3 2" xfId="12"/>
    <cellStyle name="常规 13" xfId="13"/>
    <cellStyle name="常规 12" xfId="14"/>
    <cellStyle name="常规 11" xfId="15"/>
    <cellStyle name="常规 10 2 2 2 2 2" xfId="16"/>
    <cellStyle name="常规 10 2 2 2 2" xfId="17"/>
    <cellStyle name="常规 2 2 2 3" xfId="18"/>
    <cellStyle name="60% - 强调文字颜色 6" xfId="19" builtinId="52"/>
    <cellStyle name="20% - 强调文字颜色 4" xfId="20" builtinId="42"/>
    <cellStyle name="强调文字颜色 4" xfId="21" builtinId="41"/>
    <cellStyle name="输入" xfId="22" builtinId="20"/>
    <cellStyle name="40% - 强调文字颜色 3" xfId="23" builtinId="39"/>
    <cellStyle name="20% - 强调文字颜色 3" xfId="24" builtinId="38"/>
    <cellStyle name="货币" xfId="25" builtinId="4"/>
    <cellStyle name="强调文字颜色 3" xfId="26" builtinId="37"/>
    <cellStyle name="百分比" xfId="27" builtinId="5"/>
    <cellStyle name="60% - 强调文字颜色 2" xfId="28" builtinId="36"/>
    <cellStyle name="常规 2 2 2 2" xfId="29"/>
    <cellStyle name="60% - 强调文字颜色 5" xfId="30" builtinId="48"/>
    <cellStyle name="强调文字颜色 2" xfId="31" builtinId="33"/>
    <cellStyle name="60% - 强调文字颜色 1" xfId="32" builtinId="32"/>
    <cellStyle name="60% - 强调文字颜色 4" xfId="33" builtinId="44"/>
    <cellStyle name="计算" xfId="34" builtinId="22"/>
    <cellStyle name="强调文字颜色 1" xfId="35" builtinId="29"/>
    <cellStyle name="常规 4 3 2 2" xfId="36"/>
    <cellStyle name="适中" xfId="37" builtinId="28"/>
    <cellStyle name="20% - 强调文字颜色 5" xfId="38" builtinId="46"/>
    <cellStyle name="好" xfId="39" builtinId="26"/>
    <cellStyle name="20% - 强调文字颜色 1" xfId="40" builtinId="30"/>
    <cellStyle name="汇总" xfId="41" builtinId="25"/>
    <cellStyle name="常规 4 3 2 2 3" xfId="42"/>
    <cellStyle name="差" xfId="43" builtinId="27"/>
    <cellStyle name="常规 9 2 2 2" xfId="44"/>
    <cellStyle name="检查单元格" xfId="45" builtinId="23"/>
    <cellStyle name="常规 4 3" xfId="46"/>
    <cellStyle name="输出" xfId="47" builtinId="21"/>
    <cellStyle name="标题 1" xfId="48" builtinId="16"/>
    <cellStyle name="常规 2 2 2" xfId="49"/>
    <cellStyle name="解释性文本" xfId="50" builtinId="53"/>
    <cellStyle name="20% - 强调文字颜色 2" xfId="51" builtinId="34"/>
    <cellStyle name="标题 4" xfId="52" builtinId="19"/>
    <cellStyle name="货币[0]" xfId="53" builtinId="7"/>
    <cellStyle name="常规 2 2" xfId="54"/>
    <cellStyle name="40% - 强调文字颜色 4" xfId="55" builtinId="43"/>
    <cellStyle name="千位分隔" xfId="56" builtinId="3"/>
    <cellStyle name="常规 2 2 2 2 2" xfId="57"/>
    <cellStyle name="已访问的超链接" xfId="58" builtinId="9"/>
    <cellStyle name="标题" xfId="59" builtinId="15"/>
    <cellStyle name="40% - 强调文字颜色 2" xfId="60" builtinId="35"/>
    <cellStyle name="警告文本" xfId="61" builtinId="11"/>
    <cellStyle name="60% - 强调文字颜色 3" xfId="62" builtinId="40"/>
    <cellStyle name="注释" xfId="63" builtinId="10"/>
    <cellStyle name="20% - 强调文字颜色 6" xfId="64" builtinId="50"/>
    <cellStyle name="强调文字颜色 5" xfId="65" builtinId="45"/>
    <cellStyle name="40% - 强调文字颜色 6" xfId="66" builtinId="51"/>
    <cellStyle name="超链接" xfId="67" builtinId="8"/>
    <cellStyle name="千位分隔[0]" xfId="68" builtinId="6"/>
    <cellStyle name="标题 2" xfId="69" builtinId="17"/>
    <cellStyle name="40% - 强调文字颜色 5" xfId="70" builtinId="47"/>
    <cellStyle name="常规 4 3 2 2 2" xfId="71"/>
    <cellStyle name="标题 3" xfId="72" builtinId="18"/>
    <cellStyle name="强调文字颜色 6" xfId="73" builtinId="49"/>
    <cellStyle name="40% - 强调文字颜色 1" xfId="74" builtinId="31"/>
    <cellStyle name="常规 3" xfId="75"/>
    <cellStyle name="链接单元格" xfId="76" builtinId="24"/>
  </cellStyles>
  <dxfs count="4">
    <dxf>
      <fill>
        <patternFill patternType="solid">
          <bgColor theme="5" tint="0.396649067659536"/>
        </patternFill>
      </fill>
    </dxf>
    <dxf>
      <font>
        <color theme="0" tint="-0.249946592608417"/>
      </font>
      <fill>
        <patternFill patternType="none"/>
      </fill>
    </dxf>
    <dxf>
      <font>
        <color rgb="FF9C0006"/>
      </font>
      <fill>
        <patternFill patternType="solid">
          <bgColor rgb="FFE6E6E6"/>
        </patternFill>
      </fill>
    </dxf>
    <dxf>
      <border>
        <left/>
        <right/>
        <top/>
        <bottom/>
      </border>
    </dxf>
  </dxfs>
  <tableStyles count="0" defaultPivotStyle="PivotStyleMedium7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AAAAAA"/>
      <rgbColor rgb="00FF0000"/>
      <rgbColor rgb="00000000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4" Type="http://schemas.openxmlformats.org/officeDocument/2006/relationships/sharedStrings" Target="sharedStrings.xml"/><Relationship Id="rId23" Type="http://schemas.openxmlformats.org/officeDocument/2006/relationships/styles" Target="styles.xml"/><Relationship Id="rId22" Type="http://schemas.openxmlformats.org/officeDocument/2006/relationships/theme" Target="theme/theme1.xml"/><Relationship Id="rId21" Type="http://schemas.openxmlformats.org/officeDocument/2006/relationships/worksheet" Target="worksheets/sheet21.xml"/><Relationship Id="rId20" Type="http://schemas.openxmlformats.org/officeDocument/2006/relationships/worksheet" Target="worksheets/sheet20.xml"/><Relationship Id="rId2" Type="http://schemas.openxmlformats.org/officeDocument/2006/relationships/worksheet" Target="worksheets/sheet2.xml"/><Relationship Id="rId19" Type="http://schemas.openxmlformats.org/officeDocument/2006/relationships/worksheet" Target="worksheets/sheet19.xml"/><Relationship Id="rId18" Type="http://schemas.openxmlformats.org/officeDocument/2006/relationships/worksheet" Target="worksheets/sheet18.xml"/><Relationship Id="rId17" Type="http://schemas.openxmlformats.org/officeDocument/2006/relationships/worksheet" Target="worksheets/sheet17.xml"/><Relationship Id="rId16" Type="http://schemas.openxmlformats.org/officeDocument/2006/relationships/worksheet" Target="worksheets/sheet16.xml"/><Relationship Id="rId15" Type="http://schemas.openxmlformats.org/officeDocument/2006/relationships/worksheet" Target="worksheets/sheet15.xml"/><Relationship Id="rId14" Type="http://schemas.openxmlformats.org/officeDocument/2006/relationships/worksheet" Target="worksheets/sheet14.xml"/><Relationship Id="rId13" Type="http://schemas.openxmlformats.org/officeDocument/2006/relationships/worksheet" Target="worksheets/sheet13.xml"/><Relationship Id="rId12" Type="http://schemas.openxmlformats.org/officeDocument/2006/relationships/worksheet" Target="worksheets/sheet12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theme/theme1.xml><?xml version="1.0" encoding="utf-8"?>
<a:theme xmlns:a="http://schemas.openxmlformats.org/drawingml/2006/main" name="Blank">
  <a:themeElements>
    <a:clrScheme name="Blank">
      <a:dk1>
        <a:srgbClr val="000000"/>
      </a:dk1>
      <a:lt1>
        <a:srgbClr val="FFFFFF"/>
      </a:lt1>
      <a:dk2>
        <a:srgbClr val="404040"/>
      </a:dk2>
      <a:lt2>
        <a:srgbClr val="BFBFBF"/>
      </a:lt2>
      <a:accent1>
        <a:srgbClr val="499BC9"/>
      </a:accent1>
      <a:accent2>
        <a:srgbClr val="6EC038"/>
      </a:accent2>
      <a:accent3>
        <a:srgbClr val="F1D130"/>
      </a:accent3>
      <a:accent4>
        <a:srgbClr val="FFA93A"/>
      </a:accent4>
      <a:accent5>
        <a:srgbClr val="FF2D21"/>
      </a:accent5>
      <a:accent6>
        <a:srgbClr val="6C2085"/>
      </a:accent6>
      <a:hlink>
        <a:srgbClr val="0000FF"/>
      </a:hlink>
      <a:folHlink>
        <a:srgbClr val="FF00FF"/>
      </a:folHlink>
    </a:clrScheme>
    <a:fontScheme name="Blank">
      <a:majorFont>
        <a:latin typeface="Helvetica"/>
        <a:ea typeface="Helvetica"/>
        <a:cs typeface="Helvetica"/>
      </a:majorFont>
      <a:minorFont>
        <a:latin typeface="Helvetica"/>
        <a:ea typeface="Helvetica"/>
        <a:cs typeface="Helvetic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29999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29999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4999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  <a:ln w="9525" cap="flat" cmpd="sng" algn="ctr">
          <a:solidFill>
            <a:schemeClr val="phClr">
              <a:shade val="95000"/>
              <a:satMod val="104999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38100" dist="25400" dir="5400000" rotWithShape="0">
              <a:srgbClr val="000000">
                <a:alpha val="50000"/>
              </a:srgbClr>
            </a:outerShdw>
          </a:effectLst>
        </a:effectStyle>
        <a:effectStyle>
          <a:effectLst>
            <a:outerShdw blurRad="38100" dist="25400" dir="5400000" rotWithShape="0">
              <a:srgbClr val="000000">
                <a:alpha val="50000"/>
              </a:srgbClr>
            </a:outerShdw>
          </a:effectLst>
        </a:effectStyle>
        <a:effectStyle>
          <a:effectLst>
            <a:outerShdw blurRad="38100" dist="25400" dir="5400000" rotWithShape="0">
              <a:srgbClr val="000000">
                <a:alpha val="50000"/>
              </a:srgbClr>
            </a:outerShdw>
          </a:effectLst>
        </a:effectStyle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blipFill rotWithShape="1">
          <a:blip xmlns:r="http://schemas.openxmlformats.org/officeDocument/2006/relationships" r:embed="rId1"/>
          <a:srcRect/>
          <a:tile tx="0" ty="0" sx="100000" sy="100000" flip="none" algn="tl"/>
        </a:blipFill>
        <a:ln w="12700" cap="flat">
          <a:noFill/>
          <a:miter lim="400000"/>
        </a:ln>
        <a:effectLst>
          <a:outerShdw blurRad="38100" dist="25400" dir="5400000" rotWithShape="0">
            <a:srgbClr val="000000">
              <a:alpha val="50000"/>
            </a:srgbClr>
          </a:outerShdw>
        </a:effectLst>
      </a:spPr>
      <a:bodyPr rot="0" spcFirstLastPara="1" vertOverflow="overflow" horzOverflow="overflow" vert="horz" wrap="square" lIns="50800" tIns="50800" rIns="50800" bIns="50800" numCol="1" spcCol="38100" rtlCol="0" anchor="ctr">
        <a:spAutoFit/>
      </a:bodyPr>
      <a:lstStyle>
        <a:defPPr marL="0" marR="0" indent="0" algn="ctr" defTabSz="4572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200" b="0" i="0" u="none" strike="noStrike" cap="none" spc="0" normalizeH="0" baseline="0">
            <a:ln>
              <a:noFill/>
            </a:ln>
            <a:solidFill>
              <a:srgbClr val="FFFFFF"/>
            </a:solidFill>
            <a:effectLst>
              <a:outerShdw blurRad="25400" dist="23998" dir="2700000" rotWithShape="0">
                <a:srgbClr val="000000">
                  <a:alpha val="31034"/>
                </a:srgbClr>
              </a:outerShdw>
            </a:effectLst>
            <a:uFillTx/>
            <a:latin typeface="+mn-lt"/>
            <a:ea typeface="+mn-ea"/>
            <a:cs typeface="+mn-cs"/>
            <a:sym typeface="Helvetica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spDef>
    <a:lnDef>
      <a:spPr>
        <a:noFill/>
        <a:ln w="6350" cap="flat">
          <a:solidFill>
            <a:srgbClr val="000000"/>
          </a:solidFill>
          <a:prstDash val="solid"/>
          <a:miter lim="400000"/>
        </a:ln>
      </a:spPr>
      <a:bodyPr rot="0" spcFirstLastPara="1" vertOverflow="overflow" horzOverflow="overflow" vert="horz" wrap="square" lIns="91439" tIns="45719" rIns="91439" bIns="45719" numCol="1" spcCol="38100" rtlCol="0" anchor="t">
        <a:noAutofit/>
      </a:bodyPr>
      <a:lstStyle>
        <a:def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lnDef>
    <a:txDef>
      <a:spPr>
        <a:noFill/>
        <a:ln w="12700" cap="flat">
          <a:noFill/>
          <a:miter lim="400000"/>
        </a:ln>
      </a:spPr>
      <a:bodyPr rot="0" spcFirstLastPara="1" vertOverflow="overflow" horzOverflow="overflow" vert="horz" wrap="square" lIns="50800" tIns="50800" rIns="50800" bIns="50800" numCol="1" spcCol="38100" rtlCol="0" anchor="t">
        <a:spAutoFit/>
      </a:bodyPr>
      <a:lstStyle>
        <a:defPPr marL="0" marR="0" indent="0" algn="l" defTabSz="4572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txDef>
  </a:objectDefaults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comments" Target="../comments3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comments" Target="../comments4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comments" Target="../comments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S44"/>
  <sheetViews>
    <sheetView workbookViewId="0">
      <selection activeCell="G8" sqref="G8"/>
    </sheetView>
  </sheetViews>
  <sheetFormatPr defaultColWidth="8.90131578947368" defaultRowHeight="15.2"/>
  <cols>
    <col min="1" max="1" width="10.5" customWidth="1"/>
    <col min="4" max="4" width="18.5986842105263" customWidth="1"/>
    <col min="8" max="8" width="11.9013157894737" customWidth="1"/>
    <col min="9" max="9" width="14.5" customWidth="1"/>
    <col min="10" max="10" width="15.0986842105263" customWidth="1"/>
    <col min="11" max="11" width="9.90131578947368" customWidth="1"/>
    <col min="13" max="13" width="12.5986842105263" customWidth="1"/>
    <col min="14" max="14" width="8.5" customWidth="1"/>
    <col min="15" max="15" width="27.0986842105263" customWidth="1"/>
    <col min="16" max="16" width="42" customWidth="1"/>
    <col min="17" max="17" width="14" customWidth="1"/>
    <col min="19" max="19" width="31.0986842105263" customWidth="1"/>
  </cols>
  <sheetData>
    <row r="1" ht="18" spans="1:19">
      <c r="A1" s="34" t="s">
        <v>0</v>
      </c>
      <c r="C1" s="117" t="s">
        <v>1</v>
      </c>
      <c r="D1" s="117" t="s">
        <v>2</v>
      </c>
      <c r="E1" s="117" t="s">
        <v>3</v>
      </c>
      <c r="F1" s="117" t="s">
        <v>4</v>
      </c>
      <c r="G1" s="117" t="s">
        <v>5</v>
      </c>
      <c r="H1" s="117" t="s">
        <v>6</v>
      </c>
      <c r="I1" s="117" t="s">
        <v>7</v>
      </c>
      <c r="J1" s="117" t="s">
        <v>8</v>
      </c>
      <c r="K1" s="117" t="s">
        <v>9</v>
      </c>
      <c r="M1" s="117" t="s">
        <v>10</v>
      </c>
      <c r="N1" s="117" t="s">
        <v>1</v>
      </c>
      <c r="O1" s="117" t="s">
        <v>9</v>
      </c>
      <c r="P1" s="117" t="s">
        <v>11</v>
      </c>
      <c r="Q1" s="117" t="s">
        <v>12</v>
      </c>
      <c r="R1" s="117" t="s">
        <v>9</v>
      </c>
      <c r="S1" s="117" t="s">
        <v>13</v>
      </c>
    </row>
    <row r="2" ht="18" spans="1:19">
      <c r="A2" s="34" t="s">
        <v>14</v>
      </c>
      <c r="C2" s="117" t="s">
        <v>15</v>
      </c>
      <c r="D2" s="117" t="s">
        <v>14</v>
      </c>
      <c r="E2" s="117" t="s">
        <v>15</v>
      </c>
      <c r="F2" s="117" t="s">
        <v>14</v>
      </c>
      <c r="G2" s="117" t="s">
        <v>14</v>
      </c>
      <c r="H2" s="117" t="s">
        <v>15</v>
      </c>
      <c r="I2" s="117" t="s">
        <v>15</v>
      </c>
      <c r="J2" s="117" t="s">
        <v>14</v>
      </c>
      <c r="K2" s="117" t="s">
        <v>14</v>
      </c>
      <c r="M2" s="117" t="s">
        <v>15</v>
      </c>
      <c r="N2" s="117" t="s">
        <v>15</v>
      </c>
      <c r="O2" s="117" t="s">
        <v>14</v>
      </c>
      <c r="P2" s="117" t="s">
        <v>14</v>
      </c>
      <c r="Q2" s="117" t="s">
        <v>15</v>
      </c>
      <c r="R2" s="117" t="s">
        <v>14</v>
      </c>
      <c r="S2" s="117" t="s">
        <v>14</v>
      </c>
    </row>
    <row r="3" ht="18" spans="1:19">
      <c r="A3" s="70" t="s">
        <v>16</v>
      </c>
      <c r="C3" s="117" t="s">
        <v>17</v>
      </c>
      <c r="D3" s="117" t="s">
        <v>18</v>
      </c>
      <c r="E3" s="117" t="s">
        <v>19</v>
      </c>
      <c r="F3" s="117" t="s">
        <v>20</v>
      </c>
      <c r="G3" s="117" t="s">
        <v>21</v>
      </c>
      <c r="H3" s="117" t="s">
        <v>22</v>
      </c>
      <c r="I3" s="117" t="s">
        <v>23</v>
      </c>
      <c r="J3" s="117" t="s">
        <v>24</v>
      </c>
      <c r="K3" s="117" t="s">
        <v>25</v>
      </c>
      <c r="M3" s="118" t="s">
        <v>26</v>
      </c>
      <c r="N3" s="118" t="s">
        <v>27</v>
      </c>
      <c r="O3" s="117" t="s">
        <v>28</v>
      </c>
      <c r="P3" s="117" t="s">
        <v>29</v>
      </c>
      <c r="Q3" s="117" t="s">
        <v>30</v>
      </c>
      <c r="R3" s="117" t="s">
        <v>31</v>
      </c>
      <c r="S3" s="117" t="s">
        <v>32</v>
      </c>
    </row>
    <row r="4" ht="88" spans="1:19">
      <c r="A4" s="34" t="s">
        <v>33</v>
      </c>
      <c r="C4" s="117">
        <v>1</v>
      </c>
      <c r="D4" s="117" t="s">
        <v>34</v>
      </c>
      <c r="E4" s="117">
        <v>1</v>
      </c>
      <c r="F4" s="117" t="s">
        <v>35</v>
      </c>
      <c r="G4" s="117" t="s">
        <v>36</v>
      </c>
      <c r="H4" s="117">
        <v>30</v>
      </c>
      <c r="I4" s="117">
        <v>300</v>
      </c>
      <c r="J4" s="117" t="s">
        <v>37</v>
      </c>
      <c r="K4" s="118" t="s">
        <v>38</v>
      </c>
      <c r="M4" s="119">
        <v>10</v>
      </c>
      <c r="N4" s="119">
        <v>1</v>
      </c>
      <c r="O4" s="119" t="s">
        <v>39</v>
      </c>
      <c r="P4" s="119" t="s">
        <v>40</v>
      </c>
      <c r="Q4" s="119">
        <v>0</v>
      </c>
      <c r="R4" s="120" t="s">
        <v>41</v>
      </c>
      <c r="S4" s="119" t="s">
        <v>42</v>
      </c>
    </row>
    <row r="5" ht="88" spans="3:19">
      <c r="C5" s="117">
        <v>2</v>
      </c>
      <c r="D5" s="117" t="s">
        <v>43</v>
      </c>
      <c r="E5" s="117">
        <v>2</v>
      </c>
      <c r="F5" s="117" t="s">
        <v>44</v>
      </c>
      <c r="G5" s="117" t="s">
        <v>36</v>
      </c>
      <c r="H5" s="117">
        <v>198</v>
      </c>
      <c r="I5" s="117">
        <v>1980</v>
      </c>
      <c r="J5" s="117" t="s">
        <v>45</v>
      </c>
      <c r="K5" s="118" t="s">
        <v>46</v>
      </c>
      <c r="M5" s="119">
        <v>11</v>
      </c>
      <c r="N5" s="119">
        <v>1</v>
      </c>
      <c r="O5" s="120" t="s">
        <v>47</v>
      </c>
      <c r="P5" s="119" t="s">
        <v>48</v>
      </c>
      <c r="Q5" s="119">
        <v>0</v>
      </c>
      <c r="R5" s="120" t="s">
        <v>49</v>
      </c>
      <c r="S5" s="119" t="s">
        <v>50</v>
      </c>
    </row>
    <row r="6" ht="88" spans="3:19">
      <c r="C6" s="117">
        <v>3</v>
      </c>
      <c r="D6" s="117" t="s">
        <v>51</v>
      </c>
      <c r="E6" s="117">
        <v>3</v>
      </c>
      <c r="F6" s="117" t="s">
        <v>52</v>
      </c>
      <c r="G6" s="117" t="s">
        <v>36</v>
      </c>
      <c r="H6" s="117">
        <v>328</v>
      </c>
      <c r="I6" s="117">
        <v>3280</v>
      </c>
      <c r="J6" s="117" t="s">
        <v>53</v>
      </c>
      <c r="K6" s="118" t="s">
        <v>54</v>
      </c>
      <c r="M6" s="119">
        <v>12</v>
      </c>
      <c r="N6" s="119">
        <v>1</v>
      </c>
      <c r="O6" s="120" t="s">
        <v>47</v>
      </c>
      <c r="P6" s="119" t="s">
        <v>55</v>
      </c>
      <c r="Q6" s="119">
        <v>0</v>
      </c>
      <c r="R6" s="119" t="s">
        <v>47</v>
      </c>
      <c r="S6" s="119" t="s">
        <v>56</v>
      </c>
    </row>
    <row r="7" ht="88" spans="3:19">
      <c r="C7" s="117">
        <v>4</v>
      </c>
      <c r="D7" s="117" t="s">
        <v>57</v>
      </c>
      <c r="E7" s="117">
        <v>4</v>
      </c>
      <c r="F7" s="117" t="s">
        <v>58</v>
      </c>
      <c r="G7" s="117" t="s">
        <v>36</v>
      </c>
      <c r="H7" s="117">
        <v>648</v>
      </c>
      <c r="I7" s="117">
        <v>6480</v>
      </c>
      <c r="J7" s="117" t="s">
        <v>59</v>
      </c>
      <c r="K7" s="118" t="s">
        <v>60</v>
      </c>
      <c r="M7" s="119">
        <v>13</v>
      </c>
      <c r="N7" s="119">
        <v>1</v>
      </c>
      <c r="O7" s="119" t="s">
        <v>47</v>
      </c>
      <c r="P7" s="119" t="s">
        <v>61</v>
      </c>
      <c r="Q7" s="119">
        <v>0</v>
      </c>
      <c r="R7" s="119" t="s">
        <v>47</v>
      </c>
      <c r="S7" s="119" t="s">
        <v>62</v>
      </c>
    </row>
    <row r="8" ht="88" spans="3:19">
      <c r="C8" s="117">
        <v>5</v>
      </c>
      <c r="D8" s="117" t="s">
        <v>63</v>
      </c>
      <c r="E8" s="117">
        <v>4</v>
      </c>
      <c r="F8" s="117" t="s">
        <v>58</v>
      </c>
      <c r="G8" s="117" t="s">
        <v>36</v>
      </c>
      <c r="H8" s="117">
        <v>328</v>
      </c>
      <c r="I8" s="117">
        <v>3280</v>
      </c>
      <c r="J8" s="117" t="s">
        <v>53</v>
      </c>
      <c r="K8" s="118" t="s">
        <v>64</v>
      </c>
      <c r="M8" s="119">
        <v>14</v>
      </c>
      <c r="N8" s="119">
        <v>1</v>
      </c>
      <c r="O8" s="119" t="s">
        <v>65</v>
      </c>
      <c r="P8" s="119" t="s">
        <v>66</v>
      </c>
      <c r="Q8" s="119">
        <v>0</v>
      </c>
      <c r="R8" s="119" t="s">
        <v>47</v>
      </c>
      <c r="S8" s="119" t="s">
        <v>67</v>
      </c>
    </row>
    <row r="9" ht="88" spans="3:19">
      <c r="C9" s="117">
        <v>6</v>
      </c>
      <c r="D9" s="117" t="s">
        <v>68</v>
      </c>
      <c r="E9" s="117">
        <v>5</v>
      </c>
      <c r="F9" s="117" t="s">
        <v>69</v>
      </c>
      <c r="G9" s="117" t="s">
        <v>36</v>
      </c>
      <c r="H9" s="117">
        <v>648</v>
      </c>
      <c r="I9" s="117">
        <v>6480</v>
      </c>
      <c r="J9" s="117" t="s">
        <v>59</v>
      </c>
      <c r="K9" s="118" t="s">
        <v>70</v>
      </c>
      <c r="M9" s="119">
        <v>15</v>
      </c>
      <c r="N9" s="119">
        <v>1</v>
      </c>
      <c r="O9" s="119" t="s">
        <v>47</v>
      </c>
      <c r="P9" s="119" t="s">
        <v>71</v>
      </c>
      <c r="Q9" s="119">
        <v>0</v>
      </c>
      <c r="R9" s="119" t="s">
        <v>47</v>
      </c>
      <c r="S9" s="119" t="s">
        <v>72</v>
      </c>
    </row>
    <row r="10" ht="88" spans="3:19">
      <c r="C10" s="117">
        <v>7</v>
      </c>
      <c r="D10" s="117" t="s">
        <v>73</v>
      </c>
      <c r="E10" s="117">
        <v>5</v>
      </c>
      <c r="F10" s="117" t="s">
        <v>69</v>
      </c>
      <c r="G10" s="117" t="s">
        <v>36</v>
      </c>
      <c r="H10" s="117">
        <v>328</v>
      </c>
      <c r="I10" s="117">
        <v>3280</v>
      </c>
      <c r="J10" s="117" t="s">
        <v>53</v>
      </c>
      <c r="K10" s="118" t="s">
        <v>74</v>
      </c>
      <c r="M10" s="119">
        <v>16</v>
      </c>
      <c r="N10" s="119">
        <v>1</v>
      </c>
      <c r="O10" s="119" t="s">
        <v>75</v>
      </c>
      <c r="P10" s="121" t="s">
        <v>76</v>
      </c>
      <c r="Q10" s="119">
        <v>15000</v>
      </c>
      <c r="R10" s="119" t="s">
        <v>47</v>
      </c>
      <c r="S10" s="119" t="s">
        <v>77</v>
      </c>
    </row>
    <row r="11" ht="18" spans="13:19">
      <c r="M11" s="119">
        <v>17</v>
      </c>
      <c r="N11" s="119">
        <v>1</v>
      </c>
      <c r="O11" s="119" t="s">
        <v>47</v>
      </c>
      <c r="P11" s="119" t="s">
        <v>78</v>
      </c>
      <c r="Q11" s="119">
        <v>0</v>
      </c>
      <c r="R11" s="119" t="s">
        <v>47</v>
      </c>
      <c r="S11" s="119" t="s">
        <v>79</v>
      </c>
    </row>
    <row r="12" ht="18" spans="13:19">
      <c r="M12" s="119">
        <v>18</v>
      </c>
      <c r="N12" s="119">
        <v>1</v>
      </c>
      <c r="O12" s="119" t="s">
        <v>80</v>
      </c>
      <c r="P12" s="119" t="s">
        <v>81</v>
      </c>
      <c r="Q12" s="119">
        <v>15000</v>
      </c>
      <c r="R12" s="119" t="s">
        <v>47</v>
      </c>
      <c r="S12" s="119" t="s">
        <v>82</v>
      </c>
    </row>
    <row r="13" ht="18" spans="13:19">
      <c r="M13" s="119">
        <v>19</v>
      </c>
      <c r="N13" s="119">
        <v>1</v>
      </c>
      <c r="O13" s="119" t="s">
        <v>47</v>
      </c>
      <c r="P13" s="119" t="s">
        <v>83</v>
      </c>
      <c r="Q13" s="119">
        <v>0</v>
      </c>
      <c r="R13" s="119" t="s">
        <v>47</v>
      </c>
      <c r="S13" s="119" t="s">
        <v>84</v>
      </c>
    </row>
    <row r="14" ht="18" spans="13:19">
      <c r="M14" s="119">
        <v>20</v>
      </c>
      <c r="N14" s="119">
        <v>1</v>
      </c>
      <c r="O14" s="119" t="s">
        <v>85</v>
      </c>
      <c r="P14" s="121" t="s">
        <v>86</v>
      </c>
      <c r="Q14" s="119">
        <v>15000</v>
      </c>
      <c r="R14" s="119" t="s">
        <v>47</v>
      </c>
      <c r="S14" s="119" t="s">
        <v>87</v>
      </c>
    </row>
    <row r="15" ht="18" spans="13:19">
      <c r="M15" s="123">
        <v>21</v>
      </c>
      <c r="N15" s="123">
        <v>2</v>
      </c>
      <c r="O15" s="123" t="s">
        <v>47</v>
      </c>
      <c r="P15" s="123" t="s">
        <v>88</v>
      </c>
      <c r="Q15" s="123">
        <v>0</v>
      </c>
      <c r="R15" s="123" t="s">
        <v>47</v>
      </c>
      <c r="S15" s="123" t="s">
        <v>89</v>
      </c>
    </row>
    <row r="16" ht="18" spans="13:19">
      <c r="M16" s="123">
        <v>22</v>
      </c>
      <c r="N16" s="123">
        <v>2</v>
      </c>
      <c r="O16" s="123" t="s">
        <v>90</v>
      </c>
      <c r="P16" s="123" t="s">
        <v>91</v>
      </c>
      <c r="Q16" s="123">
        <v>20000</v>
      </c>
      <c r="R16" s="123" t="s">
        <v>47</v>
      </c>
      <c r="S16" s="123" t="s">
        <v>92</v>
      </c>
    </row>
    <row r="17" ht="18" spans="13:19">
      <c r="M17" s="123">
        <v>23</v>
      </c>
      <c r="N17" s="123">
        <v>2</v>
      </c>
      <c r="O17" s="123" t="s">
        <v>47</v>
      </c>
      <c r="P17" s="123" t="s">
        <v>93</v>
      </c>
      <c r="Q17" s="123">
        <v>0</v>
      </c>
      <c r="R17" s="123" t="s">
        <v>47</v>
      </c>
      <c r="S17" s="123" t="s">
        <v>94</v>
      </c>
    </row>
    <row r="18" ht="18" spans="13:19">
      <c r="M18" s="123">
        <v>24</v>
      </c>
      <c r="N18" s="123">
        <v>2</v>
      </c>
      <c r="O18" s="123" t="s">
        <v>95</v>
      </c>
      <c r="P18" s="124" t="s">
        <v>96</v>
      </c>
      <c r="Q18" s="123">
        <v>20000</v>
      </c>
      <c r="R18" s="123" t="s">
        <v>47</v>
      </c>
      <c r="S18" s="123" t="s">
        <v>97</v>
      </c>
    </row>
    <row r="19" ht="18" spans="13:19">
      <c r="M19" s="123">
        <v>25</v>
      </c>
      <c r="N19" s="123">
        <v>2</v>
      </c>
      <c r="O19" s="123" t="s">
        <v>47</v>
      </c>
      <c r="P19" s="123" t="s">
        <v>98</v>
      </c>
      <c r="Q19" s="123">
        <v>0</v>
      </c>
      <c r="R19" s="123" t="s">
        <v>47</v>
      </c>
      <c r="S19" s="123" t="s">
        <v>99</v>
      </c>
    </row>
    <row r="20" ht="18" spans="13:19">
      <c r="M20" s="125">
        <v>26</v>
      </c>
      <c r="N20" s="125">
        <v>3</v>
      </c>
      <c r="O20" s="125" t="s">
        <v>75</v>
      </c>
      <c r="P20" s="126" t="s">
        <v>100</v>
      </c>
      <c r="Q20" s="125">
        <v>30000</v>
      </c>
      <c r="R20" s="125" t="s">
        <v>47</v>
      </c>
      <c r="S20" s="125" t="s">
        <v>97</v>
      </c>
    </row>
    <row r="21" ht="18" spans="13:19">
      <c r="M21" s="125">
        <v>27</v>
      </c>
      <c r="N21" s="125">
        <v>3</v>
      </c>
      <c r="O21" s="125" t="s">
        <v>47</v>
      </c>
      <c r="P21" s="125" t="s">
        <v>101</v>
      </c>
      <c r="Q21" s="125">
        <v>0</v>
      </c>
      <c r="R21" s="125" t="s">
        <v>47</v>
      </c>
      <c r="S21" s="125" t="s">
        <v>102</v>
      </c>
    </row>
    <row r="22" ht="18" spans="13:19">
      <c r="M22" s="125">
        <v>28</v>
      </c>
      <c r="N22" s="125">
        <v>3</v>
      </c>
      <c r="O22" s="125" t="s">
        <v>103</v>
      </c>
      <c r="P22" s="125" t="s">
        <v>104</v>
      </c>
      <c r="Q22" s="125">
        <v>30000</v>
      </c>
      <c r="R22" s="125" t="s">
        <v>47</v>
      </c>
      <c r="S22" s="125" t="s">
        <v>105</v>
      </c>
    </row>
    <row r="23" ht="18" spans="13:19">
      <c r="M23" s="125">
        <v>29</v>
      </c>
      <c r="N23" s="125">
        <v>3</v>
      </c>
      <c r="O23" s="125" t="s">
        <v>47</v>
      </c>
      <c r="P23" s="125" t="s">
        <v>42</v>
      </c>
      <c r="Q23" s="125">
        <v>0</v>
      </c>
      <c r="R23" s="125" t="s">
        <v>47</v>
      </c>
      <c r="S23" s="125" t="s">
        <v>106</v>
      </c>
    </row>
    <row r="24" ht="18" spans="13:19">
      <c r="M24" s="125">
        <v>30</v>
      </c>
      <c r="N24" s="125">
        <v>3</v>
      </c>
      <c r="O24" s="125" t="s">
        <v>107</v>
      </c>
      <c r="P24" s="126" t="s">
        <v>108</v>
      </c>
      <c r="Q24" s="125">
        <v>30000</v>
      </c>
      <c r="R24" s="125" t="s">
        <v>47</v>
      </c>
      <c r="S24" s="125" t="s">
        <v>109</v>
      </c>
    </row>
    <row r="25" ht="18" spans="13:19">
      <c r="M25" s="128">
        <v>31</v>
      </c>
      <c r="N25" s="128">
        <v>4</v>
      </c>
      <c r="O25" s="128" t="s">
        <v>47</v>
      </c>
      <c r="P25" s="128" t="s">
        <v>50</v>
      </c>
      <c r="Q25" s="128">
        <v>0</v>
      </c>
      <c r="R25" s="128" t="s">
        <v>47</v>
      </c>
      <c r="S25" s="128" t="s">
        <v>109</v>
      </c>
    </row>
    <row r="26" ht="18" spans="13:19">
      <c r="M26" s="128">
        <v>32</v>
      </c>
      <c r="N26" s="128">
        <v>4</v>
      </c>
      <c r="O26" s="128" t="s">
        <v>110</v>
      </c>
      <c r="P26" s="128" t="s">
        <v>111</v>
      </c>
      <c r="Q26" s="128">
        <v>40000</v>
      </c>
      <c r="R26" s="128" t="s">
        <v>47</v>
      </c>
      <c r="S26" s="128" t="s">
        <v>112</v>
      </c>
    </row>
    <row r="27" ht="18" spans="13:19">
      <c r="M27" s="128">
        <v>33</v>
      </c>
      <c r="N27" s="128">
        <v>4</v>
      </c>
      <c r="O27" s="128" t="s">
        <v>47</v>
      </c>
      <c r="P27" s="128" t="s">
        <v>56</v>
      </c>
      <c r="Q27" s="128">
        <v>0</v>
      </c>
      <c r="R27" s="128" t="s">
        <v>47</v>
      </c>
      <c r="S27" s="128" t="s">
        <v>113</v>
      </c>
    </row>
    <row r="28" ht="18" spans="13:19">
      <c r="M28" s="128">
        <v>34</v>
      </c>
      <c r="N28" s="128">
        <v>4</v>
      </c>
      <c r="O28" s="128" t="s">
        <v>114</v>
      </c>
      <c r="P28" s="128" t="s">
        <v>115</v>
      </c>
      <c r="Q28" s="128">
        <v>40000</v>
      </c>
      <c r="R28" s="128" t="s">
        <v>47</v>
      </c>
      <c r="S28" s="128" t="s">
        <v>116</v>
      </c>
    </row>
    <row r="29" ht="18" spans="13:19">
      <c r="M29" s="128">
        <v>35</v>
      </c>
      <c r="N29" s="128">
        <v>4</v>
      </c>
      <c r="O29" s="128" t="s">
        <v>47</v>
      </c>
      <c r="P29" s="128" t="s">
        <v>67</v>
      </c>
      <c r="Q29" s="128">
        <v>0</v>
      </c>
      <c r="R29" s="128" t="s">
        <v>47</v>
      </c>
      <c r="S29" s="128" t="s">
        <v>117</v>
      </c>
    </row>
    <row r="30" ht="18" spans="13:19">
      <c r="M30" s="129">
        <v>31</v>
      </c>
      <c r="N30" s="129">
        <v>5</v>
      </c>
      <c r="O30" s="129" t="s">
        <v>47</v>
      </c>
      <c r="P30" s="129" t="s">
        <v>50</v>
      </c>
      <c r="Q30" s="129">
        <v>0</v>
      </c>
      <c r="R30" s="129" t="s">
        <v>47</v>
      </c>
      <c r="S30" s="129" t="s">
        <v>102</v>
      </c>
    </row>
    <row r="31" ht="18" spans="13:19">
      <c r="M31" s="129">
        <v>32</v>
      </c>
      <c r="N31" s="129">
        <v>5</v>
      </c>
      <c r="O31" s="129" t="s">
        <v>110</v>
      </c>
      <c r="P31" s="129" t="s">
        <v>111</v>
      </c>
      <c r="Q31" s="129">
        <v>40000</v>
      </c>
      <c r="R31" s="129" t="s">
        <v>47</v>
      </c>
      <c r="S31" s="129" t="s">
        <v>99</v>
      </c>
    </row>
    <row r="32" ht="18" spans="13:19">
      <c r="M32" s="129">
        <v>33</v>
      </c>
      <c r="N32" s="129">
        <v>5</v>
      </c>
      <c r="O32" s="129" t="s">
        <v>47</v>
      </c>
      <c r="P32" s="129" t="s">
        <v>56</v>
      </c>
      <c r="Q32" s="129">
        <v>0</v>
      </c>
      <c r="R32" s="129" t="s">
        <v>47</v>
      </c>
      <c r="S32" s="129" t="s">
        <v>118</v>
      </c>
    </row>
    <row r="33" ht="18" spans="13:19">
      <c r="M33" s="129">
        <v>34</v>
      </c>
      <c r="N33" s="129">
        <v>5</v>
      </c>
      <c r="O33" s="129" t="s">
        <v>114</v>
      </c>
      <c r="P33" s="129" t="s">
        <v>115</v>
      </c>
      <c r="Q33" s="129">
        <v>40000</v>
      </c>
      <c r="R33" s="129" t="s">
        <v>47</v>
      </c>
      <c r="S33" s="129" t="s">
        <v>119</v>
      </c>
    </row>
    <row r="34" ht="18" spans="13:19">
      <c r="M34" s="129">
        <v>35</v>
      </c>
      <c r="N34" s="129">
        <v>5</v>
      </c>
      <c r="O34" s="129" t="s">
        <v>47</v>
      </c>
      <c r="P34" s="129" t="s">
        <v>67</v>
      </c>
      <c r="Q34" s="129">
        <v>0</v>
      </c>
      <c r="R34" s="129" t="s">
        <v>47</v>
      </c>
      <c r="S34" s="129" t="s">
        <v>109</v>
      </c>
    </row>
    <row r="35" ht="18" spans="13:19">
      <c r="M35" s="128">
        <v>36</v>
      </c>
      <c r="N35" s="128">
        <v>6</v>
      </c>
      <c r="O35" s="128" t="s">
        <v>120</v>
      </c>
      <c r="P35" s="128" t="s">
        <v>121</v>
      </c>
      <c r="Q35" s="128">
        <v>50000</v>
      </c>
      <c r="R35" s="128" t="s">
        <v>47</v>
      </c>
      <c r="S35" s="128" t="s">
        <v>112</v>
      </c>
    </row>
    <row r="36" ht="18" spans="13:19">
      <c r="M36" s="128">
        <v>37</v>
      </c>
      <c r="N36" s="128">
        <v>6</v>
      </c>
      <c r="O36" s="128" t="s">
        <v>47</v>
      </c>
      <c r="P36" s="128" t="s">
        <v>77</v>
      </c>
      <c r="Q36" s="128">
        <v>0</v>
      </c>
      <c r="R36" s="128" t="s">
        <v>47</v>
      </c>
      <c r="S36" s="128" t="s">
        <v>113</v>
      </c>
    </row>
    <row r="37" ht="18" spans="13:19">
      <c r="M37" s="128">
        <v>38</v>
      </c>
      <c r="N37" s="128">
        <v>6</v>
      </c>
      <c r="O37" s="128" t="s">
        <v>122</v>
      </c>
      <c r="P37" s="128" t="s">
        <v>123</v>
      </c>
      <c r="Q37" s="128">
        <v>50000</v>
      </c>
      <c r="R37" s="128" t="s">
        <v>47</v>
      </c>
      <c r="S37" s="128" t="s">
        <v>116</v>
      </c>
    </row>
    <row r="38" ht="18" spans="13:19">
      <c r="M38" s="128">
        <v>39</v>
      </c>
      <c r="N38" s="128">
        <v>6</v>
      </c>
      <c r="O38" s="128" t="s">
        <v>47</v>
      </c>
      <c r="P38" s="128" t="s">
        <v>87</v>
      </c>
      <c r="Q38" s="128">
        <v>0</v>
      </c>
      <c r="R38" s="128" t="s">
        <v>47</v>
      </c>
      <c r="S38" s="128" t="s">
        <v>117</v>
      </c>
    </row>
    <row r="39" ht="18" spans="13:19">
      <c r="M39" s="128">
        <v>40</v>
      </c>
      <c r="N39" s="128">
        <v>6</v>
      </c>
      <c r="O39" s="128" t="s">
        <v>124</v>
      </c>
      <c r="P39" s="131" t="s">
        <v>125</v>
      </c>
      <c r="Q39" s="128">
        <v>100000</v>
      </c>
      <c r="R39" s="128" t="s">
        <v>47</v>
      </c>
      <c r="S39" s="128" t="s">
        <v>126</v>
      </c>
    </row>
    <row r="40" ht="18" spans="13:19">
      <c r="M40" s="129">
        <v>36</v>
      </c>
      <c r="N40" s="129">
        <v>7</v>
      </c>
      <c r="O40" s="129" t="s">
        <v>120</v>
      </c>
      <c r="P40" s="129" t="s">
        <v>121</v>
      </c>
      <c r="Q40" s="129">
        <v>50000</v>
      </c>
      <c r="R40" s="129" t="s">
        <v>47</v>
      </c>
      <c r="S40" s="129" t="s">
        <v>99</v>
      </c>
    </row>
    <row r="41" ht="18" spans="13:19">
      <c r="M41" s="129">
        <v>37</v>
      </c>
      <c r="N41" s="129">
        <v>7</v>
      </c>
      <c r="O41" s="129" t="s">
        <v>47</v>
      </c>
      <c r="P41" s="129" t="s">
        <v>77</v>
      </c>
      <c r="Q41" s="129">
        <v>0</v>
      </c>
      <c r="R41" s="129" t="s">
        <v>47</v>
      </c>
      <c r="S41" s="129" t="s">
        <v>118</v>
      </c>
    </row>
    <row r="42" ht="18" spans="13:19">
      <c r="M42" s="129">
        <v>38</v>
      </c>
      <c r="N42" s="129">
        <v>7</v>
      </c>
      <c r="O42" s="129" t="s">
        <v>122</v>
      </c>
      <c r="P42" s="129" t="s">
        <v>123</v>
      </c>
      <c r="Q42" s="129">
        <v>50000</v>
      </c>
      <c r="R42" s="129" t="s">
        <v>47</v>
      </c>
      <c r="S42" s="129" t="s">
        <v>106</v>
      </c>
    </row>
    <row r="43" ht="18" spans="13:19">
      <c r="M43" s="129">
        <v>39</v>
      </c>
      <c r="N43" s="129">
        <v>7</v>
      </c>
      <c r="O43" s="129" t="s">
        <v>47</v>
      </c>
      <c r="P43" s="129" t="s">
        <v>87</v>
      </c>
      <c r="Q43" s="129">
        <v>0</v>
      </c>
      <c r="R43" s="129" t="s">
        <v>47</v>
      </c>
      <c r="S43" s="129" t="s">
        <v>109</v>
      </c>
    </row>
    <row r="44" ht="18" spans="13:19">
      <c r="M44" s="129">
        <v>40</v>
      </c>
      <c r="N44" s="129">
        <v>7</v>
      </c>
      <c r="O44" s="129" t="s">
        <v>124</v>
      </c>
      <c r="P44" s="132" t="s">
        <v>125</v>
      </c>
      <c r="Q44" s="129">
        <v>100000</v>
      </c>
      <c r="R44" s="129" t="s">
        <v>47</v>
      </c>
      <c r="S44" s="129" t="s">
        <v>112</v>
      </c>
    </row>
  </sheetData>
  <pageMargins left="0.75" right="0.75" top="1" bottom="1" header="0.511805555555556" footer="0.511805555555556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S44"/>
  <sheetViews>
    <sheetView workbookViewId="0">
      <selection activeCell="M3" sqref="M3"/>
    </sheetView>
  </sheetViews>
  <sheetFormatPr defaultColWidth="8.90131578947368" defaultRowHeight="15.2"/>
  <cols>
    <col min="1" max="1" width="10.5" customWidth="1"/>
    <col min="4" max="4" width="18.5986842105263" customWidth="1"/>
    <col min="8" max="8" width="11.9013157894737" customWidth="1"/>
    <col min="9" max="9" width="14.5" customWidth="1"/>
    <col min="10" max="10" width="15.0986842105263" customWidth="1"/>
    <col min="11" max="11" width="11.4013157894737" customWidth="1"/>
    <col min="13" max="13" width="12.5986842105263" customWidth="1"/>
    <col min="14" max="14" width="8.5" customWidth="1"/>
    <col min="15" max="15" width="27.0986842105263" customWidth="1"/>
    <col min="16" max="16" width="42" customWidth="1"/>
    <col min="17" max="17" width="14" customWidth="1"/>
    <col min="19" max="19" width="31.0986842105263" customWidth="1"/>
  </cols>
  <sheetData>
    <row r="1" ht="18" spans="1:19">
      <c r="A1" s="34" t="s">
        <v>0</v>
      </c>
      <c r="C1" s="117" t="s">
        <v>1</v>
      </c>
      <c r="D1" s="117" t="s">
        <v>2</v>
      </c>
      <c r="E1" s="117" t="s">
        <v>3</v>
      </c>
      <c r="F1" s="117" t="s">
        <v>4</v>
      </c>
      <c r="G1" s="117" t="s">
        <v>5</v>
      </c>
      <c r="H1" s="117" t="s">
        <v>6</v>
      </c>
      <c r="I1" s="117" t="s">
        <v>7</v>
      </c>
      <c r="J1" s="117" t="s">
        <v>8</v>
      </c>
      <c r="K1" s="117" t="s">
        <v>9</v>
      </c>
      <c r="M1" s="117" t="s">
        <v>10</v>
      </c>
      <c r="N1" s="117" t="s">
        <v>1</v>
      </c>
      <c r="O1" s="117" t="s">
        <v>9</v>
      </c>
      <c r="P1" s="117" t="s">
        <v>11</v>
      </c>
      <c r="Q1" s="117" t="s">
        <v>12</v>
      </c>
      <c r="R1" s="117" t="s">
        <v>9</v>
      </c>
      <c r="S1" s="117" t="s">
        <v>13</v>
      </c>
    </row>
    <row r="2" ht="18" spans="1:19">
      <c r="A2" s="34" t="s">
        <v>14</v>
      </c>
      <c r="C2" s="117" t="s">
        <v>15</v>
      </c>
      <c r="D2" s="117" t="s">
        <v>14</v>
      </c>
      <c r="E2" s="117" t="s">
        <v>15</v>
      </c>
      <c r="F2" s="117" t="s">
        <v>14</v>
      </c>
      <c r="G2" s="117" t="s">
        <v>14</v>
      </c>
      <c r="H2" s="117" t="s">
        <v>15</v>
      </c>
      <c r="I2" s="117" t="s">
        <v>15</v>
      </c>
      <c r="J2" s="117" t="s">
        <v>14</v>
      </c>
      <c r="K2" s="117" t="s">
        <v>14</v>
      </c>
      <c r="M2" s="117" t="s">
        <v>15</v>
      </c>
      <c r="N2" s="117" t="s">
        <v>15</v>
      </c>
      <c r="O2" s="117" t="s">
        <v>14</v>
      </c>
      <c r="P2" s="117" t="s">
        <v>14</v>
      </c>
      <c r="Q2" s="117" t="s">
        <v>15</v>
      </c>
      <c r="R2" s="117" t="s">
        <v>14</v>
      </c>
      <c r="S2" s="117" t="s">
        <v>14</v>
      </c>
    </row>
    <row r="3" ht="18" spans="1:19">
      <c r="A3" s="70" t="s">
        <v>16</v>
      </c>
      <c r="C3" s="117" t="s">
        <v>17</v>
      </c>
      <c r="D3" s="117" t="s">
        <v>18</v>
      </c>
      <c r="E3" s="117" t="s">
        <v>19</v>
      </c>
      <c r="F3" s="117" t="s">
        <v>20</v>
      </c>
      <c r="G3" s="117" t="s">
        <v>21</v>
      </c>
      <c r="H3" s="117" t="s">
        <v>22</v>
      </c>
      <c r="I3" s="117" t="s">
        <v>23</v>
      </c>
      <c r="J3" s="117" t="s">
        <v>24</v>
      </c>
      <c r="K3" s="117" t="s">
        <v>25</v>
      </c>
      <c r="M3" s="118" t="s">
        <v>26</v>
      </c>
      <c r="N3" s="118" t="s">
        <v>27</v>
      </c>
      <c r="O3" s="117" t="s">
        <v>28</v>
      </c>
      <c r="P3" s="117" t="s">
        <v>29</v>
      </c>
      <c r="Q3" s="117" t="s">
        <v>30</v>
      </c>
      <c r="R3" s="117" t="s">
        <v>31</v>
      </c>
      <c r="S3" s="117" t="s">
        <v>32</v>
      </c>
    </row>
    <row r="4" ht="88" spans="1:19">
      <c r="A4" s="34" t="s">
        <v>33</v>
      </c>
      <c r="C4" s="117">
        <v>1</v>
      </c>
      <c r="D4" s="117" t="s">
        <v>34</v>
      </c>
      <c r="E4" s="117">
        <v>1</v>
      </c>
      <c r="F4" s="117" t="s">
        <v>35</v>
      </c>
      <c r="G4" s="117" t="s">
        <v>127</v>
      </c>
      <c r="H4" s="117">
        <v>30</v>
      </c>
      <c r="I4" s="117">
        <v>300</v>
      </c>
      <c r="J4" s="117" t="s">
        <v>37</v>
      </c>
      <c r="K4" s="118" t="s">
        <v>38</v>
      </c>
      <c r="M4" s="119">
        <v>10</v>
      </c>
      <c r="N4" s="119">
        <v>1</v>
      </c>
      <c r="O4" s="119" t="s">
        <v>39</v>
      </c>
      <c r="P4" s="119" t="s">
        <v>40</v>
      </c>
      <c r="Q4" s="119">
        <v>0</v>
      </c>
      <c r="R4" s="120" t="s">
        <v>41</v>
      </c>
      <c r="S4" s="119" t="s">
        <v>42</v>
      </c>
    </row>
    <row r="5" ht="88" spans="3:19">
      <c r="C5" s="117">
        <v>2</v>
      </c>
      <c r="D5" s="117" t="s">
        <v>43</v>
      </c>
      <c r="E5" s="117">
        <v>2</v>
      </c>
      <c r="F5" s="117" t="s">
        <v>44</v>
      </c>
      <c r="G5" s="117" t="s">
        <v>127</v>
      </c>
      <c r="H5" s="117">
        <v>198</v>
      </c>
      <c r="I5" s="117">
        <v>1980</v>
      </c>
      <c r="J5" s="117" t="s">
        <v>45</v>
      </c>
      <c r="K5" s="118" t="s">
        <v>46</v>
      </c>
      <c r="M5" s="119">
        <v>11</v>
      </c>
      <c r="N5" s="119">
        <v>1</v>
      </c>
      <c r="O5" s="120" t="s">
        <v>47</v>
      </c>
      <c r="P5" s="119" t="s">
        <v>48</v>
      </c>
      <c r="Q5" s="119">
        <v>0</v>
      </c>
      <c r="R5" s="120" t="s">
        <v>49</v>
      </c>
      <c r="S5" s="119" t="s">
        <v>50</v>
      </c>
    </row>
    <row r="6" ht="88" spans="3:19">
      <c r="C6" s="117">
        <v>3</v>
      </c>
      <c r="D6" s="117" t="s">
        <v>51</v>
      </c>
      <c r="E6" s="117">
        <v>3</v>
      </c>
      <c r="F6" s="117" t="s">
        <v>52</v>
      </c>
      <c r="G6" s="117" t="s">
        <v>127</v>
      </c>
      <c r="H6" s="117">
        <v>328</v>
      </c>
      <c r="I6" s="117">
        <v>3280</v>
      </c>
      <c r="J6" s="117" t="s">
        <v>53</v>
      </c>
      <c r="K6" s="118" t="s">
        <v>54</v>
      </c>
      <c r="M6" s="119">
        <v>12</v>
      </c>
      <c r="N6" s="119">
        <v>1</v>
      </c>
      <c r="O6" s="120" t="s">
        <v>47</v>
      </c>
      <c r="P6" s="119" t="s">
        <v>55</v>
      </c>
      <c r="Q6" s="119">
        <v>0</v>
      </c>
      <c r="R6" s="119" t="s">
        <v>47</v>
      </c>
      <c r="S6" s="119" t="s">
        <v>56</v>
      </c>
    </row>
    <row r="7" ht="88" spans="3:19">
      <c r="C7" s="117">
        <v>4</v>
      </c>
      <c r="D7" s="117" t="s">
        <v>57</v>
      </c>
      <c r="E7" s="117">
        <v>4</v>
      </c>
      <c r="F7" s="117" t="s">
        <v>58</v>
      </c>
      <c r="G7" s="117" t="s">
        <v>127</v>
      </c>
      <c r="H7" s="117">
        <v>648</v>
      </c>
      <c r="I7" s="117">
        <v>6480</v>
      </c>
      <c r="J7" s="117" t="s">
        <v>59</v>
      </c>
      <c r="K7" s="118" t="s">
        <v>60</v>
      </c>
      <c r="M7" s="119">
        <v>13</v>
      </c>
      <c r="N7" s="119">
        <v>1</v>
      </c>
      <c r="O7" s="119" t="s">
        <v>47</v>
      </c>
      <c r="P7" s="119" t="s">
        <v>61</v>
      </c>
      <c r="Q7" s="119">
        <v>0</v>
      </c>
      <c r="R7" s="119" t="s">
        <v>47</v>
      </c>
      <c r="S7" s="119" t="s">
        <v>62</v>
      </c>
    </row>
    <row r="8" ht="88" spans="3:19">
      <c r="C8" s="117">
        <v>5</v>
      </c>
      <c r="D8" s="117" t="s">
        <v>63</v>
      </c>
      <c r="E8" s="117">
        <v>4</v>
      </c>
      <c r="F8" s="117" t="s">
        <v>58</v>
      </c>
      <c r="G8" s="117" t="s">
        <v>127</v>
      </c>
      <c r="H8" s="117">
        <v>328</v>
      </c>
      <c r="I8" s="117">
        <v>3280</v>
      </c>
      <c r="J8" s="117" t="s">
        <v>53</v>
      </c>
      <c r="K8" s="118" t="s">
        <v>64</v>
      </c>
      <c r="M8" s="119">
        <v>14</v>
      </c>
      <c r="N8" s="119">
        <v>1</v>
      </c>
      <c r="O8" s="119" t="s">
        <v>65</v>
      </c>
      <c r="P8" s="119" t="s">
        <v>66</v>
      </c>
      <c r="Q8" s="119">
        <v>0</v>
      </c>
      <c r="R8" s="119" t="s">
        <v>47</v>
      </c>
      <c r="S8" s="119" t="s">
        <v>67</v>
      </c>
    </row>
    <row r="9" ht="88" spans="3:19">
      <c r="C9" s="117">
        <v>6</v>
      </c>
      <c r="D9" s="117" t="s">
        <v>68</v>
      </c>
      <c r="E9" s="117">
        <v>5</v>
      </c>
      <c r="F9" s="117" t="s">
        <v>69</v>
      </c>
      <c r="G9" s="117" t="s">
        <v>127</v>
      </c>
      <c r="H9" s="117">
        <v>648</v>
      </c>
      <c r="I9" s="117">
        <v>6480</v>
      </c>
      <c r="J9" s="117" t="s">
        <v>59</v>
      </c>
      <c r="K9" s="118" t="s">
        <v>70</v>
      </c>
      <c r="M9" s="119">
        <v>15</v>
      </c>
      <c r="N9" s="119">
        <v>1</v>
      </c>
      <c r="O9" s="119" t="s">
        <v>47</v>
      </c>
      <c r="P9" s="119" t="s">
        <v>71</v>
      </c>
      <c r="Q9" s="119">
        <v>0</v>
      </c>
      <c r="R9" s="119" t="s">
        <v>47</v>
      </c>
      <c r="S9" s="119" t="s">
        <v>72</v>
      </c>
    </row>
    <row r="10" ht="88" spans="3:19">
      <c r="C10" s="117">
        <v>7</v>
      </c>
      <c r="D10" s="117" t="s">
        <v>73</v>
      </c>
      <c r="E10" s="117">
        <v>5</v>
      </c>
      <c r="F10" s="117" t="s">
        <v>69</v>
      </c>
      <c r="G10" s="117" t="s">
        <v>127</v>
      </c>
      <c r="H10" s="117">
        <v>328</v>
      </c>
      <c r="I10" s="117">
        <v>3280</v>
      </c>
      <c r="J10" s="117" t="s">
        <v>53</v>
      </c>
      <c r="K10" s="118" t="s">
        <v>74</v>
      </c>
      <c r="M10" s="119">
        <v>16</v>
      </c>
      <c r="N10" s="119">
        <v>1</v>
      </c>
      <c r="O10" s="119" t="s">
        <v>75</v>
      </c>
      <c r="P10" s="121" t="s">
        <v>76</v>
      </c>
      <c r="Q10" s="119">
        <v>15000</v>
      </c>
      <c r="R10" s="119" t="s">
        <v>47</v>
      </c>
      <c r="S10" s="119" t="s">
        <v>77</v>
      </c>
    </row>
    <row r="11" ht="18" spans="13:19">
      <c r="M11" s="119">
        <v>17</v>
      </c>
      <c r="N11" s="119">
        <v>1</v>
      </c>
      <c r="O11" s="119" t="s">
        <v>47</v>
      </c>
      <c r="P11" s="119" t="s">
        <v>78</v>
      </c>
      <c r="Q11" s="119">
        <v>0</v>
      </c>
      <c r="R11" s="119" t="s">
        <v>47</v>
      </c>
      <c r="S11" s="119" t="s">
        <v>79</v>
      </c>
    </row>
    <row r="12" ht="21" spans="13:19">
      <c r="M12" s="119">
        <v>18</v>
      </c>
      <c r="N12" s="119">
        <v>1</v>
      </c>
      <c r="O12" s="122" t="s">
        <v>122</v>
      </c>
      <c r="P12" s="119" t="s">
        <v>128</v>
      </c>
      <c r="Q12" s="119">
        <v>15000</v>
      </c>
      <c r="R12" s="119" t="s">
        <v>47</v>
      </c>
      <c r="S12" s="119" t="s">
        <v>82</v>
      </c>
    </row>
    <row r="13" ht="18" spans="13:19">
      <c r="M13" s="119">
        <v>19</v>
      </c>
      <c r="N13" s="119">
        <v>1</v>
      </c>
      <c r="O13" s="119" t="s">
        <v>47</v>
      </c>
      <c r="P13" s="119" t="s">
        <v>83</v>
      </c>
      <c r="Q13" s="119">
        <v>0</v>
      </c>
      <c r="R13" s="119" t="s">
        <v>47</v>
      </c>
      <c r="S13" s="119" t="s">
        <v>84</v>
      </c>
    </row>
    <row r="14" ht="18" spans="13:19">
      <c r="M14" s="119">
        <v>20</v>
      </c>
      <c r="N14" s="119">
        <v>1</v>
      </c>
      <c r="O14" s="119" t="s">
        <v>85</v>
      </c>
      <c r="P14" s="121" t="s">
        <v>86</v>
      </c>
      <c r="Q14" s="119">
        <v>15000</v>
      </c>
      <c r="R14" s="119" t="s">
        <v>47</v>
      </c>
      <c r="S14" s="119" t="s">
        <v>87</v>
      </c>
    </row>
    <row r="15" ht="18" spans="13:19">
      <c r="M15" s="123">
        <v>21</v>
      </c>
      <c r="N15" s="123">
        <v>2</v>
      </c>
      <c r="O15" s="123" t="s">
        <v>47</v>
      </c>
      <c r="P15" s="123" t="s">
        <v>88</v>
      </c>
      <c r="Q15" s="123">
        <v>0</v>
      </c>
      <c r="R15" s="123" t="s">
        <v>47</v>
      </c>
      <c r="S15" s="123" t="s">
        <v>89</v>
      </c>
    </row>
    <row r="16" ht="18" spans="13:19">
      <c r="M16" s="123">
        <v>22</v>
      </c>
      <c r="N16" s="123">
        <v>2</v>
      </c>
      <c r="O16" s="123" t="s">
        <v>90</v>
      </c>
      <c r="P16" s="123" t="s">
        <v>91</v>
      </c>
      <c r="Q16" s="123">
        <v>20000</v>
      </c>
      <c r="R16" s="123" t="s">
        <v>47</v>
      </c>
      <c r="S16" s="123" t="s">
        <v>92</v>
      </c>
    </row>
    <row r="17" ht="18" spans="13:19">
      <c r="M17" s="123">
        <v>23</v>
      </c>
      <c r="N17" s="123">
        <v>2</v>
      </c>
      <c r="O17" s="123" t="s">
        <v>47</v>
      </c>
      <c r="P17" s="123" t="s">
        <v>93</v>
      </c>
      <c r="Q17" s="123">
        <v>0</v>
      </c>
      <c r="R17" s="123" t="s">
        <v>47</v>
      </c>
      <c r="S17" s="123" t="s">
        <v>94</v>
      </c>
    </row>
    <row r="18" ht="18" spans="13:19">
      <c r="M18" s="123">
        <v>24</v>
      </c>
      <c r="N18" s="123">
        <v>2</v>
      </c>
      <c r="O18" s="123" t="s">
        <v>95</v>
      </c>
      <c r="P18" s="124" t="s">
        <v>96</v>
      </c>
      <c r="Q18" s="123">
        <v>20000</v>
      </c>
      <c r="R18" s="123" t="s">
        <v>47</v>
      </c>
      <c r="S18" s="123" t="s">
        <v>97</v>
      </c>
    </row>
    <row r="19" ht="18" spans="13:19">
      <c r="M19" s="123">
        <v>25</v>
      </c>
      <c r="N19" s="123">
        <v>2</v>
      </c>
      <c r="O19" s="123" t="s">
        <v>47</v>
      </c>
      <c r="P19" s="123" t="s">
        <v>98</v>
      </c>
      <c r="Q19" s="123">
        <v>0</v>
      </c>
      <c r="R19" s="123" t="s">
        <v>47</v>
      </c>
      <c r="S19" s="123" t="s">
        <v>99</v>
      </c>
    </row>
    <row r="20" ht="18" spans="13:19">
      <c r="M20" s="125">
        <v>26</v>
      </c>
      <c r="N20" s="125">
        <v>3</v>
      </c>
      <c r="O20" s="125" t="s">
        <v>75</v>
      </c>
      <c r="P20" s="126" t="s">
        <v>100</v>
      </c>
      <c r="Q20" s="125">
        <v>30000</v>
      </c>
      <c r="R20" s="125" t="s">
        <v>47</v>
      </c>
      <c r="S20" s="125" t="s">
        <v>97</v>
      </c>
    </row>
    <row r="21" ht="18" spans="13:19">
      <c r="M21" s="125">
        <v>27</v>
      </c>
      <c r="N21" s="125">
        <v>3</v>
      </c>
      <c r="O21" s="125" t="s">
        <v>47</v>
      </c>
      <c r="P21" s="125" t="s">
        <v>101</v>
      </c>
      <c r="Q21" s="125">
        <v>0</v>
      </c>
      <c r="R21" s="125" t="s">
        <v>47</v>
      </c>
      <c r="S21" s="125" t="s">
        <v>102</v>
      </c>
    </row>
    <row r="22" ht="21" spans="13:19">
      <c r="M22" s="125">
        <v>28</v>
      </c>
      <c r="N22" s="125">
        <v>3</v>
      </c>
      <c r="O22" s="127" t="s">
        <v>122</v>
      </c>
      <c r="P22" s="125" t="s">
        <v>129</v>
      </c>
      <c r="Q22" s="125">
        <v>30000</v>
      </c>
      <c r="R22" s="125" t="s">
        <v>47</v>
      </c>
      <c r="S22" s="125" t="s">
        <v>105</v>
      </c>
    </row>
    <row r="23" ht="18" spans="13:19">
      <c r="M23" s="125">
        <v>29</v>
      </c>
      <c r="N23" s="125">
        <v>3</v>
      </c>
      <c r="O23" s="125" t="s">
        <v>47</v>
      </c>
      <c r="P23" s="125" t="s">
        <v>42</v>
      </c>
      <c r="Q23" s="125">
        <v>0</v>
      </c>
      <c r="R23" s="125" t="s">
        <v>47</v>
      </c>
      <c r="S23" s="125" t="s">
        <v>106</v>
      </c>
    </row>
    <row r="24" ht="18" spans="13:19">
      <c r="M24" s="125">
        <v>30</v>
      </c>
      <c r="N24" s="125">
        <v>3</v>
      </c>
      <c r="O24" s="125" t="s">
        <v>107</v>
      </c>
      <c r="P24" s="126" t="s">
        <v>108</v>
      </c>
      <c r="Q24" s="125">
        <v>30000</v>
      </c>
      <c r="R24" s="125" t="s">
        <v>47</v>
      </c>
      <c r="S24" s="125" t="s">
        <v>109</v>
      </c>
    </row>
    <row r="25" ht="18" spans="13:19">
      <c r="M25" s="128">
        <v>31</v>
      </c>
      <c r="N25" s="128">
        <v>4</v>
      </c>
      <c r="O25" s="128" t="s">
        <v>47</v>
      </c>
      <c r="P25" s="128" t="s">
        <v>50</v>
      </c>
      <c r="Q25" s="128">
        <v>0</v>
      </c>
      <c r="R25" s="128" t="s">
        <v>47</v>
      </c>
      <c r="S25" s="128" t="s">
        <v>109</v>
      </c>
    </row>
    <row r="26" ht="18" spans="13:19">
      <c r="M26" s="128">
        <v>32</v>
      </c>
      <c r="N26" s="128">
        <v>4</v>
      </c>
      <c r="O26" s="128" t="s">
        <v>110</v>
      </c>
      <c r="P26" s="128" t="s">
        <v>111</v>
      </c>
      <c r="Q26" s="128">
        <v>40000</v>
      </c>
      <c r="R26" s="128" t="s">
        <v>47</v>
      </c>
      <c r="S26" s="128" t="s">
        <v>112</v>
      </c>
    </row>
    <row r="27" ht="18" spans="13:19">
      <c r="M27" s="128">
        <v>33</v>
      </c>
      <c r="N27" s="128">
        <v>4</v>
      </c>
      <c r="O27" s="128" t="s">
        <v>47</v>
      </c>
      <c r="P27" s="128" t="s">
        <v>56</v>
      </c>
      <c r="Q27" s="128">
        <v>0</v>
      </c>
      <c r="R27" s="128" t="s">
        <v>47</v>
      </c>
      <c r="S27" s="128" t="s">
        <v>113</v>
      </c>
    </row>
    <row r="28" ht="18" spans="13:19">
      <c r="M28" s="128">
        <v>34</v>
      </c>
      <c r="N28" s="128">
        <v>4</v>
      </c>
      <c r="O28" s="128" t="s">
        <v>114</v>
      </c>
      <c r="P28" s="128" t="s">
        <v>115</v>
      </c>
      <c r="Q28" s="128">
        <v>40000</v>
      </c>
      <c r="R28" s="128" t="s">
        <v>47</v>
      </c>
      <c r="S28" s="128" t="s">
        <v>116</v>
      </c>
    </row>
    <row r="29" ht="18" spans="13:19">
      <c r="M29" s="128">
        <v>35</v>
      </c>
      <c r="N29" s="128">
        <v>4</v>
      </c>
      <c r="O29" s="128" t="s">
        <v>47</v>
      </c>
      <c r="P29" s="128" t="s">
        <v>67</v>
      </c>
      <c r="Q29" s="128">
        <v>0</v>
      </c>
      <c r="R29" s="128" t="s">
        <v>47</v>
      </c>
      <c r="S29" s="128" t="s">
        <v>117</v>
      </c>
    </row>
    <row r="30" ht="18" spans="13:19">
      <c r="M30" s="129">
        <v>31</v>
      </c>
      <c r="N30" s="129">
        <v>5</v>
      </c>
      <c r="O30" s="129" t="s">
        <v>47</v>
      </c>
      <c r="P30" s="129" t="s">
        <v>50</v>
      </c>
      <c r="Q30" s="129">
        <v>0</v>
      </c>
      <c r="R30" s="129" t="s">
        <v>47</v>
      </c>
      <c r="S30" s="129" t="s">
        <v>102</v>
      </c>
    </row>
    <row r="31" ht="18" spans="13:19">
      <c r="M31" s="129">
        <v>32</v>
      </c>
      <c r="N31" s="129">
        <v>5</v>
      </c>
      <c r="O31" s="129" t="s">
        <v>110</v>
      </c>
      <c r="P31" s="129" t="s">
        <v>111</v>
      </c>
      <c r="Q31" s="129">
        <v>40000</v>
      </c>
      <c r="R31" s="129" t="s">
        <v>47</v>
      </c>
      <c r="S31" s="129" t="s">
        <v>99</v>
      </c>
    </row>
    <row r="32" ht="18" spans="13:19">
      <c r="M32" s="129">
        <v>33</v>
      </c>
      <c r="N32" s="129">
        <v>5</v>
      </c>
      <c r="O32" s="129" t="s">
        <v>47</v>
      </c>
      <c r="P32" s="129" t="s">
        <v>56</v>
      </c>
      <c r="Q32" s="129">
        <v>0</v>
      </c>
      <c r="R32" s="129" t="s">
        <v>47</v>
      </c>
      <c r="S32" s="129" t="s">
        <v>118</v>
      </c>
    </row>
    <row r="33" ht="18" spans="13:19">
      <c r="M33" s="129">
        <v>34</v>
      </c>
      <c r="N33" s="129">
        <v>5</v>
      </c>
      <c r="O33" s="129" t="s">
        <v>114</v>
      </c>
      <c r="P33" s="129" t="s">
        <v>115</v>
      </c>
      <c r="Q33" s="129">
        <v>40000</v>
      </c>
      <c r="R33" s="129" t="s">
        <v>47</v>
      </c>
      <c r="S33" s="129" t="s">
        <v>119</v>
      </c>
    </row>
    <row r="34" ht="18" spans="13:19">
      <c r="M34" s="129">
        <v>35</v>
      </c>
      <c r="N34" s="129">
        <v>5</v>
      </c>
      <c r="O34" s="129" t="s">
        <v>47</v>
      </c>
      <c r="P34" s="129" t="s">
        <v>67</v>
      </c>
      <c r="Q34" s="129">
        <v>0</v>
      </c>
      <c r="R34" s="129" t="s">
        <v>47</v>
      </c>
      <c r="S34" s="129" t="s">
        <v>109</v>
      </c>
    </row>
    <row r="35" ht="21" spans="13:19">
      <c r="M35" s="128">
        <v>36</v>
      </c>
      <c r="N35" s="128">
        <v>6</v>
      </c>
      <c r="O35" s="130" t="s">
        <v>130</v>
      </c>
      <c r="P35" s="128" t="s">
        <v>131</v>
      </c>
      <c r="Q35" s="128">
        <v>50000</v>
      </c>
      <c r="R35" s="128" t="s">
        <v>47</v>
      </c>
      <c r="S35" s="128" t="s">
        <v>112</v>
      </c>
    </row>
    <row r="36" ht="18" spans="13:19">
      <c r="M36" s="128">
        <v>37</v>
      </c>
      <c r="N36" s="128">
        <v>6</v>
      </c>
      <c r="O36" s="128" t="s">
        <v>47</v>
      </c>
      <c r="P36" s="128" t="s">
        <v>77</v>
      </c>
      <c r="Q36" s="128">
        <v>0</v>
      </c>
      <c r="R36" s="128" t="s">
        <v>47</v>
      </c>
      <c r="S36" s="128" t="s">
        <v>113</v>
      </c>
    </row>
    <row r="37" ht="18" spans="13:19">
      <c r="M37" s="128">
        <v>38</v>
      </c>
      <c r="N37" s="128">
        <v>6</v>
      </c>
      <c r="O37" s="128" t="s">
        <v>122</v>
      </c>
      <c r="P37" s="128" t="s">
        <v>123</v>
      </c>
      <c r="Q37" s="128">
        <v>50000</v>
      </c>
      <c r="R37" s="128" t="s">
        <v>47</v>
      </c>
      <c r="S37" s="128" t="s">
        <v>116</v>
      </c>
    </row>
    <row r="38" ht="18" spans="13:19">
      <c r="M38" s="128">
        <v>39</v>
      </c>
      <c r="N38" s="128">
        <v>6</v>
      </c>
      <c r="O38" s="128" t="s">
        <v>47</v>
      </c>
      <c r="P38" s="128" t="s">
        <v>87</v>
      </c>
      <c r="Q38" s="128">
        <v>0</v>
      </c>
      <c r="R38" s="128" t="s">
        <v>47</v>
      </c>
      <c r="S38" s="128" t="s">
        <v>117</v>
      </c>
    </row>
    <row r="39" ht="18" spans="13:19">
      <c r="M39" s="128">
        <v>40</v>
      </c>
      <c r="N39" s="128">
        <v>6</v>
      </c>
      <c r="O39" s="128" t="s">
        <v>124</v>
      </c>
      <c r="P39" s="131" t="s">
        <v>125</v>
      </c>
      <c r="Q39" s="128">
        <v>100000</v>
      </c>
      <c r="R39" s="128" t="s">
        <v>47</v>
      </c>
      <c r="S39" s="128" t="s">
        <v>126</v>
      </c>
    </row>
    <row r="40" ht="18" spans="13:19">
      <c r="M40" s="129">
        <v>36</v>
      </c>
      <c r="N40" s="129">
        <v>7</v>
      </c>
      <c r="O40" s="129" t="s">
        <v>130</v>
      </c>
      <c r="P40" s="129" t="s">
        <v>131</v>
      </c>
      <c r="Q40" s="129">
        <v>50000</v>
      </c>
      <c r="R40" s="129" t="s">
        <v>47</v>
      </c>
      <c r="S40" s="129" t="s">
        <v>99</v>
      </c>
    </row>
    <row r="41" ht="18" spans="13:19">
      <c r="M41" s="129">
        <v>37</v>
      </c>
      <c r="N41" s="129">
        <v>7</v>
      </c>
      <c r="O41" s="129" t="s">
        <v>47</v>
      </c>
      <c r="P41" s="129" t="s">
        <v>77</v>
      </c>
      <c r="Q41" s="129">
        <v>0</v>
      </c>
      <c r="R41" s="129" t="s">
        <v>47</v>
      </c>
      <c r="S41" s="129" t="s">
        <v>118</v>
      </c>
    </row>
    <row r="42" ht="18" spans="13:19">
      <c r="M42" s="129">
        <v>38</v>
      </c>
      <c r="N42" s="129">
        <v>7</v>
      </c>
      <c r="O42" s="129" t="s">
        <v>122</v>
      </c>
      <c r="P42" s="129" t="s">
        <v>123</v>
      </c>
      <c r="Q42" s="129">
        <v>50000</v>
      </c>
      <c r="R42" s="129" t="s">
        <v>47</v>
      </c>
      <c r="S42" s="129" t="s">
        <v>106</v>
      </c>
    </row>
    <row r="43" ht="18" spans="13:19">
      <c r="M43" s="129">
        <v>39</v>
      </c>
      <c r="N43" s="129">
        <v>7</v>
      </c>
      <c r="O43" s="129" t="s">
        <v>47</v>
      </c>
      <c r="P43" s="129" t="s">
        <v>87</v>
      </c>
      <c r="Q43" s="129">
        <v>0</v>
      </c>
      <c r="R43" s="129" t="s">
        <v>47</v>
      </c>
      <c r="S43" s="129" t="s">
        <v>109</v>
      </c>
    </row>
    <row r="44" ht="18" spans="13:19">
      <c r="M44" s="129">
        <v>40</v>
      </c>
      <c r="N44" s="129">
        <v>7</v>
      </c>
      <c r="O44" s="129" t="s">
        <v>124</v>
      </c>
      <c r="P44" s="132" t="s">
        <v>125</v>
      </c>
      <c r="Q44" s="129">
        <v>100000</v>
      </c>
      <c r="R44" s="129" t="s">
        <v>47</v>
      </c>
      <c r="S44" s="129" t="s">
        <v>112</v>
      </c>
    </row>
  </sheetData>
  <pageMargins left="0.75" right="0.75" top="1" bottom="1" header="0.511805555555556" footer="0.511805555555556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H13"/>
  <sheetViews>
    <sheetView showGridLines="0" workbookViewId="0">
      <selection activeCell="C6" sqref="C6"/>
    </sheetView>
  </sheetViews>
  <sheetFormatPr defaultColWidth="6.59868421052632" defaultRowHeight="23.1" customHeight="1" outlineLevelCol="7"/>
  <cols>
    <col min="1" max="1" width="9.59868421052632" style="113" customWidth="1"/>
    <col min="2" max="2" width="6.59868421052632" style="113" customWidth="1"/>
    <col min="3" max="3" width="9.59868421052632" style="113" customWidth="1"/>
    <col min="4" max="4" width="9.5" style="113" customWidth="1"/>
    <col min="5" max="6" width="6.59868421052632" style="113" customWidth="1"/>
    <col min="7" max="7" width="9.69736842105263" style="113" customWidth="1"/>
    <col min="8" max="256" width="6.59868421052632" style="113" customWidth="1"/>
    <col min="257" max="16384" width="6.59868421052632" style="114"/>
  </cols>
  <sheetData>
    <row r="1" customHeight="1" spans="1:8">
      <c r="A1" s="115" t="s">
        <v>132</v>
      </c>
      <c r="B1" s="116"/>
      <c r="C1" s="116"/>
      <c r="D1" s="116"/>
      <c r="E1" s="116"/>
      <c r="F1" s="116"/>
      <c r="G1" s="115" t="s">
        <v>133</v>
      </c>
      <c r="H1" s="116"/>
    </row>
    <row r="2" customHeight="1" spans="1:8">
      <c r="A2" s="116"/>
      <c r="B2" s="115" t="s">
        <v>134</v>
      </c>
      <c r="C2" s="115" t="s">
        <v>135</v>
      </c>
      <c r="D2" s="115" t="s">
        <v>136</v>
      </c>
      <c r="E2" s="115" t="s">
        <v>137</v>
      </c>
      <c r="F2" s="116"/>
      <c r="G2" s="115" t="s">
        <v>47</v>
      </c>
      <c r="H2" s="115">
        <v>101</v>
      </c>
    </row>
    <row r="3" customHeight="1" spans="1:8">
      <c r="A3" s="115" t="s">
        <v>138</v>
      </c>
      <c r="B3" s="115">
        <v>1</v>
      </c>
      <c r="C3" s="115" t="s">
        <v>19</v>
      </c>
      <c r="D3" s="115"/>
      <c r="E3" s="115" t="s">
        <v>139</v>
      </c>
      <c r="F3" s="116"/>
      <c r="G3" s="115" t="s">
        <v>140</v>
      </c>
      <c r="H3" s="115">
        <v>102</v>
      </c>
    </row>
    <row r="4" customHeight="1" spans="1:8">
      <c r="A4" s="115" t="s">
        <v>141</v>
      </c>
      <c r="B4" s="115">
        <v>2</v>
      </c>
      <c r="C4" s="115" t="s">
        <v>19</v>
      </c>
      <c r="D4" s="115"/>
      <c r="E4" s="115" t="s">
        <v>139</v>
      </c>
      <c r="F4" s="116"/>
      <c r="G4" s="115" t="s">
        <v>142</v>
      </c>
      <c r="H4" s="115">
        <v>103</v>
      </c>
    </row>
    <row r="5" customHeight="1" spans="1:8">
      <c r="A5" s="115" t="s">
        <v>143</v>
      </c>
      <c r="B5" s="115">
        <v>3</v>
      </c>
      <c r="C5" s="115" t="s">
        <v>144</v>
      </c>
      <c r="D5" s="115" t="s">
        <v>145</v>
      </c>
      <c r="E5" s="115" t="s">
        <v>139</v>
      </c>
      <c r="F5" s="116"/>
      <c r="G5" s="115"/>
      <c r="H5" s="115"/>
    </row>
    <row r="6" customHeight="1" spans="1:8">
      <c r="A6" s="115" t="s">
        <v>146</v>
      </c>
      <c r="B6" s="115">
        <v>4</v>
      </c>
      <c r="C6" s="115" t="s">
        <v>19</v>
      </c>
      <c r="D6" s="115"/>
      <c r="E6" s="115" t="s">
        <v>139</v>
      </c>
      <c r="F6" s="116"/>
      <c r="G6" s="115"/>
      <c r="H6" s="115"/>
    </row>
    <row r="7" customHeight="1" spans="1:8">
      <c r="A7" s="115" t="s">
        <v>147</v>
      </c>
      <c r="B7" s="115">
        <v>5</v>
      </c>
      <c r="C7" s="115" t="s">
        <v>19</v>
      </c>
      <c r="D7" s="115"/>
      <c r="E7" s="115" t="s">
        <v>139</v>
      </c>
      <c r="F7" s="116"/>
      <c r="G7" s="116"/>
      <c r="H7" s="116"/>
    </row>
    <row r="8" customHeight="1" spans="1:8">
      <c r="A8" s="115" t="s">
        <v>148</v>
      </c>
      <c r="B8" s="115">
        <v>6</v>
      </c>
      <c r="C8" s="115" t="s">
        <v>19</v>
      </c>
      <c r="D8" s="115" t="s">
        <v>149</v>
      </c>
      <c r="E8" s="115" t="s">
        <v>139</v>
      </c>
      <c r="F8" s="116"/>
      <c r="G8" s="116"/>
      <c r="H8" s="116"/>
    </row>
    <row r="9" customHeight="1" spans="1:8">
      <c r="A9" s="115" t="s">
        <v>150</v>
      </c>
      <c r="B9" s="115">
        <v>7</v>
      </c>
      <c r="C9" s="115" t="s">
        <v>19</v>
      </c>
      <c r="D9" s="115"/>
      <c r="E9" s="115" t="s">
        <v>139</v>
      </c>
      <c r="F9" s="116"/>
      <c r="G9" s="116"/>
      <c r="H9" s="116"/>
    </row>
    <row r="10" customHeight="1" spans="1:8">
      <c r="A10" s="115" t="s">
        <v>151</v>
      </c>
      <c r="B10" s="115">
        <v>8</v>
      </c>
      <c r="C10" s="115" t="s">
        <v>19</v>
      </c>
      <c r="D10" s="115"/>
      <c r="E10" s="115" t="s">
        <v>139</v>
      </c>
      <c r="F10" s="116"/>
      <c r="G10" s="116"/>
      <c r="H10" s="116"/>
    </row>
    <row r="11" customHeight="1" spans="1:8">
      <c r="A11" s="115" t="s">
        <v>152</v>
      </c>
      <c r="B11" s="115">
        <v>9</v>
      </c>
      <c r="C11" s="115"/>
      <c r="D11" s="115"/>
      <c r="E11" s="115" t="s">
        <v>139</v>
      </c>
      <c r="F11" s="116"/>
      <c r="G11" s="116"/>
      <c r="H11" s="116"/>
    </row>
    <row r="12" customHeight="1" spans="1:8">
      <c r="A12" s="115" t="s">
        <v>153</v>
      </c>
      <c r="B12" s="115">
        <v>10</v>
      </c>
      <c r="C12" s="115" t="s">
        <v>19</v>
      </c>
      <c r="D12" s="115"/>
      <c r="E12" s="115" t="s">
        <v>139</v>
      </c>
      <c r="F12" s="116"/>
      <c r="G12" s="116"/>
      <c r="H12" s="116"/>
    </row>
    <row r="13" customHeight="1" spans="1:8">
      <c r="A13" s="115" t="s">
        <v>154</v>
      </c>
      <c r="B13" s="115">
        <v>11</v>
      </c>
      <c r="C13" s="115" t="s">
        <v>19</v>
      </c>
      <c r="D13" s="115"/>
      <c r="E13" s="115" t="s">
        <v>139</v>
      </c>
      <c r="F13" s="116"/>
      <c r="G13" s="116"/>
      <c r="H13" s="116"/>
    </row>
  </sheetData>
  <pageMargins left="0.75" right="0.75" top="1" bottom="1" header="0.5" footer="0.5"/>
  <pageSetup paperSize="1" orientation="portrait"/>
  <headerFooter>
    <oddFooter>&amp;L&amp;"Helvetica,Regular"&amp;12&amp;K000000	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IX235"/>
  <sheetViews>
    <sheetView showGridLines="0" zoomScale="90" zoomScaleNormal="90" topLeftCell="C1" workbookViewId="0">
      <pane ySplit="3" topLeftCell="A4" activePane="bottomLeft" state="frozen"/>
      <selection/>
      <selection pane="bottomLeft" activeCell="P16" sqref="P16"/>
    </sheetView>
  </sheetViews>
  <sheetFormatPr defaultColWidth="6.59868421052632" defaultRowHeight="23.1" customHeight="1"/>
  <cols>
    <col min="1" max="1" width="13.6973684210526" style="84" customWidth="1"/>
    <col min="2" max="2" width="28.6973684210526" style="84" customWidth="1"/>
    <col min="3" max="3" width="26.5" style="84" customWidth="1"/>
    <col min="4" max="4" width="11.0986842105263" style="84" customWidth="1"/>
    <col min="5" max="5" width="12.0986842105263" style="84" customWidth="1"/>
    <col min="6" max="6" width="14.0986842105263" style="84" customWidth="1"/>
    <col min="7" max="7" width="9.5" style="84" customWidth="1"/>
    <col min="8" max="9" width="9.90131578947368" style="84" customWidth="1"/>
    <col min="10" max="10" width="15.0986842105263" style="84" customWidth="1"/>
    <col min="11" max="11" width="15.9013157894737" style="84" customWidth="1"/>
    <col min="12" max="13" width="10" style="84" customWidth="1"/>
    <col min="14" max="14" width="26.5" style="84" customWidth="1"/>
    <col min="15" max="15" width="9.40131578947368" style="84" customWidth="1"/>
    <col min="16" max="16" width="12.6973684210526" style="85" customWidth="1"/>
    <col min="17" max="17" width="14.6973684210526" style="85" customWidth="1"/>
    <col min="18" max="18" width="10.0986842105263" style="85" customWidth="1"/>
    <col min="19" max="258" width="6.59868421052632" style="84" customWidth="1"/>
    <col min="259" max="16384" width="6.59868421052632" style="37"/>
  </cols>
  <sheetData>
    <row r="1" customHeight="1" spans="1:18">
      <c r="A1" s="86" t="s">
        <v>155</v>
      </c>
      <c r="B1" s="86" t="s">
        <v>156</v>
      </c>
      <c r="C1" s="86" t="s">
        <v>156</v>
      </c>
      <c r="D1" s="86" t="s">
        <v>157</v>
      </c>
      <c r="E1" s="86" t="s">
        <v>158</v>
      </c>
      <c r="F1" s="86" t="s">
        <v>159</v>
      </c>
      <c r="G1" s="86" t="s">
        <v>160</v>
      </c>
      <c r="H1" s="86" t="s">
        <v>161</v>
      </c>
      <c r="I1" s="86" t="s">
        <v>162</v>
      </c>
      <c r="J1" s="86" t="s">
        <v>163</v>
      </c>
      <c r="K1" s="86" t="s">
        <v>164</v>
      </c>
      <c r="L1" s="86" t="s">
        <v>165</v>
      </c>
      <c r="M1" s="93" t="s">
        <v>166</v>
      </c>
      <c r="N1" s="94" t="s">
        <v>167</v>
      </c>
      <c r="O1" s="94" t="s">
        <v>168</v>
      </c>
      <c r="P1" s="95" t="s">
        <v>169</v>
      </c>
      <c r="Q1" s="95" t="s">
        <v>170</v>
      </c>
      <c r="R1" s="95" t="s">
        <v>171</v>
      </c>
    </row>
    <row r="2" customHeight="1" spans="1:18">
      <c r="A2" s="86" t="s">
        <v>15</v>
      </c>
      <c r="B2" s="86" t="s">
        <v>172</v>
      </c>
      <c r="C2" s="86" t="s">
        <v>172</v>
      </c>
      <c r="D2" s="86" t="s">
        <v>15</v>
      </c>
      <c r="E2" s="86" t="s">
        <v>15</v>
      </c>
      <c r="F2" s="86" t="s">
        <v>15</v>
      </c>
      <c r="G2" s="86" t="s">
        <v>15</v>
      </c>
      <c r="H2" s="86" t="s">
        <v>15</v>
      </c>
      <c r="I2" s="86" t="s">
        <v>15</v>
      </c>
      <c r="J2" s="86" t="s">
        <v>173</v>
      </c>
      <c r="K2" s="86" t="s">
        <v>173</v>
      </c>
      <c r="L2" s="86" t="s">
        <v>15</v>
      </c>
      <c r="M2" s="93" t="s">
        <v>15</v>
      </c>
      <c r="N2" s="94" t="s">
        <v>172</v>
      </c>
      <c r="O2" s="94" t="s">
        <v>15</v>
      </c>
      <c r="P2" s="95" t="s">
        <v>15</v>
      </c>
      <c r="Q2" s="95" t="s">
        <v>15</v>
      </c>
      <c r="R2" s="95" t="s">
        <v>174</v>
      </c>
    </row>
    <row r="3" customHeight="1" spans="1:18">
      <c r="A3" s="86" t="s">
        <v>175</v>
      </c>
      <c r="B3" s="87" t="s">
        <v>176</v>
      </c>
      <c r="C3" s="86" t="s">
        <v>177</v>
      </c>
      <c r="D3" s="86" t="s">
        <v>178</v>
      </c>
      <c r="E3" s="86" t="s">
        <v>179</v>
      </c>
      <c r="F3" s="86" t="s">
        <v>180</v>
      </c>
      <c r="G3" s="86" t="s">
        <v>181</v>
      </c>
      <c r="H3" s="87" t="s">
        <v>182</v>
      </c>
      <c r="I3" s="87" t="s">
        <v>183</v>
      </c>
      <c r="J3" s="86" t="s">
        <v>184</v>
      </c>
      <c r="K3" s="86" t="s">
        <v>185</v>
      </c>
      <c r="L3" s="86" t="s">
        <v>186</v>
      </c>
      <c r="M3" s="96" t="s">
        <v>187</v>
      </c>
      <c r="N3" s="94" t="s">
        <v>188</v>
      </c>
      <c r="O3" s="94" t="s">
        <v>189</v>
      </c>
      <c r="P3" s="97" t="s">
        <v>190</v>
      </c>
      <c r="Q3" s="97" t="s">
        <v>191</v>
      </c>
      <c r="R3" s="100" t="s">
        <v>192</v>
      </c>
    </row>
    <row r="4" customHeight="1" spans="1:18">
      <c r="A4" s="86">
        <v>1</v>
      </c>
      <c r="B4" s="86" t="s">
        <v>193</v>
      </c>
      <c r="C4" s="86" t="s">
        <v>194</v>
      </c>
      <c r="D4" s="86">
        <v>11001</v>
      </c>
      <c r="E4" s="86">
        <v>1</v>
      </c>
      <c r="F4" s="86">
        <v>101</v>
      </c>
      <c r="G4" s="86">
        <v>4</v>
      </c>
      <c r="H4" s="86">
        <v>0</v>
      </c>
      <c r="I4" s="86">
        <v>0</v>
      </c>
      <c r="J4" s="86">
        <v>4</v>
      </c>
      <c r="K4" s="86">
        <v>4</v>
      </c>
      <c r="L4" s="86">
        <v>0</v>
      </c>
      <c r="M4" s="93">
        <v>4</v>
      </c>
      <c r="N4" s="94" t="s">
        <v>194</v>
      </c>
      <c r="O4" s="98"/>
      <c r="P4" s="93">
        <v>0</v>
      </c>
      <c r="Q4" s="93">
        <v>0</v>
      </c>
      <c r="R4" s="100">
        <f t="shared" ref="R4:R35" si="0">M4</f>
        <v>4</v>
      </c>
    </row>
    <row r="5" customHeight="1" spans="1:18">
      <c r="A5" s="86">
        <v>2</v>
      </c>
      <c r="B5" s="86" t="s">
        <v>195</v>
      </c>
      <c r="C5" s="86" t="s">
        <v>196</v>
      </c>
      <c r="D5" s="86">
        <v>11002</v>
      </c>
      <c r="E5" s="86">
        <v>1</v>
      </c>
      <c r="F5" s="86">
        <v>101</v>
      </c>
      <c r="G5" s="86">
        <v>6</v>
      </c>
      <c r="H5" s="86">
        <v>0</v>
      </c>
      <c r="I5" s="86">
        <v>0</v>
      </c>
      <c r="J5" s="86">
        <v>6</v>
      </c>
      <c r="K5" s="86">
        <v>6</v>
      </c>
      <c r="L5" s="86">
        <v>0</v>
      </c>
      <c r="M5" s="93">
        <v>6</v>
      </c>
      <c r="N5" s="94" t="s">
        <v>196</v>
      </c>
      <c r="O5" s="98"/>
      <c r="P5" s="93">
        <v>0</v>
      </c>
      <c r="Q5" s="93">
        <v>0</v>
      </c>
      <c r="R5" s="100">
        <f t="shared" si="0"/>
        <v>6</v>
      </c>
    </row>
    <row r="6" customHeight="1" spans="1:18">
      <c r="A6" s="86">
        <v>3</v>
      </c>
      <c r="B6" s="86" t="s">
        <v>197</v>
      </c>
      <c r="C6" s="86" t="s">
        <v>198</v>
      </c>
      <c r="D6" s="86">
        <v>11003</v>
      </c>
      <c r="E6" s="86">
        <v>1</v>
      </c>
      <c r="F6" s="86">
        <v>101</v>
      </c>
      <c r="G6" s="86">
        <v>8</v>
      </c>
      <c r="H6" s="86">
        <v>0</v>
      </c>
      <c r="I6" s="86">
        <v>0</v>
      </c>
      <c r="J6" s="86">
        <v>8</v>
      </c>
      <c r="K6" s="86">
        <v>8</v>
      </c>
      <c r="L6" s="86">
        <v>0</v>
      </c>
      <c r="M6" s="93">
        <v>8</v>
      </c>
      <c r="N6" s="94" t="s">
        <v>198</v>
      </c>
      <c r="O6" s="98"/>
      <c r="P6" s="93">
        <v>0</v>
      </c>
      <c r="Q6" s="93">
        <v>0</v>
      </c>
      <c r="R6" s="100">
        <f t="shared" si="0"/>
        <v>8</v>
      </c>
    </row>
    <row r="7" customHeight="1" spans="1:18">
      <c r="A7" s="86">
        <v>4</v>
      </c>
      <c r="B7" s="86" t="s">
        <v>199</v>
      </c>
      <c r="C7" s="86" t="s">
        <v>200</v>
      </c>
      <c r="D7" s="86">
        <v>11004</v>
      </c>
      <c r="E7" s="86">
        <v>1</v>
      </c>
      <c r="F7" s="86">
        <v>101</v>
      </c>
      <c r="G7" s="86">
        <v>10</v>
      </c>
      <c r="H7" s="86">
        <v>0</v>
      </c>
      <c r="I7" s="86">
        <v>0</v>
      </c>
      <c r="J7" s="86">
        <v>10</v>
      </c>
      <c r="K7" s="86">
        <v>10</v>
      </c>
      <c r="L7" s="86">
        <v>0</v>
      </c>
      <c r="M7" s="93">
        <v>10</v>
      </c>
      <c r="N7" s="94" t="s">
        <v>200</v>
      </c>
      <c r="O7" s="98"/>
      <c r="P7" s="93">
        <v>0</v>
      </c>
      <c r="Q7" s="93">
        <v>0</v>
      </c>
      <c r="R7" s="100">
        <f t="shared" si="0"/>
        <v>10</v>
      </c>
    </row>
    <row r="8" customHeight="1" spans="1:18">
      <c r="A8" s="86">
        <v>5</v>
      </c>
      <c r="B8" s="86" t="s">
        <v>201</v>
      </c>
      <c r="C8" s="86" t="s">
        <v>202</v>
      </c>
      <c r="D8" s="86">
        <v>11005</v>
      </c>
      <c r="E8" s="86">
        <v>1</v>
      </c>
      <c r="F8" s="86">
        <v>101</v>
      </c>
      <c r="G8" s="86">
        <v>15</v>
      </c>
      <c r="H8" s="86">
        <v>0</v>
      </c>
      <c r="I8" s="86">
        <v>0</v>
      </c>
      <c r="J8" s="86">
        <v>15</v>
      </c>
      <c r="K8" s="86">
        <v>15</v>
      </c>
      <c r="L8" s="86">
        <v>0</v>
      </c>
      <c r="M8" s="93">
        <v>15</v>
      </c>
      <c r="N8" s="94" t="s">
        <v>202</v>
      </c>
      <c r="O8" s="98"/>
      <c r="P8" s="93">
        <v>0</v>
      </c>
      <c r="Q8" s="93">
        <v>0</v>
      </c>
      <c r="R8" s="100">
        <f t="shared" si="0"/>
        <v>15</v>
      </c>
    </row>
    <row r="9" customHeight="1" spans="1:18">
      <c r="A9" s="86">
        <v>6</v>
      </c>
      <c r="B9" s="88" t="s">
        <v>203</v>
      </c>
      <c r="C9" s="86" t="s">
        <v>204</v>
      </c>
      <c r="D9" s="86">
        <v>11006</v>
      </c>
      <c r="E9" s="86">
        <v>1</v>
      </c>
      <c r="F9" s="86">
        <v>101</v>
      </c>
      <c r="G9" s="86">
        <v>20</v>
      </c>
      <c r="H9" s="86">
        <v>0</v>
      </c>
      <c r="I9" s="86">
        <v>0</v>
      </c>
      <c r="J9" s="86">
        <v>20</v>
      </c>
      <c r="K9" s="86">
        <v>20</v>
      </c>
      <c r="L9" s="86">
        <v>0</v>
      </c>
      <c r="M9" s="93">
        <v>20</v>
      </c>
      <c r="N9" s="94" t="s">
        <v>204</v>
      </c>
      <c r="O9" s="98"/>
      <c r="P9" s="93">
        <v>0</v>
      </c>
      <c r="Q9" s="93">
        <v>0</v>
      </c>
      <c r="R9" s="100">
        <f t="shared" si="0"/>
        <v>20</v>
      </c>
    </row>
    <row r="10" customHeight="1" spans="1:18">
      <c r="A10" s="86">
        <v>7</v>
      </c>
      <c r="B10" s="89" t="s">
        <v>205</v>
      </c>
      <c r="C10" s="86" t="s">
        <v>206</v>
      </c>
      <c r="D10" s="86">
        <v>11007</v>
      </c>
      <c r="E10" s="86">
        <v>1</v>
      </c>
      <c r="F10" s="86">
        <v>101</v>
      </c>
      <c r="G10" s="86">
        <v>30</v>
      </c>
      <c r="H10" s="86">
        <v>0</v>
      </c>
      <c r="I10" s="86">
        <v>0</v>
      </c>
      <c r="J10" s="86">
        <v>30</v>
      </c>
      <c r="K10" s="86">
        <v>30</v>
      </c>
      <c r="L10" s="86">
        <v>0</v>
      </c>
      <c r="M10" s="93">
        <v>31</v>
      </c>
      <c r="N10" s="94" t="s">
        <v>206</v>
      </c>
      <c r="O10" s="98"/>
      <c r="P10" s="93">
        <v>100</v>
      </c>
      <c r="Q10" s="93">
        <v>100</v>
      </c>
      <c r="R10" s="100">
        <f t="shared" si="0"/>
        <v>31</v>
      </c>
    </row>
    <row r="11" customHeight="1" spans="1:18">
      <c r="A11" s="86">
        <v>8</v>
      </c>
      <c r="B11" s="89" t="s">
        <v>207</v>
      </c>
      <c r="C11" s="86" t="s">
        <v>208</v>
      </c>
      <c r="D11" s="86">
        <v>11008</v>
      </c>
      <c r="E11" s="86">
        <v>1</v>
      </c>
      <c r="F11" s="86">
        <v>101</v>
      </c>
      <c r="G11" s="86">
        <v>40</v>
      </c>
      <c r="H11" s="86">
        <v>0</v>
      </c>
      <c r="I11" s="86">
        <v>0</v>
      </c>
      <c r="J11" s="86">
        <v>40</v>
      </c>
      <c r="K11" s="86">
        <v>40</v>
      </c>
      <c r="L11" s="86">
        <v>0</v>
      </c>
      <c r="M11" s="93">
        <v>41</v>
      </c>
      <c r="N11" s="94" t="s">
        <v>208</v>
      </c>
      <c r="O11" s="98"/>
      <c r="P11" s="93">
        <v>100</v>
      </c>
      <c r="Q11" s="93">
        <v>100</v>
      </c>
      <c r="R11" s="100">
        <f t="shared" si="0"/>
        <v>41</v>
      </c>
    </row>
    <row r="12" customHeight="1" spans="1:18">
      <c r="A12" s="86">
        <v>9</v>
      </c>
      <c r="B12" s="89" t="s">
        <v>209</v>
      </c>
      <c r="C12" s="86" t="s">
        <v>210</v>
      </c>
      <c r="D12" s="86">
        <v>11009</v>
      </c>
      <c r="E12" s="86">
        <v>1</v>
      </c>
      <c r="F12" s="86">
        <v>101</v>
      </c>
      <c r="G12" s="86">
        <v>60</v>
      </c>
      <c r="H12" s="86">
        <v>0</v>
      </c>
      <c r="I12" s="86">
        <v>0</v>
      </c>
      <c r="J12" s="86">
        <v>60</v>
      </c>
      <c r="K12" s="86">
        <v>60</v>
      </c>
      <c r="L12" s="86">
        <v>0</v>
      </c>
      <c r="M12" s="93">
        <v>61</v>
      </c>
      <c r="N12" s="94" t="s">
        <v>210</v>
      </c>
      <c r="O12" s="98"/>
      <c r="P12" s="93">
        <v>100</v>
      </c>
      <c r="Q12" s="93">
        <v>100</v>
      </c>
      <c r="R12" s="100">
        <f t="shared" si="0"/>
        <v>61</v>
      </c>
    </row>
    <row r="13" customHeight="1" spans="1:18">
      <c r="A13" s="86">
        <v>10</v>
      </c>
      <c r="B13" s="89" t="s">
        <v>211</v>
      </c>
      <c r="C13" s="86" t="s">
        <v>212</v>
      </c>
      <c r="D13" s="86">
        <v>11085</v>
      </c>
      <c r="E13" s="86">
        <v>1</v>
      </c>
      <c r="F13" s="86">
        <v>101</v>
      </c>
      <c r="G13" s="86">
        <v>40</v>
      </c>
      <c r="H13" s="86">
        <v>0</v>
      </c>
      <c r="I13" s="86">
        <v>0</v>
      </c>
      <c r="J13" s="86">
        <v>40</v>
      </c>
      <c r="K13" s="86">
        <v>40</v>
      </c>
      <c r="L13" s="86">
        <v>0</v>
      </c>
      <c r="M13" s="93">
        <v>41</v>
      </c>
      <c r="N13" s="94" t="s">
        <v>212</v>
      </c>
      <c r="O13" s="98"/>
      <c r="P13" s="93">
        <v>100</v>
      </c>
      <c r="Q13" s="93">
        <v>100</v>
      </c>
      <c r="R13" s="100">
        <f t="shared" si="0"/>
        <v>41</v>
      </c>
    </row>
    <row r="14" customHeight="1" spans="1:18">
      <c r="A14" s="86">
        <v>11</v>
      </c>
      <c r="B14" s="89" t="s">
        <v>213</v>
      </c>
      <c r="C14" s="86" t="s">
        <v>214</v>
      </c>
      <c r="D14" s="86">
        <v>11086</v>
      </c>
      <c r="E14" s="86">
        <v>1</v>
      </c>
      <c r="F14" s="86">
        <v>101</v>
      </c>
      <c r="G14" s="86">
        <v>60</v>
      </c>
      <c r="H14" s="86">
        <v>0</v>
      </c>
      <c r="I14" s="86">
        <v>0</v>
      </c>
      <c r="J14" s="86">
        <v>60</v>
      </c>
      <c r="K14" s="86">
        <v>60</v>
      </c>
      <c r="L14" s="86">
        <v>0</v>
      </c>
      <c r="M14" s="93">
        <v>61</v>
      </c>
      <c r="N14" s="94" t="s">
        <v>214</v>
      </c>
      <c r="O14" s="98"/>
      <c r="P14" s="93">
        <v>100</v>
      </c>
      <c r="Q14" s="93">
        <v>100</v>
      </c>
      <c r="R14" s="100">
        <f t="shared" si="0"/>
        <v>61</v>
      </c>
    </row>
    <row r="15" customHeight="1" spans="1:18">
      <c r="A15" s="86">
        <v>12</v>
      </c>
      <c r="B15" s="89" t="s">
        <v>215</v>
      </c>
      <c r="C15" s="86" t="s">
        <v>216</v>
      </c>
      <c r="D15" s="86">
        <v>11010</v>
      </c>
      <c r="E15" s="86">
        <v>1</v>
      </c>
      <c r="F15" s="86">
        <v>101</v>
      </c>
      <c r="G15" s="86">
        <v>80</v>
      </c>
      <c r="H15" s="86">
        <v>0</v>
      </c>
      <c r="I15" s="86">
        <v>0</v>
      </c>
      <c r="J15" s="86">
        <v>80</v>
      </c>
      <c r="K15" s="86">
        <v>80</v>
      </c>
      <c r="L15" s="86">
        <v>0</v>
      </c>
      <c r="M15" s="93">
        <v>82</v>
      </c>
      <c r="N15" s="94" t="s">
        <v>216</v>
      </c>
      <c r="O15" s="98"/>
      <c r="P15" s="93">
        <v>100</v>
      </c>
      <c r="Q15" s="93">
        <v>200</v>
      </c>
      <c r="R15" s="100">
        <f t="shared" si="0"/>
        <v>82</v>
      </c>
    </row>
    <row r="16" customHeight="1" spans="1:18">
      <c r="A16" s="86">
        <v>13</v>
      </c>
      <c r="B16" s="89" t="s">
        <v>217</v>
      </c>
      <c r="C16" s="86" t="s">
        <v>218</v>
      </c>
      <c r="D16" s="86">
        <v>11011</v>
      </c>
      <c r="E16" s="86">
        <v>1</v>
      </c>
      <c r="F16" s="86">
        <v>101</v>
      </c>
      <c r="G16" s="86">
        <v>100</v>
      </c>
      <c r="H16" s="86">
        <v>0</v>
      </c>
      <c r="I16" s="86">
        <v>0</v>
      </c>
      <c r="J16" s="86">
        <v>100</v>
      </c>
      <c r="K16" s="86">
        <v>100</v>
      </c>
      <c r="L16" s="86">
        <v>0</v>
      </c>
      <c r="M16" s="93">
        <v>102</v>
      </c>
      <c r="N16" s="94" t="s">
        <v>218</v>
      </c>
      <c r="O16" s="98"/>
      <c r="P16" s="93">
        <v>100</v>
      </c>
      <c r="Q16" s="93">
        <v>200</v>
      </c>
      <c r="R16" s="100">
        <f t="shared" si="0"/>
        <v>102</v>
      </c>
    </row>
    <row r="17" customHeight="1" spans="1:18">
      <c r="A17" s="86">
        <v>14</v>
      </c>
      <c r="B17" s="89" t="s">
        <v>219</v>
      </c>
      <c r="C17" s="86" t="s">
        <v>220</v>
      </c>
      <c r="D17" s="86">
        <v>11012</v>
      </c>
      <c r="E17" s="86">
        <v>1</v>
      </c>
      <c r="F17" s="86">
        <v>101</v>
      </c>
      <c r="G17" s="86">
        <v>120</v>
      </c>
      <c r="H17" s="86">
        <v>0</v>
      </c>
      <c r="I17" s="86">
        <v>0</v>
      </c>
      <c r="J17" s="86">
        <v>120</v>
      </c>
      <c r="K17" s="86">
        <v>120</v>
      </c>
      <c r="L17" s="86">
        <v>0</v>
      </c>
      <c r="M17" s="93">
        <v>123</v>
      </c>
      <c r="N17" s="94" t="s">
        <v>220</v>
      </c>
      <c r="O17" s="98"/>
      <c r="P17" s="93">
        <v>100</v>
      </c>
      <c r="Q17" s="93">
        <v>300</v>
      </c>
      <c r="R17" s="100">
        <f t="shared" si="0"/>
        <v>123</v>
      </c>
    </row>
    <row r="18" customHeight="1" spans="1:18">
      <c r="A18" s="86">
        <v>15</v>
      </c>
      <c r="B18" s="89" t="s">
        <v>221</v>
      </c>
      <c r="C18" s="86" t="s">
        <v>222</v>
      </c>
      <c r="D18" s="86">
        <v>11013</v>
      </c>
      <c r="E18" s="86">
        <v>1</v>
      </c>
      <c r="F18" s="86">
        <v>101</v>
      </c>
      <c r="G18" s="86">
        <v>140</v>
      </c>
      <c r="H18" s="86">
        <v>0</v>
      </c>
      <c r="I18" s="86">
        <v>0</v>
      </c>
      <c r="J18" s="86">
        <v>140</v>
      </c>
      <c r="K18" s="86">
        <v>140</v>
      </c>
      <c r="L18" s="86">
        <v>0</v>
      </c>
      <c r="M18" s="93">
        <v>143</v>
      </c>
      <c r="N18" s="94" t="s">
        <v>222</v>
      </c>
      <c r="O18" s="98"/>
      <c r="P18" s="93">
        <v>100</v>
      </c>
      <c r="Q18" s="93">
        <v>300</v>
      </c>
      <c r="R18" s="100">
        <f t="shared" si="0"/>
        <v>143</v>
      </c>
    </row>
    <row r="19" customHeight="1" spans="1:18">
      <c r="A19" s="86">
        <v>16</v>
      </c>
      <c r="B19" s="89" t="s">
        <v>223</v>
      </c>
      <c r="C19" s="86" t="s">
        <v>224</v>
      </c>
      <c r="D19" s="86">
        <v>11014</v>
      </c>
      <c r="E19" s="86">
        <v>1</v>
      </c>
      <c r="F19" s="86">
        <v>101</v>
      </c>
      <c r="G19" s="86">
        <v>160</v>
      </c>
      <c r="H19" s="86">
        <v>0</v>
      </c>
      <c r="I19" s="86">
        <v>0</v>
      </c>
      <c r="J19" s="86">
        <v>160</v>
      </c>
      <c r="K19" s="86">
        <v>160</v>
      </c>
      <c r="L19" s="86">
        <v>0</v>
      </c>
      <c r="M19" s="93">
        <v>164</v>
      </c>
      <c r="N19" s="94" t="s">
        <v>224</v>
      </c>
      <c r="O19" s="98"/>
      <c r="P19" s="93">
        <v>100</v>
      </c>
      <c r="Q19" s="93">
        <v>400</v>
      </c>
      <c r="R19" s="100">
        <f t="shared" si="0"/>
        <v>164</v>
      </c>
    </row>
    <row r="20" customHeight="1" spans="1:18">
      <c r="A20" s="86">
        <v>17</v>
      </c>
      <c r="B20" s="89" t="s">
        <v>225</v>
      </c>
      <c r="C20" s="86" t="s">
        <v>226</v>
      </c>
      <c r="D20" s="86">
        <v>11087</v>
      </c>
      <c r="E20" s="86">
        <v>1</v>
      </c>
      <c r="F20" s="86">
        <v>101</v>
      </c>
      <c r="G20" s="86">
        <v>180</v>
      </c>
      <c r="H20" s="86">
        <v>0</v>
      </c>
      <c r="I20" s="86">
        <v>0</v>
      </c>
      <c r="J20" s="86">
        <v>180</v>
      </c>
      <c r="K20" s="86">
        <v>180</v>
      </c>
      <c r="L20" s="86">
        <v>0</v>
      </c>
      <c r="M20" s="93">
        <v>184</v>
      </c>
      <c r="N20" s="94" t="s">
        <v>226</v>
      </c>
      <c r="O20" s="98"/>
      <c r="P20" s="93">
        <v>100</v>
      </c>
      <c r="Q20" s="93">
        <v>400</v>
      </c>
      <c r="R20" s="100">
        <f t="shared" si="0"/>
        <v>184</v>
      </c>
    </row>
    <row r="21" customHeight="1" spans="1:18">
      <c r="A21" s="86">
        <v>18</v>
      </c>
      <c r="B21" s="89" t="s">
        <v>227</v>
      </c>
      <c r="C21" s="86" t="s">
        <v>228</v>
      </c>
      <c r="D21" s="86">
        <v>11015</v>
      </c>
      <c r="E21" s="86">
        <v>1</v>
      </c>
      <c r="F21" s="86">
        <v>101</v>
      </c>
      <c r="G21" s="86">
        <v>200</v>
      </c>
      <c r="H21" s="86">
        <v>0</v>
      </c>
      <c r="I21" s="86">
        <v>0</v>
      </c>
      <c r="J21" s="86">
        <v>200</v>
      </c>
      <c r="K21" s="86">
        <v>200</v>
      </c>
      <c r="L21" s="86">
        <v>0</v>
      </c>
      <c r="M21" s="93">
        <v>205</v>
      </c>
      <c r="N21" s="94" t="s">
        <v>228</v>
      </c>
      <c r="O21" s="98"/>
      <c r="P21" s="93">
        <v>100</v>
      </c>
      <c r="Q21" s="93">
        <v>500</v>
      </c>
      <c r="R21" s="100">
        <f t="shared" si="0"/>
        <v>205</v>
      </c>
    </row>
    <row r="22" customHeight="1" spans="1:18">
      <c r="A22" s="86">
        <v>19</v>
      </c>
      <c r="B22" s="89" t="s">
        <v>229</v>
      </c>
      <c r="C22" s="86" t="s">
        <v>230</v>
      </c>
      <c r="D22" s="86">
        <v>11016</v>
      </c>
      <c r="E22" s="86">
        <v>1</v>
      </c>
      <c r="F22" s="86">
        <v>101</v>
      </c>
      <c r="G22" s="86">
        <v>240</v>
      </c>
      <c r="H22" s="86">
        <v>0</v>
      </c>
      <c r="I22" s="86">
        <v>0</v>
      </c>
      <c r="J22" s="86">
        <v>240</v>
      </c>
      <c r="K22" s="86">
        <v>240</v>
      </c>
      <c r="L22" s="86">
        <v>0</v>
      </c>
      <c r="M22" s="93">
        <v>246</v>
      </c>
      <c r="N22" s="94" t="s">
        <v>230</v>
      </c>
      <c r="O22" s="98"/>
      <c r="P22" s="93">
        <v>100</v>
      </c>
      <c r="Q22" s="93">
        <v>600</v>
      </c>
      <c r="R22" s="100">
        <f t="shared" si="0"/>
        <v>246</v>
      </c>
    </row>
    <row r="23" customHeight="1" spans="1:18">
      <c r="A23" s="86">
        <v>20</v>
      </c>
      <c r="B23" s="89" t="s">
        <v>231</v>
      </c>
      <c r="C23" s="86" t="s">
        <v>232</v>
      </c>
      <c r="D23" s="86">
        <v>11017</v>
      </c>
      <c r="E23" s="86">
        <v>1</v>
      </c>
      <c r="F23" s="86">
        <v>101</v>
      </c>
      <c r="G23" s="86">
        <v>280</v>
      </c>
      <c r="H23" s="86">
        <v>0</v>
      </c>
      <c r="I23" s="86">
        <v>0</v>
      </c>
      <c r="J23" s="86">
        <v>280</v>
      </c>
      <c r="K23" s="86">
        <v>280</v>
      </c>
      <c r="L23" s="86">
        <v>0</v>
      </c>
      <c r="M23" s="93">
        <v>287</v>
      </c>
      <c r="N23" s="94" t="s">
        <v>232</v>
      </c>
      <c r="O23" s="98"/>
      <c r="P23" s="93">
        <v>100</v>
      </c>
      <c r="Q23" s="93">
        <v>700</v>
      </c>
      <c r="R23" s="100">
        <f t="shared" si="0"/>
        <v>287</v>
      </c>
    </row>
    <row r="24" customHeight="1" spans="1:18">
      <c r="A24" s="86">
        <v>21</v>
      </c>
      <c r="B24" s="89" t="s">
        <v>233</v>
      </c>
      <c r="C24" s="86" t="s">
        <v>234</v>
      </c>
      <c r="D24" s="86">
        <v>11088</v>
      </c>
      <c r="E24" s="86">
        <v>1</v>
      </c>
      <c r="F24" s="86">
        <v>101</v>
      </c>
      <c r="G24" s="86">
        <v>320</v>
      </c>
      <c r="H24" s="86">
        <v>0</v>
      </c>
      <c r="I24" s="86">
        <v>0</v>
      </c>
      <c r="J24" s="86">
        <v>320</v>
      </c>
      <c r="K24" s="86">
        <v>320</v>
      </c>
      <c r="L24" s="86">
        <v>0</v>
      </c>
      <c r="M24" s="93">
        <v>328</v>
      </c>
      <c r="N24" s="94" t="s">
        <v>234</v>
      </c>
      <c r="O24" s="98"/>
      <c r="P24" s="93">
        <v>100</v>
      </c>
      <c r="Q24" s="93">
        <v>800</v>
      </c>
      <c r="R24" s="100">
        <f t="shared" si="0"/>
        <v>328</v>
      </c>
    </row>
    <row r="25" customHeight="1" spans="1:18">
      <c r="A25" s="86">
        <v>22</v>
      </c>
      <c r="B25" s="89" t="s">
        <v>235</v>
      </c>
      <c r="C25" s="90" t="s">
        <v>236</v>
      </c>
      <c r="D25" s="86">
        <v>11019</v>
      </c>
      <c r="E25" s="86">
        <v>1</v>
      </c>
      <c r="F25" s="86">
        <v>101</v>
      </c>
      <c r="G25" s="86">
        <v>360</v>
      </c>
      <c r="H25" s="86">
        <v>0</v>
      </c>
      <c r="I25" s="86">
        <v>0</v>
      </c>
      <c r="J25" s="86">
        <v>360</v>
      </c>
      <c r="K25" s="86">
        <v>360</v>
      </c>
      <c r="L25" s="86">
        <v>0</v>
      </c>
      <c r="M25" s="93">
        <v>369</v>
      </c>
      <c r="N25" s="99" t="s">
        <v>236</v>
      </c>
      <c r="O25" s="98"/>
      <c r="P25" s="93">
        <v>100</v>
      </c>
      <c r="Q25" s="93">
        <v>900</v>
      </c>
      <c r="R25" s="100">
        <f t="shared" si="0"/>
        <v>369</v>
      </c>
    </row>
    <row r="26" customHeight="1" spans="1:18">
      <c r="A26" s="86">
        <v>23</v>
      </c>
      <c r="B26" s="89" t="s">
        <v>237</v>
      </c>
      <c r="C26" s="86" t="s">
        <v>238</v>
      </c>
      <c r="D26" s="86">
        <v>11018</v>
      </c>
      <c r="E26" s="86">
        <v>1</v>
      </c>
      <c r="F26" s="86">
        <v>101</v>
      </c>
      <c r="G26" s="86">
        <v>400</v>
      </c>
      <c r="H26" s="86">
        <v>0</v>
      </c>
      <c r="I26" s="86">
        <v>0</v>
      </c>
      <c r="J26" s="86">
        <v>400</v>
      </c>
      <c r="K26" s="86">
        <v>400</v>
      </c>
      <c r="L26" s="86">
        <v>0</v>
      </c>
      <c r="M26" s="93">
        <v>410</v>
      </c>
      <c r="N26" s="94" t="s">
        <v>238</v>
      </c>
      <c r="O26" s="98"/>
      <c r="P26" s="97">
        <v>100</v>
      </c>
      <c r="Q26" s="101">
        <v>1000</v>
      </c>
      <c r="R26" s="100">
        <f t="shared" si="0"/>
        <v>410</v>
      </c>
    </row>
    <row r="27" customHeight="1" spans="1:18">
      <c r="A27" s="86">
        <v>24</v>
      </c>
      <c r="B27" s="89" t="s">
        <v>239</v>
      </c>
      <c r="C27" s="86" t="s">
        <v>240</v>
      </c>
      <c r="D27" s="86">
        <v>11092</v>
      </c>
      <c r="E27" s="86">
        <v>1</v>
      </c>
      <c r="F27" s="86">
        <v>101</v>
      </c>
      <c r="G27" s="86">
        <v>450</v>
      </c>
      <c r="H27" s="86">
        <v>0</v>
      </c>
      <c r="I27" s="86">
        <v>0</v>
      </c>
      <c r="J27" s="86">
        <v>450</v>
      </c>
      <c r="K27" s="86">
        <v>450</v>
      </c>
      <c r="L27" s="86">
        <v>0</v>
      </c>
      <c r="M27" s="93">
        <v>461</v>
      </c>
      <c r="N27" s="94" t="s">
        <v>240</v>
      </c>
      <c r="O27" s="98"/>
      <c r="P27" s="97">
        <v>100</v>
      </c>
      <c r="Q27" s="101">
        <v>1100</v>
      </c>
      <c r="R27" s="100">
        <f t="shared" si="0"/>
        <v>461</v>
      </c>
    </row>
    <row r="28" customHeight="1" spans="1:18">
      <c r="A28" s="86">
        <v>25</v>
      </c>
      <c r="B28" s="89" t="s">
        <v>241</v>
      </c>
      <c r="C28" s="86" t="s">
        <v>242</v>
      </c>
      <c r="D28" s="86">
        <v>11020</v>
      </c>
      <c r="E28" s="86">
        <v>1</v>
      </c>
      <c r="F28" s="86">
        <v>101</v>
      </c>
      <c r="G28" s="86">
        <v>500</v>
      </c>
      <c r="H28" s="86">
        <v>0</v>
      </c>
      <c r="I28" s="86">
        <v>0</v>
      </c>
      <c r="J28" s="86">
        <v>500</v>
      </c>
      <c r="K28" s="86">
        <v>500</v>
      </c>
      <c r="L28" s="86">
        <v>0</v>
      </c>
      <c r="M28" s="93">
        <v>512</v>
      </c>
      <c r="N28" s="94" t="s">
        <v>242</v>
      </c>
      <c r="O28" s="98"/>
      <c r="P28" s="97">
        <v>100</v>
      </c>
      <c r="Q28" s="101">
        <v>1200</v>
      </c>
      <c r="R28" s="100">
        <f t="shared" si="0"/>
        <v>512</v>
      </c>
    </row>
    <row r="29" customHeight="1" spans="1:18">
      <c r="A29" s="86">
        <v>26</v>
      </c>
      <c r="B29" s="89" t="s">
        <v>243</v>
      </c>
      <c r="C29" s="90" t="s">
        <v>244</v>
      </c>
      <c r="D29" s="86">
        <v>11089</v>
      </c>
      <c r="E29" s="86">
        <v>1</v>
      </c>
      <c r="F29" s="86">
        <v>101</v>
      </c>
      <c r="G29" s="86">
        <v>550</v>
      </c>
      <c r="H29" s="86">
        <v>0</v>
      </c>
      <c r="I29" s="86">
        <v>0</v>
      </c>
      <c r="J29" s="86">
        <v>550</v>
      </c>
      <c r="K29" s="86">
        <v>550</v>
      </c>
      <c r="L29" s="86">
        <v>0</v>
      </c>
      <c r="M29" s="93">
        <v>563</v>
      </c>
      <c r="N29" s="99" t="s">
        <v>244</v>
      </c>
      <c r="O29" s="98"/>
      <c r="P29" s="97">
        <v>100</v>
      </c>
      <c r="Q29" s="101">
        <v>1300</v>
      </c>
      <c r="R29" s="100">
        <f t="shared" si="0"/>
        <v>563</v>
      </c>
    </row>
    <row r="30" customHeight="1" spans="1:18">
      <c r="A30" s="86">
        <v>27</v>
      </c>
      <c r="B30" s="89" t="s">
        <v>245</v>
      </c>
      <c r="C30" s="86" t="s">
        <v>246</v>
      </c>
      <c r="D30" s="86">
        <v>11021</v>
      </c>
      <c r="E30" s="86">
        <v>1</v>
      </c>
      <c r="F30" s="86">
        <v>101</v>
      </c>
      <c r="G30" s="86">
        <v>600</v>
      </c>
      <c r="H30" s="86">
        <v>0</v>
      </c>
      <c r="I30" s="86">
        <v>0</v>
      </c>
      <c r="J30" s="86">
        <v>600</v>
      </c>
      <c r="K30" s="86">
        <v>600</v>
      </c>
      <c r="L30" s="86">
        <v>0</v>
      </c>
      <c r="M30" s="93">
        <v>615</v>
      </c>
      <c r="N30" s="94" t="s">
        <v>246</v>
      </c>
      <c r="O30" s="98"/>
      <c r="P30" s="97">
        <v>100</v>
      </c>
      <c r="Q30" s="101">
        <v>1500</v>
      </c>
      <c r="R30" s="100">
        <f t="shared" si="0"/>
        <v>615</v>
      </c>
    </row>
    <row r="31" customHeight="1" spans="1:18">
      <c r="A31" s="86">
        <v>28</v>
      </c>
      <c r="B31" s="89" t="s">
        <v>247</v>
      </c>
      <c r="C31" s="90" t="s">
        <v>248</v>
      </c>
      <c r="D31" s="86">
        <v>11022</v>
      </c>
      <c r="E31" s="86">
        <v>1</v>
      </c>
      <c r="F31" s="86">
        <v>101</v>
      </c>
      <c r="G31" s="86">
        <v>650</v>
      </c>
      <c r="H31" s="86">
        <v>0</v>
      </c>
      <c r="I31" s="86">
        <v>0</v>
      </c>
      <c r="J31" s="86">
        <v>650</v>
      </c>
      <c r="K31" s="86">
        <v>650</v>
      </c>
      <c r="L31" s="86">
        <v>0</v>
      </c>
      <c r="M31" s="93">
        <v>666</v>
      </c>
      <c r="N31" s="99" t="s">
        <v>248</v>
      </c>
      <c r="O31" s="98"/>
      <c r="P31" s="97">
        <v>100</v>
      </c>
      <c r="Q31" s="101">
        <v>1600</v>
      </c>
      <c r="R31" s="100">
        <f t="shared" si="0"/>
        <v>666</v>
      </c>
    </row>
    <row r="32" customHeight="1" spans="1:18">
      <c r="A32" s="86">
        <v>29</v>
      </c>
      <c r="B32" s="89" t="s">
        <v>249</v>
      </c>
      <c r="C32" s="86" t="s">
        <v>250</v>
      </c>
      <c r="D32" s="86">
        <v>11023</v>
      </c>
      <c r="E32" s="86">
        <v>1</v>
      </c>
      <c r="F32" s="86">
        <v>101</v>
      </c>
      <c r="G32" s="86">
        <v>700</v>
      </c>
      <c r="H32" s="86">
        <v>0</v>
      </c>
      <c r="I32" s="86">
        <v>0</v>
      </c>
      <c r="J32" s="86">
        <v>700</v>
      </c>
      <c r="K32" s="86">
        <v>700</v>
      </c>
      <c r="L32" s="86">
        <v>0</v>
      </c>
      <c r="M32" s="93">
        <v>717</v>
      </c>
      <c r="N32" s="94" t="s">
        <v>250</v>
      </c>
      <c r="O32" s="98"/>
      <c r="P32" s="97">
        <v>100</v>
      </c>
      <c r="Q32" s="101">
        <v>1700</v>
      </c>
      <c r="R32" s="100">
        <f t="shared" si="0"/>
        <v>717</v>
      </c>
    </row>
    <row r="33" customHeight="1" spans="1:18">
      <c r="A33" s="86">
        <v>30</v>
      </c>
      <c r="B33" s="89" t="s">
        <v>251</v>
      </c>
      <c r="C33" s="86" t="s">
        <v>252</v>
      </c>
      <c r="D33" s="86">
        <v>11091</v>
      </c>
      <c r="E33" s="86">
        <v>1</v>
      </c>
      <c r="F33" s="86">
        <v>101</v>
      </c>
      <c r="G33" s="86">
        <v>800</v>
      </c>
      <c r="H33" s="86">
        <v>0</v>
      </c>
      <c r="I33" s="86">
        <v>0</v>
      </c>
      <c r="J33" s="86">
        <v>800</v>
      </c>
      <c r="K33" s="86">
        <v>800</v>
      </c>
      <c r="L33" s="86">
        <v>0</v>
      </c>
      <c r="M33" s="93">
        <v>820</v>
      </c>
      <c r="N33" s="94" t="s">
        <v>252</v>
      </c>
      <c r="O33" s="98"/>
      <c r="P33" s="97">
        <v>100</v>
      </c>
      <c r="Q33" s="101">
        <v>2000</v>
      </c>
      <c r="R33" s="100">
        <f t="shared" si="0"/>
        <v>820</v>
      </c>
    </row>
    <row r="34" customHeight="1" spans="1:18">
      <c r="A34" s="86">
        <v>31</v>
      </c>
      <c r="B34" s="89" t="s">
        <v>253</v>
      </c>
      <c r="C34" s="86" t="s">
        <v>254</v>
      </c>
      <c r="D34" s="86">
        <v>11024</v>
      </c>
      <c r="E34" s="86">
        <v>1</v>
      </c>
      <c r="F34" s="86">
        <v>101</v>
      </c>
      <c r="G34" s="86">
        <v>1000</v>
      </c>
      <c r="H34" s="86">
        <v>0</v>
      </c>
      <c r="I34" s="86">
        <v>0</v>
      </c>
      <c r="J34" s="86">
        <v>1000</v>
      </c>
      <c r="K34" s="86">
        <v>1000</v>
      </c>
      <c r="L34" s="86">
        <v>0</v>
      </c>
      <c r="M34" s="93">
        <v>1025</v>
      </c>
      <c r="N34" s="94" t="s">
        <v>254</v>
      </c>
      <c r="O34" s="98"/>
      <c r="P34" s="97">
        <v>100</v>
      </c>
      <c r="Q34" s="101">
        <v>2500</v>
      </c>
      <c r="R34" s="100">
        <f t="shared" si="0"/>
        <v>1025</v>
      </c>
    </row>
    <row r="35" customHeight="1" spans="1:18">
      <c r="A35" s="86">
        <v>32</v>
      </c>
      <c r="B35" s="89" t="s">
        <v>255</v>
      </c>
      <c r="C35" s="86" t="s">
        <v>256</v>
      </c>
      <c r="D35" s="86">
        <v>11090</v>
      </c>
      <c r="E35" s="86">
        <v>1</v>
      </c>
      <c r="F35" s="86">
        <v>101</v>
      </c>
      <c r="G35" s="86">
        <v>900</v>
      </c>
      <c r="H35" s="86">
        <v>0</v>
      </c>
      <c r="I35" s="86">
        <v>0</v>
      </c>
      <c r="J35" s="86">
        <v>900</v>
      </c>
      <c r="K35" s="86">
        <v>900</v>
      </c>
      <c r="L35" s="86">
        <v>0</v>
      </c>
      <c r="M35" s="93">
        <v>922</v>
      </c>
      <c r="N35" s="94" t="s">
        <v>256</v>
      </c>
      <c r="O35" s="98"/>
      <c r="P35" s="97">
        <v>100</v>
      </c>
      <c r="Q35" s="101">
        <v>2200</v>
      </c>
      <c r="R35" s="100">
        <f t="shared" si="0"/>
        <v>922</v>
      </c>
    </row>
    <row r="36" customHeight="1" spans="1:18">
      <c r="A36" s="86">
        <v>33</v>
      </c>
      <c r="B36" s="89" t="s">
        <v>257</v>
      </c>
      <c r="C36" s="86" t="s">
        <v>258</v>
      </c>
      <c r="D36" s="86">
        <v>11025</v>
      </c>
      <c r="E36" s="86">
        <v>1</v>
      </c>
      <c r="F36" s="86">
        <v>101</v>
      </c>
      <c r="G36" s="86">
        <v>1200</v>
      </c>
      <c r="H36" s="86">
        <v>0</v>
      </c>
      <c r="I36" s="86">
        <v>0</v>
      </c>
      <c r="J36" s="86">
        <v>1200</v>
      </c>
      <c r="K36" s="86">
        <v>1200</v>
      </c>
      <c r="L36" s="86">
        <v>0</v>
      </c>
      <c r="M36" s="93">
        <v>1230</v>
      </c>
      <c r="N36" s="94" t="s">
        <v>258</v>
      </c>
      <c r="O36" s="98"/>
      <c r="P36" s="97">
        <v>100</v>
      </c>
      <c r="Q36" s="101">
        <v>3000</v>
      </c>
      <c r="R36" s="100">
        <f t="shared" ref="R36:R67" si="1">M36</f>
        <v>1230</v>
      </c>
    </row>
    <row r="37" customHeight="1" spans="1:18">
      <c r="A37" s="86">
        <v>34</v>
      </c>
      <c r="B37" s="89" t="s">
        <v>259</v>
      </c>
      <c r="C37" s="86" t="s">
        <v>260</v>
      </c>
      <c r="D37" s="86">
        <v>11026</v>
      </c>
      <c r="E37" s="86">
        <v>1</v>
      </c>
      <c r="F37" s="86">
        <v>101</v>
      </c>
      <c r="G37" s="86">
        <v>1600</v>
      </c>
      <c r="H37" s="86">
        <v>0</v>
      </c>
      <c r="I37" s="86">
        <v>0</v>
      </c>
      <c r="J37" s="86">
        <v>1600</v>
      </c>
      <c r="K37" s="86">
        <v>1600</v>
      </c>
      <c r="L37" s="86">
        <v>0</v>
      </c>
      <c r="M37" s="93">
        <v>1640</v>
      </c>
      <c r="N37" s="94" t="s">
        <v>260</v>
      </c>
      <c r="O37" s="98"/>
      <c r="P37" s="97">
        <v>100</v>
      </c>
      <c r="Q37" s="101">
        <v>4000</v>
      </c>
      <c r="R37" s="100">
        <f t="shared" si="1"/>
        <v>1640</v>
      </c>
    </row>
    <row r="38" customHeight="1" spans="1:18">
      <c r="A38" s="86">
        <v>35</v>
      </c>
      <c r="B38" s="89" t="s">
        <v>261</v>
      </c>
      <c r="C38" s="86" t="s">
        <v>262</v>
      </c>
      <c r="D38" s="86">
        <v>11093</v>
      </c>
      <c r="E38" s="86">
        <v>1</v>
      </c>
      <c r="F38" s="86">
        <v>101</v>
      </c>
      <c r="G38" s="86">
        <v>55</v>
      </c>
      <c r="H38" s="86">
        <v>0</v>
      </c>
      <c r="I38" s="86">
        <v>0</v>
      </c>
      <c r="J38" s="86">
        <v>55</v>
      </c>
      <c r="K38" s="86">
        <v>55</v>
      </c>
      <c r="L38" s="86">
        <v>0</v>
      </c>
      <c r="M38" s="93">
        <f t="shared" ref="M38:M53" si="2">J38</f>
        <v>55</v>
      </c>
      <c r="N38" s="94" t="s">
        <v>262</v>
      </c>
      <c r="O38" s="98"/>
      <c r="P38" s="97">
        <v>0</v>
      </c>
      <c r="Q38" s="101">
        <v>0</v>
      </c>
      <c r="R38" s="100">
        <f t="shared" si="1"/>
        <v>55</v>
      </c>
    </row>
    <row r="39" customHeight="1" spans="1:18">
      <c r="A39" s="86">
        <v>36</v>
      </c>
      <c r="B39" s="89" t="s">
        <v>263</v>
      </c>
      <c r="C39" s="86" t="s">
        <v>264</v>
      </c>
      <c r="D39" s="86">
        <v>11094</v>
      </c>
      <c r="E39" s="86">
        <v>1</v>
      </c>
      <c r="F39" s="86">
        <v>101</v>
      </c>
      <c r="G39" s="86">
        <v>80</v>
      </c>
      <c r="H39" s="86">
        <v>0</v>
      </c>
      <c r="I39" s="86">
        <v>0</v>
      </c>
      <c r="J39" s="86">
        <v>80</v>
      </c>
      <c r="K39" s="86">
        <v>80</v>
      </c>
      <c r="L39" s="86">
        <v>0</v>
      </c>
      <c r="M39" s="93">
        <f t="shared" si="2"/>
        <v>80</v>
      </c>
      <c r="N39" s="94" t="s">
        <v>264</v>
      </c>
      <c r="O39" s="98"/>
      <c r="P39" s="97">
        <v>0</v>
      </c>
      <c r="Q39" s="101">
        <v>0</v>
      </c>
      <c r="R39" s="100">
        <f t="shared" si="1"/>
        <v>80</v>
      </c>
    </row>
    <row r="40" customHeight="1" spans="1:18">
      <c r="A40" s="86">
        <v>37</v>
      </c>
      <c r="B40" s="89" t="s">
        <v>265</v>
      </c>
      <c r="C40" s="86" t="s">
        <v>266</v>
      </c>
      <c r="D40" s="86">
        <v>11095</v>
      </c>
      <c r="E40" s="86">
        <v>1</v>
      </c>
      <c r="F40" s="86">
        <v>101</v>
      </c>
      <c r="G40" s="86">
        <v>220</v>
      </c>
      <c r="H40" s="86">
        <v>0</v>
      </c>
      <c r="I40" s="86">
        <v>0</v>
      </c>
      <c r="J40" s="86">
        <v>220</v>
      </c>
      <c r="K40" s="86">
        <v>220</v>
      </c>
      <c r="L40" s="86">
        <v>0</v>
      </c>
      <c r="M40" s="93">
        <f t="shared" si="2"/>
        <v>220</v>
      </c>
      <c r="N40" s="94" t="s">
        <v>266</v>
      </c>
      <c r="O40" s="98"/>
      <c r="P40" s="97">
        <v>0</v>
      </c>
      <c r="Q40" s="101">
        <v>0</v>
      </c>
      <c r="R40" s="100">
        <f t="shared" si="1"/>
        <v>220</v>
      </c>
    </row>
    <row r="41" customHeight="1" spans="1:18">
      <c r="A41" s="86">
        <v>38</v>
      </c>
      <c r="B41" s="89" t="s">
        <v>267</v>
      </c>
      <c r="C41" s="86" t="s">
        <v>268</v>
      </c>
      <c r="D41" s="86">
        <v>11096</v>
      </c>
      <c r="E41" s="86">
        <v>1</v>
      </c>
      <c r="F41" s="86">
        <v>101</v>
      </c>
      <c r="G41" s="86">
        <v>350</v>
      </c>
      <c r="H41" s="86">
        <v>0</v>
      </c>
      <c r="I41" s="86">
        <v>0</v>
      </c>
      <c r="J41" s="86">
        <v>350</v>
      </c>
      <c r="K41" s="86">
        <v>350</v>
      </c>
      <c r="L41" s="86">
        <v>0</v>
      </c>
      <c r="M41" s="93">
        <f t="shared" si="2"/>
        <v>350</v>
      </c>
      <c r="N41" s="94" t="s">
        <v>268</v>
      </c>
      <c r="O41" s="98"/>
      <c r="P41" s="97">
        <v>0</v>
      </c>
      <c r="Q41" s="101">
        <v>0</v>
      </c>
      <c r="R41" s="100">
        <f t="shared" si="1"/>
        <v>350</v>
      </c>
    </row>
    <row r="42" customHeight="1" spans="1:18">
      <c r="A42" s="86">
        <v>39</v>
      </c>
      <c r="B42" s="89" t="s">
        <v>269</v>
      </c>
      <c r="C42" s="90" t="s">
        <v>270</v>
      </c>
      <c r="D42" s="86">
        <v>11097</v>
      </c>
      <c r="E42" s="86">
        <v>1</v>
      </c>
      <c r="F42" s="86">
        <v>101</v>
      </c>
      <c r="G42" s="86">
        <v>550</v>
      </c>
      <c r="H42" s="86">
        <v>0</v>
      </c>
      <c r="I42" s="86">
        <v>0</v>
      </c>
      <c r="J42" s="86">
        <v>550</v>
      </c>
      <c r="K42" s="86">
        <v>550</v>
      </c>
      <c r="L42" s="86">
        <v>0</v>
      </c>
      <c r="M42" s="93">
        <f t="shared" si="2"/>
        <v>550</v>
      </c>
      <c r="N42" s="99" t="s">
        <v>270</v>
      </c>
      <c r="O42" s="98"/>
      <c r="P42" s="97">
        <v>0</v>
      </c>
      <c r="Q42" s="101">
        <v>0</v>
      </c>
      <c r="R42" s="100">
        <f t="shared" si="1"/>
        <v>550</v>
      </c>
    </row>
    <row r="43" customHeight="1" spans="1:18">
      <c r="A43" s="86">
        <v>40</v>
      </c>
      <c r="B43" s="89" t="s">
        <v>271</v>
      </c>
      <c r="C43" s="86" t="s">
        <v>272</v>
      </c>
      <c r="D43" s="86">
        <v>11098</v>
      </c>
      <c r="E43" s="86">
        <v>1</v>
      </c>
      <c r="F43" s="86">
        <v>101</v>
      </c>
      <c r="G43" s="86">
        <v>900</v>
      </c>
      <c r="H43" s="86">
        <v>0</v>
      </c>
      <c r="I43" s="86">
        <v>0</v>
      </c>
      <c r="J43" s="86">
        <v>900</v>
      </c>
      <c r="K43" s="86">
        <v>900</v>
      </c>
      <c r="L43" s="86">
        <v>0</v>
      </c>
      <c r="M43" s="93">
        <f t="shared" si="2"/>
        <v>900</v>
      </c>
      <c r="N43" s="94" t="s">
        <v>272</v>
      </c>
      <c r="O43" s="98"/>
      <c r="P43" s="97">
        <v>0</v>
      </c>
      <c r="Q43" s="101">
        <v>0</v>
      </c>
      <c r="R43" s="100">
        <f t="shared" si="1"/>
        <v>900</v>
      </c>
    </row>
    <row r="44" customHeight="1" spans="1:18">
      <c r="A44" s="86">
        <v>41</v>
      </c>
      <c r="B44" s="89" t="s">
        <v>273</v>
      </c>
      <c r="C44" s="86" t="s">
        <v>274</v>
      </c>
      <c r="D44" s="86">
        <v>11099</v>
      </c>
      <c r="E44" s="86">
        <v>1</v>
      </c>
      <c r="F44" s="86">
        <v>101</v>
      </c>
      <c r="G44" s="86">
        <v>800</v>
      </c>
      <c r="H44" s="86">
        <v>0</v>
      </c>
      <c r="I44" s="86">
        <v>0</v>
      </c>
      <c r="J44" s="86">
        <v>800</v>
      </c>
      <c r="K44" s="86">
        <v>800</v>
      </c>
      <c r="L44" s="86">
        <v>0</v>
      </c>
      <c r="M44" s="93">
        <f t="shared" si="2"/>
        <v>800</v>
      </c>
      <c r="N44" s="94" t="s">
        <v>274</v>
      </c>
      <c r="O44" s="98"/>
      <c r="P44" s="97">
        <v>0</v>
      </c>
      <c r="Q44" s="101">
        <v>0</v>
      </c>
      <c r="R44" s="100">
        <f t="shared" si="1"/>
        <v>800</v>
      </c>
    </row>
    <row r="45" customHeight="1" spans="1:18">
      <c r="A45" s="86">
        <v>42</v>
      </c>
      <c r="B45" s="89" t="s">
        <v>275</v>
      </c>
      <c r="C45" s="86" t="s">
        <v>276</v>
      </c>
      <c r="D45" s="86">
        <v>12027</v>
      </c>
      <c r="E45" s="86">
        <v>2</v>
      </c>
      <c r="F45" s="86">
        <v>101</v>
      </c>
      <c r="G45" s="86">
        <v>1600</v>
      </c>
      <c r="H45" s="86">
        <v>0</v>
      </c>
      <c r="I45" s="86">
        <v>0</v>
      </c>
      <c r="J45" s="86">
        <v>1600</v>
      </c>
      <c r="K45" s="86">
        <v>1600</v>
      </c>
      <c r="L45" s="86">
        <v>1600</v>
      </c>
      <c r="M45" s="93">
        <f t="shared" si="2"/>
        <v>1600</v>
      </c>
      <c r="N45" s="94" t="s">
        <v>276</v>
      </c>
      <c r="O45" s="98"/>
      <c r="P45" s="97">
        <v>0</v>
      </c>
      <c r="Q45" s="101">
        <v>0</v>
      </c>
      <c r="R45" s="100">
        <f t="shared" si="1"/>
        <v>1600</v>
      </c>
    </row>
    <row r="46" customHeight="1" spans="1:18">
      <c r="A46" s="86">
        <v>43</v>
      </c>
      <c r="B46" s="89" t="s">
        <v>277</v>
      </c>
      <c r="C46" s="86" t="s">
        <v>278</v>
      </c>
      <c r="D46" s="86">
        <v>12028</v>
      </c>
      <c r="E46" s="86">
        <v>2</v>
      </c>
      <c r="F46" s="86">
        <v>101</v>
      </c>
      <c r="G46" s="86">
        <v>2500</v>
      </c>
      <c r="H46" s="86">
        <v>0</v>
      </c>
      <c r="I46" s="86">
        <v>0</v>
      </c>
      <c r="J46" s="86">
        <v>2500</v>
      </c>
      <c r="K46" s="86">
        <v>2500</v>
      </c>
      <c r="L46" s="86">
        <v>2500</v>
      </c>
      <c r="M46" s="93">
        <f t="shared" si="2"/>
        <v>2500</v>
      </c>
      <c r="N46" s="94" t="s">
        <v>278</v>
      </c>
      <c r="O46" s="98"/>
      <c r="P46" s="97">
        <v>0</v>
      </c>
      <c r="Q46" s="101">
        <v>0</v>
      </c>
      <c r="R46" s="100">
        <f t="shared" si="1"/>
        <v>2500</v>
      </c>
    </row>
    <row r="47" customHeight="1" spans="1:18">
      <c r="A47" s="86">
        <v>44</v>
      </c>
      <c r="B47" s="89" t="s">
        <v>279</v>
      </c>
      <c r="C47" s="86" t="s">
        <v>280</v>
      </c>
      <c r="D47" s="86">
        <v>12029</v>
      </c>
      <c r="E47" s="86">
        <v>2</v>
      </c>
      <c r="F47" s="86">
        <v>101</v>
      </c>
      <c r="G47" s="86">
        <v>3000</v>
      </c>
      <c r="H47" s="86">
        <v>0</v>
      </c>
      <c r="I47" s="86">
        <v>0</v>
      </c>
      <c r="J47" s="86">
        <v>3000</v>
      </c>
      <c r="K47" s="86">
        <v>3000</v>
      </c>
      <c r="L47" s="86">
        <v>3000</v>
      </c>
      <c r="M47" s="93">
        <f t="shared" si="2"/>
        <v>3000</v>
      </c>
      <c r="N47" s="94" t="s">
        <v>280</v>
      </c>
      <c r="O47" s="98"/>
      <c r="P47" s="97">
        <v>0</v>
      </c>
      <c r="Q47" s="101">
        <v>0</v>
      </c>
      <c r="R47" s="100">
        <f t="shared" si="1"/>
        <v>3000</v>
      </c>
    </row>
    <row r="48" customHeight="1" spans="1:18">
      <c r="A48" s="86">
        <v>45</v>
      </c>
      <c r="B48" s="89" t="s">
        <v>281</v>
      </c>
      <c r="C48" s="86" t="s">
        <v>282</v>
      </c>
      <c r="D48" s="86">
        <v>12030</v>
      </c>
      <c r="E48" s="86">
        <v>2</v>
      </c>
      <c r="F48" s="86">
        <v>101</v>
      </c>
      <c r="G48" s="86">
        <v>4000</v>
      </c>
      <c r="H48" s="86">
        <v>0</v>
      </c>
      <c r="I48" s="86">
        <v>0</v>
      </c>
      <c r="J48" s="86">
        <v>4000</v>
      </c>
      <c r="K48" s="86">
        <v>4000</v>
      </c>
      <c r="L48" s="86">
        <v>4000</v>
      </c>
      <c r="M48" s="93">
        <f t="shared" si="2"/>
        <v>4000</v>
      </c>
      <c r="N48" s="94" t="s">
        <v>282</v>
      </c>
      <c r="O48" s="98"/>
      <c r="P48" s="97">
        <v>0</v>
      </c>
      <c r="Q48" s="101">
        <v>0</v>
      </c>
      <c r="R48" s="100">
        <f t="shared" si="1"/>
        <v>4000</v>
      </c>
    </row>
    <row r="49" customHeight="1" spans="1:18">
      <c r="A49" s="86">
        <v>46</v>
      </c>
      <c r="B49" s="89" t="s">
        <v>283</v>
      </c>
      <c r="C49" s="86" t="s">
        <v>284</v>
      </c>
      <c r="D49" s="86">
        <v>12032</v>
      </c>
      <c r="E49" s="86">
        <v>2</v>
      </c>
      <c r="F49" s="86">
        <v>101</v>
      </c>
      <c r="G49" s="86">
        <v>5000</v>
      </c>
      <c r="H49" s="86">
        <v>0</v>
      </c>
      <c r="I49" s="86">
        <v>0</v>
      </c>
      <c r="J49" s="86">
        <v>5000</v>
      </c>
      <c r="K49" s="86">
        <v>5000</v>
      </c>
      <c r="L49" s="86">
        <v>5000</v>
      </c>
      <c r="M49" s="93">
        <f t="shared" si="2"/>
        <v>5000</v>
      </c>
      <c r="N49" s="94" t="s">
        <v>284</v>
      </c>
      <c r="O49" s="98"/>
      <c r="P49" s="97">
        <v>0</v>
      </c>
      <c r="Q49" s="101">
        <v>0</v>
      </c>
      <c r="R49" s="100">
        <f t="shared" si="1"/>
        <v>5000</v>
      </c>
    </row>
    <row r="50" customHeight="1" spans="1:18">
      <c r="A50" s="86">
        <v>47</v>
      </c>
      <c r="B50" s="89" t="s">
        <v>285</v>
      </c>
      <c r="C50" s="86" t="s">
        <v>286</v>
      </c>
      <c r="D50" s="86">
        <v>12031</v>
      </c>
      <c r="E50" s="86">
        <v>2</v>
      </c>
      <c r="F50" s="86">
        <v>101</v>
      </c>
      <c r="G50" s="86">
        <v>6000</v>
      </c>
      <c r="H50" s="86">
        <v>0</v>
      </c>
      <c r="I50" s="86">
        <v>0</v>
      </c>
      <c r="J50" s="86">
        <v>6000</v>
      </c>
      <c r="K50" s="86">
        <v>6000</v>
      </c>
      <c r="L50" s="86">
        <v>6000</v>
      </c>
      <c r="M50" s="93">
        <f t="shared" si="2"/>
        <v>6000</v>
      </c>
      <c r="N50" s="94" t="s">
        <v>286</v>
      </c>
      <c r="O50" s="98"/>
      <c r="P50" s="97">
        <v>0</v>
      </c>
      <c r="Q50" s="101">
        <v>0</v>
      </c>
      <c r="R50" s="100">
        <f t="shared" si="1"/>
        <v>6000</v>
      </c>
    </row>
    <row r="51" customHeight="1" spans="1:18">
      <c r="A51" s="86">
        <v>48</v>
      </c>
      <c r="B51" s="89" t="s">
        <v>279</v>
      </c>
      <c r="C51" s="86" t="s">
        <v>280</v>
      </c>
      <c r="D51" s="86">
        <v>13029</v>
      </c>
      <c r="E51" s="86">
        <v>2</v>
      </c>
      <c r="F51" s="86">
        <v>101</v>
      </c>
      <c r="G51" s="86">
        <v>6666</v>
      </c>
      <c r="H51" s="86">
        <v>0</v>
      </c>
      <c r="I51" s="86">
        <v>0</v>
      </c>
      <c r="J51" s="86">
        <v>6666</v>
      </c>
      <c r="K51" s="86">
        <v>6666</v>
      </c>
      <c r="L51" s="86">
        <v>6666</v>
      </c>
      <c r="M51" s="93">
        <f t="shared" si="2"/>
        <v>6666</v>
      </c>
      <c r="N51" s="94" t="s">
        <v>287</v>
      </c>
      <c r="O51" s="98"/>
      <c r="P51" s="97">
        <v>0</v>
      </c>
      <c r="Q51" s="101">
        <v>0</v>
      </c>
      <c r="R51" s="100">
        <f t="shared" si="1"/>
        <v>6666</v>
      </c>
    </row>
    <row r="52" customHeight="1" spans="1:18">
      <c r="A52" s="86">
        <v>49</v>
      </c>
      <c r="B52" s="91" t="s">
        <v>285</v>
      </c>
      <c r="C52" s="86" t="s">
        <v>286</v>
      </c>
      <c r="D52" s="86">
        <v>13031</v>
      </c>
      <c r="E52" s="86">
        <v>2</v>
      </c>
      <c r="F52" s="86">
        <v>101</v>
      </c>
      <c r="G52" s="86">
        <v>8888</v>
      </c>
      <c r="H52" s="86">
        <v>0</v>
      </c>
      <c r="I52" s="86">
        <v>0</v>
      </c>
      <c r="J52" s="86">
        <v>8888</v>
      </c>
      <c r="K52" s="86">
        <v>8888</v>
      </c>
      <c r="L52" s="86">
        <v>8888</v>
      </c>
      <c r="M52" s="93">
        <f t="shared" si="2"/>
        <v>8888</v>
      </c>
      <c r="N52" s="94" t="s">
        <v>288</v>
      </c>
      <c r="O52" s="98"/>
      <c r="P52" s="97">
        <v>0</v>
      </c>
      <c r="Q52" s="101">
        <v>0</v>
      </c>
      <c r="R52" s="100">
        <f t="shared" si="1"/>
        <v>8888</v>
      </c>
    </row>
    <row r="53" customHeight="1" spans="1:18">
      <c r="A53" s="86">
        <v>50</v>
      </c>
      <c r="B53" s="92" t="s">
        <v>283</v>
      </c>
      <c r="C53" s="86" t="s">
        <v>284</v>
      </c>
      <c r="D53" s="86">
        <v>13032</v>
      </c>
      <c r="E53" s="86">
        <v>2</v>
      </c>
      <c r="F53" s="86">
        <v>101</v>
      </c>
      <c r="G53" s="86">
        <v>9999</v>
      </c>
      <c r="H53" s="86">
        <v>0</v>
      </c>
      <c r="I53" s="86">
        <v>0</v>
      </c>
      <c r="J53" s="86">
        <v>9999</v>
      </c>
      <c r="K53" s="86">
        <v>9999</v>
      </c>
      <c r="L53" s="86">
        <v>9999</v>
      </c>
      <c r="M53" s="93">
        <f t="shared" si="2"/>
        <v>9999</v>
      </c>
      <c r="N53" s="94" t="s">
        <v>289</v>
      </c>
      <c r="O53" s="98"/>
      <c r="P53" s="97">
        <v>0</v>
      </c>
      <c r="Q53" s="101">
        <v>0</v>
      </c>
      <c r="R53" s="100">
        <f t="shared" si="1"/>
        <v>9999</v>
      </c>
    </row>
    <row r="54" customHeight="1" spans="1:18">
      <c r="A54" s="86">
        <v>51</v>
      </c>
      <c r="B54" s="86" t="s">
        <v>205</v>
      </c>
      <c r="C54" s="86" t="s">
        <v>206</v>
      </c>
      <c r="D54" s="86">
        <v>14007</v>
      </c>
      <c r="E54" s="86">
        <v>3</v>
      </c>
      <c r="F54" s="86">
        <v>101</v>
      </c>
      <c r="G54" s="86">
        <v>30</v>
      </c>
      <c r="H54" s="86">
        <v>0</v>
      </c>
      <c r="I54" s="86">
        <v>0</v>
      </c>
      <c r="J54" s="86">
        <f t="shared" ref="J54:J74" si="3">G54*5</f>
        <v>150</v>
      </c>
      <c r="K54" s="86">
        <f t="shared" ref="K54:K74" si="4">J54</f>
        <v>150</v>
      </c>
      <c r="L54" s="86">
        <v>0</v>
      </c>
      <c r="M54" s="93">
        <v>156</v>
      </c>
      <c r="N54" s="94" t="s">
        <v>290</v>
      </c>
      <c r="O54" s="98"/>
      <c r="P54" s="97">
        <v>50</v>
      </c>
      <c r="Q54" s="101">
        <v>1000</v>
      </c>
      <c r="R54" s="100">
        <f t="shared" si="1"/>
        <v>156</v>
      </c>
    </row>
    <row r="55" customHeight="1" spans="1:18">
      <c r="A55" s="86">
        <v>52</v>
      </c>
      <c r="B55" s="86" t="s">
        <v>209</v>
      </c>
      <c r="C55" s="86" t="s">
        <v>210</v>
      </c>
      <c r="D55" s="86">
        <v>14009</v>
      </c>
      <c r="E55" s="86">
        <v>3</v>
      </c>
      <c r="F55" s="86">
        <v>101</v>
      </c>
      <c r="G55" s="86">
        <v>60</v>
      </c>
      <c r="H55" s="86">
        <v>0</v>
      </c>
      <c r="I55" s="86">
        <v>0</v>
      </c>
      <c r="J55" s="86">
        <f t="shared" si="3"/>
        <v>300</v>
      </c>
      <c r="K55" s="86">
        <f t="shared" si="4"/>
        <v>300</v>
      </c>
      <c r="L55" s="86">
        <v>0</v>
      </c>
      <c r="M55" s="93">
        <v>310</v>
      </c>
      <c r="N55" s="94" t="s">
        <v>291</v>
      </c>
      <c r="O55" s="98"/>
      <c r="P55" s="97">
        <v>90</v>
      </c>
      <c r="Q55" s="101">
        <v>1000</v>
      </c>
      <c r="R55" s="100">
        <f t="shared" si="1"/>
        <v>310</v>
      </c>
    </row>
    <row r="56" customHeight="1" spans="1:18">
      <c r="A56" s="86">
        <v>53</v>
      </c>
      <c r="B56" s="86" t="s">
        <v>217</v>
      </c>
      <c r="C56" s="86" t="s">
        <v>218</v>
      </c>
      <c r="D56" s="86">
        <v>14011</v>
      </c>
      <c r="E56" s="86">
        <v>3</v>
      </c>
      <c r="F56" s="86">
        <v>101</v>
      </c>
      <c r="G56" s="86">
        <v>100</v>
      </c>
      <c r="H56" s="86">
        <v>0</v>
      </c>
      <c r="I56" s="86">
        <v>0</v>
      </c>
      <c r="J56" s="86">
        <f t="shared" si="3"/>
        <v>500</v>
      </c>
      <c r="K56" s="86">
        <f t="shared" si="4"/>
        <v>500</v>
      </c>
      <c r="L56" s="86">
        <v>0</v>
      </c>
      <c r="M56" s="93">
        <v>516</v>
      </c>
      <c r="N56" s="94" t="s">
        <v>292</v>
      </c>
      <c r="O56" s="98"/>
      <c r="P56" s="97">
        <v>150</v>
      </c>
      <c r="Q56" s="101">
        <v>1000</v>
      </c>
      <c r="R56" s="100">
        <f t="shared" si="1"/>
        <v>516</v>
      </c>
    </row>
    <row r="57" customHeight="1" spans="1:18">
      <c r="A57" s="86">
        <v>54</v>
      </c>
      <c r="B57" s="86" t="s">
        <v>221</v>
      </c>
      <c r="C57" s="86" t="s">
        <v>222</v>
      </c>
      <c r="D57" s="86">
        <v>14013</v>
      </c>
      <c r="E57" s="86">
        <v>3</v>
      </c>
      <c r="F57" s="86">
        <v>101</v>
      </c>
      <c r="G57" s="86">
        <v>140</v>
      </c>
      <c r="H57" s="86">
        <v>0</v>
      </c>
      <c r="I57" s="86">
        <v>0</v>
      </c>
      <c r="J57" s="86">
        <f t="shared" si="3"/>
        <v>700</v>
      </c>
      <c r="K57" s="86">
        <f t="shared" si="4"/>
        <v>700</v>
      </c>
      <c r="L57" s="86">
        <v>0</v>
      </c>
      <c r="M57" s="93">
        <v>722</v>
      </c>
      <c r="N57" s="94" t="s">
        <v>293</v>
      </c>
      <c r="O57" s="98"/>
      <c r="P57" s="97">
        <v>210</v>
      </c>
      <c r="Q57" s="101">
        <v>1000</v>
      </c>
      <c r="R57" s="100">
        <f t="shared" si="1"/>
        <v>722</v>
      </c>
    </row>
    <row r="58" customHeight="1" spans="1:18">
      <c r="A58" s="86">
        <v>55</v>
      </c>
      <c r="B58" s="86" t="s">
        <v>227</v>
      </c>
      <c r="C58" s="86" t="s">
        <v>228</v>
      </c>
      <c r="D58" s="86">
        <v>14015</v>
      </c>
      <c r="E58" s="86">
        <v>3</v>
      </c>
      <c r="F58" s="86">
        <v>101</v>
      </c>
      <c r="G58" s="86">
        <v>200</v>
      </c>
      <c r="H58" s="86">
        <v>0</v>
      </c>
      <c r="I58" s="86">
        <v>0</v>
      </c>
      <c r="J58" s="86">
        <f t="shared" si="3"/>
        <v>1000</v>
      </c>
      <c r="K58" s="86">
        <f t="shared" si="4"/>
        <v>1000</v>
      </c>
      <c r="L58" s="86">
        <v>0</v>
      </c>
      <c r="M58" s="93">
        <v>1031</v>
      </c>
      <c r="N58" s="94" t="s">
        <v>294</v>
      </c>
      <c r="O58" s="98"/>
      <c r="P58" s="97">
        <v>300</v>
      </c>
      <c r="Q58" s="101">
        <v>1000</v>
      </c>
      <c r="R58" s="100">
        <f t="shared" si="1"/>
        <v>1031</v>
      </c>
    </row>
    <row r="59" customHeight="1" spans="1:18">
      <c r="A59" s="86">
        <v>56</v>
      </c>
      <c r="B59" s="86" t="s">
        <v>229</v>
      </c>
      <c r="C59" s="86" t="s">
        <v>230</v>
      </c>
      <c r="D59" s="86">
        <v>14016</v>
      </c>
      <c r="E59" s="86">
        <v>3</v>
      </c>
      <c r="F59" s="86">
        <v>101</v>
      </c>
      <c r="G59" s="86">
        <v>240</v>
      </c>
      <c r="H59" s="86">
        <v>0</v>
      </c>
      <c r="I59" s="86">
        <v>0</v>
      </c>
      <c r="J59" s="86">
        <f t="shared" si="3"/>
        <v>1200</v>
      </c>
      <c r="K59" s="86">
        <f t="shared" si="4"/>
        <v>1200</v>
      </c>
      <c r="L59" s="86">
        <v>0</v>
      </c>
      <c r="M59" s="93">
        <v>1237</v>
      </c>
      <c r="N59" s="94" t="s">
        <v>295</v>
      </c>
      <c r="O59" s="98"/>
      <c r="P59" s="97">
        <v>180</v>
      </c>
      <c r="Q59" s="101">
        <v>2000</v>
      </c>
      <c r="R59" s="100">
        <f t="shared" si="1"/>
        <v>1237</v>
      </c>
    </row>
    <row r="60" customHeight="1" spans="1:18">
      <c r="A60" s="86">
        <v>57</v>
      </c>
      <c r="B60" s="86" t="s">
        <v>231</v>
      </c>
      <c r="C60" s="86" t="s">
        <v>232</v>
      </c>
      <c r="D60" s="86">
        <v>14017</v>
      </c>
      <c r="E60" s="86">
        <v>3</v>
      </c>
      <c r="F60" s="86">
        <v>101</v>
      </c>
      <c r="G60" s="86">
        <v>280</v>
      </c>
      <c r="H60" s="86">
        <v>0</v>
      </c>
      <c r="I60" s="86">
        <v>0</v>
      </c>
      <c r="J60" s="86">
        <f t="shared" si="3"/>
        <v>1400</v>
      </c>
      <c r="K60" s="86">
        <f t="shared" si="4"/>
        <v>1400</v>
      </c>
      <c r="L60" s="86">
        <v>0</v>
      </c>
      <c r="M60" s="93">
        <v>1443</v>
      </c>
      <c r="N60" s="94" t="s">
        <v>296</v>
      </c>
      <c r="O60" s="98"/>
      <c r="P60" s="97">
        <v>210</v>
      </c>
      <c r="Q60" s="101">
        <v>2000</v>
      </c>
      <c r="R60" s="100">
        <f t="shared" si="1"/>
        <v>1443</v>
      </c>
    </row>
    <row r="61" customHeight="1" spans="1:18">
      <c r="A61" s="86">
        <v>58</v>
      </c>
      <c r="B61" s="86" t="s">
        <v>235</v>
      </c>
      <c r="C61" s="90" t="s">
        <v>236</v>
      </c>
      <c r="D61" s="86">
        <v>14019</v>
      </c>
      <c r="E61" s="86">
        <v>3</v>
      </c>
      <c r="F61" s="86">
        <v>101</v>
      </c>
      <c r="G61" s="86">
        <v>360</v>
      </c>
      <c r="H61" s="86">
        <v>0</v>
      </c>
      <c r="I61" s="86">
        <v>0</v>
      </c>
      <c r="J61" s="86">
        <f t="shared" si="3"/>
        <v>1800</v>
      </c>
      <c r="K61" s="86">
        <f t="shared" si="4"/>
        <v>1800</v>
      </c>
      <c r="L61" s="86">
        <v>0</v>
      </c>
      <c r="M61" s="93">
        <v>1857</v>
      </c>
      <c r="N61" s="99" t="s">
        <v>297</v>
      </c>
      <c r="O61" s="98"/>
      <c r="P61" s="97">
        <v>180</v>
      </c>
      <c r="Q61" s="101">
        <v>3000</v>
      </c>
      <c r="R61" s="100">
        <f t="shared" si="1"/>
        <v>1857</v>
      </c>
    </row>
    <row r="62" customHeight="1" spans="1:18">
      <c r="A62" s="86">
        <v>59</v>
      </c>
      <c r="B62" s="86" t="s">
        <v>241</v>
      </c>
      <c r="C62" s="86" t="s">
        <v>242</v>
      </c>
      <c r="D62" s="86">
        <v>14020</v>
      </c>
      <c r="E62" s="86">
        <v>3</v>
      </c>
      <c r="F62" s="86">
        <v>101</v>
      </c>
      <c r="G62" s="86">
        <v>500</v>
      </c>
      <c r="H62" s="86">
        <v>0</v>
      </c>
      <c r="I62" s="86">
        <v>0</v>
      </c>
      <c r="J62" s="86">
        <f t="shared" si="3"/>
        <v>2500</v>
      </c>
      <c r="K62" s="86">
        <f t="shared" si="4"/>
        <v>2500</v>
      </c>
      <c r="L62" s="86">
        <v>0</v>
      </c>
      <c r="M62" s="93">
        <v>2579</v>
      </c>
      <c r="N62" s="94" t="s">
        <v>298</v>
      </c>
      <c r="O62" s="98"/>
      <c r="P62" s="97">
        <v>190</v>
      </c>
      <c r="Q62" s="101">
        <v>4000</v>
      </c>
      <c r="R62" s="100">
        <f t="shared" si="1"/>
        <v>2579</v>
      </c>
    </row>
    <row r="63" customHeight="1" spans="1:18">
      <c r="A63" s="86">
        <v>60</v>
      </c>
      <c r="B63" s="86" t="s">
        <v>245</v>
      </c>
      <c r="C63" s="86" t="s">
        <v>246</v>
      </c>
      <c r="D63" s="86">
        <v>14021</v>
      </c>
      <c r="E63" s="86">
        <v>3</v>
      </c>
      <c r="F63" s="86">
        <v>101</v>
      </c>
      <c r="G63" s="86">
        <v>600</v>
      </c>
      <c r="H63" s="86">
        <v>0</v>
      </c>
      <c r="I63" s="86">
        <v>0</v>
      </c>
      <c r="J63" s="86">
        <f t="shared" si="3"/>
        <v>3000</v>
      </c>
      <c r="K63" s="86">
        <f t="shared" si="4"/>
        <v>3000</v>
      </c>
      <c r="L63" s="86">
        <v>0</v>
      </c>
      <c r="M63" s="93">
        <v>3093</v>
      </c>
      <c r="N63" s="94" t="s">
        <v>299</v>
      </c>
      <c r="O63" s="98"/>
      <c r="P63" s="97">
        <v>200</v>
      </c>
      <c r="Q63" s="101">
        <v>4500</v>
      </c>
      <c r="R63" s="100">
        <f t="shared" si="1"/>
        <v>3093</v>
      </c>
    </row>
    <row r="64" customHeight="1" spans="1:18">
      <c r="A64" s="86">
        <v>61</v>
      </c>
      <c r="B64" s="86" t="s">
        <v>247</v>
      </c>
      <c r="C64" s="90" t="s">
        <v>248</v>
      </c>
      <c r="D64" s="86">
        <v>14022</v>
      </c>
      <c r="E64" s="86">
        <v>3</v>
      </c>
      <c r="F64" s="86">
        <v>101</v>
      </c>
      <c r="G64" s="86">
        <v>650</v>
      </c>
      <c r="H64" s="86">
        <v>0</v>
      </c>
      <c r="I64" s="86">
        <v>0</v>
      </c>
      <c r="J64" s="86">
        <f t="shared" si="3"/>
        <v>3250</v>
      </c>
      <c r="K64" s="86">
        <f t="shared" si="4"/>
        <v>3250</v>
      </c>
      <c r="L64" s="86">
        <v>0</v>
      </c>
      <c r="M64" s="93">
        <v>3353</v>
      </c>
      <c r="N64" s="99" t="s">
        <v>300</v>
      </c>
      <c r="O64" s="98"/>
      <c r="P64" s="97">
        <v>200</v>
      </c>
      <c r="Q64" s="101">
        <v>5000</v>
      </c>
      <c r="R64" s="100">
        <f t="shared" si="1"/>
        <v>3353</v>
      </c>
    </row>
    <row r="65" customHeight="1" spans="1:18">
      <c r="A65" s="86">
        <v>62</v>
      </c>
      <c r="B65" s="86" t="s">
        <v>249</v>
      </c>
      <c r="C65" s="86" t="s">
        <v>250</v>
      </c>
      <c r="D65" s="86">
        <v>14023</v>
      </c>
      <c r="E65" s="86">
        <v>3</v>
      </c>
      <c r="F65" s="86">
        <v>101</v>
      </c>
      <c r="G65" s="86">
        <v>700</v>
      </c>
      <c r="H65" s="86">
        <v>0</v>
      </c>
      <c r="I65" s="86">
        <v>0</v>
      </c>
      <c r="J65" s="86">
        <f t="shared" si="3"/>
        <v>3500</v>
      </c>
      <c r="K65" s="86">
        <f t="shared" si="4"/>
        <v>3500</v>
      </c>
      <c r="L65" s="86">
        <v>0</v>
      </c>
      <c r="M65" s="93">
        <v>3613</v>
      </c>
      <c r="N65" s="94" t="s">
        <v>301</v>
      </c>
      <c r="O65" s="98"/>
      <c r="P65" s="97">
        <v>200</v>
      </c>
      <c r="Q65" s="101">
        <v>5500</v>
      </c>
      <c r="R65" s="100">
        <f t="shared" si="1"/>
        <v>3613</v>
      </c>
    </row>
    <row r="66" customHeight="1" spans="1:18">
      <c r="A66" s="86">
        <v>63</v>
      </c>
      <c r="B66" s="86" t="s">
        <v>253</v>
      </c>
      <c r="C66" s="86" t="s">
        <v>254</v>
      </c>
      <c r="D66" s="86">
        <v>14024</v>
      </c>
      <c r="E66" s="86">
        <v>3</v>
      </c>
      <c r="F66" s="86">
        <v>101</v>
      </c>
      <c r="G66" s="86">
        <v>1000</v>
      </c>
      <c r="H66" s="86">
        <v>0</v>
      </c>
      <c r="I66" s="86">
        <v>0</v>
      </c>
      <c r="J66" s="86">
        <f t="shared" si="3"/>
        <v>5000</v>
      </c>
      <c r="K66" s="86">
        <f t="shared" si="4"/>
        <v>5000</v>
      </c>
      <c r="L66" s="86">
        <v>0</v>
      </c>
      <c r="M66" s="93">
        <v>5166</v>
      </c>
      <c r="N66" s="94" t="s">
        <v>302</v>
      </c>
      <c r="O66" s="98"/>
      <c r="P66" s="97">
        <v>200</v>
      </c>
      <c r="Q66" s="101">
        <v>8000</v>
      </c>
      <c r="R66" s="100">
        <f t="shared" si="1"/>
        <v>5166</v>
      </c>
    </row>
    <row r="67" customHeight="1" spans="1:18">
      <c r="A67" s="86">
        <v>64</v>
      </c>
      <c r="B67" s="86" t="s">
        <v>257</v>
      </c>
      <c r="C67" s="86" t="s">
        <v>258</v>
      </c>
      <c r="D67" s="86">
        <v>14025</v>
      </c>
      <c r="E67" s="86">
        <v>3</v>
      </c>
      <c r="F67" s="86">
        <v>101</v>
      </c>
      <c r="G67" s="86">
        <v>1200</v>
      </c>
      <c r="H67" s="86">
        <v>0</v>
      </c>
      <c r="I67" s="86">
        <v>0</v>
      </c>
      <c r="J67" s="86">
        <f t="shared" si="3"/>
        <v>6000</v>
      </c>
      <c r="K67" s="86">
        <f t="shared" si="4"/>
        <v>6000</v>
      </c>
      <c r="L67" s="86">
        <v>0</v>
      </c>
      <c r="M67" s="93">
        <v>6206</v>
      </c>
      <c r="N67" s="94" t="s">
        <v>303</v>
      </c>
      <c r="O67" s="98"/>
      <c r="P67" s="97">
        <v>200</v>
      </c>
      <c r="Q67" s="101">
        <v>10000</v>
      </c>
      <c r="R67" s="100">
        <f t="shared" si="1"/>
        <v>6206</v>
      </c>
    </row>
    <row r="68" customHeight="1" spans="1:18">
      <c r="A68" s="86">
        <v>65</v>
      </c>
      <c r="B68" s="86" t="s">
        <v>211</v>
      </c>
      <c r="C68" s="86" t="s">
        <v>212</v>
      </c>
      <c r="D68" s="86">
        <v>14085</v>
      </c>
      <c r="E68" s="86">
        <v>3</v>
      </c>
      <c r="F68" s="86">
        <v>101</v>
      </c>
      <c r="G68" s="86">
        <v>40</v>
      </c>
      <c r="H68" s="86">
        <v>0</v>
      </c>
      <c r="I68" s="86">
        <v>0</v>
      </c>
      <c r="J68" s="86">
        <f t="shared" si="3"/>
        <v>200</v>
      </c>
      <c r="K68" s="86">
        <f t="shared" si="4"/>
        <v>200</v>
      </c>
      <c r="L68" s="86">
        <v>0</v>
      </c>
      <c r="M68" s="93">
        <v>207</v>
      </c>
      <c r="N68" s="94" t="s">
        <v>304</v>
      </c>
      <c r="O68" s="98"/>
      <c r="P68" s="97">
        <v>200</v>
      </c>
      <c r="Q68" s="101">
        <v>300</v>
      </c>
      <c r="R68" s="100">
        <f t="shared" ref="R68:R87" si="5">M68</f>
        <v>207</v>
      </c>
    </row>
    <row r="69" customHeight="1" spans="1:18">
      <c r="A69" s="86">
        <v>66</v>
      </c>
      <c r="B69" s="86" t="s">
        <v>213</v>
      </c>
      <c r="C69" s="86" t="s">
        <v>214</v>
      </c>
      <c r="D69" s="86">
        <v>14086</v>
      </c>
      <c r="E69" s="86">
        <v>3</v>
      </c>
      <c r="F69" s="86">
        <v>101</v>
      </c>
      <c r="G69" s="86">
        <v>60</v>
      </c>
      <c r="H69" s="86">
        <v>0</v>
      </c>
      <c r="I69" s="86">
        <v>0</v>
      </c>
      <c r="J69" s="86">
        <f t="shared" si="3"/>
        <v>300</v>
      </c>
      <c r="K69" s="86">
        <f t="shared" si="4"/>
        <v>300</v>
      </c>
      <c r="L69" s="86">
        <v>0</v>
      </c>
      <c r="M69" s="93">
        <v>310</v>
      </c>
      <c r="N69" s="94" t="s">
        <v>305</v>
      </c>
      <c r="O69" s="98"/>
      <c r="P69" s="97">
        <v>180</v>
      </c>
      <c r="Q69" s="101">
        <v>500</v>
      </c>
      <c r="R69" s="100">
        <f t="shared" si="5"/>
        <v>310</v>
      </c>
    </row>
    <row r="70" customHeight="1" spans="1:18">
      <c r="A70" s="86">
        <v>67</v>
      </c>
      <c r="B70" s="86" t="s">
        <v>225</v>
      </c>
      <c r="C70" s="86" t="s">
        <v>226</v>
      </c>
      <c r="D70" s="86">
        <v>14087</v>
      </c>
      <c r="E70" s="86">
        <v>3</v>
      </c>
      <c r="F70" s="86">
        <v>101</v>
      </c>
      <c r="G70" s="86">
        <v>180</v>
      </c>
      <c r="H70" s="86">
        <v>0</v>
      </c>
      <c r="I70" s="86">
        <v>0</v>
      </c>
      <c r="J70" s="86">
        <f t="shared" si="3"/>
        <v>900</v>
      </c>
      <c r="K70" s="86">
        <f t="shared" si="4"/>
        <v>900</v>
      </c>
      <c r="L70" s="86">
        <v>0</v>
      </c>
      <c r="M70" s="93">
        <v>930</v>
      </c>
      <c r="N70" s="94" t="s">
        <v>306</v>
      </c>
      <c r="O70" s="98"/>
      <c r="P70" s="97">
        <v>180</v>
      </c>
      <c r="Q70" s="101">
        <v>1500</v>
      </c>
      <c r="R70" s="100">
        <f t="shared" si="5"/>
        <v>930</v>
      </c>
    </row>
    <row r="71" customHeight="1" spans="1:18">
      <c r="A71" s="86">
        <v>68</v>
      </c>
      <c r="B71" s="86" t="s">
        <v>233</v>
      </c>
      <c r="C71" s="86" t="s">
        <v>234</v>
      </c>
      <c r="D71" s="86">
        <v>14088</v>
      </c>
      <c r="E71" s="86">
        <v>3</v>
      </c>
      <c r="F71" s="86">
        <v>101</v>
      </c>
      <c r="G71" s="86">
        <v>320</v>
      </c>
      <c r="H71" s="86">
        <v>0</v>
      </c>
      <c r="I71" s="86">
        <v>0</v>
      </c>
      <c r="J71" s="86">
        <f t="shared" si="3"/>
        <v>1600</v>
      </c>
      <c r="K71" s="86">
        <f t="shared" si="4"/>
        <v>1600</v>
      </c>
      <c r="L71" s="86">
        <v>0</v>
      </c>
      <c r="M71" s="93">
        <v>1656</v>
      </c>
      <c r="N71" s="94" t="s">
        <v>307</v>
      </c>
      <c r="O71" s="98"/>
      <c r="P71" s="97">
        <v>200</v>
      </c>
      <c r="Q71" s="101">
        <v>2500</v>
      </c>
      <c r="R71" s="100">
        <f t="shared" si="5"/>
        <v>1656</v>
      </c>
    </row>
    <row r="72" customHeight="1" spans="1:18">
      <c r="A72" s="86">
        <v>69</v>
      </c>
      <c r="B72" s="86" t="s">
        <v>243</v>
      </c>
      <c r="C72" s="90" t="s">
        <v>244</v>
      </c>
      <c r="D72" s="86">
        <v>14089</v>
      </c>
      <c r="E72" s="86">
        <v>3</v>
      </c>
      <c r="F72" s="86">
        <v>101</v>
      </c>
      <c r="G72" s="86">
        <v>550</v>
      </c>
      <c r="H72" s="86">
        <v>0</v>
      </c>
      <c r="I72" s="86">
        <v>0</v>
      </c>
      <c r="J72" s="86">
        <f t="shared" si="3"/>
        <v>2750</v>
      </c>
      <c r="K72" s="86">
        <f t="shared" si="4"/>
        <v>2750</v>
      </c>
      <c r="L72" s="86">
        <v>0</v>
      </c>
      <c r="M72" s="93">
        <v>2837</v>
      </c>
      <c r="N72" s="99" t="s">
        <v>308</v>
      </c>
      <c r="O72" s="98"/>
      <c r="P72" s="97">
        <v>180</v>
      </c>
      <c r="Q72" s="101">
        <v>4500</v>
      </c>
      <c r="R72" s="100">
        <f t="shared" si="5"/>
        <v>2837</v>
      </c>
    </row>
    <row r="73" customHeight="1" spans="1:18">
      <c r="A73" s="86">
        <v>70</v>
      </c>
      <c r="B73" s="86" t="s">
        <v>255</v>
      </c>
      <c r="C73" s="86" t="s">
        <v>256</v>
      </c>
      <c r="D73" s="86">
        <v>14090</v>
      </c>
      <c r="E73" s="86">
        <v>3</v>
      </c>
      <c r="F73" s="86">
        <v>101</v>
      </c>
      <c r="G73" s="86">
        <v>900</v>
      </c>
      <c r="H73" s="86">
        <v>0</v>
      </c>
      <c r="I73" s="86">
        <v>0</v>
      </c>
      <c r="J73" s="86">
        <f t="shared" si="3"/>
        <v>4500</v>
      </c>
      <c r="K73" s="86">
        <f t="shared" si="4"/>
        <v>4500</v>
      </c>
      <c r="L73" s="86">
        <v>0</v>
      </c>
      <c r="M73" s="93">
        <v>4650</v>
      </c>
      <c r="N73" s="94" t="s">
        <v>309</v>
      </c>
      <c r="O73" s="98"/>
      <c r="P73" s="97">
        <v>180</v>
      </c>
      <c r="Q73" s="101">
        <v>8000</v>
      </c>
      <c r="R73" s="100">
        <f t="shared" si="5"/>
        <v>4650</v>
      </c>
    </row>
    <row r="74" customHeight="1" spans="1:18">
      <c r="A74" s="86">
        <v>71</v>
      </c>
      <c r="B74" s="86" t="s">
        <v>251</v>
      </c>
      <c r="C74" s="86" t="s">
        <v>252</v>
      </c>
      <c r="D74" s="86">
        <v>14091</v>
      </c>
      <c r="E74" s="86">
        <v>3</v>
      </c>
      <c r="F74" s="86">
        <v>101</v>
      </c>
      <c r="G74" s="86">
        <v>800</v>
      </c>
      <c r="H74" s="86">
        <v>0</v>
      </c>
      <c r="I74" s="86">
        <v>0</v>
      </c>
      <c r="J74" s="86">
        <f t="shared" si="3"/>
        <v>4000</v>
      </c>
      <c r="K74" s="86">
        <f t="shared" si="4"/>
        <v>4000</v>
      </c>
      <c r="L74" s="86">
        <v>0</v>
      </c>
      <c r="M74" s="93">
        <v>4132</v>
      </c>
      <c r="N74" s="94" t="s">
        <v>310</v>
      </c>
      <c r="O74" s="98"/>
      <c r="P74" s="97">
        <v>180</v>
      </c>
      <c r="Q74" s="101">
        <v>7000</v>
      </c>
      <c r="R74" s="100">
        <f t="shared" si="5"/>
        <v>4132</v>
      </c>
    </row>
    <row r="75" customHeight="1" spans="1:18">
      <c r="A75" s="86">
        <v>72</v>
      </c>
      <c r="B75" s="86" t="s">
        <v>311</v>
      </c>
      <c r="C75" s="86" t="s">
        <v>312</v>
      </c>
      <c r="D75" s="86">
        <v>15033</v>
      </c>
      <c r="E75" s="86">
        <v>4</v>
      </c>
      <c r="F75" s="86">
        <v>103</v>
      </c>
      <c r="G75" s="86">
        <v>1</v>
      </c>
      <c r="H75" s="86">
        <v>0</v>
      </c>
      <c r="I75" s="86">
        <v>0</v>
      </c>
      <c r="J75" s="86">
        <v>350</v>
      </c>
      <c r="K75" s="86">
        <v>350</v>
      </c>
      <c r="L75" s="86">
        <v>0</v>
      </c>
      <c r="M75" s="104">
        <f t="shared" ref="M75:M87" si="6">J75</f>
        <v>350</v>
      </c>
      <c r="N75" s="94" t="s">
        <v>313</v>
      </c>
      <c r="O75" s="98"/>
      <c r="P75" s="97">
        <v>0</v>
      </c>
      <c r="Q75" s="101">
        <v>0</v>
      </c>
      <c r="R75" s="100">
        <f t="shared" si="5"/>
        <v>350</v>
      </c>
    </row>
    <row r="76" customHeight="1" spans="1:18">
      <c r="A76" s="86">
        <v>73</v>
      </c>
      <c r="B76" s="86" t="s">
        <v>314</v>
      </c>
      <c r="C76" s="86" t="s">
        <v>315</v>
      </c>
      <c r="D76" s="86">
        <v>15034</v>
      </c>
      <c r="E76" s="86">
        <v>4</v>
      </c>
      <c r="F76" s="86">
        <v>103</v>
      </c>
      <c r="G76" s="86">
        <v>5</v>
      </c>
      <c r="H76" s="86">
        <v>0</v>
      </c>
      <c r="I76" s="86">
        <v>0</v>
      </c>
      <c r="J76" s="86">
        <v>2000</v>
      </c>
      <c r="K76" s="86">
        <v>2000</v>
      </c>
      <c r="L76" s="86">
        <v>0</v>
      </c>
      <c r="M76" s="104">
        <f t="shared" si="6"/>
        <v>2000</v>
      </c>
      <c r="N76" s="94" t="s">
        <v>316</v>
      </c>
      <c r="O76" s="98"/>
      <c r="P76" s="97">
        <v>0</v>
      </c>
      <c r="Q76" s="101">
        <v>0</v>
      </c>
      <c r="R76" s="100">
        <f t="shared" si="5"/>
        <v>2000</v>
      </c>
    </row>
    <row r="77" customHeight="1" spans="1:18">
      <c r="A77" s="86">
        <v>74</v>
      </c>
      <c r="B77" s="88" t="s">
        <v>317</v>
      </c>
      <c r="C77" s="86" t="s">
        <v>318</v>
      </c>
      <c r="D77" s="86">
        <v>15035</v>
      </c>
      <c r="E77" s="86">
        <v>4</v>
      </c>
      <c r="F77" s="86">
        <v>103</v>
      </c>
      <c r="G77" s="86">
        <v>10</v>
      </c>
      <c r="H77" s="86">
        <v>0</v>
      </c>
      <c r="I77" s="86">
        <v>0</v>
      </c>
      <c r="J77" s="86">
        <v>12000</v>
      </c>
      <c r="K77" s="86">
        <f t="shared" ref="K77:K87" si="7">J77</f>
        <v>12000</v>
      </c>
      <c r="L77" s="86">
        <v>0</v>
      </c>
      <c r="M77" s="104">
        <f t="shared" si="6"/>
        <v>12000</v>
      </c>
      <c r="N77" s="94" t="s">
        <v>319</v>
      </c>
      <c r="O77" s="98"/>
      <c r="P77" s="97">
        <v>0</v>
      </c>
      <c r="Q77" s="101">
        <v>0</v>
      </c>
      <c r="R77" s="100">
        <f t="shared" si="5"/>
        <v>12000</v>
      </c>
    </row>
    <row r="78" customHeight="1" spans="1:18">
      <c r="A78" s="86">
        <v>75</v>
      </c>
      <c r="B78" s="89" t="s">
        <v>320</v>
      </c>
      <c r="C78" s="86" t="s">
        <v>321</v>
      </c>
      <c r="D78" s="86">
        <v>15036</v>
      </c>
      <c r="E78" s="86">
        <v>4</v>
      </c>
      <c r="F78" s="86">
        <v>103</v>
      </c>
      <c r="G78" s="86">
        <v>40</v>
      </c>
      <c r="H78" s="86">
        <v>0</v>
      </c>
      <c r="I78" s="86">
        <v>0</v>
      </c>
      <c r="J78" s="86">
        <v>48000</v>
      </c>
      <c r="K78" s="86">
        <f t="shared" si="7"/>
        <v>48000</v>
      </c>
      <c r="L78" s="86">
        <v>0</v>
      </c>
      <c r="M78" s="104">
        <f t="shared" si="6"/>
        <v>48000</v>
      </c>
      <c r="N78" s="94" t="s">
        <v>322</v>
      </c>
      <c r="O78" s="98"/>
      <c r="P78" s="97">
        <v>0</v>
      </c>
      <c r="Q78" s="101">
        <v>0</v>
      </c>
      <c r="R78" s="100">
        <f t="shared" si="5"/>
        <v>48000</v>
      </c>
    </row>
    <row r="79" customHeight="1" spans="1:18">
      <c r="A79" s="86">
        <v>76</v>
      </c>
      <c r="B79" s="89" t="s">
        <v>323</v>
      </c>
      <c r="C79" s="86" t="s">
        <v>324</v>
      </c>
      <c r="D79" s="86">
        <v>15037</v>
      </c>
      <c r="E79" s="86">
        <v>4</v>
      </c>
      <c r="F79" s="86">
        <v>103</v>
      </c>
      <c r="G79" s="86">
        <v>100</v>
      </c>
      <c r="H79" s="86">
        <v>0</v>
      </c>
      <c r="I79" s="86">
        <v>0</v>
      </c>
      <c r="J79" s="86">
        <v>120000</v>
      </c>
      <c r="K79" s="86">
        <f t="shared" si="7"/>
        <v>120000</v>
      </c>
      <c r="L79" s="86">
        <v>0</v>
      </c>
      <c r="M79" s="104">
        <f t="shared" si="6"/>
        <v>120000</v>
      </c>
      <c r="N79" s="94" t="s">
        <v>325</v>
      </c>
      <c r="O79" s="98"/>
      <c r="P79" s="97">
        <v>0</v>
      </c>
      <c r="Q79" s="101">
        <v>0</v>
      </c>
      <c r="R79" s="100">
        <f t="shared" si="5"/>
        <v>120000</v>
      </c>
    </row>
    <row r="80" customHeight="1" spans="1:18">
      <c r="A80" s="86">
        <v>77</v>
      </c>
      <c r="B80" s="89" t="s">
        <v>326</v>
      </c>
      <c r="C80" s="86" t="s">
        <v>327</v>
      </c>
      <c r="D80" s="86">
        <v>15038</v>
      </c>
      <c r="E80" s="86">
        <v>4</v>
      </c>
      <c r="F80" s="86">
        <v>103</v>
      </c>
      <c r="G80" s="86">
        <v>200</v>
      </c>
      <c r="H80" s="86">
        <v>0</v>
      </c>
      <c r="I80" s="86">
        <v>0</v>
      </c>
      <c r="J80" s="86">
        <v>240000</v>
      </c>
      <c r="K80" s="86">
        <f t="shared" si="7"/>
        <v>240000</v>
      </c>
      <c r="L80" s="86">
        <v>0</v>
      </c>
      <c r="M80" s="104">
        <f t="shared" si="6"/>
        <v>240000</v>
      </c>
      <c r="N80" s="94" t="s">
        <v>328</v>
      </c>
      <c r="O80" s="98"/>
      <c r="P80" s="97">
        <v>0</v>
      </c>
      <c r="Q80" s="101">
        <v>0</v>
      </c>
      <c r="R80" s="100">
        <f t="shared" si="5"/>
        <v>240000</v>
      </c>
    </row>
    <row r="81" customHeight="1" spans="1:18">
      <c r="A81" s="86">
        <v>78</v>
      </c>
      <c r="B81" s="89" t="s">
        <v>329</v>
      </c>
      <c r="C81" s="86" t="s">
        <v>330</v>
      </c>
      <c r="D81" s="86">
        <v>15039</v>
      </c>
      <c r="E81" s="86">
        <v>4</v>
      </c>
      <c r="F81" s="86">
        <v>103</v>
      </c>
      <c r="G81" s="86">
        <v>300</v>
      </c>
      <c r="H81" s="86">
        <v>0</v>
      </c>
      <c r="I81" s="86">
        <v>0</v>
      </c>
      <c r="J81" s="86">
        <v>360000</v>
      </c>
      <c r="K81" s="86">
        <f t="shared" si="7"/>
        <v>360000</v>
      </c>
      <c r="L81" s="86">
        <v>0</v>
      </c>
      <c r="M81" s="104">
        <f t="shared" si="6"/>
        <v>360000</v>
      </c>
      <c r="N81" s="94" t="s">
        <v>331</v>
      </c>
      <c r="O81" s="98"/>
      <c r="P81" s="97">
        <v>0</v>
      </c>
      <c r="Q81" s="101">
        <v>0</v>
      </c>
      <c r="R81" s="100">
        <f t="shared" si="5"/>
        <v>360000</v>
      </c>
    </row>
    <row r="82" customHeight="1" spans="1:18">
      <c r="A82" s="86">
        <v>79</v>
      </c>
      <c r="B82" s="89" t="s">
        <v>332</v>
      </c>
      <c r="C82" s="86" t="s">
        <v>333</v>
      </c>
      <c r="D82" s="86">
        <v>15055</v>
      </c>
      <c r="E82" s="86">
        <v>4</v>
      </c>
      <c r="F82" s="86">
        <v>103</v>
      </c>
      <c r="G82" s="86">
        <v>1000</v>
      </c>
      <c r="H82" s="86">
        <v>0</v>
      </c>
      <c r="I82" s="86">
        <v>0</v>
      </c>
      <c r="J82" s="86">
        <v>1200000</v>
      </c>
      <c r="K82" s="86">
        <f t="shared" si="7"/>
        <v>1200000</v>
      </c>
      <c r="L82" s="86">
        <v>0</v>
      </c>
      <c r="M82" s="104">
        <f t="shared" si="6"/>
        <v>1200000</v>
      </c>
      <c r="N82" s="94" t="s">
        <v>334</v>
      </c>
      <c r="O82" s="98"/>
      <c r="P82" s="97">
        <v>0</v>
      </c>
      <c r="Q82" s="101">
        <v>0</v>
      </c>
      <c r="R82" s="100">
        <f t="shared" si="5"/>
        <v>1200000</v>
      </c>
    </row>
    <row r="83" customHeight="1" spans="1:18">
      <c r="A83" s="86">
        <v>80</v>
      </c>
      <c r="B83" s="89" t="s">
        <v>335</v>
      </c>
      <c r="C83" s="86" t="s">
        <v>336</v>
      </c>
      <c r="D83" s="86">
        <v>15056</v>
      </c>
      <c r="E83" s="86">
        <v>4</v>
      </c>
      <c r="F83" s="86">
        <v>103</v>
      </c>
      <c r="G83" s="86">
        <v>2000</v>
      </c>
      <c r="H83" s="86">
        <v>0</v>
      </c>
      <c r="I83" s="86">
        <v>0</v>
      </c>
      <c r="J83" s="86">
        <v>2400000</v>
      </c>
      <c r="K83" s="86">
        <f t="shared" si="7"/>
        <v>2400000</v>
      </c>
      <c r="L83" s="86">
        <v>0</v>
      </c>
      <c r="M83" s="104">
        <f t="shared" si="6"/>
        <v>2400000</v>
      </c>
      <c r="N83" s="94" t="s">
        <v>337</v>
      </c>
      <c r="O83" s="98"/>
      <c r="P83" s="97">
        <v>0</v>
      </c>
      <c r="Q83" s="101">
        <v>0</v>
      </c>
      <c r="R83" s="100">
        <f t="shared" si="5"/>
        <v>2400000</v>
      </c>
    </row>
    <row r="84" customHeight="1" spans="1:18">
      <c r="A84" s="86">
        <v>81</v>
      </c>
      <c r="B84" s="89" t="s">
        <v>338</v>
      </c>
      <c r="C84" s="86" t="s">
        <v>339</v>
      </c>
      <c r="D84" s="86">
        <v>15057</v>
      </c>
      <c r="E84" s="86">
        <v>4</v>
      </c>
      <c r="F84" s="86">
        <v>103</v>
      </c>
      <c r="G84" s="86">
        <v>5000</v>
      </c>
      <c r="H84" s="86">
        <v>0</v>
      </c>
      <c r="I84" s="86">
        <v>0</v>
      </c>
      <c r="J84" s="86">
        <v>6000000</v>
      </c>
      <c r="K84" s="86">
        <f t="shared" si="7"/>
        <v>6000000</v>
      </c>
      <c r="L84" s="86">
        <v>0</v>
      </c>
      <c r="M84" s="104">
        <f t="shared" si="6"/>
        <v>6000000</v>
      </c>
      <c r="N84" s="94" t="s">
        <v>340</v>
      </c>
      <c r="O84" s="98"/>
      <c r="P84" s="97">
        <v>0</v>
      </c>
      <c r="Q84" s="101">
        <v>0</v>
      </c>
      <c r="R84" s="100">
        <f t="shared" si="5"/>
        <v>6000000</v>
      </c>
    </row>
    <row r="85" customHeight="1" spans="1:18">
      <c r="A85" s="86">
        <v>82</v>
      </c>
      <c r="B85" s="89" t="s">
        <v>341</v>
      </c>
      <c r="C85" s="86" t="s">
        <v>342</v>
      </c>
      <c r="D85" s="86">
        <v>15058</v>
      </c>
      <c r="E85" s="86">
        <v>4</v>
      </c>
      <c r="F85" s="86">
        <v>103</v>
      </c>
      <c r="G85" s="86">
        <v>10000</v>
      </c>
      <c r="H85" s="86">
        <v>0</v>
      </c>
      <c r="I85" s="86">
        <v>0</v>
      </c>
      <c r="J85" s="86">
        <v>12000000</v>
      </c>
      <c r="K85" s="86">
        <f t="shared" si="7"/>
        <v>12000000</v>
      </c>
      <c r="L85" s="86">
        <v>0</v>
      </c>
      <c r="M85" s="104">
        <f t="shared" si="6"/>
        <v>12000000</v>
      </c>
      <c r="N85" s="94" t="s">
        <v>343</v>
      </c>
      <c r="O85" s="98"/>
      <c r="P85" s="97">
        <v>0</v>
      </c>
      <c r="Q85" s="101">
        <v>0</v>
      </c>
      <c r="R85" s="100">
        <f t="shared" si="5"/>
        <v>12000000</v>
      </c>
    </row>
    <row r="86" customHeight="1" spans="1:18">
      <c r="A86" s="86">
        <v>83</v>
      </c>
      <c r="B86" s="89" t="s">
        <v>344</v>
      </c>
      <c r="C86" s="86" t="s">
        <v>345</v>
      </c>
      <c r="D86" s="86">
        <v>15081</v>
      </c>
      <c r="E86" s="86">
        <v>4</v>
      </c>
      <c r="F86" s="86">
        <v>103</v>
      </c>
      <c r="G86" s="86">
        <v>500</v>
      </c>
      <c r="H86" s="86">
        <v>0</v>
      </c>
      <c r="I86" s="86">
        <v>0</v>
      </c>
      <c r="J86" s="86">
        <v>600000</v>
      </c>
      <c r="K86" s="86">
        <f t="shared" si="7"/>
        <v>600000</v>
      </c>
      <c r="L86" s="86">
        <v>0</v>
      </c>
      <c r="M86" s="104">
        <f t="shared" si="6"/>
        <v>600000</v>
      </c>
      <c r="N86" s="94" t="s">
        <v>346</v>
      </c>
      <c r="O86" s="98"/>
      <c r="P86" s="97">
        <v>0</v>
      </c>
      <c r="Q86" s="101">
        <v>0</v>
      </c>
      <c r="R86" s="100">
        <f t="shared" si="5"/>
        <v>600000</v>
      </c>
    </row>
    <row r="87" customHeight="1" spans="1:18">
      <c r="A87" s="86">
        <v>84</v>
      </c>
      <c r="B87" s="102" t="s">
        <v>347</v>
      </c>
      <c r="C87" s="86" t="s">
        <v>348</v>
      </c>
      <c r="D87" s="86">
        <v>15082</v>
      </c>
      <c r="E87" s="86">
        <v>4</v>
      </c>
      <c r="F87" s="86">
        <v>103</v>
      </c>
      <c r="G87" s="86">
        <v>3000</v>
      </c>
      <c r="H87" s="86">
        <v>0</v>
      </c>
      <c r="I87" s="86">
        <v>0</v>
      </c>
      <c r="J87" s="86">
        <v>3600000</v>
      </c>
      <c r="K87" s="86">
        <f t="shared" si="7"/>
        <v>3600000</v>
      </c>
      <c r="L87" s="86">
        <v>0</v>
      </c>
      <c r="M87" s="104">
        <f t="shared" si="6"/>
        <v>3600000</v>
      </c>
      <c r="N87" s="94" t="s">
        <v>349</v>
      </c>
      <c r="O87" s="98"/>
      <c r="P87" s="97">
        <v>0</v>
      </c>
      <c r="Q87" s="101">
        <v>0</v>
      </c>
      <c r="R87" s="100">
        <f t="shared" si="5"/>
        <v>3600000</v>
      </c>
    </row>
    <row r="88" customHeight="1" spans="1:18">
      <c r="A88" s="86">
        <v>85</v>
      </c>
      <c r="B88" s="86" t="s">
        <v>350</v>
      </c>
      <c r="C88" s="90" t="s">
        <v>351</v>
      </c>
      <c r="D88" s="86">
        <v>16040</v>
      </c>
      <c r="E88" s="86">
        <v>5</v>
      </c>
      <c r="F88" s="86">
        <v>0</v>
      </c>
      <c r="G88" s="86">
        <v>0</v>
      </c>
      <c r="H88" s="86">
        <v>0</v>
      </c>
      <c r="I88" s="86">
        <v>0</v>
      </c>
      <c r="J88" s="86">
        <v>100</v>
      </c>
      <c r="K88" s="86">
        <v>1000</v>
      </c>
      <c r="L88" s="103">
        <v>100</v>
      </c>
      <c r="M88" s="93">
        <v>0</v>
      </c>
      <c r="N88" s="94" t="s">
        <v>352</v>
      </c>
      <c r="O88" s="76">
        <v>2401</v>
      </c>
      <c r="P88" s="97">
        <v>0</v>
      </c>
      <c r="Q88" s="101">
        <v>0</v>
      </c>
      <c r="R88" s="100">
        <f t="shared" ref="R88:R95" si="8">K88</f>
        <v>1000</v>
      </c>
    </row>
    <row r="89" customHeight="1" spans="1:18">
      <c r="A89" s="86">
        <v>86</v>
      </c>
      <c r="B89" s="86" t="s">
        <v>350</v>
      </c>
      <c r="C89" s="90" t="s">
        <v>351</v>
      </c>
      <c r="D89" s="86">
        <v>17040</v>
      </c>
      <c r="E89" s="86">
        <v>5</v>
      </c>
      <c r="F89" s="86">
        <v>0</v>
      </c>
      <c r="G89" s="86">
        <v>0</v>
      </c>
      <c r="H89" s="86">
        <v>0</v>
      </c>
      <c r="I89" s="86">
        <v>0</v>
      </c>
      <c r="J89" s="86">
        <v>150</v>
      </c>
      <c r="K89" s="86">
        <v>1500</v>
      </c>
      <c r="L89" s="103">
        <v>120</v>
      </c>
      <c r="M89" s="93">
        <v>0</v>
      </c>
      <c r="N89" s="94" t="s">
        <v>353</v>
      </c>
      <c r="O89" s="76">
        <v>2402</v>
      </c>
      <c r="P89" s="97">
        <v>0</v>
      </c>
      <c r="Q89" s="101">
        <v>0</v>
      </c>
      <c r="R89" s="100">
        <f t="shared" si="8"/>
        <v>1500</v>
      </c>
    </row>
    <row r="90" customHeight="1" spans="1:18">
      <c r="A90" s="86">
        <v>87</v>
      </c>
      <c r="B90" s="86" t="s">
        <v>350</v>
      </c>
      <c r="C90" s="90" t="s">
        <v>351</v>
      </c>
      <c r="D90" s="86">
        <v>18040</v>
      </c>
      <c r="E90" s="86">
        <v>5</v>
      </c>
      <c r="F90" s="86">
        <v>0</v>
      </c>
      <c r="G90" s="86">
        <v>0</v>
      </c>
      <c r="H90" s="86">
        <v>0</v>
      </c>
      <c r="I90" s="86">
        <v>0</v>
      </c>
      <c r="J90" s="86">
        <v>200</v>
      </c>
      <c r="K90" s="86">
        <v>2000</v>
      </c>
      <c r="L90" s="103">
        <v>140</v>
      </c>
      <c r="M90" s="93">
        <v>0</v>
      </c>
      <c r="N90" s="94" t="s">
        <v>354</v>
      </c>
      <c r="O90" s="76">
        <v>2403</v>
      </c>
      <c r="P90" s="97">
        <v>0</v>
      </c>
      <c r="Q90" s="101">
        <v>0</v>
      </c>
      <c r="R90" s="100">
        <f t="shared" si="8"/>
        <v>2000</v>
      </c>
    </row>
    <row r="91" customHeight="1" spans="1:18">
      <c r="A91" s="86">
        <v>88</v>
      </c>
      <c r="B91" s="86" t="s">
        <v>350</v>
      </c>
      <c r="C91" s="90" t="s">
        <v>351</v>
      </c>
      <c r="D91" s="86">
        <v>19040</v>
      </c>
      <c r="E91" s="86">
        <v>5</v>
      </c>
      <c r="F91" s="86">
        <v>0</v>
      </c>
      <c r="G91" s="86">
        <v>0</v>
      </c>
      <c r="H91" s="86">
        <v>0</v>
      </c>
      <c r="I91" s="86">
        <v>0</v>
      </c>
      <c r="J91" s="86">
        <v>250</v>
      </c>
      <c r="K91" s="86">
        <v>2500</v>
      </c>
      <c r="L91" s="103">
        <v>160</v>
      </c>
      <c r="M91" s="93">
        <v>0</v>
      </c>
      <c r="N91" s="94" t="s">
        <v>355</v>
      </c>
      <c r="O91" s="76">
        <v>2404</v>
      </c>
      <c r="P91" s="97">
        <v>0</v>
      </c>
      <c r="Q91" s="101">
        <v>0</v>
      </c>
      <c r="R91" s="100">
        <f t="shared" si="8"/>
        <v>2500</v>
      </c>
    </row>
    <row r="92" customHeight="1" spans="1:18">
      <c r="A92" s="86">
        <v>89</v>
      </c>
      <c r="B92" s="86" t="s">
        <v>350</v>
      </c>
      <c r="C92" s="90" t="s">
        <v>351</v>
      </c>
      <c r="D92" s="86">
        <v>20040</v>
      </c>
      <c r="E92" s="86">
        <v>5</v>
      </c>
      <c r="F92" s="86">
        <v>0</v>
      </c>
      <c r="G92" s="86">
        <v>0</v>
      </c>
      <c r="H92" s="86">
        <v>0</v>
      </c>
      <c r="I92" s="86">
        <v>0</v>
      </c>
      <c r="J92" s="86">
        <v>300</v>
      </c>
      <c r="K92" s="86">
        <v>3000</v>
      </c>
      <c r="L92" s="103">
        <v>180</v>
      </c>
      <c r="M92" s="93">
        <v>0</v>
      </c>
      <c r="N92" s="94" t="s">
        <v>356</v>
      </c>
      <c r="O92" s="76">
        <v>2405</v>
      </c>
      <c r="P92" s="97">
        <v>0</v>
      </c>
      <c r="Q92" s="101">
        <v>0</v>
      </c>
      <c r="R92" s="100">
        <f t="shared" si="8"/>
        <v>3000</v>
      </c>
    </row>
    <row r="93" customHeight="1" spans="1:18">
      <c r="A93" s="86">
        <v>90</v>
      </c>
      <c r="B93" s="86" t="s">
        <v>350</v>
      </c>
      <c r="C93" s="90" t="s">
        <v>351</v>
      </c>
      <c r="D93" s="86">
        <v>21040</v>
      </c>
      <c r="E93" s="86">
        <v>5</v>
      </c>
      <c r="F93" s="86">
        <v>0</v>
      </c>
      <c r="G93" s="86">
        <v>0</v>
      </c>
      <c r="H93" s="86">
        <v>0</v>
      </c>
      <c r="I93" s="86">
        <v>0</v>
      </c>
      <c r="J93" s="86">
        <v>300</v>
      </c>
      <c r="K93" s="86">
        <v>3000</v>
      </c>
      <c r="L93" s="103">
        <v>200</v>
      </c>
      <c r="M93" s="93">
        <v>0</v>
      </c>
      <c r="N93" s="94" t="s">
        <v>357</v>
      </c>
      <c r="O93" s="76">
        <v>2406</v>
      </c>
      <c r="P93" s="97">
        <v>0</v>
      </c>
      <c r="Q93" s="101">
        <v>0</v>
      </c>
      <c r="R93" s="100">
        <f t="shared" si="8"/>
        <v>3000</v>
      </c>
    </row>
    <row r="94" customHeight="1" spans="1:18">
      <c r="A94" s="86">
        <v>91</v>
      </c>
      <c r="B94" s="86" t="s">
        <v>358</v>
      </c>
      <c r="C94" s="86" t="s">
        <v>359</v>
      </c>
      <c r="D94" s="86">
        <v>22041</v>
      </c>
      <c r="E94" s="86">
        <v>6</v>
      </c>
      <c r="F94" s="86">
        <v>0</v>
      </c>
      <c r="G94" s="86">
        <v>0</v>
      </c>
      <c r="H94" s="86">
        <v>0</v>
      </c>
      <c r="I94" s="86">
        <v>0</v>
      </c>
      <c r="J94" s="86">
        <v>0</v>
      </c>
      <c r="K94" s="86">
        <v>0</v>
      </c>
      <c r="L94" s="86">
        <v>1</v>
      </c>
      <c r="M94" s="93">
        <v>0</v>
      </c>
      <c r="N94" s="94" t="s">
        <v>359</v>
      </c>
      <c r="O94" s="98"/>
      <c r="P94" s="97">
        <v>0</v>
      </c>
      <c r="Q94" s="101">
        <v>0</v>
      </c>
      <c r="R94" s="100">
        <f t="shared" si="8"/>
        <v>0</v>
      </c>
    </row>
    <row r="95" customHeight="1" spans="1:18">
      <c r="A95" s="86">
        <v>92</v>
      </c>
      <c r="B95" s="86" t="s">
        <v>360</v>
      </c>
      <c r="C95" s="86" t="s">
        <v>361</v>
      </c>
      <c r="D95" s="86">
        <v>23042</v>
      </c>
      <c r="E95" s="86">
        <v>7</v>
      </c>
      <c r="F95" s="86">
        <v>0</v>
      </c>
      <c r="G95" s="86">
        <v>0</v>
      </c>
      <c r="H95" s="86">
        <v>0</v>
      </c>
      <c r="I95" s="86">
        <v>0</v>
      </c>
      <c r="J95" s="86">
        <v>0</v>
      </c>
      <c r="K95" s="86">
        <v>0</v>
      </c>
      <c r="L95" s="86">
        <v>1</v>
      </c>
      <c r="M95" s="93">
        <v>0</v>
      </c>
      <c r="N95" s="94" t="s">
        <v>361</v>
      </c>
      <c r="O95" s="98"/>
      <c r="P95" s="97">
        <v>0</v>
      </c>
      <c r="Q95" s="101">
        <v>0</v>
      </c>
      <c r="R95" s="100">
        <f t="shared" si="8"/>
        <v>0</v>
      </c>
    </row>
    <row r="96" customHeight="1" spans="1:18">
      <c r="A96" s="86">
        <v>93</v>
      </c>
      <c r="B96" s="86" t="s">
        <v>279</v>
      </c>
      <c r="C96" s="86" t="s">
        <v>280</v>
      </c>
      <c r="D96" s="86">
        <v>24029</v>
      </c>
      <c r="E96" s="86">
        <v>8</v>
      </c>
      <c r="F96" s="86">
        <v>1193</v>
      </c>
      <c r="G96" s="86">
        <v>2</v>
      </c>
      <c r="H96" s="86">
        <v>0</v>
      </c>
      <c r="I96" s="86">
        <v>0</v>
      </c>
      <c r="J96" s="86">
        <f>4000*1.03</f>
        <v>4120</v>
      </c>
      <c r="K96" s="86">
        <f t="shared" ref="K96:K102" si="9">J96</f>
        <v>4120</v>
      </c>
      <c r="L96" s="86">
        <v>4000</v>
      </c>
      <c r="M96" s="93">
        <f t="shared" ref="M96:M102" si="10">L96</f>
        <v>4000</v>
      </c>
      <c r="N96" s="94" t="s">
        <v>362</v>
      </c>
      <c r="O96" s="98"/>
      <c r="P96" s="97">
        <v>0</v>
      </c>
      <c r="Q96" s="101">
        <v>0</v>
      </c>
      <c r="R96" s="100">
        <f t="shared" ref="R96:R102" si="11">M96</f>
        <v>4000</v>
      </c>
    </row>
    <row r="97" customHeight="1" spans="1:18">
      <c r="A97" s="86">
        <v>94</v>
      </c>
      <c r="B97" s="86" t="s">
        <v>277</v>
      </c>
      <c r="C97" s="86" t="s">
        <v>278</v>
      </c>
      <c r="D97" s="86">
        <v>24028</v>
      </c>
      <c r="E97" s="86">
        <v>8</v>
      </c>
      <c r="F97" s="86">
        <v>1193</v>
      </c>
      <c r="G97" s="86">
        <v>1</v>
      </c>
      <c r="H97" s="86">
        <v>0</v>
      </c>
      <c r="I97" s="86">
        <v>0</v>
      </c>
      <c r="J97" s="86">
        <f>2000*1.03</f>
        <v>2060</v>
      </c>
      <c r="K97" s="86">
        <f t="shared" si="9"/>
        <v>2060</v>
      </c>
      <c r="L97" s="86">
        <v>2000</v>
      </c>
      <c r="M97" s="93">
        <f t="shared" si="10"/>
        <v>2000</v>
      </c>
      <c r="N97" s="94" t="s">
        <v>363</v>
      </c>
      <c r="O97" s="98"/>
      <c r="P97" s="97">
        <v>0</v>
      </c>
      <c r="Q97" s="101">
        <v>0</v>
      </c>
      <c r="R97" s="100">
        <f t="shared" si="11"/>
        <v>2000</v>
      </c>
    </row>
    <row r="98" customHeight="1" spans="1:18">
      <c r="A98" s="86">
        <v>95</v>
      </c>
      <c r="B98" s="88" t="s">
        <v>281</v>
      </c>
      <c r="C98" s="86" t="s">
        <v>282</v>
      </c>
      <c r="D98" s="86">
        <v>24030</v>
      </c>
      <c r="E98" s="86">
        <v>8</v>
      </c>
      <c r="F98" s="86">
        <v>1193</v>
      </c>
      <c r="G98" s="86">
        <v>3</v>
      </c>
      <c r="H98" s="86">
        <v>0</v>
      </c>
      <c r="I98" s="86">
        <v>0</v>
      </c>
      <c r="J98" s="86">
        <f>6000*1.03</f>
        <v>6180</v>
      </c>
      <c r="K98" s="86">
        <f t="shared" si="9"/>
        <v>6180</v>
      </c>
      <c r="L98" s="86">
        <v>6000</v>
      </c>
      <c r="M98" s="93">
        <f t="shared" si="10"/>
        <v>6000</v>
      </c>
      <c r="N98" s="94" t="s">
        <v>364</v>
      </c>
      <c r="O98" s="98"/>
      <c r="P98" s="97">
        <v>0</v>
      </c>
      <c r="Q98" s="101">
        <v>0</v>
      </c>
      <c r="R98" s="100">
        <f t="shared" si="11"/>
        <v>6000</v>
      </c>
    </row>
    <row r="99" customHeight="1" spans="1:18">
      <c r="A99" s="86">
        <v>96</v>
      </c>
      <c r="B99" s="89" t="s">
        <v>281</v>
      </c>
      <c r="C99" s="86" t="s">
        <v>282</v>
      </c>
      <c r="D99" s="86">
        <v>25030</v>
      </c>
      <c r="E99" s="86">
        <v>9</v>
      </c>
      <c r="F99" s="86">
        <v>1194</v>
      </c>
      <c r="G99" s="86">
        <v>1</v>
      </c>
      <c r="H99" s="86">
        <v>0</v>
      </c>
      <c r="I99" s="86">
        <v>0</v>
      </c>
      <c r="J99" s="86">
        <f>2500*1.03</f>
        <v>2575</v>
      </c>
      <c r="K99" s="86">
        <f t="shared" si="9"/>
        <v>2575</v>
      </c>
      <c r="L99" s="86">
        <v>2500</v>
      </c>
      <c r="M99" s="93">
        <f t="shared" si="10"/>
        <v>2500</v>
      </c>
      <c r="N99" s="94" t="s">
        <v>365</v>
      </c>
      <c r="O99" s="98"/>
      <c r="P99" s="97">
        <v>0</v>
      </c>
      <c r="Q99" s="101">
        <v>0</v>
      </c>
      <c r="R99" s="100">
        <f t="shared" si="11"/>
        <v>2500</v>
      </c>
    </row>
    <row r="100" customHeight="1" spans="1:18">
      <c r="A100" s="86">
        <v>97</v>
      </c>
      <c r="B100" s="89" t="s">
        <v>285</v>
      </c>
      <c r="C100" s="86" t="s">
        <v>286</v>
      </c>
      <c r="D100" s="86">
        <v>25031</v>
      </c>
      <c r="E100" s="86">
        <v>9</v>
      </c>
      <c r="F100" s="86">
        <v>1194</v>
      </c>
      <c r="G100" s="86">
        <v>2</v>
      </c>
      <c r="H100" s="86">
        <v>0</v>
      </c>
      <c r="I100" s="86">
        <v>0</v>
      </c>
      <c r="J100" s="86">
        <f>5000*1.03</f>
        <v>5150</v>
      </c>
      <c r="K100" s="86">
        <f t="shared" si="9"/>
        <v>5150</v>
      </c>
      <c r="L100" s="86">
        <v>5000</v>
      </c>
      <c r="M100" s="93">
        <f t="shared" si="10"/>
        <v>5000</v>
      </c>
      <c r="N100" s="99" t="s">
        <v>366</v>
      </c>
      <c r="O100" s="98"/>
      <c r="P100" s="97">
        <v>0</v>
      </c>
      <c r="Q100" s="101">
        <v>0</v>
      </c>
      <c r="R100" s="100">
        <f t="shared" si="11"/>
        <v>5000</v>
      </c>
    </row>
    <row r="101" customHeight="1" spans="1:18">
      <c r="A101" s="86">
        <v>98</v>
      </c>
      <c r="B101" s="92" t="s">
        <v>283</v>
      </c>
      <c r="C101" s="86" t="s">
        <v>284</v>
      </c>
      <c r="D101" s="86">
        <v>25032</v>
      </c>
      <c r="E101" s="86">
        <v>9</v>
      </c>
      <c r="F101" s="86">
        <v>1194</v>
      </c>
      <c r="G101" s="86">
        <v>3</v>
      </c>
      <c r="H101" s="86">
        <v>0</v>
      </c>
      <c r="I101" s="86">
        <v>0</v>
      </c>
      <c r="J101" s="86">
        <f>7500*1.03</f>
        <v>7725</v>
      </c>
      <c r="K101" s="86">
        <f t="shared" si="9"/>
        <v>7725</v>
      </c>
      <c r="L101" s="86">
        <v>7500</v>
      </c>
      <c r="M101" s="93">
        <f t="shared" si="10"/>
        <v>7500</v>
      </c>
      <c r="N101" s="94" t="s">
        <v>367</v>
      </c>
      <c r="O101" s="98"/>
      <c r="P101" s="97">
        <v>0</v>
      </c>
      <c r="Q101" s="101">
        <v>0</v>
      </c>
      <c r="R101" s="100">
        <f t="shared" si="11"/>
        <v>7500</v>
      </c>
    </row>
    <row r="102" customHeight="1" spans="1:18">
      <c r="A102" s="86">
        <v>99</v>
      </c>
      <c r="B102" s="86" t="s">
        <v>279</v>
      </c>
      <c r="C102" s="86" t="s">
        <v>280</v>
      </c>
      <c r="D102" s="86">
        <v>25029</v>
      </c>
      <c r="E102" s="86">
        <v>9</v>
      </c>
      <c r="F102" s="86">
        <v>1194</v>
      </c>
      <c r="G102" s="86">
        <v>3</v>
      </c>
      <c r="H102" s="86">
        <v>0</v>
      </c>
      <c r="I102" s="86">
        <v>0</v>
      </c>
      <c r="J102" s="86">
        <f>3000*1.03</f>
        <v>3090</v>
      </c>
      <c r="K102" s="86">
        <f t="shared" si="9"/>
        <v>3090</v>
      </c>
      <c r="L102" s="86">
        <v>3000</v>
      </c>
      <c r="M102" s="93">
        <f t="shared" si="10"/>
        <v>3000</v>
      </c>
      <c r="N102" s="99" t="s">
        <v>368</v>
      </c>
      <c r="O102" s="98"/>
      <c r="P102" s="97">
        <v>0</v>
      </c>
      <c r="Q102" s="101">
        <v>0</v>
      </c>
      <c r="R102" s="100">
        <f t="shared" si="11"/>
        <v>3000</v>
      </c>
    </row>
    <row r="103" customHeight="1" spans="1:18">
      <c r="A103" s="86">
        <v>100</v>
      </c>
      <c r="B103" s="88" t="s">
        <v>369</v>
      </c>
      <c r="C103" s="86" t="s">
        <v>370</v>
      </c>
      <c r="D103" s="86">
        <v>26043</v>
      </c>
      <c r="E103" s="86">
        <v>10</v>
      </c>
      <c r="F103" s="86">
        <v>101</v>
      </c>
      <c r="G103" s="86">
        <v>1</v>
      </c>
      <c r="H103" s="86">
        <v>0</v>
      </c>
      <c r="I103" s="86">
        <v>0</v>
      </c>
      <c r="J103" s="86">
        <v>600</v>
      </c>
      <c r="K103" s="86">
        <v>3600</v>
      </c>
      <c r="L103" s="86">
        <v>0</v>
      </c>
      <c r="M103" s="93">
        <v>0</v>
      </c>
      <c r="N103" s="94" t="s">
        <v>371</v>
      </c>
      <c r="O103" s="98"/>
      <c r="P103" s="97">
        <v>0</v>
      </c>
      <c r="Q103" s="101">
        <v>0</v>
      </c>
      <c r="R103" s="100">
        <f>K103</f>
        <v>3600</v>
      </c>
    </row>
    <row r="104" customHeight="1" spans="1:18">
      <c r="A104" s="86">
        <v>101</v>
      </c>
      <c r="B104" s="89" t="s">
        <v>372</v>
      </c>
      <c r="C104" s="86" t="s">
        <v>373</v>
      </c>
      <c r="D104" s="86">
        <v>27044</v>
      </c>
      <c r="E104" s="86">
        <v>11</v>
      </c>
      <c r="F104" s="86">
        <v>2057</v>
      </c>
      <c r="G104" s="86">
        <v>1</v>
      </c>
      <c r="H104" s="86">
        <v>0</v>
      </c>
      <c r="I104" s="86">
        <v>0</v>
      </c>
      <c r="J104" s="86">
        <v>20600</v>
      </c>
      <c r="K104" s="86">
        <v>20600</v>
      </c>
      <c r="L104" s="86">
        <v>0</v>
      </c>
      <c r="M104" s="104">
        <f t="shared" ref="M104:M131" si="12">J104</f>
        <v>20600</v>
      </c>
      <c r="N104" s="94" t="s">
        <v>374</v>
      </c>
      <c r="O104" s="98"/>
      <c r="P104" s="97">
        <v>0</v>
      </c>
      <c r="Q104" s="101">
        <v>0</v>
      </c>
      <c r="R104" s="100">
        <f t="shared" ref="R104:R135" si="13">M104</f>
        <v>20600</v>
      </c>
    </row>
    <row r="105" customHeight="1" spans="1:18">
      <c r="A105" s="86">
        <v>102</v>
      </c>
      <c r="B105" s="89" t="s">
        <v>375</v>
      </c>
      <c r="C105" s="86" t="s">
        <v>376</v>
      </c>
      <c r="D105" s="86">
        <v>27045</v>
      </c>
      <c r="E105" s="86">
        <v>11</v>
      </c>
      <c r="F105" s="86">
        <v>2061</v>
      </c>
      <c r="G105" s="86">
        <v>1</v>
      </c>
      <c r="H105" s="86">
        <v>0</v>
      </c>
      <c r="I105" s="86">
        <v>0</v>
      </c>
      <c r="J105" s="86">
        <v>128750</v>
      </c>
      <c r="K105" s="86">
        <v>128750</v>
      </c>
      <c r="L105" s="86">
        <v>0</v>
      </c>
      <c r="M105" s="104">
        <f t="shared" si="12"/>
        <v>128750</v>
      </c>
      <c r="N105" s="94" t="s">
        <v>377</v>
      </c>
      <c r="O105" s="98"/>
      <c r="P105" s="97">
        <v>0</v>
      </c>
      <c r="Q105" s="101">
        <v>0</v>
      </c>
      <c r="R105" s="100">
        <f t="shared" si="13"/>
        <v>128750</v>
      </c>
    </row>
    <row r="106" customHeight="1" spans="1:18">
      <c r="A106" s="86">
        <v>103</v>
      </c>
      <c r="B106" s="89" t="s">
        <v>378</v>
      </c>
      <c r="C106" s="86" t="s">
        <v>379</v>
      </c>
      <c r="D106" s="86">
        <v>27046</v>
      </c>
      <c r="E106" s="86">
        <v>11</v>
      </c>
      <c r="F106" s="86">
        <v>2048</v>
      </c>
      <c r="G106" s="86">
        <v>1</v>
      </c>
      <c r="H106" s="86">
        <v>0</v>
      </c>
      <c r="I106" s="86">
        <v>0</v>
      </c>
      <c r="J106" s="86">
        <v>257500</v>
      </c>
      <c r="K106" s="86">
        <v>257500</v>
      </c>
      <c r="L106" s="86">
        <v>0</v>
      </c>
      <c r="M106" s="104">
        <f t="shared" si="12"/>
        <v>257500</v>
      </c>
      <c r="N106" s="94" t="s">
        <v>380</v>
      </c>
      <c r="O106" s="98"/>
      <c r="P106" s="97">
        <v>0</v>
      </c>
      <c r="Q106" s="101">
        <v>0</v>
      </c>
      <c r="R106" s="100">
        <f t="shared" si="13"/>
        <v>257500</v>
      </c>
    </row>
    <row r="107" customHeight="1" spans="1:18">
      <c r="A107" s="86">
        <v>104</v>
      </c>
      <c r="B107" s="89" t="s">
        <v>381</v>
      </c>
      <c r="C107" s="86" t="s">
        <v>382</v>
      </c>
      <c r="D107" s="86">
        <v>27047</v>
      </c>
      <c r="E107" s="86">
        <v>11</v>
      </c>
      <c r="F107" s="86">
        <v>2062</v>
      </c>
      <c r="G107" s="86">
        <v>1</v>
      </c>
      <c r="H107" s="86">
        <v>0</v>
      </c>
      <c r="I107" s="86">
        <v>0</v>
      </c>
      <c r="J107" s="86">
        <v>618000</v>
      </c>
      <c r="K107" s="86">
        <v>618000</v>
      </c>
      <c r="L107" s="86">
        <v>0</v>
      </c>
      <c r="M107" s="104">
        <f t="shared" si="12"/>
        <v>618000</v>
      </c>
      <c r="N107" s="94" t="s">
        <v>383</v>
      </c>
      <c r="O107" s="98"/>
      <c r="P107" s="97">
        <v>0</v>
      </c>
      <c r="Q107" s="101">
        <v>0</v>
      </c>
      <c r="R107" s="100">
        <f t="shared" si="13"/>
        <v>618000</v>
      </c>
    </row>
    <row r="108" customHeight="1" spans="1:18">
      <c r="A108" s="86">
        <v>105</v>
      </c>
      <c r="B108" s="89" t="s">
        <v>384</v>
      </c>
      <c r="C108" s="86" t="s">
        <v>385</v>
      </c>
      <c r="D108" s="86">
        <v>27048</v>
      </c>
      <c r="E108" s="86">
        <v>11</v>
      </c>
      <c r="F108" s="86">
        <v>2059</v>
      </c>
      <c r="G108" s="86">
        <v>1</v>
      </c>
      <c r="H108" s="86">
        <v>0</v>
      </c>
      <c r="I108" s="86">
        <v>0</v>
      </c>
      <c r="J108" s="86">
        <v>1545000</v>
      </c>
      <c r="K108" s="86">
        <v>1545000</v>
      </c>
      <c r="L108" s="86">
        <v>0</v>
      </c>
      <c r="M108" s="104">
        <f t="shared" si="12"/>
        <v>1545000</v>
      </c>
      <c r="N108" s="94" t="s">
        <v>386</v>
      </c>
      <c r="O108" s="98"/>
      <c r="P108" s="97">
        <v>0</v>
      </c>
      <c r="Q108" s="101">
        <v>0</v>
      </c>
      <c r="R108" s="100">
        <f t="shared" si="13"/>
        <v>1545000</v>
      </c>
    </row>
    <row r="109" customHeight="1" spans="1:18">
      <c r="A109" s="86">
        <v>106</v>
      </c>
      <c r="B109" s="89" t="s">
        <v>387</v>
      </c>
      <c r="C109" s="86" t="s">
        <v>388</v>
      </c>
      <c r="D109" s="86">
        <v>27049</v>
      </c>
      <c r="E109" s="86">
        <v>11</v>
      </c>
      <c r="F109" s="86">
        <v>2050</v>
      </c>
      <c r="G109" s="86">
        <v>1</v>
      </c>
      <c r="H109" s="86">
        <v>0</v>
      </c>
      <c r="I109" s="86">
        <v>0</v>
      </c>
      <c r="J109" s="86">
        <v>3090000</v>
      </c>
      <c r="K109" s="86">
        <v>3090000</v>
      </c>
      <c r="L109" s="86">
        <v>0</v>
      </c>
      <c r="M109" s="104">
        <f t="shared" si="12"/>
        <v>3090000</v>
      </c>
      <c r="N109" s="94" t="s">
        <v>389</v>
      </c>
      <c r="O109" s="98"/>
      <c r="P109" s="97">
        <v>0</v>
      </c>
      <c r="Q109" s="101">
        <v>0</v>
      </c>
      <c r="R109" s="100">
        <f t="shared" si="13"/>
        <v>3090000</v>
      </c>
    </row>
    <row r="110" customHeight="1" spans="1:18">
      <c r="A110" s="86">
        <v>107</v>
      </c>
      <c r="B110" s="89" t="s">
        <v>372</v>
      </c>
      <c r="C110" s="86" t="s">
        <v>373</v>
      </c>
      <c r="D110" s="86">
        <v>27079</v>
      </c>
      <c r="E110" s="86">
        <v>11</v>
      </c>
      <c r="F110" s="86">
        <v>2057</v>
      </c>
      <c r="G110" s="86">
        <v>1</v>
      </c>
      <c r="H110" s="86">
        <v>0</v>
      </c>
      <c r="I110" s="86">
        <v>0</v>
      </c>
      <c r="J110" s="86">
        <v>25750</v>
      </c>
      <c r="K110" s="86">
        <v>25750</v>
      </c>
      <c r="L110" s="86">
        <v>0</v>
      </c>
      <c r="M110" s="104">
        <f t="shared" si="12"/>
        <v>25750</v>
      </c>
      <c r="N110" s="94" t="s">
        <v>374</v>
      </c>
      <c r="O110" s="98"/>
      <c r="P110" s="97">
        <v>0</v>
      </c>
      <c r="Q110" s="101">
        <v>0</v>
      </c>
      <c r="R110" s="100">
        <f t="shared" si="13"/>
        <v>25750</v>
      </c>
    </row>
    <row r="111" customHeight="1" spans="1:18">
      <c r="A111" s="86">
        <v>108</v>
      </c>
      <c r="B111" s="89" t="s">
        <v>375</v>
      </c>
      <c r="C111" s="86" t="s">
        <v>376</v>
      </c>
      <c r="D111" s="86">
        <v>27080</v>
      </c>
      <c r="E111" s="86">
        <v>11</v>
      </c>
      <c r="F111" s="86">
        <v>2061</v>
      </c>
      <c r="G111" s="86">
        <v>1</v>
      </c>
      <c r="H111" s="86">
        <v>0</v>
      </c>
      <c r="I111" s="86">
        <v>0</v>
      </c>
      <c r="J111" s="86">
        <v>154500</v>
      </c>
      <c r="K111" s="86">
        <v>154500</v>
      </c>
      <c r="L111" s="86">
        <v>0</v>
      </c>
      <c r="M111" s="104">
        <f t="shared" si="12"/>
        <v>154500</v>
      </c>
      <c r="N111" s="94" t="s">
        <v>377</v>
      </c>
      <c r="O111" s="98"/>
      <c r="P111" s="97">
        <v>0</v>
      </c>
      <c r="Q111" s="101">
        <v>0</v>
      </c>
      <c r="R111" s="100">
        <f t="shared" si="13"/>
        <v>154500</v>
      </c>
    </row>
    <row r="112" customHeight="1" spans="1:258">
      <c r="A112" s="86">
        <v>109</v>
      </c>
      <c r="B112" s="89" t="s">
        <v>390</v>
      </c>
      <c r="C112" s="86" t="s">
        <v>391</v>
      </c>
      <c r="D112" s="86">
        <v>28050</v>
      </c>
      <c r="E112" s="86">
        <v>12</v>
      </c>
      <c r="F112" s="86">
        <v>1228</v>
      </c>
      <c r="G112" s="86">
        <v>1</v>
      </c>
      <c r="H112" s="86">
        <v>0</v>
      </c>
      <c r="I112" s="86">
        <v>0</v>
      </c>
      <c r="J112" s="86">
        <v>115</v>
      </c>
      <c r="K112" s="86">
        <v>115</v>
      </c>
      <c r="L112" s="86">
        <v>0</v>
      </c>
      <c r="M112" s="104">
        <f t="shared" si="12"/>
        <v>115</v>
      </c>
      <c r="N112" s="94" t="s">
        <v>391</v>
      </c>
      <c r="O112" s="105"/>
      <c r="P112" s="97">
        <v>0</v>
      </c>
      <c r="Q112" s="101">
        <v>0</v>
      </c>
      <c r="R112" s="100">
        <f t="shared" si="13"/>
        <v>115</v>
      </c>
      <c r="S112" s="106"/>
      <c r="T112" s="106"/>
      <c r="U112" s="106"/>
      <c r="V112" s="106"/>
      <c r="W112" s="106"/>
      <c r="X112" s="106"/>
      <c r="Y112" s="106"/>
      <c r="Z112" s="106"/>
      <c r="AA112" s="106"/>
      <c r="AB112" s="106"/>
      <c r="AC112" s="106"/>
      <c r="AD112" s="106"/>
      <c r="AE112" s="106"/>
      <c r="AF112" s="106"/>
      <c r="AG112" s="106"/>
      <c r="AH112" s="106"/>
      <c r="AI112" s="106"/>
      <c r="AJ112" s="106"/>
      <c r="AK112" s="106"/>
      <c r="AL112" s="106"/>
      <c r="AM112" s="106"/>
      <c r="AN112" s="106"/>
      <c r="AO112" s="106"/>
      <c r="AP112" s="106"/>
      <c r="AQ112" s="106"/>
      <c r="AR112" s="106"/>
      <c r="AS112" s="106"/>
      <c r="AT112" s="106"/>
      <c r="AU112" s="106"/>
      <c r="AV112" s="106"/>
      <c r="AW112" s="106"/>
      <c r="AX112" s="106"/>
      <c r="AY112" s="106"/>
      <c r="AZ112" s="106"/>
      <c r="BA112" s="106"/>
      <c r="BB112" s="106"/>
      <c r="BC112" s="106"/>
      <c r="BD112" s="106"/>
      <c r="BE112" s="106"/>
      <c r="BF112" s="106"/>
      <c r="BG112" s="106"/>
      <c r="BH112" s="106"/>
      <c r="BI112" s="106"/>
      <c r="BJ112" s="106"/>
      <c r="BK112" s="106"/>
      <c r="BL112" s="106"/>
      <c r="BM112" s="106"/>
      <c r="BN112" s="106"/>
      <c r="BO112" s="106"/>
      <c r="BP112" s="106"/>
      <c r="BQ112" s="106"/>
      <c r="BR112" s="106"/>
      <c r="BS112" s="106"/>
      <c r="BT112" s="106"/>
      <c r="BU112" s="106"/>
      <c r="BV112" s="106"/>
      <c r="BW112" s="106"/>
      <c r="BX112" s="106"/>
      <c r="BY112" s="106"/>
      <c r="BZ112" s="106"/>
      <c r="CA112" s="106"/>
      <c r="CB112" s="106"/>
      <c r="CC112" s="106"/>
      <c r="CD112" s="106"/>
      <c r="CE112" s="106"/>
      <c r="CF112" s="106"/>
      <c r="CG112" s="106"/>
      <c r="CH112" s="106"/>
      <c r="CI112" s="106"/>
      <c r="CJ112" s="106"/>
      <c r="CK112" s="106"/>
      <c r="CL112" s="106"/>
      <c r="CM112" s="106"/>
      <c r="CN112" s="106"/>
      <c r="CO112" s="106"/>
      <c r="CP112" s="106"/>
      <c r="CQ112" s="106"/>
      <c r="CR112" s="106"/>
      <c r="CS112" s="106"/>
      <c r="CT112" s="106"/>
      <c r="CU112" s="106"/>
      <c r="CV112" s="106"/>
      <c r="CW112" s="106"/>
      <c r="CX112" s="106"/>
      <c r="CY112" s="106"/>
      <c r="CZ112" s="106"/>
      <c r="DA112" s="106"/>
      <c r="DB112" s="106"/>
      <c r="DC112" s="106"/>
      <c r="DD112" s="106"/>
      <c r="DE112" s="106"/>
      <c r="DF112" s="106"/>
      <c r="DG112" s="106"/>
      <c r="DH112" s="106"/>
      <c r="DI112" s="106"/>
      <c r="DJ112" s="106"/>
      <c r="DK112" s="106"/>
      <c r="DL112" s="106"/>
      <c r="DM112" s="106"/>
      <c r="DN112" s="106"/>
      <c r="DO112" s="106"/>
      <c r="DP112" s="106"/>
      <c r="DQ112" s="106"/>
      <c r="DR112" s="106"/>
      <c r="DS112" s="106"/>
      <c r="DT112" s="106"/>
      <c r="DU112" s="106"/>
      <c r="DV112" s="106"/>
      <c r="DW112" s="106"/>
      <c r="DX112" s="106"/>
      <c r="DY112" s="106"/>
      <c r="DZ112" s="106"/>
      <c r="EA112" s="106"/>
      <c r="EB112" s="106"/>
      <c r="EC112" s="106"/>
      <c r="ED112" s="106"/>
      <c r="EE112" s="106"/>
      <c r="EF112" s="106"/>
      <c r="EG112" s="106"/>
      <c r="EH112" s="106"/>
      <c r="EI112" s="106"/>
      <c r="EJ112" s="106"/>
      <c r="EK112" s="106"/>
      <c r="EL112" s="106"/>
      <c r="EM112" s="106"/>
      <c r="EN112" s="106"/>
      <c r="EO112" s="106"/>
      <c r="EP112" s="106"/>
      <c r="EQ112" s="106"/>
      <c r="ER112" s="106"/>
      <c r="ES112" s="106"/>
      <c r="ET112" s="106"/>
      <c r="EU112" s="106"/>
      <c r="EV112" s="106"/>
      <c r="EW112" s="106"/>
      <c r="EX112" s="106"/>
      <c r="EY112" s="106"/>
      <c r="EZ112" s="106"/>
      <c r="FA112" s="106"/>
      <c r="FB112" s="106"/>
      <c r="FC112" s="106"/>
      <c r="FD112" s="106"/>
      <c r="FE112" s="106"/>
      <c r="FF112" s="106"/>
      <c r="FG112" s="106"/>
      <c r="FH112" s="106"/>
      <c r="FI112" s="106"/>
      <c r="FJ112" s="106"/>
      <c r="FK112" s="106"/>
      <c r="FL112" s="106"/>
      <c r="FM112" s="106"/>
      <c r="FN112" s="106"/>
      <c r="FO112" s="106"/>
      <c r="FP112" s="106"/>
      <c r="FQ112" s="106"/>
      <c r="FR112" s="106"/>
      <c r="FS112" s="106"/>
      <c r="FT112" s="106"/>
      <c r="FU112" s="106"/>
      <c r="FV112" s="106"/>
      <c r="FW112" s="106"/>
      <c r="FX112" s="106"/>
      <c r="FY112" s="106"/>
      <c r="FZ112" s="106"/>
      <c r="GA112" s="106"/>
      <c r="GB112" s="106"/>
      <c r="GC112" s="106"/>
      <c r="GD112" s="106"/>
      <c r="GE112" s="106"/>
      <c r="GF112" s="106"/>
      <c r="GG112" s="106"/>
      <c r="GH112" s="106"/>
      <c r="GI112" s="106"/>
      <c r="GJ112" s="106"/>
      <c r="GK112" s="106"/>
      <c r="GL112" s="106"/>
      <c r="GM112" s="106"/>
      <c r="GN112" s="106"/>
      <c r="GO112" s="106"/>
      <c r="GP112" s="106"/>
      <c r="GQ112" s="106"/>
      <c r="GR112" s="106"/>
      <c r="GS112" s="106"/>
      <c r="GT112" s="106"/>
      <c r="GU112" s="106"/>
      <c r="GV112" s="106"/>
      <c r="GW112" s="106"/>
      <c r="GX112" s="106"/>
      <c r="GY112" s="106"/>
      <c r="GZ112" s="106"/>
      <c r="HA112" s="106"/>
      <c r="HB112" s="106"/>
      <c r="HC112" s="106"/>
      <c r="HD112" s="106"/>
      <c r="HE112" s="106"/>
      <c r="HF112" s="106"/>
      <c r="HG112" s="106"/>
      <c r="HH112" s="106"/>
      <c r="HI112" s="106"/>
      <c r="HJ112" s="106"/>
      <c r="HK112" s="106"/>
      <c r="HL112" s="106"/>
      <c r="HM112" s="106"/>
      <c r="HN112" s="106"/>
      <c r="HO112" s="106"/>
      <c r="HP112" s="106"/>
      <c r="HQ112" s="106"/>
      <c r="HR112" s="106"/>
      <c r="HS112" s="106"/>
      <c r="HT112" s="106"/>
      <c r="HU112" s="106"/>
      <c r="HV112" s="106"/>
      <c r="HW112" s="106"/>
      <c r="HX112" s="106"/>
      <c r="HY112" s="106"/>
      <c r="HZ112" s="106"/>
      <c r="IA112" s="106"/>
      <c r="IB112" s="106"/>
      <c r="IC112" s="106"/>
      <c r="ID112" s="106"/>
      <c r="IE112" s="106"/>
      <c r="IF112" s="106"/>
      <c r="IG112" s="106"/>
      <c r="IH112" s="106"/>
      <c r="II112" s="106"/>
      <c r="IJ112" s="106"/>
      <c r="IK112" s="106"/>
      <c r="IL112" s="106"/>
      <c r="IM112" s="106"/>
      <c r="IN112" s="106"/>
      <c r="IO112" s="106"/>
      <c r="IP112" s="106"/>
      <c r="IQ112" s="106"/>
      <c r="IR112" s="106"/>
      <c r="IS112" s="106"/>
      <c r="IT112" s="106"/>
      <c r="IU112" s="106"/>
      <c r="IV112" s="106"/>
      <c r="IW112" s="106"/>
      <c r="IX112" s="106"/>
    </row>
    <row r="113" customHeight="1" spans="1:258">
      <c r="A113" s="86">
        <v>110</v>
      </c>
      <c r="B113" s="89" t="s">
        <v>392</v>
      </c>
      <c r="C113" s="86" t="s">
        <v>393</v>
      </c>
      <c r="D113" s="86">
        <v>28051</v>
      </c>
      <c r="E113" s="86">
        <v>12</v>
      </c>
      <c r="F113" s="86">
        <v>1228</v>
      </c>
      <c r="G113" s="86">
        <v>3</v>
      </c>
      <c r="H113" s="86">
        <v>0</v>
      </c>
      <c r="I113" s="86">
        <v>0</v>
      </c>
      <c r="J113" s="86">
        <v>345</v>
      </c>
      <c r="K113" s="86">
        <v>345</v>
      </c>
      <c r="L113" s="86">
        <v>0</v>
      </c>
      <c r="M113" s="104">
        <f t="shared" si="12"/>
        <v>345</v>
      </c>
      <c r="N113" s="94" t="s">
        <v>393</v>
      </c>
      <c r="O113" s="105"/>
      <c r="P113" s="97">
        <v>0</v>
      </c>
      <c r="Q113" s="101">
        <v>0</v>
      </c>
      <c r="R113" s="100">
        <f t="shared" si="13"/>
        <v>345</v>
      </c>
      <c r="S113" s="106"/>
      <c r="T113" s="106"/>
      <c r="U113" s="106"/>
      <c r="V113" s="106"/>
      <c r="W113" s="106"/>
      <c r="X113" s="106"/>
      <c r="Y113" s="106"/>
      <c r="Z113" s="106"/>
      <c r="AA113" s="106"/>
      <c r="AB113" s="106"/>
      <c r="AC113" s="106"/>
      <c r="AD113" s="106"/>
      <c r="AE113" s="106"/>
      <c r="AF113" s="106"/>
      <c r="AG113" s="106"/>
      <c r="AH113" s="106"/>
      <c r="AI113" s="106"/>
      <c r="AJ113" s="106"/>
      <c r="AK113" s="106"/>
      <c r="AL113" s="106"/>
      <c r="AM113" s="106"/>
      <c r="AN113" s="106"/>
      <c r="AO113" s="106"/>
      <c r="AP113" s="106"/>
      <c r="AQ113" s="106"/>
      <c r="AR113" s="106"/>
      <c r="AS113" s="106"/>
      <c r="AT113" s="106"/>
      <c r="AU113" s="106"/>
      <c r="AV113" s="106"/>
      <c r="AW113" s="106"/>
      <c r="AX113" s="106"/>
      <c r="AY113" s="106"/>
      <c r="AZ113" s="106"/>
      <c r="BA113" s="106"/>
      <c r="BB113" s="106"/>
      <c r="BC113" s="106"/>
      <c r="BD113" s="106"/>
      <c r="BE113" s="106"/>
      <c r="BF113" s="106"/>
      <c r="BG113" s="106"/>
      <c r="BH113" s="106"/>
      <c r="BI113" s="106"/>
      <c r="BJ113" s="106"/>
      <c r="BK113" s="106"/>
      <c r="BL113" s="106"/>
      <c r="BM113" s="106"/>
      <c r="BN113" s="106"/>
      <c r="BO113" s="106"/>
      <c r="BP113" s="106"/>
      <c r="BQ113" s="106"/>
      <c r="BR113" s="106"/>
      <c r="BS113" s="106"/>
      <c r="BT113" s="106"/>
      <c r="BU113" s="106"/>
      <c r="BV113" s="106"/>
      <c r="BW113" s="106"/>
      <c r="BX113" s="106"/>
      <c r="BY113" s="106"/>
      <c r="BZ113" s="106"/>
      <c r="CA113" s="106"/>
      <c r="CB113" s="106"/>
      <c r="CC113" s="106"/>
      <c r="CD113" s="106"/>
      <c r="CE113" s="106"/>
      <c r="CF113" s="106"/>
      <c r="CG113" s="106"/>
      <c r="CH113" s="106"/>
      <c r="CI113" s="106"/>
      <c r="CJ113" s="106"/>
      <c r="CK113" s="106"/>
      <c r="CL113" s="106"/>
      <c r="CM113" s="106"/>
      <c r="CN113" s="106"/>
      <c r="CO113" s="106"/>
      <c r="CP113" s="106"/>
      <c r="CQ113" s="106"/>
      <c r="CR113" s="106"/>
      <c r="CS113" s="106"/>
      <c r="CT113" s="106"/>
      <c r="CU113" s="106"/>
      <c r="CV113" s="106"/>
      <c r="CW113" s="106"/>
      <c r="CX113" s="106"/>
      <c r="CY113" s="106"/>
      <c r="CZ113" s="106"/>
      <c r="DA113" s="106"/>
      <c r="DB113" s="106"/>
      <c r="DC113" s="106"/>
      <c r="DD113" s="106"/>
      <c r="DE113" s="106"/>
      <c r="DF113" s="106"/>
      <c r="DG113" s="106"/>
      <c r="DH113" s="106"/>
      <c r="DI113" s="106"/>
      <c r="DJ113" s="106"/>
      <c r="DK113" s="106"/>
      <c r="DL113" s="106"/>
      <c r="DM113" s="106"/>
      <c r="DN113" s="106"/>
      <c r="DO113" s="106"/>
      <c r="DP113" s="106"/>
      <c r="DQ113" s="106"/>
      <c r="DR113" s="106"/>
      <c r="DS113" s="106"/>
      <c r="DT113" s="106"/>
      <c r="DU113" s="106"/>
      <c r="DV113" s="106"/>
      <c r="DW113" s="106"/>
      <c r="DX113" s="106"/>
      <c r="DY113" s="106"/>
      <c r="DZ113" s="106"/>
      <c r="EA113" s="106"/>
      <c r="EB113" s="106"/>
      <c r="EC113" s="106"/>
      <c r="ED113" s="106"/>
      <c r="EE113" s="106"/>
      <c r="EF113" s="106"/>
      <c r="EG113" s="106"/>
      <c r="EH113" s="106"/>
      <c r="EI113" s="106"/>
      <c r="EJ113" s="106"/>
      <c r="EK113" s="106"/>
      <c r="EL113" s="106"/>
      <c r="EM113" s="106"/>
      <c r="EN113" s="106"/>
      <c r="EO113" s="106"/>
      <c r="EP113" s="106"/>
      <c r="EQ113" s="106"/>
      <c r="ER113" s="106"/>
      <c r="ES113" s="106"/>
      <c r="ET113" s="106"/>
      <c r="EU113" s="106"/>
      <c r="EV113" s="106"/>
      <c r="EW113" s="106"/>
      <c r="EX113" s="106"/>
      <c r="EY113" s="106"/>
      <c r="EZ113" s="106"/>
      <c r="FA113" s="106"/>
      <c r="FB113" s="106"/>
      <c r="FC113" s="106"/>
      <c r="FD113" s="106"/>
      <c r="FE113" s="106"/>
      <c r="FF113" s="106"/>
      <c r="FG113" s="106"/>
      <c r="FH113" s="106"/>
      <c r="FI113" s="106"/>
      <c r="FJ113" s="106"/>
      <c r="FK113" s="106"/>
      <c r="FL113" s="106"/>
      <c r="FM113" s="106"/>
      <c r="FN113" s="106"/>
      <c r="FO113" s="106"/>
      <c r="FP113" s="106"/>
      <c r="FQ113" s="106"/>
      <c r="FR113" s="106"/>
      <c r="FS113" s="106"/>
      <c r="FT113" s="106"/>
      <c r="FU113" s="106"/>
      <c r="FV113" s="106"/>
      <c r="FW113" s="106"/>
      <c r="FX113" s="106"/>
      <c r="FY113" s="106"/>
      <c r="FZ113" s="106"/>
      <c r="GA113" s="106"/>
      <c r="GB113" s="106"/>
      <c r="GC113" s="106"/>
      <c r="GD113" s="106"/>
      <c r="GE113" s="106"/>
      <c r="GF113" s="106"/>
      <c r="GG113" s="106"/>
      <c r="GH113" s="106"/>
      <c r="GI113" s="106"/>
      <c r="GJ113" s="106"/>
      <c r="GK113" s="106"/>
      <c r="GL113" s="106"/>
      <c r="GM113" s="106"/>
      <c r="GN113" s="106"/>
      <c r="GO113" s="106"/>
      <c r="GP113" s="106"/>
      <c r="GQ113" s="106"/>
      <c r="GR113" s="106"/>
      <c r="GS113" s="106"/>
      <c r="GT113" s="106"/>
      <c r="GU113" s="106"/>
      <c r="GV113" s="106"/>
      <c r="GW113" s="106"/>
      <c r="GX113" s="106"/>
      <c r="GY113" s="106"/>
      <c r="GZ113" s="106"/>
      <c r="HA113" s="106"/>
      <c r="HB113" s="106"/>
      <c r="HC113" s="106"/>
      <c r="HD113" s="106"/>
      <c r="HE113" s="106"/>
      <c r="HF113" s="106"/>
      <c r="HG113" s="106"/>
      <c r="HH113" s="106"/>
      <c r="HI113" s="106"/>
      <c r="HJ113" s="106"/>
      <c r="HK113" s="106"/>
      <c r="HL113" s="106"/>
      <c r="HM113" s="106"/>
      <c r="HN113" s="106"/>
      <c r="HO113" s="106"/>
      <c r="HP113" s="106"/>
      <c r="HQ113" s="106"/>
      <c r="HR113" s="106"/>
      <c r="HS113" s="106"/>
      <c r="HT113" s="106"/>
      <c r="HU113" s="106"/>
      <c r="HV113" s="106"/>
      <c r="HW113" s="106"/>
      <c r="HX113" s="106"/>
      <c r="HY113" s="106"/>
      <c r="HZ113" s="106"/>
      <c r="IA113" s="106"/>
      <c r="IB113" s="106"/>
      <c r="IC113" s="106"/>
      <c r="ID113" s="106"/>
      <c r="IE113" s="106"/>
      <c r="IF113" s="106"/>
      <c r="IG113" s="106"/>
      <c r="IH113" s="106"/>
      <c r="II113" s="106"/>
      <c r="IJ113" s="106"/>
      <c r="IK113" s="106"/>
      <c r="IL113" s="106"/>
      <c r="IM113" s="106"/>
      <c r="IN113" s="106"/>
      <c r="IO113" s="106"/>
      <c r="IP113" s="106"/>
      <c r="IQ113" s="106"/>
      <c r="IR113" s="106"/>
      <c r="IS113" s="106"/>
      <c r="IT113" s="106"/>
      <c r="IU113" s="106"/>
      <c r="IV113" s="106"/>
      <c r="IW113" s="106"/>
      <c r="IX113" s="106"/>
    </row>
    <row r="114" customHeight="1" spans="1:18">
      <c r="A114" s="86">
        <v>111</v>
      </c>
      <c r="B114" s="89" t="s">
        <v>394</v>
      </c>
      <c r="C114" s="86" t="s">
        <v>395</v>
      </c>
      <c r="D114" s="86">
        <v>28052</v>
      </c>
      <c r="E114" s="86">
        <v>12</v>
      </c>
      <c r="F114" s="86">
        <v>1228</v>
      </c>
      <c r="G114" s="86">
        <v>10</v>
      </c>
      <c r="H114" s="86">
        <v>0</v>
      </c>
      <c r="I114" s="86">
        <v>0</v>
      </c>
      <c r="J114" s="86">
        <v>1150</v>
      </c>
      <c r="K114" s="86">
        <v>1150</v>
      </c>
      <c r="L114" s="86">
        <v>0</v>
      </c>
      <c r="M114" s="104">
        <f t="shared" si="12"/>
        <v>1150</v>
      </c>
      <c r="N114" s="94" t="s">
        <v>395</v>
      </c>
      <c r="O114" s="98"/>
      <c r="P114" s="97">
        <v>0</v>
      </c>
      <c r="Q114" s="101">
        <v>0</v>
      </c>
      <c r="R114" s="100">
        <f t="shared" si="13"/>
        <v>1150</v>
      </c>
    </row>
    <row r="115" customHeight="1" spans="1:18">
      <c r="A115" s="86">
        <v>112</v>
      </c>
      <c r="B115" s="89" t="s">
        <v>396</v>
      </c>
      <c r="C115" s="86" t="s">
        <v>397</v>
      </c>
      <c r="D115" s="86">
        <v>28053</v>
      </c>
      <c r="E115" s="86">
        <v>12</v>
      </c>
      <c r="F115" s="86">
        <v>1228</v>
      </c>
      <c r="G115" s="86">
        <v>30</v>
      </c>
      <c r="H115" s="86">
        <v>0</v>
      </c>
      <c r="I115" s="86">
        <v>0</v>
      </c>
      <c r="J115" s="86">
        <v>3450</v>
      </c>
      <c r="K115" s="86">
        <v>3450</v>
      </c>
      <c r="L115" s="86">
        <v>0</v>
      </c>
      <c r="M115" s="104">
        <f t="shared" si="12"/>
        <v>3450</v>
      </c>
      <c r="N115" s="94" t="s">
        <v>397</v>
      </c>
      <c r="O115" s="98"/>
      <c r="P115" s="97">
        <v>0</v>
      </c>
      <c r="Q115" s="101">
        <v>0</v>
      </c>
      <c r="R115" s="100">
        <f t="shared" si="13"/>
        <v>3450</v>
      </c>
    </row>
    <row r="116" customHeight="1" spans="1:18">
      <c r="A116" s="86">
        <v>113</v>
      </c>
      <c r="B116" s="89" t="s">
        <v>398</v>
      </c>
      <c r="C116" s="86" t="s">
        <v>399</v>
      </c>
      <c r="D116" s="86">
        <v>28070</v>
      </c>
      <c r="E116" s="86">
        <v>12</v>
      </c>
      <c r="F116" s="86">
        <v>1228</v>
      </c>
      <c r="G116" s="86">
        <v>100</v>
      </c>
      <c r="H116" s="86">
        <v>0</v>
      </c>
      <c r="I116" s="86">
        <v>0</v>
      </c>
      <c r="J116" s="86">
        <v>11500</v>
      </c>
      <c r="K116" s="86">
        <v>11500</v>
      </c>
      <c r="L116" s="86">
        <v>0</v>
      </c>
      <c r="M116" s="104">
        <f t="shared" si="12"/>
        <v>11500</v>
      </c>
      <c r="N116" s="94" t="s">
        <v>399</v>
      </c>
      <c r="O116" s="98"/>
      <c r="P116" s="97">
        <v>0</v>
      </c>
      <c r="Q116" s="101">
        <v>0</v>
      </c>
      <c r="R116" s="100">
        <f t="shared" si="13"/>
        <v>11500</v>
      </c>
    </row>
    <row r="117" customHeight="1" spans="1:18">
      <c r="A117" s="86">
        <v>114</v>
      </c>
      <c r="B117" s="89" t="s">
        <v>400</v>
      </c>
      <c r="C117" s="86" t="s">
        <v>401</v>
      </c>
      <c r="D117" s="86">
        <v>28071</v>
      </c>
      <c r="E117" s="86">
        <v>12</v>
      </c>
      <c r="F117" s="86">
        <v>1228</v>
      </c>
      <c r="G117" s="86">
        <v>300</v>
      </c>
      <c r="H117" s="86">
        <v>0</v>
      </c>
      <c r="I117" s="86">
        <v>0</v>
      </c>
      <c r="J117" s="86">
        <v>34500</v>
      </c>
      <c r="K117" s="86">
        <v>34500</v>
      </c>
      <c r="L117" s="86">
        <v>0</v>
      </c>
      <c r="M117" s="104">
        <f t="shared" si="12"/>
        <v>34500</v>
      </c>
      <c r="N117" s="94" t="s">
        <v>401</v>
      </c>
      <c r="O117" s="98"/>
      <c r="P117" s="97">
        <v>0</v>
      </c>
      <c r="Q117" s="101">
        <v>0</v>
      </c>
      <c r="R117" s="100">
        <f t="shared" si="13"/>
        <v>34500</v>
      </c>
    </row>
    <row r="118" customHeight="1" spans="1:18">
      <c r="A118" s="86">
        <v>115</v>
      </c>
      <c r="B118" s="89" t="s">
        <v>402</v>
      </c>
      <c r="C118" s="86" t="s">
        <v>403</v>
      </c>
      <c r="D118" s="86">
        <v>28072</v>
      </c>
      <c r="E118" s="86">
        <v>12</v>
      </c>
      <c r="F118" s="86">
        <v>1228</v>
      </c>
      <c r="G118" s="86">
        <v>400</v>
      </c>
      <c r="H118" s="86">
        <v>0</v>
      </c>
      <c r="I118" s="86">
        <v>0</v>
      </c>
      <c r="J118" s="86">
        <v>46000</v>
      </c>
      <c r="K118" s="86">
        <v>46000</v>
      </c>
      <c r="L118" s="86">
        <v>0</v>
      </c>
      <c r="M118" s="104">
        <f t="shared" si="12"/>
        <v>46000</v>
      </c>
      <c r="N118" s="94" t="s">
        <v>403</v>
      </c>
      <c r="O118" s="98"/>
      <c r="P118" s="97">
        <v>0</v>
      </c>
      <c r="Q118" s="101">
        <v>0</v>
      </c>
      <c r="R118" s="100">
        <f t="shared" si="13"/>
        <v>46000</v>
      </c>
    </row>
    <row r="119" customHeight="1" spans="1:18">
      <c r="A119" s="86">
        <v>116</v>
      </c>
      <c r="B119" s="89" t="s">
        <v>404</v>
      </c>
      <c r="C119" s="86" t="s">
        <v>405</v>
      </c>
      <c r="D119" s="86">
        <v>28073</v>
      </c>
      <c r="E119" s="86">
        <v>12</v>
      </c>
      <c r="F119" s="86">
        <v>1228</v>
      </c>
      <c r="G119" s="86">
        <v>1000</v>
      </c>
      <c r="H119" s="86">
        <v>0</v>
      </c>
      <c r="I119" s="86">
        <v>0</v>
      </c>
      <c r="J119" s="86">
        <v>115000</v>
      </c>
      <c r="K119" s="86">
        <v>115000</v>
      </c>
      <c r="L119" s="86">
        <v>0</v>
      </c>
      <c r="M119" s="104">
        <f t="shared" si="12"/>
        <v>115000</v>
      </c>
      <c r="N119" s="94" t="s">
        <v>405</v>
      </c>
      <c r="O119" s="98"/>
      <c r="P119" s="97">
        <v>0</v>
      </c>
      <c r="Q119" s="101">
        <v>0</v>
      </c>
      <c r="R119" s="100">
        <f t="shared" si="13"/>
        <v>115000</v>
      </c>
    </row>
    <row r="120" customHeight="1" spans="1:18">
      <c r="A120" s="86">
        <v>117</v>
      </c>
      <c r="B120" s="89" t="s">
        <v>406</v>
      </c>
      <c r="C120" s="86" t="s">
        <v>407</v>
      </c>
      <c r="D120" s="86">
        <v>29054</v>
      </c>
      <c r="E120" s="86">
        <v>13</v>
      </c>
      <c r="F120" s="86">
        <v>46001</v>
      </c>
      <c r="G120" s="86">
        <v>1</v>
      </c>
      <c r="H120" s="86">
        <v>0</v>
      </c>
      <c r="I120" s="86">
        <v>0</v>
      </c>
      <c r="J120" s="86">
        <v>350</v>
      </c>
      <c r="K120" s="86">
        <v>350</v>
      </c>
      <c r="L120" s="86">
        <v>0</v>
      </c>
      <c r="M120" s="104">
        <f t="shared" si="12"/>
        <v>350</v>
      </c>
      <c r="N120" s="94" t="s">
        <v>408</v>
      </c>
      <c r="O120" s="98"/>
      <c r="P120" s="97">
        <v>0</v>
      </c>
      <c r="Q120" s="101">
        <v>0</v>
      </c>
      <c r="R120" s="100">
        <f t="shared" si="13"/>
        <v>350</v>
      </c>
    </row>
    <row r="121" customHeight="1" spans="1:18">
      <c r="A121" s="86">
        <v>118</v>
      </c>
      <c r="B121" s="89" t="s">
        <v>406</v>
      </c>
      <c r="C121" s="86" t="s">
        <v>407</v>
      </c>
      <c r="D121" s="86">
        <v>29067</v>
      </c>
      <c r="E121" s="86">
        <v>13</v>
      </c>
      <c r="F121" s="86">
        <v>46002</v>
      </c>
      <c r="G121" s="86">
        <v>1</v>
      </c>
      <c r="H121" s="86">
        <v>0</v>
      </c>
      <c r="I121" s="86">
        <v>0</v>
      </c>
      <c r="J121" s="86">
        <v>15000</v>
      </c>
      <c r="K121" s="86">
        <v>15000</v>
      </c>
      <c r="L121" s="86">
        <v>0</v>
      </c>
      <c r="M121" s="104">
        <f t="shared" si="12"/>
        <v>15000</v>
      </c>
      <c r="N121" s="94" t="s">
        <v>409</v>
      </c>
      <c r="O121" s="98"/>
      <c r="P121" s="97">
        <v>0</v>
      </c>
      <c r="Q121" s="101">
        <v>0</v>
      </c>
      <c r="R121" s="100">
        <f t="shared" si="13"/>
        <v>15000</v>
      </c>
    </row>
    <row r="122" customHeight="1" spans="1:18">
      <c r="A122" s="86">
        <v>119</v>
      </c>
      <c r="B122" s="89" t="s">
        <v>406</v>
      </c>
      <c r="C122" s="86" t="s">
        <v>407</v>
      </c>
      <c r="D122" s="86">
        <v>29068</v>
      </c>
      <c r="E122" s="86">
        <v>13</v>
      </c>
      <c r="F122" s="86">
        <v>46003</v>
      </c>
      <c r="G122" s="86">
        <v>1</v>
      </c>
      <c r="H122" s="86">
        <v>0</v>
      </c>
      <c r="I122" s="86">
        <v>0</v>
      </c>
      <c r="J122" s="86">
        <v>160000</v>
      </c>
      <c r="K122" s="86">
        <v>160000</v>
      </c>
      <c r="L122" s="86">
        <v>0</v>
      </c>
      <c r="M122" s="104">
        <f t="shared" si="12"/>
        <v>160000</v>
      </c>
      <c r="N122" s="94" t="s">
        <v>410</v>
      </c>
      <c r="O122" s="98"/>
      <c r="P122" s="97">
        <v>0</v>
      </c>
      <c r="Q122" s="101">
        <v>0</v>
      </c>
      <c r="R122" s="100">
        <f t="shared" si="13"/>
        <v>160000</v>
      </c>
    </row>
    <row r="123" customHeight="1" spans="1:18">
      <c r="A123" s="86">
        <v>120</v>
      </c>
      <c r="B123" s="89" t="s">
        <v>406</v>
      </c>
      <c r="C123" s="86" t="s">
        <v>407</v>
      </c>
      <c r="D123" s="86">
        <v>29069</v>
      </c>
      <c r="E123" s="86">
        <v>13</v>
      </c>
      <c r="F123" s="86">
        <v>46004</v>
      </c>
      <c r="G123" s="86">
        <v>1</v>
      </c>
      <c r="H123" s="86">
        <v>0</v>
      </c>
      <c r="I123" s="86">
        <v>0</v>
      </c>
      <c r="J123" s="86">
        <v>1000000</v>
      </c>
      <c r="K123" s="86">
        <v>1000000</v>
      </c>
      <c r="L123" s="86">
        <v>0</v>
      </c>
      <c r="M123" s="104">
        <f t="shared" si="12"/>
        <v>1000000</v>
      </c>
      <c r="N123" s="94" t="s">
        <v>411</v>
      </c>
      <c r="O123" s="98"/>
      <c r="P123" s="97">
        <v>0</v>
      </c>
      <c r="Q123" s="101">
        <v>0</v>
      </c>
      <c r="R123" s="100">
        <f t="shared" si="13"/>
        <v>1000000</v>
      </c>
    </row>
    <row r="124" customHeight="1" spans="1:18">
      <c r="A124" s="86">
        <v>121</v>
      </c>
      <c r="B124" s="89" t="s">
        <v>412</v>
      </c>
      <c r="C124" s="86" t="s">
        <v>413</v>
      </c>
      <c r="D124" s="86">
        <v>30059</v>
      </c>
      <c r="E124" s="86">
        <v>14</v>
      </c>
      <c r="F124" s="86">
        <v>4141</v>
      </c>
      <c r="G124" s="86">
        <v>1</v>
      </c>
      <c r="H124" s="86">
        <v>0</v>
      </c>
      <c r="I124" s="86">
        <v>0</v>
      </c>
      <c r="J124" s="86">
        <v>1200000</v>
      </c>
      <c r="K124" s="86">
        <f>J124</f>
        <v>1200000</v>
      </c>
      <c r="L124" s="86">
        <v>0</v>
      </c>
      <c r="M124" s="104">
        <f t="shared" si="12"/>
        <v>1200000</v>
      </c>
      <c r="N124" s="94" t="s">
        <v>414</v>
      </c>
      <c r="O124" s="98"/>
      <c r="P124" s="97">
        <v>0</v>
      </c>
      <c r="Q124" s="101">
        <v>0</v>
      </c>
      <c r="R124" s="100">
        <f t="shared" si="13"/>
        <v>1200000</v>
      </c>
    </row>
    <row r="125" customHeight="1" spans="1:18">
      <c r="A125" s="86">
        <v>122</v>
      </c>
      <c r="B125" s="89" t="s">
        <v>415</v>
      </c>
      <c r="C125" s="86" t="s">
        <v>416</v>
      </c>
      <c r="D125" s="86">
        <v>30060</v>
      </c>
      <c r="E125" s="86">
        <v>14</v>
      </c>
      <c r="F125" s="86">
        <v>4142</v>
      </c>
      <c r="G125" s="86">
        <v>1</v>
      </c>
      <c r="H125" s="86">
        <v>0</v>
      </c>
      <c r="I125" s="86">
        <v>0</v>
      </c>
      <c r="J125" s="86">
        <v>3600000</v>
      </c>
      <c r="K125" s="86">
        <f>J125</f>
        <v>3600000</v>
      </c>
      <c r="L125" s="86">
        <v>0</v>
      </c>
      <c r="M125" s="104">
        <f t="shared" si="12"/>
        <v>3600000</v>
      </c>
      <c r="N125" s="94" t="s">
        <v>417</v>
      </c>
      <c r="O125" s="98"/>
      <c r="P125" s="97">
        <v>0</v>
      </c>
      <c r="Q125" s="101">
        <v>0</v>
      </c>
      <c r="R125" s="100">
        <f t="shared" si="13"/>
        <v>3600000</v>
      </c>
    </row>
    <row r="126" customHeight="1" spans="1:18">
      <c r="A126" s="86">
        <v>123</v>
      </c>
      <c r="B126" s="89" t="s">
        <v>418</v>
      </c>
      <c r="C126" s="86" t="s">
        <v>419</v>
      </c>
      <c r="D126" s="86">
        <v>30061</v>
      </c>
      <c r="E126" s="86">
        <v>14</v>
      </c>
      <c r="F126" s="86">
        <v>4144</v>
      </c>
      <c r="G126" s="86">
        <v>1</v>
      </c>
      <c r="H126" s="86">
        <v>0</v>
      </c>
      <c r="I126" s="86">
        <v>0</v>
      </c>
      <c r="J126" s="86">
        <v>12000000</v>
      </c>
      <c r="K126" s="86">
        <f>J126</f>
        <v>12000000</v>
      </c>
      <c r="L126" s="86">
        <v>0</v>
      </c>
      <c r="M126" s="104">
        <f t="shared" si="12"/>
        <v>12000000</v>
      </c>
      <c r="N126" s="94" t="s">
        <v>420</v>
      </c>
      <c r="O126" s="98"/>
      <c r="P126" s="97">
        <v>0</v>
      </c>
      <c r="Q126" s="101">
        <v>0</v>
      </c>
      <c r="R126" s="100">
        <f t="shared" si="13"/>
        <v>12000000</v>
      </c>
    </row>
    <row r="127" customHeight="1" spans="1:18">
      <c r="A127" s="86">
        <v>124</v>
      </c>
      <c r="B127" s="89" t="s">
        <v>421</v>
      </c>
      <c r="C127" s="86" t="s">
        <v>422</v>
      </c>
      <c r="D127" s="86">
        <v>31062</v>
      </c>
      <c r="E127" s="86">
        <v>15</v>
      </c>
      <c r="F127" s="86">
        <v>4233</v>
      </c>
      <c r="G127" s="86">
        <v>1</v>
      </c>
      <c r="H127" s="86">
        <v>0</v>
      </c>
      <c r="I127" s="86">
        <v>0</v>
      </c>
      <c r="J127" s="86">
        <v>12000000</v>
      </c>
      <c r="K127" s="86">
        <f>J127</f>
        <v>12000000</v>
      </c>
      <c r="L127" s="86">
        <v>0</v>
      </c>
      <c r="M127" s="104">
        <f t="shared" si="12"/>
        <v>12000000</v>
      </c>
      <c r="N127" s="94" t="s">
        <v>423</v>
      </c>
      <c r="O127" s="98"/>
      <c r="P127" s="97">
        <v>0</v>
      </c>
      <c r="Q127" s="101">
        <v>0</v>
      </c>
      <c r="R127" s="100">
        <f t="shared" si="13"/>
        <v>12000000</v>
      </c>
    </row>
    <row r="128" customHeight="1" spans="1:18">
      <c r="A128" s="86">
        <v>125</v>
      </c>
      <c r="B128" s="89" t="s">
        <v>424</v>
      </c>
      <c r="C128" s="86" t="s">
        <v>425</v>
      </c>
      <c r="D128" s="86">
        <v>32063</v>
      </c>
      <c r="E128" s="86">
        <v>16</v>
      </c>
      <c r="F128" s="86">
        <v>3106</v>
      </c>
      <c r="G128" s="86">
        <v>1</v>
      </c>
      <c r="H128" s="86">
        <v>0</v>
      </c>
      <c r="I128" s="86">
        <v>0</v>
      </c>
      <c r="J128" s="86">
        <v>300</v>
      </c>
      <c r="K128" s="86">
        <v>300</v>
      </c>
      <c r="L128" s="86">
        <v>0</v>
      </c>
      <c r="M128" s="104">
        <f t="shared" si="12"/>
        <v>300</v>
      </c>
      <c r="N128" s="94" t="s">
        <v>425</v>
      </c>
      <c r="O128" s="98"/>
      <c r="P128" s="97">
        <v>0</v>
      </c>
      <c r="Q128" s="101">
        <v>0</v>
      </c>
      <c r="R128" s="100">
        <f t="shared" si="13"/>
        <v>300</v>
      </c>
    </row>
    <row r="129" customHeight="1" spans="1:18">
      <c r="A129" s="86">
        <v>126</v>
      </c>
      <c r="B129" s="89" t="s">
        <v>426</v>
      </c>
      <c r="C129" s="86" t="s">
        <v>427</v>
      </c>
      <c r="D129" s="86">
        <v>32064</v>
      </c>
      <c r="E129" s="86">
        <v>16</v>
      </c>
      <c r="F129" s="86">
        <v>3106</v>
      </c>
      <c r="G129" s="86">
        <v>5</v>
      </c>
      <c r="H129" s="86">
        <v>0</v>
      </c>
      <c r="I129" s="86">
        <v>0</v>
      </c>
      <c r="J129" s="86">
        <v>7500</v>
      </c>
      <c r="K129" s="86">
        <v>7500</v>
      </c>
      <c r="L129" s="86">
        <v>0</v>
      </c>
      <c r="M129" s="104">
        <f t="shared" si="12"/>
        <v>7500</v>
      </c>
      <c r="N129" s="94" t="s">
        <v>427</v>
      </c>
      <c r="O129" s="98"/>
      <c r="P129" s="97">
        <v>0</v>
      </c>
      <c r="Q129" s="101">
        <v>0</v>
      </c>
      <c r="R129" s="100">
        <f t="shared" si="13"/>
        <v>7500</v>
      </c>
    </row>
    <row r="130" customHeight="1" spans="1:18">
      <c r="A130" s="86">
        <v>127</v>
      </c>
      <c r="B130" s="89" t="s">
        <v>428</v>
      </c>
      <c r="C130" s="86" t="s">
        <v>429</v>
      </c>
      <c r="D130" s="86">
        <v>32065</v>
      </c>
      <c r="E130" s="86">
        <v>16</v>
      </c>
      <c r="F130" s="86">
        <v>3106</v>
      </c>
      <c r="G130" s="86">
        <v>20</v>
      </c>
      <c r="H130" s="86">
        <v>0</v>
      </c>
      <c r="I130" s="86">
        <v>0</v>
      </c>
      <c r="J130" s="86">
        <v>30000</v>
      </c>
      <c r="K130" s="86">
        <v>30000</v>
      </c>
      <c r="L130" s="86">
        <v>0</v>
      </c>
      <c r="M130" s="104">
        <f t="shared" si="12"/>
        <v>30000</v>
      </c>
      <c r="N130" s="94" t="s">
        <v>429</v>
      </c>
      <c r="O130" s="98"/>
      <c r="P130" s="97">
        <v>0</v>
      </c>
      <c r="Q130" s="101">
        <v>0</v>
      </c>
      <c r="R130" s="100">
        <f t="shared" si="13"/>
        <v>30000</v>
      </c>
    </row>
    <row r="131" customHeight="1" spans="1:18">
      <c r="A131" s="86">
        <v>128</v>
      </c>
      <c r="B131" s="89" t="s">
        <v>430</v>
      </c>
      <c r="C131" s="86" t="s">
        <v>431</v>
      </c>
      <c r="D131" s="86">
        <v>32066</v>
      </c>
      <c r="E131" s="86">
        <v>16</v>
      </c>
      <c r="F131" s="86">
        <v>3106</v>
      </c>
      <c r="G131" s="86">
        <v>50</v>
      </c>
      <c r="H131" s="86">
        <v>0</v>
      </c>
      <c r="I131" s="86">
        <v>0</v>
      </c>
      <c r="J131" s="86">
        <v>100000</v>
      </c>
      <c r="K131" s="86">
        <v>100000</v>
      </c>
      <c r="L131" s="86">
        <v>0</v>
      </c>
      <c r="M131" s="104">
        <f t="shared" si="12"/>
        <v>100000</v>
      </c>
      <c r="N131" s="94" t="s">
        <v>431</v>
      </c>
      <c r="O131" s="98"/>
      <c r="P131" s="97">
        <v>0</v>
      </c>
      <c r="Q131" s="101">
        <v>0</v>
      </c>
      <c r="R131" s="100">
        <f t="shared" si="13"/>
        <v>100000</v>
      </c>
    </row>
    <row r="132" customHeight="1" spans="1:18">
      <c r="A132" s="86">
        <v>129</v>
      </c>
      <c r="B132" s="89" t="s">
        <v>432</v>
      </c>
      <c r="C132" s="86" t="s">
        <v>433</v>
      </c>
      <c r="D132" s="86">
        <v>33074</v>
      </c>
      <c r="E132" s="86">
        <v>17</v>
      </c>
      <c r="F132" s="86">
        <v>0</v>
      </c>
      <c r="G132" s="86">
        <v>2</v>
      </c>
      <c r="H132" s="86">
        <v>0</v>
      </c>
      <c r="I132" s="86">
        <v>0</v>
      </c>
      <c r="J132" s="86">
        <v>4800</v>
      </c>
      <c r="K132" s="86">
        <v>4800</v>
      </c>
      <c r="L132" s="86">
        <v>0</v>
      </c>
      <c r="M132" s="93">
        <v>0</v>
      </c>
      <c r="N132" s="94" t="s">
        <v>434</v>
      </c>
      <c r="O132" s="98"/>
      <c r="P132" s="97">
        <v>0</v>
      </c>
      <c r="Q132" s="101">
        <v>0</v>
      </c>
      <c r="R132" s="100">
        <f t="shared" si="13"/>
        <v>0</v>
      </c>
    </row>
    <row r="133" customHeight="1" spans="1:18">
      <c r="A133" s="86">
        <v>130</v>
      </c>
      <c r="B133" s="89" t="s">
        <v>435</v>
      </c>
      <c r="C133" s="86" t="s">
        <v>436</v>
      </c>
      <c r="D133" s="86">
        <v>33075</v>
      </c>
      <c r="E133" s="86">
        <v>17</v>
      </c>
      <c r="F133" s="86">
        <v>0</v>
      </c>
      <c r="G133" s="86">
        <v>3</v>
      </c>
      <c r="H133" s="86">
        <v>0</v>
      </c>
      <c r="I133" s="86">
        <v>0</v>
      </c>
      <c r="J133" s="86">
        <v>3200</v>
      </c>
      <c r="K133" s="86">
        <v>3200</v>
      </c>
      <c r="L133" s="86">
        <v>0</v>
      </c>
      <c r="M133" s="93">
        <v>0</v>
      </c>
      <c r="N133" s="94" t="s">
        <v>437</v>
      </c>
      <c r="O133" s="98"/>
      <c r="P133" s="97">
        <v>0</v>
      </c>
      <c r="Q133" s="101">
        <v>0</v>
      </c>
      <c r="R133" s="100">
        <f t="shared" si="13"/>
        <v>0</v>
      </c>
    </row>
    <row r="134" customHeight="1" spans="1:18">
      <c r="A134" s="86">
        <v>131</v>
      </c>
      <c r="B134" s="89" t="s">
        <v>438</v>
      </c>
      <c r="C134" s="86" t="s">
        <v>439</v>
      </c>
      <c r="D134" s="86">
        <v>33076</v>
      </c>
      <c r="E134" s="86">
        <v>17</v>
      </c>
      <c r="F134" s="86">
        <v>0</v>
      </c>
      <c r="G134" s="86">
        <v>4</v>
      </c>
      <c r="H134" s="86">
        <v>0</v>
      </c>
      <c r="I134" s="86">
        <v>0</v>
      </c>
      <c r="J134" s="86">
        <v>2400</v>
      </c>
      <c r="K134" s="86">
        <v>2400</v>
      </c>
      <c r="L134" s="86">
        <v>0</v>
      </c>
      <c r="M134" s="93">
        <v>0</v>
      </c>
      <c r="N134" s="94" t="s">
        <v>440</v>
      </c>
      <c r="O134" s="98"/>
      <c r="P134" s="97">
        <v>0</v>
      </c>
      <c r="Q134" s="101">
        <v>0</v>
      </c>
      <c r="R134" s="100">
        <f t="shared" si="13"/>
        <v>0</v>
      </c>
    </row>
    <row r="135" customHeight="1" spans="1:18">
      <c r="A135" s="86">
        <v>132</v>
      </c>
      <c r="B135" s="89" t="s">
        <v>441</v>
      </c>
      <c r="C135" s="86" t="s">
        <v>442</v>
      </c>
      <c r="D135" s="86">
        <v>34077</v>
      </c>
      <c r="E135" s="86">
        <v>18</v>
      </c>
      <c r="F135" s="86">
        <v>0</v>
      </c>
      <c r="G135" s="86">
        <v>1</v>
      </c>
      <c r="H135" s="86">
        <v>0</v>
      </c>
      <c r="I135" s="86">
        <v>0</v>
      </c>
      <c r="J135" s="86">
        <v>2000</v>
      </c>
      <c r="K135" s="86">
        <v>2000</v>
      </c>
      <c r="L135" s="86">
        <v>0</v>
      </c>
      <c r="M135" s="93">
        <v>0</v>
      </c>
      <c r="N135" s="94" t="s">
        <v>443</v>
      </c>
      <c r="O135" s="98"/>
      <c r="P135" s="97">
        <v>0</v>
      </c>
      <c r="Q135" s="101">
        <v>0</v>
      </c>
      <c r="R135" s="100">
        <f t="shared" si="13"/>
        <v>0</v>
      </c>
    </row>
    <row r="136" customHeight="1" spans="1:18">
      <c r="A136" s="86">
        <v>133</v>
      </c>
      <c r="B136" s="89" t="s">
        <v>444</v>
      </c>
      <c r="C136" s="86" t="s">
        <v>276</v>
      </c>
      <c r="D136" s="86">
        <v>35027</v>
      </c>
      <c r="E136" s="86">
        <v>19</v>
      </c>
      <c r="F136" s="86">
        <v>1301</v>
      </c>
      <c r="G136" s="86">
        <v>2</v>
      </c>
      <c r="H136" s="86">
        <v>0</v>
      </c>
      <c r="I136" s="86">
        <v>0</v>
      </c>
      <c r="J136" s="86">
        <f>2000*1.03</f>
        <v>2060</v>
      </c>
      <c r="K136" s="86">
        <f>J136</f>
        <v>2060</v>
      </c>
      <c r="L136" s="86">
        <v>2000</v>
      </c>
      <c r="M136" s="93">
        <f>L136</f>
        <v>2000</v>
      </c>
      <c r="N136" s="94" t="s">
        <v>445</v>
      </c>
      <c r="O136" s="98"/>
      <c r="P136" s="97">
        <v>0</v>
      </c>
      <c r="Q136" s="101">
        <v>0</v>
      </c>
      <c r="R136" s="100">
        <f t="shared" ref="R136:R169" si="14">M136</f>
        <v>2000</v>
      </c>
    </row>
    <row r="137" customHeight="1" spans="1:18">
      <c r="A137" s="86">
        <v>134</v>
      </c>
      <c r="B137" s="89" t="s">
        <v>281</v>
      </c>
      <c r="C137" s="86" t="s">
        <v>282</v>
      </c>
      <c r="D137" s="86">
        <v>35030</v>
      </c>
      <c r="E137" s="86">
        <v>19</v>
      </c>
      <c r="F137" s="86">
        <v>1301</v>
      </c>
      <c r="G137" s="86">
        <v>4</v>
      </c>
      <c r="H137" s="86">
        <v>0</v>
      </c>
      <c r="I137" s="86">
        <v>0</v>
      </c>
      <c r="J137" s="86">
        <f>4000*1.03</f>
        <v>4120</v>
      </c>
      <c r="K137" s="86">
        <f>J137</f>
        <v>4120</v>
      </c>
      <c r="L137" s="86">
        <v>4000</v>
      </c>
      <c r="M137" s="93">
        <f>L137</f>
        <v>4000</v>
      </c>
      <c r="N137" s="94" t="s">
        <v>446</v>
      </c>
      <c r="O137" s="98"/>
      <c r="P137" s="97">
        <v>0</v>
      </c>
      <c r="Q137" s="101">
        <v>0</v>
      </c>
      <c r="R137" s="100">
        <f t="shared" si="14"/>
        <v>4000</v>
      </c>
    </row>
    <row r="138" customHeight="1" spans="1:18">
      <c r="A138" s="86">
        <v>135</v>
      </c>
      <c r="B138" s="89" t="s">
        <v>285</v>
      </c>
      <c r="C138" s="86" t="s">
        <v>286</v>
      </c>
      <c r="D138" s="86">
        <v>35031</v>
      </c>
      <c r="E138" s="86">
        <v>19</v>
      </c>
      <c r="F138" s="86">
        <v>1301</v>
      </c>
      <c r="G138" s="86">
        <v>6</v>
      </c>
      <c r="H138" s="86">
        <v>0</v>
      </c>
      <c r="I138" s="86">
        <v>0</v>
      </c>
      <c r="J138" s="86">
        <f>6000*1.03</f>
        <v>6180</v>
      </c>
      <c r="K138" s="86">
        <f>J138</f>
        <v>6180</v>
      </c>
      <c r="L138" s="86">
        <v>6000</v>
      </c>
      <c r="M138" s="93">
        <f>L138</f>
        <v>6000</v>
      </c>
      <c r="N138" s="94" t="s">
        <v>447</v>
      </c>
      <c r="O138" s="98"/>
      <c r="P138" s="97">
        <v>0</v>
      </c>
      <c r="Q138" s="101">
        <v>0</v>
      </c>
      <c r="R138" s="100">
        <f t="shared" si="14"/>
        <v>6000</v>
      </c>
    </row>
    <row r="139" customHeight="1" spans="1:18">
      <c r="A139" s="86">
        <v>136</v>
      </c>
      <c r="B139" s="89" t="s">
        <v>285</v>
      </c>
      <c r="C139" s="86" t="s">
        <v>286</v>
      </c>
      <c r="D139" s="86">
        <v>36031</v>
      </c>
      <c r="E139" s="86">
        <v>20</v>
      </c>
      <c r="F139" s="86">
        <v>0</v>
      </c>
      <c r="G139" s="86">
        <v>10</v>
      </c>
      <c r="H139" s="86">
        <v>0</v>
      </c>
      <c r="I139" s="86">
        <v>0</v>
      </c>
      <c r="J139" s="86">
        <v>880</v>
      </c>
      <c r="K139" s="86">
        <v>880</v>
      </c>
      <c r="L139" s="86">
        <v>0</v>
      </c>
      <c r="M139" s="93">
        <v>0</v>
      </c>
      <c r="N139" s="94" t="s">
        <v>448</v>
      </c>
      <c r="O139" s="98"/>
      <c r="P139" s="97">
        <v>0</v>
      </c>
      <c r="Q139" s="101">
        <v>0</v>
      </c>
      <c r="R139" s="100">
        <f t="shared" si="14"/>
        <v>0</v>
      </c>
    </row>
    <row r="140" customHeight="1" spans="1:18">
      <c r="A140" s="86">
        <v>137</v>
      </c>
      <c r="B140" s="89" t="s">
        <v>449</v>
      </c>
      <c r="C140" s="86" t="s">
        <v>450</v>
      </c>
      <c r="D140" s="86">
        <v>36078</v>
      </c>
      <c r="E140" s="86">
        <v>20</v>
      </c>
      <c r="F140" s="86">
        <v>0</v>
      </c>
      <c r="G140" s="86">
        <v>20</v>
      </c>
      <c r="H140" s="86">
        <v>0</v>
      </c>
      <c r="I140" s="86">
        <v>0</v>
      </c>
      <c r="J140" s="86">
        <v>400</v>
      </c>
      <c r="K140" s="86">
        <v>400</v>
      </c>
      <c r="L140" s="86">
        <v>0</v>
      </c>
      <c r="M140" s="93">
        <v>0</v>
      </c>
      <c r="N140" s="94" t="s">
        <v>451</v>
      </c>
      <c r="O140" s="98"/>
      <c r="P140" s="97">
        <v>0</v>
      </c>
      <c r="Q140" s="101">
        <v>0</v>
      </c>
      <c r="R140" s="100">
        <f t="shared" si="14"/>
        <v>0</v>
      </c>
    </row>
    <row r="141" customHeight="1" spans="1:18">
      <c r="A141" s="86">
        <v>138</v>
      </c>
      <c r="B141" s="89" t="s">
        <v>452</v>
      </c>
      <c r="C141" s="86" t="s">
        <v>453</v>
      </c>
      <c r="D141" s="86">
        <v>37083</v>
      </c>
      <c r="E141" s="86">
        <v>21</v>
      </c>
      <c r="F141" s="86" t="s">
        <v>454</v>
      </c>
      <c r="G141" s="86">
        <v>0</v>
      </c>
      <c r="H141" s="86">
        <v>0</v>
      </c>
      <c r="I141" s="86">
        <v>0</v>
      </c>
      <c r="J141" s="86">
        <v>40</v>
      </c>
      <c r="K141" s="86">
        <v>40</v>
      </c>
      <c r="L141" s="86">
        <v>0</v>
      </c>
      <c r="M141" s="93">
        <v>0</v>
      </c>
      <c r="N141" s="94" t="s">
        <v>453</v>
      </c>
      <c r="O141" s="98"/>
      <c r="P141" s="97">
        <v>0</v>
      </c>
      <c r="Q141" s="101">
        <v>0</v>
      </c>
      <c r="R141" s="100">
        <f t="shared" si="14"/>
        <v>0</v>
      </c>
    </row>
    <row r="142" customHeight="1" spans="1:18">
      <c r="A142" s="86">
        <v>139</v>
      </c>
      <c r="B142" s="89" t="s">
        <v>452</v>
      </c>
      <c r="C142" s="86" t="s">
        <v>453</v>
      </c>
      <c r="D142" s="86">
        <v>37084</v>
      </c>
      <c r="E142" s="86">
        <v>21</v>
      </c>
      <c r="F142" s="86" t="s">
        <v>455</v>
      </c>
      <c r="G142" s="86">
        <v>0</v>
      </c>
      <c r="H142" s="86">
        <v>0</v>
      </c>
      <c r="I142" s="86">
        <v>0</v>
      </c>
      <c r="J142" s="86">
        <v>100</v>
      </c>
      <c r="K142" s="86">
        <v>100</v>
      </c>
      <c r="L142" s="86">
        <v>0</v>
      </c>
      <c r="M142" s="93">
        <v>0</v>
      </c>
      <c r="N142" s="94" t="s">
        <v>453</v>
      </c>
      <c r="O142" s="98"/>
      <c r="P142" s="97">
        <v>0</v>
      </c>
      <c r="Q142" s="101">
        <v>0</v>
      </c>
      <c r="R142" s="100">
        <f t="shared" si="14"/>
        <v>0</v>
      </c>
    </row>
    <row r="143" customHeight="1" spans="1:18">
      <c r="A143" s="86">
        <v>140</v>
      </c>
      <c r="B143" s="89" t="s">
        <v>251</v>
      </c>
      <c r="C143" s="86" t="s">
        <v>252</v>
      </c>
      <c r="D143" s="86">
        <v>40099</v>
      </c>
      <c r="E143" s="86">
        <v>22</v>
      </c>
      <c r="F143" s="74">
        <v>48001</v>
      </c>
      <c r="G143" s="86">
        <v>0</v>
      </c>
      <c r="H143" s="86">
        <v>0</v>
      </c>
      <c r="I143" s="86">
        <v>0</v>
      </c>
      <c r="J143" s="86">
        <v>200</v>
      </c>
      <c r="K143" s="86">
        <v>200</v>
      </c>
      <c r="L143" s="86">
        <v>0</v>
      </c>
      <c r="M143" s="93">
        <f>J143</f>
        <v>200</v>
      </c>
      <c r="N143" s="94" t="s">
        <v>456</v>
      </c>
      <c r="O143" s="98"/>
      <c r="P143" s="97">
        <v>0</v>
      </c>
      <c r="Q143" s="101">
        <v>0</v>
      </c>
      <c r="R143" s="100">
        <f t="shared" si="14"/>
        <v>200</v>
      </c>
    </row>
    <row r="144" customHeight="1" spans="1:18">
      <c r="A144" s="86">
        <v>141</v>
      </c>
      <c r="B144" s="89" t="s">
        <v>251</v>
      </c>
      <c r="C144" s="86" t="s">
        <v>252</v>
      </c>
      <c r="D144" s="86">
        <v>41099</v>
      </c>
      <c r="E144" s="86">
        <v>22</v>
      </c>
      <c r="F144" s="74">
        <v>48002</v>
      </c>
      <c r="G144" s="86">
        <v>0</v>
      </c>
      <c r="H144" s="86">
        <v>0</v>
      </c>
      <c r="I144" s="86">
        <v>0</v>
      </c>
      <c r="J144" s="86">
        <v>300</v>
      </c>
      <c r="K144" s="86">
        <v>300</v>
      </c>
      <c r="L144" s="86">
        <v>0</v>
      </c>
      <c r="M144" s="93">
        <f>J144</f>
        <v>300</v>
      </c>
      <c r="N144" s="94" t="s">
        <v>456</v>
      </c>
      <c r="O144" s="98"/>
      <c r="P144" s="97">
        <v>0</v>
      </c>
      <c r="Q144" s="101">
        <v>0</v>
      </c>
      <c r="R144" s="100">
        <f t="shared" si="14"/>
        <v>300</v>
      </c>
    </row>
    <row r="145" customHeight="1" spans="1:18">
      <c r="A145" s="86">
        <v>142</v>
      </c>
      <c r="B145" s="89" t="s">
        <v>251</v>
      </c>
      <c r="C145" s="86" t="s">
        <v>252</v>
      </c>
      <c r="D145" s="86">
        <v>42099</v>
      </c>
      <c r="E145" s="86">
        <v>22</v>
      </c>
      <c r="F145" s="74">
        <v>48003</v>
      </c>
      <c r="G145" s="86">
        <v>0</v>
      </c>
      <c r="H145" s="86">
        <v>0</v>
      </c>
      <c r="I145" s="86">
        <v>0</v>
      </c>
      <c r="J145" s="86">
        <v>600</v>
      </c>
      <c r="K145" s="86">
        <v>600</v>
      </c>
      <c r="L145" s="86">
        <v>0</v>
      </c>
      <c r="M145" s="93">
        <f>J145</f>
        <v>600</v>
      </c>
      <c r="N145" s="94" t="s">
        <v>456</v>
      </c>
      <c r="O145" s="98"/>
      <c r="P145" s="97">
        <v>0</v>
      </c>
      <c r="Q145" s="101">
        <v>0</v>
      </c>
      <c r="R145" s="100">
        <f t="shared" si="14"/>
        <v>600</v>
      </c>
    </row>
    <row r="146" customHeight="1" spans="1:18">
      <c r="A146" s="86">
        <v>143</v>
      </c>
      <c r="B146" s="89" t="s">
        <v>251</v>
      </c>
      <c r="C146" s="86" t="s">
        <v>252</v>
      </c>
      <c r="D146" s="86">
        <v>43099</v>
      </c>
      <c r="E146" s="86">
        <v>22</v>
      </c>
      <c r="F146" s="74">
        <v>48004</v>
      </c>
      <c r="G146" s="86">
        <v>0</v>
      </c>
      <c r="H146" s="86">
        <v>0</v>
      </c>
      <c r="I146" s="86">
        <v>0</v>
      </c>
      <c r="J146" s="86">
        <v>750</v>
      </c>
      <c r="K146" s="86">
        <v>750</v>
      </c>
      <c r="L146" s="86">
        <v>0</v>
      </c>
      <c r="M146" s="93">
        <f>J146</f>
        <v>750</v>
      </c>
      <c r="N146" s="94" t="s">
        <v>456</v>
      </c>
      <c r="O146" s="98"/>
      <c r="P146" s="97">
        <v>0</v>
      </c>
      <c r="Q146" s="101">
        <v>0</v>
      </c>
      <c r="R146" s="100">
        <f t="shared" si="14"/>
        <v>750</v>
      </c>
    </row>
    <row r="147" customHeight="1" spans="1:18">
      <c r="A147" s="86">
        <v>144</v>
      </c>
      <c r="B147" s="89" t="s">
        <v>251</v>
      </c>
      <c r="C147" s="86" t="s">
        <v>252</v>
      </c>
      <c r="D147" s="86">
        <v>44099</v>
      </c>
      <c r="E147" s="86">
        <v>22</v>
      </c>
      <c r="F147" s="74">
        <v>48005</v>
      </c>
      <c r="G147" s="86">
        <v>0</v>
      </c>
      <c r="H147" s="86">
        <v>0</v>
      </c>
      <c r="I147" s="86">
        <v>0</v>
      </c>
      <c r="J147" s="86">
        <v>600</v>
      </c>
      <c r="K147" s="86">
        <v>600</v>
      </c>
      <c r="L147" s="86">
        <v>0</v>
      </c>
      <c r="M147" s="93">
        <f>J147</f>
        <v>600</v>
      </c>
      <c r="N147" s="94" t="s">
        <v>456</v>
      </c>
      <c r="O147" s="98"/>
      <c r="P147" s="97">
        <v>0</v>
      </c>
      <c r="Q147" s="101">
        <v>0</v>
      </c>
      <c r="R147" s="100">
        <f t="shared" si="14"/>
        <v>600</v>
      </c>
    </row>
    <row r="148" customHeight="1" spans="1:18">
      <c r="A148" s="86">
        <v>145</v>
      </c>
      <c r="B148" s="89" t="s">
        <v>285</v>
      </c>
      <c r="C148" s="86" t="s">
        <v>286</v>
      </c>
      <c r="D148" s="86">
        <v>45031</v>
      </c>
      <c r="E148" s="86">
        <v>9</v>
      </c>
      <c r="F148" s="86">
        <v>1194</v>
      </c>
      <c r="G148" s="86">
        <v>6</v>
      </c>
      <c r="H148" s="86">
        <v>0</v>
      </c>
      <c r="I148" s="86">
        <v>0</v>
      </c>
      <c r="J148" s="86">
        <f>6000*1.03</f>
        <v>6180</v>
      </c>
      <c r="K148" s="86">
        <f>J148</f>
        <v>6180</v>
      </c>
      <c r="L148" s="86">
        <v>6000</v>
      </c>
      <c r="M148" s="93">
        <v>6000</v>
      </c>
      <c r="N148" s="94" t="s">
        <v>457</v>
      </c>
      <c r="O148" s="98"/>
      <c r="P148" s="97">
        <v>0</v>
      </c>
      <c r="Q148" s="101">
        <v>0</v>
      </c>
      <c r="R148" s="100">
        <f t="shared" si="14"/>
        <v>6000</v>
      </c>
    </row>
    <row r="149" customHeight="1" spans="1:18">
      <c r="A149" s="86">
        <v>146</v>
      </c>
      <c r="B149" s="89" t="s">
        <v>283</v>
      </c>
      <c r="C149" s="86" t="s">
        <v>284</v>
      </c>
      <c r="D149" s="86">
        <v>45032</v>
      </c>
      <c r="E149" s="86">
        <v>9</v>
      </c>
      <c r="F149" s="86">
        <v>1194</v>
      </c>
      <c r="G149" s="86">
        <v>9</v>
      </c>
      <c r="H149" s="86">
        <v>0</v>
      </c>
      <c r="I149" s="86">
        <v>0</v>
      </c>
      <c r="J149" s="86">
        <f>9000*1.03</f>
        <v>9270</v>
      </c>
      <c r="K149" s="86">
        <f>J149</f>
        <v>9270</v>
      </c>
      <c r="L149" s="86">
        <v>9000</v>
      </c>
      <c r="M149" s="93">
        <v>9000</v>
      </c>
      <c r="N149" s="94" t="s">
        <v>458</v>
      </c>
      <c r="O149" s="98"/>
      <c r="P149" s="97">
        <v>0</v>
      </c>
      <c r="Q149" s="101">
        <v>0</v>
      </c>
      <c r="R149" s="100">
        <f t="shared" si="14"/>
        <v>9000</v>
      </c>
    </row>
    <row r="150" customHeight="1" spans="1:18">
      <c r="A150" s="86">
        <v>147</v>
      </c>
      <c r="B150" s="89" t="s">
        <v>406</v>
      </c>
      <c r="C150" s="86" t="s">
        <v>407</v>
      </c>
      <c r="D150" s="86">
        <v>29100</v>
      </c>
      <c r="E150" s="86">
        <v>13</v>
      </c>
      <c r="F150" s="86">
        <v>46005</v>
      </c>
      <c r="G150" s="86">
        <v>1</v>
      </c>
      <c r="H150" s="86">
        <v>0</v>
      </c>
      <c r="I150" s="86">
        <v>0</v>
      </c>
      <c r="J150" s="86">
        <v>3000000</v>
      </c>
      <c r="K150" s="86">
        <v>3000000</v>
      </c>
      <c r="L150" s="86">
        <v>0</v>
      </c>
      <c r="M150" s="104">
        <f t="shared" ref="M150:M155" si="15">J150</f>
        <v>3000000</v>
      </c>
      <c r="N150" s="94" t="s">
        <v>459</v>
      </c>
      <c r="O150" s="98"/>
      <c r="P150" s="97">
        <v>0</v>
      </c>
      <c r="Q150" s="101">
        <v>0</v>
      </c>
      <c r="R150" s="100">
        <f t="shared" si="14"/>
        <v>3000000</v>
      </c>
    </row>
    <row r="151" customHeight="1" spans="1:18">
      <c r="A151" s="86">
        <v>148</v>
      </c>
      <c r="B151" s="89" t="s">
        <v>460</v>
      </c>
      <c r="C151" s="90" t="s">
        <v>461</v>
      </c>
      <c r="D151" s="86">
        <v>50101</v>
      </c>
      <c r="E151" s="86">
        <v>25</v>
      </c>
      <c r="F151" s="86">
        <v>0</v>
      </c>
      <c r="G151" s="86">
        <v>0</v>
      </c>
      <c r="H151" s="86">
        <v>0</v>
      </c>
      <c r="I151" s="86">
        <v>0</v>
      </c>
      <c r="J151" s="86">
        <v>60</v>
      </c>
      <c r="K151" s="86">
        <v>60</v>
      </c>
      <c r="L151" s="86">
        <v>0</v>
      </c>
      <c r="M151" s="93">
        <f t="shared" si="15"/>
        <v>60</v>
      </c>
      <c r="N151" s="94" t="s">
        <v>461</v>
      </c>
      <c r="O151" s="98"/>
      <c r="P151" s="97">
        <v>0</v>
      </c>
      <c r="Q151" s="101">
        <v>0</v>
      </c>
      <c r="R151" s="100">
        <f t="shared" si="14"/>
        <v>60</v>
      </c>
    </row>
    <row r="152" customHeight="1" spans="1:18">
      <c r="A152" s="86">
        <v>149</v>
      </c>
      <c r="B152" s="89" t="s">
        <v>460</v>
      </c>
      <c r="C152" s="86" t="s">
        <v>461</v>
      </c>
      <c r="D152" s="86">
        <v>51101</v>
      </c>
      <c r="E152" s="86">
        <v>25</v>
      </c>
      <c r="F152" s="86">
        <v>0</v>
      </c>
      <c r="G152" s="86">
        <v>0</v>
      </c>
      <c r="H152" s="86">
        <v>0</v>
      </c>
      <c r="I152" s="86">
        <v>0</v>
      </c>
      <c r="J152" s="86">
        <v>72</v>
      </c>
      <c r="K152" s="86">
        <v>72</v>
      </c>
      <c r="L152" s="86">
        <v>0</v>
      </c>
      <c r="M152" s="93">
        <f t="shared" si="15"/>
        <v>72</v>
      </c>
      <c r="N152" s="94" t="s">
        <v>461</v>
      </c>
      <c r="O152" s="98"/>
      <c r="P152" s="97">
        <v>0</v>
      </c>
      <c r="Q152" s="101">
        <v>0</v>
      </c>
      <c r="R152" s="100">
        <f t="shared" si="14"/>
        <v>72</v>
      </c>
    </row>
    <row r="153" customHeight="1" spans="1:18">
      <c r="A153" s="86">
        <v>150</v>
      </c>
      <c r="B153" s="89" t="s">
        <v>460</v>
      </c>
      <c r="C153" s="86" t="s">
        <v>461</v>
      </c>
      <c r="D153" s="86">
        <v>52101</v>
      </c>
      <c r="E153" s="86">
        <v>25</v>
      </c>
      <c r="F153" s="86">
        <v>0</v>
      </c>
      <c r="G153" s="86">
        <v>0</v>
      </c>
      <c r="H153" s="86">
        <v>0</v>
      </c>
      <c r="I153" s="86">
        <v>0</v>
      </c>
      <c r="J153" s="86">
        <v>90</v>
      </c>
      <c r="K153" s="86">
        <v>90</v>
      </c>
      <c r="L153" s="86">
        <v>0</v>
      </c>
      <c r="M153" s="93">
        <f t="shared" si="15"/>
        <v>90</v>
      </c>
      <c r="N153" s="94" t="s">
        <v>461</v>
      </c>
      <c r="O153" s="98"/>
      <c r="P153" s="97">
        <v>0</v>
      </c>
      <c r="Q153" s="101">
        <v>0</v>
      </c>
      <c r="R153" s="100">
        <f t="shared" si="14"/>
        <v>90</v>
      </c>
    </row>
    <row r="154" customHeight="1" spans="1:18">
      <c r="A154" s="86">
        <v>151</v>
      </c>
      <c r="B154" s="89" t="s">
        <v>460</v>
      </c>
      <c r="C154" s="86" t="s">
        <v>461</v>
      </c>
      <c r="D154" s="86">
        <v>53101</v>
      </c>
      <c r="E154" s="86">
        <v>25</v>
      </c>
      <c r="F154" s="86">
        <v>0</v>
      </c>
      <c r="G154" s="86">
        <v>0</v>
      </c>
      <c r="H154" s="86">
        <v>0</v>
      </c>
      <c r="I154" s="86">
        <v>0</v>
      </c>
      <c r="J154" s="86">
        <v>120</v>
      </c>
      <c r="K154" s="86">
        <v>120</v>
      </c>
      <c r="L154" s="86">
        <v>0</v>
      </c>
      <c r="M154" s="93">
        <f t="shared" si="15"/>
        <v>120</v>
      </c>
      <c r="N154" s="94" t="s">
        <v>461</v>
      </c>
      <c r="O154" s="98"/>
      <c r="P154" s="97">
        <v>0</v>
      </c>
      <c r="Q154" s="101">
        <v>0</v>
      </c>
      <c r="R154" s="100">
        <f t="shared" si="14"/>
        <v>120</v>
      </c>
    </row>
    <row r="155" customHeight="1" spans="1:18">
      <c r="A155" s="86">
        <v>152</v>
      </c>
      <c r="B155" s="89" t="s">
        <v>460</v>
      </c>
      <c r="C155" s="86" t="s">
        <v>461</v>
      </c>
      <c r="D155" s="86">
        <v>54101</v>
      </c>
      <c r="E155" s="86">
        <v>25</v>
      </c>
      <c r="F155" s="86">
        <v>0</v>
      </c>
      <c r="G155" s="86">
        <v>0</v>
      </c>
      <c r="H155" s="86">
        <v>0</v>
      </c>
      <c r="I155" s="86">
        <v>0</v>
      </c>
      <c r="J155" s="86">
        <v>120</v>
      </c>
      <c r="K155" s="86">
        <v>120</v>
      </c>
      <c r="L155" s="86">
        <v>0</v>
      </c>
      <c r="M155" s="93">
        <f t="shared" si="15"/>
        <v>120</v>
      </c>
      <c r="N155" s="94" t="s">
        <v>461</v>
      </c>
      <c r="O155" s="98"/>
      <c r="P155" s="97">
        <v>0</v>
      </c>
      <c r="Q155" s="101">
        <v>0</v>
      </c>
      <c r="R155" s="100">
        <f t="shared" si="14"/>
        <v>120</v>
      </c>
    </row>
    <row r="156" customHeight="1" spans="1:18">
      <c r="A156" s="86">
        <v>153</v>
      </c>
      <c r="B156" s="89" t="s">
        <v>462</v>
      </c>
      <c r="C156" s="86" t="s">
        <v>463</v>
      </c>
      <c r="D156" s="86">
        <v>55102</v>
      </c>
      <c r="E156" s="86">
        <v>26</v>
      </c>
      <c r="F156" s="86">
        <v>101</v>
      </c>
      <c r="G156" s="86">
        <v>20</v>
      </c>
      <c r="H156" s="86">
        <v>0</v>
      </c>
      <c r="I156" s="86">
        <v>0</v>
      </c>
      <c r="J156" s="86">
        <v>10</v>
      </c>
      <c r="K156" s="86">
        <v>40</v>
      </c>
      <c r="L156" s="86">
        <v>10</v>
      </c>
      <c r="M156" s="93">
        <v>40</v>
      </c>
      <c r="N156" s="108" t="s">
        <v>464</v>
      </c>
      <c r="O156" s="98"/>
      <c r="P156" s="97">
        <v>20</v>
      </c>
      <c r="Q156" s="101">
        <v>10000</v>
      </c>
      <c r="R156" s="100">
        <f t="shared" si="14"/>
        <v>40</v>
      </c>
    </row>
    <row r="157" customHeight="1" spans="1:18">
      <c r="A157" s="86">
        <v>154</v>
      </c>
      <c r="B157" s="89" t="s">
        <v>462</v>
      </c>
      <c r="C157" s="86" t="s">
        <v>463</v>
      </c>
      <c r="D157" s="86">
        <v>56102</v>
      </c>
      <c r="E157" s="86">
        <v>26</v>
      </c>
      <c r="F157" s="86">
        <v>101</v>
      </c>
      <c r="G157" s="86">
        <v>20</v>
      </c>
      <c r="H157" s="86">
        <v>0</v>
      </c>
      <c r="I157" s="86">
        <v>0</v>
      </c>
      <c r="J157" s="86">
        <v>20</v>
      </c>
      <c r="K157" s="86">
        <v>40</v>
      </c>
      <c r="L157" s="86">
        <v>10</v>
      </c>
      <c r="M157" s="93">
        <v>40</v>
      </c>
      <c r="N157" s="108" t="s">
        <v>465</v>
      </c>
      <c r="O157" s="98"/>
      <c r="P157" s="97">
        <v>20</v>
      </c>
      <c r="Q157" s="101">
        <v>10000</v>
      </c>
      <c r="R157" s="100">
        <f t="shared" si="14"/>
        <v>40</v>
      </c>
    </row>
    <row r="158" customHeight="1" spans="1:18">
      <c r="A158" s="86">
        <v>155</v>
      </c>
      <c r="B158" s="89" t="s">
        <v>466</v>
      </c>
      <c r="C158" s="107" t="s">
        <v>467</v>
      </c>
      <c r="D158" s="86">
        <v>55103</v>
      </c>
      <c r="E158" s="86">
        <v>26</v>
      </c>
      <c r="F158" s="86">
        <v>101</v>
      </c>
      <c r="G158" s="86">
        <v>50</v>
      </c>
      <c r="H158" s="86">
        <v>0</v>
      </c>
      <c r="I158" s="86">
        <v>0</v>
      </c>
      <c r="J158" s="86">
        <v>25</v>
      </c>
      <c r="K158" s="86">
        <v>100</v>
      </c>
      <c r="L158" s="86">
        <v>25</v>
      </c>
      <c r="M158" s="93">
        <v>100</v>
      </c>
      <c r="N158" s="108" t="s">
        <v>468</v>
      </c>
      <c r="O158" s="98"/>
      <c r="P158" s="97">
        <v>50</v>
      </c>
      <c r="Q158" s="101">
        <v>10000</v>
      </c>
      <c r="R158" s="100">
        <f t="shared" si="14"/>
        <v>100</v>
      </c>
    </row>
    <row r="159" customHeight="1" spans="1:18">
      <c r="A159" s="86">
        <v>156</v>
      </c>
      <c r="B159" s="89" t="s">
        <v>466</v>
      </c>
      <c r="C159" s="86" t="s">
        <v>467</v>
      </c>
      <c r="D159" s="86">
        <v>56103</v>
      </c>
      <c r="E159" s="86">
        <v>26</v>
      </c>
      <c r="F159" s="86">
        <v>101</v>
      </c>
      <c r="G159" s="86">
        <v>50</v>
      </c>
      <c r="H159" s="86">
        <v>0</v>
      </c>
      <c r="I159" s="86">
        <v>0</v>
      </c>
      <c r="J159" s="86">
        <v>50</v>
      </c>
      <c r="K159" s="86">
        <v>100</v>
      </c>
      <c r="L159" s="86">
        <v>25</v>
      </c>
      <c r="M159" s="93">
        <v>100</v>
      </c>
      <c r="N159" s="108" t="s">
        <v>469</v>
      </c>
      <c r="O159" s="98"/>
      <c r="P159" s="97">
        <v>50</v>
      </c>
      <c r="Q159" s="101">
        <v>10000</v>
      </c>
      <c r="R159" s="100">
        <f t="shared" si="14"/>
        <v>100</v>
      </c>
    </row>
    <row r="160" customHeight="1" spans="1:18">
      <c r="A160" s="86">
        <v>157</v>
      </c>
      <c r="B160" s="89" t="s">
        <v>470</v>
      </c>
      <c r="C160" s="86" t="s">
        <v>471</v>
      </c>
      <c r="D160" s="86">
        <v>55104</v>
      </c>
      <c r="E160" s="86">
        <v>26</v>
      </c>
      <c r="F160" s="86">
        <v>101</v>
      </c>
      <c r="G160" s="86">
        <v>90</v>
      </c>
      <c r="H160" s="86">
        <v>0</v>
      </c>
      <c r="I160" s="86">
        <v>0</v>
      </c>
      <c r="J160" s="86">
        <v>45</v>
      </c>
      <c r="K160" s="86">
        <v>180</v>
      </c>
      <c r="L160" s="86">
        <v>45</v>
      </c>
      <c r="M160" s="93">
        <v>180</v>
      </c>
      <c r="N160" s="108" t="s">
        <v>472</v>
      </c>
      <c r="O160" s="98"/>
      <c r="P160" s="97">
        <v>90</v>
      </c>
      <c r="Q160" s="101">
        <v>10000</v>
      </c>
      <c r="R160" s="100">
        <f t="shared" si="14"/>
        <v>180</v>
      </c>
    </row>
    <row r="161" customHeight="1" spans="1:18">
      <c r="A161" s="86">
        <v>158</v>
      </c>
      <c r="B161" s="89" t="s">
        <v>470</v>
      </c>
      <c r="C161" s="86" t="s">
        <v>471</v>
      </c>
      <c r="D161" s="86">
        <v>56104</v>
      </c>
      <c r="E161" s="86">
        <v>26</v>
      </c>
      <c r="F161" s="86">
        <v>101</v>
      </c>
      <c r="G161" s="86">
        <v>90</v>
      </c>
      <c r="H161" s="86">
        <v>0</v>
      </c>
      <c r="I161" s="86">
        <v>0</v>
      </c>
      <c r="J161" s="86">
        <v>90</v>
      </c>
      <c r="K161" s="86">
        <v>180</v>
      </c>
      <c r="L161" s="86">
        <v>45</v>
      </c>
      <c r="M161" s="93">
        <v>180</v>
      </c>
      <c r="N161" s="108" t="s">
        <v>473</v>
      </c>
      <c r="O161" s="98"/>
      <c r="P161" s="97">
        <v>90</v>
      </c>
      <c r="Q161" s="101">
        <v>10000</v>
      </c>
      <c r="R161" s="100">
        <f t="shared" si="14"/>
        <v>180</v>
      </c>
    </row>
    <row r="162" customHeight="1" spans="1:18">
      <c r="A162" s="86">
        <v>159</v>
      </c>
      <c r="B162" s="89" t="s">
        <v>474</v>
      </c>
      <c r="C162" s="107" t="s">
        <v>475</v>
      </c>
      <c r="D162" s="86">
        <v>55105</v>
      </c>
      <c r="E162" s="86">
        <v>26</v>
      </c>
      <c r="F162" s="86">
        <v>101</v>
      </c>
      <c r="G162" s="86">
        <v>150</v>
      </c>
      <c r="H162" s="86">
        <v>0</v>
      </c>
      <c r="I162" s="86">
        <v>0</v>
      </c>
      <c r="J162" s="86">
        <v>75</v>
      </c>
      <c r="K162" s="86">
        <v>300</v>
      </c>
      <c r="L162" s="86">
        <v>75</v>
      </c>
      <c r="M162" s="93">
        <v>300</v>
      </c>
      <c r="N162" s="108" t="s">
        <v>476</v>
      </c>
      <c r="O162" s="98"/>
      <c r="P162" s="97">
        <v>150</v>
      </c>
      <c r="Q162" s="101">
        <v>10000</v>
      </c>
      <c r="R162" s="100">
        <f t="shared" si="14"/>
        <v>300</v>
      </c>
    </row>
    <row r="163" customHeight="1" spans="1:18">
      <c r="A163" s="86">
        <v>160</v>
      </c>
      <c r="B163" s="89" t="s">
        <v>474</v>
      </c>
      <c r="C163" s="107" t="s">
        <v>475</v>
      </c>
      <c r="D163" s="86">
        <v>56105</v>
      </c>
      <c r="E163" s="86">
        <v>26</v>
      </c>
      <c r="F163" s="86">
        <v>101</v>
      </c>
      <c r="G163" s="86">
        <v>150</v>
      </c>
      <c r="H163" s="86">
        <v>0</v>
      </c>
      <c r="I163" s="86">
        <v>0</v>
      </c>
      <c r="J163" s="86">
        <v>150</v>
      </c>
      <c r="K163" s="86">
        <v>300</v>
      </c>
      <c r="L163" s="86">
        <v>75</v>
      </c>
      <c r="M163" s="93">
        <v>300</v>
      </c>
      <c r="N163" s="108" t="s">
        <v>477</v>
      </c>
      <c r="O163" s="98"/>
      <c r="P163" s="97">
        <v>150</v>
      </c>
      <c r="Q163" s="101">
        <v>10000</v>
      </c>
      <c r="R163" s="100">
        <f t="shared" si="14"/>
        <v>300</v>
      </c>
    </row>
    <row r="164" customHeight="1" spans="1:18">
      <c r="A164" s="86">
        <v>161</v>
      </c>
      <c r="B164" s="89" t="s">
        <v>478</v>
      </c>
      <c r="C164" s="107" t="s">
        <v>479</v>
      </c>
      <c r="D164" s="86">
        <v>55106</v>
      </c>
      <c r="E164" s="86">
        <v>26</v>
      </c>
      <c r="F164" s="86">
        <v>101</v>
      </c>
      <c r="G164" s="86">
        <v>400</v>
      </c>
      <c r="H164" s="86">
        <v>0</v>
      </c>
      <c r="I164" s="86">
        <v>0</v>
      </c>
      <c r="J164" s="86">
        <v>200</v>
      </c>
      <c r="K164" s="86">
        <v>800</v>
      </c>
      <c r="L164" s="86">
        <v>200</v>
      </c>
      <c r="M164" s="93">
        <v>800</v>
      </c>
      <c r="N164" s="108" t="s">
        <v>480</v>
      </c>
      <c r="O164" s="98"/>
      <c r="P164" s="97">
        <v>400</v>
      </c>
      <c r="Q164" s="101">
        <v>10000</v>
      </c>
      <c r="R164" s="100">
        <f t="shared" si="14"/>
        <v>800</v>
      </c>
    </row>
    <row r="165" customHeight="1" spans="1:18">
      <c r="A165" s="86">
        <v>162</v>
      </c>
      <c r="B165" s="89" t="s">
        <v>478</v>
      </c>
      <c r="C165" s="107" t="s">
        <v>479</v>
      </c>
      <c r="D165" s="86">
        <v>56106</v>
      </c>
      <c r="E165" s="86">
        <v>26</v>
      </c>
      <c r="F165" s="86">
        <v>101</v>
      </c>
      <c r="G165" s="86">
        <v>400</v>
      </c>
      <c r="H165" s="86">
        <v>0</v>
      </c>
      <c r="I165" s="86">
        <v>0</v>
      </c>
      <c r="J165" s="86">
        <v>400</v>
      </c>
      <c r="K165" s="86">
        <v>800</v>
      </c>
      <c r="L165" s="86">
        <v>200</v>
      </c>
      <c r="M165" s="93">
        <v>800</v>
      </c>
      <c r="N165" s="108" t="s">
        <v>481</v>
      </c>
      <c r="O165" s="98"/>
      <c r="P165" s="97">
        <v>400</v>
      </c>
      <c r="Q165" s="101">
        <v>10000</v>
      </c>
      <c r="R165" s="100">
        <f t="shared" si="14"/>
        <v>800</v>
      </c>
    </row>
    <row r="166" customHeight="1" spans="1:18">
      <c r="A166" s="86">
        <v>163</v>
      </c>
      <c r="B166" s="89" t="s">
        <v>482</v>
      </c>
      <c r="C166" s="107" t="s">
        <v>483</v>
      </c>
      <c r="D166" s="86">
        <v>55107</v>
      </c>
      <c r="E166" s="86">
        <v>26</v>
      </c>
      <c r="F166" s="86">
        <v>101</v>
      </c>
      <c r="G166" s="86">
        <v>1000</v>
      </c>
      <c r="H166" s="86">
        <v>0</v>
      </c>
      <c r="I166" s="86">
        <v>0</v>
      </c>
      <c r="J166" s="86">
        <v>500</v>
      </c>
      <c r="K166" s="86">
        <v>2000</v>
      </c>
      <c r="L166" s="86">
        <v>500</v>
      </c>
      <c r="M166" s="93">
        <v>2000</v>
      </c>
      <c r="N166" s="108" t="s">
        <v>484</v>
      </c>
      <c r="O166" s="98"/>
      <c r="P166" s="97">
        <v>1000</v>
      </c>
      <c r="Q166" s="101">
        <v>10000</v>
      </c>
      <c r="R166" s="100">
        <f t="shared" si="14"/>
        <v>2000</v>
      </c>
    </row>
    <row r="167" customHeight="1" spans="1:18">
      <c r="A167" s="86">
        <v>164</v>
      </c>
      <c r="B167" s="89" t="s">
        <v>482</v>
      </c>
      <c r="C167" s="107" t="s">
        <v>483</v>
      </c>
      <c r="D167" s="86">
        <v>56107</v>
      </c>
      <c r="E167" s="86">
        <v>26</v>
      </c>
      <c r="F167" s="86">
        <v>101</v>
      </c>
      <c r="G167" s="86">
        <v>1000</v>
      </c>
      <c r="H167" s="86">
        <v>0</v>
      </c>
      <c r="I167" s="86">
        <v>0</v>
      </c>
      <c r="J167" s="86">
        <v>1000</v>
      </c>
      <c r="K167" s="86">
        <v>2000</v>
      </c>
      <c r="L167" s="86">
        <v>500</v>
      </c>
      <c r="M167" s="93">
        <v>2000</v>
      </c>
      <c r="N167" s="108" t="s">
        <v>485</v>
      </c>
      <c r="O167" s="98"/>
      <c r="P167" s="97">
        <v>1000</v>
      </c>
      <c r="Q167" s="101">
        <v>10000</v>
      </c>
      <c r="R167" s="100">
        <f t="shared" si="14"/>
        <v>2000</v>
      </c>
    </row>
    <row r="168" customHeight="1" spans="1:18">
      <c r="A168" s="86">
        <v>165</v>
      </c>
      <c r="B168" s="89" t="s">
        <v>486</v>
      </c>
      <c r="C168" s="107" t="s">
        <v>487</v>
      </c>
      <c r="D168" s="86">
        <v>55108</v>
      </c>
      <c r="E168" s="86">
        <v>26</v>
      </c>
      <c r="F168" s="86">
        <v>101</v>
      </c>
      <c r="G168" s="86">
        <v>1500</v>
      </c>
      <c r="H168" s="86">
        <v>0</v>
      </c>
      <c r="I168" s="86">
        <v>0</v>
      </c>
      <c r="J168" s="86">
        <v>750</v>
      </c>
      <c r="K168" s="86">
        <v>3000</v>
      </c>
      <c r="L168" s="86">
        <v>750</v>
      </c>
      <c r="M168" s="93">
        <v>3000</v>
      </c>
      <c r="N168" s="108" t="s">
        <v>488</v>
      </c>
      <c r="O168" s="98"/>
      <c r="P168" s="97">
        <v>1500</v>
      </c>
      <c r="Q168" s="101">
        <v>10000</v>
      </c>
      <c r="R168" s="100">
        <f t="shared" si="14"/>
        <v>3000</v>
      </c>
    </row>
    <row r="169" customHeight="1" spans="1:18">
      <c r="A169" s="86">
        <v>166</v>
      </c>
      <c r="B169" s="89" t="s">
        <v>486</v>
      </c>
      <c r="C169" s="107" t="s">
        <v>487</v>
      </c>
      <c r="D169" s="86">
        <v>56108</v>
      </c>
      <c r="E169" s="86">
        <v>26</v>
      </c>
      <c r="F169" s="86">
        <v>101</v>
      </c>
      <c r="G169" s="86">
        <v>1500</v>
      </c>
      <c r="H169" s="86">
        <v>0</v>
      </c>
      <c r="I169" s="86">
        <v>0</v>
      </c>
      <c r="J169" s="86">
        <v>1500</v>
      </c>
      <c r="K169" s="86">
        <v>3000</v>
      </c>
      <c r="L169" s="86">
        <v>750</v>
      </c>
      <c r="M169" s="93">
        <v>3000</v>
      </c>
      <c r="N169" s="108" t="s">
        <v>489</v>
      </c>
      <c r="O169" s="98"/>
      <c r="P169" s="97">
        <v>1500</v>
      </c>
      <c r="Q169" s="101">
        <v>10000</v>
      </c>
      <c r="R169" s="100">
        <f t="shared" si="14"/>
        <v>3000</v>
      </c>
    </row>
    <row r="170" customHeight="1" spans="1:18">
      <c r="A170" s="86">
        <v>167</v>
      </c>
      <c r="B170" s="89" t="s">
        <v>283</v>
      </c>
      <c r="C170" s="86" t="s">
        <v>284</v>
      </c>
      <c r="D170" s="86">
        <v>57032</v>
      </c>
      <c r="E170" s="86">
        <v>2</v>
      </c>
      <c r="F170" s="86">
        <v>101</v>
      </c>
      <c r="G170" s="86">
        <v>5000</v>
      </c>
      <c r="H170" s="86">
        <v>0</v>
      </c>
      <c r="I170" s="86">
        <v>0</v>
      </c>
      <c r="J170" s="86">
        <v>5000</v>
      </c>
      <c r="K170" s="86">
        <v>60</v>
      </c>
      <c r="L170" s="86">
        <v>0</v>
      </c>
      <c r="M170" s="93">
        <v>0</v>
      </c>
      <c r="N170" s="108" t="s">
        <v>490</v>
      </c>
      <c r="O170" s="98"/>
      <c r="P170" s="97">
        <v>0</v>
      </c>
      <c r="Q170" s="101">
        <v>0</v>
      </c>
      <c r="R170" s="100">
        <f t="shared" ref="R170:R176" si="16">J170</f>
        <v>5000</v>
      </c>
    </row>
    <row r="171" customHeight="1" spans="1:18">
      <c r="A171" s="86">
        <v>168</v>
      </c>
      <c r="B171" s="89" t="s">
        <v>491</v>
      </c>
      <c r="C171" s="90" t="s">
        <v>492</v>
      </c>
      <c r="D171" s="86">
        <v>58109</v>
      </c>
      <c r="E171" s="86">
        <v>25</v>
      </c>
      <c r="F171" s="86">
        <v>0</v>
      </c>
      <c r="G171" s="86">
        <v>0</v>
      </c>
      <c r="H171" s="86">
        <v>0</v>
      </c>
      <c r="I171" s="86">
        <v>0</v>
      </c>
      <c r="J171" s="86">
        <v>100</v>
      </c>
      <c r="K171" s="86">
        <v>100</v>
      </c>
      <c r="L171" s="86">
        <v>0</v>
      </c>
      <c r="M171" s="93">
        <v>0</v>
      </c>
      <c r="N171" s="108" t="s">
        <v>493</v>
      </c>
      <c r="O171" s="98"/>
      <c r="P171" s="97">
        <v>0</v>
      </c>
      <c r="Q171" s="101">
        <v>0</v>
      </c>
      <c r="R171" s="100">
        <f t="shared" si="16"/>
        <v>100</v>
      </c>
    </row>
    <row r="172" customHeight="1" spans="1:18">
      <c r="A172" s="86">
        <v>169</v>
      </c>
      <c r="B172" s="89" t="s">
        <v>491</v>
      </c>
      <c r="C172" s="90" t="s">
        <v>492</v>
      </c>
      <c r="D172" s="86">
        <v>58110</v>
      </c>
      <c r="E172" s="86">
        <v>25</v>
      </c>
      <c r="F172" s="86">
        <v>0</v>
      </c>
      <c r="G172" s="86">
        <v>0</v>
      </c>
      <c r="H172" s="86">
        <v>0</v>
      </c>
      <c r="I172" s="86">
        <v>0</v>
      </c>
      <c r="J172" s="86">
        <v>100</v>
      </c>
      <c r="K172" s="86">
        <v>100</v>
      </c>
      <c r="L172" s="86">
        <v>0</v>
      </c>
      <c r="M172" s="93">
        <v>0</v>
      </c>
      <c r="N172" s="108" t="s">
        <v>494</v>
      </c>
      <c r="O172" s="98"/>
      <c r="P172" s="97">
        <v>0</v>
      </c>
      <c r="Q172" s="101">
        <v>0</v>
      </c>
      <c r="R172" s="100">
        <f t="shared" si="16"/>
        <v>100</v>
      </c>
    </row>
    <row r="173" customHeight="1" spans="1:18">
      <c r="A173" s="86">
        <v>170</v>
      </c>
      <c r="B173" s="89" t="s">
        <v>491</v>
      </c>
      <c r="C173" s="90" t="s">
        <v>492</v>
      </c>
      <c r="D173" s="86">
        <v>58111</v>
      </c>
      <c r="E173" s="86">
        <v>25</v>
      </c>
      <c r="F173" s="86">
        <v>0</v>
      </c>
      <c r="G173" s="86">
        <v>0</v>
      </c>
      <c r="H173" s="86">
        <v>0</v>
      </c>
      <c r="I173" s="86">
        <v>0</v>
      </c>
      <c r="J173" s="86">
        <v>100</v>
      </c>
      <c r="K173" s="86">
        <v>100</v>
      </c>
      <c r="L173" s="86">
        <v>0</v>
      </c>
      <c r="M173" s="93">
        <v>0</v>
      </c>
      <c r="N173" s="108" t="s">
        <v>495</v>
      </c>
      <c r="O173" s="98"/>
      <c r="P173" s="97">
        <v>0</v>
      </c>
      <c r="Q173" s="101">
        <v>0</v>
      </c>
      <c r="R173" s="100">
        <f t="shared" si="16"/>
        <v>100</v>
      </c>
    </row>
    <row r="174" customHeight="1" spans="1:18">
      <c r="A174" s="86">
        <v>171</v>
      </c>
      <c r="B174" s="89" t="s">
        <v>491</v>
      </c>
      <c r="C174" s="90" t="s">
        <v>492</v>
      </c>
      <c r="D174" s="86">
        <v>58112</v>
      </c>
      <c r="E174" s="86">
        <v>25</v>
      </c>
      <c r="F174" s="86">
        <v>0</v>
      </c>
      <c r="G174" s="86">
        <v>0</v>
      </c>
      <c r="H174" s="86">
        <v>0</v>
      </c>
      <c r="I174" s="86">
        <v>0</v>
      </c>
      <c r="J174" s="86">
        <v>100</v>
      </c>
      <c r="K174" s="86">
        <v>100</v>
      </c>
      <c r="L174" s="86">
        <v>0</v>
      </c>
      <c r="M174" s="93">
        <v>0</v>
      </c>
      <c r="N174" s="108" t="s">
        <v>496</v>
      </c>
      <c r="O174" s="98"/>
      <c r="P174" s="97">
        <v>0</v>
      </c>
      <c r="Q174" s="101">
        <v>0</v>
      </c>
      <c r="R174" s="100">
        <f t="shared" si="16"/>
        <v>100</v>
      </c>
    </row>
    <row r="175" customHeight="1" spans="1:18">
      <c r="A175" s="86">
        <v>172</v>
      </c>
      <c r="B175" s="89" t="s">
        <v>491</v>
      </c>
      <c r="C175" s="90" t="s">
        <v>492</v>
      </c>
      <c r="D175" s="86">
        <v>58113</v>
      </c>
      <c r="E175" s="86">
        <v>25</v>
      </c>
      <c r="F175" s="86">
        <v>0</v>
      </c>
      <c r="G175" s="86">
        <v>0</v>
      </c>
      <c r="H175" s="86">
        <v>0</v>
      </c>
      <c r="I175" s="86">
        <v>0</v>
      </c>
      <c r="J175" s="86">
        <v>100</v>
      </c>
      <c r="K175" s="86">
        <v>100</v>
      </c>
      <c r="L175" s="86">
        <v>0</v>
      </c>
      <c r="M175" s="93">
        <v>0</v>
      </c>
      <c r="N175" s="108" t="s">
        <v>497</v>
      </c>
      <c r="O175" s="98"/>
      <c r="P175" s="97">
        <v>0</v>
      </c>
      <c r="Q175" s="101">
        <v>0</v>
      </c>
      <c r="R175" s="100">
        <f t="shared" si="16"/>
        <v>100</v>
      </c>
    </row>
    <row r="176" customHeight="1" spans="1:18">
      <c r="A176" s="86">
        <v>173</v>
      </c>
      <c r="B176" s="89" t="s">
        <v>491</v>
      </c>
      <c r="C176" s="90" t="s">
        <v>498</v>
      </c>
      <c r="D176" s="86">
        <v>59114</v>
      </c>
      <c r="E176" s="86">
        <v>27</v>
      </c>
      <c r="F176" s="86">
        <v>0</v>
      </c>
      <c r="G176" s="86">
        <v>0</v>
      </c>
      <c r="H176" s="86">
        <v>0</v>
      </c>
      <c r="I176" s="86">
        <v>0</v>
      </c>
      <c r="J176" s="86">
        <v>100</v>
      </c>
      <c r="K176" s="86">
        <v>6000</v>
      </c>
      <c r="L176" s="86">
        <v>0</v>
      </c>
      <c r="M176" s="93">
        <v>0</v>
      </c>
      <c r="N176" s="108" t="s">
        <v>499</v>
      </c>
      <c r="O176" s="98"/>
      <c r="P176" s="97">
        <v>0</v>
      </c>
      <c r="Q176" s="101">
        <v>0</v>
      </c>
      <c r="R176" s="100">
        <f t="shared" si="16"/>
        <v>100</v>
      </c>
    </row>
    <row r="177" customHeight="1" spans="1:18">
      <c r="A177" s="86">
        <v>174</v>
      </c>
      <c r="B177" s="89" t="s">
        <v>500</v>
      </c>
      <c r="C177" s="86" t="s">
        <v>501</v>
      </c>
      <c r="D177" s="86">
        <v>15115</v>
      </c>
      <c r="E177" s="86">
        <v>4</v>
      </c>
      <c r="F177" s="86">
        <v>103</v>
      </c>
      <c r="G177" s="86">
        <v>20</v>
      </c>
      <c r="H177" s="86">
        <v>0</v>
      </c>
      <c r="I177" s="86">
        <v>0</v>
      </c>
      <c r="J177" s="86">
        <v>12000</v>
      </c>
      <c r="K177" s="86">
        <v>12000</v>
      </c>
      <c r="L177" s="86">
        <v>0</v>
      </c>
      <c r="M177" s="104">
        <f>J177</f>
        <v>12000</v>
      </c>
      <c r="N177" s="108" t="s">
        <v>502</v>
      </c>
      <c r="O177" s="98"/>
      <c r="P177" s="97">
        <v>0</v>
      </c>
      <c r="Q177" s="101">
        <v>0</v>
      </c>
      <c r="R177" s="100">
        <f>M177</f>
        <v>12000</v>
      </c>
    </row>
    <row r="178" customHeight="1" spans="1:18">
      <c r="A178" s="86">
        <v>175</v>
      </c>
      <c r="B178" s="89" t="s">
        <v>503</v>
      </c>
      <c r="C178" s="86" t="s">
        <v>504</v>
      </c>
      <c r="D178" s="86">
        <v>28116</v>
      </c>
      <c r="E178" s="86">
        <v>12</v>
      </c>
      <c r="F178" s="86">
        <v>1228</v>
      </c>
      <c r="G178" s="86">
        <v>800</v>
      </c>
      <c r="H178" s="86">
        <v>0</v>
      </c>
      <c r="I178" s="86">
        <v>0</v>
      </c>
      <c r="J178" s="86">
        <v>92000</v>
      </c>
      <c r="K178" s="86">
        <v>92000</v>
      </c>
      <c r="L178" s="86">
        <v>0</v>
      </c>
      <c r="M178" s="104">
        <f>J178</f>
        <v>92000</v>
      </c>
      <c r="N178" s="108" t="s">
        <v>504</v>
      </c>
      <c r="O178" s="98"/>
      <c r="P178" s="97">
        <v>0</v>
      </c>
      <c r="Q178" s="101">
        <v>0</v>
      </c>
      <c r="R178" s="100">
        <f>M178</f>
        <v>92000</v>
      </c>
    </row>
    <row r="179" customHeight="1" spans="1:18">
      <c r="A179" s="86">
        <v>176</v>
      </c>
      <c r="B179" s="89" t="s">
        <v>505</v>
      </c>
      <c r="C179" s="86" t="s">
        <v>506</v>
      </c>
      <c r="D179" s="86">
        <v>28117</v>
      </c>
      <c r="E179" s="86">
        <v>12</v>
      </c>
      <c r="F179" s="86">
        <v>1228</v>
      </c>
      <c r="G179" s="86">
        <v>3000</v>
      </c>
      <c r="H179" s="86">
        <v>0</v>
      </c>
      <c r="I179" s="86">
        <v>0</v>
      </c>
      <c r="J179" s="86">
        <v>345000</v>
      </c>
      <c r="K179" s="86">
        <v>345000</v>
      </c>
      <c r="L179" s="86">
        <v>0</v>
      </c>
      <c r="M179" s="104">
        <f>J179</f>
        <v>345000</v>
      </c>
      <c r="N179" s="108" t="s">
        <v>506</v>
      </c>
      <c r="O179" s="98"/>
      <c r="P179" s="97">
        <v>0</v>
      </c>
      <c r="Q179" s="101">
        <v>0</v>
      </c>
      <c r="R179" s="100">
        <f>M179</f>
        <v>345000</v>
      </c>
    </row>
    <row r="180" customHeight="1" spans="1:18">
      <c r="A180" s="86">
        <v>177</v>
      </c>
      <c r="B180" s="89" t="s">
        <v>507</v>
      </c>
      <c r="C180" s="86" t="s">
        <v>508</v>
      </c>
      <c r="D180" s="86">
        <v>60118</v>
      </c>
      <c r="E180" s="86">
        <v>28</v>
      </c>
      <c r="F180" s="86">
        <v>0</v>
      </c>
      <c r="G180" s="86">
        <v>0</v>
      </c>
      <c r="H180" s="86">
        <v>0</v>
      </c>
      <c r="I180" s="86">
        <v>0</v>
      </c>
      <c r="J180" s="103">
        <v>100</v>
      </c>
      <c r="K180" s="103">
        <v>600</v>
      </c>
      <c r="L180" s="103">
        <v>100</v>
      </c>
      <c r="M180" s="109">
        <v>0</v>
      </c>
      <c r="N180" s="108" t="s">
        <v>509</v>
      </c>
      <c r="O180" s="110">
        <v>2701</v>
      </c>
      <c r="P180" s="97">
        <v>0</v>
      </c>
      <c r="Q180" s="101">
        <v>0</v>
      </c>
      <c r="R180" s="100">
        <f t="shared" ref="R180:R189" si="17">K180</f>
        <v>600</v>
      </c>
    </row>
    <row r="181" customHeight="1" spans="1:18">
      <c r="A181" s="86">
        <v>178</v>
      </c>
      <c r="B181" s="89" t="s">
        <v>507</v>
      </c>
      <c r="C181" s="86" t="s">
        <v>508</v>
      </c>
      <c r="D181" s="86">
        <v>61118</v>
      </c>
      <c r="E181" s="86">
        <v>28</v>
      </c>
      <c r="F181" s="86">
        <v>0</v>
      </c>
      <c r="G181" s="86">
        <v>0</v>
      </c>
      <c r="H181" s="86">
        <v>0</v>
      </c>
      <c r="I181" s="86">
        <v>0</v>
      </c>
      <c r="J181" s="103">
        <v>150</v>
      </c>
      <c r="K181" s="103">
        <v>900</v>
      </c>
      <c r="L181" s="103">
        <v>120</v>
      </c>
      <c r="M181" s="109">
        <v>0</v>
      </c>
      <c r="N181" s="108" t="s">
        <v>510</v>
      </c>
      <c r="O181" s="110">
        <v>2702</v>
      </c>
      <c r="P181" s="97">
        <v>0</v>
      </c>
      <c r="Q181" s="101">
        <v>0</v>
      </c>
      <c r="R181" s="100">
        <f t="shared" si="17"/>
        <v>900</v>
      </c>
    </row>
    <row r="182" customHeight="1" spans="1:18">
      <c r="A182" s="86">
        <v>179</v>
      </c>
      <c r="B182" s="89" t="s">
        <v>507</v>
      </c>
      <c r="C182" s="86" t="s">
        <v>508</v>
      </c>
      <c r="D182" s="86">
        <v>62118</v>
      </c>
      <c r="E182" s="86">
        <v>28</v>
      </c>
      <c r="F182" s="86">
        <v>0</v>
      </c>
      <c r="G182" s="86">
        <v>0</v>
      </c>
      <c r="H182" s="86">
        <v>0</v>
      </c>
      <c r="I182" s="86">
        <v>0</v>
      </c>
      <c r="J182" s="103">
        <v>180</v>
      </c>
      <c r="K182" s="103">
        <v>1200</v>
      </c>
      <c r="L182" s="103">
        <v>140</v>
      </c>
      <c r="M182" s="109">
        <v>0</v>
      </c>
      <c r="N182" s="108" t="s">
        <v>511</v>
      </c>
      <c r="O182" s="110">
        <v>2703</v>
      </c>
      <c r="P182" s="97">
        <v>0</v>
      </c>
      <c r="Q182" s="101">
        <v>0</v>
      </c>
      <c r="R182" s="100">
        <f t="shared" si="17"/>
        <v>1200</v>
      </c>
    </row>
    <row r="183" customHeight="1" spans="1:18">
      <c r="A183" s="86">
        <v>180</v>
      </c>
      <c r="B183" s="89" t="s">
        <v>507</v>
      </c>
      <c r="C183" s="86" t="s">
        <v>508</v>
      </c>
      <c r="D183" s="86">
        <v>63118</v>
      </c>
      <c r="E183" s="86">
        <v>28</v>
      </c>
      <c r="F183" s="86">
        <v>0</v>
      </c>
      <c r="G183" s="86">
        <v>0</v>
      </c>
      <c r="H183" s="86">
        <v>0</v>
      </c>
      <c r="I183" s="86">
        <v>0</v>
      </c>
      <c r="J183" s="86">
        <v>200</v>
      </c>
      <c r="K183" s="86">
        <v>1500</v>
      </c>
      <c r="L183" s="103">
        <v>160</v>
      </c>
      <c r="M183" s="109">
        <v>0</v>
      </c>
      <c r="N183" s="108" t="s">
        <v>512</v>
      </c>
      <c r="O183" s="110">
        <v>2704</v>
      </c>
      <c r="P183" s="97">
        <v>0</v>
      </c>
      <c r="Q183" s="101">
        <v>0</v>
      </c>
      <c r="R183" s="100">
        <f t="shared" si="17"/>
        <v>1500</v>
      </c>
    </row>
    <row r="184" customHeight="1" spans="1:18">
      <c r="A184" s="86">
        <v>181</v>
      </c>
      <c r="B184" s="89" t="s">
        <v>507</v>
      </c>
      <c r="C184" s="86" t="s">
        <v>508</v>
      </c>
      <c r="D184" s="86">
        <v>64118</v>
      </c>
      <c r="E184" s="86">
        <v>28</v>
      </c>
      <c r="F184" s="86">
        <v>0</v>
      </c>
      <c r="G184" s="86">
        <v>0</v>
      </c>
      <c r="H184" s="86">
        <v>0</v>
      </c>
      <c r="I184" s="86">
        <v>0</v>
      </c>
      <c r="J184" s="86">
        <v>250</v>
      </c>
      <c r="K184" s="86">
        <v>1800</v>
      </c>
      <c r="L184" s="103">
        <v>180</v>
      </c>
      <c r="M184" s="109">
        <v>0</v>
      </c>
      <c r="N184" s="108" t="s">
        <v>513</v>
      </c>
      <c r="O184" s="110">
        <v>2705</v>
      </c>
      <c r="P184" s="97">
        <v>0</v>
      </c>
      <c r="Q184" s="101">
        <v>0</v>
      </c>
      <c r="R184" s="100">
        <f t="shared" si="17"/>
        <v>1800</v>
      </c>
    </row>
    <row r="185" customHeight="1" spans="1:18">
      <c r="A185" s="86">
        <v>182</v>
      </c>
      <c r="B185" s="89" t="s">
        <v>514</v>
      </c>
      <c r="C185" s="90" t="s">
        <v>515</v>
      </c>
      <c r="D185" s="86">
        <v>65119</v>
      </c>
      <c r="E185" s="103">
        <v>29</v>
      </c>
      <c r="F185" s="86">
        <v>0</v>
      </c>
      <c r="G185" s="86">
        <v>0</v>
      </c>
      <c r="H185" s="86">
        <v>0</v>
      </c>
      <c r="I185" s="86">
        <v>0</v>
      </c>
      <c r="J185" s="103">
        <v>280</v>
      </c>
      <c r="K185" s="103">
        <v>2800</v>
      </c>
      <c r="L185" s="103">
        <v>100</v>
      </c>
      <c r="M185" s="109">
        <v>0</v>
      </c>
      <c r="N185" s="108" t="s">
        <v>516</v>
      </c>
      <c r="O185" s="110">
        <v>2801</v>
      </c>
      <c r="P185" s="97">
        <v>0</v>
      </c>
      <c r="Q185" s="101">
        <v>0</v>
      </c>
      <c r="R185" s="100">
        <f t="shared" si="17"/>
        <v>2800</v>
      </c>
    </row>
    <row r="186" customHeight="1" spans="1:18">
      <c r="A186" s="86">
        <v>183</v>
      </c>
      <c r="B186" s="89" t="s">
        <v>514</v>
      </c>
      <c r="C186" s="90" t="s">
        <v>515</v>
      </c>
      <c r="D186" s="86">
        <v>66119</v>
      </c>
      <c r="E186" s="103">
        <v>29</v>
      </c>
      <c r="F186" s="86">
        <v>0</v>
      </c>
      <c r="G186" s="86">
        <v>0</v>
      </c>
      <c r="H186" s="86">
        <v>0</v>
      </c>
      <c r="I186" s="86">
        <v>0</v>
      </c>
      <c r="J186" s="103">
        <v>280</v>
      </c>
      <c r="K186" s="103">
        <v>2800</v>
      </c>
      <c r="L186" s="103">
        <v>120</v>
      </c>
      <c r="M186" s="109">
        <v>0</v>
      </c>
      <c r="N186" s="108" t="s">
        <v>517</v>
      </c>
      <c r="O186" s="110">
        <v>2802</v>
      </c>
      <c r="P186" s="97">
        <v>0</v>
      </c>
      <c r="Q186" s="101">
        <v>0</v>
      </c>
      <c r="R186" s="100">
        <f t="shared" si="17"/>
        <v>2800</v>
      </c>
    </row>
    <row r="187" customHeight="1" spans="1:18">
      <c r="A187" s="86">
        <v>184</v>
      </c>
      <c r="B187" s="89" t="s">
        <v>514</v>
      </c>
      <c r="C187" s="90" t="s">
        <v>515</v>
      </c>
      <c r="D187" s="86">
        <v>67119</v>
      </c>
      <c r="E187" s="103">
        <v>29</v>
      </c>
      <c r="F187" s="86">
        <v>0</v>
      </c>
      <c r="G187" s="86">
        <v>0</v>
      </c>
      <c r="H187" s="86">
        <v>0</v>
      </c>
      <c r="I187" s="86">
        <v>0</v>
      </c>
      <c r="J187" s="103">
        <v>280</v>
      </c>
      <c r="K187" s="103">
        <v>2800</v>
      </c>
      <c r="L187" s="103">
        <v>160</v>
      </c>
      <c r="M187" s="109">
        <v>0</v>
      </c>
      <c r="N187" s="108" t="s">
        <v>518</v>
      </c>
      <c r="O187" s="110">
        <v>2803</v>
      </c>
      <c r="P187" s="97">
        <v>0</v>
      </c>
      <c r="Q187" s="101">
        <v>0</v>
      </c>
      <c r="R187" s="100">
        <f t="shared" si="17"/>
        <v>2800</v>
      </c>
    </row>
    <row r="188" customHeight="1" spans="1:18">
      <c r="A188" s="86">
        <v>185</v>
      </c>
      <c r="B188" s="89" t="s">
        <v>514</v>
      </c>
      <c r="C188" s="90" t="s">
        <v>515</v>
      </c>
      <c r="D188" s="86">
        <v>68119</v>
      </c>
      <c r="E188" s="103">
        <v>29</v>
      </c>
      <c r="F188" s="86">
        <v>0</v>
      </c>
      <c r="G188" s="86">
        <v>0</v>
      </c>
      <c r="H188" s="86">
        <v>0</v>
      </c>
      <c r="I188" s="86">
        <v>0</v>
      </c>
      <c r="J188" s="86">
        <v>350</v>
      </c>
      <c r="K188" s="86">
        <v>3500</v>
      </c>
      <c r="L188" s="103">
        <v>200</v>
      </c>
      <c r="M188" s="109">
        <v>0</v>
      </c>
      <c r="N188" s="108" t="s">
        <v>519</v>
      </c>
      <c r="O188" s="110">
        <v>2804</v>
      </c>
      <c r="P188" s="97">
        <v>0</v>
      </c>
      <c r="Q188" s="101">
        <v>0</v>
      </c>
      <c r="R188" s="100">
        <f t="shared" si="17"/>
        <v>3500</v>
      </c>
    </row>
    <row r="189" customHeight="1" spans="1:18">
      <c r="A189" s="86">
        <v>186</v>
      </c>
      <c r="B189" s="89" t="s">
        <v>514</v>
      </c>
      <c r="C189" s="90" t="s">
        <v>515</v>
      </c>
      <c r="D189" s="86">
        <v>69119</v>
      </c>
      <c r="E189" s="103">
        <v>29</v>
      </c>
      <c r="F189" s="86">
        <v>0</v>
      </c>
      <c r="G189" s="86">
        <v>0</v>
      </c>
      <c r="H189" s="86">
        <v>0</v>
      </c>
      <c r="I189" s="86">
        <v>0</v>
      </c>
      <c r="J189" s="86">
        <v>420</v>
      </c>
      <c r="K189" s="86">
        <v>4200</v>
      </c>
      <c r="L189" s="103">
        <v>250</v>
      </c>
      <c r="M189" s="109">
        <v>0</v>
      </c>
      <c r="N189" s="108" t="s">
        <v>520</v>
      </c>
      <c r="O189" s="110">
        <v>2805</v>
      </c>
      <c r="P189" s="97">
        <v>0</v>
      </c>
      <c r="Q189" s="101">
        <v>0</v>
      </c>
      <c r="R189" s="100">
        <f t="shared" si="17"/>
        <v>4200</v>
      </c>
    </row>
    <row r="190" customHeight="1" spans="1:18">
      <c r="A190" s="86">
        <v>187</v>
      </c>
      <c r="B190" s="89" t="s">
        <v>277</v>
      </c>
      <c r="C190" s="86" t="s">
        <v>278</v>
      </c>
      <c r="D190" s="86">
        <v>35028</v>
      </c>
      <c r="E190" s="86">
        <v>19</v>
      </c>
      <c r="F190" s="86">
        <v>1301</v>
      </c>
      <c r="G190" s="86">
        <v>3</v>
      </c>
      <c r="H190" s="86">
        <v>0</v>
      </c>
      <c r="I190" s="86">
        <v>0</v>
      </c>
      <c r="J190" s="86">
        <f>3000*103%</f>
        <v>3090</v>
      </c>
      <c r="K190" s="86">
        <f>J190</f>
        <v>3090</v>
      </c>
      <c r="L190" s="86">
        <v>3000</v>
      </c>
      <c r="M190" s="93">
        <v>3000</v>
      </c>
      <c r="N190" s="108" t="s">
        <v>521</v>
      </c>
      <c r="O190" s="98"/>
      <c r="P190" s="97">
        <v>0</v>
      </c>
      <c r="Q190" s="101">
        <v>0</v>
      </c>
      <c r="R190" s="100">
        <f t="shared" ref="R190:R210" si="18">M190</f>
        <v>3000</v>
      </c>
    </row>
    <row r="191" customHeight="1" spans="1:18">
      <c r="A191" s="86">
        <v>188</v>
      </c>
      <c r="B191" s="89" t="s">
        <v>522</v>
      </c>
      <c r="C191" s="90" t="s">
        <v>523</v>
      </c>
      <c r="D191" s="86">
        <v>55120</v>
      </c>
      <c r="E191" s="86">
        <v>26</v>
      </c>
      <c r="F191" s="86">
        <v>101</v>
      </c>
      <c r="G191" s="86">
        <v>50</v>
      </c>
      <c r="H191" s="86">
        <v>0</v>
      </c>
      <c r="I191" s="86">
        <v>0</v>
      </c>
      <c r="J191" s="86">
        <v>25</v>
      </c>
      <c r="K191" s="86">
        <v>100</v>
      </c>
      <c r="L191" s="86">
        <v>25</v>
      </c>
      <c r="M191" s="93">
        <v>100</v>
      </c>
      <c r="N191" s="108" t="s">
        <v>524</v>
      </c>
      <c r="O191" s="98"/>
      <c r="P191" s="97">
        <v>50</v>
      </c>
      <c r="Q191" s="101">
        <v>10000</v>
      </c>
      <c r="R191" s="100">
        <f t="shared" si="18"/>
        <v>100</v>
      </c>
    </row>
    <row r="192" customHeight="1" spans="1:18">
      <c r="A192" s="86">
        <v>189</v>
      </c>
      <c r="B192" s="89" t="s">
        <v>522</v>
      </c>
      <c r="C192" s="90" t="s">
        <v>523</v>
      </c>
      <c r="D192" s="86">
        <v>56120</v>
      </c>
      <c r="E192" s="86">
        <v>26</v>
      </c>
      <c r="F192" s="86">
        <v>101</v>
      </c>
      <c r="G192" s="86">
        <v>50</v>
      </c>
      <c r="H192" s="86">
        <v>0</v>
      </c>
      <c r="I192" s="86">
        <v>0</v>
      </c>
      <c r="J192" s="86">
        <v>50</v>
      </c>
      <c r="K192" s="86">
        <v>100</v>
      </c>
      <c r="L192" s="86">
        <v>25</v>
      </c>
      <c r="M192" s="93">
        <v>100</v>
      </c>
      <c r="N192" s="108" t="s">
        <v>525</v>
      </c>
      <c r="O192" s="98"/>
      <c r="P192" s="97">
        <v>50</v>
      </c>
      <c r="Q192" s="101">
        <v>10000</v>
      </c>
      <c r="R192" s="100">
        <f t="shared" si="18"/>
        <v>100</v>
      </c>
    </row>
    <row r="193" customHeight="1" spans="1:18">
      <c r="A193" s="86">
        <v>190</v>
      </c>
      <c r="B193" s="89" t="s">
        <v>526</v>
      </c>
      <c r="C193" s="90" t="s">
        <v>527</v>
      </c>
      <c r="D193" s="86">
        <v>55121</v>
      </c>
      <c r="E193" s="86">
        <v>26</v>
      </c>
      <c r="F193" s="86">
        <v>101</v>
      </c>
      <c r="G193" s="86">
        <v>90</v>
      </c>
      <c r="H193" s="86">
        <v>0</v>
      </c>
      <c r="I193" s="86">
        <v>0</v>
      </c>
      <c r="J193" s="86">
        <v>45</v>
      </c>
      <c r="K193" s="86">
        <v>180</v>
      </c>
      <c r="L193" s="86">
        <v>45</v>
      </c>
      <c r="M193" s="93">
        <v>180</v>
      </c>
      <c r="N193" s="108" t="s">
        <v>528</v>
      </c>
      <c r="O193" s="98"/>
      <c r="P193" s="97">
        <v>90</v>
      </c>
      <c r="Q193" s="101">
        <v>10000</v>
      </c>
      <c r="R193" s="100">
        <f t="shared" si="18"/>
        <v>180</v>
      </c>
    </row>
    <row r="194" customHeight="1" spans="1:18">
      <c r="A194" s="86">
        <v>191</v>
      </c>
      <c r="B194" s="89" t="s">
        <v>526</v>
      </c>
      <c r="C194" s="90" t="s">
        <v>527</v>
      </c>
      <c r="D194" s="86">
        <v>56121</v>
      </c>
      <c r="E194" s="86">
        <v>26</v>
      </c>
      <c r="F194" s="86">
        <v>101</v>
      </c>
      <c r="G194" s="86">
        <v>90</v>
      </c>
      <c r="H194" s="86">
        <v>0</v>
      </c>
      <c r="I194" s="86">
        <v>0</v>
      </c>
      <c r="J194" s="86">
        <v>90</v>
      </c>
      <c r="K194" s="86">
        <v>180</v>
      </c>
      <c r="L194" s="86">
        <v>45</v>
      </c>
      <c r="M194" s="93">
        <v>180</v>
      </c>
      <c r="N194" s="108" t="s">
        <v>529</v>
      </c>
      <c r="O194" s="98"/>
      <c r="P194" s="97">
        <v>90</v>
      </c>
      <c r="Q194" s="101">
        <v>10000</v>
      </c>
      <c r="R194" s="100">
        <f t="shared" si="18"/>
        <v>180</v>
      </c>
    </row>
    <row r="195" customHeight="1" spans="1:18">
      <c r="A195" s="86">
        <v>192</v>
      </c>
      <c r="B195" s="89" t="s">
        <v>530</v>
      </c>
      <c r="C195" s="90" t="s">
        <v>531</v>
      </c>
      <c r="D195" s="86">
        <v>70122</v>
      </c>
      <c r="E195" s="86">
        <v>30</v>
      </c>
      <c r="F195" s="86">
        <v>0</v>
      </c>
      <c r="G195" s="86">
        <v>0</v>
      </c>
      <c r="H195" s="86">
        <v>0</v>
      </c>
      <c r="I195" s="86">
        <v>0</v>
      </c>
      <c r="J195" s="86">
        <v>0</v>
      </c>
      <c r="K195" s="86">
        <v>0</v>
      </c>
      <c r="L195" s="86">
        <v>0</v>
      </c>
      <c r="M195" s="93">
        <v>0</v>
      </c>
      <c r="N195" s="108" t="s">
        <v>532</v>
      </c>
      <c r="O195" s="98"/>
      <c r="P195" s="97">
        <v>0</v>
      </c>
      <c r="Q195" s="101">
        <v>0</v>
      </c>
      <c r="R195" s="100">
        <f t="shared" si="18"/>
        <v>0</v>
      </c>
    </row>
    <row r="196" customHeight="1" spans="1:18">
      <c r="A196" s="86">
        <v>193</v>
      </c>
      <c r="B196" s="89" t="s">
        <v>533</v>
      </c>
      <c r="C196" s="90" t="s">
        <v>534</v>
      </c>
      <c r="D196" s="86">
        <v>71201</v>
      </c>
      <c r="E196" s="86">
        <v>31</v>
      </c>
      <c r="F196" s="86">
        <v>13757</v>
      </c>
      <c r="G196" s="86">
        <v>154</v>
      </c>
      <c r="H196" s="86">
        <v>10</v>
      </c>
      <c r="I196" s="86">
        <v>10</v>
      </c>
      <c r="J196" s="86">
        <v>154</v>
      </c>
      <c r="K196" s="86">
        <v>154</v>
      </c>
      <c r="L196" s="86">
        <v>0</v>
      </c>
      <c r="M196" s="86">
        <v>154</v>
      </c>
      <c r="N196" s="108" t="s">
        <v>535</v>
      </c>
      <c r="O196" s="98"/>
      <c r="P196" s="97">
        <v>0</v>
      </c>
      <c r="Q196" s="101">
        <v>0</v>
      </c>
      <c r="R196" s="100">
        <f t="shared" si="18"/>
        <v>154</v>
      </c>
    </row>
    <row r="197" customHeight="1" spans="1:18">
      <c r="A197" s="86">
        <v>194</v>
      </c>
      <c r="B197" s="89" t="s">
        <v>536</v>
      </c>
      <c r="C197" s="90" t="s">
        <v>537</v>
      </c>
      <c r="D197" s="86">
        <v>71202</v>
      </c>
      <c r="E197" s="86">
        <v>31</v>
      </c>
      <c r="F197" s="86">
        <v>13757</v>
      </c>
      <c r="G197" s="86">
        <v>263</v>
      </c>
      <c r="H197" s="86">
        <v>20</v>
      </c>
      <c r="I197" s="86">
        <v>40</v>
      </c>
      <c r="J197" s="86">
        <v>263</v>
      </c>
      <c r="K197" s="86">
        <v>263</v>
      </c>
      <c r="L197" s="86">
        <v>0</v>
      </c>
      <c r="M197" s="86">
        <v>263</v>
      </c>
      <c r="N197" s="93" t="s">
        <v>535</v>
      </c>
      <c r="O197" s="93"/>
      <c r="P197" s="93">
        <v>0</v>
      </c>
      <c r="Q197" s="93">
        <v>0</v>
      </c>
      <c r="R197" s="100">
        <f t="shared" si="18"/>
        <v>263</v>
      </c>
    </row>
    <row r="198" customHeight="1" spans="1:18">
      <c r="A198" s="86">
        <v>195</v>
      </c>
      <c r="B198" s="89" t="s">
        <v>538</v>
      </c>
      <c r="C198" s="90" t="s">
        <v>539</v>
      </c>
      <c r="D198" s="86">
        <v>71203</v>
      </c>
      <c r="E198" s="86">
        <v>31</v>
      </c>
      <c r="F198" s="86">
        <v>13757</v>
      </c>
      <c r="G198" s="86">
        <v>507</v>
      </c>
      <c r="H198" s="86">
        <v>40</v>
      </c>
      <c r="I198" s="86">
        <v>60</v>
      </c>
      <c r="J198" s="86">
        <v>507</v>
      </c>
      <c r="K198" s="86">
        <v>507</v>
      </c>
      <c r="L198" s="86">
        <v>0</v>
      </c>
      <c r="M198" s="86">
        <v>507</v>
      </c>
      <c r="N198" s="93" t="s">
        <v>535</v>
      </c>
      <c r="O198" s="93">
        <v>2901</v>
      </c>
      <c r="P198" s="93">
        <v>0</v>
      </c>
      <c r="Q198" s="93">
        <v>0</v>
      </c>
      <c r="R198" s="100">
        <f t="shared" si="18"/>
        <v>507</v>
      </c>
    </row>
    <row r="199" customHeight="1" spans="1:18">
      <c r="A199" s="86">
        <v>196</v>
      </c>
      <c r="B199" s="89" t="s">
        <v>540</v>
      </c>
      <c r="C199" s="90" t="s">
        <v>541</v>
      </c>
      <c r="D199" s="86">
        <v>73204</v>
      </c>
      <c r="E199" s="86">
        <v>31</v>
      </c>
      <c r="F199" s="86">
        <v>13758</v>
      </c>
      <c r="G199" s="86">
        <v>219</v>
      </c>
      <c r="H199" s="86">
        <v>0</v>
      </c>
      <c r="I199" s="86">
        <v>0</v>
      </c>
      <c r="J199" s="86">
        <v>219</v>
      </c>
      <c r="K199" s="86">
        <v>219</v>
      </c>
      <c r="L199" s="86">
        <v>0</v>
      </c>
      <c r="M199" s="86">
        <v>219</v>
      </c>
      <c r="N199" s="93" t="s">
        <v>535</v>
      </c>
      <c r="O199" s="93"/>
      <c r="P199" s="93">
        <v>0</v>
      </c>
      <c r="Q199" s="93">
        <v>0</v>
      </c>
      <c r="R199" s="100">
        <f t="shared" si="18"/>
        <v>219</v>
      </c>
    </row>
    <row r="200" customHeight="1" spans="1:18">
      <c r="A200" s="86">
        <v>197</v>
      </c>
      <c r="B200" s="89" t="s">
        <v>542</v>
      </c>
      <c r="C200" s="90" t="s">
        <v>543</v>
      </c>
      <c r="D200" s="86">
        <v>73205</v>
      </c>
      <c r="E200" s="86">
        <v>31</v>
      </c>
      <c r="F200" s="86">
        <v>13759</v>
      </c>
      <c r="G200" s="86">
        <v>375</v>
      </c>
      <c r="H200" s="86">
        <v>0</v>
      </c>
      <c r="I200" s="86">
        <v>0</v>
      </c>
      <c r="J200" s="86">
        <v>375</v>
      </c>
      <c r="K200" s="86">
        <v>375</v>
      </c>
      <c r="L200" s="86">
        <v>0</v>
      </c>
      <c r="M200" s="86">
        <v>375</v>
      </c>
      <c r="N200" s="93" t="s">
        <v>535</v>
      </c>
      <c r="O200" s="93"/>
      <c r="P200" s="93">
        <v>0</v>
      </c>
      <c r="Q200" s="93">
        <v>0</v>
      </c>
      <c r="R200" s="100">
        <f t="shared" si="18"/>
        <v>375</v>
      </c>
    </row>
    <row r="201" customHeight="1" spans="1:18">
      <c r="A201" s="86">
        <v>198</v>
      </c>
      <c r="B201" s="89" t="s">
        <v>544</v>
      </c>
      <c r="C201" s="90" t="s">
        <v>545</v>
      </c>
      <c r="D201" s="86">
        <v>73206</v>
      </c>
      <c r="E201" s="86">
        <v>31</v>
      </c>
      <c r="F201" s="86">
        <v>13760</v>
      </c>
      <c r="G201" s="86">
        <v>475</v>
      </c>
      <c r="H201" s="86">
        <v>0</v>
      </c>
      <c r="I201" s="86">
        <v>0</v>
      </c>
      <c r="J201" s="86">
        <v>475</v>
      </c>
      <c r="K201" s="86">
        <v>475</v>
      </c>
      <c r="L201" s="86">
        <v>0</v>
      </c>
      <c r="M201" s="86">
        <v>475</v>
      </c>
      <c r="N201" s="93" t="s">
        <v>535</v>
      </c>
      <c r="O201" s="93"/>
      <c r="P201" s="93">
        <v>0</v>
      </c>
      <c r="Q201" s="93">
        <v>0</v>
      </c>
      <c r="R201" s="100">
        <f t="shared" si="18"/>
        <v>475</v>
      </c>
    </row>
    <row r="202" customHeight="1" spans="1:18">
      <c r="A202" s="86">
        <v>199</v>
      </c>
      <c r="B202" s="89" t="s">
        <v>546</v>
      </c>
      <c r="C202" s="90" t="s">
        <v>547</v>
      </c>
      <c r="D202" s="86">
        <v>74207</v>
      </c>
      <c r="E202" s="86">
        <v>31</v>
      </c>
      <c r="F202" s="86">
        <v>101</v>
      </c>
      <c r="G202" s="86">
        <v>608</v>
      </c>
      <c r="H202" s="86">
        <v>1</v>
      </c>
      <c r="I202" s="86">
        <v>1</v>
      </c>
      <c r="J202" s="86">
        <v>608</v>
      </c>
      <c r="K202" s="86">
        <v>608</v>
      </c>
      <c r="L202" s="86">
        <v>0</v>
      </c>
      <c r="M202" s="86">
        <v>608</v>
      </c>
      <c r="N202" s="93" t="s">
        <v>535</v>
      </c>
      <c r="O202" s="93"/>
      <c r="P202" s="93">
        <v>0</v>
      </c>
      <c r="Q202" s="93">
        <v>0</v>
      </c>
      <c r="R202" s="100">
        <f t="shared" si="18"/>
        <v>608</v>
      </c>
    </row>
    <row r="203" customHeight="1" spans="1:18">
      <c r="A203" s="86">
        <v>200</v>
      </c>
      <c r="B203" s="89" t="s">
        <v>548</v>
      </c>
      <c r="C203" s="90" t="s">
        <v>549</v>
      </c>
      <c r="D203" s="86">
        <v>74215</v>
      </c>
      <c r="E203" s="86">
        <v>31</v>
      </c>
      <c r="F203" s="86">
        <v>101</v>
      </c>
      <c r="G203" s="86">
        <v>400</v>
      </c>
      <c r="H203" s="86">
        <v>1</v>
      </c>
      <c r="I203" s="86">
        <v>1</v>
      </c>
      <c r="J203" s="86">
        <v>400</v>
      </c>
      <c r="K203" s="86">
        <v>400</v>
      </c>
      <c r="L203" s="86">
        <v>0</v>
      </c>
      <c r="M203" s="86">
        <v>400</v>
      </c>
      <c r="N203" s="93" t="s">
        <v>535</v>
      </c>
      <c r="O203" s="93"/>
      <c r="P203" s="93">
        <v>0</v>
      </c>
      <c r="Q203" s="93">
        <v>0</v>
      </c>
      <c r="R203" s="100">
        <f t="shared" ref="R203" si="19">M203</f>
        <v>400</v>
      </c>
    </row>
    <row r="204" customHeight="1" spans="1:18">
      <c r="A204" s="86">
        <v>201</v>
      </c>
      <c r="B204" s="89" t="s">
        <v>550</v>
      </c>
      <c r="C204" s="90" t="s">
        <v>551</v>
      </c>
      <c r="D204" s="86">
        <v>75208</v>
      </c>
      <c r="E204" s="86">
        <v>31</v>
      </c>
      <c r="F204" s="86">
        <v>101</v>
      </c>
      <c r="G204" s="86">
        <v>500</v>
      </c>
      <c r="H204" s="86">
        <v>1</v>
      </c>
      <c r="I204" s="86">
        <v>1</v>
      </c>
      <c r="J204" s="86">
        <v>500</v>
      </c>
      <c r="K204" s="86">
        <v>500</v>
      </c>
      <c r="L204" s="86">
        <v>0</v>
      </c>
      <c r="M204" s="86">
        <v>500</v>
      </c>
      <c r="N204" s="93" t="s">
        <v>535</v>
      </c>
      <c r="O204" s="93"/>
      <c r="P204" s="93">
        <v>0</v>
      </c>
      <c r="Q204" s="93">
        <v>0</v>
      </c>
      <c r="R204" s="100">
        <f t="shared" si="18"/>
        <v>500</v>
      </c>
    </row>
    <row r="205" customHeight="1" spans="1:18">
      <c r="A205" s="86">
        <v>202</v>
      </c>
      <c r="B205" s="89" t="s">
        <v>552</v>
      </c>
      <c r="C205" s="90" t="s">
        <v>553</v>
      </c>
      <c r="D205" s="86">
        <v>75216</v>
      </c>
      <c r="E205" s="86">
        <v>31</v>
      </c>
      <c r="F205" s="86">
        <v>101</v>
      </c>
      <c r="G205" s="86">
        <v>720</v>
      </c>
      <c r="H205" s="86">
        <v>1</v>
      </c>
      <c r="I205" s="86">
        <v>1</v>
      </c>
      <c r="J205" s="86">
        <v>720</v>
      </c>
      <c r="K205" s="86">
        <v>720</v>
      </c>
      <c r="L205" s="86">
        <v>0</v>
      </c>
      <c r="M205" s="86">
        <v>720</v>
      </c>
      <c r="N205" s="93" t="s">
        <v>535</v>
      </c>
      <c r="O205" s="93"/>
      <c r="P205" s="93">
        <v>0</v>
      </c>
      <c r="Q205" s="93">
        <v>0</v>
      </c>
      <c r="R205" s="100">
        <f t="shared" ref="R205" si="20">M205</f>
        <v>720</v>
      </c>
    </row>
    <row r="206" customHeight="1" spans="1:18">
      <c r="A206" s="86">
        <v>203</v>
      </c>
      <c r="B206" s="89" t="s">
        <v>554</v>
      </c>
      <c r="C206" s="90" t="s">
        <v>555</v>
      </c>
      <c r="D206" s="86">
        <v>75209</v>
      </c>
      <c r="E206" s="86">
        <v>31</v>
      </c>
      <c r="F206" s="86">
        <v>101</v>
      </c>
      <c r="G206" s="86">
        <v>60</v>
      </c>
      <c r="H206" s="86">
        <v>1</v>
      </c>
      <c r="I206" s="86">
        <v>1</v>
      </c>
      <c r="J206" s="86">
        <v>60</v>
      </c>
      <c r="K206" s="86">
        <v>60</v>
      </c>
      <c r="L206" s="86">
        <v>0</v>
      </c>
      <c r="M206" s="86">
        <v>60</v>
      </c>
      <c r="N206" s="93" t="s">
        <v>535</v>
      </c>
      <c r="O206" s="93"/>
      <c r="P206" s="93">
        <v>0</v>
      </c>
      <c r="Q206" s="93">
        <v>0</v>
      </c>
      <c r="R206" s="100">
        <f t="shared" si="18"/>
        <v>60</v>
      </c>
    </row>
    <row r="207" customHeight="1" spans="1:18">
      <c r="A207" s="86">
        <v>204</v>
      </c>
      <c r="B207" s="89" t="s">
        <v>556</v>
      </c>
      <c r="C207" s="90" t="s">
        <v>557</v>
      </c>
      <c r="D207" s="86">
        <v>75210</v>
      </c>
      <c r="E207" s="86">
        <v>31</v>
      </c>
      <c r="F207" s="86">
        <v>101</v>
      </c>
      <c r="G207" s="86">
        <v>150</v>
      </c>
      <c r="H207" s="86">
        <v>1</v>
      </c>
      <c r="I207" s="86">
        <v>1</v>
      </c>
      <c r="J207" s="86">
        <v>150</v>
      </c>
      <c r="K207" s="86">
        <v>150</v>
      </c>
      <c r="L207" s="86">
        <v>0</v>
      </c>
      <c r="M207" s="86">
        <v>150</v>
      </c>
      <c r="N207" s="93" t="s">
        <v>535</v>
      </c>
      <c r="O207" s="93"/>
      <c r="P207" s="93">
        <v>0</v>
      </c>
      <c r="Q207" s="93">
        <v>0</v>
      </c>
      <c r="R207" s="100">
        <f t="shared" si="18"/>
        <v>150</v>
      </c>
    </row>
    <row r="208" customHeight="1" spans="1:18">
      <c r="A208" s="86">
        <v>205</v>
      </c>
      <c r="B208" s="89" t="s">
        <v>257</v>
      </c>
      <c r="C208" s="86" t="s">
        <v>258</v>
      </c>
      <c r="D208" s="86">
        <v>72025</v>
      </c>
      <c r="E208" s="86">
        <v>1</v>
      </c>
      <c r="F208" s="86">
        <v>101</v>
      </c>
      <c r="G208" s="86">
        <v>40</v>
      </c>
      <c r="H208" s="86">
        <v>0</v>
      </c>
      <c r="I208" s="86">
        <v>0</v>
      </c>
      <c r="J208" s="86">
        <v>40</v>
      </c>
      <c r="K208" s="86">
        <v>40</v>
      </c>
      <c r="L208" s="86">
        <v>0</v>
      </c>
      <c r="M208" s="86">
        <v>40</v>
      </c>
      <c r="N208" s="93" t="s">
        <v>258</v>
      </c>
      <c r="O208" s="93"/>
      <c r="P208" s="93">
        <v>100</v>
      </c>
      <c r="Q208" s="93">
        <v>3000</v>
      </c>
      <c r="R208" s="100">
        <f t="shared" ref="R208:R209" si="21">M208</f>
        <v>40</v>
      </c>
    </row>
    <row r="209" customHeight="1" spans="1:18">
      <c r="A209" s="86">
        <v>206</v>
      </c>
      <c r="B209" s="89" t="s">
        <v>558</v>
      </c>
      <c r="C209" s="86" t="s">
        <v>559</v>
      </c>
      <c r="D209" s="86">
        <v>11211</v>
      </c>
      <c r="E209" s="86">
        <v>1</v>
      </c>
      <c r="F209" s="86">
        <v>101</v>
      </c>
      <c r="G209" s="86">
        <v>50</v>
      </c>
      <c r="H209" s="86">
        <v>0</v>
      </c>
      <c r="I209" s="86">
        <v>0</v>
      </c>
      <c r="J209" s="86">
        <v>50</v>
      </c>
      <c r="K209" s="86">
        <v>50</v>
      </c>
      <c r="L209" s="86">
        <v>0</v>
      </c>
      <c r="M209" s="86">
        <v>50</v>
      </c>
      <c r="N209" s="93" t="s">
        <v>559</v>
      </c>
      <c r="O209" s="93"/>
      <c r="P209" s="93">
        <v>100</v>
      </c>
      <c r="Q209" s="93">
        <v>3000</v>
      </c>
      <c r="R209" s="100">
        <f t="shared" si="21"/>
        <v>50</v>
      </c>
    </row>
    <row r="210" customHeight="1" spans="1:18">
      <c r="A210" s="86">
        <v>207</v>
      </c>
      <c r="B210" s="89" t="s">
        <v>560</v>
      </c>
      <c r="C210" s="86" t="s">
        <v>561</v>
      </c>
      <c r="D210" s="86">
        <v>11212</v>
      </c>
      <c r="E210" s="86">
        <v>1</v>
      </c>
      <c r="F210" s="86">
        <v>101</v>
      </c>
      <c r="G210" s="86">
        <v>200</v>
      </c>
      <c r="H210" s="86">
        <v>0</v>
      </c>
      <c r="I210" s="86">
        <v>0</v>
      </c>
      <c r="J210" s="86">
        <v>200</v>
      </c>
      <c r="K210" s="86">
        <v>200</v>
      </c>
      <c r="L210" s="86">
        <v>0</v>
      </c>
      <c r="M210" s="86">
        <v>200</v>
      </c>
      <c r="N210" s="93" t="s">
        <v>561</v>
      </c>
      <c r="O210" s="93"/>
      <c r="P210" s="93">
        <v>100</v>
      </c>
      <c r="Q210" s="93">
        <v>3000</v>
      </c>
      <c r="R210" s="100">
        <f t="shared" si="18"/>
        <v>200</v>
      </c>
    </row>
    <row r="211" customHeight="1" spans="1:18">
      <c r="A211" s="86">
        <v>208</v>
      </c>
      <c r="B211" s="89" t="s">
        <v>562</v>
      </c>
      <c r="C211" s="90" t="s">
        <v>563</v>
      </c>
      <c r="D211" s="86">
        <v>12213</v>
      </c>
      <c r="E211" s="86">
        <v>2</v>
      </c>
      <c r="F211" s="86">
        <v>101</v>
      </c>
      <c r="G211" s="86">
        <v>350</v>
      </c>
      <c r="H211" s="86">
        <v>0</v>
      </c>
      <c r="I211" s="86">
        <v>0</v>
      </c>
      <c r="J211" s="86">
        <v>350</v>
      </c>
      <c r="K211" s="86">
        <v>350</v>
      </c>
      <c r="L211" s="86">
        <v>0</v>
      </c>
      <c r="M211" s="86">
        <v>350</v>
      </c>
      <c r="N211" s="93" t="s">
        <v>563</v>
      </c>
      <c r="O211" s="93"/>
      <c r="P211" s="93">
        <v>100</v>
      </c>
      <c r="Q211" s="93">
        <v>3000</v>
      </c>
      <c r="R211" s="100">
        <f t="shared" ref="R211:R212" si="22">M211</f>
        <v>350</v>
      </c>
    </row>
    <row r="212" customHeight="1" spans="1:18">
      <c r="A212" s="86">
        <v>209</v>
      </c>
      <c r="B212" s="89" t="s">
        <v>564</v>
      </c>
      <c r="C212" s="90" t="s">
        <v>565</v>
      </c>
      <c r="D212" s="86">
        <v>11214</v>
      </c>
      <c r="E212" s="86">
        <v>1</v>
      </c>
      <c r="F212" s="86">
        <v>101</v>
      </c>
      <c r="G212" s="86">
        <v>1200</v>
      </c>
      <c r="H212" s="86">
        <v>0</v>
      </c>
      <c r="I212" s="86">
        <v>0</v>
      </c>
      <c r="J212" s="86">
        <v>80</v>
      </c>
      <c r="K212" s="86">
        <v>80</v>
      </c>
      <c r="L212" s="103">
        <v>0</v>
      </c>
      <c r="M212" s="86">
        <v>80</v>
      </c>
      <c r="N212" s="93" t="s">
        <v>565</v>
      </c>
      <c r="O212" s="93"/>
      <c r="P212" s="93">
        <v>100</v>
      </c>
      <c r="Q212" s="93">
        <v>3000</v>
      </c>
      <c r="R212" s="100">
        <f t="shared" si="22"/>
        <v>80</v>
      </c>
    </row>
    <row r="213" customHeight="1" spans="1:18">
      <c r="A213" s="86">
        <v>210</v>
      </c>
      <c r="B213" s="89" t="s">
        <v>566</v>
      </c>
      <c r="C213" s="90" t="s">
        <v>567</v>
      </c>
      <c r="D213" s="86">
        <v>76217</v>
      </c>
      <c r="E213" s="86">
        <v>32</v>
      </c>
      <c r="F213" s="86">
        <v>101</v>
      </c>
      <c r="G213" s="86">
        <v>0</v>
      </c>
      <c r="H213" s="86">
        <v>0</v>
      </c>
      <c r="I213" s="86">
        <v>0</v>
      </c>
      <c r="J213" s="86">
        <v>60</v>
      </c>
      <c r="K213" s="86">
        <v>60</v>
      </c>
      <c r="L213" s="103">
        <v>0</v>
      </c>
      <c r="M213" s="109">
        <v>0</v>
      </c>
      <c r="N213" s="108" t="s">
        <v>567</v>
      </c>
      <c r="O213" s="110"/>
      <c r="P213" s="97">
        <v>0</v>
      </c>
      <c r="Q213" s="101">
        <v>0</v>
      </c>
      <c r="R213" s="100">
        <f t="shared" ref="R213" si="23">K213</f>
        <v>60</v>
      </c>
    </row>
    <row r="214" customHeight="1" spans="1:18">
      <c r="A214" s="86">
        <v>211</v>
      </c>
      <c r="B214" s="89" t="s">
        <v>568</v>
      </c>
      <c r="C214" s="90" t="s">
        <v>569</v>
      </c>
      <c r="D214" s="86">
        <v>76218</v>
      </c>
      <c r="E214" s="86">
        <v>32</v>
      </c>
      <c r="F214" s="86">
        <v>101</v>
      </c>
      <c r="G214" s="86">
        <v>0</v>
      </c>
      <c r="H214" s="86">
        <v>0</v>
      </c>
      <c r="I214" s="86">
        <v>0</v>
      </c>
      <c r="J214" s="86">
        <v>75</v>
      </c>
      <c r="K214" s="86">
        <v>75</v>
      </c>
      <c r="L214" s="103">
        <v>0</v>
      </c>
      <c r="M214" s="109">
        <v>0</v>
      </c>
      <c r="N214" s="93" t="s">
        <v>569</v>
      </c>
      <c r="O214" s="93"/>
      <c r="P214" s="97">
        <v>0</v>
      </c>
      <c r="Q214" s="101">
        <v>0</v>
      </c>
      <c r="R214" s="100">
        <f t="shared" ref="R214:R223" si="24">K214</f>
        <v>75</v>
      </c>
    </row>
    <row r="215" customHeight="1" spans="1:18">
      <c r="A215" s="86">
        <v>212</v>
      </c>
      <c r="B215" s="89" t="s">
        <v>570</v>
      </c>
      <c r="C215" s="90" t="s">
        <v>571</v>
      </c>
      <c r="D215" s="86">
        <v>76219</v>
      </c>
      <c r="E215" s="86">
        <v>32</v>
      </c>
      <c r="F215" s="86">
        <v>101</v>
      </c>
      <c r="G215" s="86">
        <v>0</v>
      </c>
      <c r="H215" s="86">
        <v>0</v>
      </c>
      <c r="I215" s="86">
        <v>0</v>
      </c>
      <c r="J215" s="86">
        <v>100</v>
      </c>
      <c r="K215" s="86">
        <v>100</v>
      </c>
      <c r="L215" s="103">
        <v>0</v>
      </c>
      <c r="M215" s="109">
        <v>0</v>
      </c>
      <c r="N215" s="93" t="s">
        <v>571</v>
      </c>
      <c r="O215" s="93"/>
      <c r="P215" s="97">
        <v>0</v>
      </c>
      <c r="Q215" s="101">
        <v>0</v>
      </c>
      <c r="R215" s="100">
        <f t="shared" si="24"/>
        <v>100</v>
      </c>
    </row>
    <row r="216" customHeight="1" spans="1:18">
      <c r="A216" s="86">
        <v>213</v>
      </c>
      <c r="B216" s="89" t="s">
        <v>572</v>
      </c>
      <c r="C216" s="90" t="s">
        <v>573</v>
      </c>
      <c r="D216" s="86">
        <v>76220</v>
      </c>
      <c r="E216" s="86">
        <v>32</v>
      </c>
      <c r="F216" s="86">
        <v>101</v>
      </c>
      <c r="G216" s="86">
        <v>0</v>
      </c>
      <c r="H216" s="86">
        <v>0</v>
      </c>
      <c r="I216" s="86">
        <v>0</v>
      </c>
      <c r="J216" s="86">
        <v>80</v>
      </c>
      <c r="K216" s="86">
        <v>80</v>
      </c>
      <c r="L216" s="103">
        <v>0</v>
      </c>
      <c r="M216" s="109">
        <v>0</v>
      </c>
      <c r="N216" s="93" t="s">
        <v>573</v>
      </c>
      <c r="O216" s="93"/>
      <c r="P216" s="97">
        <v>0</v>
      </c>
      <c r="Q216" s="101">
        <v>0</v>
      </c>
      <c r="R216" s="100">
        <f t="shared" si="24"/>
        <v>80</v>
      </c>
    </row>
    <row r="217" customHeight="1" spans="1:18">
      <c r="A217" s="86">
        <v>214</v>
      </c>
      <c r="B217" s="89" t="s">
        <v>574</v>
      </c>
      <c r="C217" s="90" t="s">
        <v>575</v>
      </c>
      <c r="D217" s="86">
        <v>76221</v>
      </c>
      <c r="E217" s="86">
        <v>32</v>
      </c>
      <c r="F217" s="86">
        <v>101</v>
      </c>
      <c r="G217" s="86">
        <v>0</v>
      </c>
      <c r="H217" s="86">
        <v>0</v>
      </c>
      <c r="I217" s="86">
        <v>0</v>
      </c>
      <c r="J217" s="86">
        <v>120</v>
      </c>
      <c r="K217" s="86">
        <v>120</v>
      </c>
      <c r="L217" s="103">
        <v>0</v>
      </c>
      <c r="M217" s="109">
        <v>0</v>
      </c>
      <c r="N217" s="93" t="s">
        <v>575</v>
      </c>
      <c r="O217" s="93"/>
      <c r="P217" s="97">
        <v>0</v>
      </c>
      <c r="Q217" s="101">
        <v>0</v>
      </c>
      <c r="R217" s="100">
        <f t="shared" si="24"/>
        <v>120</v>
      </c>
    </row>
    <row r="218" customHeight="1" spans="1:18">
      <c r="A218" s="86">
        <v>215</v>
      </c>
      <c r="B218" s="89" t="s">
        <v>576</v>
      </c>
      <c r="C218" s="90" t="s">
        <v>577</v>
      </c>
      <c r="D218" s="86">
        <v>76222</v>
      </c>
      <c r="E218" s="86">
        <v>32</v>
      </c>
      <c r="F218" s="86">
        <v>101</v>
      </c>
      <c r="G218" s="86">
        <v>0</v>
      </c>
      <c r="H218" s="86">
        <v>0</v>
      </c>
      <c r="I218" s="86">
        <v>0</v>
      </c>
      <c r="J218" s="86">
        <v>120</v>
      </c>
      <c r="K218" s="86">
        <v>120</v>
      </c>
      <c r="L218" s="103">
        <v>0</v>
      </c>
      <c r="M218" s="109">
        <v>0</v>
      </c>
      <c r="N218" s="93" t="s">
        <v>577</v>
      </c>
      <c r="O218" s="93"/>
      <c r="P218" s="97">
        <v>0</v>
      </c>
      <c r="Q218" s="101">
        <v>0</v>
      </c>
      <c r="R218" s="100">
        <f t="shared" si="24"/>
        <v>120</v>
      </c>
    </row>
    <row r="219" customHeight="1" spans="1:18">
      <c r="A219" s="86">
        <v>216</v>
      </c>
      <c r="B219" s="89" t="s">
        <v>578</v>
      </c>
      <c r="C219" s="90" t="s">
        <v>579</v>
      </c>
      <c r="D219" s="86">
        <v>76223</v>
      </c>
      <c r="E219" s="86">
        <v>32</v>
      </c>
      <c r="F219" s="86">
        <v>101</v>
      </c>
      <c r="G219" s="86">
        <v>0</v>
      </c>
      <c r="H219" s="86">
        <v>0</v>
      </c>
      <c r="I219" s="86">
        <v>0</v>
      </c>
      <c r="J219" s="86">
        <v>90</v>
      </c>
      <c r="K219" s="86">
        <v>90</v>
      </c>
      <c r="L219" s="103">
        <v>0</v>
      </c>
      <c r="M219" s="109">
        <v>0</v>
      </c>
      <c r="N219" s="93" t="s">
        <v>579</v>
      </c>
      <c r="O219" s="93"/>
      <c r="P219" s="97">
        <v>0</v>
      </c>
      <c r="Q219" s="101">
        <v>0</v>
      </c>
      <c r="R219" s="100">
        <f t="shared" si="24"/>
        <v>90</v>
      </c>
    </row>
    <row r="220" customHeight="1" spans="1:18">
      <c r="A220" s="86">
        <v>217</v>
      </c>
      <c r="B220" s="89" t="s">
        <v>580</v>
      </c>
      <c r="C220" s="90" t="s">
        <v>581</v>
      </c>
      <c r="D220" s="86">
        <v>76224</v>
      </c>
      <c r="E220" s="86">
        <v>32</v>
      </c>
      <c r="F220" s="86">
        <v>101</v>
      </c>
      <c r="G220" s="86">
        <v>0</v>
      </c>
      <c r="H220" s="86">
        <v>0</v>
      </c>
      <c r="I220" s="86">
        <v>0</v>
      </c>
      <c r="J220" s="86">
        <v>160</v>
      </c>
      <c r="K220" s="86">
        <v>160</v>
      </c>
      <c r="L220" s="103">
        <v>0</v>
      </c>
      <c r="M220" s="109">
        <v>0</v>
      </c>
      <c r="N220" s="93" t="s">
        <v>581</v>
      </c>
      <c r="O220" s="93"/>
      <c r="P220" s="97">
        <v>0</v>
      </c>
      <c r="Q220" s="101">
        <v>0</v>
      </c>
      <c r="R220" s="100">
        <f t="shared" si="24"/>
        <v>160</v>
      </c>
    </row>
    <row r="221" customHeight="1" spans="1:18">
      <c r="A221" s="86">
        <v>218</v>
      </c>
      <c r="B221" s="89" t="s">
        <v>582</v>
      </c>
      <c r="C221" s="90" t="s">
        <v>583</v>
      </c>
      <c r="D221" s="86">
        <v>76225</v>
      </c>
      <c r="E221" s="86">
        <v>32</v>
      </c>
      <c r="F221" s="86">
        <v>101</v>
      </c>
      <c r="G221" s="86">
        <v>0</v>
      </c>
      <c r="H221" s="86">
        <v>0</v>
      </c>
      <c r="I221" s="86">
        <v>0</v>
      </c>
      <c r="J221" s="86">
        <v>200</v>
      </c>
      <c r="K221" s="86">
        <v>200</v>
      </c>
      <c r="L221" s="103">
        <v>0</v>
      </c>
      <c r="M221" s="109">
        <v>0</v>
      </c>
      <c r="N221" s="93" t="s">
        <v>583</v>
      </c>
      <c r="O221" s="93"/>
      <c r="P221" s="97">
        <v>0</v>
      </c>
      <c r="Q221" s="101">
        <v>0</v>
      </c>
      <c r="R221" s="100">
        <f t="shared" si="24"/>
        <v>200</v>
      </c>
    </row>
    <row r="222" customHeight="1" spans="1:18">
      <c r="A222" s="86">
        <v>219</v>
      </c>
      <c r="B222" s="89" t="s">
        <v>584</v>
      </c>
      <c r="C222" s="90" t="s">
        <v>585</v>
      </c>
      <c r="D222" s="86">
        <v>76226</v>
      </c>
      <c r="E222" s="86">
        <v>32</v>
      </c>
      <c r="F222" s="86">
        <v>101</v>
      </c>
      <c r="G222" s="86">
        <v>0</v>
      </c>
      <c r="H222" s="86">
        <v>0</v>
      </c>
      <c r="I222" s="86">
        <v>0</v>
      </c>
      <c r="J222" s="86">
        <v>240</v>
      </c>
      <c r="K222" s="86">
        <v>240</v>
      </c>
      <c r="L222" s="103">
        <v>0</v>
      </c>
      <c r="M222" s="109">
        <v>0</v>
      </c>
      <c r="N222" s="93" t="s">
        <v>585</v>
      </c>
      <c r="O222" s="93"/>
      <c r="P222" s="97">
        <v>0</v>
      </c>
      <c r="Q222" s="101">
        <v>0</v>
      </c>
      <c r="R222" s="100">
        <f t="shared" si="24"/>
        <v>240</v>
      </c>
    </row>
    <row r="223" customHeight="1" spans="1:18">
      <c r="A223" s="86">
        <v>220</v>
      </c>
      <c r="B223" s="89" t="s">
        <v>586</v>
      </c>
      <c r="C223" s="90" t="s">
        <v>587</v>
      </c>
      <c r="D223" s="86">
        <v>76227</v>
      </c>
      <c r="E223" s="86">
        <v>32</v>
      </c>
      <c r="F223" s="86">
        <v>101</v>
      </c>
      <c r="G223" s="86">
        <v>0</v>
      </c>
      <c r="H223" s="86">
        <v>0</v>
      </c>
      <c r="I223" s="86">
        <v>0</v>
      </c>
      <c r="J223" s="86">
        <v>320</v>
      </c>
      <c r="K223" s="86">
        <v>320</v>
      </c>
      <c r="L223" s="103">
        <v>0</v>
      </c>
      <c r="M223" s="109">
        <v>0</v>
      </c>
      <c r="N223" s="93" t="s">
        <v>587</v>
      </c>
      <c r="O223" s="93"/>
      <c r="P223" s="97">
        <v>0</v>
      </c>
      <c r="Q223" s="101">
        <v>0</v>
      </c>
      <c r="R223" s="100">
        <f t="shared" si="24"/>
        <v>320</v>
      </c>
    </row>
    <row r="224" customHeight="1" spans="1:18">
      <c r="A224" s="86">
        <v>221</v>
      </c>
      <c r="B224" s="89" t="s">
        <v>588</v>
      </c>
      <c r="C224" s="90" t="s">
        <v>589</v>
      </c>
      <c r="D224" s="86">
        <v>77228</v>
      </c>
      <c r="E224" s="86">
        <v>33</v>
      </c>
      <c r="F224" s="86">
        <v>101</v>
      </c>
      <c r="G224" s="86">
        <v>0</v>
      </c>
      <c r="H224" s="86">
        <v>0</v>
      </c>
      <c r="I224" s="86">
        <v>0</v>
      </c>
      <c r="J224" s="86">
        <v>198</v>
      </c>
      <c r="K224" s="86">
        <v>198</v>
      </c>
      <c r="L224" s="103">
        <v>0</v>
      </c>
      <c r="M224" s="109">
        <v>0</v>
      </c>
      <c r="N224" s="93" t="s">
        <v>589</v>
      </c>
      <c r="O224" s="93">
        <v>3001</v>
      </c>
      <c r="P224" s="97">
        <v>0</v>
      </c>
      <c r="Q224" s="101">
        <v>0</v>
      </c>
      <c r="R224" s="100">
        <f t="shared" ref="R224:R226" si="25">K224</f>
        <v>198</v>
      </c>
    </row>
    <row r="225" customHeight="1" spans="1:18">
      <c r="A225" s="86">
        <v>222</v>
      </c>
      <c r="B225" s="89" t="s">
        <v>590</v>
      </c>
      <c r="C225" s="90" t="s">
        <v>591</v>
      </c>
      <c r="D225" s="86">
        <v>78229</v>
      </c>
      <c r="E225" s="86">
        <v>34</v>
      </c>
      <c r="F225" s="86">
        <v>101</v>
      </c>
      <c r="G225" s="86">
        <v>0</v>
      </c>
      <c r="H225" s="86">
        <v>0</v>
      </c>
      <c r="I225" s="86">
        <v>0</v>
      </c>
      <c r="J225" s="86">
        <v>504</v>
      </c>
      <c r="K225" s="86">
        <v>504</v>
      </c>
      <c r="L225" s="103">
        <v>0</v>
      </c>
      <c r="M225" s="109">
        <v>0</v>
      </c>
      <c r="N225" s="93" t="s">
        <v>591</v>
      </c>
      <c r="O225" s="93">
        <v>3101</v>
      </c>
      <c r="P225" s="97">
        <v>0</v>
      </c>
      <c r="Q225" s="101">
        <v>0</v>
      </c>
      <c r="R225" s="100">
        <f t="shared" si="25"/>
        <v>504</v>
      </c>
    </row>
    <row r="226" customHeight="1" spans="1:18">
      <c r="A226" s="86">
        <v>223</v>
      </c>
      <c r="B226" s="89" t="s">
        <v>592</v>
      </c>
      <c r="C226" s="90" t="s">
        <v>593</v>
      </c>
      <c r="D226" s="86">
        <v>79230</v>
      </c>
      <c r="E226" s="86">
        <v>35</v>
      </c>
      <c r="F226" s="86">
        <v>101</v>
      </c>
      <c r="G226" s="86">
        <v>0</v>
      </c>
      <c r="H226" s="86">
        <v>0</v>
      </c>
      <c r="I226" s="86">
        <v>0</v>
      </c>
      <c r="J226" s="86">
        <v>315</v>
      </c>
      <c r="K226" s="86">
        <v>315</v>
      </c>
      <c r="L226" s="103">
        <v>0</v>
      </c>
      <c r="M226" s="109">
        <v>0</v>
      </c>
      <c r="N226" s="93" t="s">
        <v>593</v>
      </c>
      <c r="O226" s="93">
        <v>3201</v>
      </c>
      <c r="P226" s="97">
        <v>0</v>
      </c>
      <c r="Q226" s="101">
        <v>0</v>
      </c>
      <c r="R226" s="100">
        <f t="shared" si="25"/>
        <v>315</v>
      </c>
    </row>
    <row r="227" customHeight="1" spans="1:18">
      <c r="A227" s="86">
        <v>224</v>
      </c>
      <c r="B227" s="89" t="s">
        <v>314</v>
      </c>
      <c r="C227" s="86" t="s">
        <v>594</v>
      </c>
      <c r="D227" s="86">
        <v>15123</v>
      </c>
      <c r="E227" s="86">
        <v>4</v>
      </c>
      <c r="F227" s="86">
        <v>103</v>
      </c>
      <c r="G227" s="86">
        <v>5</v>
      </c>
      <c r="H227" s="86">
        <v>0</v>
      </c>
      <c r="I227" s="86">
        <v>0</v>
      </c>
      <c r="J227" s="86">
        <v>50</v>
      </c>
      <c r="K227" s="86">
        <v>50</v>
      </c>
      <c r="L227" s="86">
        <v>0</v>
      </c>
      <c r="M227" s="86">
        <f>0.05*6*10000</f>
        <v>3000</v>
      </c>
      <c r="N227" s="93" t="s">
        <v>595</v>
      </c>
      <c r="O227" s="93"/>
      <c r="P227" s="93">
        <v>0</v>
      </c>
      <c r="Q227" s="93">
        <v>0</v>
      </c>
      <c r="R227" s="100">
        <v>0</v>
      </c>
    </row>
    <row r="228" customHeight="1" spans="1:18">
      <c r="A228" s="86">
        <v>225</v>
      </c>
      <c r="B228" s="89" t="s">
        <v>317</v>
      </c>
      <c r="C228" s="111" t="s">
        <v>596</v>
      </c>
      <c r="D228" s="86">
        <v>15124</v>
      </c>
      <c r="E228" s="86">
        <v>4</v>
      </c>
      <c r="F228" s="86">
        <v>103</v>
      </c>
      <c r="G228" s="86">
        <v>10</v>
      </c>
      <c r="H228" s="86">
        <v>0</v>
      </c>
      <c r="I228" s="86">
        <v>0</v>
      </c>
      <c r="J228" s="86">
        <v>2000</v>
      </c>
      <c r="K228" s="86">
        <v>2000</v>
      </c>
      <c r="L228" s="86">
        <v>0</v>
      </c>
      <c r="M228" s="86">
        <f>0.1*6*10000</f>
        <v>6000</v>
      </c>
      <c r="N228" s="93" t="s">
        <v>597</v>
      </c>
      <c r="O228" s="93"/>
      <c r="P228" s="93">
        <v>0</v>
      </c>
      <c r="Q228" s="93">
        <v>0</v>
      </c>
      <c r="R228" s="100">
        <v>0</v>
      </c>
    </row>
    <row r="229" customHeight="1" spans="1:18">
      <c r="A229" s="86">
        <v>226</v>
      </c>
      <c r="B229" s="89" t="s">
        <v>317</v>
      </c>
      <c r="C229" s="111" t="s">
        <v>596</v>
      </c>
      <c r="D229" s="86">
        <v>15125</v>
      </c>
      <c r="E229" s="86">
        <v>4</v>
      </c>
      <c r="F229" s="86">
        <v>103</v>
      </c>
      <c r="G229" s="86">
        <v>10</v>
      </c>
      <c r="H229" s="86">
        <v>0</v>
      </c>
      <c r="I229" s="86">
        <v>0</v>
      </c>
      <c r="J229" s="86">
        <v>3000</v>
      </c>
      <c r="K229" s="86">
        <v>3000</v>
      </c>
      <c r="L229" s="86">
        <v>0</v>
      </c>
      <c r="M229" s="86">
        <f>0.1*6*10000</f>
        <v>6000</v>
      </c>
      <c r="N229" s="93" t="s">
        <v>597</v>
      </c>
      <c r="O229" s="93"/>
      <c r="P229" s="93">
        <v>0</v>
      </c>
      <c r="Q229" s="93">
        <v>0</v>
      </c>
      <c r="R229" s="100">
        <v>0</v>
      </c>
    </row>
    <row r="230" customHeight="1" spans="1:18">
      <c r="A230" s="86">
        <v>227</v>
      </c>
      <c r="B230" s="89" t="s">
        <v>320</v>
      </c>
      <c r="C230" s="111" t="s">
        <v>598</v>
      </c>
      <c r="D230" s="86">
        <v>15126</v>
      </c>
      <c r="E230" s="86">
        <v>4</v>
      </c>
      <c r="F230" s="86">
        <v>103</v>
      </c>
      <c r="G230" s="86">
        <v>40</v>
      </c>
      <c r="H230" s="86">
        <v>0</v>
      </c>
      <c r="I230" s="86">
        <v>0</v>
      </c>
      <c r="J230" s="86">
        <v>16000</v>
      </c>
      <c r="K230" s="86">
        <v>16000</v>
      </c>
      <c r="L230" s="86">
        <v>0</v>
      </c>
      <c r="M230" s="86">
        <f>0.4*6*10000</f>
        <v>24000</v>
      </c>
      <c r="N230" s="93" t="s">
        <v>599</v>
      </c>
      <c r="O230" s="93"/>
      <c r="P230" s="93">
        <v>0</v>
      </c>
      <c r="Q230" s="93">
        <v>0</v>
      </c>
      <c r="R230" s="100">
        <v>0</v>
      </c>
    </row>
    <row r="231" customHeight="1" spans="1:18">
      <c r="A231" s="86">
        <v>228</v>
      </c>
      <c r="B231" s="89" t="s">
        <v>320</v>
      </c>
      <c r="C231" s="111" t="s">
        <v>598</v>
      </c>
      <c r="D231" s="86">
        <v>15127</v>
      </c>
      <c r="E231" s="86">
        <v>4</v>
      </c>
      <c r="F231" s="86">
        <v>103</v>
      </c>
      <c r="G231" s="86">
        <v>40</v>
      </c>
      <c r="H231" s="86">
        <v>0</v>
      </c>
      <c r="I231" s="86">
        <v>0</v>
      </c>
      <c r="J231" s="86">
        <v>20000</v>
      </c>
      <c r="K231" s="86">
        <v>20000</v>
      </c>
      <c r="L231" s="86">
        <v>0</v>
      </c>
      <c r="M231" s="86">
        <f>0.4*6*10000</f>
        <v>24000</v>
      </c>
      <c r="N231" s="93" t="s">
        <v>599</v>
      </c>
      <c r="O231" s="93"/>
      <c r="P231" s="93">
        <v>0</v>
      </c>
      <c r="Q231" s="93">
        <v>0</v>
      </c>
      <c r="R231" s="100">
        <v>0</v>
      </c>
    </row>
    <row r="232" customHeight="1" spans="1:18">
      <c r="A232" s="86">
        <v>229</v>
      </c>
      <c r="B232" s="89" t="s">
        <v>323</v>
      </c>
      <c r="C232" s="111" t="s">
        <v>600</v>
      </c>
      <c r="D232" s="86">
        <v>15128</v>
      </c>
      <c r="E232" s="86">
        <v>4</v>
      </c>
      <c r="F232" s="86">
        <v>103</v>
      </c>
      <c r="G232" s="86">
        <v>100</v>
      </c>
      <c r="H232" s="86">
        <v>0</v>
      </c>
      <c r="I232" s="86">
        <v>0</v>
      </c>
      <c r="J232" s="86">
        <v>50000</v>
      </c>
      <c r="K232" s="86">
        <v>50000</v>
      </c>
      <c r="L232" s="86">
        <v>0</v>
      </c>
      <c r="M232" s="86">
        <f>1*6*10000</f>
        <v>60000</v>
      </c>
      <c r="N232" s="93" t="s">
        <v>601</v>
      </c>
      <c r="O232" s="93"/>
      <c r="P232" s="93">
        <v>0</v>
      </c>
      <c r="Q232" s="93">
        <v>0</v>
      </c>
      <c r="R232" s="100">
        <v>0</v>
      </c>
    </row>
    <row r="233" customHeight="1" spans="1:18">
      <c r="A233" s="86">
        <v>230</v>
      </c>
      <c r="B233" s="89" t="s">
        <v>323</v>
      </c>
      <c r="C233" s="111" t="s">
        <v>600</v>
      </c>
      <c r="D233" s="86">
        <v>15129</v>
      </c>
      <c r="E233" s="86">
        <v>4</v>
      </c>
      <c r="F233" s="86">
        <v>103</v>
      </c>
      <c r="G233" s="86">
        <v>100</v>
      </c>
      <c r="H233" s="86">
        <v>0</v>
      </c>
      <c r="I233" s="86">
        <v>0</v>
      </c>
      <c r="J233" s="86">
        <v>60000</v>
      </c>
      <c r="K233" s="86">
        <v>60000</v>
      </c>
      <c r="L233" s="86">
        <v>0</v>
      </c>
      <c r="M233" s="86">
        <f>1*6*10000</f>
        <v>60000</v>
      </c>
      <c r="N233" s="93" t="s">
        <v>601</v>
      </c>
      <c r="O233" s="93"/>
      <c r="P233" s="93">
        <v>0</v>
      </c>
      <c r="Q233" s="93">
        <v>0</v>
      </c>
      <c r="R233" s="100">
        <v>0</v>
      </c>
    </row>
    <row r="234" customHeight="1" spans="1:18">
      <c r="A234" s="86">
        <v>231</v>
      </c>
      <c r="B234" s="89" t="s">
        <v>283</v>
      </c>
      <c r="C234" s="74" t="s">
        <v>284</v>
      </c>
      <c r="D234" s="74">
        <v>46032</v>
      </c>
      <c r="E234" s="74">
        <v>23</v>
      </c>
      <c r="F234" s="74">
        <v>1193</v>
      </c>
      <c r="G234" s="112">
        <v>5</v>
      </c>
      <c r="H234" s="86">
        <v>0</v>
      </c>
      <c r="I234" s="86">
        <v>0</v>
      </c>
      <c r="J234" s="86">
        <v>180</v>
      </c>
      <c r="K234" s="86">
        <v>0</v>
      </c>
      <c r="L234" s="86">
        <v>540</v>
      </c>
      <c r="M234" s="86">
        <f>J234</f>
        <v>180</v>
      </c>
      <c r="N234" s="93" t="s">
        <v>602</v>
      </c>
      <c r="O234" s="93"/>
      <c r="P234" s="93">
        <v>0</v>
      </c>
      <c r="Q234" s="93">
        <v>0</v>
      </c>
      <c r="R234" s="100">
        <v>0</v>
      </c>
    </row>
    <row r="235" customHeight="1" spans="1:18">
      <c r="A235" s="86">
        <v>232</v>
      </c>
      <c r="B235" s="89" t="s">
        <v>279</v>
      </c>
      <c r="C235" s="74" t="s">
        <v>280</v>
      </c>
      <c r="D235" s="74">
        <v>47029</v>
      </c>
      <c r="E235" s="74">
        <v>24</v>
      </c>
      <c r="F235" s="74">
        <v>1194</v>
      </c>
      <c r="G235" s="112">
        <v>4</v>
      </c>
      <c r="H235" s="86">
        <v>0</v>
      </c>
      <c r="I235" s="86">
        <v>0</v>
      </c>
      <c r="J235" s="86">
        <v>200</v>
      </c>
      <c r="K235" s="86">
        <v>0</v>
      </c>
      <c r="L235" s="86">
        <v>600</v>
      </c>
      <c r="M235" s="86">
        <f>J235</f>
        <v>200</v>
      </c>
      <c r="N235" s="93" t="s">
        <v>603</v>
      </c>
      <c r="O235" s="93"/>
      <c r="P235" s="93">
        <v>0</v>
      </c>
      <c r="Q235" s="93">
        <v>0</v>
      </c>
      <c r="R235" s="100">
        <v>0</v>
      </c>
    </row>
  </sheetData>
  <conditionalFormatting sqref="P3:Q3">
    <cfRule type="expression" dxfId="0" priority="11">
      <formula>P3&lt;&gt;AE3</formula>
    </cfRule>
  </conditionalFormatting>
  <conditionalFormatting sqref="P195">
    <cfRule type="expression" dxfId="0" priority="28">
      <formula>P195&lt;&gt;AE195</formula>
    </cfRule>
  </conditionalFormatting>
  <conditionalFormatting sqref="Q195">
    <cfRule type="expression" dxfId="0" priority="29">
      <formula>Q195&lt;&gt;AF195</formula>
    </cfRule>
  </conditionalFormatting>
  <conditionalFormatting sqref="P196">
    <cfRule type="expression" dxfId="0" priority="26">
      <formula>P196&lt;&gt;AE196</formula>
    </cfRule>
  </conditionalFormatting>
  <conditionalFormatting sqref="Q196">
    <cfRule type="expression" dxfId="0" priority="27">
      <formula>Q196&lt;&gt;AF196</formula>
    </cfRule>
  </conditionalFormatting>
  <conditionalFormatting sqref="P213">
    <cfRule type="expression" dxfId="0" priority="9">
      <formula>P213&lt;&gt;AE213</formula>
    </cfRule>
  </conditionalFormatting>
  <conditionalFormatting sqref="Q213">
    <cfRule type="expression" dxfId="0" priority="10">
      <formula>Q213&lt;&gt;AF213</formula>
    </cfRule>
  </conditionalFormatting>
  <conditionalFormatting sqref="P224">
    <cfRule type="expression" dxfId="0" priority="5">
      <formula>P224&lt;&gt;AE224</formula>
    </cfRule>
  </conditionalFormatting>
  <conditionalFormatting sqref="P225">
    <cfRule type="expression" dxfId="0" priority="3">
      <formula>P225&lt;&gt;AE225</formula>
    </cfRule>
  </conditionalFormatting>
  <conditionalFormatting sqref="P226">
    <cfRule type="expression" dxfId="0" priority="1">
      <formula>P226&lt;&gt;AE226</formula>
    </cfRule>
  </conditionalFormatting>
  <conditionalFormatting sqref="Q226">
    <cfRule type="expression" dxfId="0" priority="2">
      <formula>Q226&lt;&gt;AF226</formula>
    </cfRule>
  </conditionalFormatting>
  <conditionalFormatting sqref="P26:P194">
    <cfRule type="expression" dxfId="0" priority="34">
      <formula>P26&lt;&gt;AE26</formula>
    </cfRule>
  </conditionalFormatting>
  <conditionalFormatting sqref="P214:P223">
    <cfRule type="expression" dxfId="0" priority="7">
      <formula>P214&lt;&gt;AE214</formula>
    </cfRule>
  </conditionalFormatting>
  <conditionalFormatting sqref="Q26:Q194">
    <cfRule type="expression" dxfId="0" priority="35">
      <formula>Q26&lt;&gt;AF26</formula>
    </cfRule>
  </conditionalFormatting>
  <conditionalFormatting sqref="Q214:Q223">
    <cfRule type="expression" dxfId="0" priority="8">
      <formula>Q214&lt;&gt;AF214</formula>
    </cfRule>
  </conditionalFormatting>
  <conditionalFormatting sqref="Q224:Q225">
    <cfRule type="expression" dxfId="0" priority="6">
      <formula>Q224&lt;&gt;AF224</formula>
    </cfRule>
  </conditionalFormatting>
  <conditionalFormatting sqref="Q27 Q29 Q31 Q33 Q35 Q37">
    <cfRule type="expression" dxfId="0" priority="33">
      <formula>Q27&lt;&gt;AF27</formula>
    </cfRule>
  </conditionalFormatting>
  <pageMargins left="0.75" right="0.75" top="1" bottom="1" header="0.5" footer="0.5"/>
  <pageSetup paperSize="1" orientation="portrait"/>
  <headerFooter>
    <oddFooter>&amp;L&amp;"Helvetica,Regular"&amp;12&amp;K000000	&amp;P</oddFooter>
  </headerFooter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N178"/>
  <sheetViews>
    <sheetView workbookViewId="0">
      <pane xSplit="1" ySplit="3" topLeftCell="B4" activePane="bottomRight" state="frozen"/>
      <selection/>
      <selection pane="topRight"/>
      <selection pane="bottomLeft"/>
      <selection pane="bottomRight" activeCell="B5" sqref="B5:B12"/>
    </sheetView>
  </sheetViews>
  <sheetFormatPr defaultColWidth="6.59868421052632" defaultRowHeight="18" customHeight="1"/>
  <cols>
    <col min="1" max="1" width="23.6973684210526" style="40" customWidth="1"/>
    <col min="2" max="2" width="10.6973684210526" style="40" customWidth="1"/>
    <col min="3" max="3" width="11.0986842105263" style="40" customWidth="1"/>
    <col min="4" max="4" width="9.40131578947368" style="40" customWidth="1"/>
    <col min="5" max="5" width="10.4013157894737" style="40" customWidth="1"/>
    <col min="6" max="6" width="7.59868421052632" style="40" customWidth="1"/>
    <col min="7" max="7" width="10.4013157894737" style="40" customWidth="1"/>
    <col min="8" max="8" width="12.0986842105263" style="40" customWidth="1"/>
    <col min="9" max="9" width="14" style="40" customWidth="1"/>
    <col min="10" max="11" width="12.0986842105263" style="40" customWidth="1"/>
    <col min="12" max="12" width="12.5" style="40" customWidth="1"/>
    <col min="13" max="13" width="14.6973684210526" style="40" customWidth="1"/>
    <col min="14" max="14" width="16.5" style="40" customWidth="1"/>
  </cols>
  <sheetData>
    <row r="1" ht="23.1" customHeight="1" spans="1:14">
      <c r="A1" s="41" t="s">
        <v>604</v>
      </c>
      <c r="B1" s="41" t="s">
        <v>605</v>
      </c>
      <c r="C1" s="41" t="s">
        <v>606</v>
      </c>
      <c r="D1" s="41" t="s">
        <v>607</v>
      </c>
      <c r="E1" s="41" t="s">
        <v>608</v>
      </c>
      <c r="F1" s="41" t="s">
        <v>609</v>
      </c>
      <c r="G1" s="41" t="s">
        <v>610</v>
      </c>
      <c r="H1" s="41" t="s">
        <v>611</v>
      </c>
      <c r="I1" s="41" t="s">
        <v>612</v>
      </c>
      <c r="J1" s="41" t="s">
        <v>613</v>
      </c>
      <c r="K1" s="41" t="s">
        <v>614</v>
      </c>
      <c r="L1" s="41" t="s">
        <v>615</v>
      </c>
      <c r="M1" s="41" t="s">
        <v>616</v>
      </c>
      <c r="N1" s="41" t="s">
        <v>617</v>
      </c>
    </row>
    <row r="2" ht="23.1" customHeight="1" spans="1:14">
      <c r="A2" s="41" t="s">
        <v>172</v>
      </c>
      <c r="B2" s="41" t="s">
        <v>15</v>
      </c>
      <c r="C2" s="41" t="s">
        <v>15</v>
      </c>
      <c r="D2" s="41" t="s">
        <v>15</v>
      </c>
      <c r="E2" s="41" t="s">
        <v>15</v>
      </c>
      <c r="F2" s="41" t="s">
        <v>15</v>
      </c>
      <c r="G2" s="41" t="s">
        <v>15</v>
      </c>
      <c r="H2" s="41" t="s">
        <v>15</v>
      </c>
      <c r="I2" s="41" t="s">
        <v>173</v>
      </c>
      <c r="J2" s="41" t="s">
        <v>173</v>
      </c>
      <c r="K2" s="41" t="s">
        <v>15</v>
      </c>
      <c r="L2" s="41" t="s">
        <v>15</v>
      </c>
      <c r="M2" s="41" t="s">
        <v>15</v>
      </c>
      <c r="N2" s="41" t="s">
        <v>15</v>
      </c>
    </row>
    <row r="3" ht="23.1" customHeight="1" spans="1:14">
      <c r="A3" s="41" t="s">
        <v>618</v>
      </c>
      <c r="B3" s="41" t="s">
        <v>619</v>
      </c>
      <c r="C3" s="41" t="s">
        <v>620</v>
      </c>
      <c r="D3" s="41" t="s">
        <v>621</v>
      </c>
      <c r="E3" s="41" t="s">
        <v>622</v>
      </c>
      <c r="F3" s="41" t="s">
        <v>609</v>
      </c>
      <c r="G3" s="41" t="s">
        <v>623</v>
      </c>
      <c r="H3" s="41" t="s">
        <v>624</v>
      </c>
      <c r="I3" s="41" t="s">
        <v>625</v>
      </c>
      <c r="J3" s="41" t="s">
        <v>626</v>
      </c>
      <c r="K3" s="41" t="s">
        <v>627</v>
      </c>
      <c r="L3" s="41" t="s">
        <v>628</v>
      </c>
      <c r="M3" s="41" t="s">
        <v>629</v>
      </c>
      <c r="N3" s="83" t="s">
        <v>630</v>
      </c>
    </row>
    <row r="4" ht="23.1" customHeight="1" spans="1:14">
      <c r="A4" s="83" t="s">
        <v>631</v>
      </c>
      <c r="B4" s="41">
        <v>5101</v>
      </c>
      <c r="C4" s="41">
        <v>1</v>
      </c>
      <c r="D4" s="41">
        <v>25</v>
      </c>
      <c r="E4" s="41">
        <v>25</v>
      </c>
      <c r="F4" s="41">
        <v>0</v>
      </c>
      <c r="G4" s="41">
        <v>0</v>
      </c>
      <c r="H4" s="41">
        <v>1</v>
      </c>
      <c r="I4" s="41">
        <v>1.2</v>
      </c>
      <c r="J4" s="41">
        <v>0</v>
      </c>
      <c r="K4" s="41">
        <v>45</v>
      </c>
      <c r="L4" s="41">
        <v>2201</v>
      </c>
      <c r="M4" s="41" t="s">
        <v>632</v>
      </c>
      <c r="N4" s="41">
        <v>0</v>
      </c>
    </row>
    <row r="5" ht="23.1" customHeight="1" spans="1:14">
      <c r="A5" s="83" t="s">
        <v>631</v>
      </c>
      <c r="B5" s="41">
        <v>5101</v>
      </c>
      <c r="C5" s="41">
        <v>2</v>
      </c>
      <c r="D5" s="41">
        <v>26</v>
      </c>
      <c r="E5" s="41">
        <v>26</v>
      </c>
      <c r="F5" s="41">
        <v>0</v>
      </c>
      <c r="G5" s="41">
        <v>0</v>
      </c>
      <c r="H5" s="41">
        <v>1</v>
      </c>
      <c r="I5" s="41">
        <v>1.2</v>
      </c>
      <c r="J5" s="41">
        <v>0</v>
      </c>
      <c r="K5" s="41">
        <v>45</v>
      </c>
      <c r="L5" s="41">
        <v>2201</v>
      </c>
      <c r="M5" s="41" t="s">
        <v>632</v>
      </c>
      <c r="N5" s="41">
        <v>0</v>
      </c>
    </row>
    <row r="6" ht="23.1" customHeight="1" spans="1:14">
      <c r="A6" s="83" t="s">
        <v>631</v>
      </c>
      <c r="B6" s="41">
        <v>5101</v>
      </c>
      <c r="C6" s="41">
        <v>3</v>
      </c>
      <c r="D6" s="41">
        <v>27</v>
      </c>
      <c r="E6" s="41">
        <v>27</v>
      </c>
      <c r="F6" s="41">
        <v>0</v>
      </c>
      <c r="G6" s="41">
        <v>0</v>
      </c>
      <c r="H6" s="41">
        <v>1</v>
      </c>
      <c r="I6" s="41">
        <v>1.2</v>
      </c>
      <c r="J6" s="41">
        <v>0</v>
      </c>
      <c r="K6" s="41">
        <v>45</v>
      </c>
      <c r="L6" s="41">
        <v>2201</v>
      </c>
      <c r="M6" s="41" t="s">
        <v>632</v>
      </c>
      <c r="N6" s="41">
        <v>0</v>
      </c>
    </row>
    <row r="7" ht="23.1" customHeight="1" spans="1:14">
      <c r="A7" s="83" t="s">
        <v>631</v>
      </c>
      <c r="B7" s="41">
        <v>5101</v>
      </c>
      <c r="C7" s="41">
        <v>4</v>
      </c>
      <c r="D7" s="41">
        <v>28</v>
      </c>
      <c r="E7" s="41">
        <v>28</v>
      </c>
      <c r="F7" s="41">
        <v>0</v>
      </c>
      <c r="G7" s="41">
        <v>0</v>
      </c>
      <c r="H7" s="41">
        <v>1</v>
      </c>
      <c r="I7" s="41">
        <v>1.2</v>
      </c>
      <c r="J7" s="41">
        <v>0</v>
      </c>
      <c r="K7" s="41">
        <v>45</v>
      </c>
      <c r="L7" s="41">
        <v>2201</v>
      </c>
      <c r="M7" s="41" t="s">
        <v>632</v>
      </c>
      <c r="N7" s="41">
        <v>0</v>
      </c>
    </row>
    <row r="8" ht="23.1" customHeight="1" spans="1:14">
      <c r="A8" s="83" t="s">
        <v>631</v>
      </c>
      <c r="B8" s="41">
        <v>5101</v>
      </c>
      <c r="C8" s="41">
        <v>5</v>
      </c>
      <c r="D8" s="41">
        <v>29</v>
      </c>
      <c r="E8" s="41">
        <v>29</v>
      </c>
      <c r="F8" s="41">
        <v>0</v>
      </c>
      <c r="G8" s="41">
        <v>0</v>
      </c>
      <c r="H8" s="41">
        <v>1</v>
      </c>
      <c r="I8" s="41">
        <v>1.2</v>
      </c>
      <c r="J8" s="41">
        <v>0</v>
      </c>
      <c r="K8" s="41">
        <v>45</v>
      </c>
      <c r="L8" s="41">
        <v>2201</v>
      </c>
      <c r="M8" s="41" t="s">
        <v>632</v>
      </c>
      <c r="N8" s="41">
        <v>0</v>
      </c>
    </row>
    <row r="9" ht="23.1" customHeight="1" spans="1:14">
      <c r="A9" s="83" t="s">
        <v>631</v>
      </c>
      <c r="B9" s="41">
        <v>5101</v>
      </c>
      <c r="C9" s="41">
        <v>6</v>
      </c>
      <c r="D9" s="41">
        <v>30</v>
      </c>
      <c r="E9" s="41">
        <v>30</v>
      </c>
      <c r="F9" s="41">
        <v>0</v>
      </c>
      <c r="G9" s="41">
        <v>0</v>
      </c>
      <c r="H9" s="41">
        <v>1</v>
      </c>
      <c r="I9" s="41">
        <v>1.2</v>
      </c>
      <c r="J9" s="41">
        <v>0</v>
      </c>
      <c r="K9" s="41">
        <v>45</v>
      </c>
      <c r="L9" s="41">
        <v>2201</v>
      </c>
      <c r="M9" s="41" t="s">
        <v>632</v>
      </c>
      <c r="N9" s="41">
        <v>0</v>
      </c>
    </row>
    <row r="10" ht="23.1" customHeight="1" spans="1:14">
      <c r="A10" s="83" t="s">
        <v>631</v>
      </c>
      <c r="B10" s="41">
        <v>5101</v>
      </c>
      <c r="C10" s="41">
        <v>7</v>
      </c>
      <c r="D10" s="41">
        <v>31</v>
      </c>
      <c r="E10" s="41">
        <v>31</v>
      </c>
      <c r="F10" s="41">
        <v>0</v>
      </c>
      <c r="G10" s="41">
        <v>0</v>
      </c>
      <c r="H10" s="41">
        <v>1</v>
      </c>
      <c r="I10" s="41">
        <v>1.2</v>
      </c>
      <c r="J10" s="41">
        <v>0</v>
      </c>
      <c r="K10" s="41">
        <v>45</v>
      </c>
      <c r="L10" s="41">
        <v>2201</v>
      </c>
      <c r="M10" s="41" t="s">
        <v>632</v>
      </c>
      <c r="N10" s="41">
        <v>0</v>
      </c>
    </row>
    <row r="11" ht="23.1" customHeight="1" spans="1:14">
      <c r="A11" s="83" t="s">
        <v>631</v>
      </c>
      <c r="B11" s="41">
        <v>5101</v>
      </c>
      <c r="C11" s="41">
        <v>8</v>
      </c>
      <c r="D11" s="41">
        <v>32</v>
      </c>
      <c r="E11" s="41">
        <v>32</v>
      </c>
      <c r="F11" s="41">
        <v>0</v>
      </c>
      <c r="G11" s="41">
        <v>0</v>
      </c>
      <c r="H11" s="41">
        <v>1</v>
      </c>
      <c r="I11" s="41">
        <v>1.2</v>
      </c>
      <c r="J11" s="41">
        <v>0</v>
      </c>
      <c r="K11" s="41">
        <v>45</v>
      </c>
      <c r="L11" s="41">
        <v>2201</v>
      </c>
      <c r="M11" s="41" t="s">
        <v>632</v>
      </c>
      <c r="N11" s="41">
        <v>0</v>
      </c>
    </row>
    <row r="12" ht="23.1" customHeight="1" spans="1:14">
      <c r="A12" s="83" t="s">
        <v>631</v>
      </c>
      <c r="B12" s="41">
        <v>5101</v>
      </c>
      <c r="C12" s="41">
        <v>9</v>
      </c>
      <c r="D12" s="41">
        <v>33</v>
      </c>
      <c r="E12" s="41">
        <v>33</v>
      </c>
      <c r="F12" s="41">
        <v>0</v>
      </c>
      <c r="G12" s="41">
        <v>0</v>
      </c>
      <c r="H12" s="41">
        <v>1</v>
      </c>
      <c r="I12" s="41">
        <v>1.2</v>
      </c>
      <c r="J12" s="41">
        <v>0</v>
      </c>
      <c r="K12" s="41">
        <v>45</v>
      </c>
      <c r="L12" s="41">
        <v>2201</v>
      </c>
      <c r="M12" s="41" t="s">
        <v>632</v>
      </c>
      <c r="N12" s="41">
        <v>0</v>
      </c>
    </row>
    <row r="13" ht="23.1" customHeight="1" spans="1:14">
      <c r="A13" s="83" t="s">
        <v>631</v>
      </c>
      <c r="B13" s="41">
        <v>5101</v>
      </c>
      <c r="C13" s="41">
        <v>10</v>
      </c>
      <c r="D13" s="41">
        <v>34</v>
      </c>
      <c r="E13" s="41">
        <v>34</v>
      </c>
      <c r="F13" s="41">
        <v>0</v>
      </c>
      <c r="G13" s="41">
        <v>0</v>
      </c>
      <c r="H13" s="41">
        <v>1</v>
      </c>
      <c r="I13" s="41">
        <v>1.2</v>
      </c>
      <c r="J13" s="41">
        <v>0</v>
      </c>
      <c r="K13" s="41">
        <v>45</v>
      </c>
      <c r="L13" s="41">
        <v>2201</v>
      </c>
      <c r="M13" s="41" t="s">
        <v>632</v>
      </c>
      <c r="N13" s="41">
        <v>0</v>
      </c>
    </row>
    <row r="14" ht="23.1" customHeight="1" spans="1:14">
      <c r="A14" s="83" t="s">
        <v>631</v>
      </c>
      <c r="B14" s="41">
        <v>5101</v>
      </c>
      <c r="C14" s="41">
        <v>11</v>
      </c>
      <c r="D14" s="41">
        <v>35</v>
      </c>
      <c r="E14" s="41">
        <v>35</v>
      </c>
      <c r="F14" s="41">
        <v>0</v>
      </c>
      <c r="G14" s="41">
        <v>0</v>
      </c>
      <c r="H14" s="41">
        <v>1</v>
      </c>
      <c r="I14" s="41">
        <v>1.2</v>
      </c>
      <c r="J14" s="41">
        <v>0</v>
      </c>
      <c r="K14" s="41">
        <v>45</v>
      </c>
      <c r="L14" s="41">
        <v>2201</v>
      </c>
      <c r="M14" s="41" t="s">
        <v>632</v>
      </c>
      <c r="N14" s="41">
        <v>0</v>
      </c>
    </row>
    <row r="15" ht="23.1" customHeight="1" spans="1:14">
      <c r="A15" s="83" t="s">
        <v>631</v>
      </c>
      <c r="B15" s="41">
        <v>5101</v>
      </c>
      <c r="C15" s="41">
        <v>12</v>
      </c>
      <c r="D15" s="41">
        <v>36</v>
      </c>
      <c r="E15" s="41">
        <v>36</v>
      </c>
      <c r="F15" s="41">
        <v>0</v>
      </c>
      <c r="G15" s="41">
        <v>0</v>
      </c>
      <c r="H15" s="41">
        <v>1</v>
      </c>
      <c r="I15" s="41">
        <v>1.2</v>
      </c>
      <c r="J15" s="41">
        <v>0</v>
      </c>
      <c r="K15" s="41">
        <v>45</v>
      </c>
      <c r="L15" s="41">
        <v>2201</v>
      </c>
      <c r="M15" s="41" t="s">
        <v>632</v>
      </c>
      <c r="N15" s="41">
        <v>0</v>
      </c>
    </row>
    <row r="16" ht="23.1" customHeight="1" spans="1:14">
      <c r="A16" s="83" t="s">
        <v>631</v>
      </c>
      <c r="B16" s="41">
        <v>5101</v>
      </c>
      <c r="C16" s="41">
        <v>13</v>
      </c>
      <c r="D16" s="41">
        <v>37</v>
      </c>
      <c r="E16" s="41">
        <v>37</v>
      </c>
      <c r="F16" s="41">
        <v>0</v>
      </c>
      <c r="G16" s="41">
        <v>0</v>
      </c>
      <c r="H16" s="41">
        <v>1</v>
      </c>
      <c r="I16" s="41">
        <v>1.2</v>
      </c>
      <c r="J16" s="41">
        <v>0</v>
      </c>
      <c r="K16" s="41">
        <v>45</v>
      </c>
      <c r="L16" s="41">
        <v>2201</v>
      </c>
      <c r="M16" s="41" t="s">
        <v>632</v>
      </c>
      <c r="N16" s="41">
        <v>0</v>
      </c>
    </row>
    <row r="17" ht="23.1" customHeight="1" spans="1:14">
      <c r="A17" s="83" t="s">
        <v>631</v>
      </c>
      <c r="B17" s="41">
        <v>5101</v>
      </c>
      <c r="C17" s="41">
        <v>14</v>
      </c>
      <c r="D17" s="41">
        <v>38</v>
      </c>
      <c r="E17" s="41">
        <v>38</v>
      </c>
      <c r="F17" s="41">
        <v>0</v>
      </c>
      <c r="G17" s="41">
        <v>0</v>
      </c>
      <c r="H17" s="41">
        <v>1</v>
      </c>
      <c r="I17" s="41">
        <v>1.2</v>
      </c>
      <c r="J17" s="41">
        <v>0</v>
      </c>
      <c r="K17" s="41">
        <v>45</v>
      </c>
      <c r="L17" s="41">
        <v>2201</v>
      </c>
      <c r="M17" s="41" t="s">
        <v>632</v>
      </c>
      <c r="N17" s="41">
        <v>0</v>
      </c>
    </row>
    <row r="18" ht="23.1" customHeight="1" spans="1:14">
      <c r="A18" s="83" t="s">
        <v>631</v>
      </c>
      <c r="B18" s="41">
        <v>5101</v>
      </c>
      <c r="C18" s="41">
        <v>15</v>
      </c>
      <c r="D18" s="41">
        <v>39</v>
      </c>
      <c r="E18" s="41">
        <v>39</v>
      </c>
      <c r="F18" s="41">
        <v>0</v>
      </c>
      <c r="G18" s="41">
        <v>0</v>
      </c>
      <c r="H18" s="41">
        <v>1</v>
      </c>
      <c r="I18" s="41">
        <v>1.2</v>
      </c>
      <c r="J18" s="41">
        <v>0</v>
      </c>
      <c r="K18" s="41">
        <v>45</v>
      </c>
      <c r="L18" s="41">
        <v>2201</v>
      </c>
      <c r="M18" s="41" t="s">
        <v>632</v>
      </c>
      <c r="N18" s="41">
        <v>0</v>
      </c>
    </row>
    <row r="19" ht="23.1" customHeight="1" spans="1:14">
      <c r="A19" s="83" t="s">
        <v>631</v>
      </c>
      <c r="B19" s="41">
        <v>5101</v>
      </c>
      <c r="C19" s="41">
        <v>16</v>
      </c>
      <c r="D19" s="41">
        <v>40</v>
      </c>
      <c r="E19" s="41">
        <v>40</v>
      </c>
      <c r="F19" s="41">
        <v>0</v>
      </c>
      <c r="G19" s="41">
        <v>0</v>
      </c>
      <c r="H19" s="41">
        <v>1</v>
      </c>
      <c r="I19" s="41">
        <v>1.2</v>
      </c>
      <c r="J19" s="41">
        <v>0</v>
      </c>
      <c r="K19" s="41">
        <v>45</v>
      </c>
      <c r="L19" s="41">
        <v>2201</v>
      </c>
      <c r="M19" s="41" t="s">
        <v>632</v>
      </c>
      <c r="N19" s="41">
        <v>0</v>
      </c>
    </row>
    <row r="20" ht="23.1" customHeight="1" spans="1:14">
      <c r="A20" s="83" t="s">
        <v>631</v>
      </c>
      <c r="B20" s="41">
        <v>5101</v>
      </c>
      <c r="C20" s="41">
        <v>17</v>
      </c>
      <c r="D20" s="41">
        <v>41</v>
      </c>
      <c r="E20" s="41">
        <v>41</v>
      </c>
      <c r="F20" s="41">
        <v>0</v>
      </c>
      <c r="G20" s="41">
        <v>0</v>
      </c>
      <c r="H20" s="41">
        <v>1</v>
      </c>
      <c r="I20" s="41">
        <v>1.2</v>
      </c>
      <c r="J20" s="41">
        <v>0</v>
      </c>
      <c r="K20" s="41">
        <v>45</v>
      </c>
      <c r="L20" s="41">
        <v>2201</v>
      </c>
      <c r="M20" s="41" t="s">
        <v>632</v>
      </c>
      <c r="N20" s="41">
        <v>0</v>
      </c>
    </row>
    <row r="21" ht="23.1" customHeight="1" spans="1:14">
      <c r="A21" s="83" t="s">
        <v>631</v>
      </c>
      <c r="B21" s="41">
        <v>5101</v>
      </c>
      <c r="C21" s="41">
        <v>18</v>
      </c>
      <c r="D21" s="41">
        <v>42</v>
      </c>
      <c r="E21" s="41">
        <v>42</v>
      </c>
      <c r="F21" s="41">
        <v>0</v>
      </c>
      <c r="G21" s="41">
        <v>0</v>
      </c>
      <c r="H21" s="41">
        <v>1</v>
      </c>
      <c r="I21" s="41">
        <v>1.2</v>
      </c>
      <c r="J21" s="41">
        <v>0</v>
      </c>
      <c r="K21" s="41">
        <v>45</v>
      </c>
      <c r="L21" s="41">
        <v>2201</v>
      </c>
      <c r="M21" s="41" t="s">
        <v>632</v>
      </c>
      <c r="N21" s="41">
        <v>0</v>
      </c>
    </row>
    <row r="22" ht="23.1" customHeight="1" spans="1:14">
      <c r="A22" s="83" t="s">
        <v>631</v>
      </c>
      <c r="B22" s="41">
        <v>5101</v>
      </c>
      <c r="C22" s="41">
        <v>19</v>
      </c>
      <c r="D22" s="41">
        <v>43</v>
      </c>
      <c r="E22" s="41">
        <v>43</v>
      </c>
      <c r="F22" s="41">
        <v>0</v>
      </c>
      <c r="G22" s="41">
        <v>0</v>
      </c>
      <c r="H22" s="41">
        <v>1</v>
      </c>
      <c r="I22" s="41">
        <v>1.2</v>
      </c>
      <c r="J22" s="41">
        <v>0</v>
      </c>
      <c r="K22" s="41">
        <v>45</v>
      </c>
      <c r="L22" s="41">
        <v>2201</v>
      </c>
      <c r="M22" s="41" t="s">
        <v>632</v>
      </c>
      <c r="N22" s="41">
        <v>0</v>
      </c>
    </row>
    <row r="23" ht="23.1" customHeight="1" spans="1:14">
      <c r="A23" s="83" t="s">
        <v>631</v>
      </c>
      <c r="B23" s="41">
        <v>5101</v>
      </c>
      <c r="C23" s="41">
        <v>20</v>
      </c>
      <c r="D23" s="41">
        <v>44</v>
      </c>
      <c r="E23" s="41">
        <v>44</v>
      </c>
      <c r="F23" s="41">
        <v>0</v>
      </c>
      <c r="G23" s="41">
        <v>0</v>
      </c>
      <c r="H23" s="41">
        <v>1</v>
      </c>
      <c r="I23" s="41">
        <v>1.2</v>
      </c>
      <c r="J23" s="41">
        <v>0</v>
      </c>
      <c r="K23" s="41">
        <v>45</v>
      </c>
      <c r="L23" s="41">
        <v>2201</v>
      </c>
      <c r="M23" s="41" t="s">
        <v>632</v>
      </c>
      <c r="N23" s="41">
        <v>0</v>
      </c>
    </row>
    <row r="24" ht="23.1" customHeight="1" spans="1:14">
      <c r="A24" s="83" t="s">
        <v>631</v>
      </c>
      <c r="B24" s="41">
        <v>5101</v>
      </c>
      <c r="C24" s="41">
        <v>21</v>
      </c>
      <c r="D24" s="41">
        <v>45</v>
      </c>
      <c r="E24" s="41">
        <v>45</v>
      </c>
      <c r="F24" s="41">
        <v>0</v>
      </c>
      <c r="G24" s="41">
        <v>0</v>
      </c>
      <c r="H24" s="41">
        <v>1</v>
      </c>
      <c r="I24" s="41">
        <v>1.2</v>
      </c>
      <c r="J24" s="41">
        <v>0</v>
      </c>
      <c r="K24" s="41">
        <v>45</v>
      </c>
      <c r="L24" s="41">
        <v>2201</v>
      </c>
      <c r="M24" s="41" t="s">
        <v>632</v>
      </c>
      <c r="N24" s="41">
        <v>0</v>
      </c>
    </row>
    <row r="25" ht="23.1" customHeight="1" spans="1:14">
      <c r="A25" s="83" t="s">
        <v>631</v>
      </c>
      <c r="B25" s="41">
        <v>5101</v>
      </c>
      <c r="C25" s="41">
        <v>22</v>
      </c>
      <c r="D25" s="41">
        <v>46</v>
      </c>
      <c r="E25" s="41">
        <v>46</v>
      </c>
      <c r="F25" s="41">
        <v>0</v>
      </c>
      <c r="G25" s="41">
        <v>0</v>
      </c>
      <c r="H25" s="41">
        <v>1</v>
      </c>
      <c r="I25" s="41">
        <v>1.2</v>
      </c>
      <c r="J25" s="41">
        <v>0</v>
      </c>
      <c r="K25" s="41">
        <v>45</v>
      </c>
      <c r="L25" s="41">
        <v>2201</v>
      </c>
      <c r="M25" s="41" t="s">
        <v>632</v>
      </c>
      <c r="N25" s="41">
        <v>0</v>
      </c>
    </row>
    <row r="26" ht="23.1" customHeight="1" spans="1:14">
      <c r="A26" s="83" t="s">
        <v>631</v>
      </c>
      <c r="B26" s="41">
        <v>5101</v>
      </c>
      <c r="C26" s="41">
        <v>23</v>
      </c>
      <c r="D26" s="41">
        <v>47</v>
      </c>
      <c r="E26" s="41">
        <v>47</v>
      </c>
      <c r="F26" s="41">
        <v>0</v>
      </c>
      <c r="G26" s="41">
        <v>0</v>
      </c>
      <c r="H26" s="41">
        <v>1</v>
      </c>
      <c r="I26" s="41">
        <v>1.2</v>
      </c>
      <c r="J26" s="41">
        <v>0</v>
      </c>
      <c r="K26" s="41">
        <v>45</v>
      </c>
      <c r="L26" s="41">
        <v>2201</v>
      </c>
      <c r="M26" s="41" t="s">
        <v>632</v>
      </c>
      <c r="N26" s="41">
        <v>0</v>
      </c>
    </row>
    <row r="27" ht="23.1" customHeight="1" spans="1:14">
      <c r="A27" s="83" t="s">
        <v>631</v>
      </c>
      <c r="B27" s="41">
        <v>5101</v>
      </c>
      <c r="C27" s="41">
        <v>24</v>
      </c>
      <c r="D27" s="41">
        <v>48</v>
      </c>
      <c r="E27" s="41">
        <v>48</v>
      </c>
      <c r="F27" s="41">
        <v>0</v>
      </c>
      <c r="G27" s="41">
        <v>0</v>
      </c>
      <c r="H27" s="41">
        <v>1</v>
      </c>
      <c r="I27" s="41">
        <v>1.2</v>
      </c>
      <c r="J27" s="41">
        <v>0</v>
      </c>
      <c r="K27" s="41">
        <v>45</v>
      </c>
      <c r="L27" s="41">
        <v>2201</v>
      </c>
      <c r="M27" s="41" t="s">
        <v>632</v>
      </c>
      <c r="N27" s="41">
        <v>0</v>
      </c>
    </row>
    <row r="28" ht="23.1" customHeight="1" spans="1:14">
      <c r="A28" s="83" t="s">
        <v>631</v>
      </c>
      <c r="B28" s="41">
        <v>5101</v>
      </c>
      <c r="C28" s="41">
        <v>25</v>
      </c>
      <c r="D28" s="41">
        <v>50</v>
      </c>
      <c r="E28" s="41">
        <v>50</v>
      </c>
      <c r="F28" s="41">
        <v>0</v>
      </c>
      <c r="G28" s="41">
        <v>0</v>
      </c>
      <c r="H28" s="41">
        <v>1</v>
      </c>
      <c r="I28" s="41">
        <v>1.2</v>
      </c>
      <c r="J28" s="41">
        <v>0</v>
      </c>
      <c r="K28" s="41">
        <v>45</v>
      </c>
      <c r="L28" s="41">
        <v>2201</v>
      </c>
      <c r="M28" s="41" t="s">
        <v>632</v>
      </c>
      <c r="N28" s="41">
        <v>0</v>
      </c>
    </row>
    <row r="29" ht="23.1" customHeight="1" spans="1:14">
      <c r="A29" s="83" t="s">
        <v>633</v>
      </c>
      <c r="B29" s="41">
        <v>5103</v>
      </c>
      <c r="C29" s="41">
        <v>1</v>
      </c>
      <c r="D29" s="43">
        <v>24</v>
      </c>
      <c r="E29" s="43">
        <v>0</v>
      </c>
      <c r="F29" s="43">
        <v>0</v>
      </c>
      <c r="G29" s="43">
        <v>3</v>
      </c>
      <c r="H29" s="43">
        <v>8</v>
      </c>
      <c r="I29" s="43">
        <v>0.3</v>
      </c>
      <c r="J29" s="43">
        <v>0</v>
      </c>
      <c r="K29" s="41">
        <v>50</v>
      </c>
      <c r="L29" s="43">
        <v>2203</v>
      </c>
      <c r="M29" s="41" t="s">
        <v>632</v>
      </c>
      <c r="N29" s="41">
        <v>1</v>
      </c>
    </row>
    <row r="30" ht="23.1" customHeight="1" spans="1:14">
      <c r="A30" s="83" t="s">
        <v>633</v>
      </c>
      <c r="B30" s="41">
        <v>5103</v>
      </c>
      <c r="C30" s="41">
        <v>2</v>
      </c>
      <c r="D30" s="43">
        <v>27</v>
      </c>
      <c r="E30" s="43">
        <v>0</v>
      </c>
      <c r="F30" s="43">
        <v>0</v>
      </c>
      <c r="G30" s="43">
        <v>3</v>
      </c>
      <c r="H30" s="43">
        <v>9</v>
      </c>
      <c r="I30" s="43">
        <v>0.3</v>
      </c>
      <c r="J30" s="43">
        <v>0</v>
      </c>
      <c r="K30" s="41">
        <v>50</v>
      </c>
      <c r="L30" s="43">
        <v>2203</v>
      </c>
      <c r="M30" s="41" t="s">
        <v>632</v>
      </c>
      <c r="N30" s="41">
        <v>1</v>
      </c>
    </row>
    <row r="31" ht="23.1" customHeight="1" spans="1:14">
      <c r="A31" s="83" t="s">
        <v>633</v>
      </c>
      <c r="B31" s="41">
        <v>5103</v>
      </c>
      <c r="C31" s="41">
        <v>3</v>
      </c>
      <c r="D31" s="43">
        <v>30</v>
      </c>
      <c r="E31" s="43">
        <v>0</v>
      </c>
      <c r="F31" s="43">
        <v>0</v>
      </c>
      <c r="G31" s="43">
        <v>3</v>
      </c>
      <c r="H31" s="43">
        <v>10</v>
      </c>
      <c r="I31" s="43">
        <v>0.3</v>
      </c>
      <c r="J31" s="43">
        <v>0</v>
      </c>
      <c r="K31" s="41">
        <v>50</v>
      </c>
      <c r="L31" s="43">
        <v>2203</v>
      </c>
      <c r="M31" s="41" t="s">
        <v>632</v>
      </c>
      <c r="N31" s="41">
        <v>1</v>
      </c>
    </row>
    <row r="32" ht="23.1" customHeight="1" spans="1:14">
      <c r="A32" s="83" t="s">
        <v>633</v>
      </c>
      <c r="B32" s="41">
        <v>5103</v>
      </c>
      <c r="C32" s="41">
        <v>4</v>
      </c>
      <c r="D32" s="43">
        <v>30</v>
      </c>
      <c r="E32" s="43">
        <v>0</v>
      </c>
      <c r="F32" s="43">
        <v>0</v>
      </c>
      <c r="G32" s="43">
        <v>3</v>
      </c>
      <c r="H32" s="43">
        <v>10</v>
      </c>
      <c r="I32" s="43">
        <v>0.3</v>
      </c>
      <c r="J32" s="43">
        <v>0</v>
      </c>
      <c r="K32" s="41">
        <v>50</v>
      </c>
      <c r="L32" s="43">
        <v>2203</v>
      </c>
      <c r="M32" s="41" t="s">
        <v>632</v>
      </c>
      <c r="N32" s="41">
        <v>1</v>
      </c>
    </row>
    <row r="33" ht="23.1" customHeight="1" spans="1:14">
      <c r="A33" s="83" t="s">
        <v>633</v>
      </c>
      <c r="B33" s="41">
        <v>5103</v>
      </c>
      <c r="C33" s="41">
        <v>5</v>
      </c>
      <c r="D33" s="43">
        <v>33</v>
      </c>
      <c r="E33" s="43">
        <v>0</v>
      </c>
      <c r="F33" s="43">
        <v>0</v>
      </c>
      <c r="G33" s="43">
        <v>3</v>
      </c>
      <c r="H33" s="43">
        <v>11</v>
      </c>
      <c r="I33" s="43">
        <v>0.3</v>
      </c>
      <c r="J33" s="43">
        <v>0</v>
      </c>
      <c r="K33" s="41">
        <v>50</v>
      </c>
      <c r="L33" s="43">
        <v>2203</v>
      </c>
      <c r="M33" s="41" t="s">
        <v>632</v>
      </c>
      <c r="N33" s="41">
        <v>1</v>
      </c>
    </row>
    <row r="34" ht="23.1" customHeight="1" spans="1:14">
      <c r="A34" s="83" t="s">
        <v>633</v>
      </c>
      <c r="B34" s="41">
        <v>5103</v>
      </c>
      <c r="C34" s="41">
        <v>6</v>
      </c>
      <c r="D34" s="43">
        <v>36</v>
      </c>
      <c r="E34" s="43">
        <v>0</v>
      </c>
      <c r="F34" s="43">
        <v>0</v>
      </c>
      <c r="G34" s="43">
        <v>3</v>
      </c>
      <c r="H34" s="43">
        <v>12</v>
      </c>
      <c r="I34" s="43">
        <v>0.3</v>
      </c>
      <c r="J34" s="43">
        <v>0</v>
      </c>
      <c r="K34" s="41">
        <v>50</v>
      </c>
      <c r="L34" s="43">
        <v>2203</v>
      </c>
      <c r="M34" s="41" t="s">
        <v>632</v>
      </c>
      <c r="N34" s="41">
        <v>1</v>
      </c>
    </row>
    <row r="35" ht="23.1" customHeight="1" spans="1:14">
      <c r="A35" s="83" t="s">
        <v>633</v>
      </c>
      <c r="B35" s="41">
        <v>5103</v>
      </c>
      <c r="C35" s="41">
        <v>7</v>
      </c>
      <c r="D35" s="43">
        <v>39</v>
      </c>
      <c r="E35" s="43">
        <v>0</v>
      </c>
      <c r="F35" s="43">
        <v>0</v>
      </c>
      <c r="G35" s="43">
        <v>3</v>
      </c>
      <c r="H35" s="43">
        <v>13</v>
      </c>
      <c r="I35" s="43">
        <v>0.3</v>
      </c>
      <c r="J35" s="43">
        <v>0</v>
      </c>
      <c r="K35" s="41">
        <v>50</v>
      </c>
      <c r="L35" s="43">
        <v>2203</v>
      </c>
      <c r="M35" s="41" t="s">
        <v>632</v>
      </c>
      <c r="N35" s="41">
        <v>1</v>
      </c>
    </row>
    <row r="36" ht="23.1" customHeight="1" spans="1:14">
      <c r="A36" s="83" t="s">
        <v>633</v>
      </c>
      <c r="B36" s="41">
        <v>5103</v>
      </c>
      <c r="C36" s="41">
        <v>8</v>
      </c>
      <c r="D36" s="43">
        <v>42</v>
      </c>
      <c r="E36" s="43">
        <v>0</v>
      </c>
      <c r="F36" s="43">
        <v>0</v>
      </c>
      <c r="G36" s="43">
        <v>3</v>
      </c>
      <c r="H36" s="43">
        <v>14</v>
      </c>
      <c r="I36" s="43">
        <v>0.3</v>
      </c>
      <c r="J36" s="43">
        <v>0</v>
      </c>
      <c r="K36" s="41">
        <v>50</v>
      </c>
      <c r="L36" s="43">
        <v>2203</v>
      </c>
      <c r="M36" s="41" t="s">
        <v>632</v>
      </c>
      <c r="N36" s="41">
        <v>1</v>
      </c>
    </row>
    <row r="37" ht="23.1" customHeight="1" spans="1:14">
      <c r="A37" s="83" t="s">
        <v>633</v>
      </c>
      <c r="B37" s="41">
        <v>5103</v>
      </c>
      <c r="C37" s="41">
        <v>9</v>
      </c>
      <c r="D37" s="43">
        <v>42</v>
      </c>
      <c r="E37" s="43">
        <v>0</v>
      </c>
      <c r="F37" s="43">
        <v>0</v>
      </c>
      <c r="G37" s="43">
        <v>3</v>
      </c>
      <c r="H37" s="43">
        <v>14</v>
      </c>
      <c r="I37" s="43">
        <v>0.3</v>
      </c>
      <c r="J37" s="43">
        <v>0</v>
      </c>
      <c r="K37" s="41">
        <v>50</v>
      </c>
      <c r="L37" s="43">
        <v>2203</v>
      </c>
      <c r="M37" s="41" t="s">
        <v>632</v>
      </c>
      <c r="N37" s="41">
        <v>1</v>
      </c>
    </row>
    <row r="38" ht="23.1" customHeight="1" spans="1:14">
      <c r="A38" s="83" t="s">
        <v>633</v>
      </c>
      <c r="B38" s="41">
        <v>5103</v>
      </c>
      <c r="C38" s="41">
        <v>10</v>
      </c>
      <c r="D38" s="43">
        <v>45</v>
      </c>
      <c r="E38" s="43">
        <v>0</v>
      </c>
      <c r="F38" s="43">
        <v>0</v>
      </c>
      <c r="G38" s="43">
        <v>3</v>
      </c>
      <c r="H38" s="43">
        <v>15</v>
      </c>
      <c r="I38" s="43">
        <v>0.3</v>
      </c>
      <c r="J38" s="43">
        <v>0</v>
      </c>
      <c r="K38" s="41">
        <v>50</v>
      </c>
      <c r="L38" s="43">
        <v>2203</v>
      </c>
      <c r="M38" s="41" t="s">
        <v>632</v>
      </c>
      <c r="N38" s="41">
        <v>1</v>
      </c>
    </row>
    <row r="39" ht="23.1" customHeight="1" spans="1:14">
      <c r="A39" s="83" t="s">
        <v>633</v>
      </c>
      <c r="B39" s="41">
        <v>5103</v>
      </c>
      <c r="C39" s="41">
        <v>11</v>
      </c>
      <c r="D39" s="43">
        <v>48</v>
      </c>
      <c r="E39" s="43">
        <v>0</v>
      </c>
      <c r="F39" s="43">
        <v>0</v>
      </c>
      <c r="G39" s="43">
        <v>3</v>
      </c>
      <c r="H39" s="43">
        <v>16</v>
      </c>
      <c r="I39" s="43">
        <v>0.3</v>
      </c>
      <c r="J39" s="43">
        <v>0</v>
      </c>
      <c r="K39" s="41">
        <v>50</v>
      </c>
      <c r="L39" s="43">
        <v>2203</v>
      </c>
      <c r="M39" s="41" t="s">
        <v>632</v>
      </c>
      <c r="N39" s="41">
        <v>1</v>
      </c>
    </row>
    <row r="40" ht="23.1" customHeight="1" spans="1:14">
      <c r="A40" s="83" t="s">
        <v>633</v>
      </c>
      <c r="B40" s="41">
        <v>5103</v>
      </c>
      <c r="C40" s="41">
        <v>12</v>
      </c>
      <c r="D40" s="43">
        <v>51</v>
      </c>
      <c r="E40" s="43">
        <v>0</v>
      </c>
      <c r="F40" s="43">
        <v>0</v>
      </c>
      <c r="G40" s="43">
        <v>3</v>
      </c>
      <c r="H40" s="43">
        <v>17</v>
      </c>
      <c r="I40" s="43">
        <v>0.3</v>
      </c>
      <c r="J40" s="43">
        <v>0</v>
      </c>
      <c r="K40" s="41">
        <v>50</v>
      </c>
      <c r="L40" s="43">
        <v>2203</v>
      </c>
      <c r="M40" s="41" t="s">
        <v>632</v>
      </c>
      <c r="N40" s="41">
        <v>1</v>
      </c>
    </row>
    <row r="41" ht="23.1" customHeight="1" spans="1:14">
      <c r="A41" s="83" t="s">
        <v>633</v>
      </c>
      <c r="B41" s="41">
        <v>5103</v>
      </c>
      <c r="C41" s="41">
        <v>13</v>
      </c>
      <c r="D41" s="43">
        <v>54</v>
      </c>
      <c r="E41" s="43">
        <v>0</v>
      </c>
      <c r="F41" s="43">
        <v>0</v>
      </c>
      <c r="G41" s="43">
        <v>3</v>
      </c>
      <c r="H41" s="43">
        <v>18</v>
      </c>
      <c r="I41" s="43">
        <v>0.3</v>
      </c>
      <c r="J41" s="43">
        <v>0</v>
      </c>
      <c r="K41" s="41">
        <v>50</v>
      </c>
      <c r="L41" s="43">
        <v>2203</v>
      </c>
      <c r="M41" s="41" t="s">
        <v>632</v>
      </c>
      <c r="N41" s="41">
        <v>1</v>
      </c>
    </row>
    <row r="42" ht="23.1" customHeight="1" spans="1:14">
      <c r="A42" s="83" t="s">
        <v>633</v>
      </c>
      <c r="B42" s="41">
        <v>5103</v>
      </c>
      <c r="C42" s="41">
        <v>14</v>
      </c>
      <c r="D42" s="43">
        <v>54</v>
      </c>
      <c r="E42" s="43">
        <v>0</v>
      </c>
      <c r="F42" s="43">
        <v>0</v>
      </c>
      <c r="G42" s="43">
        <v>3</v>
      </c>
      <c r="H42" s="43">
        <v>18</v>
      </c>
      <c r="I42" s="43">
        <v>0.3</v>
      </c>
      <c r="J42" s="43">
        <v>0</v>
      </c>
      <c r="K42" s="41">
        <v>50</v>
      </c>
      <c r="L42" s="43">
        <v>2203</v>
      </c>
      <c r="M42" s="41" t="s">
        <v>632</v>
      </c>
      <c r="N42" s="41">
        <v>1</v>
      </c>
    </row>
    <row r="43" ht="23.1" customHeight="1" spans="1:14">
      <c r="A43" s="83" t="s">
        <v>633</v>
      </c>
      <c r="B43" s="41">
        <v>5103</v>
      </c>
      <c r="C43" s="41">
        <v>15</v>
      </c>
      <c r="D43" s="43">
        <v>57</v>
      </c>
      <c r="E43" s="43">
        <v>0</v>
      </c>
      <c r="F43" s="43">
        <v>0</v>
      </c>
      <c r="G43" s="43">
        <v>3</v>
      </c>
      <c r="H43" s="43">
        <v>19</v>
      </c>
      <c r="I43" s="43">
        <v>0.3</v>
      </c>
      <c r="J43" s="43">
        <v>0</v>
      </c>
      <c r="K43" s="41">
        <v>50</v>
      </c>
      <c r="L43" s="43">
        <v>2203</v>
      </c>
      <c r="M43" s="41" t="s">
        <v>632</v>
      </c>
      <c r="N43" s="41">
        <v>1</v>
      </c>
    </row>
    <row r="44" ht="23.1" customHeight="1" spans="1:14">
      <c r="A44" s="83" t="s">
        <v>633</v>
      </c>
      <c r="B44" s="41">
        <v>5103</v>
      </c>
      <c r="C44" s="41">
        <v>16</v>
      </c>
      <c r="D44" s="43">
        <v>60</v>
      </c>
      <c r="E44" s="43">
        <v>0</v>
      </c>
      <c r="F44" s="43">
        <v>0</v>
      </c>
      <c r="G44" s="43">
        <v>3</v>
      </c>
      <c r="H44" s="43">
        <v>20</v>
      </c>
      <c r="I44" s="43">
        <v>0.3</v>
      </c>
      <c r="J44" s="43">
        <v>0</v>
      </c>
      <c r="K44" s="41">
        <v>50</v>
      </c>
      <c r="L44" s="43">
        <v>2203</v>
      </c>
      <c r="M44" s="41" t="s">
        <v>632</v>
      </c>
      <c r="N44" s="41">
        <v>1</v>
      </c>
    </row>
    <row r="45" ht="23.1" customHeight="1" spans="1:14">
      <c r="A45" s="83" t="s">
        <v>633</v>
      </c>
      <c r="B45" s="41">
        <v>5103</v>
      </c>
      <c r="C45" s="41">
        <v>17</v>
      </c>
      <c r="D45" s="43">
        <v>63</v>
      </c>
      <c r="E45" s="43">
        <v>0</v>
      </c>
      <c r="F45" s="43">
        <v>0</v>
      </c>
      <c r="G45" s="43">
        <v>3</v>
      </c>
      <c r="H45" s="43">
        <v>21</v>
      </c>
      <c r="I45" s="43">
        <v>0.3</v>
      </c>
      <c r="J45" s="43">
        <v>0</v>
      </c>
      <c r="K45" s="41">
        <v>50</v>
      </c>
      <c r="L45" s="43">
        <v>2203</v>
      </c>
      <c r="M45" s="41" t="s">
        <v>632</v>
      </c>
      <c r="N45" s="41">
        <v>1</v>
      </c>
    </row>
    <row r="46" ht="23.1" customHeight="1" spans="1:14">
      <c r="A46" s="83" t="s">
        <v>633</v>
      </c>
      <c r="B46" s="41">
        <v>5103</v>
      </c>
      <c r="C46" s="41">
        <v>18</v>
      </c>
      <c r="D46" s="43">
        <v>66</v>
      </c>
      <c r="E46" s="43">
        <v>0</v>
      </c>
      <c r="F46" s="43">
        <v>0</v>
      </c>
      <c r="G46" s="43">
        <v>3</v>
      </c>
      <c r="H46" s="43">
        <v>22</v>
      </c>
      <c r="I46" s="43">
        <v>0.3</v>
      </c>
      <c r="J46" s="43">
        <v>0</v>
      </c>
      <c r="K46" s="41">
        <v>50</v>
      </c>
      <c r="L46" s="43">
        <v>2203</v>
      </c>
      <c r="M46" s="41" t="s">
        <v>632</v>
      </c>
      <c r="N46" s="41">
        <v>1</v>
      </c>
    </row>
    <row r="47" ht="23.1" customHeight="1" spans="1:14">
      <c r="A47" s="83" t="s">
        <v>633</v>
      </c>
      <c r="B47" s="41">
        <v>5103</v>
      </c>
      <c r="C47" s="41">
        <v>19</v>
      </c>
      <c r="D47" s="43">
        <v>69</v>
      </c>
      <c r="E47" s="43">
        <v>0</v>
      </c>
      <c r="F47" s="43">
        <v>0</v>
      </c>
      <c r="G47" s="43">
        <v>3</v>
      </c>
      <c r="H47" s="43">
        <v>23</v>
      </c>
      <c r="I47" s="43">
        <v>0.3</v>
      </c>
      <c r="J47" s="43">
        <v>0</v>
      </c>
      <c r="K47" s="41">
        <v>50</v>
      </c>
      <c r="L47" s="43">
        <v>2203</v>
      </c>
      <c r="M47" s="41" t="s">
        <v>632</v>
      </c>
      <c r="N47" s="41">
        <v>1</v>
      </c>
    </row>
    <row r="48" ht="23.1" customHeight="1" spans="1:14">
      <c r="A48" s="83" t="s">
        <v>633</v>
      </c>
      <c r="B48" s="41">
        <v>5103</v>
      </c>
      <c r="C48" s="41">
        <v>20</v>
      </c>
      <c r="D48" s="43">
        <v>72</v>
      </c>
      <c r="E48" s="43">
        <v>0</v>
      </c>
      <c r="F48" s="43">
        <v>0</v>
      </c>
      <c r="G48" s="43">
        <v>3</v>
      </c>
      <c r="H48" s="43">
        <v>24</v>
      </c>
      <c r="I48" s="43">
        <v>0.3</v>
      </c>
      <c r="J48" s="43">
        <v>0</v>
      </c>
      <c r="K48" s="41">
        <v>50</v>
      </c>
      <c r="L48" s="43">
        <v>2203</v>
      </c>
      <c r="M48" s="41" t="s">
        <v>632</v>
      </c>
      <c r="N48" s="41">
        <v>1</v>
      </c>
    </row>
    <row r="49" ht="23.1" customHeight="1" spans="1:14">
      <c r="A49" s="83" t="s">
        <v>633</v>
      </c>
      <c r="B49" s="41">
        <v>5103</v>
      </c>
      <c r="C49" s="41">
        <v>21</v>
      </c>
      <c r="D49" s="43">
        <v>75</v>
      </c>
      <c r="E49" s="43">
        <v>0</v>
      </c>
      <c r="F49" s="43">
        <v>0</v>
      </c>
      <c r="G49" s="43">
        <v>3</v>
      </c>
      <c r="H49" s="43">
        <v>25</v>
      </c>
      <c r="I49" s="43">
        <v>0.3</v>
      </c>
      <c r="J49" s="43">
        <v>0</v>
      </c>
      <c r="K49" s="41">
        <v>50</v>
      </c>
      <c r="L49" s="43">
        <v>2203</v>
      </c>
      <c r="M49" s="41" t="s">
        <v>632</v>
      </c>
      <c r="N49" s="41">
        <v>1</v>
      </c>
    </row>
    <row r="50" ht="23.1" customHeight="1" spans="1:14">
      <c r="A50" s="83" t="s">
        <v>633</v>
      </c>
      <c r="B50" s="41">
        <v>5103</v>
      </c>
      <c r="C50" s="41">
        <v>22</v>
      </c>
      <c r="D50" s="43">
        <v>78</v>
      </c>
      <c r="E50" s="43">
        <v>0</v>
      </c>
      <c r="F50" s="43">
        <v>0</v>
      </c>
      <c r="G50" s="43">
        <v>3</v>
      </c>
      <c r="H50" s="43">
        <v>26</v>
      </c>
      <c r="I50" s="43">
        <v>0.3</v>
      </c>
      <c r="J50" s="43">
        <v>0</v>
      </c>
      <c r="K50" s="41">
        <v>50</v>
      </c>
      <c r="L50" s="43">
        <v>2203</v>
      </c>
      <c r="M50" s="41" t="s">
        <v>632</v>
      </c>
      <c r="N50" s="41">
        <v>1</v>
      </c>
    </row>
    <row r="51" ht="23.1" customHeight="1" spans="1:14">
      <c r="A51" s="83" t="s">
        <v>633</v>
      </c>
      <c r="B51" s="41">
        <v>5103</v>
      </c>
      <c r="C51" s="41">
        <v>23</v>
      </c>
      <c r="D51" s="43">
        <v>81</v>
      </c>
      <c r="E51" s="43">
        <v>0</v>
      </c>
      <c r="F51" s="43">
        <v>0</v>
      </c>
      <c r="G51" s="43">
        <v>3</v>
      </c>
      <c r="H51" s="43">
        <v>27</v>
      </c>
      <c r="I51" s="43">
        <v>0.3</v>
      </c>
      <c r="J51" s="43">
        <v>0</v>
      </c>
      <c r="K51" s="41">
        <v>50</v>
      </c>
      <c r="L51" s="43">
        <v>2203</v>
      </c>
      <c r="M51" s="41" t="s">
        <v>632</v>
      </c>
      <c r="N51" s="41">
        <v>1</v>
      </c>
    </row>
    <row r="52" ht="23.1" customHeight="1" spans="1:14">
      <c r="A52" s="83" t="s">
        <v>633</v>
      </c>
      <c r="B52" s="41">
        <v>5103</v>
      </c>
      <c r="C52" s="41">
        <v>24</v>
      </c>
      <c r="D52" s="43">
        <v>84</v>
      </c>
      <c r="E52" s="43">
        <v>0</v>
      </c>
      <c r="F52" s="43">
        <v>0</v>
      </c>
      <c r="G52" s="43">
        <v>3</v>
      </c>
      <c r="H52" s="43">
        <v>28</v>
      </c>
      <c r="I52" s="43">
        <v>0.3</v>
      </c>
      <c r="J52" s="43">
        <v>0</v>
      </c>
      <c r="K52" s="41">
        <v>50</v>
      </c>
      <c r="L52" s="43">
        <v>2203</v>
      </c>
      <c r="M52" s="41" t="s">
        <v>632</v>
      </c>
      <c r="N52" s="41">
        <v>1</v>
      </c>
    </row>
    <row r="53" ht="23.1" customHeight="1" spans="1:14">
      <c r="A53" s="83" t="s">
        <v>633</v>
      </c>
      <c r="B53" s="41">
        <v>5103</v>
      </c>
      <c r="C53" s="41">
        <v>25</v>
      </c>
      <c r="D53" s="43">
        <v>90</v>
      </c>
      <c r="E53" s="43">
        <v>0</v>
      </c>
      <c r="F53" s="43">
        <v>0</v>
      </c>
      <c r="G53" s="43">
        <v>3</v>
      </c>
      <c r="H53" s="43">
        <v>30</v>
      </c>
      <c r="I53" s="43">
        <v>0.3</v>
      </c>
      <c r="J53" s="43">
        <v>0</v>
      </c>
      <c r="K53" s="41">
        <v>50</v>
      </c>
      <c r="L53" s="43">
        <v>2203</v>
      </c>
      <c r="M53" s="41" t="s">
        <v>632</v>
      </c>
      <c r="N53" s="41">
        <v>1</v>
      </c>
    </row>
    <row r="54" ht="23.1" customHeight="1" spans="1:14">
      <c r="A54" s="83" t="s">
        <v>634</v>
      </c>
      <c r="B54" s="41">
        <v>5105</v>
      </c>
      <c r="C54" s="41">
        <v>1</v>
      </c>
      <c r="D54" s="43">
        <v>20</v>
      </c>
      <c r="E54" s="43">
        <v>2</v>
      </c>
      <c r="F54" s="43">
        <v>0</v>
      </c>
      <c r="G54" s="43">
        <v>0</v>
      </c>
      <c r="H54" s="43">
        <v>10</v>
      </c>
      <c r="I54" s="43">
        <v>0.33</v>
      </c>
      <c r="J54" s="43">
        <v>0</v>
      </c>
      <c r="K54" s="41">
        <v>60</v>
      </c>
      <c r="L54" s="43">
        <v>2205</v>
      </c>
      <c r="M54" s="41" t="s">
        <v>632</v>
      </c>
      <c r="N54" s="41">
        <v>1</v>
      </c>
    </row>
    <row r="55" ht="23.1" customHeight="1" spans="1:14">
      <c r="A55" s="83" t="s">
        <v>634</v>
      </c>
      <c r="B55" s="41">
        <v>5105</v>
      </c>
      <c r="C55" s="41">
        <v>2</v>
      </c>
      <c r="D55" s="43">
        <v>22</v>
      </c>
      <c r="E55" s="43">
        <v>2</v>
      </c>
      <c r="F55" s="43">
        <v>0</v>
      </c>
      <c r="G55" s="43">
        <v>0</v>
      </c>
      <c r="H55" s="43">
        <v>11</v>
      </c>
      <c r="I55" s="43">
        <v>0.33</v>
      </c>
      <c r="J55" s="43">
        <v>0</v>
      </c>
      <c r="K55" s="41">
        <v>60</v>
      </c>
      <c r="L55" s="43">
        <v>2205</v>
      </c>
      <c r="M55" s="41" t="s">
        <v>632</v>
      </c>
      <c r="N55" s="41">
        <v>1</v>
      </c>
    </row>
    <row r="56" ht="23.1" customHeight="1" spans="1:14">
      <c r="A56" s="83" t="s">
        <v>634</v>
      </c>
      <c r="B56" s="41">
        <v>5105</v>
      </c>
      <c r="C56" s="41">
        <v>3</v>
      </c>
      <c r="D56" s="43">
        <v>24</v>
      </c>
      <c r="E56" s="43">
        <v>2</v>
      </c>
      <c r="F56" s="43">
        <v>0</v>
      </c>
      <c r="G56" s="43">
        <v>0</v>
      </c>
      <c r="H56" s="43">
        <v>12</v>
      </c>
      <c r="I56" s="43">
        <v>0.33</v>
      </c>
      <c r="J56" s="43">
        <v>0</v>
      </c>
      <c r="K56" s="41">
        <v>60</v>
      </c>
      <c r="L56" s="43">
        <v>2205</v>
      </c>
      <c r="M56" s="41" t="s">
        <v>632</v>
      </c>
      <c r="N56" s="41">
        <v>1</v>
      </c>
    </row>
    <row r="57" ht="23.1" customHeight="1" spans="1:14">
      <c r="A57" s="83" t="s">
        <v>634</v>
      </c>
      <c r="B57" s="41">
        <v>5105</v>
      </c>
      <c r="C57" s="41">
        <v>4</v>
      </c>
      <c r="D57" s="43">
        <v>26</v>
      </c>
      <c r="E57" s="43">
        <v>2</v>
      </c>
      <c r="F57" s="43">
        <v>0</v>
      </c>
      <c r="G57" s="43">
        <v>0</v>
      </c>
      <c r="H57" s="43">
        <v>13</v>
      </c>
      <c r="I57" s="43">
        <v>0.33</v>
      </c>
      <c r="J57" s="43">
        <v>0</v>
      </c>
      <c r="K57" s="41">
        <v>60</v>
      </c>
      <c r="L57" s="43">
        <v>2205</v>
      </c>
      <c r="M57" s="41" t="s">
        <v>632</v>
      </c>
      <c r="N57" s="41">
        <v>1</v>
      </c>
    </row>
    <row r="58" ht="23.1" customHeight="1" spans="1:14">
      <c r="A58" s="83" t="s">
        <v>634</v>
      </c>
      <c r="B58" s="41">
        <v>5105</v>
      </c>
      <c r="C58" s="41">
        <v>5</v>
      </c>
      <c r="D58" s="43">
        <v>28</v>
      </c>
      <c r="E58" s="43">
        <v>2</v>
      </c>
      <c r="F58" s="43">
        <v>0</v>
      </c>
      <c r="G58" s="43">
        <v>0</v>
      </c>
      <c r="H58" s="43">
        <v>14</v>
      </c>
      <c r="I58" s="43">
        <v>0.33</v>
      </c>
      <c r="J58" s="43">
        <v>0</v>
      </c>
      <c r="K58" s="41">
        <v>60</v>
      </c>
      <c r="L58" s="43">
        <v>2205</v>
      </c>
      <c r="M58" s="41" t="s">
        <v>632</v>
      </c>
      <c r="N58" s="41">
        <v>1</v>
      </c>
    </row>
    <row r="59" ht="23.1" customHeight="1" spans="1:14">
      <c r="A59" s="83" t="s">
        <v>634</v>
      </c>
      <c r="B59" s="41">
        <v>5105</v>
      </c>
      <c r="C59" s="41">
        <v>6</v>
      </c>
      <c r="D59" s="43">
        <v>30</v>
      </c>
      <c r="E59" s="43">
        <v>2</v>
      </c>
      <c r="F59" s="43">
        <v>0</v>
      </c>
      <c r="G59" s="43">
        <v>0</v>
      </c>
      <c r="H59" s="43">
        <v>15</v>
      </c>
      <c r="I59" s="43">
        <v>0.33</v>
      </c>
      <c r="J59" s="43">
        <v>0</v>
      </c>
      <c r="K59" s="41">
        <v>60</v>
      </c>
      <c r="L59" s="43">
        <v>2205</v>
      </c>
      <c r="M59" s="41" t="s">
        <v>632</v>
      </c>
      <c r="N59" s="41">
        <v>1</v>
      </c>
    </row>
    <row r="60" ht="23.1" customHeight="1" spans="1:14">
      <c r="A60" s="83" t="s">
        <v>634</v>
      </c>
      <c r="B60" s="41">
        <v>5105</v>
      </c>
      <c r="C60" s="41">
        <v>7</v>
      </c>
      <c r="D60" s="43">
        <v>32</v>
      </c>
      <c r="E60" s="43">
        <v>2</v>
      </c>
      <c r="F60" s="43">
        <v>0</v>
      </c>
      <c r="G60" s="43">
        <v>0</v>
      </c>
      <c r="H60" s="43">
        <v>16</v>
      </c>
      <c r="I60" s="43">
        <v>0.33</v>
      </c>
      <c r="J60" s="43">
        <v>0</v>
      </c>
      <c r="K60" s="41">
        <v>60</v>
      </c>
      <c r="L60" s="43">
        <v>2205</v>
      </c>
      <c r="M60" s="41" t="s">
        <v>632</v>
      </c>
      <c r="N60" s="41">
        <v>1</v>
      </c>
    </row>
    <row r="61" ht="23.1" customHeight="1" spans="1:14">
      <c r="A61" s="83" t="s">
        <v>634</v>
      </c>
      <c r="B61" s="41">
        <v>5105</v>
      </c>
      <c r="C61" s="41">
        <v>8</v>
      </c>
      <c r="D61" s="43">
        <v>34</v>
      </c>
      <c r="E61" s="43">
        <v>2</v>
      </c>
      <c r="F61" s="43">
        <v>0</v>
      </c>
      <c r="G61" s="43">
        <v>0</v>
      </c>
      <c r="H61" s="43">
        <v>17</v>
      </c>
      <c r="I61" s="43">
        <v>0.33</v>
      </c>
      <c r="J61" s="43">
        <v>0</v>
      </c>
      <c r="K61" s="41">
        <v>60</v>
      </c>
      <c r="L61" s="43">
        <v>2205</v>
      </c>
      <c r="M61" s="41" t="s">
        <v>632</v>
      </c>
      <c r="N61" s="41">
        <v>1</v>
      </c>
    </row>
    <row r="62" ht="23.1" customHeight="1" spans="1:14">
      <c r="A62" s="83" t="s">
        <v>634</v>
      </c>
      <c r="B62" s="41">
        <v>5105</v>
      </c>
      <c r="C62" s="41">
        <v>9</v>
      </c>
      <c r="D62" s="43">
        <v>36</v>
      </c>
      <c r="E62" s="43">
        <v>2</v>
      </c>
      <c r="F62" s="43">
        <v>0</v>
      </c>
      <c r="G62" s="43">
        <v>0</v>
      </c>
      <c r="H62" s="43">
        <v>18</v>
      </c>
      <c r="I62" s="43">
        <v>0.33</v>
      </c>
      <c r="J62" s="43">
        <v>0</v>
      </c>
      <c r="K62" s="41">
        <v>60</v>
      </c>
      <c r="L62" s="43">
        <v>2205</v>
      </c>
      <c r="M62" s="41" t="s">
        <v>632</v>
      </c>
      <c r="N62" s="41">
        <v>1</v>
      </c>
    </row>
    <row r="63" ht="23.1" customHeight="1" spans="1:14">
      <c r="A63" s="83" t="s">
        <v>634</v>
      </c>
      <c r="B63" s="41">
        <v>5105</v>
      </c>
      <c r="C63" s="41">
        <v>10</v>
      </c>
      <c r="D63" s="43">
        <v>38</v>
      </c>
      <c r="E63" s="43">
        <v>2</v>
      </c>
      <c r="F63" s="43">
        <v>0</v>
      </c>
      <c r="G63" s="43">
        <v>0</v>
      </c>
      <c r="H63" s="43">
        <v>19</v>
      </c>
      <c r="I63" s="43">
        <v>0.33</v>
      </c>
      <c r="J63" s="43">
        <v>0</v>
      </c>
      <c r="K63" s="41">
        <v>60</v>
      </c>
      <c r="L63" s="43">
        <v>2205</v>
      </c>
      <c r="M63" s="41" t="s">
        <v>632</v>
      </c>
      <c r="N63" s="41">
        <v>1</v>
      </c>
    </row>
    <row r="64" ht="23.1" customHeight="1" spans="1:14">
      <c r="A64" s="83" t="s">
        <v>634</v>
      </c>
      <c r="B64" s="41">
        <v>5105</v>
      </c>
      <c r="C64" s="41">
        <v>11</v>
      </c>
      <c r="D64" s="43">
        <v>40</v>
      </c>
      <c r="E64" s="43">
        <v>2</v>
      </c>
      <c r="F64" s="43">
        <v>0</v>
      </c>
      <c r="G64" s="43">
        <v>0</v>
      </c>
      <c r="H64" s="43">
        <v>20</v>
      </c>
      <c r="I64" s="43">
        <v>0.33</v>
      </c>
      <c r="J64" s="43">
        <v>0</v>
      </c>
      <c r="K64" s="41">
        <v>60</v>
      </c>
      <c r="L64" s="43">
        <v>2205</v>
      </c>
      <c r="M64" s="41" t="s">
        <v>632</v>
      </c>
      <c r="N64" s="41">
        <v>1</v>
      </c>
    </row>
    <row r="65" ht="23.1" customHeight="1" spans="1:14">
      <c r="A65" s="83" t="s">
        <v>634</v>
      </c>
      <c r="B65" s="41">
        <v>5105</v>
      </c>
      <c r="C65" s="41">
        <v>12</v>
      </c>
      <c r="D65" s="43">
        <v>42</v>
      </c>
      <c r="E65" s="43">
        <v>2</v>
      </c>
      <c r="F65" s="43">
        <v>0</v>
      </c>
      <c r="G65" s="43">
        <v>0</v>
      </c>
      <c r="H65" s="43">
        <v>21</v>
      </c>
      <c r="I65" s="43">
        <v>0.33</v>
      </c>
      <c r="J65" s="43">
        <v>0</v>
      </c>
      <c r="K65" s="41">
        <v>60</v>
      </c>
      <c r="L65" s="43">
        <v>2205</v>
      </c>
      <c r="M65" s="41" t="s">
        <v>632</v>
      </c>
      <c r="N65" s="41">
        <v>1</v>
      </c>
    </row>
    <row r="66" ht="23.1" customHeight="1" spans="1:14">
      <c r="A66" s="83" t="s">
        <v>634</v>
      </c>
      <c r="B66" s="41">
        <v>5105</v>
      </c>
      <c r="C66" s="41">
        <v>13</v>
      </c>
      <c r="D66" s="43">
        <v>44</v>
      </c>
      <c r="E66" s="43">
        <v>2</v>
      </c>
      <c r="F66" s="43">
        <v>0</v>
      </c>
      <c r="G66" s="43">
        <v>0</v>
      </c>
      <c r="H66" s="43">
        <v>22</v>
      </c>
      <c r="I66" s="43">
        <v>0.33</v>
      </c>
      <c r="J66" s="43">
        <v>0</v>
      </c>
      <c r="K66" s="41">
        <v>60</v>
      </c>
      <c r="L66" s="43">
        <v>2205</v>
      </c>
      <c r="M66" s="41" t="s">
        <v>632</v>
      </c>
      <c r="N66" s="41">
        <v>1</v>
      </c>
    </row>
    <row r="67" ht="23.1" customHeight="1" spans="1:14">
      <c r="A67" s="83" t="s">
        <v>634</v>
      </c>
      <c r="B67" s="41">
        <v>5105</v>
      </c>
      <c r="C67" s="41">
        <v>14</v>
      </c>
      <c r="D67" s="43">
        <v>46</v>
      </c>
      <c r="E67" s="43">
        <v>2</v>
      </c>
      <c r="F67" s="43">
        <v>0</v>
      </c>
      <c r="G67" s="43">
        <v>0</v>
      </c>
      <c r="H67" s="43">
        <v>23</v>
      </c>
      <c r="I67" s="43">
        <v>0.33</v>
      </c>
      <c r="J67" s="43">
        <v>0</v>
      </c>
      <c r="K67" s="41">
        <v>60</v>
      </c>
      <c r="L67" s="43">
        <v>2205</v>
      </c>
      <c r="M67" s="41" t="s">
        <v>632</v>
      </c>
      <c r="N67" s="41">
        <v>1</v>
      </c>
    </row>
    <row r="68" ht="23.1" customHeight="1" spans="1:14">
      <c r="A68" s="83" t="s">
        <v>634</v>
      </c>
      <c r="B68" s="41">
        <v>5105</v>
      </c>
      <c r="C68" s="41">
        <v>15</v>
      </c>
      <c r="D68" s="43">
        <v>48</v>
      </c>
      <c r="E68" s="43">
        <v>2</v>
      </c>
      <c r="F68" s="43">
        <v>0</v>
      </c>
      <c r="G68" s="43">
        <v>0</v>
      </c>
      <c r="H68" s="43">
        <v>24</v>
      </c>
      <c r="I68" s="43">
        <v>0.33</v>
      </c>
      <c r="J68" s="43">
        <v>0</v>
      </c>
      <c r="K68" s="41">
        <v>60</v>
      </c>
      <c r="L68" s="43">
        <v>2205</v>
      </c>
      <c r="M68" s="41" t="s">
        <v>632</v>
      </c>
      <c r="N68" s="41">
        <v>1</v>
      </c>
    </row>
    <row r="69" ht="23.1" customHeight="1" spans="1:14">
      <c r="A69" s="83" t="s">
        <v>634</v>
      </c>
      <c r="B69" s="41">
        <v>5105</v>
      </c>
      <c r="C69" s="41">
        <v>16</v>
      </c>
      <c r="D69" s="43">
        <v>50</v>
      </c>
      <c r="E69" s="43">
        <v>2</v>
      </c>
      <c r="F69" s="43">
        <v>0</v>
      </c>
      <c r="G69" s="43">
        <v>0</v>
      </c>
      <c r="H69" s="43">
        <v>25</v>
      </c>
      <c r="I69" s="43">
        <v>0.33</v>
      </c>
      <c r="J69" s="43">
        <v>0</v>
      </c>
      <c r="K69" s="41">
        <v>60</v>
      </c>
      <c r="L69" s="43">
        <v>2205</v>
      </c>
      <c r="M69" s="41" t="s">
        <v>632</v>
      </c>
      <c r="N69" s="41">
        <v>1</v>
      </c>
    </row>
    <row r="70" ht="23.1" customHeight="1" spans="1:14">
      <c r="A70" s="83" t="s">
        <v>634</v>
      </c>
      <c r="B70" s="41">
        <v>5105</v>
      </c>
      <c r="C70" s="41">
        <v>17</v>
      </c>
      <c r="D70" s="43">
        <v>52</v>
      </c>
      <c r="E70" s="43">
        <v>2</v>
      </c>
      <c r="F70" s="43">
        <v>0</v>
      </c>
      <c r="G70" s="43">
        <v>0</v>
      </c>
      <c r="H70" s="43">
        <v>26</v>
      </c>
      <c r="I70" s="43">
        <v>0.33</v>
      </c>
      <c r="J70" s="43">
        <v>0</v>
      </c>
      <c r="K70" s="41">
        <v>60</v>
      </c>
      <c r="L70" s="43">
        <v>2205</v>
      </c>
      <c r="M70" s="41" t="s">
        <v>632</v>
      </c>
      <c r="N70" s="41">
        <v>1</v>
      </c>
    </row>
    <row r="71" ht="23.1" customHeight="1" spans="1:14">
      <c r="A71" s="83" t="s">
        <v>634</v>
      </c>
      <c r="B71" s="41">
        <v>5105</v>
      </c>
      <c r="C71" s="41">
        <v>18</v>
      </c>
      <c r="D71" s="43">
        <v>54</v>
      </c>
      <c r="E71" s="43">
        <v>2</v>
      </c>
      <c r="F71" s="43">
        <v>0</v>
      </c>
      <c r="G71" s="43">
        <v>0</v>
      </c>
      <c r="H71" s="43">
        <v>27</v>
      </c>
      <c r="I71" s="43">
        <v>0.33</v>
      </c>
      <c r="J71" s="43">
        <v>0</v>
      </c>
      <c r="K71" s="41">
        <v>60</v>
      </c>
      <c r="L71" s="43">
        <v>2205</v>
      </c>
      <c r="M71" s="41" t="s">
        <v>632</v>
      </c>
      <c r="N71" s="41">
        <v>1</v>
      </c>
    </row>
    <row r="72" ht="23.1" customHeight="1" spans="1:14">
      <c r="A72" s="83" t="s">
        <v>634</v>
      </c>
      <c r="B72" s="41">
        <v>5105</v>
      </c>
      <c r="C72" s="41">
        <v>19</v>
      </c>
      <c r="D72" s="43">
        <v>56</v>
      </c>
      <c r="E72" s="43">
        <v>2</v>
      </c>
      <c r="F72" s="43">
        <v>0</v>
      </c>
      <c r="G72" s="43">
        <v>0</v>
      </c>
      <c r="H72" s="43">
        <v>28</v>
      </c>
      <c r="I72" s="43">
        <v>0.33</v>
      </c>
      <c r="J72" s="43">
        <v>0</v>
      </c>
      <c r="K72" s="41">
        <v>60</v>
      </c>
      <c r="L72" s="43">
        <v>2205</v>
      </c>
      <c r="M72" s="41" t="s">
        <v>632</v>
      </c>
      <c r="N72" s="41">
        <v>1</v>
      </c>
    </row>
    <row r="73" ht="23.1" customHeight="1" spans="1:14">
      <c r="A73" s="83" t="s">
        <v>634</v>
      </c>
      <c r="B73" s="41">
        <v>5105</v>
      </c>
      <c r="C73" s="41">
        <v>20</v>
      </c>
      <c r="D73" s="43">
        <v>58</v>
      </c>
      <c r="E73" s="43">
        <v>2</v>
      </c>
      <c r="F73" s="43">
        <v>0</v>
      </c>
      <c r="G73" s="43">
        <v>0</v>
      </c>
      <c r="H73" s="43">
        <v>29</v>
      </c>
      <c r="I73" s="43">
        <v>0.33</v>
      </c>
      <c r="J73" s="43">
        <v>0</v>
      </c>
      <c r="K73" s="41">
        <v>60</v>
      </c>
      <c r="L73" s="43">
        <v>2205</v>
      </c>
      <c r="M73" s="41" t="s">
        <v>632</v>
      </c>
      <c r="N73" s="41">
        <v>1</v>
      </c>
    </row>
    <row r="74" ht="23.1" customHeight="1" spans="1:14">
      <c r="A74" s="83" t="s">
        <v>634</v>
      </c>
      <c r="B74" s="41">
        <v>5105</v>
      </c>
      <c r="C74" s="41">
        <v>21</v>
      </c>
      <c r="D74" s="43">
        <v>60</v>
      </c>
      <c r="E74" s="43">
        <v>2</v>
      </c>
      <c r="F74" s="43">
        <v>0</v>
      </c>
      <c r="G74" s="43">
        <v>0</v>
      </c>
      <c r="H74" s="43">
        <v>30</v>
      </c>
      <c r="I74" s="43">
        <v>0.33</v>
      </c>
      <c r="J74" s="43">
        <v>0</v>
      </c>
      <c r="K74" s="41">
        <v>60</v>
      </c>
      <c r="L74" s="43">
        <v>2205</v>
      </c>
      <c r="M74" s="41" t="s">
        <v>632</v>
      </c>
      <c r="N74" s="41">
        <v>1</v>
      </c>
    </row>
    <row r="75" ht="23.1" customHeight="1" spans="1:14">
      <c r="A75" s="83" t="s">
        <v>634</v>
      </c>
      <c r="B75" s="41">
        <v>5105</v>
      </c>
      <c r="C75" s="41">
        <v>22</v>
      </c>
      <c r="D75" s="43">
        <v>62</v>
      </c>
      <c r="E75" s="43">
        <v>2</v>
      </c>
      <c r="F75" s="43">
        <v>0</v>
      </c>
      <c r="G75" s="43">
        <v>0</v>
      </c>
      <c r="H75" s="43">
        <v>31</v>
      </c>
      <c r="I75" s="43">
        <v>0.33</v>
      </c>
      <c r="J75" s="43">
        <v>0</v>
      </c>
      <c r="K75" s="41">
        <v>60</v>
      </c>
      <c r="L75" s="43">
        <v>2205</v>
      </c>
      <c r="M75" s="41" t="s">
        <v>632</v>
      </c>
      <c r="N75" s="41">
        <v>1</v>
      </c>
    </row>
    <row r="76" ht="23.1" customHeight="1" spans="1:14">
      <c r="A76" s="83" t="s">
        <v>634</v>
      </c>
      <c r="B76" s="41">
        <v>5105</v>
      </c>
      <c r="C76" s="41">
        <v>23</v>
      </c>
      <c r="D76" s="43">
        <v>64</v>
      </c>
      <c r="E76" s="43">
        <v>2</v>
      </c>
      <c r="F76" s="43">
        <v>0</v>
      </c>
      <c r="G76" s="43">
        <v>0</v>
      </c>
      <c r="H76" s="43">
        <v>32</v>
      </c>
      <c r="I76" s="43">
        <v>0.33</v>
      </c>
      <c r="J76" s="43">
        <v>0</v>
      </c>
      <c r="K76" s="41">
        <v>60</v>
      </c>
      <c r="L76" s="43">
        <v>2205</v>
      </c>
      <c r="M76" s="41" t="s">
        <v>632</v>
      </c>
      <c r="N76" s="41">
        <v>1</v>
      </c>
    </row>
    <row r="77" ht="23.1" customHeight="1" spans="1:14">
      <c r="A77" s="83" t="s">
        <v>634</v>
      </c>
      <c r="B77" s="41">
        <v>5105</v>
      </c>
      <c r="C77" s="41">
        <v>24</v>
      </c>
      <c r="D77" s="43">
        <v>66</v>
      </c>
      <c r="E77" s="43">
        <v>2</v>
      </c>
      <c r="F77" s="43">
        <v>0</v>
      </c>
      <c r="G77" s="43">
        <v>0</v>
      </c>
      <c r="H77" s="43">
        <v>33</v>
      </c>
      <c r="I77" s="43">
        <v>0.33</v>
      </c>
      <c r="J77" s="43">
        <v>0</v>
      </c>
      <c r="K77" s="41">
        <v>60</v>
      </c>
      <c r="L77" s="43">
        <v>2205</v>
      </c>
      <c r="M77" s="41" t="s">
        <v>632</v>
      </c>
      <c r="N77" s="41">
        <v>1</v>
      </c>
    </row>
    <row r="78" ht="23.1" customHeight="1" spans="1:14">
      <c r="A78" s="83" t="s">
        <v>634</v>
      </c>
      <c r="B78" s="41">
        <v>5105</v>
      </c>
      <c r="C78" s="41">
        <v>25</v>
      </c>
      <c r="D78" s="43">
        <v>70</v>
      </c>
      <c r="E78" s="43">
        <v>2</v>
      </c>
      <c r="F78" s="43">
        <v>0</v>
      </c>
      <c r="G78" s="43">
        <v>0</v>
      </c>
      <c r="H78" s="43">
        <v>35</v>
      </c>
      <c r="I78" s="43">
        <v>0.33</v>
      </c>
      <c r="J78" s="43">
        <v>0</v>
      </c>
      <c r="K78" s="41">
        <v>60</v>
      </c>
      <c r="L78" s="43">
        <v>2205</v>
      </c>
      <c r="M78" s="41" t="s">
        <v>632</v>
      </c>
      <c r="N78" s="41">
        <v>1</v>
      </c>
    </row>
    <row r="79" ht="23.1" customHeight="1" spans="1:14">
      <c r="A79" s="83" t="s">
        <v>635</v>
      </c>
      <c r="B79" s="41">
        <v>5106</v>
      </c>
      <c r="C79" s="41">
        <v>1</v>
      </c>
      <c r="D79" s="43">
        <v>24</v>
      </c>
      <c r="E79" s="43">
        <v>0</v>
      </c>
      <c r="F79" s="43">
        <v>0</v>
      </c>
      <c r="G79" s="43">
        <v>12</v>
      </c>
      <c r="H79" s="43">
        <v>2</v>
      </c>
      <c r="I79" s="43">
        <v>1</v>
      </c>
      <c r="J79" s="43">
        <v>0</v>
      </c>
      <c r="K79" s="41">
        <v>45</v>
      </c>
      <c r="L79" s="43">
        <v>2206</v>
      </c>
      <c r="M79" s="41" t="s">
        <v>632</v>
      </c>
      <c r="N79" s="41">
        <v>0</v>
      </c>
    </row>
    <row r="80" ht="23.1" customHeight="1" spans="1:14">
      <c r="A80" s="83" t="s">
        <v>635</v>
      </c>
      <c r="B80" s="41">
        <v>5106</v>
      </c>
      <c r="C80" s="41">
        <v>2</v>
      </c>
      <c r="D80" s="43">
        <v>26</v>
      </c>
      <c r="E80" s="43">
        <v>0</v>
      </c>
      <c r="F80" s="43">
        <v>0</v>
      </c>
      <c r="G80" s="43">
        <v>13</v>
      </c>
      <c r="H80" s="43">
        <v>2</v>
      </c>
      <c r="I80" s="43">
        <v>1</v>
      </c>
      <c r="J80" s="43">
        <v>0</v>
      </c>
      <c r="K80" s="41">
        <v>45</v>
      </c>
      <c r="L80" s="43">
        <v>2206</v>
      </c>
      <c r="M80" s="41" t="s">
        <v>632</v>
      </c>
      <c r="N80" s="41">
        <v>0</v>
      </c>
    </row>
    <row r="81" ht="23.1" customHeight="1" spans="1:14">
      <c r="A81" s="83" t="s">
        <v>635</v>
      </c>
      <c r="B81" s="41">
        <v>5106</v>
      </c>
      <c r="C81" s="41">
        <v>3</v>
      </c>
      <c r="D81" s="43">
        <v>28</v>
      </c>
      <c r="E81" s="43">
        <v>0</v>
      </c>
      <c r="F81" s="43">
        <v>0</v>
      </c>
      <c r="G81" s="43">
        <v>14</v>
      </c>
      <c r="H81" s="43">
        <v>2</v>
      </c>
      <c r="I81" s="43">
        <v>1</v>
      </c>
      <c r="J81" s="43">
        <v>0</v>
      </c>
      <c r="K81" s="41">
        <v>45</v>
      </c>
      <c r="L81" s="43">
        <v>2206</v>
      </c>
      <c r="M81" s="41" t="s">
        <v>632</v>
      </c>
      <c r="N81" s="41">
        <v>0</v>
      </c>
    </row>
    <row r="82" ht="23.1" customHeight="1" spans="1:14">
      <c r="A82" s="83" t="s">
        <v>635</v>
      </c>
      <c r="B82" s="41">
        <v>5106</v>
      </c>
      <c r="C82" s="41">
        <v>4</v>
      </c>
      <c r="D82" s="43">
        <v>30</v>
      </c>
      <c r="E82" s="43">
        <v>0</v>
      </c>
      <c r="F82" s="43">
        <v>0</v>
      </c>
      <c r="G82" s="43">
        <v>15</v>
      </c>
      <c r="H82" s="43">
        <v>2</v>
      </c>
      <c r="I82" s="43">
        <v>1</v>
      </c>
      <c r="J82" s="43">
        <v>0</v>
      </c>
      <c r="K82" s="41">
        <v>45</v>
      </c>
      <c r="L82" s="43">
        <v>2206</v>
      </c>
      <c r="M82" s="41" t="s">
        <v>632</v>
      </c>
      <c r="N82" s="41">
        <v>0</v>
      </c>
    </row>
    <row r="83" ht="23.1" customHeight="1" spans="1:14">
      <c r="A83" s="83" t="s">
        <v>635</v>
      </c>
      <c r="B83" s="41">
        <v>5106</v>
      </c>
      <c r="C83" s="41">
        <v>5</v>
      </c>
      <c r="D83" s="43">
        <v>32</v>
      </c>
      <c r="E83" s="43">
        <v>0</v>
      </c>
      <c r="F83" s="43">
        <v>0</v>
      </c>
      <c r="G83" s="43">
        <v>16</v>
      </c>
      <c r="H83" s="43">
        <v>2</v>
      </c>
      <c r="I83" s="43">
        <v>1</v>
      </c>
      <c r="J83" s="43">
        <v>0</v>
      </c>
      <c r="K83" s="41">
        <v>45</v>
      </c>
      <c r="L83" s="43">
        <v>2206</v>
      </c>
      <c r="M83" s="41" t="s">
        <v>632</v>
      </c>
      <c r="N83" s="41">
        <v>0</v>
      </c>
    </row>
    <row r="84" ht="23.1" customHeight="1" spans="1:14">
      <c r="A84" s="83" t="s">
        <v>635</v>
      </c>
      <c r="B84" s="41">
        <v>5106</v>
      </c>
      <c r="C84" s="41">
        <v>6</v>
      </c>
      <c r="D84" s="43">
        <v>34</v>
      </c>
      <c r="E84" s="43">
        <v>0</v>
      </c>
      <c r="F84" s="43">
        <v>0</v>
      </c>
      <c r="G84" s="43">
        <v>17</v>
      </c>
      <c r="H84" s="43">
        <v>2</v>
      </c>
      <c r="I84" s="43">
        <v>1</v>
      </c>
      <c r="J84" s="43">
        <v>0</v>
      </c>
      <c r="K84" s="41">
        <v>45</v>
      </c>
      <c r="L84" s="43">
        <v>2206</v>
      </c>
      <c r="M84" s="41" t="s">
        <v>632</v>
      </c>
      <c r="N84" s="41">
        <v>0</v>
      </c>
    </row>
    <row r="85" ht="23.1" customHeight="1" spans="1:14">
      <c r="A85" s="83" t="s">
        <v>635</v>
      </c>
      <c r="B85" s="41">
        <v>5106</v>
      </c>
      <c r="C85" s="41">
        <v>7</v>
      </c>
      <c r="D85" s="43">
        <v>36</v>
      </c>
      <c r="E85" s="43">
        <v>0</v>
      </c>
      <c r="F85" s="43">
        <v>0</v>
      </c>
      <c r="G85" s="43">
        <v>18</v>
      </c>
      <c r="H85" s="43">
        <v>2</v>
      </c>
      <c r="I85" s="43">
        <v>1</v>
      </c>
      <c r="J85" s="43">
        <v>0</v>
      </c>
      <c r="K85" s="41">
        <v>45</v>
      </c>
      <c r="L85" s="43">
        <v>2206</v>
      </c>
      <c r="M85" s="41" t="s">
        <v>632</v>
      </c>
      <c r="N85" s="41">
        <v>0</v>
      </c>
    </row>
    <row r="86" ht="23.1" customHeight="1" spans="1:14">
      <c r="A86" s="83" t="s">
        <v>635</v>
      </c>
      <c r="B86" s="41">
        <v>5106</v>
      </c>
      <c r="C86" s="41">
        <v>8</v>
      </c>
      <c r="D86" s="43">
        <v>38</v>
      </c>
      <c r="E86" s="43">
        <v>0</v>
      </c>
      <c r="F86" s="43">
        <v>0</v>
      </c>
      <c r="G86" s="43">
        <v>19</v>
      </c>
      <c r="H86" s="43">
        <v>2</v>
      </c>
      <c r="I86" s="43">
        <v>1</v>
      </c>
      <c r="J86" s="43">
        <v>0</v>
      </c>
      <c r="K86" s="41">
        <v>45</v>
      </c>
      <c r="L86" s="43">
        <v>2206</v>
      </c>
      <c r="M86" s="41" t="s">
        <v>632</v>
      </c>
      <c r="N86" s="41">
        <v>0</v>
      </c>
    </row>
    <row r="87" ht="23.1" customHeight="1" spans="1:14">
      <c r="A87" s="83" t="s">
        <v>635</v>
      </c>
      <c r="B87" s="41">
        <v>5106</v>
      </c>
      <c r="C87" s="41">
        <v>9</v>
      </c>
      <c r="D87" s="43">
        <v>40</v>
      </c>
      <c r="E87" s="43">
        <v>0</v>
      </c>
      <c r="F87" s="43">
        <v>0</v>
      </c>
      <c r="G87" s="43">
        <v>20</v>
      </c>
      <c r="H87" s="43">
        <v>2</v>
      </c>
      <c r="I87" s="43">
        <v>1</v>
      </c>
      <c r="J87" s="43">
        <v>0</v>
      </c>
      <c r="K87" s="41">
        <v>45</v>
      </c>
      <c r="L87" s="43">
        <v>2206</v>
      </c>
      <c r="M87" s="41" t="s">
        <v>632</v>
      </c>
      <c r="N87" s="41">
        <v>0</v>
      </c>
    </row>
    <row r="88" ht="23.1" customHeight="1" spans="1:14">
      <c r="A88" s="83" t="s">
        <v>635</v>
      </c>
      <c r="B88" s="41">
        <v>5106</v>
      </c>
      <c r="C88" s="41">
        <v>10</v>
      </c>
      <c r="D88" s="43">
        <v>42</v>
      </c>
      <c r="E88" s="43">
        <v>0</v>
      </c>
      <c r="F88" s="43">
        <v>0</v>
      </c>
      <c r="G88" s="43">
        <v>21</v>
      </c>
      <c r="H88" s="43">
        <v>2</v>
      </c>
      <c r="I88" s="43">
        <v>1</v>
      </c>
      <c r="J88" s="43">
        <v>0</v>
      </c>
      <c r="K88" s="41">
        <v>45</v>
      </c>
      <c r="L88" s="43">
        <v>2206</v>
      </c>
      <c r="M88" s="41" t="s">
        <v>632</v>
      </c>
      <c r="N88" s="41">
        <v>0</v>
      </c>
    </row>
    <row r="89" ht="23.1" customHeight="1" spans="1:14">
      <c r="A89" s="83" t="s">
        <v>635</v>
      </c>
      <c r="B89" s="41">
        <v>5106</v>
      </c>
      <c r="C89" s="41">
        <v>11</v>
      </c>
      <c r="D89" s="43">
        <v>44</v>
      </c>
      <c r="E89" s="43">
        <v>0</v>
      </c>
      <c r="F89" s="43">
        <v>0</v>
      </c>
      <c r="G89" s="43">
        <v>22</v>
      </c>
      <c r="H89" s="43">
        <v>2</v>
      </c>
      <c r="I89" s="43">
        <v>1</v>
      </c>
      <c r="J89" s="43">
        <v>0</v>
      </c>
      <c r="K89" s="41">
        <v>45</v>
      </c>
      <c r="L89" s="43">
        <v>2206</v>
      </c>
      <c r="M89" s="41" t="s">
        <v>632</v>
      </c>
      <c r="N89" s="41">
        <v>0</v>
      </c>
    </row>
    <row r="90" ht="23.1" customHeight="1" spans="1:14">
      <c r="A90" s="83" t="s">
        <v>635</v>
      </c>
      <c r="B90" s="41">
        <v>5106</v>
      </c>
      <c r="C90" s="41">
        <v>12</v>
      </c>
      <c r="D90" s="43">
        <v>46</v>
      </c>
      <c r="E90" s="43">
        <v>0</v>
      </c>
      <c r="F90" s="43">
        <v>0</v>
      </c>
      <c r="G90" s="43">
        <v>23</v>
      </c>
      <c r="H90" s="43">
        <v>2</v>
      </c>
      <c r="I90" s="43">
        <v>1</v>
      </c>
      <c r="J90" s="43">
        <v>0</v>
      </c>
      <c r="K90" s="41">
        <v>45</v>
      </c>
      <c r="L90" s="43">
        <v>2206</v>
      </c>
      <c r="M90" s="41" t="s">
        <v>632</v>
      </c>
      <c r="N90" s="41">
        <v>0</v>
      </c>
    </row>
    <row r="91" ht="23.1" customHeight="1" spans="1:14">
      <c r="A91" s="83" t="s">
        <v>635</v>
      </c>
      <c r="B91" s="41">
        <v>5106</v>
      </c>
      <c r="C91" s="41">
        <v>13</v>
      </c>
      <c r="D91" s="43">
        <v>48</v>
      </c>
      <c r="E91" s="43">
        <v>0</v>
      </c>
      <c r="F91" s="43">
        <v>0</v>
      </c>
      <c r="G91" s="43">
        <v>24</v>
      </c>
      <c r="H91" s="43">
        <v>2</v>
      </c>
      <c r="I91" s="43">
        <v>1</v>
      </c>
      <c r="J91" s="43">
        <v>0</v>
      </c>
      <c r="K91" s="41">
        <v>45</v>
      </c>
      <c r="L91" s="43">
        <v>2206</v>
      </c>
      <c r="M91" s="41" t="s">
        <v>632</v>
      </c>
      <c r="N91" s="41">
        <v>0</v>
      </c>
    </row>
    <row r="92" ht="23.1" customHeight="1" spans="1:14">
      <c r="A92" s="83" t="s">
        <v>635</v>
      </c>
      <c r="B92" s="41">
        <v>5106</v>
      </c>
      <c r="C92" s="41">
        <v>14</v>
      </c>
      <c r="D92" s="43">
        <v>50</v>
      </c>
      <c r="E92" s="43">
        <v>0</v>
      </c>
      <c r="F92" s="43">
        <v>0</v>
      </c>
      <c r="G92" s="43">
        <v>25</v>
      </c>
      <c r="H92" s="43">
        <v>2</v>
      </c>
      <c r="I92" s="43">
        <v>1</v>
      </c>
      <c r="J92" s="43">
        <v>0</v>
      </c>
      <c r="K92" s="41">
        <v>45</v>
      </c>
      <c r="L92" s="43">
        <v>2206</v>
      </c>
      <c r="M92" s="41" t="s">
        <v>632</v>
      </c>
      <c r="N92" s="41">
        <v>0</v>
      </c>
    </row>
    <row r="93" ht="23.1" customHeight="1" spans="1:14">
      <c r="A93" s="83" t="s">
        <v>635</v>
      </c>
      <c r="B93" s="41">
        <v>5106</v>
      </c>
      <c r="C93" s="41">
        <v>15</v>
      </c>
      <c r="D93" s="43">
        <v>52</v>
      </c>
      <c r="E93" s="43">
        <v>0</v>
      </c>
      <c r="F93" s="43">
        <v>0</v>
      </c>
      <c r="G93" s="43">
        <v>26</v>
      </c>
      <c r="H93" s="43">
        <v>2</v>
      </c>
      <c r="I93" s="43">
        <v>1</v>
      </c>
      <c r="J93" s="43">
        <v>0</v>
      </c>
      <c r="K93" s="41">
        <v>45</v>
      </c>
      <c r="L93" s="43">
        <v>2206</v>
      </c>
      <c r="M93" s="41" t="s">
        <v>632</v>
      </c>
      <c r="N93" s="41">
        <v>0</v>
      </c>
    </row>
    <row r="94" ht="23.1" customHeight="1" spans="1:14">
      <c r="A94" s="83" t="s">
        <v>635</v>
      </c>
      <c r="B94" s="41">
        <v>5106</v>
      </c>
      <c r="C94" s="41">
        <v>16</v>
      </c>
      <c r="D94" s="43">
        <v>56</v>
      </c>
      <c r="E94" s="43">
        <v>0</v>
      </c>
      <c r="F94" s="43">
        <v>0</v>
      </c>
      <c r="G94" s="43">
        <v>28</v>
      </c>
      <c r="H94" s="43">
        <v>2</v>
      </c>
      <c r="I94" s="43">
        <v>1</v>
      </c>
      <c r="J94" s="43">
        <v>0</v>
      </c>
      <c r="K94" s="41">
        <v>45</v>
      </c>
      <c r="L94" s="43">
        <v>2206</v>
      </c>
      <c r="M94" s="41" t="s">
        <v>632</v>
      </c>
      <c r="N94" s="41">
        <v>0</v>
      </c>
    </row>
    <row r="95" ht="23.1" customHeight="1" spans="1:14">
      <c r="A95" s="83" t="s">
        <v>635</v>
      </c>
      <c r="B95" s="41">
        <v>5106</v>
      </c>
      <c r="C95" s="41">
        <v>17</v>
      </c>
      <c r="D95" s="43">
        <v>58</v>
      </c>
      <c r="E95" s="43">
        <v>0</v>
      </c>
      <c r="F95" s="43">
        <v>0</v>
      </c>
      <c r="G95" s="43">
        <v>29</v>
      </c>
      <c r="H95" s="43">
        <v>2</v>
      </c>
      <c r="I95" s="43">
        <v>1</v>
      </c>
      <c r="J95" s="43">
        <v>0</v>
      </c>
      <c r="K95" s="41">
        <v>45</v>
      </c>
      <c r="L95" s="43">
        <v>2206</v>
      </c>
      <c r="M95" s="41" t="s">
        <v>632</v>
      </c>
      <c r="N95" s="41">
        <v>0</v>
      </c>
    </row>
    <row r="96" ht="23.1" customHeight="1" spans="1:14">
      <c r="A96" s="83" t="s">
        <v>635</v>
      </c>
      <c r="B96" s="41">
        <v>5106</v>
      </c>
      <c r="C96" s="41">
        <v>18</v>
      </c>
      <c r="D96" s="43">
        <v>60</v>
      </c>
      <c r="E96" s="43">
        <v>0</v>
      </c>
      <c r="F96" s="43">
        <v>0</v>
      </c>
      <c r="G96" s="43">
        <v>30</v>
      </c>
      <c r="H96" s="43">
        <v>2</v>
      </c>
      <c r="I96" s="43">
        <v>1</v>
      </c>
      <c r="J96" s="43">
        <v>0</v>
      </c>
      <c r="K96" s="41">
        <v>45</v>
      </c>
      <c r="L96" s="43">
        <v>2206</v>
      </c>
      <c r="M96" s="41" t="s">
        <v>632</v>
      </c>
      <c r="N96" s="41">
        <v>0</v>
      </c>
    </row>
    <row r="97" ht="23.1" customHeight="1" spans="1:14">
      <c r="A97" s="83" t="s">
        <v>635</v>
      </c>
      <c r="B97" s="41">
        <v>5106</v>
      </c>
      <c r="C97" s="41">
        <v>19</v>
      </c>
      <c r="D97" s="43">
        <v>62</v>
      </c>
      <c r="E97" s="43">
        <v>0</v>
      </c>
      <c r="F97" s="43">
        <v>0</v>
      </c>
      <c r="G97" s="43">
        <v>31</v>
      </c>
      <c r="H97" s="43">
        <v>2</v>
      </c>
      <c r="I97" s="43">
        <v>1</v>
      </c>
      <c r="J97" s="43">
        <v>0</v>
      </c>
      <c r="K97" s="41">
        <v>45</v>
      </c>
      <c r="L97" s="43">
        <v>2206</v>
      </c>
      <c r="M97" s="41" t="s">
        <v>632</v>
      </c>
      <c r="N97" s="41">
        <v>0</v>
      </c>
    </row>
    <row r="98" ht="23.1" customHeight="1" spans="1:14">
      <c r="A98" s="83" t="s">
        <v>635</v>
      </c>
      <c r="B98" s="41">
        <v>5106</v>
      </c>
      <c r="C98" s="41">
        <v>20</v>
      </c>
      <c r="D98" s="43">
        <v>64</v>
      </c>
      <c r="E98" s="43">
        <v>0</v>
      </c>
      <c r="F98" s="43">
        <v>0</v>
      </c>
      <c r="G98" s="43">
        <v>32</v>
      </c>
      <c r="H98" s="43">
        <v>2</v>
      </c>
      <c r="I98" s="43">
        <v>1</v>
      </c>
      <c r="J98" s="43">
        <v>0</v>
      </c>
      <c r="K98" s="41">
        <v>45</v>
      </c>
      <c r="L98" s="43">
        <v>2206</v>
      </c>
      <c r="M98" s="41" t="s">
        <v>632</v>
      </c>
      <c r="N98" s="41">
        <v>0</v>
      </c>
    </row>
    <row r="99" ht="23.1" customHeight="1" spans="1:14">
      <c r="A99" s="83" t="s">
        <v>635</v>
      </c>
      <c r="B99" s="41">
        <v>5106</v>
      </c>
      <c r="C99" s="41">
        <v>21</v>
      </c>
      <c r="D99" s="43">
        <v>68</v>
      </c>
      <c r="E99" s="43">
        <v>0</v>
      </c>
      <c r="F99" s="43">
        <v>0</v>
      </c>
      <c r="G99" s="43">
        <v>34</v>
      </c>
      <c r="H99" s="43">
        <v>2</v>
      </c>
      <c r="I99" s="43">
        <v>1</v>
      </c>
      <c r="J99" s="43">
        <v>0</v>
      </c>
      <c r="K99" s="41">
        <v>45</v>
      </c>
      <c r="L99" s="43">
        <v>2206</v>
      </c>
      <c r="M99" s="41" t="s">
        <v>632</v>
      </c>
      <c r="N99" s="41">
        <v>0</v>
      </c>
    </row>
    <row r="100" ht="23.1" customHeight="1" spans="1:14">
      <c r="A100" s="83" t="s">
        <v>635</v>
      </c>
      <c r="B100" s="41">
        <v>5106</v>
      </c>
      <c r="C100" s="41">
        <v>22</v>
      </c>
      <c r="D100" s="43">
        <v>70</v>
      </c>
      <c r="E100" s="43">
        <v>0</v>
      </c>
      <c r="F100" s="43">
        <v>0</v>
      </c>
      <c r="G100" s="43">
        <v>35</v>
      </c>
      <c r="H100" s="43">
        <v>2</v>
      </c>
      <c r="I100" s="43">
        <v>1</v>
      </c>
      <c r="J100" s="43">
        <v>0</v>
      </c>
      <c r="K100" s="41">
        <v>45</v>
      </c>
      <c r="L100" s="43">
        <v>2206</v>
      </c>
      <c r="M100" s="41" t="s">
        <v>632</v>
      </c>
      <c r="N100" s="41">
        <v>0</v>
      </c>
    </row>
    <row r="101" ht="23.1" customHeight="1" spans="1:14">
      <c r="A101" s="83" t="s">
        <v>635</v>
      </c>
      <c r="B101" s="41">
        <v>5106</v>
      </c>
      <c r="C101" s="41">
        <v>23</v>
      </c>
      <c r="D101" s="43">
        <v>72</v>
      </c>
      <c r="E101" s="43">
        <v>0</v>
      </c>
      <c r="F101" s="43">
        <v>0</v>
      </c>
      <c r="G101" s="43">
        <v>36</v>
      </c>
      <c r="H101" s="43">
        <v>2</v>
      </c>
      <c r="I101" s="43">
        <v>1</v>
      </c>
      <c r="J101" s="43">
        <v>0</v>
      </c>
      <c r="K101" s="41">
        <v>45</v>
      </c>
      <c r="L101" s="43">
        <v>2206</v>
      </c>
      <c r="M101" s="41" t="s">
        <v>632</v>
      </c>
      <c r="N101" s="41">
        <v>0</v>
      </c>
    </row>
    <row r="102" ht="23.1" customHeight="1" spans="1:14">
      <c r="A102" s="83" t="s">
        <v>635</v>
      </c>
      <c r="B102" s="41">
        <v>5106</v>
      </c>
      <c r="C102" s="41">
        <v>24</v>
      </c>
      <c r="D102" s="43">
        <v>76</v>
      </c>
      <c r="E102" s="43">
        <v>0</v>
      </c>
      <c r="F102" s="43">
        <v>0</v>
      </c>
      <c r="G102" s="43">
        <v>38</v>
      </c>
      <c r="H102" s="43">
        <v>2</v>
      </c>
      <c r="I102" s="43">
        <v>1</v>
      </c>
      <c r="J102" s="43">
        <v>0</v>
      </c>
      <c r="K102" s="41">
        <v>45</v>
      </c>
      <c r="L102" s="43">
        <v>2206</v>
      </c>
      <c r="M102" s="41" t="s">
        <v>632</v>
      </c>
      <c r="N102" s="41">
        <v>0</v>
      </c>
    </row>
    <row r="103" ht="23.1" customHeight="1" spans="1:14">
      <c r="A103" s="83" t="s">
        <v>635</v>
      </c>
      <c r="B103" s="41">
        <v>5106</v>
      </c>
      <c r="C103" s="41">
        <v>25</v>
      </c>
      <c r="D103" s="43">
        <v>80</v>
      </c>
      <c r="E103" s="43">
        <v>0</v>
      </c>
      <c r="F103" s="43">
        <v>0</v>
      </c>
      <c r="G103" s="43">
        <v>40</v>
      </c>
      <c r="H103" s="43">
        <v>2</v>
      </c>
      <c r="I103" s="43">
        <v>1</v>
      </c>
      <c r="J103" s="43">
        <v>0</v>
      </c>
      <c r="K103" s="41">
        <v>45</v>
      </c>
      <c r="L103" s="43">
        <v>2206</v>
      </c>
      <c r="M103" s="41" t="s">
        <v>632</v>
      </c>
      <c r="N103" s="41">
        <v>0</v>
      </c>
    </row>
    <row r="104" ht="23.1" customHeight="1" spans="1:14">
      <c r="A104" s="83" t="s">
        <v>636</v>
      </c>
      <c r="B104" s="41">
        <v>5108</v>
      </c>
      <c r="C104" s="41">
        <v>1</v>
      </c>
      <c r="D104" s="43">
        <v>30</v>
      </c>
      <c r="E104" s="43">
        <v>30</v>
      </c>
      <c r="F104" s="43">
        <v>0</v>
      </c>
      <c r="G104" s="43">
        <v>0</v>
      </c>
      <c r="H104" s="43">
        <v>1</v>
      </c>
      <c r="I104" s="43">
        <v>3.6</v>
      </c>
      <c r="J104" s="43">
        <v>0</v>
      </c>
      <c r="K104" s="41">
        <v>50</v>
      </c>
      <c r="L104" s="43">
        <v>2208</v>
      </c>
      <c r="M104" s="41" t="s">
        <v>632</v>
      </c>
      <c r="N104" s="41">
        <v>0</v>
      </c>
    </row>
    <row r="105" ht="23.1" customHeight="1" spans="1:14">
      <c r="A105" s="83" t="s">
        <v>636</v>
      </c>
      <c r="B105" s="41">
        <v>5108</v>
      </c>
      <c r="C105" s="41">
        <v>2</v>
      </c>
      <c r="D105" s="43">
        <v>32</v>
      </c>
      <c r="E105" s="43">
        <v>32</v>
      </c>
      <c r="F105" s="43">
        <v>0</v>
      </c>
      <c r="G105" s="43">
        <v>0</v>
      </c>
      <c r="H105" s="43">
        <v>1</v>
      </c>
      <c r="I105" s="43">
        <v>3.6</v>
      </c>
      <c r="J105" s="43">
        <v>0</v>
      </c>
      <c r="K105" s="41">
        <v>50</v>
      </c>
      <c r="L105" s="43">
        <v>2208</v>
      </c>
      <c r="M105" s="41" t="s">
        <v>632</v>
      </c>
      <c r="N105" s="41">
        <v>0</v>
      </c>
    </row>
    <row r="106" ht="23.1" customHeight="1" spans="1:14">
      <c r="A106" s="83" t="s">
        <v>636</v>
      </c>
      <c r="B106" s="41">
        <v>5108</v>
      </c>
      <c r="C106" s="41">
        <v>3</v>
      </c>
      <c r="D106" s="43">
        <v>34</v>
      </c>
      <c r="E106" s="43">
        <v>34</v>
      </c>
      <c r="F106" s="43">
        <v>0</v>
      </c>
      <c r="G106" s="43">
        <v>0</v>
      </c>
      <c r="H106" s="43">
        <v>1</v>
      </c>
      <c r="I106" s="43">
        <v>3.6</v>
      </c>
      <c r="J106" s="43">
        <v>0</v>
      </c>
      <c r="K106" s="41">
        <v>50</v>
      </c>
      <c r="L106" s="43">
        <v>2208</v>
      </c>
      <c r="M106" s="41" t="s">
        <v>632</v>
      </c>
      <c r="N106" s="41">
        <v>0</v>
      </c>
    </row>
    <row r="107" ht="23.1" customHeight="1" spans="1:14">
      <c r="A107" s="83" t="s">
        <v>636</v>
      </c>
      <c r="B107" s="41">
        <v>5108</v>
      </c>
      <c r="C107" s="41">
        <v>4</v>
      </c>
      <c r="D107" s="43">
        <v>36</v>
      </c>
      <c r="E107" s="43">
        <v>36</v>
      </c>
      <c r="F107" s="43">
        <v>0</v>
      </c>
      <c r="G107" s="43">
        <v>0</v>
      </c>
      <c r="H107" s="43">
        <v>1</v>
      </c>
      <c r="I107" s="43">
        <v>3.6</v>
      </c>
      <c r="J107" s="43">
        <v>0</v>
      </c>
      <c r="K107" s="41">
        <v>50</v>
      </c>
      <c r="L107" s="43">
        <v>2208</v>
      </c>
      <c r="M107" s="41" t="s">
        <v>632</v>
      </c>
      <c r="N107" s="41">
        <v>0</v>
      </c>
    </row>
    <row r="108" ht="23.1" customHeight="1" spans="1:14">
      <c r="A108" s="83" t="s">
        <v>636</v>
      </c>
      <c r="B108" s="41">
        <v>5108</v>
      </c>
      <c r="C108" s="41">
        <v>5</v>
      </c>
      <c r="D108" s="43">
        <v>38</v>
      </c>
      <c r="E108" s="43">
        <v>38</v>
      </c>
      <c r="F108" s="43">
        <v>0</v>
      </c>
      <c r="G108" s="43">
        <v>0</v>
      </c>
      <c r="H108" s="43">
        <v>1</v>
      </c>
      <c r="I108" s="43">
        <v>3.6</v>
      </c>
      <c r="J108" s="43">
        <v>0</v>
      </c>
      <c r="K108" s="41">
        <v>50</v>
      </c>
      <c r="L108" s="43">
        <v>2208</v>
      </c>
      <c r="M108" s="41" t="s">
        <v>632</v>
      </c>
      <c r="N108" s="41">
        <v>0</v>
      </c>
    </row>
    <row r="109" ht="23.1" customHeight="1" spans="1:14">
      <c r="A109" s="83" t="s">
        <v>636</v>
      </c>
      <c r="B109" s="41">
        <v>5108</v>
      </c>
      <c r="C109" s="41">
        <v>6</v>
      </c>
      <c r="D109" s="43">
        <v>42</v>
      </c>
      <c r="E109" s="43">
        <v>42</v>
      </c>
      <c r="F109" s="43">
        <v>0</v>
      </c>
      <c r="G109" s="43">
        <v>0</v>
      </c>
      <c r="H109" s="43">
        <v>1</v>
      </c>
      <c r="I109" s="43">
        <v>3.6</v>
      </c>
      <c r="J109" s="43">
        <v>0</v>
      </c>
      <c r="K109" s="41">
        <v>50</v>
      </c>
      <c r="L109" s="43">
        <v>2208</v>
      </c>
      <c r="M109" s="41" t="s">
        <v>632</v>
      </c>
      <c r="N109" s="41">
        <v>0</v>
      </c>
    </row>
    <row r="110" ht="23.1" customHeight="1" spans="1:14">
      <c r="A110" s="83" t="s">
        <v>636</v>
      </c>
      <c r="B110" s="41">
        <v>5108</v>
      </c>
      <c r="C110" s="41">
        <v>7</v>
      </c>
      <c r="D110" s="43">
        <v>44</v>
      </c>
      <c r="E110" s="43">
        <v>44</v>
      </c>
      <c r="F110" s="43">
        <v>0</v>
      </c>
      <c r="G110" s="43">
        <v>0</v>
      </c>
      <c r="H110" s="43">
        <v>1</v>
      </c>
      <c r="I110" s="43">
        <v>3.6</v>
      </c>
      <c r="J110" s="43">
        <v>0</v>
      </c>
      <c r="K110" s="41">
        <v>50</v>
      </c>
      <c r="L110" s="43">
        <v>2208</v>
      </c>
      <c r="M110" s="41" t="s">
        <v>632</v>
      </c>
      <c r="N110" s="41">
        <v>0</v>
      </c>
    </row>
    <row r="111" ht="23.1" customHeight="1" spans="1:14">
      <c r="A111" s="83" t="s">
        <v>636</v>
      </c>
      <c r="B111" s="41">
        <v>5108</v>
      </c>
      <c r="C111" s="41">
        <v>8</v>
      </c>
      <c r="D111" s="43">
        <v>46</v>
      </c>
      <c r="E111" s="43">
        <v>46</v>
      </c>
      <c r="F111" s="43">
        <v>0</v>
      </c>
      <c r="G111" s="43">
        <v>0</v>
      </c>
      <c r="H111" s="43">
        <v>1</v>
      </c>
      <c r="I111" s="43">
        <v>3.6</v>
      </c>
      <c r="J111" s="43">
        <v>0</v>
      </c>
      <c r="K111" s="41">
        <v>50</v>
      </c>
      <c r="L111" s="43">
        <v>2208</v>
      </c>
      <c r="M111" s="41" t="s">
        <v>632</v>
      </c>
      <c r="N111" s="41">
        <v>0</v>
      </c>
    </row>
    <row r="112" ht="23.1" customHeight="1" spans="1:14">
      <c r="A112" s="83" t="s">
        <v>636</v>
      </c>
      <c r="B112" s="41">
        <v>5108</v>
      </c>
      <c r="C112" s="41">
        <v>9</v>
      </c>
      <c r="D112" s="43">
        <v>48</v>
      </c>
      <c r="E112" s="43">
        <v>48</v>
      </c>
      <c r="F112" s="43">
        <v>0</v>
      </c>
      <c r="G112" s="43">
        <v>0</v>
      </c>
      <c r="H112" s="43">
        <v>1</v>
      </c>
      <c r="I112" s="43">
        <v>3.6</v>
      </c>
      <c r="J112" s="43">
        <v>0</v>
      </c>
      <c r="K112" s="41">
        <v>50</v>
      </c>
      <c r="L112" s="43">
        <v>2208</v>
      </c>
      <c r="M112" s="41" t="s">
        <v>632</v>
      </c>
      <c r="N112" s="41">
        <v>0</v>
      </c>
    </row>
    <row r="113" ht="23.1" customHeight="1" spans="1:14">
      <c r="A113" s="83" t="s">
        <v>636</v>
      </c>
      <c r="B113" s="41">
        <v>5108</v>
      </c>
      <c r="C113" s="41">
        <v>10</v>
      </c>
      <c r="D113" s="43">
        <v>50</v>
      </c>
      <c r="E113" s="43">
        <v>50</v>
      </c>
      <c r="F113" s="43">
        <v>0</v>
      </c>
      <c r="G113" s="43">
        <v>0</v>
      </c>
      <c r="H113" s="43">
        <v>1</v>
      </c>
      <c r="I113" s="43">
        <v>3.6</v>
      </c>
      <c r="J113" s="43">
        <v>0</v>
      </c>
      <c r="K113" s="41">
        <v>50</v>
      </c>
      <c r="L113" s="43">
        <v>2208</v>
      </c>
      <c r="M113" s="41" t="s">
        <v>632</v>
      </c>
      <c r="N113" s="41">
        <v>0</v>
      </c>
    </row>
    <row r="114" ht="23.1" customHeight="1" spans="1:14">
      <c r="A114" s="83" t="s">
        <v>636</v>
      </c>
      <c r="B114" s="41">
        <v>5108</v>
      </c>
      <c r="C114" s="41">
        <v>11</v>
      </c>
      <c r="D114" s="43">
        <v>56</v>
      </c>
      <c r="E114" s="43">
        <v>56</v>
      </c>
      <c r="F114" s="43">
        <v>0</v>
      </c>
      <c r="G114" s="43">
        <v>0</v>
      </c>
      <c r="H114" s="43">
        <v>1</v>
      </c>
      <c r="I114" s="43">
        <v>3.6</v>
      </c>
      <c r="J114" s="43">
        <v>0</v>
      </c>
      <c r="K114" s="41">
        <v>50</v>
      </c>
      <c r="L114" s="43">
        <v>2208</v>
      </c>
      <c r="M114" s="41" t="s">
        <v>632</v>
      </c>
      <c r="N114" s="41">
        <v>0</v>
      </c>
    </row>
    <row r="115" ht="23.1" customHeight="1" spans="1:14">
      <c r="A115" s="83" t="s">
        <v>636</v>
      </c>
      <c r="B115" s="41">
        <v>5108</v>
      </c>
      <c r="C115" s="41">
        <v>12</v>
      </c>
      <c r="D115" s="43">
        <v>58</v>
      </c>
      <c r="E115" s="43">
        <v>58</v>
      </c>
      <c r="F115" s="43">
        <v>0</v>
      </c>
      <c r="G115" s="43">
        <v>0</v>
      </c>
      <c r="H115" s="43">
        <v>1</v>
      </c>
      <c r="I115" s="43">
        <v>3.6</v>
      </c>
      <c r="J115" s="43">
        <v>0</v>
      </c>
      <c r="K115" s="41">
        <v>50</v>
      </c>
      <c r="L115" s="43">
        <v>2208</v>
      </c>
      <c r="M115" s="41" t="s">
        <v>632</v>
      </c>
      <c r="N115" s="41">
        <v>0</v>
      </c>
    </row>
    <row r="116" ht="23.1" customHeight="1" spans="1:14">
      <c r="A116" s="83" t="s">
        <v>636</v>
      </c>
      <c r="B116" s="41">
        <v>5108</v>
      </c>
      <c r="C116" s="41">
        <v>13</v>
      </c>
      <c r="D116" s="43">
        <v>60</v>
      </c>
      <c r="E116" s="43">
        <v>60</v>
      </c>
      <c r="F116" s="43">
        <v>0</v>
      </c>
      <c r="G116" s="43">
        <v>0</v>
      </c>
      <c r="H116" s="43">
        <v>1</v>
      </c>
      <c r="I116" s="43">
        <v>3.6</v>
      </c>
      <c r="J116" s="43">
        <v>0</v>
      </c>
      <c r="K116" s="41">
        <v>50</v>
      </c>
      <c r="L116" s="43">
        <v>2208</v>
      </c>
      <c r="M116" s="41" t="s">
        <v>632</v>
      </c>
      <c r="N116" s="41">
        <v>0</v>
      </c>
    </row>
    <row r="117" ht="23.1" customHeight="1" spans="1:14">
      <c r="A117" s="83" t="s">
        <v>636</v>
      </c>
      <c r="B117" s="41">
        <v>5108</v>
      </c>
      <c r="C117" s="41">
        <v>14</v>
      </c>
      <c r="D117" s="43">
        <v>62</v>
      </c>
      <c r="E117" s="43">
        <v>62</v>
      </c>
      <c r="F117" s="43">
        <v>0</v>
      </c>
      <c r="G117" s="43">
        <v>0</v>
      </c>
      <c r="H117" s="43">
        <v>1</v>
      </c>
      <c r="I117" s="43">
        <v>3.6</v>
      </c>
      <c r="J117" s="43">
        <v>0</v>
      </c>
      <c r="K117" s="41">
        <v>50</v>
      </c>
      <c r="L117" s="43">
        <v>2208</v>
      </c>
      <c r="M117" s="41" t="s">
        <v>632</v>
      </c>
      <c r="N117" s="41">
        <v>0</v>
      </c>
    </row>
    <row r="118" ht="23.1" customHeight="1" spans="1:14">
      <c r="A118" s="83" t="s">
        <v>636</v>
      </c>
      <c r="B118" s="41">
        <v>5108</v>
      </c>
      <c r="C118" s="41">
        <v>15</v>
      </c>
      <c r="D118" s="43">
        <v>64</v>
      </c>
      <c r="E118" s="43">
        <v>64</v>
      </c>
      <c r="F118" s="43">
        <v>0</v>
      </c>
      <c r="G118" s="43">
        <v>0</v>
      </c>
      <c r="H118" s="43">
        <v>1</v>
      </c>
      <c r="I118" s="43">
        <v>3.6</v>
      </c>
      <c r="J118" s="43">
        <v>0</v>
      </c>
      <c r="K118" s="41">
        <v>50</v>
      </c>
      <c r="L118" s="43">
        <v>2208</v>
      </c>
      <c r="M118" s="41" t="s">
        <v>632</v>
      </c>
      <c r="N118" s="41">
        <v>0</v>
      </c>
    </row>
    <row r="119" ht="23.1" customHeight="1" spans="1:14">
      <c r="A119" s="83" t="s">
        <v>636</v>
      </c>
      <c r="B119" s="41">
        <v>5108</v>
      </c>
      <c r="C119" s="41">
        <v>16</v>
      </c>
      <c r="D119" s="43">
        <v>70</v>
      </c>
      <c r="E119" s="43">
        <v>70</v>
      </c>
      <c r="F119" s="43">
        <v>0</v>
      </c>
      <c r="G119" s="43">
        <v>0</v>
      </c>
      <c r="H119" s="43">
        <v>1</v>
      </c>
      <c r="I119" s="43">
        <v>3.6</v>
      </c>
      <c r="J119" s="43">
        <v>0</v>
      </c>
      <c r="K119" s="41">
        <v>50</v>
      </c>
      <c r="L119" s="43">
        <v>2208</v>
      </c>
      <c r="M119" s="41" t="s">
        <v>632</v>
      </c>
      <c r="N119" s="41">
        <v>0</v>
      </c>
    </row>
    <row r="120" ht="23.1" customHeight="1" spans="1:14">
      <c r="A120" s="83" t="s">
        <v>636</v>
      </c>
      <c r="B120" s="41">
        <v>5108</v>
      </c>
      <c r="C120" s="41">
        <v>17</v>
      </c>
      <c r="D120" s="43">
        <v>74</v>
      </c>
      <c r="E120" s="43">
        <v>74</v>
      </c>
      <c r="F120" s="43">
        <v>0</v>
      </c>
      <c r="G120" s="43">
        <v>0</v>
      </c>
      <c r="H120" s="43">
        <v>1</v>
      </c>
      <c r="I120" s="43">
        <v>3.6</v>
      </c>
      <c r="J120" s="43">
        <v>0</v>
      </c>
      <c r="K120" s="41">
        <v>50</v>
      </c>
      <c r="L120" s="43">
        <v>2208</v>
      </c>
      <c r="M120" s="41" t="s">
        <v>632</v>
      </c>
      <c r="N120" s="41">
        <v>0</v>
      </c>
    </row>
    <row r="121" ht="23.1" customHeight="1" spans="1:14">
      <c r="A121" s="83" t="s">
        <v>636</v>
      </c>
      <c r="B121" s="41">
        <v>5108</v>
      </c>
      <c r="C121" s="41">
        <v>18</v>
      </c>
      <c r="D121" s="43">
        <v>78</v>
      </c>
      <c r="E121" s="43">
        <v>78</v>
      </c>
      <c r="F121" s="43">
        <v>0</v>
      </c>
      <c r="G121" s="43">
        <v>0</v>
      </c>
      <c r="H121" s="43">
        <v>1</v>
      </c>
      <c r="I121" s="43">
        <v>3.6</v>
      </c>
      <c r="J121" s="43">
        <v>0</v>
      </c>
      <c r="K121" s="41">
        <v>50</v>
      </c>
      <c r="L121" s="43">
        <v>2208</v>
      </c>
      <c r="M121" s="41" t="s">
        <v>632</v>
      </c>
      <c r="N121" s="41">
        <v>0</v>
      </c>
    </row>
    <row r="122" ht="23.1" customHeight="1" spans="1:14">
      <c r="A122" s="83" t="s">
        <v>636</v>
      </c>
      <c r="B122" s="41">
        <v>5108</v>
      </c>
      <c r="C122" s="41">
        <v>19</v>
      </c>
      <c r="D122" s="43">
        <v>82</v>
      </c>
      <c r="E122" s="43">
        <v>82</v>
      </c>
      <c r="F122" s="43">
        <v>0</v>
      </c>
      <c r="G122" s="43">
        <v>0</v>
      </c>
      <c r="H122" s="43">
        <v>1</v>
      </c>
      <c r="I122" s="43">
        <v>3.6</v>
      </c>
      <c r="J122" s="43">
        <v>0</v>
      </c>
      <c r="K122" s="41">
        <v>50</v>
      </c>
      <c r="L122" s="43">
        <v>2208</v>
      </c>
      <c r="M122" s="41" t="s">
        <v>632</v>
      </c>
      <c r="N122" s="41">
        <v>0</v>
      </c>
    </row>
    <row r="123" ht="23.1" customHeight="1" spans="1:14">
      <c r="A123" s="83" t="s">
        <v>636</v>
      </c>
      <c r="B123" s="41">
        <v>5108</v>
      </c>
      <c r="C123" s="41">
        <v>20</v>
      </c>
      <c r="D123" s="43">
        <v>86</v>
      </c>
      <c r="E123" s="43">
        <v>86</v>
      </c>
      <c r="F123" s="43">
        <v>0</v>
      </c>
      <c r="G123" s="43">
        <v>0</v>
      </c>
      <c r="H123" s="43">
        <v>1</v>
      </c>
      <c r="I123" s="43">
        <v>3.6</v>
      </c>
      <c r="J123" s="43">
        <v>0</v>
      </c>
      <c r="K123" s="41">
        <v>50</v>
      </c>
      <c r="L123" s="43">
        <v>2208</v>
      </c>
      <c r="M123" s="41" t="s">
        <v>632</v>
      </c>
      <c r="N123" s="41">
        <v>0</v>
      </c>
    </row>
    <row r="124" ht="23.1" customHeight="1" spans="1:14">
      <c r="A124" s="83" t="s">
        <v>636</v>
      </c>
      <c r="B124" s="41">
        <v>5108</v>
      </c>
      <c r="C124" s="41">
        <v>21</v>
      </c>
      <c r="D124" s="43">
        <v>90</v>
      </c>
      <c r="E124" s="43">
        <v>90</v>
      </c>
      <c r="F124" s="43">
        <v>0</v>
      </c>
      <c r="G124" s="43">
        <v>0</v>
      </c>
      <c r="H124" s="43">
        <v>1</v>
      </c>
      <c r="I124" s="43">
        <v>3.6</v>
      </c>
      <c r="J124" s="43">
        <v>0</v>
      </c>
      <c r="K124" s="41">
        <v>50</v>
      </c>
      <c r="L124" s="43">
        <v>2208</v>
      </c>
      <c r="M124" s="41" t="s">
        <v>632</v>
      </c>
      <c r="N124" s="41">
        <v>0</v>
      </c>
    </row>
    <row r="125" ht="23.1" customHeight="1" spans="1:14">
      <c r="A125" s="83" t="s">
        <v>636</v>
      </c>
      <c r="B125" s="41">
        <v>5108</v>
      </c>
      <c r="C125" s="41">
        <v>22</v>
      </c>
      <c r="D125" s="43">
        <v>92</v>
      </c>
      <c r="E125" s="43">
        <v>92</v>
      </c>
      <c r="F125" s="43">
        <v>0</v>
      </c>
      <c r="G125" s="43">
        <v>0</v>
      </c>
      <c r="H125" s="43">
        <v>1</v>
      </c>
      <c r="I125" s="43">
        <v>3.6</v>
      </c>
      <c r="J125" s="43">
        <v>0</v>
      </c>
      <c r="K125" s="41">
        <v>50</v>
      </c>
      <c r="L125" s="43">
        <v>2208</v>
      </c>
      <c r="M125" s="41" t="s">
        <v>632</v>
      </c>
      <c r="N125" s="41">
        <v>0</v>
      </c>
    </row>
    <row r="126" ht="23.1" customHeight="1" spans="1:14">
      <c r="A126" s="83" t="s">
        <v>636</v>
      </c>
      <c r="B126" s="41">
        <v>5108</v>
      </c>
      <c r="C126" s="41">
        <v>23</v>
      </c>
      <c r="D126" s="43">
        <v>96</v>
      </c>
      <c r="E126" s="43">
        <v>96</v>
      </c>
      <c r="F126" s="43">
        <v>0</v>
      </c>
      <c r="G126" s="43">
        <v>0</v>
      </c>
      <c r="H126" s="43">
        <v>1</v>
      </c>
      <c r="I126" s="43">
        <v>3.6</v>
      </c>
      <c r="J126" s="43">
        <v>0</v>
      </c>
      <c r="K126" s="41">
        <v>50</v>
      </c>
      <c r="L126" s="43">
        <v>2208</v>
      </c>
      <c r="M126" s="41" t="s">
        <v>632</v>
      </c>
      <c r="N126" s="41">
        <v>0</v>
      </c>
    </row>
    <row r="127" ht="23.1" customHeight="1" spans="1:14">
      <c r="A127" s="83" t="s">
        <v>636</v>
      </c>
      <c r="B127" s="41">
        <v>5108</v>
      </c>
      <c r="C127" s="41">
        <v>24</v>
      </c>
      <c r="D127" s="43">
        <v>100</v>
      </c>
      <c r="E127" s="43">
        <v>100</v>
      </c>
      <c r="F127" s="43">
        <v>0</v>
      </c>
      <c r="G127" s="43">
        <v>0</v>
      </c>
      <c r="H127" s="43">
        <v>1</v>
      </c>
      <c r="I127" s="43">
        <v>3.6</v>
      </c>
      <c r="J127" s="43">
        <v>0</v>
      </c>
      <c r="K127" s="41">
        <v>50</v>
      </c>
      <c r="L127" s="43">
        <v>2208</v>
      </c>
      <c r="M127" s="41" t="s">
        <v>632</v>
      </c>
      <c r="N127" s="41">
        <v>0</v>
      </c>
    </row>
    <row r="128" ht="23.1" customHeight="1" spans="1:14">
      <c r="A128" s="83" t="s">
        <v>636</v>
      </c>
      <c r="B128" s="41">
        <v>5108</v>
      </c>
      <c r="C128" s="41">
        <v>25</v>
      </c>
      <c r="D128" s="43">
        <v>106</v>
      </c>
      <c r="E128" s="43">
        <v>106</v>
      </c>
      <c r="F128" s="43">
        <v>0</v>
      </c>
      <c r="G128" s="43">
        <v>0</v>
      </c>
      <c r="H128" s="43">
        <v>1</v>
      </c>
      <c r="I128" s="43">
        <v>3.6</v>
      </c>
      <c r="J128" s="43">
        <v>0</v>
      </c>
      <c r="K128" s="41">
        <v>50</v>
      </c>
      <c r="L128" s="43">
        <v>2208</v>
      </c>
      <c r="M128" s="41" t="s">
        <v>632</v>
      </c>
      <c r="N128" s="41">
        <v>0</v>
      </c>
    </row>
    <row r="129" ht="23.1" customHeight="1" spans="1:14">
      <c r="A129" s="83" t="s">
        <v>637</v>
      </c>
      <c r="B129" s="41">
        <v>5109</v>
      </c>
      <c r="C129" s="41">
        <v>1</v>
      </c>
      <c r="D129" s="43">
        <v>40</v>
      </c>
      <c r="E129" s="43">
        <v>2</v>
      </c>
      <c r="F129" s="43">
        <v>0</v>
      </c>
      <c r="G129" s="43">
        <v>0</v>
      </c>
      <c r="H129" s="43">
        <v>1</v>
      </c>
      <c r="I129" s="43">
        <v>0.5</v>
      </c>
      <c r="J129" s="43">
        <v>10</v>
      </c>
      <c r="K129" s="43">
        <v>60</v>
      </c>
      <c r="L129" s="43">
        <v>2209</v>
      </c>
      <c r="M129" s="41" t="s">
        <v>632</v>
      </c>
      <c r="N129" s="41">
        <v>0</v>
      </c>
    </row>
    <row r="130" ht="23.1" customHeight="1" spans="1:14">
      <c r="A130" s="83" t="s">
        <v>637</v>
      </c>
      <c r="B130" s="41">
        <v>5109</v>
      </c>
      <c r="C130" s="41">
        <v>2</v>
      </c>
      <c r="D130" s="43">
        <v>42</v>
      </c>
      <c r="E130" s="43">
        <v>2</v>
      </c>
      <c r="F130" s="43">
        <v>0</v>
      </c>
      <c r="G130" s="43">
        <v>0</v>
      </c>
      <c r="H130" s="43">
        <v>1</v>
      </c>
      <c r="I130" s="43">
        <v>0.5</v>
      </c>
      <c r="J130" s="43">
        <v>10.5</v>
      </c>
      <c r="K130" s="43">
        <v>60</v>
      </c>
      <c r="L130" s="43">
        <v>2209</v>
      </c>
      <c r="M130" s="41" t="s">
        <v>632</v>
      </c>
      <c r="N130" s="41">
        <v>0</v>
      </c>
    </row>
    <row r="131" ht="23.1" customHeight="1" spans="1:14">
      <c r="A131" s="83" t="s">
        <v>637</v>
      </c>
      <c r="B131" s="41">
        <v>5109</v>
      </c>
      <c r="C131" s="41">
        <v>3</v>
      </c>
      <c r="D131" s="43">
        <v>44</v>
      </c>
      <c r="E131" s="43">
        <v>2</v>
      </c>
      <c r="F131" s="43">
        <v>0</v>
      </c>
      <c r="G131" s="43">
        <v>0</v>
      </c>
      <c r="H131" s="43">
        <v>1</v>
      </c>
      <c r="I131" s="43">
        <v>0.5</v>
      </c>
      <c r="J131" s="43">
        <v>11</v>
      </c>
      <c r="K131" s="43">
        <v>60</v>
      </c>
      <c r="L131" s="43">
        <v>2209</v>
      </c>
      <c r="M131" s="41" t="s">
        <v>632</v>
      </c>
      <c r="N131" s="41">
        <v>0</v>
      </c>
    </row>
    <row r="132" ht="23.1" customHeight="1" spans="1:14">
      <c r="A132" s="83" t="s">
        <v>637</v>
      </c>
      <c r="B132" s="41">
        <v>5109</v>
      </c>
      <c r="C132" s="41">
        <v>4</v>
      </c>
      <c r="D132" s="43">
        <v>46</v>
      </c>
      <c r="E132" s="43">
        <v>2</v>
      </c>
      <c r="F132" s="43">
        <v>0</v>
      </c>
      <c r="G132" s="43">
        <v>0</v>
      </c>
      <c r="H132" s="43">
        <v>1</v>
      </c>
      <c r="I132" s="43">
        <v>0.5</v>
      </c>
      <c r="J132" s="43">
        <v>11.5</v>
      </c>
      <c r="K132" s="43">
        <v>60</v>
      </c>
      <c r="L132" s="43">
        <v>2209</v>
      </c>
      <c r="M132" s="41" t="s">
        <v>632</v>
      </c>
      <c r="N132" s="41">
        <v>0</v>
      </c>
    </row>
    <row r="133" ht="23.1" customHeight="1" spans="1:14">
      <c r="A133" s="83" t="s">
        <v>637</v>
      </c>
      <c r="B133" s="41">
        <v>5109</v>
      </c>
      <c r="C133" s="41">
        <v>5</v>
      </c>
      <c r="D133" s="43">
        <v>48</v>
      </c>
      <c r="E133" s="43">
        <v>2</v>
      </c>
      <c r="F133" s="43">
        <v>0</v>
      </c>
      <c r="G133" s="43">
        <v>0</v>
      </c>
      <c r="H133" s="43">
        <v>1</v>
      </c>
      <c r="I133" s="43">
        <v>0.5</v>
      </c>
      <c r="J133" s="43">
        <v>12</v>
      </c>
      <c r="K133" s="43">
        <v>60</v>
      </c>
      <c r="L133" s="43">
        <v>2209</v>
      </c>
      <c r="M133" s="41" t="s">
        <v>632</v>
      </c>
      <c r="N133" s="41">
        <v>0</v>
      </c>
    </row>
    <row r="134" ht="23.1" customHeight="1" spans="1:14">
      <c r="A134" s="83" t="s">
        <v>637</v>
      </c>
      <c r="B134" s="41">
        <v>5109</v>
      </c>
      <c r="C134" s="41">
        <v>6</v>
      </c>
      <c r="D134" s="43">
        <v>52</v>
      </c>
      <c r="E134" s="43">
        <v>2</v>
      </c>
      <c r="F134" s="43">
        <v>0</v>
      </c>
      <c r="G134" s="43">
        <v>0</v>
      </c>
      <c r="H134" s="43">
        <v>1</v>
      </c>
      <c r="I134" s="43">
        <v>0.5</v>
      </c>
      <c r="J134" s="43">
        <v>13</v>
      </c>
      <c r="K134" s="43">
        <v>60</v>
      </c>
      <c r="L134" s="43">
        <v>2209</v>
      </c>
      <c r="M134" s="41" t="s">
        <v>632</v>
      </c>
      <c r="N134" s="41">
        <v>0</v>
      </c>
    </row>
    <row r="135" ht="23.1" customHeight="1" spans="1:14">
      <c r="A135" s="83" t="s">
        <v>637</v>
      </c>
      <c r="B135" s="41">
        <v>5109</v>
      </c>
      <c r="C135" s="41">
        <v>7</v>
      </c>
      <c r="D135" s="43">
        <v>54</v>
      </c>
      <c r="E135" s="43">
        <v>2</v>
      </c>
      <c r="F135" s="43">
        <v>0</v>
      </c>
      <c r="G135" s="43">
        <v>0</v>
      </c>
      <c r="H135" s="43">
        <v>1</v>
      </c>
      <c r="I135" s="43">
        <v>0.5</v>
      </c>
      <c r="J135" s="43">
        <v>13.5</v>
      </c>
      <c r="K135" s="43">
        <v>60</v>
      </c>
      <c r="L135" s="43">
        <v>2209</v>
      </c>
      <c r="M135" s="41" t="s">
        <v>632</v>
      </c>
      <c r="N135" s="41">
        <v>0</v>
      </c>
    </row>
    <row r="136" ht="23.1" customHeight="1" spans="1:14">
      <c r="A136" s="83" t="s">
        <v>637</v>
      </c>
      <c r="B136" s="41">
        <v>5109</v>
      </c>
      <c r="C136" s="41">
        <v>8</v>
      </c>
      <c r="D136" s="43">
        <v>56</v>
      </c>
      <c r="E136" s="43">
        <v>2</v>
      </c>
      <c r="F136" s="43">
        <v>0</v>
      </c>
      <c r="G136" s="43">
        <v>0</v>
      </c>
      <c r="H136" s="43">
        <v>1</v>
      </c>
      <c r="I136" s="43">
        <v>0.5</v>
      </c>
      <c r="J136" s="43">
        <v>14</v>
      </c>
      <c r="K136" s="43">
        <v>60</v>
      </c>
      <c r="L136" s="43">
        <v>2209</v>
      </c>
      <c r="M136" s="41" t="s">
        <v>632</v>
      </c>
      <c r="N136" s="41">
        <v>0</v>
      </c>
    </row>
    <row r="137" ht="23.1" customHeight="1" spans="1:14">
      <c r="A137" s="83" t="s">
        <v>637</v>
      </c>
      <c r="B137" s="41">
        <v>5109</v>
      </c>
      <c r="C137" s="41">
        <v>9</v>
      </c>
      <c r="D137" s="43">
        <v>58</v>
      </c>
      <c r="E137" s="43">
        <v>2</v>
      </c>
      <c r="F137" s="43">
        <v>0</v>
      </c>
      <c r="G137" s="43">
        <v>0</v>
      </c>
      <c r="H137" s="43">
        <v>1</v>
      </c>
      <c r="I137" s="43">
        <v>0.5</v>
      </c>
      <c r="J137" s="43">
        <v>14.5</v>
      </c>
      <c r="K137" s="43">
        <v>60</v>
      </c>
      <c r="L137" s="43">
        <v>2209</v>
      </c>
      <c r="M137" s="41" t="s">
        <v>632</v>
      </c>
      <c r="N137" s="41">
        <v>0</v>
      </c>
    </row>
    <row r="138" ht="23.1" customHeight="1" spans="1:14">
      <c r="A138" s="83" t="s">
        <v>637</v>
      </c>
      <c r="B138" s="41">
        <v>5109</v>
      </c>
      <c r="C138" s="41">
        <v>10</v>
      </c>
      <c r="D138" s="43">
        <v>60</v>
      </c>
      <c r="E138" s="43">
        <v>2</v>
      </c>
      <c r="F138" s="43">
        <v>0</v>
      </c>
      <c r="G138" s="43">
        <v>0</v>
      </c>
      <c r="H138" s="43">
        <v>1</v>
      </c>
      <c r="I138" s="43">
        <v>0.5</v>
      </c>
      <c r="J138" s="43">
        <v>15</v>
      </c>
      <c r="K138" s="43">
        <v>60</v>
      </c>
      <c r="L138" s="43">
        <v>2209</v>
      </c>
      <c r="M138" s="41" t="s">
        <v>632</v>
      </c>
      <c r="N138" s="41">
        <v>0</v>
      </c>
    </row>
    <row r="139" ht="23.1" customHeight="1" spans="1:14">
      <c r="A139" s="83" t="s">
        <v>637</v>
      </c>
      <c r="B139" s="41">
        <v>5109</v>
      </c>
      <c r="C139" s="41">
        <v>11</v>
      </c>
      <c r="D139" s="43">
        <v>63</v>
      </c>
      <c r="E139" s="43">
        <v>3</v>
      </c>
      <c r="F139" s="43">
        <v>0</v>
      </c>
      <c r="G139" s="43">
        <v>0</v>
      </c>
      <c r="H139" s="43">
        <v>1</v>
      </c>
      <c r="I139" s="43">
        <v>0.5</v>
      </c>
      <c r="J139" s="43">
        <v>10.5</v>
      </c>
      <c r="K139" s="43">
        <v>60</v>
      </c>
      <c r="L139" s="43">
        <v>2209</v>
      </c>
      <c r="M139" s="41" t="s">
        <v>632</v>
      </c>
      <c r="N139" s="41">
        <v>0</v>
      </c>
    </row>
    <row r="140" ht="23.1" customHeight="1" spans="1:14">
      <c r="A140" s="83" t="s">
        <v>637</v>
      </c>
      <c r="B140" s="41">
        <v>5109</v>
      </c>
      <c r="C140" s="41">
        <v>12</v>
      </c>
      <c r="D140" s="43">
        <v>66</v>
      </c>
      <c r="E140" s="43">
        <v>3</v>
      </c>
      <c r="F140" s="43">
        <v>0</v>
      </c>
      <c r="G140" s="43">
        <v>0</v>
      </c>
      <c r="H140" s="43">
        <v>1</v>
      </c>
      <c r="I140" s="43">
        <v>0.5</v>
      </c>
      <c r="J140" s="43">
        <v>11</v>
      </c>
      <c r="K140" s="43">
        <v>60</v>
      </c>
      <c r="L140" s="43">
        <v>2209</v>
      </c>
      <c r="M140" s="41" t="s">
        <v>632</v>
      </c>
      <c r="N140" s="41">
        <v>0</v>
      </c>
    </row>
    <row r="141" ht="23.1" customHeight="1" spans="1:14">
      <c r="A141" s="83" t="s">
        <v>637</v>
      </c>
      <c r="B141" s="41">
        <v>5109</v>
      </c>
      <c r="C141" s="41">
        <v>13</v>
      </c>
      <c r="D141" s="43">
        <v>69</v>
      </c>
      <c r="E141" s="43">
        <v>3</v>
      </c>
      <c r="F141" s="43">
        <v>0</v>
      </c>
      <c r="G141" s="43">
        <v>0</v>
      </c>
      <c r="H141" s="43">
        <v>1</v>
      </c>
      <c r="I141" s="43">
        <v>0.5</v>
      </c>
      <c r="J141" s="43">
        <v>11.5</v>
      </c>
      <c r="K141" s="43">
        <v>60</v>
      </c>
      <c r="L141" s="43">
        <v>2209</v>
      </c>
      <c r="M141" s="41" t="s">
        <v>632</v>
      </c>
      <c r="N141" s="41">
        <v>0</v>
      </c>
    </row>
    <row r="142" ht="23.1" customHeight="1" spans="1:14">
      <c r="A142" s="83" t="s">
        <v>637</v>
      </c>
      <c r="B142" s="41">
        <v>5109</v>
      </c>
      <c r="C142" s="41">
        <v>14</v>
      </c>
      <c r="D142" s="43">
        <v>72</v>
      </c>
      <c r="E142" s="43">
        <v>3</v>
      </c>
      <c r="F142" s="43">
        <v>0</v>
      </c>
      <c r="G142" s="43">
        <v>0</v>
      </c>
      <c r="H142" s="43">
        <v>1</v>
      </c>
      <c r="I142" s="43">
        <v>0.5</v>
      </c>
      <c r="J142" s="43">
        <v>12</v>
      </c>
      <c r="K142" s="43">
        <v>60</v>
      </c>
      <c r="L142" s="43">
        <v>2209</v>
      </c>
      <c r="M142" s="41" t="s">
        <v>632</v>
      </c>
      <c r="N142" s="41">
        <v>0</v>
      </c>
    </row>
    <row r="143" ht="23.1" customHeight="1" spans="1:14">
      <c r="A143" s="83" t="s">
        <v>637</v>
      </c>
      <c r="B143" s="41">
        <v>5109</v>
      </c>
      <c r="C143" s="41">
        <v>15</v>
      </c>
      <c r="D143" s="43">
        <v>75</v>
      </c>
      <c r="E143" s="43">
        <v>3</v>
      </c>
      <c r="F143" s="43">
        <v>0</v>
      </c>
      <c r="G143" s="43">
        <v>0</v>
      </c>
      <c r="H143" s="43">
        <v>1</v>
      </c>
      <c r="I143" s="43">
        <v>0.5</v>
      </c>
      <c r="J143" s="43">
        <v>12.5</v>
      </c>
      <c r="K143" s="43">
        <v>60</v>
      </c>
      <c r="L143" s="43">
        <v>2209</v>
      </c>
      <c r="M143" s="41" t="s">
        <v>632</v>
      </c>
      <c r="N143" s="41">
        <v>0</v>
      </c>
    </row>
    <row r="144" ht="23.1" customHeight="1" spans="1:14">
      <c r="A144" s="83" t="s">
        <v>637</v>
      </c>
      <c r="B144" s="41">
        <v>5109</v>
      </c>
      <c r="C144" s="41">
        <v>16</v>
      </c>
      <c r="D144" s="43">
        <v>80</v>
      </c>
      <c r="E144" s="43">
        <v>4</v>
      </c>
      <c r="F144" s="43">
        <v>0</v>
      </c>
      <c r="G144" s="43">
        <v>0</v>
      </c>
      <c r="H144" s="43">
        <v>1</v>
      </c>
      <c r="I144" s="43">
        <v>0.5</v>
      </c>
      <c r="J144" s="43">
        <v>10</v>
      </c>
      <c r="K144" s="43">
        <v>60</v>
      </c>
      <c r="L144" s="43">
        <v>2209</v>
      </c>
      <c r="M144" s="41" t="s">
        <v>632</v>
      </c>
      <c r="N144" s="41">
        <v>0</v>
      </c>
    </row>
    <row r="145" ht="23.1" customHeight="1" spans="1:14">
      <c r="A145" s="83" t="s">
        <v>637</v>
      </c>
      <c r="B145" s="41">
        <v>5109</v>
      </c>
      <c r="C145" s="41">
        <v>17</v>
      </c>
      <c r="D145" s="43">
        <v>84</v>
      </c>
      <c r="E145" s="43">
        <v>4</v>
      </c>
      <c r="F145" s="43">
        <v>0</v>
      </c>
      <c r="G145" s="43">
        <v>0</v>
      </c>
      <c r="H145" s="43">
        <v>1</v>
      </c>
      <c r="I145" s="43">
        <v>0.5</v>
      </c>
      <c r="J145" s="43">
        <v>10.5</v>
      </c>
      <c r="K145" s="43">
        <v>60</v>
      </c>
      <c r="L145" s="43">
        <v>2209</v>
      </c>
      <c r="M145" s="41" t="s">
        <v>632</v>
      </c>
      <c r="N145" s="41">
        <v>0</v>
      </c>
    </row>
    <row r="146" ht="23.1" customHeight="1" spans="1:14">
      <c r="A146" s="83" t="s">
        <v>637</v>
      </c>
      <c r="B146" s="41">
        <v>5109</v>
      </c>
      <c r="C146" s="41">
        <v>18</v>
      </c>
      <c r="D146" s="43">
        <v>88</v>
      </c>
      <c r="E146" s="43">
        <v>4</v>
      </c>
      <c r="F146" s="43">
        <v>0</v>
      </c>
      <c r="G146" s="43">
        <v>0</v>
      </c>
      <c r="H146" s="43">
        <v>1</v>
      </c>
      <c r="I146" s="43">
        <v>0.5</v>
      </c>
      <c r="J146" s="43">
        <v>11</v>
      </c>
      <c r="K146" s="43">
        <v>60</v>
      </c>
      <c r="L146" s="43">
        <v>2209</v>
      </c>
      <c r="M146" s="41" t="s">
        <v>632</v>
      </c>
      <c r="N146" s="41">
        <v>0</v>
      </c>
    </row>
    <row r="147" ht="23.1" customHeight="1" spans="1:14">
      <c r="A147" s="83" t="s">
        <v>637</v>
      </c>
      <c r="B147" s="41">
        <v>5109</v>
      </c>
      <c r="C147" s="41">
        <v>19</v>
      </c>
      <c r="D147" s="43">
        <v>92</v>
      </c>
      <c r="E147" s="43">
        <v>4</v>
      </c>
      <c r="F147" s="43">
        <v>0</v>
      </c>
      <c r="G147" s="43">
        <v>0</v>
      </c>
      <c r="H147" s="43">
        <v>1</v>
      </c>
      <c r="I147" s="43">
        <v>0.5</v>
      </c>
      <c r="J147" s="43">
        <v>11.5</v>
      </c>
      <c r="K147" s="43">
        <v>60</v>
      </c>
      <c r="L147" s="43">
        <v>2209</v>
      </c>
      <c r="M147" s="41" t="s">
        <v>632</v>
      </c>
      <c r="N147" s="41">
        <v>0</v>
      </c>
    </row>
    <row r="148" ht="23.1" customHeight="1" spans="1:14">
      <c r="A148" s="83" t="s">
        <v>637</v>
      </c>
      <c r="B148" s="41">
        <v>5109</v>
      </c>
      <c r="C148" s="41">
        <v>20</v>
      </c>
      <c r="D148" s="43">
        <v>96</v>
      </c>
      <c r="E148" s="43">
        <v>4</v>
      </c>
      <c r="F148" s="43">
        <v>0</v>
      </c>
      <c r="G148" s="43">
        <v>0</v>
      </c>
      <c r="H148" s="43">
        <v>1</v>
      </c>
      <c r="I148" s="43">
        <v>0.5</v>
      </c>
      <c r="J148" s="43">
        <v>12</v>
      </c>
      <c r="K148" s="43">
        <v>60</v>
      </c>
      <c r="L148" s="43">
        <v>2209</v>
      </c>
      <c r="M148" s="41" t="s">
        <v>632</v>
      </c>
      <c r="N148" s="41">
        <v>0</v>
      </c>
    </row>
    <row r="149" ht="23.1" customHeight="1" spans="1:14">
      <c r="A149" s="83" t="s">
        <v>637</v>
      </c>
      <c r="B149" s="41">
        <v>5109</v>
      </c>
      <c r="C149" s="41">
        <v>21</v>
      </c>
      <c r="D149" s="43">
        <v>100</v>
      </c>
      <c r="E149" s="43">
        <v>4</v>
      </c>
      <c r="F149" s="43">
        <v>0</v>
      </c>
      <c r="G149" s="43">
        <v>0</v>
      </c>
      <c r="H149" s="43">
        <v>1</v>
      </c>
      <c r="I149" s="43">
        <v>0.5</v>
      </c>
      <c r="J149" s="43">
        <v>12.5</v>
      </c>
      <c r="K149" s="43">
        <v>60</v>
      </c>
      <c r="L149" s="43">
        <v>2209</v>
      </c>
      <c r="M149" s="41" t="s">
        <v>632</v>
      </c>
      <c r="N149" s="41">
        <v>0</v>
      </c>
    </row>
    <row r="150" ht="23.1" customHeight="1" spans="1:14">
      <c r="A150" s="83" t="s">
        <v>637</v>
      </c>
      <c r="B150" s="41">
        <v>5109</v>
      </c>
      <c r="C150" s="41">
        <v>22</v>
      </c>
      <c r="D150" s="43">
        <v>104</v>
      </c>
      <c r="E150" s="43">
        <v>4</v>
      </c>
      <c r="F150" s="43">
        <v>0</v>
      </c>
      <c r="G150" s="43">
        <v>0</v>
      </c>
      <c r="H150" s="43">
        <v>1</v>
      </c>
      <c r="I150" s="43">
        <v>0.5</v>
      </c>
      <c r="J150" s="43">
        <v>13</v>
      </c>
      <c r="K150" s="43">
        <v>60</v>
      </c>
      <c r="L150" s="43">
        <v>2209</v>
      </c>
      <c r="M150" s="41" t="s">
        <v>632</v>
      </c>
      <c r="N150" s="41">
        <v>0</v>
      </c>
    </row>
    <row r="151" ht="23.1" customHeight="1" spans="1:14">
      <c r="A151" s="83" t="s">
        <v>637</v>
      </c>
      <c r="B151" s="41">
        <v>5109</v>
      </c>
      <c r="C151" s="41">
        <v>23</v>
      </c>
      <c r="D151" s="43">
        <v>108</v>
      </c>
      <c r="E151" s="43">
        <v>4</v>
      </c>
      <c r="F151" s="43">
        <v>0</v>
      </c>
      <c r="G151" s="43">
        <v>0</v>
      </c>
      <c r="H151" s="43">
        <v>1</v>
      </c>
      <c r="I151" s="43">
        <v>0.5</v>
      </c>
      <c r="J151" s="43">
        <v>13.5</v>
      </c>
      <c r="K151" s="43">
        <v>60</v>
      </c>
      <c r="L151" s="43">
        <v>2209</v>
      </c>
      <c r="M151" s="41" t="s">
        <v>632</v>
      </c>
      <c r="N151" s="41">
        <v>0</v>
      </c>
    </row>
    <row r="152" ht="23.1" customHeight="1" spans="1:14">
      <c r="A152" s="83" t="s">
        <v>637</v>
      </c>
      <c r="B152" s="41">
        <v>5109</v>
      </c>
      <c r="C152" s="41">
        <v>24</v>
      </c>
      <c r="D152" s="43">
        <v>112</v>
      </c>
      <c r="E152" s="43">
        <v>4</v>
      </c>
      <c r="F152" s="43">
        <v>0</v>
      </c>
      <c r="G152" s="43">
        <v>0</v>
      </c>
      <c r="H152" s="43">
        <v>1</v>
      </c>
      <c r="I152" s="43">
        <v>0.5</v>
      </c>
      <c r="J152" s="43">
        <v>14</v>
      </c>
      <c r="K152" s="43">
        <v>60</v>
      </c>
      <c r="L152" s="43">
        <v>2209</v>
      </c>
      <c r="M152" s="41" t="s">
        <v>632</v>
      </c>
      <c r="N152" s="41">
        <v>0</v>
      </c>
    </row>
    <row r="153" ht="23.1" customHeight="1" spans="1:14">
      <c r="A153" s="83" t="s">
        <v>637</v>
      </c>
      <c r="B153" s="41">
        <v>5109</v>
      </c>
      <c r="C153" s="41">
        <v>25</v>
      </c>
      <c r="D153" s="43">
        <v>120</v>
      </c>
      <c r="E153" s="43">
        <v>4</v>
      </c>
      <c r="F153" s="43">
        <v>0</v>
      </c>
      <c r="G153" s="43">
        <v>0</v>
      </c>
      <c r="H153" s="43">
        <v>1</v>
      </c>
      <c r="I153" s="43">
        <v>0.5</v>
      </c>
      <c r="J153" s="43">
        <v>15</v>
      </c>
      <c r="K153" s="43">
        <v>60</v>
      </c>
      <c r="L153" s="43">
        <v>2209</v>
      </c>
      <c r="M153" s="41" t="s">
        <v>632</v>
      </c>
      <c r="N153" s="41">
        <v>0</v>
      </c>
    </row>
    <row r="154" ht="23.1" customHeight="1" spans="1:14">
      <c r="A154" s="83" t="s">
        <v>638</v>
      </c>
      <c r="B154" s="41">
        <v>5110</v>
      </c>
      <c r="C154" s="41">
        <v>1</v>
      </c>
      <c r="D154" s="41">
        <v>72</v>
      </c>
      <c r="E154" s="41">
        <v>2</v>
      </c>
      <c r="F154" s="41">
        <v>0</v>
      </c>
      <c r="G154" s="41">
        <v>0</v>
      </c>
      <c r="H154" s="41">
        <v>18</v>
      </c>
      <c r="I154" s="41">
        <v>0.15</v>
      </c>
      <c r="J154" s="41">
        <v>0</v>
      </c>
      <c r="K154" s="41">
        <v>50</v>
      </c>
      <c r="L154" s="41">
        <v>2210</v>
      </c>
      <c r="M154" s="41" t="s">
        <v>632</v>
      </c>
      <c r="N154" s="41">
        <v>0</v>
      </c>
    </row>
    <row r="155" ht="23.1" customHeight="1" spans="1:14">
      <c r="A155" s="83" t="s">
        <v>638</v>
      </c>
      <c r="B155" s="41">
        <v>5110</v>
      </c>
      <c r="C155" s="41">
        <v>2</v>
      </c>
      <c r="D155" s="41">
        <v>76</v>
      </c>
      <c r="E155" s="41">
        <v>2</v>
      </c>
      <c r="F155" s="41">
        <v>0</v>
      </c>
      <c r="G155" s="41">
        <v>0</v>
      </c>
      <c r="H155" s="41">
        <v>19</v>
      </c>
      <c r="I155" s="41">
        <v>0.15</v>
      </c>
      <c r="J155" s="41">
        <v>0</v>
      </c>
      <c r="K155" s="41">
        <v>50</v>
      </c>
      <c r="L155" s="41">
        <v>2210</v>
      </c>
      <c r="M155" s="41" t="s">
        <v>632</v>
      </c>
      <c r="N155" s="41">
        <v>0</v>
      </c>
    </row>
    <row r="156" ht="23.1" customHeight="1" spans="1:14">
      <c r="A156" s="83" t="s">
        <v>638</v>
      </c>
      <c r="B156" s="41">
        <v>5110</v>
      </c>
      <c r="C156" s="41">
        <v>3</v>
      </c>
      <c r="D156" s="41">
        <v>80</v>
      </c>
      <c r="E156" s="41">
        <v>2</v>
      </c>
      <c r="F156" s="41">
        <v>0</v>
      </c>
      <c r="G156" s="41">
        <v>0</v>
      </c>
      <c r="H156" s="41">
        <v>20</v>
      </c>
      <c r="I156" s="41">
        <v>0.15</v>
      </c>
      <c r="J156" s="41">
        <v>0</v>
      </c>
      <c r="K156" s="41">
        <v>50</v>
      </c>
      <c r="L156" s="41">
        <v>2210</v>
      </c>
      <c r="M156" s="41" t="s">
        <v>632</v>
      </c>
      <c r="N156" s="41">
        <v>0</v>
      </c>
    </row>
    <row r="157" ht="23.1" customHeight="1" spans="1:14">
      <c r="A157" s="83" t="s">
        <v>638</v>
      </c>
      <c r="B157" s="41">
        <v>5110</v>
      </c>
      <c r="C157" s="41">
        <v>4</v>
      </c>
      <c r="D157" s="41">
        <v>84</v>
      </c>
      <c r="E157" s="41">
        <v>2</v>
      </c>
      <c r="F157" s="41">
        <v>0</v>
      </c>
      <c r="G157" s="41">
        <v>0</v>
      </c>
      <c r="H157" s="41">
        <v>21</v>
      </c>
      <c r="I157" s="41">
        <v>0.15</v>
      </c>
      <c r="J157" s="41">
        <v>0</v>
      </c>
      <c r="K157" s="41">
        <v>50</v>
      </c>
      <c r="L157" s="41">
        <v>2210</v>
      </c>
      <c r="M157" s="41" t="s">
        <v>632</v>
      </c>
      <c r="N157" s="41">
        <v>0</v>
      </c>
    </row>
    <row r="158" ht="23.1" customHeight="1" spans="1:14">
      <c r="A158" s="83" t="s">
        <v>638</v>
      </c>
      <c r="B158" s="41">
        <v>5110</v>
      </c>
      <c r="C158" s="41">
        <v>5</v>
      </c>
      <c r="D158" s="41">
        <v>88</v>
      </c>
      <c r="E158" s="41">
        <v>2</v>
      </c>
      <c r="F158" s="41">
        <v>0</v>
      </c>
      <c r="G158" s="41">
        <v>0</v>
      </c>
      <c r="H158" s="41">
        <v>22</v>
      </c>
      <c r="I158" s="41">
        <v>0.15</v>
      </c>
      <c r="J158" s="41">
        <v>0</v>
      </c>
      <c r="K158" s="41">
        <v>50</v>
      </c>
      <c r="L158" s="41">
        <v>2210</v>
      </c>
      <c r="M158" s="41" t="s">
        <v>632</v>
      </c>
      <c r="N158" s="41">
        <v>0</v>
      </c>
    </row>
    <row r="159" ht="23.1" customHeight="1" spans="1:14">
      <c r="A159" s="83" t="s">
        <v>638</v>
      </c>
      <c r="B159" s="41">
        <v>5110</v>
      </c>
      <c r="C159" s="41">
        <v>6</v>
      </c>
      <c r="D159" s="41">
        <v>96</v>
      </c>
      <c r="E159" s="41">
        <v>2</v>
      </c>
      <c r="F159" s="41">
        <v>0</v>
      </c>
      <c r="G159" s="41">
        <v>0</v>
      </c>
      <c r="H159" s="41">
        <v>24</v>
      </c>
      <c r="I159" s="41">
        <v>0.15</v>
      </c>
      <c r="J159" s="41">
        <v>0</v>
      </c>
      <c r="K159" s="41">
        <v>50</v>
      </c>
      <c r="L159" s="41">
        <v>2210</v>
      </c>
      <c r="M159" s="41" t="s">
        <v>632</v>
      </c>
      <c r="N159" s="41">
        <v>0</v>
      </c>
    </row>
    <row r="160" ht="23.1" customHeight="1" spans="1:14">
      <c r="A160" s="83" t="s">
        <v>638</v>
      </c>
      <c r="B160" s="41">
        <v>5110</v>
      </c>
      <c r="C160" s="41">
        <v>7</v>
      </c>
      <c r="D160" s="41">
        <v>100</v>
      </c>
      <c r="E160" s="41">
        <v>2</v>
      </c>
      <c r="F160" s="41">
        <v>0</v>
      </c>
      <c r="G160" s="41">
        <v>0</v>
      </c>
      <c r="H160" s="41">
        <v>25</v>
      </c>
      <c r="I160" s="41">
        <v>0.15</v>
      </c>
      <c r="J160" s="41">
        <v>0</v>
      </c>
      <c r="K160" s="41">
        <v>50</v>
      </c>
      <c r="L160" s="41">
        <v>2210</v>
      </c>
      <c r="M160" s="41" t="s">
        <v>632</v>
      </c>
      <c r="N160" s="41">
        <v>0</v>
      </c>
    </row>
    <row r="161" ht="23.1" customHeight="1" spans="1:14">
      <c r="A161" s="83" t="s">
        <v>638</v>
      </c>
      <c r="B161" s="41">
        <v>5110</v>
      </c>
      <c r="C161" s="41">
        <v>8</v>
      </c>
      <c r="D161" s="41">
        <v>104</v>
      </c>
      <c r="E161" s="41">
        <v>2</v>
      </c>
      <c r="F161" s="41">
        <v>0</v>
      </c>
      <c r="G161" s="41">
        <v>0</v>
      </c>
      <c r="H161" s="41">
        <v>26</v>
      </c>
      <c r="I161" s="41">
        <v>0.15</v>
      </c>
      <c r="J161" s="41">
        <v>0</v>
      </c>
      <c r="K161" s="41">
        <v>50</v>
      </c>
      <c r="L161" s="41">
        <v>2210</v>
      </c>
      <c r="M161" s="41" t="s">
        <v>632</v>
      </c>
      <c r="N161" s="41">
        <v>0</v>
      </c>
    </row>
    <row r="162" ht="23.1" customHeight="1" spans="1:14">
      <c r="A162" s="83" t="s">
        <v>638</v>
      </c>
      <c r="B162" s="41">
        <v>5110</v>
      </c>
      <c r="C162" s="41">
        <v>9</v>
      </c>
      <c r="D162" s="41">
        <v>108</v>
      </c>
      <c r="E162" s="41">
        <v>2</v>
      </c>
      <c r="F162" s="41">
        <v>0</v>
      </c>
      <c r="G162" s="41">
        <v>0</v>
      </c>
      <c r="H162" s="41">
        <v>27</v>
      </c>
      <c r="I162" s="41">
        <v>0.15</v>
      </c>
      <c r="J162" s="41">
        <v>0</v>
      </c>
      <c r="K162" s="41">
        <v>50</v>
      </c>
      <c r="L162" s="41">
        <v>2210</v>
      </c>
      <c r="M162" s="41" t="s">
        <v>632</v>
      </c>
      <c r="N162" s="41">
        <v>0</v>
      </c>
    </row>
    <row r="163" ht="23.1" customHeight="1" spans="1:14">
      <c r="A163" s="83" t="s">
        <v>638</v>
      </c>
      <c r="B163" s="41">
        <v>5110</v>
      </c>
      <c r="C163" s="41">
        <v>10</v>
      </c>
      <c r="D163" s="41">
        <v>112</v>
      </c>
      <c r="E163" s="41">
        <v>2</v>
      </c>
      <c r="F163" s="41">
        <v>0</v>
      </c>
      <c r="G163" s="41">
        <v>0</v>
      </c>
      <c r="H163" s="41">
        <v>28</v>
      </c>
      <c r="I163" s="41">
        <v>0.15</v>
      </c>
      <c r="J163" s="41">
        <v>0</v>
      </c>
      <c r="K163" s="41">
        <v>50</v>
      </c>
      <c r="L163" s="41">
        <v>2210</v>
      </c>
      <c r="M163" s="41" t="s">
        <v>632</v>
      </c>
      <c r="N163" s="41">
        <v>0</v>
      </c>
    </row>
    <row r="164" ht="23.1" customHeight="1" spans="1:14">
      <c r="A164" s="83" t="s">
        <v>638</v>
      </c>
      <c r="B164" s="41">
        <v>5110</v>
      </c>
      <c r="C164" s="41">
        <v>11</v>
      </c>
      <c r="D164" s="41">
        <v>120</v>
      </c>
      <c r="E164" s="41">
        <v>2</v>
      </c>
      <c r="F164" s="41">
        <v>0</v>
      </c>
      <c r="G164" s="41">
        <v>0</v>
      </c>
      <c r="H164" s="41">
        <v>30</v>
      </c>
      <c r="I164" s="41">
        <v>0.15</v>
      </c>
      <c r="J164" s="41">
        <v>0</v>
      </c>
      <c r="K164" s="41">
        <v>50</v>
      </c>
      <c r="L164" s="41">
        <v>2210</v>
      </c>
      <c r="M164" s="41" t="s">
        <v>632</v>
      </c>
      <c r="N164" s="41">
        <v>0</v>
      </c>
    </row>
    <row r="165" ht="23.1" customHeight="1" spans="1:14">
      <c r="A165" s="83" t="s">
        <v>638</v>
      </c>
      <c r="B165" s="41">
        <v>5110</v>
      </c>
      <c r="C165" s="41">
        <v>12</v>
      </c>
      <c r="D165" s="41">
        <v>124</v>
      </c>
      <c r="E165" s="41">
        <v>2</v>
      </c>
      <c r="F165" s="41">
        <v>0</v>
      </c>
      <c r="G165" s="41">
        <v>0</v>
      </c>
      <c r="H165" s="41">
        <v>31</v>
      </c>
      <c r="I165" s="41">
        <v>0.15</v>
      </c>
      <c r="J165" s="41">
        <v>0</v>
      </c>
      <c r="K165" s="41">
        <v>50</v>
      </c>
      <c r="L165" s="41">
        <v>2210</v>
      </c>
      <c r="M165" s="41" t="s">
        <v>632</v>
      </c>
      <c r="N165" s="41">
        <v>0</v>
      </c>
    </row>
    <row r="166" ht="23.1" customHeight="1" spans="1:14">
      <c r="A166" s="83" t="s">
        <v>638</v>
      </c>
      <c r="B166" s="41">
        <v>5110</v>
      </c>
      <c r="C166" s="41">
        <v>13</v>
      </c>
      <c r="D166" s="41">
        <v>128</v>
      </c>
      <c r="E166" s="41">
        <v>2</v>
      </c>
      <c r="F166" s="41">
        <v>0</v>
      </c>
      <c r="G166" s="41">
        <v>0</v>
      </c>
      <c r="H166" s="41">
        <v>32</v>
      </c>
      <c r="I166" s="41">
        <v>0.15</v>
      </c>
      <c r="J166" s="41">
        <v>0</v>
      </c>
      <c r="K166" s="41">
        <v>50</v>
      </c>
      <c r="L166" s="41">
        <v>2210</v>
      </c>
      <c r="M166" s="41" t="s">
        <v>632</v>
      </c>
      <c r="N166" s="41">
        <v>0</v>
      </c>
    </row>
    <row r="167" ht="23.1" customHeight="1" spans="1:14">
      <c r="A167" s="83" t="s">
        <v>638</v>
      </c>
      <c r="B167" s="41">
        <v>5110</v>
      </c>
      <c r="C167" s="41">
        <v>14</v>
      </c>
      <c r="D167" s="41">
        <v>132</v>
      </c>
      <c r="E167" s="41">
        <v>2</v>
      </c>
      <c r="F167" s="41">
        <v>0</v>
      </c>
      <c r="G167" s="41">
        <v>0</v>
      </c>
      <c r="H167" s="41">
        <v>33</v>
      </c>
      <c r="I167" s="41">
        <v>0.15</v>
      </c>
      <c r="J167" s="41">
        <v>0</v>
      </c>
      <c r="K167" s="41">
        <v>50</v>
      </c>
      <c r="L167" s="41">
        <v>2210</v>
      </c>
      <c r="M167" s="41" t="s">
        <v>632</v>
      </c>
      <c r="N167" s="41">
        <v>0</v>
      </c>
    </row>
    <row r="168" ht="23.1" customHeight="1" spans="1:14">
      <c r="A168" s="83" t="s">
        <v>638</v>
      </c>
      <c r="B168" s="41">
        <v>5110</v>
      </c>
      <c r="C168" s="41">
        <v>15</v>
      </c>
      <c r="D168" s="41">
        <v>136</v>
      </c>
      <c r="E168" s="41">
        <v>2</v>
      </c>
      <c r="F168" s="41">
        <v>0</v>
      </c>
      <c r="G168" s="41">
        <v>0</v>
      </c>
      <c r="H168" s="41">
        <v>34</v>
      </c>
      <c r="I168" s="41">
        <v>0.15</v>
      </c>
      <c r="J168" s="41">
        <v>0</v>
      </c>
      <c r="K168" s="41">
        <v>50</v>
      </c>
      <c r="L168" s="41">
        <v>2210</v>
      </c>
      <c r="M168" s="41" t="s">
        <v>632</v>
      </c>
      <c r="N168" s="41">
        <v>0</v>
      </c>
    </row>
    <row r="169" ht="23.1" customHeight="1" spans="1:14">
      <c r="A169" s="83" t="s">
        <v>638</v>
      </c>
      <c r="B169" s="41">
        <v>5110</v>
      </c>
      <c r="C169" s="41">
        <v>16</v>
      </c>
      <c r="D169" s="41">
        <v>144</v>
      </c>
      <c r="E169" s="41">
        <v>2</v>
      </c>
      <c r="F169" s="41">
        <v>0</v>
      </c>
      <c r="G169" s="41">
        <v>0</v>
      </c>
      <c r="H169" s="41">
        <v>36</v>
      </c>
      <c r="I169" s="41">
        <v>0.15</v>
      </c>
      <c r="J169" s="41">
        <v>0</v>
      </c>
      <c r="K169" s="41">
        <v>50</v>
      </c>
      <c r="L169" s="41">
        <v>2210</v>
      </c>
      <c r="M169" s="41" t="s">
        <v>632</v>
      </c>
      <c r="N169" s="41">
        <v>0</v>
      </c>
    </row>
    <row r="170" ht="23.1" customHeight="1" spans="1:14">
      <c r="A170" s="83" t="s">
        <v>638</v>
      </c>
      <c r="B170" s="41">
        <v>5110</v>
      </c>
      <c r="C170" s="41">
        <v>17</v>
      </c>
      <c r="D170" s="41">
        <v>148</v>
      </c>
      <c r="E170" s="41">
        <v>2</v>
      </c>
      <c r="F170" s="41">
        <v>0</v>
      </c>
      <c r="G170" s="41">
        <v>0</v>
      </c>
      <c r="H170" s="41">
        <v>37</v>
      </c>
      <c r="I170" s="41">
        <v>0.15</v>
      </c>
      <c r="J170" s="41">
        <v>0</v>
      </c>
      <c r="K170" s="41">
        <v>50</v>
      </c>
      <c r="L170" s="41">
        <v>2210</v>
      </c>
      <c r="M170" s="41" t="s">
        <v>632</v>
      </c>
      <c r="N170" s="41">
        <v>0</v>
      </c>
    </row>
    <row r="171" ht="23.1" customHeight="1" spans="1:14">
      <c r="A171" s="83" t="s">
        <v>638</v>
      </c>
      <c r="B171" s="41">
        <v>5110</v>
      </c>
      <c r="C171" s="41">
        <v>18</v>
      </c>
      <c r="D171" s="41">
        <v>152</v>
      </c>
      <c r="E171" s="41">
        <v>2</v>
      </c>
      <c r="F171" s="41">
        <v>0</v>
      </c>
      <c r="G171" s="41">
        <v>0</v>
      </c>
      <c r="H171" s="41">
        <v>38</v>
      </c>
      <c r="I171" s="41">
        <v>0.15</v>
      </c>
      <c r="J171" s="41">
        <v>0</v>
      </c>
      <c r="K171" s="41">
        <v>50</v>
      </c>
      <c r="L171" s="41">
        <v>2210</v>
      </c>
      <c r="M171" s="41" t="s">
        <v>632</v>
      </c>
      <c r="N171" s="41">
        <v>0</v>
      </c>
    </row>
    <row r="172" ht="23.1" customHeight="1" spans="1:14">
      <c r="A172" s="83" t="s">
        <v>638</v>
      </c>
      <c r="B172" s="41">
        <v>5110</v>
      </c>
      <c r="C172" s="41">
        <v>19</v>
      </c>
      <c r="D172" s="41">
        <v>156</v>
      </c>
      <c r="E172" s="41">
        <v>2</v>
      </c>
      <c r="F172" s="41">
        <v>0</v>
      </c>
      <c r="G172" s="41">
        <v>0</v>
      </c>
      <c r="H172" s="41">
        <v>39</v>
      </c>
      <c r="I172" s="41">
        <v>0.15</v>
      </c>
      <c r="J172" s="41">
        <v>0</v>
      </c>
      <c r="K172" s="41">
        <v>50</v>
      </c>
      <c r="L172" s="41">
        <v>2210</v>
      </c>
      <c r="M172" s="41" t="s">
        <v>632</v>
      </c>
      <c r="N172" s="41">
        <v>0</v>
      </c>
    </row>
    <row r="173" ht="23.1" customHeight="1" spans="1:14">
      <c r="A173" s="83" t="s">
        <v>638</v>
      </c>
      <c r="B173" s="41">
        <v>5110</v>
      </c>
      <c r="C173" s="41">
        <v>20</v>
      </c>
      <c r="D173" s="41">
        <v>160</v>
      </c>
      <c r="E173" s="41">
        <v>2</v>
      </c>
      <c r="F173" s="41">
        <v>0</v>
      </c>
      <c r="G173" s="41">
        <v>0</v>
      </c>
      <c r="H173" s="41">
        <v>40</v>
      </c>
      <c r="I173" s="41">
        <v>0.15</v>
      </c>
      <c r="J173" s="41">
        <v>0</v>
      </c>
      <c r="K173" s="41">
        <v>50</v>
      </c>
      <c r="L173" s="41">
        <v>2210</v>
      </c>
      <c r="M173" s="41" t="s">
        <v>632</v>
      </c>
      <c r="N173" s="41">
        <v>0</v>
      </c>
    </row>
    <row r="174" ht="23.1" customHeight="1" spans="1:14">
      <c r="A174" s="83" t="s">
        <v>638</v>
      </c>
      <c r="B174" s="41">
        <v>5110</v>
      </c>
      <c r="C174" s="41">
        <v>21</v>
      </c>
      <c r="D174" s="41">
        <v>172</v>
      </c>
      <c r="E174" s="41">
        <v>2</v>
      </c>
      <c r="F174" s="41">
        <v>0</v>
      </c>
      <c r="G174" s="41">
        <v>0</v>
      </c>
      <c r="H174" s="41">
        <v>43</v>
      </c>
      <c r="I174" s="41">
        <v>0.15</v>
      </c>
      <c r="J174" s="41">
        <v>0</v>
      </c>
      <c r="K174" s="41">
        <v>50</v>
      </c>
      <c r="L174" s="41">
        <v>2210</v>
      </c>
      <c r="M174" s="41" t="s">
        <v>632</v>
      </c>
      <c r="N174" s="41">
        <v>0</v>
      </c>
    </row>
    <row r="175" ht="23.1" customHeight="1" spans="1:14">
      <c r="A175" s="83" t="s">
        <v>638</v>
      </c>
      <c r="B175" s="41">
        <v>5110</v>
      </c>
      <c r="C175" s="41">
        <v>22</v>
      </c>
      <c r="D175" s="41">
        <v>176</v>
      </c>
      <c r="E175" s="41">
        <v>2</v>
      </c>
      <c r="F175" s="41">
        <v>0</v>
      </c>
      <c r="G175" s="41">
        <v>0</v>
      </c>
      <c r="H175" s="41">
        <v>44</v>
      </c>
      <c r="I175" s="41">
        <v>0.15</v>
      </c>
      <c r="J175" s="41">
        <v>0</v>
      </c>
      <c r="K175" s="41">
        <v>50</v>
      </c>
      <c r="L175" s="41">
        <v>2210</v>
      </c>
      <c r="M175" s="41" t="s">
        <v>632</v>
      </c>
      <c r="N175" s="41">
        <v>0</v>
      </c>
    </row>
    <row r="176" ht="23.1" customHeight="1" spans="1:14">
      <c r="A176" s="83" t="s">
        <v>638</v>
      </c>
      <c r="B176" s="41">
        <v>5110</v>
      </c>
      <c r="C176" s="41">
        <v>23</v>
      </c>
      <c r="D176" s="41">
        <v>184</v>
      </c>
      <c r="E176" s="41">
        <v>2</v>
      </c>
      <c r="F176" s="41">
        <v>0</v>
      </c>
      <c r="G176" s="41">
        <v>0</v>
      </c>
      <c r="H176" s="41">
        <v>46</v>
      </c>
      <c r="I176" s="41">
        <v>0.15</v>
      </c>
      <c r="J176" s="41">
        <v>0</v>
      </c>
      <c r="K176" s="41">
        <v>50</v>
      </c>
      <c r="L176" s="41">
        <v>2210</v>
      </c>
      <c r="M176" s="41" t="s">
        <v>632</v>
      </c>
      <c r="N176" s="41">
        <v>0</v>
      </c>
    </row>
    <row r="177" ht="23.1" customHeight="1" spans="1:14">
      <c r="A177" s="83" t="s">
        <v>638</v>
      </c>
      <c r="B177" s="41">
        <v>5110</v>
      </c>
      <c r="C177" s="41">
        <v>24</v>
      </c>
      <c r="D177" s="41">
        <v>192</v>
      </c>
      <c r="E177" s="41">
        <v>2</v>
      </c>
      <c r="F177" s="41">
        <v>0</v>
      </c>
      <c r="G177" s="41">
        <v>0</v>
      </c>
      <c r="H177" s="41">
        <v>48</v>
      </c>
      <c r="I177" s="41">
        <v>0.15</v>
      </c>
      <c r="J177" s="41">
        <v>0</v>
      </c>
      <c r="K177" s="41">
        <v>50</v>
      </c>
      <c r="L177" s="41">
        <v>2210</v>
      </c>
      <c r="M177" s="41" t="s">
        <v>632</v>
      </c>
      <c r="N177" s="41">
        <v>0</v>
      </c>
    </row>
    <row r="178" ht="23.1" customHeight="1" spans="1:14">
      <c r="A178" s="83" t="s">
        <v>638</v>
      </c>
      <c r="B178" s="41">
        <v>5110</v>
      </c>
      <c r="C178" s="41">
        <v>25</v>
      </c>
      <c r="D178" s="41">
        <v>200</v>
      </c>
      <c r="E178" s="41">
        <v>2</v>
      </c>
      <c r="F178" s="41">
        <v>0</v>
      </c>
      <c r="G178" s="41">
        <v>0</v>
      </c>
      <c r="H178" s="41">
        <v>50</v>
      </c>
      <c r="I178" s="41">
        <v>0.15</v>
      </c>
      <c r="J178" s="41">
        <v>0</v>
      </c>
      <c r="K178" s="41">
        <v>50</v>
      </c>
      <c r="L178" s="41">
        <v>2210</v>
      </c>
      <c r="M178" s="41" t="s">
        <v>632</v>
      </c>
      <c r="N178" s="41">
        <v>0</v>
      </c>
    </row>
  </sheetData>
  <pageMargins left="0.75" right="0.75" top="1" bottom="1" header="0.511805555555556" footer="0.511805555555556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F38"/>
  <sheetViews>
    <sheetView workbookViewId="0">
      <selection activeCell="G8" sqref="G8"/>
    </sheetView>
  </sheetViews>
  <sheetFormatPr defaultColWidth="11.0986842105263" defaultRowHeight="15.2" outlineLevelCol="5"/>
  <cols>
    <col min="1" max="1" width="22.6973684210526" customWidth="1"/>
    <col min="4" max="5" width="11.5986842105263" customWidth="1"/>
    <col min="6" max="6" width="12.9013157894737" customWidth="1"/>
  </cols>
  <sheetData>
    <row r="1" ht="23.1" customHeight="1" spans="1:6">
      <c r="A1" s="41" t="s">
        <v>604</v>
      </c>
      <c r="B1" s="41" t="s">
        <v>605</v>
      </c>
      <c r="C1" s="41" t="s">
        <v>606</v>
      </c>
      <c r="D1" s="41" t="s">
        <v>639</v>
      </c>
      <c r="E1" s="41" t="s">
        <v>640</v>
      </c>
      <c r="F1" s="41" t="s">
        <v>641</v>
      </c>
    </row>
    <row r="2" ht="23.1" customHeight="1" spans="1:6">
      <c r="A2" s="41" t="s">
        <v>172</v>
      </c>
      <c r="B2" s="41" t="s">
        <v>15</v>
      </c>
      <c r="C2" s="41" t="s">
        <v>15</v>
      </c>
      <c r="D2" s="41" t="s">
        <v>15</v>
      </c>
      <c r="E2" s="41" t="s">
        <v>15</v>
      </c>
      <c r="F2" s="41" t="s">
        <v>15</v>
      </c>
    </row>
    <row r="3" ht="23.1" customHeight="1" spans="1:6">
      <c r="A3" s="41" t="s">
        <v>618</v>
      </c>
      <c r="B3" s="41" t="s">
        <v>619</v>
      </c>
      <c r="C3" s="41" t="s">
        <v>642</v>
      </c>
      <c r="D3" s="41" t="s">
        <v>643</v>
      </c>
      <c r="E3" s="41" t="s">
        <v>644</v>
      </c>
      <c r="F3" s="41" t="s">
        <v>645</v>
      </c>
    </row>
    <row r="4" ht="23.1" customHeight="1" spans="1:6">
      <c r="A4" s="83" t="s">
        <v>631</v>
      </c>
      <c r="B4" s="41">
        <v>5101</v>
      </c>
      <c r="C4" s="41">
        <v>1</v>
      </c>
      <c r="D4" s="41">
        <v>0</v>
      </c>
      <c r="E4" s="41">
        <v>0</v>
      </c>
      <c r="F4" s="41">
        <v>0</v>
      </c>
    </row>
    <row r="5" ht="23.1" customHeight="1" spans="1:6">
      <c r="A5" s="83" t="s">
        <v>631</v>
      </c>
      <c r="B5" s="41">
        <v>5101</v>
      </c>
      <c r="C5" s="41">
        <v>2</v>
      </c>
      <c r="D5" s="41">
        <v>25</v>
      </c>
      <c r="E5" s="41">
        <v>1</v>
      </c>
      <c r="F5" s="41">
        <v>30</v>
      </c>
    </row>
    <row r="6" ht="23.1" customHeight="1" spans="1:6">
      <c r="A6" s="83" t="s">
        <v>631</v>
      </c>
      <c r="B6" s="41">
        <v>5101</v>
      </c>
      <c r="C6" s="41">
        <v>3</v>
      </c>
      <c r="D6" s="41">
        <v>25</v>
      </c>
      <c r="E6" s="41">
        <v>1</v>
      </c>
      <c r="F6" s="41">
        <v>300</v>
      </c>
    </row>
    <row r="7" ht="23.1" customHeight="1" spans="1:6">
      <c r="A7" s="83" t="s">
        <v>631</v>
      </c>
      <c r="B7" s="41">
        <v>5101</v>
      </c>
      <c r="C7" s="41">
        <v>4</v>
      </c>
      <c r="D7" s="41">
        <v>1</v>
      </c>
      <c r="E7" s="41">
        <v>1</v>
      </c>
      <c r="F7" s="41">
        <v>9</v>
      </c>
    </row>
    <row r="8" ht="23.1" customHeight="1" spans="1:6">
      <c r="A8" s="83" t="s">
        <v>631</v>
      </c>
      <c r="B8" s="41">
        <v>5101</v>
      </c>
      <c r="C8" s="41">
        <v>5</v>
      </c>
      <c r="D8" s="41">
        <v>25</v>
      </c>
      <c r="E8" s="41">
        <v>1</v>
      </c>
      <c r="F8" s="41">
        <v>3000</v>
      </c>
    </row>
    <row r="9" ht="23.1" customHeight="1" spans="1:6">
      <c r="A9" s="83" t="s">
        <v>633</v>
      </c>
      <c r="B9" s="41">
        <v>5103</v>
      </c>
      <c r="C9" s="41">
        <v>1</v>
      </c>
      <c r="D9" s="41">
        <v>0</v>
      </c>
      <c r="E9" s="41">
        <v>0</v>
      </c>
      <c r="F9" s="41">
        <v>0</v>
      </c>
    </row>
    <row r="10" ht="23.1" customHeight="1" spans="1:6">
      <c r="A10" s="83" t="s">
        <v>633</v>
      </c>
      <c r="B10" s="41">
        <v>5103</v>
      </c>
      <c r="C10" s="41">
        <v>2</v>
      </c>
      <c r="D10" s="41">
        <v>25</v>
      </c>
      <c r="E10" s="41">
        <v>1</v>
      </c>
      <c r="F10" s="41">
        <v>30</v>
      </c>
    </row>
    <row r="11" ht="23.1" customHeight="1" spans="1:6">
      <c r="A11" s="83" t="s">
        <v>633</v>
      </c>
      <c r="B11" s="41">
        <v>5103</v>
      </c>
      <c r="C11" s="41">
        <v>3</v>
      </c>
      <c r="D11" s="41">
        <v>25</v>
      </c>
      <c r="E11" s="41">
        <v>1</v>
      </c>
      <c r="F11" s="41">
        <v>300</v>
      </c>
    </row>
    <row r="12" ht="23.1" customHeight="1" spans="1:6">
      <c r="A12" s="83" t="s">
        <v>633</v>
      </c>
      <c r="B12" s="41">
        <v>5103</v>
      </c>
      <c r="C12" s="41">
        <v>4</v>
      </c>
      <c r="D12" s="41">
        <v>1</v>
      </c>
      <c r="E12" s="41">
        <v>1</v>
      </c>
      <c r="F12" s="41">
        <v>10</v>
      </c>
    </row>
    <row r="13" ht="23.1" customHeight="1" spans="1:6">
      <c r="A13" s="83" t="s">
        <v>633</v>
      </c>
      <c r="B13" s="41">
        <v>5103</v>
      </c>
      <c r="C13" s="41">
        <v>5</v>
      </c>
      <c r="D13" s="41">
        <v>25</v>
      </c>
      <c r="E13" s="41">
        <v>1</v>
      </c>
      <c r="F13" s="41">
        <v>3000</v>
      </c>
    </row>
    <row r="14" ht="23.1" customHeight="1" spans="1:6">
      <c r="A14" s="83" t="s">
        <v>634</v>
      </c>
      <c r="B14" s="41">
        <v>5105</v>
      </c>
      <c r="C14" s="41">
        <v>1</v>
      </c>
      <c r="D14" s="41">
        <v>0</v>
      </c>
      <c r="E14" s="41">
        <v>0</v>
      </c>
      <c r="F14" s="41">
        <v>0</v>
      </c>
    </row>
    <row r="15" ht="23.1" customHeight="1" spans="1:6">
      <c r="A15" s="83" t="s">
        <v>634</v>
      </c>
      <c r="B15" s="41">
        <v>5105</v>
      </c>
      <c r="C15" s="41">
        <v>2</v>
      </c>
      <c r="D15" s="41">
        <v>25</v>
      </c>
      <c r="E15" s="41">
        <v>1</v>
      </c>
      <c r="F15" s="41">
        <v>30</v>
      </c>
    </row>
    <row r="16" ht="23.1" customHeight="1" spans="1:6">
      <c r="A16" s="83" t="s">
        <v>634</v>
      </c>
      <c r="B16" s="41">
        <v>5105</v>
      </c>
      <c r="C16" s="41">
        <v>3</v>
      </c>
      <c r="D16" s="41">
        <v>25</v>
      </c>
      <c r="E16" s="41">
        <v>1</v>
      </c>
      <c r="F16" s="41">
        <v>300</v>
      </c>
    </row>
    <row r="17" ht="23.1" customHeight="1" spans="1:6">
      <c r="A17" s="83" t="s">
        <v>634</v>
      </c>
      <c r="B17" s="41">
        <v>5105</v>
      </c>
      <c r="C17" s="41">
        <v>4</v>
      </c>
      <c r="D17" s="41">
        <v>1</v>
      </c>
      <c r="E17" s="41">
        <v>1</v>
      </c>
      <c r="F17" s="41">
        <v>12</v>
      </c>
    </row>
    <row r="18" ht="23.1" customHeight="1" spans="1:6">
      <c r="A18" s="83" t="s">
        <v>634</v>
      </c>
      <c r="B18" s="41">
        <v>5105</v>
      </c>
      <c r="C18" s="41">
        <v>5</v>
      </c>
      <c r="D18" s="41">
        <v>25</v>
      </c>
      <c r="E18" s="41">
        <v>1</v>
      </c>
      <c r="F18" s="41">
        <v>3000</v>
      </c>
    </row>
    <row r="19" ht="23.1" customHeight="1" spans="1:6">
      <c r="A19" s="83" t="s">
        <v>635</v>
      </c>
      <c r="B19" s="41">
        <v>5106</v>
      </c>
      <c r="C19" s="41">
        <v>1</v>
      </c>
      <c r="D19" s="41">
        <v>0</v>
      </c>
      <c r="E19" s="41">
        <v>0</v>
      </c>
      <c r="F19" s="41">
        <v>0</v>
      </c>
    </row>
    <row r="20" ht="23.1" customHeight="1" spans="1:6">
      <c r="A20" s="83" t="s">
        <v>635</v>
      </c>
      <c r="B20" s="41">
        <v>5106</v>
      </c>
      <c r="C20" s="41">
        <v>2</v>
      </c>
      <c r="D20" s="41">
        <v>25</v>
      </c>
      <c r="E20" s="41">
        <v>1</v>
      </c>
      <c r="F20" s="41">
        <v>30</v>
      </c>
    </row>
    <row r="21" ht="23.1" customHeight="1" spans="1:6">
      <c r="A21" s="83" t="s">
        <v>635</v>
      </c>
      <c r="B21" s="41">
        <v>5106</v>
      </c>
      <c r="C21" s="41">
        <v>3</v>
      </c>
      <c r="D21" s="41">
        <v>25</v>
      </c>
      <c r="E21" s="41">
        <v>1</v>
      </c>
      <c r="F21" s="41">
        <v>300</v>
      </c>
    </row>
    <row r="22" ht="23.1" customHeight="1" spans="1:6">
      <c r="A22" s="83" t="s">
        <v>635</v>
      </c>
      <c r="B22" s="41">
        <v>5106</v>
      </c>
      <c r="C22" s="41">
        <v>4</v>
      </c>
      <c r="D22" s="41">
        <v>1</v>
      </c>
      <c r="E22" s="41">
        <v>1</v>
      </c>
      <c r="F22" s="41">
        <v>9</v>
      </c>
    </row>
    <row r="23" ht="23.1" customHeight="1" spans="1:6">
      <c r="A23" s="83" t="s">
        <v>635</v>
      </c>
      <c r="B23" s="41">
        <v>5106</v>
      </c>
      <c r="C23" s="41">
        <v>5</v>
      </c>
      <c r="D23" s="41">
        <v>25</v>
      </c>
      <c r="E23" s="41">
        <v>1</v>
      </c>
      <c r="F23" s="41">
        <v>3000</v>
      </c>
    </row>
    <row r="24" ht="23.1" customHeight="1" spans="1:6">
      <c r="A24" s="83" t="s">
        <v>636</v>
      </c>
      <c r="B24" s="41">
        <v>5108</v>
      </c>
      <c r="C24" s="41">
        <v>1</v>
      </c>
      <c r="D24" s="41">
        <v>0</v>
      </c>
      <c r="E24" s="41">
        <v>0</v>
      </c>
      <c r="F24" s="41">
        <v>0</v>
      </c>
    </row>
    <row r="25" ht="23.1" customHeight="1" spans="1:6">
      <c r="A25" s="83" t="s">
        <v>636</v>
      </c>
      <c r="B25" s="41">
        <v>5108</v>
      </c>
      <c r="C25" s="41">
        <v>2</v>
      </c>
      <c r="D25" s="41">
        <v>25</v>
      </c>
      <c r="E25" s="41">
        <v>1</v>
      </c>
      <c r="F25" s="41">
        <v>30</v>
      </c>
    </row>
    <row r="26" ht="23.1" customHeight="1" spans="1:6">
      <c r="A26" s="83" t="s">
        <v>636</v>
      </c>
      <c r="B26" s="41">
        <v>5108</v>
      </c>
      <c r="C26" s="41">
        <v>3</v>
      </c>
      <c r="D26" s="41">
        <v>25</v>
      </c>
      <c r="E26" s="41">
        <v>1</v>
      </c>
      <c r="F26" s="41">
        <v>300</v>
      </c>
    </row>
    <row r="27" ht="23.1" customHeight="1" spans="1:6">
      <c r="A27" s="83" t="s">
        <v>636</v>
      </c>
      <c r="B27" s="41">
        <v>5108</v>
      </c>
      <c r="C27" s="41">
        <v>4</v>
      </c>
      <c r="D27" s="41">
        <v>1</v>
      </c>
      <c r="E27" s="41">
        <v>1</v>
      </c>
      <c r="F27" s="41">
        <v>10</v>
      </c>
    </row>
    <row r="28" ht="23.1" customHeight="1" spans="1:6">
      <c r="A28" s="83" t="s">
        <v>636</v>
      </c>
      <c r="B28" s="41">
        <v>5108</v>
      </c>
      <c r="C28" s="41">
        <v>5</v>
      </c>
      <c r="D28" s="41">
        <v>25</v>
      </c>
      <c r="E28" s="41">
        <v>1</v>
      </c>
      <c r="F28" s="41">
        <v>3000</v>
      </c>
    </row>
    <row r="29" ht="23.1" customHeight="1" spans="1:6">
      <c r="A29" s="83" t="s">
        <v>637</v>
      </c>
      <c r="B29" s="41">
        <v>5109</v>
      </c>
      <c r="C29" s="41">
        <v>1</v>
      </c>
      <c r="D29" s="41">
        <v>0</v>
      </c>
      <c r="E29" s="41">
        <v>0</v>
      </c>
      <c r="F29" s="41">
        <v>0</v>
      </c>
    </row>
    <row r="30" ht="23.1" customHeight="1" spans="1:6">
      <c r="A30" s="83" t="s">
        <v>637</v>
      </c>
      <c r="B30" s="41">
        <v>5109</v>
      </c>
      <c r="C30" s="41">
        <v>2</v>
      </c>
      <c r="D30" s="41">
        <v>25</v>
      </c>
      <c r="E30" s="41">
        <v>1</v>
      </c>
      <c r="F30" s="41">
        <v>30</v>
      </c>
    </row>
    <row r="31" ht="23.1" customHeight="1" spans="1:6">
      <c r="A31" s="83" t="s">
        <v>637</v>
      </c>
      <c r="B31" s="41">
        <v>5109</v>
      </c>
      <c r="C31" s="41">
        <v>3</v>
      </c>
      <c r="D31" s="41">
        <v>25</v>
      </c>
      <c r="E31" s="41">
        <v>1</v>
      </c>
      <c r="F31" s="41">
        <v>300</v>
      </c>
    </row>
    <row r="32" ht="23.1" customHeight="1" spans="1:6">
      <c r="A32" s="83" t="s">
        <v>637</v>
      </c>
      <c r="B32" s="41">
        <v>5109</v>
      </c>
      <c r="C32" s="41">
        <v>4</v>
      </c>
      <c r="D32" s="41">
        <v>1</v>
      </c>
      <c r="E32" s="41">
        <v>1</v>
      </c>
      <c r="F32" s="41">
        <v>12</v>
      </c>
    </row>
    <row r="33" ht="23.1" customHeight="1" spans="1:6">
      <c r="A33" s="83" t="s">
        <v>637</v>
      </c>
      <c r="B33" s="41">
        <v>5109</v>
      </c>
      <c r="C33" s="41">
        <v>5</v>
      </c>
      <c r="D33" s="41">
        <v>25</v>
      </c>
      <c r="E33" s="41">
        <v>1</v>
      </c>
      <c r="F33" s="41">
        <v>3000</v>
      </c>
    </row>
    <row r="34" ht="23.1" customHeight="1" spans="1:6">
      <c r="A34" s="83" t="s">
        <v>638</v>
      </c>
      <c r="B34" s="41">
        <v>5110</v>
      </c>
      <c r="C34" s="41">
        <v>1</v>
      </c>
      <c r="D34" s="41">
        <v>0</v>
      </c>
      <c r="E34" s="41">
        <v>0</v>
      </c>
      <c r="F34" s="41">
        <v>0</v>
      </c>
    </row>
    <row r="35" ht="23.1" customHeight="1" spans="1:6">
      <c r="A35" s="83" t="s">
        <v>638</v>
      </c>
      <c r="B35" s="41">
        <v>5110</v>
      </c>
      <c r="C35" s="41">
        <v>2</v>
      </c>
      <c r="D35" s="41">
        <v>25</v>
      </c>
      <c r="E35" s="41">
        <v>1</v>
      </c>
      <c r="F35" s="41">
        <v>30</v>
      </c>
    </row>
    <row r="36" ht="23.1" customHeight="1" spans="1:6">
      <c r="A36" s="83" t="s">
        <v>638</v>
      </c>
      <c r="B36" s="41">
        <v>5110</v>
      </c>
      <c r="C36" s="41">
        <v>3</v>
      </c>
      <c r="D36" s="41">
        <v>25</v>
      </c>
      <c r="E36" s="41">
        <v>1</v>
      </c>
      <c r="F36" s="41">
        <v>300</v>
      </c>
    </row>
    <row r="37" ht="23.1" customHeight="1" spans="1:6">
      <c r="A37" s="83" t="s">
        <v>638</v>
      </c>
      <c r="B37" s="41">
        <v>5110</v>
      </c>
      <c r="C37" s="41">
        <v>4</v>
      </c>
      <c r="D37" s="41">
        <v>1</v>
      </c>
      <c r="E37" s="41">
        <v>1</v>
      </c>
      <c r="F37" s="41">
        <v>10</v>
      </c>
    </row>
    <row r="38" ht="23.1" customHeight="1" spans="1:6">
      <c r="A38" s="83" t="s">
        <v>638</v>
      </c>
      <c r="B38" s="41">
        <v>5110</v>
      </c>
      <c r="C38" s="41">
        <v>5</v>
      </c>
      <c r="D38" s="41">
        <v>25</v>
      </c>
      <c r="E38" s="41">
        <v>1</v>
      </c>
      <c r="F38" s="41">
        <v>3000</v>
      </c>
    </row>
  </sheetData>
  <pageMargins left="0.75" right="0.75" top="1" bottom="1" header="0.511805555555556" footer="0.511805555555556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C28"/>
  <sheetViews>
    <sheetView workbookViewId="0">
      <selection activeCell="C33" sqref="C33"/>
    </sheetView>
  </sheetViews>
  <sheetFormatPr defaultColWidth="8.69736842105263" defaultRowHeight="15.2" outlineLevelCol="2"/>
  <cols>
    <col min="1" max="1" width="14.9013157894737" customWidth="1"/>
    <col min="2" max="2" width="10" customWidth="1"/>
    <col min="3" max="3" width="42" customWidth="1"/>
  </cols>
  <sheetData>
    <row r="1" ht="23.1" customHeight="1" spans="1:3">
      <c r="A1" s="43" t="s">
        <v>646</v>
      </c>
      <c r="B1" s="43" t="s">
        <v>640</v>
      </c>
      <c r="C1" s="43" t="s">
        <v>647</v>
      </c>
    </row>
    <row r="2" ht="23.1" customHeight="1" spans="1:3">
      <c r="A2" s="43" t="s">
        <v>15</v>
      </c>
      <c r="B2" s="43" t="s">
        <v>15</v>
      </c>
      <c r="C2" s="43" t="s">
        <v>172</v>
      </c>
    </row>
    <row r="3" ht="23.1" customHeight="1" spans="1:3">
      <c r="A3" s="43" t="s">
        <v>648</v>
      </c>
      <c r="B3" s="43" t="s">
        <v>644</v>
      </c>
      <c r="C3" s="43" t="s">
        <v>649</v>
      </c>
    </row>
    <row r="4" ht="23.1" customHeight="1" spans="1:3">
      <c r="A4" s="43">
        <v>1</v>
      </c>
      <c r="B4" s="43">
        <v>1</v>
      </c>
      <c r="C4" s="82" t="s">
        <v>650</v>
      </c>
    </row>
    <row r="5" ht="23.1" customHeight="1" spans="1:3">
      <c r="A5" s="43">
        <v>2</v>
      </c>
      <c r="B5" s="43">
        <v>2</v>
      </c>
      <c r="C5" s="82" t="s">
        <v>651</v>
      </c>
    </row>
    <row r="6" ht="23.1" customHeight="1" spans="1:3">
      <c r="A6" s="43">
        <v>3</v>
      </c>
      <c r="B6" s="43">
        <v>1</v>
      </c>
      <c r="C6" s="82" t="s">
        <v>652</v>
      </c>
    </row>
    <row r="7" ht="23.1" customHeight="1" spans="1:3">
      <c r="A7" s="43">
        <v>4</v>
      </c>
      <c r="B7" s="43">
        <v>1</v>
      </c>
      <c r="C7" s="82" t="s">
        <v>653</v>
      </c>
    </row>
    <row r="8" ht="23.1" customHeight="1" spans="1:3">
      <c r="A8" s="43">
        <v>5</v>
      </c>
      <c r="B8" s="43">
        <v>1</v>
      </c>
      <c r="C8" s="82" t="s">
        <v>654</v>
      </c>
    </row>
    <row r="9" ht="23.1" customHeight="1" spans="1:3">
      <c r="A9" s="43">
        <v>6</v>
      </c>
      <c r="B9" s="43">
        <v>1</v>
      </c>
      <c r="C9" s="82" t="s">
        <v>655</v>
      </c>
    </row>
    <row r="10" ht="23.1" customHeight="1" spans="1:3">
      <c r="A10" s="43">
        <v>7</v>
      </c>
      <c r="B10" s="43">
        <v>2</v>
      </c>
      <c r="C10" s="82" t="s">
        <v>656</v>
      </c>
    </row>
    <row r="11" ht="23.1" customHeight="1" spans="1:3">
      <c r="A11" s="43">
        <v>8</v>
      </c>
      <c r="B11" s="43">
        <v>0</v>
      </c>
      <c r="C11" s="82" t="s">
        <v>657</v>
      </c>
    </row>
    <row r="12" ht="23.1" customHeight="1" spans="1:3">
      <c r="A12" s="43">
        <v>9</v>
      </c>
      <c r="B12" s="43">
        <v>2</v>
      </c>
      <c r="C12" s="82" t="s">
        <v>658</v>
      </c>
    </row>
    <row r="13" ht="23.1" customHeight="1" spans="1:3">
      <c r="A13" s="43">
        <v>10</v>
      </c>
      <c r="B13" s="43">
        <v>0</v>
      </c>
      <c r="C13" s="82" t="s">
        <v>659</v>
      </c>
    </row>
    <row r="14" ht="23.1" customHeight="1" spans="1:3">
      <c r="A14" s="43">
        <v>11</v>
      </c>
      <c r="B14" s="43">
        <v>2</v>
      </c>
      <c r="C14" s="82" t="s">
        <v>660</v>
      </c>
    </row>
    <row r="15" ht="23.1" customHeight="1" spans="1:3">
      <c r="A15" s="43">
        <v>12</v>
      </c>
      <c r="B15" s="43">
        <v>2</v>
      </c>
      <c r="C15" s="82" t="s">
        <v>661</v>
      </c>
    </row>
    <row r="16" ht="23.1" customHeight="1" spans="1:3">
      <c r="A16" s="43">
        <v>13</v>
      </c>
      <c r="B16" s="43">
        <v>2</v>
      </c>
      <c r="C16" s="82" t="s">
        <v>662</v>
      </c>
    </row>
    <row r="17" ht="23.1" customHeight="1" spans="1:3">
      <c r="A17" s="43">
        <v>14</v>
      </c>
      <c r="B17" s="43">
        <v>2</v>
      </c>
      <c r="C17" s="82" t="s">
        <v>663</v>
      </c>
    </row>
    <row r="18" ht="23.1" customHeight="1" spans="1:3">
      <c r="A18" s="43">
        <v>15</v>
      </c>
      <c r="B18" s="43">
        <v>2</v>
      </c>
      <c r="C18" s="82" t="s">
        <v>664</v>
      </c>
    </row>
    <row r="19" ht="23.1" customHeight="1" spans="1:3">
      <c r="A19" s="43">
        <v>16</v>
      </c>
      <c r="B19" s="43">
        <v>2</v>
      </c>
      <c r="C19" s="82" t="s">
        <v>665</v>
      </c>
    </row>
    <row r="20" ht="23.1" customHeight="1" spans="1:3">
      <c r="A20" s="43">
        <v>17</v>
      </c>
      <c r="B20" s="43">
        <v>1</v>
      </c>
      <c r="C20" s="82" t="s">
        <v>666</v>
      </c>
    </row>
    <row r="21" ht="23.1" customHeight="1" spans="1:3">
      <c r="A21" s="43">
        <v>18</v>
      </c>
      <c r="B21" s="43">
        <v>2</v>
      </c>
      <c r="C21" s="82" t="s">
        <v>667</v>
      </c>
    </row>
    <row r="22" ht="23.1" customHeight="1" spans="1:3">
      <c r="A22" s="43">
        <v>19</v>
      </c>
      <c r="B22" s="43">
        <v>2</v>
      </c>
      <c r="C22" s="82" t="s">
        <v>668</v>
      </c>
    </row>
    <row r="23" ht="23.1" customHeight="1" spans="1:3">
      <c r="A23" s="43">
        <v>20</v>
      </c>
      <c r="B23" s="43">
        <v>2</v>
      </c>
      <c r="C23" s="82" t="s">
        <v>669</v>
      </c>
    </row>
    <row r="24" ht="23.1" customHeight="1" spans="1:3">
      <c r="A24" s="43">
        <v>21</v>
      </c>
      <c r="B24" s="43">
        <v>2</v>
      </c>
      <c r="C24" s="82" t="s">
        <v>670</v>
      </c>
    </row>
    <row r="25" ht="23.1" customHeight="1" spans="1:3">
      <c r="A25" s="43">
        <v>22</v>
      </c>
      <c r="B25" s="43">
        <v>1</v>
      </c>
      <c r="C25" s="82" t="s">
        <v>671</v>
      </c>
    </row>
    <row r="26" ht="23.1" customHeight="1" spans="1:3">
      <c r="A26" s="43">
        <v>23</v>
      </c>
      <c r="B26" s="43">
        <v>2</v>
      </c>
      <c r="C26" s="82" t="s">
        <v>672</v>
      </c>
    </row>
    <row r="27" ht="23.1" customHeight="1" spans="1:3">
      <c r="A27" s="43">
        <v>24</v>
      </c>
      <c r="B27" s="43">
        <v>2</v>
      </c>
      <c r="C27" s="82" t="s">
        <v>673</v>
      </c>
    </row>
    <row r="28" ht="20.4" spans="1:3">
      <c r="A28" s="43">
        <v>25</v>
      </c>
      <c r="B28" s="43">
        <v>1</v>
      </c>
      <c r="C28" s="82" t="s">
        <v>674</v>
      </c>
    </row>
  </sheetData>
  <pageMargins left="0.75" right="0.75" top="1" bottom="1" header="0.511805555555556" footer="0.511805555555556"/>
  <headerFooter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N9"/>
  <sheetViews>
    <sheetView zoomScale="120" zoomScaleNormal="120" workbookViewId="0">
      <selection activeCell="F19" sqref="F19"/>
    </sheetView>
  </sheetViews>
  <sheetFormatPr defaultColWidth="9" defaultRowHeight="15.2"/>
  <cols>
    <col min="1" max="16384" width="9" style="37"/>
  </cols>
  <sheetData>
    <row r="1" ht="18" spans="1:14">
      <c r="A1" s="74" t="s">
        <v>675</v>
      </c>
      <c r="B1" s="74" t="s">
        <v>612</v>
      </c>
      <c r="C1" s="74" t="s">
        <v>676</v>
      </c>
      <c r="D1" s="74" t="s">
        <v>163</v>
      </c>
      <c r="E1" s="74" t="s">
        <v>677</v>
      </c>
      <c r="F1" s="74" t="s">
        <v>164</v>
      </c>
      <c r="G1" s="74" t="s">
        <v>678</v>
      </c>
      <c r="H1" s="74" t="s">
        <v>679</v>
      </c>
      <c r="I1" s="74" t="s">
        <v>680</v>
      </c>
      <c r="J1" s="74" t="s">
        <v>681</v>
      </c>
      <c r="K1" s="74" t="s">
        <v>682</v>
      </c>
      <c r="L1" s="74" t="s">
        <v>683</v>
      </c>
      <c r="M1" s="74" t="s">
        <v>684</v>
      </c>
      <c r="N1" s="74" t="s">
        <v>685</v>
      </c>
    </row>
    <row r="2" ht="18" spans="1:14">
      <c r="A2" s="74" t="s">
        <v>15</v>
      </c>
      <c r="B2" s="74" t="s">
        <v>15</v>
      </c>
      <c r="C2" s="74" t="s">
        <v>15</v>
      </c>
      <c r="D2" s="74" t="s">
        <v>15</v>
      </c>
      <c r="E2" s="74" t="s">
        <v>15</v>
      </c>
      <c r="F2" s="74" t="s">
        <v>15</v>
      </c>
      <c r="G2" s="74" t="s">
        <v>15</v>
      </c>
      <c r="H2" s="74" t="s">
        <v>15</v>
      </c>
      <c r="I2" s="74" t="s">
        <v>15</v>
      </c>
      <c r="J2" s="74" t="s">
        <v>15</v>
      </c>
      <c r="K2" s="74" t="s">
        <v>15</v>
      </c>
      <c r="L2" s="74" t="s">
        <v>15</v>
      </c>
      <c r="M2" s="74" t="s">
        <v>15</v>
      </c>
      <c r="N2" s="74" t="s">
        <v>15</v>
      </c>
    </row>
    <row r="3" ht="21" spans="1:14">
      <c r="A3" s="75" t="s">
        <v>686</v>
      </c>
      <c r="B3" s="75" t="s">
        <v>687</v>
      </c>
      <c r="C3" s="74" t="s">
        <v>688</v>
      </c>
      <c r="D3" s="74" t="s">
        <v>689</v>
      </c>
      <c r="E3" s="74" t="s">
        <v>688</v>
      </c>
      <c r="F3" s="74" t="s">
        <v>689</v>
      </c>
      <c r="G3" s="74" t="s">
        <v>688</v>
      </c>
      <c r="H3" s="74" t="s">
        <v>689</v>
      </c>
      <c r="I3" s="74" t="s">
        <v>688</v>
      </c>
      <c r="J3" s="74" t="s">
        <v>689</v>
      </c>
      <c r="K3" s="74" t="s">
        <v>688</v>
      </c>
      <c r="L3" s="74" t="s">
        <v>689</v>
      </c>
      <c r="M3" s="74" t="s">
        <v>688</v>
      </c>
      <c r="N3" s="74" t="s">
        <v>689</v>
      </c>
    </row>
    <row r="4" ht="17.6" spans="1:14">
      <c r="A4" s="74">
        <v>44411</v>
      </c>
      <c r="B4" s="76">
        <v>10</v>
      </c>
      <c r="C4" s="76">
        <v>61118</v>
      </c>
      <c r="D4" s="76">
        <v>0</v>
      </c>
      <c r="E4" s="80">
        <v>17040</v>
      </c>
      <c r="F4" s="74">
        <v>0</v>
      </c>
      <c r="G4" s="80">
        <v>66119</v>
      </c>
      <c r="H4" s="74">
        <v>0</v>
      </c>
      <c r="I4" s="74">
        <v>77228</v>
      </c>
      <c r="J4" s="74">
        <v>10000</v>
      </c>
      <c r="K4" s="74">
        <v>78229</v>
      </c>
      <c r="L4" s="74">
        <v>0</v>
      </c>
      <c r="M4" s="74">
        <v>79230</v>
      </c>
      <c r="N4" s="74">
        <v>0</v>
      </c>
    </row>
    <row r="5" ht="17.6" spans="1:14">
      <c r="A5" s="74">
        <v>44412</v>
      </c>
      <c r="B5" s="76">
        <v>10</v>
      </c>
      <c r="C5" s="76">
        <v>62118</v>
      </c>
      <c r="D5" s="76">
        <v>0</v>
      </c>
      <c r="E5" s="80">
        <v>18040</v>
      </c>
      <c r="F5" s="74">
        <v>0</v>
      </c>
      <c r="G5" s="80">
        <v>67119</v>
      </c>
      <c r="H5" s="74">
        <v>0</v>
      </c>
      <c r="I5" s="74">
        <v>77228</v>
      </c>
      <c r="J5" s="74">
        <v>10000</v>
      </c>
      <c r="K5" s="74">
        <v>78229</v>
      </c>
      <c r="L5" s="74">
        <v>0</v>
      </c>
      <c r="M5" s="74">
        <v>79230</v>
      </c>
      <c r="N5" s="74">
        <v>0</v>
      </c>
    </row>
    <row r="6" ht="17.6" spans="1:14">
      <c r="A6" s="74">
        <v>44414</v>
      </c>
      <c r="B6" s="76">
        <v>10</v>
      </c>
      <c r="C6" s="76">
        <v>63118</v>
      </c>
      <c r="D6" s="76">
        <v>0</v>
      </c>
      <c r="E6" s="80">
        <v>19040</v>
      </c>
      <c r="F6" s="74">
        <v>0</v>
      </c>
      <c r="G6" s="80">
        <v>68119</v>
      </c>
      <c r="H6" s="74">
        <v>0</v>
      </c>
      <c r="I6" s="74">
        <v>77228</v>
      </c>
      <c r="J6" s="74">
        <v>0</v>
      </c>
      <c r="K6" s="74">
        <v>78229</v>
      </c>
      <c r="L6" s="74">
        <v>10000</v>
      </c>
      <c r="M6" s="74">
        <v>79230</v>
      </c>
      <c r="N6" s="74">
        <v>0</v>
      </c>
    </row>
    <row r="7" ht="17.6" spans="1:14">
      <c r="A7" s="74">
        <v>44415</v>
      </c>
      <c r="B7" s="76">
        <v>10</v>
      </c>
      <c r="C7" s="76">
        <v>64118</v>
      </c>
      <c r="D7" s="76">
        <v>0</v>
      </c>
      <c r="E7" s="80">
        <v>20040</v>
      </c>
      <c r="F7" s="74">
        <v>0</v>
      </c>
      <c r="G7" s="80">
        <v>69119</v>
      </c>
      <c r="H7" s="74">
        <v>0</v>
      </c>
      <c r="I7" s="74">
        <v>77228</v>
      </c>
      <c r="J7" s="74">
        <v>0</v>
      </c>
      <c r="K7" s="74">
        <v>78229</v>
      </c>
      <c r="L7" s="74">
        <v>0</v>
      </c>
      <c r="M7" s="74">
        <v>79230</v>
      </c>
      <c r="N7" s="74">
        <v>10000</v>
      </c>
    </row>
    <row r="8" s="73" customFormat="1" ht="17.6" spans="1:14">
      <c r="A8" s="77">
        <v>44501</v>
      </c>
      <c r="B8" s="78">
        <v>60</v>
      </c>
      <c r="C8" s="78">
        <v>64118</v>
      </c>
      <c r="D8" s="78">
        <v>3200</v>
      </c>
      <c r="E8" s="81">
        <v>20040</v>
      </c>
      <c r="F8" s="77">
        <v>3200</v>
      </c>
      <c r="G8" s="81">
        <v>69119</v>
      </c>
      <c r="H8" s="77">
        <v>3600</v>
      </c>
      <c r="I8" s="77"/>
      <c r="J8" s="77"/>
      <c r="K8" s="77"/>
      <c r="L8" s="77"/>
      <c r="M8" s="77"/>
      <c r="N8" s="77"/>
    </row>
    <row r="9" s="73" customFormat="1" ht="17.6" spans="1:14">
      <c r="A9" s="41">
        <v>44601</v>
      </c>
      <c r="B9" s="79">
        <v>60</v>
      </c>
      <c r="C9" s="79">
        <v>63118</v>
      </c>
      <c r="D9" s="79">
        <v>3500</v>
      </c>
      <c r="E9" s="81">
        <v>19040</v>
      </c>
      <c r="F9" s="41">
        <v>3000</v>
      </c>
      <c r="G9" s="81">
        <v>68119</v>
      </c>
      <c r="H9" s="41">
        <v>3500</v>
      </c>
      <c r="I9" s="41"/>
      <c r="J9" s="41"/>
      <c r="K9" s="41"/>
      <c r="L9" s="41"/>
      <c r="M9" s="41"/>
      <c r="N9" s="41"/>
    </row>
  </sheetData>
  <pageMargins left="0.75" right="0.75" top="1" bottom="1" header="0.511805555555556" footer="0.511805555555556"/>
  <pageSetup paperSize="9" orientation="portrait"/>
  <headerFooter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U29"/>
  <sheetViews>
    <sheetView topLeftCell="B1" workbookViewId="0">
      <selection activeCell="H4" sqref="H4"/>
    </sheetView>
  </sheetViews>
  <sheetFormatPr defaultColWidth="8.69736842105263" defaultRowHeight="15.2"/>
  <cols>
    <col min="2" max="2" width="9.59868421052632" customWidth="1"/>
    <col min="3" max="3" width="14" customWidth="1"/>
    <col min="6" max="6" width="10" customWidth="1"/>
    <col min="7" max="7" width="13.5986842105263" customWidth="1"/>
    <col min="8" max="8" width="14.1973684210526" customWidth="1"/>
    <col min="9" max="9" width="13.5986842105263" customWidth="1"/>
    <col min="10" max="10" width="30.0986842105263" customWidth="1"/>
    <col min="11" max="11" width="27.0986842105263" customWidth="1"/>
    <col min="15" max="15" width="10.6973684210526" customWidth="1"/>
    <col min="16" max="16" width="26.5" customWidth="1"/>
    <col min="17" max="17" width="10.5" customWidth="1"/>
    <col min="18" max="18" width="10.5986842105263" customWidth="1"/>
    <col min="19" max="19" width="9.69736842105263" customWidth="1"/>
    <col min="20" max="20" width="10.5" customWidth="1"/>
    <col min="21" max="21" width="10.0986842105263" customWidth="1"/>
  </cols>
  <sheetData>
    <row r="1" s="72" customFormat="1" ht="31" spans="1:21">
      <c r="A1" s="34" t="s">
        <v>3</v>
      </c>
      <c r="B1" s="34" t="s">
        <v>690</v>
      </c>
      <c r="C1" s="34" t="s">
        <v>691</v>
      </c>
      <c r="E1" s="34" t="s">
        <v>3</v>
      </c>
      <c r="F1" s="34" t="s">
        <v>690</v>
      </c>
      <c r="G1" s="34" t="s">
        <v>692</v>
      </c>
      <c r="H1" s="34" t="s">
        <v>693</v>
      </c>
      <c r="I1" s="34" t="s">
        <v>694</v>
      </c>
      <c r="J1" s="34" t="s">
        <v>695</v>
      </c>
      <c r="K1" s="34" t="s">
        <v>696</v>
      </c>
      <c r="L1" s="34" t="s">
        <v>696</v>
      </c>
      <c r="M1" s="34" t="s">
        <v>696</v>
      </c>
      <c r="N1" s="34" t="s">
        <v>696</v>
      </c>
      <c r="O1" s="34" t="s">
        <v>697</v>
      </c>
      <c r="P1" s="34" t="s">
        <v>698</v>
      </c>
      <c r="Q1" s="34" t="s">
        <v>699</v>
      </c>
      <c r="R1" s="34" t="s">
        <v>700</v>
      </c>
      <c r="S1" s="34" t="s">
        <v>701</v>
      </c>
      <c r="T1" s="34" t="s">
        <v>702</v>
      </c>
      <c r="U1" s="72" t="s">
        <v>703</v>
      </c>
    </row>
    <row r="2" ht="16" spans="1:21">
      <c r="A2" s="34" t="s">
        <v>14</v>
      </c>
      <c r="B2" s="34" t="s">
        <v>15</v>
      </c>
      <c r="C2" s="34" t="s">
        <v>14</v>
      </c>
      <c r="E2" s="34" t="s">
        <v>14</v>
      </c>
      <c r="F2" s="34" t="s">
        <v>15</v>
      </c>
      <c r="G2" s="34" t="s">
        <v>15</v>
      </c>
      <c r="H2" s="34" t="s">
        <v>15</v>
      </c>
      <c r="I2" s="34" t="s">
        <v>15</v>
      </c>
      <c r="J2" s="34" t="s">
        <v>172</v>
      </c>
      <c r="K2" s="34" t="s">
        <v>172</v>
      </c>
      <c r="L2" s="34" t="s">
        <v>172</v>
      </c>
      <c r="M2" s="34" t="s">
        <v>172</v>
      </c>
      <c r="N2" s="34" t="s">
        <v>172</v>
      </c>
      <c r="O2" s="34" t="s">
        <v>15</v>
      </c>
      <c r="P2" s="34" t="s">
        <v>172</v>
      </c>
      <c r="Q2" s="34" t="s">
        <v>172</v>
      </c>
      <c r="R2" s="34" t="s">
        <v>172</v>
      </c>
      <c r="S2" s="34" t="s">
        <v>172</v>
      </c>
      <c r="T2" s="34" t="s">
        <v>172</v>
      </c>
      <c r="U2" t="s">
        <v>172</v>
      </c>
    </row>
    <row r="3" spans="1:21">
      <c r="A3" s="70" t="s">
        <v>19</v>
      </c>
      <c r="B3" s="70" t="s">
        <v>704</v>
      </c>
      <c r="C3" s="34" t="s">
        <v>705</v>
      </c>
      <c r="E3" s="70" t="s">
        <v>19</v>
      </c>
      <c r="F3" s="70" t="s">
        <v>704</v>
      </c>
      <c r="G3" s="70" t="s">
        <v>706</v>
      </c>
      <c r="H3" s="70" t="s">
        <v>707</v>
      </c>
      <c r="I3" s="70" t="s">
        <v>708</v>
      </c>
      <c r="J3" s="70" t="s">
        <v>709</v>
      </c>
      <c r="K3" s="70" t="s">
        <v>709</v>
      </c>
      <c r="L3" s="70" t="s">
        <v>709</v>
      </c>
      <c r="M3" s="70" t="s">
        <v>709</v>
      </c>
      <c r="N3" s="70" t="s">
        <v>709</v>
      </c>
      <c r="O3" s="70" t="s">
        <v>710</v>
      </c>
      <c r="P3" s="70" t="s">
        <v>711</v>
      </c>
      <c r="Q3" s="70" t="s">
        <v>711</v>
      </c>
      <c r="R3" s="70" t="s">
        <v>711</v>
      </c>
      <c r="S3" s="70" t="s">
        <v>711</v>
      </c>
      <c r="T3" s="70" t="s">
        <v>711</v>
      </c>
      <c r="U3" t="s">
        <v>711</v>
      </c>
    </row>
    <row r="4" ht="31" spans="1:20">
      <c r="A4" s="34" t="s">
        <v>712</v>
      </c>
      <c r="B4" s="34">
        <v>0</v>
      </c>
      <c r="C4" s="34" t="s">
        <v>713</v>
      </c>
      <c r="E4" s="34" t="s">
        <v>712</v>
      </c>
      <c r="F4" s="34">
        <v>0</v>
      </c>
      <c r="G4" s="34">
        <v>1</v>
      </c>
      <c r="H4" s="34">
        <v>1</v>
      </c>
      <c r="I4" s="34">
        <v>1</v>
      </c>
      <c r="J4" s="34" t="s">
        <v>714</v>
      </c>
      <c r="K4" s="34"/>
      <c r="L4" s="34"/>
      <c r="M4" s="34"/>
      <c r="N4" s="34"/>
      <c r="O4" s="34">
        <v>1</v>
      </c>
      <c r="P4" s="71" t="s">
        <v>715</v>
      </c>
      <c r="Q4" s="34"/>
      <c r="R4" s="34"/>
      <c r="S4" s="34"/>
      <c r="T4" s="34"/>
    </row>
    <row r="5" ht="31" spans="1:20">
      <c r="A5" s="34" t="s">
        <v>716</v>
      </c>
      <c r="B5" s="34">
        <v>0</v>
      </c>
      <c r="C5" s="34" t="s">
        <v>713</v>
      </c>
      <c r="E5" s="34" t="s">
        <v>712</v>
      </c>
      <c r="F5" s="34">
        <v>0</v>
      </c>
      <c r="G5" s="34">
        <v>2</v>
      </c>
      <c r="H5" s="34">
        <v>2</v>
      </c>
      <c r="I5" s="34">
        <v>1</v>
      </c>
      <c r="J5" s="34" t="s">
        <v>717</v>
      </c>
      <c r="K5" s="34"/>
      <c r="L5" s="34"/>
      <c r="M5" s="34"/>
      <c r="N5" s="34"/>
      <c r="O5" s="34">
        <v>1</v>
      </c>
      <c r="P5" s="71" t="s">
        <v>718</v>
      </c>
      <c r="Q5" s="34"/>
      <c r="R5" s="34"/>
      <c r="S5" s="34"/>
      <c r="T5" s="34"/>
    </row>
    <row r="6" ht="46" spans="1:20">
      <c r="A6" s="34" t="s">
        <v>719</v>
      </c>
      <c r="B6" s="34">
        <v>0</v>
      </c>
      <c r="C6" s="34" t="s">
        <v>720</v>
      </c>
      <c r="E6" s="34" t="s">
        <v>712</v>
      </c>
      <c r="F6" s="34">
        <v>0</v>
      </c>
      <c r="G6" s="34">
        <v>3</v>
      </c>
      <c r="H6" s="34">
        <v>3</v>
      </c>
      <c r="I6" s="34">
        <v>1</v>
      </c>
      <c r="J6" s="34" t="s">
        <v>721</v>
      </c>
      <c r="K6" s="34"/>
      <c r="L6" s="34"/>
      <c r="M6" s="34"/>
      <c r="N6" s="34"/>
      <c r="O6" s="34">
        <v>1</v>
      </c>
      <c r="P6" s="71" t="s">
        <v>722</v>
      </c>
      <c r="Q6" s="34"/>
      <c r="R6" s="34"/>
      <c r="S6" s="34"/>
      <c r="T6" s="34"/>
    </row>
    <row r="7" ht="46" spans="5:20">
      <c r="E7" s="34" t="s">
        <v>712</v>
      </c>
      <c r="F7" s="34">
        <v>0</v>
      </c>
      <c r="G7" s="34">
        <v>4</v>
      </c>
      <c r="H7" s="34">
        <v>-1</v>
      </c>
      <c r="I7" s="34">
        <v>1</v>
      </c>
      <c r="J7" s="34" t="s">
        <v>723</v>
      </c>
      <c r="K7" s="34"/>
      <c r="L7" s="34"/>
      <c r="M7" s="34"/>
      <c r="N7" s="34"/>
      <c r="O7" s="34">
        <v>1</v>
      </c>
      <c r="P7" s="71" t="s">
        <v>724</v>
      </c>
      <c r="Q7" s="34"/>
      <c r="R7" s="34"/>
      <c r="S7" s="34"/>
      <c r="T7" s="34"/>
    </row>
    <row r="8" ht="46" spans="5:20">
      <c r="E8" s="34" t="s">
        <v>712</v>
      </c>
      <c r="F8" s="34">
        <v>0</v>
      </c>
      <c r="G8" s="34">
        <v>5</v>
      </c>
      <c r="H8" s="34">
        <v>-1</v>
      </c>
      <c r="I8" s="34">
        <v>1</v>
      </c>
      <c r="J8" s="34" t="s">
        <v>725</v>
      </c>
      <c r="K8" s="34"/>
      <c r="L8" s="34"/>
      <c r="M8" s="34"/>
      <c r="N8" s="34"/>
      <c r="O8" s="34">
        <v>1</v>
      </c>
      <c r="P8" s="71" t="s">
        <v>726</v>
      </c>
      <c r="Q8" s="34"/>
      <c r="R8" s="34"/>
      <c r="S8" s="34"/>
      <c r="T8" s="34"/>
    </row>
    <row r="9" ht="31" spans="5:20">
      <c r="E9" s="34" t="s">
        <v>712</v>
      </c>
      <c r="F9" s="34">
        <v>0</v>
      </c>
      <c r="G9" s="34">
        <v>6</v>
      </c>
      <c r="H9" s="34">
        <v>2</v>
      </c>
      <c r="I9" s="34">
        <v>1</v>
      </c>
      <c r="J9" s="34" t="s">
        <v>727</v>
      </c>
      <c r="K9" s="34"/>
      <c r="L9" s="34"/>
      <c r="M9" s="34"/>
      <c r="N9" s="34"/>
      <c r="O9" s="34">
        <v>1</v>
      </c>
      <c r="P9" s="71" t="s">
        <v>728</v>
      </c>
      <c r="Q9" s="34"/>
      <c r="R9" s="34"/>
      <c r="S9" s="34"/>
      <c r="T9" s="34"/>
    </row>
    <row r="10" ht="31" spans="5:20">
      <c r="E10" s="34" t="s">
        <v>712</v>
      </c>
      <c r="F10" s="34">
        <v>0</v>
      </c>
      <c r="G10" s="34">
        <v>7</v>
      </c>
      <c r="H10" s="34">
        <v>2</v>
      </c>
      <c r="I10" s="34">
        <v>1</v>
      </c>
      <c r="J10" s="34" t="s">
        <v>714</v>
      </c>
      <c r="K10" s="34"/>
      <c r="L10" s="34"/>
      <c r="M10" s="34"/>
      <c r="N10" s="34"/>
      <c r="O10" s="34">
        <v>1</v>
      </c>
      <c r="P10" s="71" t="s">
        <v>729</v>
      </c>
      <c r="Q10" s="34"/>
      <c r="R10" s="34"/>
      <c r="S10" s="34"/>
      <c r="T10" s="34"/>
    </row>
    <row r="11" ht="31" spans="5:20">
      <c r="E11" s="34" t="s">
        <v>712</v>
      </c>
      <c r="F11" s="34">
        <v>0</v>
      </c>
      <c r="G11" s="34">
        <v>8</v>
      </c>
      <c r="H11" s="34">
        <v>2</v>
      </c>
      <c r="I11" s="34">
        <v>1</v>
      </c>
      <c r="J11" s="34" t="s">
        <v>717</v>
      </c>
      <c r="K11" s="34"/>
      <c r="L11" s="34"/>
      <c r="M11" s="34"/>
      <c r="N11" s="34"/>
      <c r="O11" s="34">
        <v>1</v>
      </c>
      <c r="P11" s="71" t="s">
        <v>730</v>
      </c>
      <c r="Q11" s="34"/>
      <c r="R11" s="34"/>
      <c r="S11" s="34"/>
      <c r="T11" s="34"/>
    </row>
    <row r="12" ht="31" spans="5:20">
      <c r="E12" s="34" t="s">
        <v>712</v>
      </c>
      <c r="F12" s="34">
        <v>0</v>
      </c>
      <c r="G12" s="34">
        <v>9</v>
      </c>
      <c r="H12" s="34">
        <v>2</v>
      </c>
      <c r="I12" s="34">
        <v>1</v>
      </c>
      <c r="J12" s="34" t="s">
        <v>721</v>
      </c>
      <c r="K12" s="34"/>
      <c r="L12" s="34"/>
      <c r="M12" s="34"/>
      <c r="N12" s="34"/>
      <c r="O12" s="34">
        <v>1</v>
      </c>
      <c r="P12" s="71" t="s">
        <v>731</v>
      </c>
      <c r="Q12" s="34"/>
      <c r="R12" s="34"/>
      <c r="S12" s="34"/>
      <c r="T12" s="34"/>
    </row>
    <row r="13" ht="31" spans="5:20">
      <c r="E13" s="34" t="s">
        <v>712</v>
      </c>
      <c r="F13" s="34">
        <v>0</v>
      </c>
      <c r="G13" s="34">
        <v>10</v>
      </c>
      <c r="H13" s="34">
        <v>2</v>
      </c>
      <c r="I13" s="34">
        <v>1</v>
      </c>
      <c r="J13" s="34" t="s">
        <v>723</v>
      </c>
      <c r="K13" s="34"/>
      <c r="L13" s="34"/>
      <c r="M13" s="34"/>
      <c r="N13" s="34"/>
      <c r="O13" s="34">
        <v>1</v>
      </c>
      <c r="P13" s="71" t="s">
        <v>732</v>
      </c>
      <c r="Q13" s="34"/>
      <c r="R13" s="34"/>
      <c r="S13" s="34"/>
      <c r="T13" s="34"/>
    </row>
    <row r="14" ht="31" spans="5:20">
      <c r="E14" s="34" t="s">
        <v>712</v>
      </c>
      <c r="F14" s="34">
        <v>0</v>
      </c>
      <c r="G14" s="34">
        <v>11</v>
      </c>
      <c r="H14" s="34">
        <v>2</v>
      </c>
      <c r="I14" s="34">
        <v>1</v>
      </c>
      <c r="J14" s="34" t="s">
        <v>725</v>
      </c>
      <c r="K14" s="34"/>
      <c r="L14" s="34"/>
      <c r="M14" s="34"/>
      <c r="N14" s="34"/>
      <c r="O14" s="34">
        <v>1</v>
      </c>
      <c r="P14" s="71" t="s">
        <v>733</v>
      </c>
      <c r="Q14" s="34"/>
      <c r="R14" s="34"/>
      <c r="S14" s="34"/>
      <c r="T14" s="34"/>
    </row>
    <row r="15" ht="31" spans="5:20">
      <c r="E15" s="34" t="s">
        <v>712</v>
      </c>
      <c r="F15" s="34">
        <v>0</v>
      </c>
      <c r="G15" s="34">
        <v>12</v>
      </c>
      <c r="H15" s="34">
        <v>2</v>
      </c>
      <c r="I15" s="34">
        <v>1</v>
      </c>
      <c r="J15" s="34" t="s">
        <v>727</v>
      </c>
      <c r="K15" s="34"/>
      <c r="L15" s="34"/>
      <c r="M15" s="34"/>
      <c r="N15" s="34"/>
      <c r="O15" s="34">
        <v>1</v>
      </c>
      <c r="P15" s="71" t="s">
        <v>734</v>
      </c>
      <c r="Q15" s="34"/>
      <c r="R15" s="34"/>
      <c r="S15" s="34"/>
      <c r="T15" s="34"/>
    </row>
    <row r="16" ht="31" spans="5:20">
      <c r="E16" s="34" t="s">
        <v>716</v>
      </c>
      <c r="F16" s="34">
        <v>0</v>
      </c>
      <c r="G16" s="34">
        <v>1</v>
      </c>
      <c r="H16" s="34">
        <v>1</v>
      </c>
      <c r="I16" s="34">
        <v>2</v>
      </c>
      <c r="J16" s="34" t="s">
        <v>735</v>
      </c>
      <c r="K16" s="34" t="s">
        <v>736</v>
      </c>
      <c r="L16" s="34"/>
      <c r="M16" s="34"/>
      <c r="N16" s="34"/>
      <c r="O16" s="34">
        <v>1</v>
      </c>
      <c r="P16" s="71" t="s">
        <v>715</v>
      </c>
      <c r="Q16" s="34"/>
      <c r="R16" s="34"/>
      <c r="S16" s="34"/>
      <c r="T16" s="34"/>
    </row>
    <row r="17" ht="31" spans="5:20">
      <c r="E17" s="34" t="s">
        <v>716</v>
      </c>
      <c r="F17" s="34">
        <v>0</v>
      </c>
      <c r="G17" s="34">
        <v>2</v>
      </c>
      <c r="H17" s="34">
        <v>2</v>
      </c>
      <c r="I17" s="34">
        <v>1</v>
      </c>
      <c r="J17" s="34" t="s">
        <v>736</v>
      </c>
      <c r="K17" s="34"/>
      <c r="L17" s="34"/>
      <c r="M17" s="34"/>
      <c r="N17" s="34"/>
      <c r="O17" s="34">
        <v>1</v>
      </c>
      <c r="P17" s="71" t="s">
        <v>718</v>
      </c>
      <c r="Q17" s="34"/>
      <c r="R17" s="34"/>
      <c r="S17" s="34"/>
      <c r="T17" s="34"/>
    </row>
    <row r="18" ht="46" spans="5:20">
      <c r="E18" s="34" t="s">
        <v>716</v>
      </c>
      <c r="F18" s="34">
        <v>0</v>
      </c>
      <c r="G18" s="34">
        <v>3</v>
      </c>
      <c r="H18" s="34">
        <v>3</v>
      </c>
      <c r="I18" s="34">
        <v>1</v>
      </c>
      <c r="J18" s="34" t="s">
        <v>737</v>
      </c>
      <c r="K18" s="34"/>
      <c r="L18" s="34"/>
      <c r="M18" s="34"/>
      <c r="N18" s="34"/>
      <c r="O18" s="34">
        <v>1</v>
      </c>
      <c r="P18" s="71" t="s">
        <v>722</v>
      </c>
      <c r="Q18" s="34"/>
      <c r="R18" s="34"/>
      <c r="S18" s="34"/>
      <c r="T18" s="34"/>
    </row>
    <row r="19" ht="46" spans="5:20">
      <c r="E19" s="34" t="s">
        <v>716</v>
      </c>
      <c r="F19" s="34">
        <v>0</v>
      </c>
      <c r="G19" s="34">
        <v>4</v>
      </c>
      <c r="H19" s="34">
        <v>-1</v>
      </c>
      <c r="I19" s="34">
        <v>1</v>
      </c>
      <c r="J19" s="34" t="s">
        <v>738</v>
      </c>
      <c r="K19" s="34"/>
      <c r="L19" s="34"/>
      <c r="M19" s="34"/>
      <c r="N19" s="34"/>
      <c r="O19" s="34">
        <v>1</v>
      </c>
      <c r="P19" s="71" t="s">
        <v>724</v>
      </c>
      <c r="Q19" s="34"/>
      <c r="R19" s="34"/>
      <c r="S19" s="34"/>
      <c r="T19" s="34"/>
    </row>
    <row r="20" ht="46" spans="5:20">
      <c r="E20" s="34" t="s">
        <v>716</v>
      </c>
      <c r="F20" s="34">
        <v>0</v>
      </c>
      <c r="G20" s="34">
        <v>5</v>
      </c>
      <c r="H20" s="34">
        <v>-1</v>
      </c>
      <c r="I20" s="34">
        <v>1</v>
      </c>
      <c r="J20" s="34" t="s">
        <v>739</v>
      </c>
      <c r="K20" s="34"/>
      <c r="L20" s="34"/>
      <c r="M20" s="34"/>
      <c r="N20" s="34"/>
      <c r="O20" s="34">
        <v>1</v>
      </c>
      <c r="P20" s="71" t="s">
        <v>726</v>
      </c>
      <c r="Q20" s="34"/>
      <c r="R20" s="34"/>
      <c r="S20" s="34"/>
      <c r="T20" s="34"/>
    </row>
    <row r="21" ht="31" spans="5:20">
      <c r="E21" s="34" t="s">
        <v>716</v>
      </c>
      <c r="F21" s="34">
        <v>0</v>
      </c>
      <c r="G21" s="34">
        <v>6</v>
      </c>
      <c r="H21" s="34">
        <v>2</v>
      </c>
      <c r="I21" s="34">
        <v>1</v>
      </c>
      <c r="J21" s="34" t="s">
        <v>740</v>
      </c>
      <c r="K21" s="34"/>
      <c r="L21" s="34"/>
      <c r="M21" s="34"/>
      <c r="N21" s="34"/>
      <c r="O21" s="34">
        <v>1</v>
      </c>
      <c r="P21" s="71" t="s">
        <v>728</v>
      </c>
      <c r="Q21" s="34"/>
      <c r="R21" s="34"/>
      <c r="S21" s="34"/>
      <c r="T21" s="34"/>
    </row>
    <row r="22" ht="31" spans="5:20">
      <c r="E22" s="34" t="s">
        <v>716</v>
      </c>
      <c r="F22" s="34">
        <v>0</v>
      </c>
      <c r="G22" s="34">
        <v>7</v>
      </c>
      <c r="H22" s="34">
        <v>2</v>
      </c>
      <c r="I22" s="34">
        <v>1</v>
      </c>
      <c r="J22" s="34" t="s">
        <v>741</v>
      </c>
      <c r="K22" s="34"/>
      <c r="L22" s="34"/>
      <c r="M22" s="34"/>
      <c r="N22" s="34"/>
      <c r="O22" s="34">
        <v>1</v>
      </c>
      <c r="P22" s="71" t="s">
        <v>729</v>
      </c>
      <c r="Q22" s="34"/>
      <c r="R22" s="34"/>
      <c r="S22" s="34"/>
      <c r="T22" s="34"/>
    </row>
    <row r="23" ht="31" spans="5:20">
      <c r="E23" s="34" t="s">
        <v>719</v>
      </c>
      <c r="F23" s="34">
        <v>0</v>
      </c>
      <c r="G23" s="34">
        <v>1</v>
      </c>
      <c r="H23" s="34">
        <v>1</v>
      </c>
      <c r="I23" s="34">
        <v>2</v>
      </c>
      <c r="J23" s="34" t="s">
        <v>742</v>
      </c>
      <c r="K23" s="34" t="s">
        <v>736</v>
      </c>
      <c r="L23" s="34"/>
      <c r="M23" s="34"/>
      <c r="N23" s="34"/>
      <c r="O23" s="34">
        <v>1</v>
      </c>
      <c r="P23" s="71" t="s">
        <v>715</v>
      </c>
      <c r="Q23" s="34"/>
      <c r="R23" s="34"/>
      <c r="S23" s="34"/>
      <c r="T23" s="34"/>
    </row>
    <row r="24" ht="31" spans="5:20">
      <c r="E24" s="34" t="s">
        <v>719</v>
      </c>
      <c r="F24" s="34">
        <v>0</v>
      </c>
      <c r="G24" s="34">
        <v>2</v>
      </c>
      <c r="H24" s="34">
        <v>2</v>
      </c>
      <c r="I24" s="34">
        <v>1</v>
      </c>
      <c r="J24" s="34" t="s">
        <v>743</v>
      </c>
      <c r="K24" s="34"/>
      <c r="L24" s="34"/>
      <c r="M24" s="34"/>
      <c r="N24" s="34"/>
      <c r="O24" s="34">
        <v>1</v>
      </c>
      <c r="P24" s="71" t="s">
        <v>718</v>
      </c>
      <c r="Q24" s="34"/>
      <c r="R24" s="34"/>
      <c r="S24" s="34"/>
      <c r="T24" s="34"/>
    </row>
    <row r="25" ht="46" spans="5:20">
      <c r="E25" s="34" t="s">
        <v>719</v>
      </c>
      <c r="F25" s="34">
        <v>0</v>
      </c>
      <c r="G25" s="34">
        <v>3</v>
      </c>
      <c r="H25" s="34">
        <v>3</v>
      </c>
      <c r="I25" s="34">
        <v>1</v>
      </c>
      <c r="J25" s="34" t="s">
        <v>744</v>
      </c>
      <c r="K25" s="34"/>
      <c r="L25" s="34"/>
      <c r="M25" s="34"/>
      <c r="N25" s="34"/>
      <c r="O25" s="34">
        <v>1</v>
      </c>
      <c r="P25" s="71" t="s">
        <v>722</v>
      </c>
      <c r="Q25" s="34"/>
      <c r="R25" s="34"/>
      <c r="S25" s="34"/>
      <c r="T25" s="34"/>
    </row>
    <row r="26" ht="46" spans="5:20">
      <c r="E26" s="34" t="s">
        <v>719</v>
      </c>
      <c r="F26" s="34">
        <v>0</v>
      </c>
      <c r="G26" s="34">
        <v>4</v>
      </c>
      <c r="H26" s="34">
        <v>-1</v>
      </c>
      <c r="I26" s="34">
        <v>1</v>
      </c>
      <c r="J26" s="34" t="s">
        <v>745</v>
      </c>
      <c r="K26" s="34"/>
      <c r="L26" s="34"/>
      <c r="M26" s="34"/>
      <c r="N26" s="34"/>
      <c r="O26" s="34">
        <v>1</v>
      </c>
      <c r="P26" s="71" t="s">
        <v>724</v>
      </c>
      <c r="Q26" s="34"/>
      <c r="R26" s="34"/>
      <c r="S26" s="34"/>
      <c r="T26" s="34"/>
    </row>
    <row r="27" ht="46" spans="5:20">
      <c r="E27" s="34" t="s">
        <v>719</v>
      </c>
      <c r="F27" s="34">
        <v>0</v>
      </c>
      <c r="G27" s="34">
        <v>5</v>
      </c>
      <c r="H27" s="34">
        <v>-1</v>
      </c>
      <c r="I27" s="34">
        <v>1</v>
      </c>
      <c r="J27" s="34" t="s">
        <v>746</v>
      </c>
      <c r="K27" s="34"/>
      <c r="L27" s="34"/>
      <c r="M27" s="34"/>
      <c r="N27" s="34"/>
      <c r="O27" s="34">
        <v>1</v>
      </c>
      <c r="P27" s="71" t="s">
        <v>726</v>
      </c>
      <c r="Q27" s="34"/>
      <c r="R27" s="34"/>
      <c r="S27" s="34"/>
      <c r="T27" s="34"/>
    </row>
    <row r="28" ht="31" spans="5:20">
      <c r="E28" s="34" t="s">
        <v>719</v>
      </c>
      <c r="F28" s="34">
        <v>0</v>
      </c>
      <c r="G28" s="34">
        <v>6</v>
      </c>
      <c r="H28" s="34">
        <v>2</v>
      </c>
      <c r="I28" s="34">
        <v>1</v>
      </c>
      <c r="J28" s="34" t="s">
        <v>747</v>
      </c>
      <c r="K28" s="34"/>
      <c r="L28" s="34"/>
      <c r="M28" s="34"/>
      <c r="N28" s="34"/>
      <c r="O28" s="34">
        <v>1</v>
      </c>
      <c r="P28" s="71" t="s">
        <v>728</v>
      </c>
      <c r="Q28" s="34"/>
      <c r="R28" s="34"/>
      <c r="S28" s="34"/>
      <c r="T28" s="34"/>
    </row>
    <row r="29" ht="31" spans="5:20">
      <c r="E29" s="34" t="s">
        <v>719</v>
      </c>
      <c r="F29" s="34">
        <v>0</v>
      </c>
      <c r="G29" s="34">
        <v>7</v>
      </c>
      <c r="H29" s="34">
        <v>2</v>
      </c>
      <c r="I29" s="34">
        <v>1</v>
      </c>
      <c r="J29" s="34" t="s">
        <v>748</v>
      </c>
      <c r="K29" s="34"/>
      <c r="L29" s="34"/>
      <c r="M29" s="34"/>
      <c r="N29" s="34"/>
      <c r="O29" s="34">
        <v>1</v>
      </c>
      <c r="P29" s="71" t="s">
        <v>729</v>
      </c>
      <c r="Q29" s="34"/>
      <c r="R29" s="34"/>
      <c r="S29" s="34"/>
      <c r="T29" s="34"/>
    </row>
  </sheetData>
  <pageMargins left="0.75" right="0.75" top="1" bottom="1" header="0.511805555555556" footer="0.511805555555556"/>
  <headerFooter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J24"/>
  <sheetViews>
    <sheetView topLeftCell="E1" workbookViewId="0">
      <selection activeCell="J10" sqref="J10"/>
    </sheetView>
  </sheetViews>
  <sheetFormatPr defaultColWidth="8.69736842105263" defaultRowHeight="15.2"/>
  <cols>
    <col min="2" max="3" width="10.6973684210526" customWidth="1"/>
    <col min="4" max="4" width="14.6973684210526" customWidth="1"/>
    <col min="9" max="9" width="31.6973684210526" customWidth="1"/>
    <col min="10" max="10" width="62.9013157894737" customWidth="1"/>
  </cols>
  <sheetData>
    <row r="1" ht="16" spans="1:10">
      <c r="A1" s="34" t="s">
        <v>3</v>
      </c>
      <c r="B1" s="34" t="s">
        <v>690</v>
      </c>
      <c r="C1" s="34" t="s">
        <v>749</v>
      </c>
      <c r="D1" s="34" t="s">
        <v>691</v>
      </c>
      <c r="F1" s="34" t="s">
        <v>3</v>
      </c>
      <c r="G1" s="34" t="s">
        <v>690</v>
      </c>
      <c r="H1" s="34" t="s">
        <v>9</v>
      </c>
      <c r="I1" s="34" t="s">
        <v>750</v>
      </c>
      <c r="J1" s="34" t="s">
        <v>751</v>
      </c>
    </row>
    <row r="2" ht="16" spans="1:10">
      <c r="A2" s="34" t="s">
        <v>14</v>
      </c>
      <c r="B2" s="34" t="s">
        <v>15</v>
      </c>
      <c r="C2" s="34" t="s">
        <v>15</v>
      </c>
      <c r="D2" s="34" t="s">
        <v>14</v>
      </c>
      <c r="F2" s="34" t="s">
        <v>14</v>
      </c>
      <c r="G2" s="34" t="s">
        <v>15</v>
      </c>
      <c r="H2" s="34" t="s">
        <v>14</v>
      </c>
      <c r="I2" s="34" t="s">
        <v>172</v>
      </c>
      <c r="J2" s="34" t="s">
        <v>172</v>
      </c>
    </row>
    <row r="3" ht="26" spans="1:10">
      <c r="A3" s="70" t="s">
        <v>19</v>
      </c>
      <c r="B3" s="70" t="s">
        <v>704</v>
      </c>
      <c r="C3" s="70" t="s">
        <v>752</v>
      </c>
      <c r="D3" s="34" t="s">
        <v>705</v>
      </c>
      <c r="F3" s="70" t="s">
        <v>19</v>
      </c>
      <c r="G3" s="70" t="s">
        <v>704</v>
      </c>
      <c r="H3" s="34" t="s">
        <v>188</v>
      </c>
      <c r="I3" s="34" t="s">
        <v>709</v>
      </c>
      <c r="J3" s="34" t="s">
        <v>711</v>
      </c>
    </row>
    <row r="4" ht="31" spans="1:10">
      <c r="A4" s="34" t="s">
        <v>712</v>
      </c>
      <c r="B4" s="34">
        <v>0</v>
      </c>
      <c r="C4" s="34">
        <v>7</v>
      </c>
      <c r="D4" s="34" t="s">
        <v>713</v>
      </c>
      <c r="F4" s="34" t="s">
        <v>712</v>
      </c>
      <c r="G4" s="34">
        <v>0</v>
      </c>
      <c r="H4" s="34"/>
      <c r="I4" s="34" t="s">
        <v>753</v>
      </c>
      <c r="J4" s="71" t="s">
        <v>754</v>
      </c>
    </row>
    <row r="5" ht="31" spans="1:10">
      <c r="A5" s="34" t="s">
        <v>712</v>
      </c>
      <c r="B5" s="34">
        <v>1</v>
      </c>
      <c r="C5" s="34">
        <v>7</v>
      </c>
      <c r="D5" s="34" t="s">
        <v>713</v>
      </c>
      <c r="F5" s="34" t="s">
        <v>712</v>
      </c>
      <c r="G5" s="34">
        <v>0</v>
      </c>
      <c r="H5" s="34"/>
      <c r="I5" s="34" t="s">
        <v>755</v>
      </c>
      <c r="J5" s="71" t="s">
        <v>754</v>
      </c>
    </row>
    <row r="6" ht="31" spans="1:10">
      <c r="A6" s="34" t="s">
        <v>716</v>
      </c>
      <c r="B6" s="34">
        <v>0</v>
      </c>
      <c r="C6" s="34">
        <v>7</v>
      </c>
      <c r="D6" s="34" t="s">
        <v>713</v>
      </c>
      <c r="F6" s="34" t="s">
        <v>712</v>
      </c>
      <c r="G6" s="34">
        <v>0</v>
      </c>
      <c r="H6" s="34"/>
      <c r="I6" s="34" t="s">
        <v>756</v>
      </c>
      <c r="J6" s="71" t="s">
        <v>754</v>
      </c>
    </row>
    <row r="7" ht="31" spans="1:10">
      <c r="A7" s="34" t="s">
        <v>716</v>
      </c>
      <c r="B7" s="34">
        <v>1</v>
      </c>
      <c r="C7" s="34">
        <v>7</v>
      </c>
      <c r="D7" s="34" t="s">
        <v>713</v>
      </c>
      <c r="F7" s="34" t="s">
        <v>712</v>
      </c>
      <c r="G7" s="34">
        <v>1</v>
      </c>
      <c r="H7" s="34"/>
      <c r="I7" s="34" t="s">
        <v>757</v>
      </c>
      <c r="J7" s="71" t="s">
        <v>754</v>
      </c>
    </row>
    <row r="8" ht="31" spans="1:10">
      <c r="A8" s="34" t="s">
        <v>719</v>
      </c>
      <c r="B8" s="34">
        <v>0</v>
      </c>
      <c r="C8" s="34">
        <v>7</v>
      </c>
      <c r="D8" s="34" t="s">
        <v>720</v>
      </c>
      <c r="F8" s="34" t="s">
        <v>712</v>
      </c>
      <c r="G8" s="34">
        <v>1</v>
      </c>
      <c r="H8" s="34"/>
      <c r="I8" s="34" t="s">
        <v>758</v>
      </c>
      <c r="J8" s="71" t="s">
        <v>754</v>
      </c>
    </row>
    <row r="9" ht="31" spans="1:10">
      <c r="A9" s="34" t="s">
        <v>719</v>
      </c>
      <c r="B9" s="34">
        <v>1</v>
      </c>
      <c r="C9" s="34">
        <v>7</v>
      </c>
      <c r="D9" s="34" t="s">
        <v>720</v>
      </c>
      <c r="F9" s="34" t="s">
        <v>712</v>
      </c>
      <c r="G9" s="34">
        <v>1</v>
      </c>
      <c r="H9" s="34"/>
      <c r="I9" s="34" t="s">
        <v>759</v>
      </c>
      <c r="J9" s="71" t="s">
        <v>754</v>
      </c>
    </row>
    <row r="10" ht="61" spans="6:10">
      <c r="F10" s="34" t="s">
        <v>716</v>
      </c>
      <c r="G10" s="34">
        <v>0</v>
      </c>
      <c r="H10" s="34"/>
      <c r="I10" s="34" t="s">
        <v>760</v>
      </c>
      <c r="J10" s="71" t="s">
        <v>761</v>
      </c>
    </row>
    <row r="11" ht="61" spans="6:10">
      <c r="F11" s="34" t="s">
        <v>716</v>
      </c>
      <c r="G11" s="34">
        <v>0</v>
      </c>
      <c r="H11" s="34"/>
      <c r="I11" s="34" t="s">
        <v>762</v>
      </c>
      <c r="J11" s="71" t="s">
        <v>761</v>
      </c>
    </row>
    <row r="12" ht="61" spans="6:10">
      <c r="F12" s="34" t="s">
        <v>716</v>
      </c>
      <c r="G12" s="34">
        <v>0</v>
      </c>
      <c r="H12" s="34"/>
      <c r="I12" s="34" t="s">
        <v>763</v>
      </c>
      <c r="J12" s="71" t="s">
        <v>761</v>
      </c>
    </row>
    <row r="13" ht="61" spans="6:10">
      <c r="F13" s="34" t="s">
        <v>716</v>
      </c>
      <c r="G13" s="34">
        <v>0</v>
      </c>
      <c r="H13" s="34"/>
      <c r="I13" s="34" t="s">
        <v>764</v>
      </c>
      <c r="J13" s="71" t="s">
        <v>761</v>
      </c>
    </row>
    <row r="14" ht="61" spans="6:10">
      <c r="F14" s="34" t="s">
        <v>716</v>
      </c>
      <c r="G14" s="34">
        <v>0</v>
      </c>
      <c r="H14" s="34"/>
      <c r="I14" s="34" t="s">
        <v>765</v>
      </c>
      <c r="J14" s="71" t="s">
        <v>761</v>
      </c>
    </row>
    <row r="15" ht="61" spans="6:10">
      <c r="F15" s="34" t="s">
        <v>716</v>
      </c>
      <c r="G15" s="34">
        <v>0</v>
      </c>
      <c r="H15" s="34"/>
      <c r="I15" s="34" t="s">
        <v>766</v>
      </c>
      <c r="J15" s="71" t="s">
        <v>761</v>
      </c>
    </row>
    <row r="16" ht="61" spans="6:10">
      <c r="F16" s="34" t="s">
        <v>716</v>
      </c>
      <c r="G16" s="34">
        <v>0</v>
      </c>
      <c r="H16" s="34"/>
      <c r="I16" s="34" t="s">
        <v>767</v>
      </c>
      <c r="J16" s="71" t="s">
        <v>761</v>
      </c>
    </row>
    <row r="17" ht="61" spans="6:10">
      <c r="F17" s="34" t="s">
        <v>716</v>
      </c>
      <c r="G17" s="34">
        <v>1</v>
      </c>
      <c r="H17" s="34"/>
      <c r="I17" s="34" t="s">
        <v>757</v>
      </c>
      <c r="J17" s="71" t="s">
        <v>761</v>
      </c>
    </row>
    <row r="18" ht="61" spans="6:10">
      <c r="F18" s="34" t="s">
        <v>716</v>
      </c>
      <c r="G18" s="34">
        <v>1</v>
      </c>
      <c r="H18" s="34"/>
      <c r="I18" s="34" t="s">
        <v>758</v>
      </c>
      <c r="J18" s="71" t="s">
        <v>761</v>
      </c>
    </row>
    <row r="19" ht="61" spans="6:10">
      <c r="F19" s="34" t="s">
        <v>716</v>
      </c>
      <c r="G19" s="34">
        <v>1</v>
      </c>
      <c r="H19" s="34"/>
      <c r="I19" s="34" t="s">
        <v>759</v>
      </c>
      <c r="J19" s="71" t="s">
        <v>761</v>
      </c>
    </row>
    <row r="20" ht="61" spans="6:10">
      <c r="F20" s="34" t="s">
        <v>719</v>
      </c>
      <c r="G20" s="34">
        <v>0</v>
      </c>
      <c r="H20" s="34"/>
      <c r="I20" s="34" t="s">
        <v>768</v>
      </c>
      <c r="J20" s="71" t="s">
        <v>761</v>
      </c>
    </row>
    <row r="21" ht="61" spans="6:10">
      <c r="F21" s="34" t="s">
        <v>719</v>
      </c>
      <c r="G21" s="34">
        <v>0</v>
      </c>
      <c r="H21" s="34"/>
      <c r="I21" s="34" t="s">
        <v>769</v>
      </c>
      <c r="J21" s="71" t="s">
        <v>761</v>
      </c>
    </row>
    <row r="22" ht="61" spans="6:10">
      <c r="F22" s="34" t="s">
        <v>719</v>
      </c>
      <c r="G22" s="34">
        <v>0</v>
      </c>
      <c r="H22" s="34"/>
      <c r="I22" s="34" t="s">
        <v>770</v>
      </c>
      <c r="J22" s="71" t="s">
        <v>761</v>
      </c>
    </row>
    <row r="23" ht="61" spans="6:10">
      <c r="F23" s="34" t="s">
        <v>719</v>
      </c>
      <c r="G23" s="34">
        <v>0</v>
      </c>
      <c r="H23" s="34"/>
      <c r="I23" s="34" t="s">
        <v>771</v>
      </c>
      <c r="J23" s="71" t="s">
        <v>761</v>
      </c>
    </row>
    <row r="24" ht="61" spans="6:10">
      <c r="F24" s="34" t="s">
        <v>719</v>
      </c>
      <c r="G24" s="34">
        <v>0</v>
      </c>
      <c r="H24" s="34"/>
      <c r="I24" s="34" t="s">
        <v>772</v>
      </c>
      <c r="J24" s="71" t="s">
        <v>761</v>
      </c>
    </row>
  </sheetData>
  <pageMargins left="0.75" right="0.75" top="1" bottom="1" header="0.511805555555556" footer="0.511805555555556"/>
  <headerFooter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G11"/>
  <sheetViews>
    <sheetView workbookViewId="0">
      <selection activeCell="G11" sqref="G11"/>
    </sheetView>
  </sheetViews>
  <sheetFormatPr defaultColWidth="8.69736842105263" defaultRowHeight="15.2" outlineLevelCol="6"/>
  <cols>
    <col min="2" max="2" width="12.5" customWidth="1"/>
    <col min="3" max="3" width="75.1973684210526" customWidth="1"/>
    <col min="4" max="4" width="15.5986842105263" customWidth="1"/>
    <col min="5" max="5" width="20.0986842105263" customWidth="1"/>
    <col min="6" max="6" width="7.09868421052632" customWidth="1"/>
    <col min="7" max="7" width="35.4013157894737" customWidth="1"/>
  </cols>
  <sheetData>
    <row r="1" ht="16" spans="1:7">
      <c r="A1" s="34" t="s">
        <v>773</v>
      </c>
      <c r="B1" s="34" t="s">
        <v>690</v>
      </c>
      <c r="C1" s="34" t="s">
        <v>774</v>
      </c>
      <c r="D1" s="34" t="s">
        <v>775</v>
      </c>
      <c r="E1" s="34" t="s">
        <v>776</v>
      </c>
      <c r="F1" s="34" t="s">
        <v>3</v>
      </c>
      <c r="G1" s="34" t="s">
        <v>777</v>
      </c>
    </row>
    <row r="2" ht="16" spans="1:7">
      <c r="A2" s="34" t="s">
        <v>15</v>
      </c>
      <c r="B2" s="34" t="s">
        <v>15</v>
      </c>
      <c r="C2" s="34" t="s">
        <v>14</v>
      </c>
      <c r="D2" s="34" t="s">
        <v>173</v>
      </c>
      <c r="E2" s="34" t="s">
        <v>173</v>
      </c>
      <c r="F2" s="34" t="s">
        <v>14</v>
      </c>
      <c r="G2" s="34" t="s">
        <v>14</v>
      </c>
    </row>
    <row r="3" ht="16" spans="1:7">
      <c r="A3" s="34" t="s">
        <v>778</v>
      </c>
      <c r="B3" s="70" t="s">
        <v>704</v>
      </c>
      <c r="C3" s="71" t="s">
        <v>779</v>
      </c>
      <c r="D3" s="70" t="s">
        <v>780</v>
      </c>
      <c r="E3" s="70" t="s">
        <v>781</v>
      </c>
      <c r="F3" s="70" t="s">
        <v>19</v>
      </c>
      <c r="G3" s="70" t="s">
        <v>782</v>
      </c>
    </row>
    <row r="4" ht="65.1" customHeight="1" spans="1:7">
      <c r="A4" s="34">
        <v>44411</v>
      </c>
      <c r="B4" s="34">
        <v>0</v>
      </c>
      <c r="C4" s="71" t="s">
        <v>783</v>
      </c>
      <c r="D4" s="34">
        <v>0.25</v>
      </c>
      <c r="E4" s="34">
        <v>0.05</v>
      </c>
      <c r="F4" s="34" t="s">
        <v>712</v>
      </c>
      <c r="G4" s="34" t="s">
        <v>784</v>
      </c>
    </row>
    <row r="5" ht="65.1" customHeight="1" spans="1:7">
      <c r="A5" s="34">
        <v>44411</v>
      </c>
      <c r="B5" s="34">
        <v>1</v>
      </c>
      <c r="C5" s="71" t="s">
        <v>785</v>
      </c>
      <c r="D5" s="34">
        <v>0.25</v>
      </c>
      <c r="E5" s="34">
        <v>0.05</v>
      </c>
      <c r="F5" s="34" t="s">
        <v>712</v>
      </c>
      <c r="G5" s="34" t="s">
        <v>784</v>
      </c>
    </row>
    <row r="6" ht="61" spans="1:7">
      <c r="A6" s="34">
        <v>44412</v>
      </c>
      <c r="B6" s="34">
        <v>0</v>
      </c>
      <c r="C6" s="71" t="s">
        <v>786</v>
      </c>
      <c r="D6" s="34">
        <v>0.25</v>
      </c>
      <c r="E6" s="34">
        <v>0.05</v>
      </c>
      <c r="F6" s="34" t="s">
        <v>716</v>
      </c>
      <c r="G6" s="34" t="s">
        <v>787</v>
      </c>
    </row>
    <row r="7" ht="61" spans="1:7">
      <c r="A7" s="34">
        <v>44412</v>
      </c>
      <c r="B7" s="34">
        <v>1</v>
      </c>
      <c r="C7" s="71" t="s">
        <v>788</v>
      </c>
      <c r="D7" s="34">
        <v>0.25</v>
      </c>
      <c r="E7" s="34">
        <v>0.05</v>
      </c>
      <c r="F7" s="34" t="s">
        <v>716</v>
      </c>
      <c r="G7" s="34" t="s">
        <v>787</v>
      </c>
    </row>
    <row r="8" ht="61" spans="1:7">
      <c r="A8" s="34">
        <v>44414</v>
      </c>
      <c r="B8" s="34">
        <v>0</v>
      </c>
      <c r="C8" s="71" t="s">
        <v>789</v>
      </c>
      <c r="D8" s="34">
        <v>0.25</v>
      </c>
      <c r="E8" s="34">
        <v>0.05</v>
      </c>
      <c r="F8" s="34" t="s">
        <v>719</v>
      </c>
      <c r="G8" s="34" t="s">
        <v>790</v>
      </c>
    </row>
    <row r="9" ht="61" spans="1:7">
      <c r="A9" s="34">
        <v>44414</v>
      </c>
      <c r="B9" s="34">
        <v>1</v>
      </c>
      <c r="C9" s="71" t="s">
        <v>791</v>
      </c>
      <c r="D9" s="34">
        <v>0.25</v>
      </c>
      <c r="E9" s="34">
        <v>0.05</v>
      </c>
      <c r="F9" s="34" t="s">
        <v>719</v>
      </c>
      <c r="G9" s="34" t="s">
        <v>790</v>
      </c>
    </row>
    <row r="10" ht="84" customHeight="1" spans="1:7">
      <c r="A10" s="34">
        <v>44415</v>
      </c>
      <c r="B10" s="34">
        <v>0</v>
      </c>
      <c r="C10" s="71" t="s">
        <v>792</v>
      </c>
      <c r="D10" s="34">
        <v>0.25</v>
      </c>
      <c r="E10" s="34">
        <v>0.05</v>
      </c>
      <c r="F10" s="34" t="s">
        <v>793</v>
      </c>
      <c r="G10" s="34" t="s">
        <v>794</v>
      </c>
    </row>
    <row r="11" ht="84" customHeight="1" spans="1:7">
      <c r="A11" s="34">
        <v>44415</v>
      </c>
      <c r="B11" s="34">
        <v>1</v>
      </c>
      <c r="C11" s="71" t="s">
        <v>795</v>
      </c>
      <c r="D11" s="34">
        <v>0.25</v>
      </c>
      <c r="E11" s="34">
        <v>0.05</v>
      </c>
      <c r="F11" s="34" t="s">
        <v>793</v>
      </c>
      <c r="G11" s="34" t="s">
        <v>794</v>
      </c>
    </row>
  </sheetData>
  <pageMargins left="0.75" right="0.75" top="1" bottom="1" header="0.511805555555556" footer="0.511805555555556"/>
  <pageSetup paperSize="9" orientation="portrait"/>
  <headerFooter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W10"/>
  <sheetViews>
    <sheetView workbookViewId="0">
      <pane xSplit="3" topLeftCell="D1" activePane="topRight" state="frozen"/>
      <selection/>
      <selection pane="topRight" activeCell="B10" sqref="B10:B11"/>
    </sheetView>
  </sheetViews>
  <sheetFormatPr defaultColWidth="11.0986842105263" defaultRowHeight="15.2"/>
  <cols>
    <col min="1" max="1" width="24.0986842105263" customWidth="1"/>
    <col min="3" max="3" width="14.0986842105263" customWidth="1"/>
    <col min="4" max="5" width="13.4013157894737" customWidth="1"/>
    <col min="6" max="6" width="19.9013157894737" customWidth="1"/>
    <col min="7" max="7" width="13.4013157894737" customWidth="1"/>
    <col min="8" max="8" width="19.9013157894737" customWidth="1"/>
    <col min="11" max="11" width="13.5986842105263" customWidth="1"/>
    <col min="12" max="13" width="12.0986842105263" customWidth="1"/>
    <col min="14" max="15" width="33.0986842105263" customWidth="1"/>
    <col min="16" max="16" width="10.9013157894737" customWidth="1"/>
    <col min="17" max="17" width="31.6973684210526" customWidth="1"/>
  </cols>
  <sheetData>
    <row r="1" ht="23.1" customHeight="1" spans="1:23">
      <c r="A1" s="55" t="s">
        <v>796</v>
      </c>
      <c r="B1" s="56" t="s">
        <v>797</v>
      </c>
      <c r="C1" s="56" t="s">
        <v>798</v>
      </c>
      <c r="D1" s="56" t="s">
        <v>799</v>
      </c>
      <c r="E1" s="56" t="s">
        <v>800</v>
      </c>
      <c r="F1" s="56" t="s">
        <v>801</v>
      </c>
      <c r="G1" s="56" t="s">
        <v>802</v>
      </c>
      <c r="H1" s="56" t="s">
        <v>803</v>
      </c>
      <c r="I1" s="56" t="s">
        <v>804</v>
      </c>
      <c r="J1" s="56" t="s">
        <v>805</v>
      </c>
      <c r="K1" s="60" t="s">
        <v>806</v>
      </c>
      <c r="L1" s="56" t="s">
        <v>807</v>
      </c>
      <c r="M1" s="54" t="s">
        <v>808</v>
      </c>
      <c r="N1" s="54" t="s">
        <v>809</v>
      </c>
      <c r="O1" s="54" t="s">
        <v>810</v>
      </c>
      <c r="P1" s="56" t="s">
        <v>811</v>
      </c>
      <c r="Q1" s="56" t="s">
        <v>812</v>
      </c>
      <c r="R1" s="56" t="s">
        <v>813</v>
      </c>
      <c r="S1" s="56" t="s">
        <v>808</v>
      </c>
      <c r="T1" s="56" t="s">
        <v>813</v>
      </c>
      <c r="U1" s="56" t="s">
        <v>808</v>
      </c>
      <c r="V1" s="56" t="s">
        <v>813</v>
      </c>
      <c r="W1" s="56" t="s">
        <v>808</v>
      </c>
    </row>
    <row r="2" ht="23.1" customHeight="1" spans="1:23">
      <c r="A2" s="57" t="s">
        <v>172</v>
      </c>
      <c r="B2" s="54" t="s">
        <v>15</v>
      </c>
      <c r="C2" s="54" t="s">
        <v>15</v>
      </c>
      <c r="D2" s="54" t="s">
        <v>15</v>
      </c>
      <c r="E2" s="54" t="s">
        <v>15</v>
      </c>
      <c r="F2" s="54" t="s">
        <v>15</v>
      </c>
      <c r="G2" s="54" t="s">
        <v>15</v>
      </c>
      <c r="H2" s="54" t="s">
        <v>15</v>
      </c>
      <c r="I2" s="54" t="s">
        <v>15</v>
      </c>
      <c r="J2" s="54" t="s">
        <v>15</v>
      </c>
      <c r="K2" s="61" t="s">
        <v>173</v>
      </c>
      <c r="L2" s="54" t="s">
        <v>15</v>
      </c>
      <c r="M2" s="54" t="s">
        <v>15</v>
      </c>
      <c r="N2" s="54" t="s">
        <v>172</v>
      </c>
      <c r="O2" s="54" t="s">
        <v>172</v>
      </c>
      <c r="P2" s="54" t="s">
        <v>15</v>
      </c>
      <c r="Q2" s="56" t="s">
        <v>814</v>
      </c>
      <c r="R2" s="56" t="s">
        <v>173</v>
      </c>
      <c r="S2" s="56" t="s">
        <v>173</v>
      </c>
      <c r="T2" s="56" t="s">
        <v>173</v>
      </c>
      <c r="U2" s="56" t="s">
        <v>173</v>
      </c>
      <c r="V2" s="56" t="s">
        <v>173</v>
      </c>
      <c r="W2" s="56" t="s">
        <v>173</v>
      </c>
    </row>
    <row r="3" ht="23.1" customHeight="1" spans="1:23">
      <c r="A3" s="57" t="s">
        <v>815</v>
      </c>
      <c r="B3" s="54" t="s">
        <v>816</v>
      </c>
      <c r="C3" s="54" t="s">
        <v>817</v>
      </c>
      <c r="D3" s="54" t="s">
        <v>818</v>
      </c>
      <c r="E3" s="54" t="s">
        <v>819</v>
      </c>
      <c r="F3" s="59" t="s">
        <v>820</v>
      </c>
      <c r="G3" s="59" t="s">
        <v>821</v>
      </c>
      <c r="H3" s="59" t="s">
        <v>820</v>
      </c>
      <c r="I3" s="62" t="s">
        <v>822</v>
      </c>
      <c r="J3" s="62" t="s">
        <v>823</v>
      </c>
      <c r="K3" s="61" t="s">
        <v>824</v>
      </c>
      <c r="L3" s="54" t="s">
        <v>825</v>
      </c>
      <c r="M3" s="54" t="s">
        <v>826</v>
      </c>
      <c r="N3" s="54" t="s">
        <v>188</v>
      </c>
      <c r="O3" s="54" t="s">
        <v>188</v>
      </c>
      <c r="P3" s="54" t="s">
        <v>827</v>
      </c>
      <c r="Q3" s="56" t="s">
        <v>828</v>
      </c>
      <c r="R3" s="56" t="s">
        <v>829</v>
      </c>
      <c r="S3" s="56" t="s">
        <v>830</v>
      </c>
      <c r="T3" s="56" t="s">
        <v>829</v>
      </c>
      <c r="U3" s="56" t="s">
        <v>830</v>
      </c>
      <c r="V3" s="56" t="s">
        <v>829</v>
      </c>
      <c r="W3" s="56" t="s">
        <v>830</v>
      </c>
    </row>
    <row r="4" ht="23.1" customHeight="1" spans="1:23">
      <c r="A4" s="57" t="s">
        <v>831</v>
      </c>
      <c r="B4" s="54">
        <v>0</v>
      </c>
      <c r="C4" s="54">
        <v>1</v>
      </c>
      <c r="D4" s="54">
        <v>1</v>
      </c>
      <c r="E4" s="54">
        <v>3</v>
      </c>
      <c r="F4" s="54">
        <v>1</v>
      </c>
      <c r="G4" s="54">
        <v>3</v>
      </c>
      <c r="H4" s="54">
        <v>1</v>
      </c>
      <c r="I4" s="54">
        <v>0</v>
      </c>
      <c r="J4" s="54">
        <v>0</v>
      </c>
      <c r="K4" s="54">
        <v>0</v>
      </c>
      <c r="L4" s="54">
        <v>0</v>
      </c>
      <c r="M4" s="54">
        <v>0</v>
      </c>
      <c r="N4" s="54"/>
      <c r="O4" s="54"/>
      <c r="P4" s="54">
        <v>0</v>
      </c>
      <c r="Q4" s="56" t="s">
        <v>832</v>
      </c>
      <c r="R4" s="64">
        <v>1</v>
      </c>
      <c r="S4" s="64">
        <v>0.7</v>
      </c>
      <c r="T4" s="64">
        <v>2.4</v>
      </c>
      <c r="U4" s="64">
        <v>0.1</v>
      </c>
      <c r="V4" s="64">
        <v>0</v>
      </c>
      <c r="W4" s="64">
        <v>0.2</v>
      </c>
    </row>
    <row r="5" ht="23.1" customHeight="1" spans="1:23">
      <c r="A5" s="57" t="s">
        <v>833</v>
      </c>
      <c r="B5" s="54">
        <v>1288</v>
      </c>
      <c r="C5" s="54">
        <v>1</v>
      </c>
      <c r="D5" s="54">
        <v>1</v>
      </c>
      <c r="E5" s="54">
        <v>3</v>
      </c>
      <c r="F5" s="54">
        <v>5</v>
      </c>
      <c r="G5" s="54">
        <v>3</v>
      </c>
      <c r="H5" s="54">
        <v>10</v>
      </c>
      <c r="I5" s="54">
        <v>0</v>
      </c>
      <c r="J5" s="54">
        <v>0</v>
      </c>
      <c r="K5" s="54">
        <v>0.2</v>
      </c>
      <c r="L5" s="54">
        <v>1</v>
      </c>
      <c r="M5" s="54">
        <v>10000</v>
      </c>
      <c r="N5" s="54" t="s">
        <v>834</v>
      </c>
      <c r="O5" s="54" t="s">
        <v>835</v>
      </c>
      <c r="P5" s="54">
        <v>20000</v>
      </c>
      <c r="Q5" s="56" t="s">
        <v>836</v>
      </c>
      <c r="R5" s="64">
        <v>0.95</v>
      </c>
      <c r="S5" s="64">
        <v>0.7</v>
      </c>
      <c r="T5" s="64">
        <v>2.8</v>
      </c>
      <c r="U5" s="64">
        <v>0.1</v>
      </c>
      <c r="V5" s="64">
        <v>0</v>
      </c>
      <c r="W5" s="64">
        <v>0.2</v>
      </c>
    </row>
    <row r="6" ht="23.1" customHeight="1" spans="1:23">
      <c r="A6" s="58" t="s">
        <v>837</v>
      </c>
      <c r="B6" s="54">
        <v>1165</v>
      </c>
      <c r="C6" s="54">
        <v>1</v>
      </c>
      <c r="D6" s="54">
        <v>1</v>
      </c>
      <c r="E6" s="54">
        <v>3</v>
      </c>
      <c r="F6" s="54">
        <v>10</v>
      </c>
      <c r="G6" s="54">
        <v>3</v>
      </c>
      <c r="H6" s="54">
        <v>50</v>
      </c>
      <c r="I6" s="54">
        <v>0</v>
      </c>
      <c r="J6" s="54">
        <v>0</v>
      </c>
      <c r="K6" s="54">
        <v>0.2</v>
      </c>
      <c r="L6" s="54">
        <v>1</v>
      </c>
      <c r="M6" s="54">
        <v>10000</v>
      </c>
      <c r="N6" s="54" t="s">
        <v>834</v>
      </c>
      <c r="O6" s="54" t="s">
        <v>835</v>
      </c>
      <c r="P6" s="54">
        <v>40000</v>
      </c>
      <c r="Q6" s="56" t="s">
        <v>838</v>
      </c>
      <c r="R6" s="65">
        <v>0.95</v>
      </c>
      <c r="S6" s="65">
        <v>0.7</v>
      </c>
      <c r="T6" s="65">
        <v>2.8</v>
      </c>
      <c r="U6" s="65">
        <v>0.1</v>
      </c>
      <c r="V6" s="65">
        <v>0</v>
      </c>
      <c r="W6" s="65">
        <v>0.2</v>
      </c>
    </row>
    <row r="7" ht="23.1" customHeight="1" spans="1:23">
      <c r="A7" s="58" t="s">
        <v>839</v>
      </c>
      <c r="B7" s="54">
        <v>1166</v>
      </c>
      <c r="C7" s="54">
        <v>1</v>
      </c>
      <c r="D7" s="54">
        <v>1</v>
      </c>
      <c r="E7" s="54">
        <v>3</v>
      </c>
      <c r="F7" s="54">
        <v>20</v>
      </c>
      <c r="G7" s="54">
        <v>3</v>
      </c>
      <c r="H7" s="54">
        <v>50</v>
      </c>
      <c r="I7" s="54">
        <v>0</v>
      </c>
      <c r="J7" s="54">
        <v>0</v>
      </c>
      <c r="K7" s="54">
        <v>1.5</v>
      </c>
      <c r="L7" s="63">
        <v>2</v>
      </c>
      <c r="M7" s="63">
        <v>200</v>
      </c>
      <c r="N7" s="54" t="s">
        <v>834</v>
      </c>
      <c r="O7" s="54" t="s">
        <v>835</v>
      </c>
      <c r="P7" s="54">
        <v>250000</v>
      </c>
      <c r="Q7" s="56" t="s">
        <v>840</v>
      </c>
      <c r="R7" s="66">
        <v>1</v>
      </c>
      <c r="S7" s="66">
        <v>0.7</v>
      </c>
      <c r="T7" s="66">
        <v>2</v>
      </c>
      <c r="U7" s="66">
        <v>0.1</v>
      </c>
      <c r="V7" s="66">
        <v>0.2</v>
      </c>
      <c r="W7" s="66">
        <v>0.2</v>
      </c>
    </row>
    <row r="8" ht="23.1" customHeight="1" spans="1:23">
      <c r="A8" s="58" t="s">
        <v>841</v>
      </c>
      <c r="B8" s="54">
        <v>1167</v>
      </c>
      <c r="C8" s="54">
        <v>1</v>
      </c>
      <c r="D8" s="54">
        <v>1</v>
      </c>
      <c r="E8" s="54">
        <v>3</v>
      </c>
      <c r="F8" s="54">
        <v>30</v>
      </c>
      <c r="G8" s="54">
        <v>3</v>
      </c>
      <c r="H8" s="54">
        <v>50</v>
      </c>
      <c r="I8" s="54">
        <v>0</v>
      </c>
      <c r="J8" s="54">
        <v>0</v>
      </c>
      <c r="K8" s="54">
        <v>2</v>
      </c>
      <c r="L8" s="63">
        <v>2</v>
      </c>
      <c r="M8" s="63">
        <v>200</v>
      </c>
      <c r="N8" s="54" t="s">
        <v>834</v>
      </c>
      <c r="O8" s="54" t="s">
        <v>835</v>
      </c>
      <c r="P8" s="54">
        <v>500000</v>
      </c>
      <c r="Q8" s="56" t="s">
        <v>842</v>
      </c>
      <c r="R8" s="67">
        <v>0.96</v>
      </c>
      <c r="S8" s="67">
        <v>0.7</v>
      </c>
      <c r="T8" s="67">
        <v>2.2</v>
      </c>
      <c r="U8" s="67">
        <v>0.1</v>
      </c>
      <c r="V8" s="67">
        <v>0.2</v>
      </c>
      <c r="W8" s="67">
        <v>0.2</v>
      </c>
    </row>
    <row r="9" ht="23.1" customHeight="1" spans="1:23">
      <c r="A9" s="57" t="s">
        <v>843</v>
      </c>
      <c r="B9" s="54">
        <v>1289</v>
      </c>
      <c r="C9" s="54">
        <v>1</v>
      </c>
      <c r="D9" s="54">
        <v>2</v>
      </c>
      <c r="E9" s="54">
        <v>3</v>
      </c>
      <c r="F9" s="54">
        <v>40</v>
      </c>
      <c r="G9" s="54">
        <v>3</v>
      </c>
      <c r="H9" s="54">
        <v>50</v>
      </c>
      <c r="I9" s="54">
        <v>0</v>
      </c>
      <c r="J9" s="54">
        <v>0</v>
      </c>
      <c r="K9" s="54">
        <v>2.2</v>
      </c>
      <c r="L9" s="63">
        <v>2</v>
      </c>
      <c r="M9" s="63">
        <v>200</v>
      </c>
      <c r="N9" s="54" t="s">
        <v>834</v>
      </c>
      <c r="O9" s="54" t="s">
        <v>835</v>
      </c>
      <c r="P9" s="63">
        <v>666666</v>
      </c>
      <c r="Q9" s="56" t="s">
        <v>844</v>
      </c>
      <c r="R9" s="68">
        <v>0.96</v>
      </c>
      <c r="S9" s="68">
        <v>0.7</v>
      </c>
      <c r="T9" s="68">
        <v>2</v>
      </c>
      <c r="U9" s="68">
        <v>0.1</v>
      </c>
      <c r="V9" s="68">
        <v>0.25</v>
      </c>
      <c r="W9" s="68">
        <v>0.2</v>
      </c>
    </row>
    <row r="10" ht="23.1" customHeight="1" spans="1:23">
      <c r="A10" s="58" t="s">
        <v>845</v>
      </c>
      <c r="B10" s="54">
        <v>1290</v>
      </c>
      <c r="C10" s="54">
        <v>1</v>
      </c>
      <c r="D10" s="54">
        <v>2</v>
      </c>
      <c r="E10" s="54">
        <v>3</v>
      </c>
      <c r="F10" s="54">
        <v>50</v>
      </c>
      <c r="G10" s="54">
        <v>3</v>
      </c>
      <c r="H10" s="54">
        <v>50</v>
      </c>
      <c r="I10" s="54">
        <v>0</v>
      </c>
      <c r="J10" s="54">
        <v>0</v>
      </c>
      <c r="K10" s="54">
        <v>2.4</v>
      </c>
      <c r="L10" s="63">
        <v>2</v>
      </c>
      <c r="M10" s="63">
        <v>200</v>
      </c>
      <c r="N10" s="54" t="s">
        <v>834</v>
      </c>
      <c r="O10" s="54" t="s">
        <v>835</v>
      </c>
      <c r="P10" s="63">
        <v>666666</v>
      </c>
      <c r="Q10" s="56" t="s">
        <v>846</v>
      </c>
      <c r="R10" s="69">
        <v>0.96</v>
      </c>
      <c r="S10" s="69">
        <v>0.72</v>
      </c>
      <c r="T10" s="69">
        <v>2.4</v>
      </c>
      <c r="U10" s="69">
        <v>0.08</v>
      </c>
      <c r="V10" s="69">
        <v>0.25</v>
      </c>
      <c r="W10" s="69">
        <v>0.2</v>
      </c>
    </row>
  </sheetData>
  <pageMargins left="0.699305555555556" right="0.699305555555556" top="0.75" bottom="0.75" header="0.3" footer="0.3"/>
  <headerFooter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D19"/>
  <sheetViews>
    <sheetView topLeftCell="B1" workbookViewId="0">
      <selection activeCell="A1" sqref="A1:D19"/>
    </sheetView>
  </sheetViews>
  <sheetFormatPr defaultColWidth="11.0986842105263" defaultRowHeight="23.1" customHeight="1" outlineLevelCol="3"/>
  <cols>
    <col min="4" max="4" width="13.4013157894737" customWidth="1"/>
  </cols>
  <sheetData>
    <row r="1" customHeight="1" spans="1:4">
      <c r="A1" s="54" t="s">
        <v>847</v>
      </c>
      <c r="B1" s="54" t="s">
        <v>848</v>
      </c>
      <c r="C1" s="54" t="s">
        <v>849</v>
      </c>
      <c r="D1" s="54" t="s">
        <v>850</v>
      </c>
    </row>
    <row r="2" customHeight="1" spans="1:4">
      <c r="A2" s="54" t="s">
        <v>15</v>
      </c>
      <c r="B2" s="54" t="s">
        <v>15</v>
      </c>
      <c r="C2" s="54" t="s">
        <v>15</v>
      </c>
      <c r="D2" s="54" t="s">
        <v>15</v>
      </c>
    </row>
    <row r="3" customHeight="1" spans="1:4">
      <c r="A3" s="54" t="s">
        <v>851</v>
      </c>
      <c r="B3" s="54" t="s">
        <v>852</v>
      </c>
      <c r="C3" s="54" t="s">
        <v>853</v>
      </c>
      <c r="D3" s="54" t="s">
        <v>854</v>
      </c>
    </row>
    <row r="4" customHeight="1" spans="1:4">
      <c r="A4" s="54">
        <v>1352</v>
      </c>
      <c r="B4" s="54">
        <v>1288</v>
      </c>
      <c r="C4" s="54">
        <v>1352</v>
      </c>
      <c r="D4" s="54">
        <v>20</v>
      </c>
    </row>
    <row r="5" customHeight="1" spans="1:4">
      <c r="A5" s="54">
        <v>1353</v>
      </c>
      <c r="B5" s="54">
        <v>1165</v>
      </c>
      <c r="C5" s="54">
        <v>1353</v>
      </c>
      <c r="D5" s="54">
        <v>20</v>
      </c>
    </row>
    <row r="6" customHeight="1" spans="1:4">
      <c r="A6" s="54">
        <v>1354</v>
      </c>
      <c r="B6" s="54">
        <v>1166</v>
      </c>
      <c r="C6" s="54">
        <v>1354</v>
      </c>
      <c r="D6" s="54">
        <v>20</v>
      </c>
    </row>
    <row r="7" customHeight="1" spans="1:4">
      <c r="A7" s="54">
        <v>1355</v>
      </c>
      <c r="B7" s="54">
        <v>1167</v>
      </c>
      <c r="C7" s="54">
        <v>1355</v>
      </c>
      <c r="D7" s="54">
        <v>20</v>
      </c>
    </row>
    <row r="8" customHeight="1" spans="1:4">
      <c r="A8" s="54">
        <v>1356</v>
      </c>
      <c r="B8" s="54">
        <v>1289</v>
      </c>
      <c r="C8" s="54">
        <v>1356</v>
      </c>
      <c r="D8" s="54">
        <v>20</v>
      </c>
    </row>
    <row r="9" customHeight="1" spans="1:4">
      <c r="A9" s="54">
        <v>1357</v>
      </c>
      <c r="B9" s="54">
        <v>1290</v>
      </c>
      <c r="C9" s="54">
        <v>1357</v>
      </c>
      <c r="D9" s="54">
        <v>20</v>
      </c>
    </row>
    <row r="10" customHeight="1" spans="1:4">
      <c r="A10" s="54">
        <v>1366</v>
      </c>
      <c r="B10" s="54">
        <v>0</v>
      </c>
      <c r="C10" s="54">
        <v>1366</v>
      </c>
      <c r="D10" s="54">
        <v>20</v>
      </c>
    </row>
    <row r="11" customHeight="1" spans="1:4">
      <c r="A11" s="54">
        <v>1395</v>
      </c>
      <c r="B11" s="54">
        <v>1288</v>
      </c>
      <c r="C11" s="54">
        <v>1395</v>
      </c>
      <c r="D11" s="54">
        <v>20</v>
      </c>
    </row>
    <row r="12" customHeight="1" spans="1:4">
      <c r="A12" s="54">
        <v>1471</v>
      </c>
      <c r="B12" s="54">
        <v>1165</v>
      </c>
      <c r="C12" s="54">
        <v>1471</v>
      </c>
      <c r="D12" s="54">
        <v>20</v>
      </c>
    </row>
    <row r="13" customHeight="1" spans="1:4">
      <c r="A13" s="54">
        <v>1472</v>
      </c>
      <c r="B13" s="54">
        <v>1165</v>
      </c>
      <c r="C13" s="54">
        <v>1472</v>
      </c>
      <c r="D13" s="54">
        <v>20</v>
      </c>
    </row>
    <row r="14" customHeight="1" spans="1:4">
      <c r="A14" s="54">
        <v>1473</v>
      </c>
      <c r="B14" s="54">
        <v>1166</v>
      </c>
      <c r="C14" s="54">
        <v>1473</v>
      </c>
      <c r="D14" s="54">
        <v>20</v>
      </c>
    </row>
    <row r="15" customHeight="1" spans="1:4">
      <c r="A15" s="54">
        <v>1475</v>
      </c>
      <c r="B15" s="54">
        <v>1167</v>
      </c>
      <c r="C15" s="54">
        <v>1475</v>
      </c>
      <c r="D15" s="54">
        <v>20</v>
      </c>
    </row>
    <row r="16" customHeight="1" spans="1:4">
      <c r="A16" s="54">
        <v>1476</v>
      </c>
      <c r="B16" s="54">
        <v>1167</v>
      </c>
      <c r="C16" s="54">
        <v>1476</v>
      </c>
      <c r="D16" s="54">
        <v>20</v>
      </c>
    </row>
    <row r="17" ht="23.25" customHeight="1" spans="1:4">
      <c r="A17" s="54">
        <v>1477</v>
      </c>
      <c r="B17" s="54">
        <v>1289</v>
      </c>
      <c r="C17" s="54">
        <v>1477</v>
      </c>
      <c r="D17" s="54">
        <v>20</v>
      </c>
    </row>
    <row r="18" ht="23.25" customHeight="1" spans="1:4">
      <c r="A18" s="54">
        <v>1478</v>
      </c>
      <c r="B18" s="54">
        <v>1289</v>
      </c>
      <c r="C18" s="54">
        <v>1478</v>
      </c>
      <c r="D18" s="54">
        <v>20</v>
      </c>
    </row>
    <row r="19" customHeight="1" spans="1:4">
      <c r="A19" s="54">
        <v>1479</v>
      </c>
      <c r="B19" s="54">
        <v>1290</v>
      </c>
      <c r="C19" s="54">
        <v>1479</v>
      </c>
      <c r="D19" s="54">
        <v>20</v>
      </c>
    </row>
  </sheetData>
  <pageMargins left="0.699305555555556" right="0.699305555555556" top="0.75" bottom="0.75" header="0.3" footer="0.3"/>
  <pageSetup paperSize="9" orientation="portrait"/>
  <headerFooter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W53"/>
  <sheetViews>
    <sheetView showGridLines="0" workbookViewId="0">
      <pane xSplit="1" topLeftCell="B1" activePane="topRight" state="frozen"/>
      <selection/>
      <selection pane="topRight" activeCell="E13" sqref="E13"/>
    </sheetView>
  </sheetViews>
  <sheetFormatPr defaultColWidth="9" defaultRowHeight="15.2"/>
  <cols>
    <col min="1" max="1" width="9.19736842105263" customWidth="1"/>
    <col min="2" max="2" width="9.40131578947368" customWidth="1"/>
    <col min="3" max="3" width="7.59868421052632" customWidth="1"/>
    <col min="4" max="4" width="9.40131578947368" customWidth="1"/>
    <col min="5" max="5" width="7.59868421052632" customWidth="1"/>
    <col min="6" max="6" width="9.40131578947368" customWidth="1"/>
    <col min="7" max="7" width="7.59868421052632" customWidth="1"/>
    <col min="8" max="8" width="11.0986842105263" customWidth="1"/>
    <col min="9" max="9" width="22.0986842105263" customWidth="1"/>
    <col min="10" max="10" width="7.59868421052632" customWidth="1"/>
    <col min="11" max="11" width="16.4013157894737" customWidth="1"/>
    <col min="12" max="12" width="7.59868421052632" customWidth="1"/>
    <col min="13" max="13" width="5.69736842105263" customWidth="1"/>
    <col min="14" max="14" width="16.4013157894737" customWidth="1"/>
    <col min="15" max="15" width="7.59868421052632" customWidth="1"/>
    <col min="16" max="16" width="5.69736842105263" customWidth="1"/>
    <col min="17" max="17" width="16.4013157894737" customWidth="1"/>
    <col min="18" max="18" width="7.59868421052632" customWidth="1"/>
    <col min="19" max="19" width="5.69736842105263" customWidth="1"/>
    <col min="21" max="21" width="12.4013157894737" customWidth="1"/>
    <col min="22" max="22" width="16.0986842105263" customWidth="1"/>
  </cols>
  <sheetData>
    <row r="1" ht="23.1" customHeight="1" spans="1:23">
      <c r="A1" s="50" t="s">
        <v>855</v>
      </c>
      <c r="B1" s="50" t="s">
        <v>849</v>
      </c>
      <c r="C1" s="50" t="s">
        <v>856</v>
      </c>
      <c r="D1" s="50" t="s">
        <v>849</v>
      </c>
      <c r="E1" s="50" t="s">
        <v>856</v>
      </c>
      <c r="F1" s="50" t="s">
        <v>849</v>
      </c>
      <c r="G1" s="50" t="s">
        <v>856</v>
      </c>
      <c r="H1" s="50" t="s">
        <v>857</v>
      </c>
      <c r="I1" s="50" t="s">
        <v>849</v>
      </c>
      <c r="J1" s="50" t="s">
        <v>856</v>
      </c>
      <c r="K1" s="52" t="s">
        <v>849</v>
      </c>
      <c r="L1" s="50" t="s">
        <v>856</v>
      </c>
      <c r="M1" s="50" t="s">
        <v>858</v>
      </c>
      <c r="N1" s="52" t="s">
        <v>849</v>
      </c>
      <c r="O1" s="50" t="s">
        <v>856</v>
      </c>
      <c r="P1" s="50" t="s">
        <v>858</v>
      </c>
      <c r="Q1" s="52" t="s">
        <v>849</v>
      </c>
      <c r="R1" s="50" t="s">
        <v>856</v>
      </c>
      <c r="S1" s="50" t="s">
        <v>858</v>
      </c>
      <c r="T1" s="50" t="s">
        <v>859</v>
      </c>
      <c r="U1" s="50" t="s">
        <v>860</v>
      </c>
      <c r="V1" s="50" t="s">
        <v>861</v>
      </c>
      <c r="W1" s="50" t="s">
        <v>862</v>
      </c>
    </row>
    <row r="2" ht="35.1" customHeight="1" spans="1:23">
      <c r="A2" s="50" t="s">
        <v>15</v>
      </c>
      <c r="B2" s="50" t="s">
        <v>15</v>
      </c>
      <c r="C2" s="50" t="s">
        <v>15</v>
      </c>
      <c r="D2" s="50" t="s">
        <v>15</v>
      </c>
      <c r="E2" s="50" t="s">
        <v>15</v>
      </c>
      <c r="F2" s="50" t="s">
        <v>15</v>
      </c>
      <c r="G2" s="50" t="s">
        <v>15</v>
      </c>
      <c r="H2" s="50" t="s">
        <v>15</v>
      </c>
      <c r="I2" s="50" t="s">
        <v>15</v>
      </c>
      <c r="J2" s="50" t="s">
        <v>15</v>
      </c>
      <c r="K2" s="52" t="s">
        <v>15</v>
      </c>
      <c r="L2" s="50" t="s">
        <v>15</v>
      </c>
      <c r="M2" s="50" t="s">
        <v>15</v>
      </c>
      <c r="N2" s="52" t="s">
        <v>15</v>
      </c>
      <c r="O2" s="50" t="s">
        <v>15</v>
      </c>
      <c r="P2" s="50" t="s">
        <v>15</v>
      </c>
      <c r="Q2" s="52" t="s">
        <v>15</v>
      </c>
      <c r="R2" s="50" t="s">
        <v>15</v>
      </c>
      <c r="S2" s="50" t="s">
        <v>15</v>
      </c>
      <c r="T2" s="50" t="s">
        <v>173</v>
      </c>
      <c r="U2" s="50" t="s">
        <v>15</v>
      </c>
      <c r="V2" s="50" t="s">
        <v>173</v>
      </c>
      <c r="W2" s="50" t="s">
        <v>15</v>
      </c>
    </row>
    <row r="3" ht="33.95" customHeight="1" spans="1:23">
      <c r="A3" s="51" t="s">
        <v>863</v>
      </c>
      <c r="B3" s="51" t="s">
        <v>864</v>
      </c>
      <c r="C3" s="51" t="s">
        <v>865</v>
      </c>
      <c r="D3" s="51" t="s">
        <v>864</v>
      </c>
      <c r="E3" s="51" t="s">
        <v>865</v>
      </c>
      <c r="F3" s="51" t="s">
        <v>864</v>
      </c>
      <c r="G3" s="51" t="s">
        <v>865</v>
      </c>
      <c r="H3" s="51" t="s">
        <v>866</v>
      </c>
      <c r="I3" s="51" t="s">
        <v>867</v>
      </c>
      <c r="J3" s="51" t="s">
        <v>865</v>
      </c>
      <c r="K3" s="53" t="s">
        <v>868</v>
      </c>
      <c r="L3" s="51" t="s">
        <v>869</v>
      </c>
      <c r="M3" s="51" t="s">
        <v>870</v>
      </c>
      <c r="N3" s="53" t="s">
        <v>868</v>
      </c>
      <c r="O3" s="51" t="s">
        <v>869</v>
      </c>
      <c r="P3" s="51" t="s">
        <v>870</v>
      </c>
      <c r="Q3" s="53" t="s">
        <v>868</v>
      </c>
      <c r="R3" s="51" t="s">
        <v>869</v>
      </c>
      <c r="S3" s="51" t="s">
        <v>870</v>
      </c>
      <c r="T3" s="51" t="s">
        <v>871</v>
      </c>
      <c r="U3" s="51" t="s">
        <v>872</v>
      </c>
      <c r="V3" s="51" t="s">
        <v>873</v>
      </c>
      <c r="W3" s="51" t="s">
        <v>874</v>
      </c>
    </row>
    <row r="4" ht="23.1" customHeight="1" spans="1:23">
      <c r="A4" s="50">
        <v>2101</v>
      </c>
      <c r="B4" s="50">
        <v>0</v>
      </c>
      <c r="C4" s="50">
        <v>0</v>
      </c>
      <c r="D4" s="50">
        <v>0</v>
      </c>
      <c r="E4" s="50">
        <v>0</v>
      </c>
      <c r="F4" s="50">
        <v>0</v>
      </c>
      <c r="G4" s="50">
        <v>0</v>
      </c>
      <c r="H4" s="50">
        <v>10000</v>
      </c>
      <c r="I4" s="50">
        <v>0</v>
      </c>
      <c r="J4" s="50">
        <v>0</v>
      </c>
      <c r="K4" s="50">
        <v>0</v>
      </c>
      <c r="L4" s="50">
        <v>0</v>
      </c>
      <c r="M4" s="50">
        <v>0</v>
      </c>
      <c r="N4" s="50">
        <v>0</v>
      </c>
      <c r="O4" s="50">
        <v>0</v>
      </c>
      <c r="P4" s="50">
        <v>0</v>
      </c>
      <c r="Q4" s="50">
        <v>0</v>
      </c>
      <c r="R4" s="50">
        <v>0</v>
      </c>
      <c r="S4" s="50">
        <v>0</v>
      </c>
      <c r="T4" s="50">
        <v>0.25</v>
      </c>
      <c r="U4" s="50">
        <v>1</v>
      </c>
      <c r="V4" s="50">
        <v>0</v>
      </c>
      <c r="W4" s="50">
        <v>1</v>
      </c>
    </row>
    <row r="5" ht="23.1" customHeight="1" spans="1:23">
      <c r="A5" s="50">
        <v>2102</v>
      </c>
      <c r="B5" s="50">
        <v>1137</v>
      </c>
      <c r="C5" s="50">
        <v>1</v>
      </c>
      <c r="D5" s="50">
        <v>0</v>
      </c>
      <c r="E5" s="50">
        <v>0</v>
      </c>
      <c r="F5" s="50">
        <v>0</v>
      </c>
      <c r="G5" s="50">
        <v>0</v>
      </c>
      <c r="H5" s="50">
        <v>10000</v>
      </c>
      <c r="I5" s="50">
        <v>0</v>
      </c>
      <c r="J5" s="50">
        <v>0</v>
      </c>
      <c r="K5" s="50">
        <v>0</v>
      </c>
      <c r="L5" s="50">
        <v>0</v>
      </c>
      <c r="M5" s="50">
        <v>0</v>
      </c>
      <c r="N5" s="50">
        <v>0</v>
      </c>
      <c r="O5" s="50">
        <v>0</v>
      </c>
      <c r="P5" s="50">
        <v>0</v>
      </c>
      <c r="Q5" s="50">
        <v>0</v>
      </c>
      <c r="R5" s="50">
        <v>0</v>
      </c>
      <c r="S5" s="50">
        <v>0</v>
      </c>
      <c r="T5" s="50">
        <v>0.25</v>
      </c>
      <c r="U5" s="50">
        <v>1</v>
      </c>
      <c r="V5" s="50">
        <v>0</v>
      </c>
      <c r="W5" s="50">
        <v>2</v>
      </c>
    </row>
    <row r="6" ht="23.1" customHeight="1" spans="1:23">
      <c r="A6" s="50">
        <v>2103</v>
      </c>
      <c r="B6" s="50">
        <v>1137</v>
      </c>
      <c r="C6" s="50">
        <v>2</v>
      </c>
      <c r="D6" s="50">
        <v>0</v>
      </c>
      <c r="E6" s="50">
        <v>0</v>
      </c>
      <c r="F6" s="50">
        <v>0</v>
      </c>
      <c r="G6" s="50">
        <v>0</v>
      </c>
      <c r="H6" s="50">
        <v>10000</v>
      </c>
      <c r="I6" s="50">
        <v>0</v>
      </c>
      <c r="J6" s="50">
        <v>0</v>
      </c>
      <c r="K6" s="50">
        <v>0</v>
      </c>
      <c r="L6" s="50">
        <v>0</v>
      </c>
      <c r="M6" s="50">
        <v>0</v>
      </c>
      <c r="N6" s="50">
        <v>0</v>
      </c>
      <c r="O6" s="50">
        <v>0</v>
      </c>
      <c r="P6" s="50">
        <v>0</v>
      </c>
      <c r="Q6" s="50">
        <v>0</v>
      </c>
      <c r="R6" s="50">
        <v>0</v>
      </c>
      <c r="S6" s="50">
        <v>0</v>
      </c>
      <c r="T6" s="50">
        <v>0.25</v>
      </c>
      <c r="U6" s="50">
        <v>1</v>
      </c>
      <c r="V6" s="50">
        <v>0</v>
      </c>
      <c r="W6" s="50">
        <v>3</v>
      </c>
    </row>
    <row r="7" ht="23.1" customHeight="1" spans="1:23">
      <c r="A7" s="50">
        <v>2104</v>
      </c>
      <c r="B7" s="50">
        <v>1137</v>
      </c>
      <c r="C7" s="50">
        <v>4</v>
      </c>
      <c r="D7" s="50">
        <v>0</v>
      </c>
      <c r="E7" s="50">
        <v>0</v>
      </c>
      <c r="F7" s="50">
        <v>0</v>
      </c>
      <c r="G7" s="50">
        <v>0</v>
      </c>
      <c r="H7" s="50">
        <v>10000</v>
      </c>
      <c r="I7" s="50">
        <v>0</v>
      </c>
      <c r="J7" s="50">
        <v>0</v>
      </c>
      <c r="K7" s="50">
        <v>0</v>
      </c>
      <c r="L7" s="50">
        <v>0</v>
      </c>
      <c r="M7" s="50">
        <v>0</v>
      </c>
      <c r="N7" s="50">
        <v>0</v>
      </c>
      <c r="O7" s="50">
        <v>0</v>
      </c>
      <c r="P7" s="50">
        <v>0</v>
      </c>
      <c r="Q7" s="50">
        <v>0</v>
      </c>
      <c r="R7" s="50">
        <v>0</v>
      </c>
      <c r="S7" s="50">
        <v>0</v>
      </c>
      <c r="T7" s="50">
        <v>0.25</v>
      </c>
      <c r="U7" s="50">
        <v>1</v>
      </c>
      <c r="V7" s="50">
        <v>0</v>
      </c>
      <c r="W7" s="50">
        <v>4</v>
      </c>
    </row>
    <row r="8" ht="23.1" customHeight="1" spans="1:23">
      <c r="A8" s="50">
        <v>2105</v>
      </c>
      <c r="B8" s="50">
        <v>1137</v>
      </c>
      <c r="C8" s="50">
        <v>4</v>
      </c>
      <c r="D8" s="50">
        <v>0</v>
      </c>
      <c r="E8" s="50">
        <v>0</v>
      </c>
      <c r="F8" s="50">
        <v>0</v>
      </c>
      <c r="G8" s="50">
        <v>0</v>
      </c>
      <c r="H8" s="50">
        <v>10000</v>
      </c>
      <c r="I8" s="50">
        <v>0</v>
      </c>
      <c r="J8" s="50">
        <v>0</v>
      </c>
      <c r="K8" s="50">
        <v>0</v>
      </c>
      <c r="L8" s="50">
        <v>0</v>
      </c>
      <c r="M8" s="50">
        <v>0</v>
      </c>
      <c r="N8" s="50">
        <v>0</v>
      </c>
      <c r="O8" s="50">
        <v>0</v>
      </c>
      <c r="P8" s="50">
        <v>0</v>
      </c>
      <c r="Q8" s="50">
        <v>0</v>
      </c>
      <c r="R8" s="50">
        <v>0</v>
      </c>
      <c r="S8" s="50">
        <v>0</v>
      </c>
      <c r="T8" s="50">
        <v>0.25</v>
      </c>
      <c r="U8" s="50">
        <v>1</v>
      </c>
      <c r="V8" s="50">
        <v>0</v>
      </c>
      <c r="W8" s="50">
        <v>5</v>
      </c>
    </row>
    <row r="9" ht="23.1" customHeight="1" spans="1:23">
      <c r="A9" s="50">
        <v>2106</v>
      </c>
      <c r="B9" s="50">
        <v>1137</v>
      </c>
      <c r="C9" s="50">
        <v>4</v>
      </c>
      <c r="D9" s="50">
        <v>0</v>
      </c>
      <c r="E9" s="50">
        <v>0</v>
      </c>
      <c r="F9" s="50">
        <v>0</v>
      </c>
      <c r="G9" s="50">
        <v>0</v>
      </c>
      <c r="H9" s="50">
        <v>10000</v>
      </c>
      <c r="I9" s="50">
        <v>0</v>
      </c>
      <c r="J9" s="50">
        <v>0</v>
      </c>
      <c r="K9" s="50">
        <v>0</v>
      </c>
      <c r="L9" s="50">
        <v>0</v>
      </c>
      <c r="M9" s="50">
        <v>0</v>
      </c>
      <c r="N9" s="50">
        <v>0</v>
      </c>
      <c r="O9" s="50">
        <v>0</v>
      </c>
      <c r="P9" s="50">
        <v>0</v>
      </c>
      <c r="Q9" s="50">
        <v>0</v>
      </c>
      <c r="R9" s="50">
        <v>0</v>
      </c>
      <c r="S9" s="50">
        <v>0</v>
      </c>
      <c r="T9" s="50">
        <v>0.25</v>
      </c>
      <c r="U9" s="50">
        <v>1</v>
      </c>
      <c r="V9" s="50">
        <v>0</v>
      </c>
      <c r="W9" s="50">
        <v>6</v>
      </c>
    </row>
    <row r="10" ht="23.1" customHeight="1" spans="1:23">
      <c r="A10" s="50">
        <v>2107</v>
      </c>
      <c r="B10" s="50">
        <v>1137</v>
      </c>
      <c r="C10" s="50">
        <v>5</v>
      </c>
      <c r="D10" s="50">
        <v>0</v>
      </c>
      <c r="E10" s="50">
        <v>0</v>
      </c>
      <c r="F10" s="50">
        <v>0</v>
      </c>
      <c r="G10" s="50">
        <v>0</v>
      </c>
      <c r="H10" s="50">
        <v>10000</v>
      </c>
      <c r="I10" s="50">
        <v>0</v>
      </c>
      <c r="J10" s="50">
        <v>0</v>
      </c>
      <c r="K10" s="50">
        <v>0</v>
      </c>
      <c r="L10" s="50">
        <v>0</v>
      </c>
      <c r="M10" s="50">
        <v>0</v>
      </c>
      <c r="N10" s="50">
        <v>0</v>
      </c>
      <c r="O10" s="50">
        <v>0</v>
      </c>
      <c r="P10" s="50">
        <v>0</v>
      </c>
      <c r="Q10" s="50">
        <v>0</v>
      </c>
      <c r="R10" s="50">
        <v>0</v>
      </c>
      <c r="S10" s="50">
        <v>0</v>
      </c>
      <c r="T10" s="50">
        <v>0.25</v>
      </c>
      <c r="U10" s="50">
        <v>1</v>
      </c>
      <c r="V10" s="50">
        <v>0</v>
      </c>
      <c r="W10" s="50">
        <v>7</v>
      </c>
    </row>
    <row r="11" ht="23.1" customHeight="1" spans="1:23">
      <c r="A11" s="50">
        <v>2108</v>
      </c>
      <c r="B11" s="50">
        <v>1137</v>
      </c>
      <c r="C11" s="50">
        <v>6</v>
      </c>
      <c r="D11" s="50">
        <v>0</v>
      </c>
      <c r="E11" s="50">
        <v>0</v>
      </c>
      <c r="F11" s="50">
        <v>0</v>
      </c>
      <c r="G11" s="50">
        <v>0</v>
      </c>
      <c r="H11" s="50">
        <v>10000</v>
      </c>
      <c r="I11" s="50">
        <v>0</v>
      </c>
      <c r="J11" s="50">
        <v>0</v>
      </c>
      <c r="K11" s="50">
        <v>0</v>
      </c>
      <c r="L11" s="50">
        <v>0</v>
      </c>
      <c r="M11" s="50">
        <v>0</v>
      </c>
      <c r="N11" s="50">
        <v>0</v>
      </c>
      <c r="O11" s="50">
        <v>0</v>
      </c>
      <c r="P11" s="50">
        <v>0</v>
      </c>
      <c r="Q11" s="50">
        <v>0</v>
      </c>
      <c r="R11" s="50">
        <v>0</v>
      </c>
      <c r="S11" s="50">
        <v>0</v>
      </c>
      <c r="T11" s="50">
        <v>0.25</v>
      </c>
      <c r="U11" s="50">
        <v>1</v>
      </c>
      <c r="V11" s="50">
        <v>0</v>
      </c>
      <c r="W11" s="50">
        <v>8</v>
      </c>
    </row>
    <row r="12" ht="23.1" customHeight="1" spans="1:23">
      <c r="A12" s="50">
        <v>2109</v>
      </c>
      <c r="B12" s="50">
        <v>1137</v>
      </c>
      <c r="C12" s="50">
        <v>6</v>
      </c>
      <c r="D12" s="50">
        <v>0</v>
      </c>
      <c r="E12" s="50">
        <v>0</v>
      </c>
      <c r="F12" s="50">
        <v>0</v>
      </c>
      <c r="G12" s="50">
        <v>0</v>
      </c>
      <c r="H12" s="50">
        <v>10000</v>
      </c>
      <c r="I12" s="50">
        <v>0</v>
      </c>
      <c r="J12" s="50">
        <v>0</v>
      </c>
      <c r="K12" s="50">
        <v>0</v>
      </c>
      <c r="L12" s="50">
        <v>0</v>
      </c>
      <c r="M12" s="50">
        <v>0</v>
      </c>
      <c r="N12" s="50">
        <v>0</v>
      </c>
      <c r="O12" s="50">
        <v>0</v>
      </c>
      <c r="P12" s="50">
        <v>0</v>
      </c>
      <c r="Q12" s="50">
        <v>0</v>
      </c>
      <c r="R12" s="50">
        <v>0</v>
      </c>
      <c r="S12" s="50">
        <v>0</v>
      </c>
      <c r="T12" s="50">
        <v>0.25</v>
      </c>
      <c r="U12" s="50">
        <v>1</v>
      </c>
      <c r="V12" s="50">
        <v>0</v>
      </c>
      <c r="W12" s="50">
        <v>9</v>
      </c>
    </row>
    <row r="13" ht="23.1" customHeight="1" spans="1:23">
      <c r="A13" s="50">
        <v>2110</v>
      </c>
      <c r="B13" s="50">
        <v>1137</v>
      </c>
      <c r="C13" s="50">
        <v>6</v>
      </c>
      <c r="D13" s="50">
        <v>0</v>
      </c>
      <c r="E13" s="50">
        <v>0</v>
      </c>
      <c r="F13" s="50">
        <v>0</v>
      </c>
      <c r="G13" s="50">
        <v>0</v>
      </c>
      <c r="H13" s="50">
        <v>10000</v>
      </c>
      <c r="I13" s="50">
        <v>0</v>
      </c>
      <c r="J13" s="50">
        <v>0</v>
      </c>
      <c r="K13" s="50">
        <v>0</v>
      </c>
      <c r="L13" s="50">
        <v>0</v>
      </c>
      <c r="M13" s="50">
        <v>0</v>
      </c>
      <c r="N13" s="50">
        <v>0</v>
      </c>
      <c r="O13" s="50">
        <v>0</v>
      </c>
      <c r="P13" s="50">
        <v>0</v>
      </c>
      <c r="Q13" s="50">
        <v>0</v>
      </c>
      <c r="R13" s="50">
        <v>0</v>
      </c>
      <c r="S13" s="50">
        <v>0</v>
      </c>
      <c r="T13" s="50">
        <v>0.25</v>
      </c>
      <c r="U13" s="50">
        <v>1</v>
      </c>
      <c r="V13" s="50">
        <v>0</v>
      </c>
      <c r="W13" s="50">
        <v>10</v>
      </c>
    </row>
    <row r="14" ht="23.1" customHeight="1" spans="1:23">
      <c r="A14" s="50">
        <v>2111</v>
      </c>
      <c r="B14" s="50">
        <v>1137</v>
      </c>
      <c r="C14" s="50">
        <v>8</v>
      </c>
      <c r="D14" s="50">
        <v>0</v>
      </c>
      <c r="E14" s="50">
        <v>0</v>
      </c>
      <c r="F14" s="50">
        <v>0</v>
      </c>
      <c r="G14" s="50">
        <v>0</v>
      </c>
      <c r="H14" s="50">
        <v>10000</v>
      </c>
      <c r="I14" s="50">
        <v>0</v>
      </c>
      <c r="J14" s="50">
        <v>0</v>
      </c>
      <c r="K14" s="50">
        <v>0</v>
      </c>
      <c r="L14" s="50">
        <v>0</v>
      </c>
      <c r="M14" s="50">
        <v>0</v>
      </c>
      <c r="N14" s="50">
        <v>0</v>
      </c>
      <c r="O14" s="50">
        <v>0</v>
      </c>
      <c r="P14" s="50">
        <v>0</v>
      </c>
      <c r="Q14" s="50">
        <v>0</v>
      </c>
      <c r="R14" s="50">
        <v>0</v>
      </c>
      <c r="S14" s="50">
        <v>0</v>
      </c>
      <c r="T14" s="50">
        <v>0.25</v>
      </c>
      <c r="U14" s="50">
        <v>1</v>
      </c>
      <c r="V14" s="50">
        <v>0</v>
      </c>
      <c r="W14" s="50">
        <v>15</v>
      </c>
    </row>
    <row r="15" ht="23.1" customHeight="1" spans="1:23">
      <c r="A15" s="50">
        <v>2112</v>
      </c>
      <c r="B15" s="50">
        <v>1137</v>
      </c>
      <c r="C15" s="50">
        <v>8</v>
      </c>
      <c r="D15" s="50">
        <v>0</v>
      </c>
      <c r="E15" s="50">
        <v>0</v>
      </c>
      <c r="F15" s="50">
        <v>0</v>
      </c>
      <c r="G15" s="50">
        <v>0</v>
      </c>
      <c r="H15" s="50">
        <v>10000</v>
      </c>
      <c r="I15" s="50">
        <v>0</v>
      </c>
      <c r="J15" s="50">
        <v>0</v>
      </c>
      <c r="K15" s="50">
        <v>0</v>
      </c>
      <c r="L15" s="50">
        <v>0</v>
      </c>
      <c r="M15" s="50">
        <v>0</v>
      </c>
      <c r="N15" s="50">
        <v>0</v>
      </c>
      <c r="O15" s="50">
        <v>0</v>
      </c>
      <c r="P15" s="50">
        <v>0</v>
      </c>
      <c r="Q15" s="50">
        <v>0</v>
      </c>
      <c r="R15" s="50">
        <v>0</v>
      </c>
      <c r="S15" s="50">
        <v>0</v>
      </c>
      <c r="T15" s="50">
        <v>0.25</v>
      </c>
      <c r="U15" s="50">
        <v>1</v>
      </c>
      <c r="V15" s="50">
        <v>0</v>
      </c>
      <c r="W15" s="50">
        <v>20</v>
      </c>
    </row>
    <row r="16" ht="23.1" customHeight="1" spans="1:23">
      <c r="A16" s="50">
        <v>2113</v>
      </c>
      <c r="B16" s="50">
        <v>1137</v>
      </c>
      <c r="C16" s="50">
        <v>8</v>
      </c>
      <c r="D16" s="50">
        <v>0</v>
      </c>
      <c r="E16" s="50">
        <v>0</v>
      </c>
      <c r="F16" s="50">
        <v>0</v>
      </c>
      <c r="G16" s="50">
        <v>0</v>
      </c>
      <c r="H16" s="50">
        <v>10000</v>
      </c>
      <c r="I16" s="50">
        <v>0</v>
      </c>
      <c r="J16" s="50">
        <v>0</v>
      </c>
      <c r="K16" s="50">
        <v>0</v>
      </c>
      <c r="L16" s="50">
        <v>0</v>
      </c>
      <c r="M16" s="50">
        <v>0</v>
      </c>
      <c r="N16" s="50">
        <v>0</v>
      </c>
      <c r="O16" s="50">
        <v>0</v>
      </c>
      <c r="P16" s="50">
        <v>0</v>
      </c>
      <c r="Q16" s="50">
        <v>0</v>
      </c>
      <c r="R16" s="50">
        <v>0</v>
      </c>
      <c r="S16" s="50">
        <v>0</v>
      </c>
      <c r="T16" s="50">
        <v>0.25</v>
      </c>
      <c r="U16" s="50">
        <v>1</v>
      </c>
      <c r="V16" s="50">
        <v>0</v>
      </c>
      <c r="W16" s="50">
        <v>25</v>
      </c>
    </row>
    <row r="17" ht="23.1" customHeight="1" spans="1:23">
      <c r="A17" s="50">
        <v>2114</v>
      </c>
      <c r="B17" s="50">
        <v>1137</v>
      </c>
      <c r="C17" s="50">
        <v>10</v>
      </c>
      <c r="D17" s="50">
        <v>0</v>
      </c>
      <c r="E17" s="50">
        <v>0</v>
      </c>
      <c r="F17" s="50">
        <v>0</v>
      </c>
      <c r="G17" s="50">
        <v>0</v>
      </c>
      <c r="H17" s="50">
        <v>10000</v>
      </c>
      <c r="I17" s="50">
        <v>0</v>
      </c>
      <c r="J17" s="50">
        <v>0</v>
      </c>
      <c r="K17" s="50">
        <v>0</v>
      </c>
      <c r="L17" s="50">
        <v>0</v>
      </c>
      <c r="M17" s="50">
        <v>0</v>
      </c>
      <c r="N17" s="50">
        <v>0</v>
      </c>
      <c r="O17" s="50">
        <v>0</v>
      </c>
      <c r="P17" s="50">
        <v>0</v>
      </c>
      <c r="Q17" s="50">
        <v>0</v>
      </c>
      <c r="R17" s="50">
        <v>0</v>
      </c>
      <c r="S17" s="50">
        <v>0</v>
      </c>
      <c r="T17" s="50">
        <v>0.25</v>
      </c>
      <c r="U17" s="50">
        <v>1</v>
      </c>
      <c r="V17" s="50">
        <v>0</v>
      </c>
      <c r="W17" s="50">
        <v>30</v>
      </c>
    </row>
    <row r="18" ht="23.1" customHeight="1" spans="1:23">
      <c r="A18" s="50">
        <v>2115</v>
      </c>
      <c r="B18" s="50">
        <v>1137</v>
      </c>
      <c r="C18" s="50">
        <v>12</v>
      </c>
      <c r="D18" s="50">
        <v>0</v>
      </c>
      <c r="E18" s="50">
        <v>0</v>
      </c>
      <c r="F18" s="50">
        <v>0</v>
      </c>
      <c r="G18" s="50">
        <v>0</v>
      </c>
      <c r="H18" s="50">
        <v>10000</v>
      </c>
      <c r="I18" s="50">
        <v>0</v>
      </c>
      <c r="J18" s="50">
        <v>0</v>
      </c>
      <c r="K18" s="50">
        <v>0</v>
      </c>
      <c r="L18" s="50">
        <v>0</v>
      </c>
      <c r="M18" s="50">
        <v>0</v>
      </c>
      <c r="N18" s="50">
        <v>0</v>
      </c>
      <c r="O18" s="50">
        <v>0</v>
      </c>
      <c r="P18" s="50">
        <v>0</v>
      </c>
      <c r="Q18" s="50">
        <v>0</v>
      </c>
      <c r="R18" s="50">
        <v>0</v>
      </c>
      <c r="S18" s="50">
        <v>0</v>
      </c>
      <c r="T18" s="50">
        <v>0.25</v>
      </c>
      <c r="U18" s="50">
        <v>1</v>
      </c>
      <c r="V18" s="50">
        <v>0</v>
      </c>
      <c r="W18" s="50">
        <v>35</v>
      </c>
    </row>
    <row r="19" ht="23.1" customHeight="1" spans="1:23">
      <c r="A19" s="50">
        <v>2116</v>
      </c>
      <c r="B19" s="50">
        <v>1137</v>
      </c>
      <c r="C19" s="50">
        <v>12</v>
      </c>
      <c r="D19" s="50">
        <v>0</v>
      </c>
      <c r="E19" s="50">
        <v>0</v>
      </c>
      <c r="F19" s="50">
        <v>0</v>
      </c>
      <c r="G19" s="50">
        <v>0</v>
      </c>
      <c r="H19" s="50">
        <v>10000</v>
      </c>
      <c r="I19" s="50">
        <v>0</v>
      </c>
      <c r="J19" s="50">
        <v>0</v>
      </c>
      <c r="K19" s="50">
        <v>0</v>
      </c>
      <c r="L19" s="50">
        <v>0</v>
      </c>
      <c r="M19" s="50">
        <v>0</v>
      </c>
      <c r="N19" s="50">
        <v>0</v>
      </c>
      <c r="O19" s="50">
        <v>0</v>
      </c>
      <c r="P19" s="50">
        <v>0</v>
      </c>
      <c r="Q19" s="50">
        <v>0</v>
      </c>
      <c r="R19" s="50">
        <v>0</v>
      </c>
      <c r="S19" s="50">
        <v>0</v>
      </c>
      <c r="T19" s="50">
        <v>0.25</v>
      </c>
      <c r="U19" s="50">
        <v>1</v>
      </c>
      <c r="V19" s="50">
        <v>0</v>
      </c>
      <c r="W19" s="50">
        <v>40</v>
      </c>
    </row>
    <row r="20" ht="23.1" customHeight="1" spans="1:23">
      <c r="A20" s="50">
        <v>2117</v>
      </c>
      <c r="B20" s="50">
        <v>1137</v>
      </c>
      <c r="C20" s="50">
        <v>12</v>
      </c>
      <c r="D20" s="50">
        <v>0</v>
      </c>
      <c r="E20" s="50">
        <v>0</v>
      </c>
      <c r="F20" s="50">
        <v>0</v>
      </c>
      <c r="G20" s="50">
        <v>0</v>
      </c>
      <c r="H20" s="50">
        <v>10000</v>
      </c>
      <c r="I20" s="50">
        <v>0</v>
      </c>
      <c r="J20" s="50">
        <v>0</v>
      </c>
      <c r="K20" s="50">
        <v>0</v>
      </c>
      <c r="L20" s="50">
        <v>0</v>
      </c>
      <c r="M20" s="50">
        <v>0</v>
      </c>
      <c r="N20" s="50">
        <v>0</v>
      </c>
      <c r="O20" s="50">
        <v>0</v>
      </c>
      <c r="P20" s="50">
        <v>0</v>
      </c>
      <c r="Q20" s="50">
        <v>0</v>
      </c>
      <c r="R20" s="50">
        <v>0</v>
      </c>
      <c r="S20" s="50">
        <v>0</v>
      </c>
      <c r="T20" s="50">
        <v>0.25</v>
      </c>
      <c r="U20" s="50">
        <v>1</v>
      </c>
      <c r="V20" s="50">
        <v>0</v>
      </c>
      <c r="W20" s="50">
        <v>45</v>
      </c>
    </row>
    <row r="21" ht="23.1" customHeight="1" spans="1:23">
      <c r="A21" s="50">
        <v>2118</v>
      </c>
      <c r="B21" s="50">
        <v>1137</v>
      </c>
      <c r="C21" s="50">
        <v>15</v>
      </c>
      <c r="D21" s="50">
        <v>0</v>
      </c>
      <c r="E21" s="50">
        <v>0</v>
      </c>
      <c r="F21" s="50">
        <v>0</v>
      </c>
      <c r="G21" s="50">
        <v>0</v>
      </c>
      <c r="H21" s="50">
        <v>10000</v>
      </c>
      <c r="I21" s="50">
        <v>0</v>
      </c>
      <c r="J21" s="50">
        <v>0</v>
      </c>
      <c r="K21" s="50">
        <v>0</v>
      </c>
      <c r="L21" s="50">
        <v>0</v>
      </c>
      <c r="M21" s="50">
        <v>0</v>
      </c>
      <c r="N21" s="50">
        <v>0</v>
      </c>
      <c r="O21" s="50">
        <v>0</v>
      </c>
      <c r="P21" s="50">
        <v>0</v>
      </c>
      <c r="Q21" s="50">
        <v>0</v>
      </c>
      <c r="R21" s="50">
        <v>0</v>
      </c>
      <c r="S21" s="50">
        <v>0</v>
      </c>
      <c r="T21" s="50">
        <v>0.25</v>
      </c>
      <c r="U21" s="50">
        <v>1</v>
      </c>
      <c r="V21" s="50">
        <v>0</v>
      </c>
      <c r="W21" s="50">
        <v>50</v>
      </c>
    </row>
    <row r="22" ht="23.1" customHeight="1" spans="1:23">
      <c r="A22" s="50">
        <v>2119</v>
      </c>
      <c r="B22" s="50">
        <v>1137</v>
      </c>
      <c r="C22" s="50">
        <v>15</v>
      </c>
      <c r="D22" s="50">
        <v>0</v>
      </c>
      <c r="E22" s="50">
        <v>0</v>
      </c>
      <c r="F22" s="50">
        <v>0</v>
      </c>
      <c r="G22" s="50">
        <v>0</v>
      </c>
      <c r="H22" s="50">
        <v>10000</v>
      </c>
      <c r="I22" s="50">
        <v>0</v>
      </c>
      <c r="J22" s="50">
        <v>0</v>
      </c>
      <c r="K22" s="50">
        <v>0</v>
      </c>
      <c r="L22" s="50">
        <v>0</v>
      </c>
      <c r="M22" s="50">
        <v>0</v>
      </c>
      <c r="N22" s="50">
        <v>0</v>
      </c>
      <c r="O22" s="50">
        <v>0</v>
      </c>
      <c r="P22" s="50">
        <v>0</v>
      </c>
      <c r="Q22" s="50">
        <v>0</v>
      </c>
      <c r="R22" s="50">
        <v>0</v>
      </c>
      <c r="S22" s="50">
        <v>0</v>
      </c>
      <c r="T22" s="50">
        <v>0.25</v>
      </c>
      <c r="U22" s="50">
        <v>1</v>
      </c>
      <c r="V22" s="50">
        <v>0</v>
      </c>
      <c r="W22" s="50">
        <v>60</v>
      </c>
    </row>
    <row r="23" ht="23.1" customHeight="1" spans="1:23">
      <c r="A23" s="50">
        <v>2120</v>
      </c>
      <c r="B23" s="50">
        <v>1137</v>
      </c>
      <c r="C23" s="50">
        <v>20</v>
      </c>
      <c r="D23" s="50">
        <v>0</v>
      </c>
      <c r="E23" s="50">
        <v>0</v>
      </c>
      <c r="F23" s="50">
        <v>0</v>
      </c>
      <c r="G23" s="50">
        <v>0</v>
      </c>
      <c r="H23" s="50">
        <v>10000</v>
      </c>
      <c r="I23" s="50">
        <v>0</v>
      </c>
      <c r="J23" s="50">
        <v>0</v>
      </c>
      <c r="K23" s="50">
        <v>0</v>
      </c>
      <c r="L23" s="50">
        <v>0</v>
      </c>
      <c r="M23" s="50">
        <v>0</v>
      </c>
      <c r="N23" s="50">
        <v>0</v>
      </c>
      <c r="O23" s="50">
        <v>0</v>
      </c>
      <c r="P23" s="50">
        <v>0</v>
      </c>
      <c r="Q23" s="50">
        <v>0</v>
      </c>
      <c r="R23" s="50">
        <v>0</v>
      </c>
      <c r="S23" s="50">
        <v>0</v>
      </c>
      <c r="T23" s="50">
        <v>0.25</v>
      </c>
      <c r="U23" s="50">
        <v>1</v>
      </c>
      <c r="V23" s="50">
        <v>0</v>
      </c>
      <c r="W23" s="50">
        <v>70</v>
      </c>
    </row>
    <row r="24" ht="23.1" customHeight="1" spans="1:23">
      <c r="A24" s="50">
        <v>2121</v>
      </c>
      <c r="B24" s="50">
        <v>1137</v>
      </c>
      <c r="C24" s="50">
        <v>20</v>
      </c>
      <c r="D24" s="50">
        <v>0</v>
      </c>
      <c r="E24" s="50">
        <v>0</v>
      </c>
      <c r="F24" s="50">
        <v>0</v>
      </c>
      <c r="G24" s="50">
        <v>0</v>
      </c>
      <c r="H24" s="50">
        <v>10000</v>
      </c>
      <c r="I24" s="50">
        <v>0</v>
      </c>
      <c r="J24" s="50">
        <v>0</v>
      </c>
      <c r="K24" s="50">
        <v>0</v>
      </c>
      <c r="L24" s="50">
        <v>0</v>
      </c>
      <c r="M24" s="50">
        <v>0</v>
      </c>
      <c r="N24" s="50">
        <v>0</v>
      </c>
      <c r="O24" s="50">
        <v>0</v>
      </c>
      <c r="P24" s="50">
        <v>0</v>
      </c>
      <c r="Q24" s="50">
        <v>0</v>
      </c>
      <c r="R24" s="50">
        <v>0</v>
      </c>
      <c r="S24" s="50">
        <v>0</v>
      </c>
      <c r="T24" s="50">
        <v>0.25</v>
      </c>
      <c r="U24" s="50">
        <v>1</v>
      </c>
      <c r="V24" s="50">
        <v>0</v>
      </c>
      <c r="W24" s="50">
        <v>80</v>
      </c>
    </row>
    <row r="25" ht="23.1" customHeight="1" spans="1:23">
      <c r="A25" s="50">
        <v>2122</v>
      </c>
      <c r="B25" s="50">
        <v>1137</v>
      </c>
      <c r="C25" s="50">
        <v>20</v>
      </c>
      <c r="D25" s="50">
        <v>0</v>
      </c>
      <c r="E25" s="50">
        <v>0</v>
      </c>
      <c r="F25" s="50">
        <v>0</v>
      </c>
      <c r="G25" s="50">
        <v>0</v>
      </c>
      <c r="H25" s="50">
        <v>10000</v>
      </c>
      <c r="I25" s="50">
        <v>0</v>
      </c>
      <c r="J25" s="50">
        <v>0</v>
      </c>
      <c r="K25" s="50">
        <v>0</v>
      </c>
      <c r="L25" s="50">
        <v>0</v>
      </c>
      <c r="M25" s="50">
        <v>0</v>
      </c>
      <c r="N25" s="50">
        <v>0</v>
      </c>
      <c r="O25" s="50">
        <v>0</v>
      </c>
      <c r="P25" s="50">
        <v>0</v>
      </c>
      <c r="Q25" s="50">
        <v>0</v>
      </c>
      <c r="R25" s="50">
        <v>0</v>
      </c>
      <c r="S25" s="50">
        <v>0</v>
      </c>
      <c r="T25" s="50">
        <v>0.25</v>
      </c>
      <c r="U25" s="50">
        <v>1</v>
      </c>
      <c r="V25" s="50">
        <v>0</v>
      </c>
      <c r="W25" s="50">
        <v>90</v>
      </c>
    </row>
    <row r="26" ht="23.1" customHeight="1" spans="1:23">
      <c r="A26" s="50">
        <v>2123</v>
      </c>
      <c r="B26" s="50">
        <v>1137</v>
      </c>
      <c r="C26" s="50">
        <v>20</v>
      </c>
      <c r="D26" s="50">
        <v>0</v>
      </c>
      <c r="E26" s="50">
        <v>0</v>
      </c>
      <c r="F26" s="50">
        <v>0</v>
      </c>
      <c r="G26" s="50">
        <v>0</v>
      </c>
      <c r="H26" s="50">
        <v>10000</v>
      </c>
      <c r="I26" s="50">
        <v>0</v>
      </c>
      <c r="J26" s="50">
        <v>0</v>
      </c>
      <c r="K26" s="50">
        <v>0</v>
      </c>
      <c r="L26" s="50">
        <v>0</v>
      </c>
      <c r="M26" s="50">
        <v>0</v>
      </c>
      <c r="N26" s="50">
        <v>0</v>
      </c>
      <c r="O26" s="50">
        <v>0</v>
      </c>
      <c r="P26" s="50">
        <v>0</v>
      </c>
      <c r="Q26" s="50">
        <v>0</v>
      </c>
      <c r="R26" s="50">
        <v>0</v>
      </c>
      <c r="S26" s="50">
        <v>0</v>
      </c>
      <c r="T26" s="50">
        <v>0.25</v>
      </c>
      <c r="U26" s="50">
        <v>1</v>
      </c>
      <c r="V26" s="50">
        <v>0</v>
      </c>
      <c r="W26" s="50">
        <v>100</v>
      </c>
    </row>
    <row r="27" ht="23.1" customHeight="1" spans="1:23">
      <c r="A27" s="50">
        <v>2124</v>
      </c>
      <c r="B27" s="50">
        <v>1137</v>
      </c>
      <c r="C27" s="50">
        <v>20</v>
      </c>
      <c r="D27" s="50">
        <v>0</v>
      </c>
      <c r="E27" s="50">
        <v>0</v>
      </c>
      <c r="F27" s="50">
        <v>0</v>
      </c>
      <c r="G27" s="50">
        <v>0</v>
      </c>
      <c r="H27" s="50">
        <v>10000</v>
      </c>
      <c r="I27" s="50">
        <v>0</v>
      </c>
      <c r="J27" s="50">
        <v>0</v>
      </c>
      <c r="K27" s="50">
        <v>0</v>
      </c>
      <c r="L27" s="50">
        <v>0</v>
      </c>
      <c r="M27" s="50">
        <v>0</v>
      </c>
      <c r="N27" s="50">
        <v>0</v>
      </c>
      <c r="O27" s="50">
        <v>0</v>
      </c>
      <c r="P27" s="50">
        <v>0</v>
      </c>
      <c r="Q27" s="50">
        <v>0</v>
      </c>
      <c r="R27" s="50">
        <v>0</v>
      </c>
      <c r="S27" s="50">
        <v>0</v>
      </c>
      <c r="T27" s="50">
        <v>0.25</v>
      </c>
      <c r="U27" s="50">
        <v>1</v>
      </c>
      <c r="V27" s="50">
        <v>0</v>
      </c>
      <c r="W27" s="50">
        <v>150</v>
      </c>
    </row>
    <row r="28" ht="23.1" customHeight="1" spans="1:23">
      <c r="A28" s="50">
        <v>2125</v>
      </c>
      <c r="B28" s="50">
        <v>1137</v>
      </c>
      <c r="C28" s="50">
        <v>30</v>
      </c>
      <c r="D28" s="50">
        <v>0</v>
      </c>
      <c r="E28" s="50">
        <v>0</v>
      </c>
      <c r="F28" s="50">
        <v>0</v>
      </c>
      <c r="G28" s="50">
        <v>0</v>
      </c>
      <c r="H28" s="50">
        <v>10000</v>
      </c>
      <c r="I28" s="50">
        <v>0</v>
      </c>
      <c r="J28" s="50">
        <v>0</v>
      </c>
      <c r="K28" s="50">
        <v>0</v>
      </c>
      <c r="L28" s="50">
        <v>0</v>
      </c>
      <c r="M28" s="50">
        <v>0</v>
      </c>
      <c r="N28" s="50">
        <v>0</v>
      </c>
      <c r="O28" s="50">
        <v>0</v>
      </c>
      <c r="P28" s="50">
        <v>0</v>
      </c>
      <c r="Q28" s="50">
        <v>0</v>
      </c>
      <c r="R28" s="50">
        <v>0</v>
      </c>
      <c r="S28" s="50">
        <v>0</v>
      </c>
      <c r="T28" s="50">
        <v>0.25</v>
      </c>
      <c r="U28" s="50">
        <v>1</v>
      </c>
      <c r="V28" s="50">
        <v>0</v>
      </c>
      <c r="W28" s="50">
        <v>200</v>
      </c>
    </row>
    <row r="29" ht="23.1" customHeight="1" spans="1:23">
      <c r="A29" s="50">
        <v>2126</v>
      </c>
      <c r="B29" s="50">
        <v>1137</v>
      </c>
      <c r="C29" s="50">
        <v>30</v>
      </c>
      <c r="D29" s="50">
        <v>0</v>
      </c>
      <c r="E29" s="50">
        <v>0</v>
      </c>
      <c r="F29" s="50">
        <v>0</v>
      </c>
      <c r="G29" s="50">
        <v>0</v>
      </c>
      <c r="H29" s="50">
        <v>10000</v>
      </c>
      <c r="I29" s="50">
        <v>0</v>
      </c>
      <c r="J29" s="50">
        <v>0</v>
      </c>
      <c r="K29" s="50">
        <v>0</v>
      </c>
      <c r="L29" s="50">
        <v>0</v>
      </c>
      <c r="M29" s="50">
        <v>0</v>
      </c>
      <c r="N29" s="50">
        <v>0</v>
      </c>
      <c r="O29" s="50">
        <v>0</v>
      </c>
      <c r="P29" s="50">
        <v>0</v>
      </c>
      <c r="Q29" s="50">
        <v>0</v>
      </c>
      <c r="R29" s="50">
        <v>0</v>
      </c>
      <c r="S29" s="50">
        <v>0</v>
      </c>
      <c r="T29" s="50">
        <v>0.25</v>
      </c>
      <c r="U29" s="50">
        <v>1</v>
      </c>
      <c r="V29" s="50">
        <v>0</v>
      </c>
      <c r="W29" s="50">
        <v>250</v>
      </c>
    </row>
    <row r="30" ht="23.1" customHeight="1" spans="1:23">
      <c r="A30" s="50">
        <v>2127</v>
      </c>
      <c r="B30" s="50">
        <v>1137</v>
      </c>
      <c r="C30" s="50">
        <v>30</v>
      </c>
      <c r="D30" s="50">
        <v>0</v>
      </c>
      <c r="E30" s="50">
        <v>0</v>
      </c>
      <c r="F30" s="50">
        <v>0</v>
      </c>
      <c r="G30" s="50">
        <v>0</v>
      </c>
      <c r="H30" s="50">
        <v>10000</v>
      </c>
      <c r="I30" s="50">
        <v>0</v>
      </c>
      <c r="J30" s="50">
        <v>0</v>
      </c>
      <c r="K30" s="50">
        <v>0</v>
      </c>
      <c r="L30" s="50">
        <v>0</v>
      </c>
      <c r="M30" s="50">
        <v>0</v>
      </c>
      <c r="N30" s="50">
        <v>0</v>
      </c>
      <c r="O30" s="50">
        <v>0</v>
      </c>
      <c r="P30" s="50">
        <v>0</v>
      </c>
      <c r="Q30" s="50">
        <v>0</v>
      </c>
      <c r="R30" s="50">
        <v>0</v>
      </c>
      <c r="S30" s="50">
        <v>0</v>
      </c>
      <c r="T30" s="50">
        <v>0.25</v>
      </c>
      <c r="U30" s="50">
        <v>1</v>
      </c>
      <c r="V30" s="50">
        <v>0</v>
      </c>
      <c r="W30" s="50">
        <v>300</v>
      </c>
    </row>
    <row r="31" ht="23.1" customHeight="1" spans="1:23">
      <c r="A31" s="50">
        <v>2128</v>
      </c>
      <c r="B31" s="50">
        <v>1137</v>
      </c>
      <c r="C31" s="50">
        <v>40</v>
      </c>
      <c r="D31" s="50">
        <v>0</v>
      </c>
      <c r="E31" s="50">
        <v>0</v>
      </c>
      <c r="F31" s="50">
        <v>0</v>
      </c>
      <c r="G31" s="50">
        <v>0</v>
      </c>
      <c r="H31" s="50">
        <v>10000</v>
      </c>
      <c r="I31" s="50">
        <v>0</v>
      </c>
      <c r="J31" s="50">
        <v>0</v>
      </c>
      <c r="K31" s="50">
        <v>0</v>
      </c>
      <c r="L31" s="50">
        <v>0</v>
      </c>
      <c r="M31" s="50">
        <v>0</v>
      </c>
      <c r="N31" s="50">
        <v>0</v>
      </c>
      <c r="O31" s="50">
        <v>0</v>
      </c>
      <c r="P31" s="50">
        <v>0</v>
      </c>
      <c r="Q31" s="50">
        <v>0</v>
      </c>
      <c r="R31" s="50">
        <v>0</v>
      </c>
      <c r="S31" s="50">
        <v>0</v>
      </c>
      <c r="T31" s="50">
        <v>0.25</v>
      </c>
      <c r="U31" s="50">
        <v>1</v>
      </c>
      <c r="V31" s="50">
        <v>0</v>
      </c>
      <c r="W31" s="50">
        <v>350</v>
      </c>
    </row>
    <row r="32" ht="23.1" customHeight="1" spans="1:23">
      <c r="A32" s="50">
        <v>2129</v>
      </c>
      <c r="B32" s="50">
        <v>1137</v>
      </c>
      <c r="C32" s="50">
        <v>40</v>
      </c>
      <c r="D32" s="50">
        <v>0</v>
      </c>
      <c r="E32" s="50">
        <v>0</v>
      </c>
      <c r="F32" s="50">
        <v>0</v>
      </c>
      <c r="G32" s="50">
        <v>0</v>
      </c>
      <c r="H32" s="50">
        <v>10000</v>
      </c>
      <c r="I32" s="50">
        <v>0</v>
      </c>
      <c r="J32" s="50">
        <v>0</v>
      </c>
      <c r="K32" s="50">
        <v>0</v>
      </c>
      <c r="L32" s="50">
        <v>0</v>
      </c>
      <c r="M32" s="50">
        <v>0</v>
      </c>
      <c r="N32" s="50">
        <v>0</v>
      </c>
      <c r="O32" s="50">
        <v>0</v>
      </c>
      <c r="P32" s="50">
        <v>0</v>
      </c>
      <c r="Q32" s="50">
        <v>0</v>
      </c>
      <c r="R32" s="50">
        <v>0</v>
      </c>
      <c r="S32" s="50">
        <v>0</v>
      </c>
      <c r="T32" s="50">
        <v>0.25</v>
      </c>
      <c r="U32" s="50">
        <v>1</v>
      </c>
      <c r="V32" s="50">
        <v>0</v>
      </c>
      <c r="W32" s="50">
        <v>400</v>
      </c>
    </row>
    <row r="33" ht="23.1" customHeight="1" spans="1:23">
      <c r="A33" s="50">
        <v>2130</v>
      </c>
      <c r="B33" s="50">
        <v>1137</v>
      </c>
      <c r="C33" s="50">
        <v>40</v>
      </c>
      <c r="D33" s="50">
        <v>0</v>
      </c>
      <c r="E33" s="50">
        <v>0</v>
      </c>
      <c r="F33" s="50">
        <v>0</v>
      </c>
      <c r="G33" s="50">
        <v>0</v>
      </c>
      <c r="H33" s="50">
        <v>10000</v>
      </c>
      <c r="I33" s="50">
        <v>0</v>
      </c>
      <c r="J33" s="50">
        <v>0</v>
      </c>
      <c r="K33" s="50">
        <v>0</v>
      </c>
      <c r="L33" s="50">
        <v>0</v>
      </c>
      <c r="M33" s="50">
        <v>0</v>
      </c>
      <c r="N33" s="50">
        <v>0</v>
      </c>
      <c r="O33" s="50">
        <v>0</v>
      </c>
      <c r="P33" s="50">
        <v>0</v>
      </c>
      <c r="Q33" s="50">
        <v>0</v>
      </c>
      <c r="R33" s="50">
        <v>0</v>
      </c>
      <c r="S33" s="50">
        <v>0</v>
      </c>
      <c r="T33" s="50">
        <v>0.25</v>
      </c>
      <c r="U33" s="50">
        <v>1</v>
      </c>
      <c r="V33" s="50">
        <v>0</v>
      </c>
      <c r="W33" s="50">
        <v>450</v>
      </c>
    </row>
    <row r="34" ht="23.1" customHeight="1" spans="1:23">
      <c r="A34" s="50">
        <v>2131</v>
      </c>
      <c r="B34" s="50">
        <v>1137</v>
      </c>
      <c r="C34" s="50">
        <v>50</v>
      </c>
      <c r="D34" s="50">
        <v>0</v>
      </c>
      <c r="E34" s="50">
        <v>0</v>
      </c>
      <c r="F34" s="50">
        <v>0</v>
      </c>
      <c r="G34" s="50">
        <v>0</v>
      </c>
      <c r="H34" s="50">
        <v>10000</v>
      </c>
      <c r="I34" s="50">
        <v>0</v>
      </c>
      <c r="J34" s="50">
        <v>0</v>
      </c>
      <c r="K34" s="50">
        <v>0</v>
      </c>
      <c r="L34" s="50">
        <v>0</v>
      </c>
      <c r="M34" s="50">
        <v>0</v>
      </c>
      <c r="N34" s="50">
        <v>0</v>
      </c>
      <c r="O34" s="50">
        <v>0</v>
      </c>
      <c r="P34" s="50">
        <v>0</v>
      </c>
      <c r="Q34" s="50">
        <v>0</v>
      </c>
      <c r="R34" s="50">
        <v>0</v>
      </c>
      <c r="S34" s="50">
        <v>0</v>
      </c>
      <c r="T34" s="50">
        <v>0.25</v>
      </c>
      <c r="U34" s="50">
        <v>1</v>
      </c>
      <c r="V34" s="50">
        <v>0</v>
      </c>
      <c r="W34" s="50">
        <v>500</v>
      </c>
    </row>
    <row r="35" ht="23.1" customHeight="1" spans="1:23">
      <c r="A35" s="50">
        <v>2132</v>
      </c>
      <c r="B35" s="50">
        <v>1137</v>
      </c>
      <c r="C35" s="50">
        <v>50</v>
      </c>
      <c r="D35" s="50">
        <v>0</v>
      </c>
      <c r="E35" s="50">
        <v>0</v>
      </c>
      <c r="F35" s="50">
        <v>0</v>
      </c>
      <c r="G35" s="50">
        <v>0</v>
      </c>
      <c r="H35" s="50">
        <v>10000</v>
      </c>
      <c r="I35" s="50">
        <v>0</v>
      </c>
      <c r="J35" s="50">
        <v>0</v>
      </c>
      <c r="K35" s="50">
        <v>0</v>
      </c>
      <c r="L35" s="50">
        <v>0</v>
      </c>
      <c r="M35" s="50">
        <v>0</v>
      </c>
      <c r="N35" s="50">
        <v>0</v>
      </c>
      <c r="O35" s="50">
        <v>0</v>
      </c>
      <c r="P35" s="50">
        <v>0</v>
      </c>
      <c r="Q35" s="50">
        <v>0</v>
      </c>
      <c r="R35" s="50">
        <v>0</v>
      </c>
      <c r="S35" s="50">
        <v>0</v>
      </c>
      <c r="T35" s="50">
        <v>0.25</v>
      </c>
      <c r="U35" s="50">
        <v>1</v>
      </c>
      <c r="V35" s="50">
        <v>0</v>
      </c>
      <c r="W35" s="50">
        <v>600</v>
      </c>
    </row>
    <row r="36" ht="23.1" customHeight="1" spans="1:23">
      <c r="A36" s="50">
        <v>2133</v>
      </c>
      <c r="B36" s="50">
        <v>1137</v>
      </c>
      <c r="C36" s="50">
        <v>50</v>
      </c>
      <c r="D36" s="50">
        <v>0</v>
      </c>
      <c r="E36" s="50">
        <v>0</v>
      </c>
      <c r="F36" s="50">
        <v>0</v>
      </c>
      <c r="G36" s="50">
        <v>0</v>
      </c>
      <c r="H36" s="50">
        <v>10000</v>
      </c>
      <c r="I36" s="50">
        <v>0</v>
      </c>
      <c r="J36" s="50">
        <v>0</v>
      </c>
      <c r="K36" s="50">
        <v>0</v>
      </c>
      <c r="L36" s="50">
        <v>0</v>
      </c>
      <c r="M36" s="50">
        <v>0</v>
      </c>
      <c r="N36" s="50">
        <v>0</v>
      </c>
      <c r="O36" s="50">
        <v>0</v>
      </c>
      <c r="P36" s="50">
        <v>0</v>
      </c>
      <c r="Q36" s="50">
        <v>0</v>
      </c>
      <c r="R36" s="50">
        <v>0</v>
      </c>
      <c r="S36" s="50">
        <v>0</v>
      </c>
      <c r="T36" s="50">
        <v>0.25</v>
      </c>
      <c r="U36" s="50">
        <v>1</v>
      </c>
      <c r="V36" s="50">
        <v>0</v>
      </c>
      <c r="W36" s="50">
        <v>700</v>
      </c>
    </row>
    <row r="37" ht="23.1" customHeight="1" spans="1:23">
      <c r="A37" s="50">
        <v>2134</v>
      </c>
      <c r="B37" s="50">
        <v>1137</v>
      </c>
      <c r="C37" s="50">
        <v>80</v>
      </c>
      <c r="D37" s="50">
        <v>0</v>
      </c>
      <c r="E37" s="50">
        <v>0</v>
      </c>
      <c r="F37" s="50">
        <v>0</v>
      </c>
      <c r="G37" s="50">
        <v>0</v>
      </c>
      <c r="H37" s="50">
        <v>10000</v>
      </c>
      <c r="I37" s="50">
        <v>0</v>
      </c>
      <c r="J37" s="50">
        <v>0</v>
      </c>
      <c r="K37" s="50">
        <v>0</v>
      </c>
      <c r="L37" s="50">
        <v>0</v>
      </c>
      <c r="M37" s="50">
        <v>0</v>
      </c>
      <c r="N37" s="50">
        <v>0</v>
      </c>
      <c r="O37" s="50">
        <v>0</v>
      </c>
      <c r="P37" s="50">
        <v>0</v>
      </c>
      <c r="Q37" s="50">
        <v>0</v>
      </c>
      <c r="R37" s="50">
        <v>0</v>
      </c>
      <c r="S37" s="50">
        <v>0</v>
      </c>
      <c r="T37" s="50">
        <v>0.25</v>
      </c>
      <c r="U37" s="50">
        <v>1</v>
      </c>
      <c r="V37" s="50">
        <v>0</v>
      </c>
      <c r="W37" s="50">
        <v>800</v>
      </c>
    </row>
    <row r="38" ht="23.1" customHeight="1" spans="1:23">
      <c r="A38" s="50">
        <v>2135</v>
      </c>
      <c r="B38" s="50">
        <v>1137</v>
      </c>
      <c r="C38" s="50">
        <v>80</v>
      </c>
      <c r="D38" s="50">
        <v>0</v>
      </c>
      <c r="E38" s="50">
        <v>0</v>
      </c>
      <c r="F38" s="50">
        <v>0</v>
      </c>
      <c r="G38" s="50">
        <v>0</v>
      </c>
      <c r="H38" s="50">
        <v>10000</v>
      </c>
      <c r="I38" s="50">
        <v>0</v>
      </c>
      <c r="J38" s="50">
        <v>0</v>
      </c>
      <c r="K38" s="50">
        <v>0</v>
      </c>
      <c r="L38" s="50">
        <v>0</v>
      </c>
      <c r="M38" s="50">
        <v>0</v>
      </c>
      <c r="N38" s="50">
        <v>0</v>
      </c>
      <c r="O38" s="50">
        <v>0</v>
      </c>
      <c r="P38" s="50">
        <v>0</v>
      </c>
      <c r="Q38" s="50">
        <v>0</v>
      </c>
      <c r="R38" s="50">
        <v>0</v>
      </c>
      <c r="S38" s="50">
        <v>0</v>
      </c>
      <c r="T38" s="50">
        <v>0.25</v>
      </c>
      <c r="U38" s="50">
        <v>1</v>
      </c>
      <c r="V38" s="50">
        <v>0</v>
      </c>
      <c r="W38" s="50">
        <v>900</v>
      </c>
    </row>
    <row r="39" ht="23.1" customHeight="1" spans="1:23">
      <c r="A39" s="50">
        <v>2136</v>
      </c>
      <c r="B39" s="50">
        <v>1137</v>
      </c>
      <c r="C39" s="50">
        <v>80</v>
      </c>
      <c r="D39" s="50">
        <v>0</v>
      </c>
      <c r="E39" s="50">
        <v>0</v>
      </c>
      <c r="F39" s="50">
        <v>0</v>
      </c>
      <c r="G39" s="50">
        <v>0</v>
      </c>
      <c r="H39" s="50">
        <v>10000</v>
      </c>
      <c r="I39" s="50">
        <v>0</v>
      </c>
      <c r="J39" s="50">
        <v>0</v>
      </c>
      <c r="K39" s="50">
        <v>0</v>
      </c>
      <c r="L39" s="50">
        <v>0</v>
      </c>
      <c r="M39" s="50">
        <v>0</v>
      </c>
      <c r="N39" s="50">
        <v>0</v>
      </c>
      <c r="O39" s="50">
        <v>0</v>
      </c>
      <c r="P39" s="50">
        <v>0</v>
      </c>
      <c r="Q39" s="50">
        <v>0</v>
      </c>
      <c r="R39" s="50">
        <v>0</v>
      </c>
      <c r="S39" s="50">
        <v>0</v>
      </c>
      <c r="T39" s="50">
        <v>0.25</v>
      </c>
      <c r="U39" s="50">
        <v>1</v>
      </c>
      <c r="V39" s="50">
        <v>0</v>
      </c>
      <c r="W39" s="50">
        <v>1000</v>
      </c>
    </row>
    <row r="40" ht="23.1" customHeight="1" spans="1:23">
      <c r="A40" s="50">
        <v>2137</v>
      </c>
      <c r="B40" s="50">
        <v>1137</v>
      </c>
      <c r="C40" s="50">
        <v>100</v>
      </c>
      <c r="D40" s="50">
        <v>1429</v>
      </c>
      <c r="E40" s="50">
        <v>20</v>
      </c>
      <c r="F40" s="50">
        <v>1430</v>
      </c>
      <c r="G40" s="50">
        <v>20</v>
      </c>
      <c r="H40" s="50">
        <v>10000</v>
      </c>
      <c r="I40" s="50">
        <v>0</v>
      </c>
      <c r="J40" s="50">
        <v>0</v>
      </c>
      <c r="K40" s="50">
        <v>0</v>
      </c>
      <c r="L40" s="50">
        <v>0</v>
      </c>
      <c r="M40" s="50">
        <v>0</v>
      </c>
      <c r="N40" s="50">
        <v>0</v>
      </c>
      <c r="O40" s="50">
        <v>0</v>
      </c>
      <c r="P40" s="50">
        <v>0</v>
      </c>
      <c r="Q40" s="50">
        <v>0</v>
      </c>
      <c r="R40" s="50">
        <v>0</v>
      </c>
      <c r="S40" s="50">
        <v>0</v>
      </c>
      <c r="T40" s="50">
        <v>0.25</v>
      </c>
      <c r="U40" s="50">
        <v>1</v>
      </c>
      <c r="V40" s="50">
        <v>0</v>
      </c>
      <c r="W40" s="50">
        <v>1500</v>
      </c>
    </row>
    <row r="41" ht="23.1" customHeight="1" spans="1:23">
      <c r="A41" s="50">
        <v>2138</v>
      </c>
      <c r="B41" s="50">
        <v>1137</v>
      </c>
      <c r="C41" s="50">
        <v>100</v>
      </c>
      <c r="D41" s="50">
        <v>1429</v>
      </c>
      <c r="E41" s="50">
        <v>35</v>
      </c>
      <c r="F41" s="50">
        <v>1430</v>
      </c>
      <c r="G41" s="50">
        <v>35</v>
      </c>
      <c r="H41" s="50">
        <v>9000</v>
      </c>
      <c r="I41" s="50">
        <v>1431</v>
      </c>
      <c r="J41" s="50">
        <v>5</v>
      </c>
      <c r="K41" s="50">
        <v>1431</v>
      </c>
      <c r="L41" s="50">
        <v>2</v>
      </c>
      <c r="M41" s="50">
        <v>4000</v>
      </c>
      <c r="N41" s="50">
        <v>1431</v>
      </c>
      <c r="O41" s="50">
        <v>2</v>
      </c>
      <c r="P41" s="50">
        <v>3000</v>
      </c>
      <c r="Q41" s="50">
        <v>1431</v>
      </c>
      <c r="R41" s="50">
        <v>4</v>
      </c>
      <c r="S41" s="50">
        <v>3000</v>
      </c>
      <c r="T41" s="50">
        <v>0.25</v>
      </c>
      <c r="U41" s="50">
        <v>1</v>
      </c>
      <c r="V41" s="50">
        <v>0</v>
      </c>
      <c r="W41" s="50">
        <v>2000</v>
      </c>
    </row>
    <row r="42" ht="23.1" customHeight="1" spans="1:23">
      <c r="A42" s="50">
        <v>2139</v>
      </c>
      <c r="B42" s="50">
        <v>1137</v>
      </c>
      <c r="C42" s="50">
        <v>100</v>
      </c>
      <c r="D42" s="50">
        <v>1429</v>
      </c>
      <c r="E42" s="50">
        <v>45</v>
      </c>
      <c r="F42" s="50">
        <v>1430</v>
      </c>
      <c r="G42" s="50">
        <v>45</v>
      </c>
      <c r="H42" s="50">
        <v>8000</v>
      </c>
      <c r="I42" s="50">
        <v>1431</v>
      </c>
      <c r="J42" s="50">
        <v>10</v>
      </c>
      <c r="K42" s="50">
        <v>1431</v>
      </c>
      <c r="L42" s="50">
        <v>3</v>
      </c>
      <c r="M42" s="50">
        <v>4000</v>
      </c>
      <c r="N42" s="50">
        <v>1431</v>
      </c>
      <c r="O42" s="50">
        <v>4</v>
      </c>
      <c r="P42" s="50">
        <v>3000</v>
      </c>
      <c r="Q42" s="50">
        <v>1431</v>
      </c>
      <c r="R42" s="50">
        <v>6</v>
      </c>
      <c r="S42" s="50">
        <v>3000</v>
      </c>
      <c r="T42" s="50">
        <v>0.25</v>
      </c>
      <c r="U42" s="50">
        <v>1</v>
      </c>
      <c r="V42" s="50">
        <v>0</v>
      </c>
      <c r="W42" s="50">
        <v>2500</v>
      </c>
    </row>
    <row r="43" ht="23.1" customHeight="1" spans="1:23">
      <c r="A43" s="50">
        <v>2140</v>
      </c>
      <c r="B43" s="50">
        <v>1137</v>
      </c>
      <c r="C43" s="50">
        <v>100</v>
      </c>
      <c r="D43" s="50">
        <v>1429</v>
      </c>
      <c r="E43" s="50">
        <v>50</v>
      </c>
      <c r="F43" s="50">
        <v>1430</v>
      </c>
      <c r="G43" s="50">
        <v>50</v>
      </c>
      <c r="H43" s="50">
        <v>7000</v>
      </c>
      <c r="I43" s="50">
        <v>1431</v>
      </c>
      <c r="J43" s="50">
        <v>15</v>
      </c>
      <c r="K43" s="50">
        <v>1431</v>
      </c>
      <c r="L43" s="50">
        <v>4</v>
      </c>
      <c r="M43" s="50">
        <v>4000</v>
      </c>
      <c r="N43" s="50">
        <v>1431</v>
      </c>
      <c r="O43" s="50">
        <v>4</v>
      </c>
      <c r="P43" s="50">
        <v>3000</v>
      </c>
      <c r="Q43" s="50">
        <v>1431</v>
      </c>
      <c r="R43" s="50">
        <v>6</v>
      </c>
      <c r="S43" s="50">
        <v>3000</v>
      </c>
      <c r="T43" s="50">
        <v>0.25</v>
      </c>
      <c r="U43" s="50">
        <v>1</v>
      </c>
      <c r="V43" s="50">
        <v>0</v>
      </c>
      <c r="W43" s="50">
        <v>3000</v>
      </c>
    </row>
    <row r="44" spans="1:23">
      <c r="A44" s="50">
        <v>2141</v>
      </c>
      <c r="B44" s="50">
        <v>1137</v>
      </c>
      <c r="C44" s="50">
        <v>100</v>
      </c>
      <c r="D44" s="50">
        <v>1429</v>
      </c>
      <c r="E44" s="50">
        <v>70</v>
      </c>
      <c r="F44" s="50">
        <v>1430</v>
      </c>
      <c r="G44" s="50">
        <v>70</v>
      </c>
      <c r="H44" s="50">
        <v>6500</v>
      </c>
      <c r="I44" s="50">
        <v>1431</v>
      </c>
      <c r="J44" s="50">
        <v>20</v>
      </c>
      <c r="K44" s="50">
        <v>1431</v>
      </c>
      <c r="L44" s="50">
        <v>5</v>
      </c>
      <c r="M44" s="50">
        <v>4000</v>
      </c>
      <c r="N44" s="50">
        <v>1431</v>
      </c>
      <c r="O44" s="50">
        <v>6</v>
      </c>
      <c r="P44" s="50">
        <v>3000</v>
      </c>
      <c r="Q44" s="50">
        <v>1431</v>
      </c>
      <c r="R44" s="50">
        <v>8</v>
      </c>
      <c r="S44" s="50">
        <v>3000</v>
      </c>
      <c r="T44" s="50">
        <v>0.25</v>
      </c>
      <c r="U44" s="50">
        <v>1</v>
      </c>
      <c r="V44" s="50">
        <v>0</v>
      </c>
      <c r="W44" s="50">
        <v>3500</v>
      </c>
    </row>
    <row r="45" spans="1:23">
      <c r="A45" s="50">
        <v>2142</v>
      </c>
      <c r="B45" s="50">
        <v>1137</v>
      </c>
      <c r="C45" s="50">
        <v>100</v>
      </c>
      <c r="D45" s="50">
        <v>1429</v>
      </c>
      <c r="E45" s="50">
        <v>85</v>
      </c>
      <c r="F45" s="50">
        <v>1430</v>
      </c>
      <c r="G45" s="50">
        <v>85</v>
      </c>
      <c r="H45" s="50">
        <v>6000</v>
      </c>
      <c r="I45" s="50">
        <v>1431</v>
      </c>
      <c r="J45" s="50">
        <v>25</v>
      </c>
      <c r="K45" s="50">
        <v>1431</v>
      </c>
      <c r="L45" s="50">
        <v>7</v>
      </c>
      <c r="M45" s="50">
        <v>4000</v>
      </c>
      <c r="N45" s="50">
        <v>1431</v>
      </c>
      <c r="O45" s="50">
        <v>8</v>
      </c>
      <c r="P45" s="50">
        <v>3000</v>
      </c>
      <c r="Q45" s="50">
        <v>1431</v>
      </c>
      <c r="R45" s="50">
        <v>10</v>
      </c>
      <c r="S45" s="50">
        <v>3000</v>
      </c>
      <c r="T45" s="50">
        <v>0.25</v>
      </c>
      <c r="U45" s="50">
        <v>1</v>
      </c>
      <c r="V45" s="50">
        <v>0</v>
      </c>
      <c r="W45" s="50">
        <v>4000</v>
      </c>
    </row>
    <row r="46" spans="1:23">
      <c r="A46" s="50">
        <v>2143</v>
      </c>
      <c r="B46" s="50">
        <v>1137</v>
      </c>
      <c r="C46" s="50">
        <v>100</v>
      </c>
      <c r="D46" s="50">
        <v>1429</v>
      </c>
      <c r="E46" s="50">
        <v>100</v>
      </c>
      <c r="F46" s="50">
        <v>1430</v>
      </c>
      <c r="G46" s="50">
        <v>100</v>
      </c>
      <c r="H46" s="50">
        <v>5500</v>
      </c>
      <c r="I46" s="50">
        <v>1431</v>
      </c>
      <c r="J46" s="50">
        <v>30</v>
      </c>
      <c r="K46" s="50">
        <v>1431</v>
      </c>
      <c r="L46" s="50">
        <v>8</v>
      </c>
      <c r="M46" s="50">
        <v>4000</v>
      </c>
      <c r="N46" s="50">
        <v>1431</v>
      </c>
      <c r="O46" s="50">
        <v>10</v>
      </c>
      <c r="P46" s="50">
        <v>3000</v>
      </c>
      <c r="Q46" s="50">
        <v>1431</v>
      </c>
      <c r="R46" s="50">
        <v>12</v>
      </c>
      <c r="S46" s="50">
        <v>3000</v>
      </c>
      <c r="T46" s="50">
        <v>0.25</v>
      </c>
      <c r="U46" s="50">
        <v>1</v>
      </c>
      <c r="V46" s="50">
        <v>0</v>
      </c>
      <c r="W46" s="50">
        <v>4500</v>
      </c>
    </row>
    <row r="47" spans="1:23">
      <c r="A47" s="50">
        <v>2144</v>
      </c>
      <c r="B47" s="50">
        <v>1137</v>
      </c>
      <c r="C47" s="50">
        <v>100</v>
      </c>
      <c r="D47" s="50">
        <v>1429</v>
      </c>
      <c r="E47" s="50">
        <v>110</v>
      </c>
      <c r="F47" s="50">
        <v>1430</v>
      </c>
      <c r="G47" s="50">
        <v>110</v>
      </c>
      <c r="H47" s="50">
        <v>5000</v>
      </c>
      <c r="I47" s="50">
        <v>1431</v>
      </c>
      <c r="J47" s="50">
        <v>40</v>
      </c>
      <c r="K47" s="50">
        <v>1431</v>
      </c>
      <c r="L47" s="50">
        <v>9</v>
      </c>
      <c r="M47" s="50">
        <v>4000</v>
      </c>
      <c r="N47" s="50">
        <v>1431</v>
      </c>
      <c r="O47" s="50">
        <v>11</v>
      </c>
      <c r="P47" s="50">
        <v>3000</v>
      </c>
      <c r="Q47" s="50">
        <v>1431</v>
      </c>
      <c r="R47" s="50">
        <v>13</v>
      </c>
      <c r="S47" s="50">
        <v>3000</v>
      </c>
      <c r="T47" s="50">
        <v>0.25</v>
      </c>
      <c r="U47" s="50">
        <v>1</v>
      </c>
      <c r="V47" s="50">
        <v>0</v>
      </c>
      <c r="W47" s="50">
        <v>5000</v>
      </c>
    </row>
    <row r="48" spans="1:23">
      <c r="A48" s="50">
        <v>2145</v>
      </c>
      <c r="B48" s="50">
        <v>1137</v>
      </c>
      <c r="C48" s="50">
        <v>100</v>
      </c>
      <c r="D48" s="50">
        <v>1429</v>
      </c>
      <c r="E48" s="50">
        <v>115</v>
      </c>
      <c r="F48" s="50">
        <v>1430</v>
      </c>
      <c r="G48" s="50">
        <v>115</v>
      </c>
      <c r="H48" s="50">
        <v>4500</v>
      </c>
      <c r="I48" s="50">
        <v>1431</v>
      </c>
      <c r="J48" s="50">
        <v>45</v>
      </c>
      <c r="K48" s="50">
        <v>1431</v>
      </c>
      <c r="L48" s="50">
        <v>9</v>
      </c>
      <c r="M48" s="50">
        <v>4000</v>
      </c>
      <c r="N48" s="50">
        <v>1431</v>
      </c>
      <c r="O48" s="50">
        <v>11</v>
      </c>
      <c r="P48" s="50">
        <v>3000</v>
      </c>
      <c r="Q48" s="50">
        <v>1431</v>
      </c>
      <c r="R48" s="50">
        <v>13</v>
      </c>
      <c r="S48" s="50">
        <v>3000</v>
      </c>
      <c r="T48" s="50">
        <v>0.25</v>
      </c>
      <c r="U48" s="50">
        <v>1</v>
      </c>
      <c r="V48" s="50">
        <v>0</v>
      </c>
      <c r="W48" s="50">
        <v>5500</v>
      </c>
    </row>
    <row r="49" spans="1:23">
      <c r="A49" s="50">
        <v>2146</v>
      </c>
      <c r="B49" s="50">
        <v>1137</v>
      </c>
      <c r="C49" s="50">
        <v>100</v>
      </c>
      <c r="D49" s="50">
        <v>1429</v>
      </c>
      <c r="E49" s="50">
        <v>120</v>
      </c>
      <c r="F49" s="50">
        <v>1430</v>
      </c>
      <c r="G49" s="50">
        <v>120</v>
      </c>
      <c r="H49" s="50">
        <v>4000</v>
      </c>
      <c r="I49" s="50">
        <v>1431</v>
      </c>
      <c r="J49" s="50">
        <v>50</v>
      </c>
      <c r="K49" s="50">
        <v>1431</v>
      </c>
      <c r="L49" s="50">
        <v>10</v>
      </c>
      <c r="M49" s="50">
        <v>4000</v>
      </c>
      <c r="N49" s="50">
        <v>1431</v>
      </c>
      <c r="O49" s="50">
        <v>12</v>
      </c>
      <c r="P49" s="50">
        <v>3000</v>
      </c>
      <c r="Q49" s="50">
        <v>1431</v>
      </c>
      <c r="R49" s="50">
        <v>14</v>
      </c>
      <c r="S49" s="50">
        <v>3000</v>
      </c>
      <c r="T49" s="50">
        <v>0.25</v>
      </c>
      <c r="U49" s="50">
        <v>1</v>
      </c>
      <c r="V49" s="50">
        <v>0</v>
      </c>
      <c r="W49" s="50">
        <v>6000</v>
      </c>
    </row>
    <row r="50" spans="1:23">
      <c r="A50" s="50">
        <v>2147</v>
      </c>
      <c r="B50" s="50">
        <v>1137</v>
      </c>
      <c r="C50" s="50">
        <v>100</v>
      </c>
      <c r="D50" s="50">
        <v>1429</v>
      </c>
      <c r="E50" s="50">
        <v>120</v>
      </c>
      <c r="F50" s="50">
        <v>1430</v>
      </c>
      <c r="G50" s="50">
        <v>120</v>
      </c>
      <c r="H50" s="50">
        <v>3500</v>
      </c>
      <c r="I50" s="50">
        <v>1431</v>
      </c>
      <c r="J50" s="50">
        <v>60</v>
      </c>
      <c r="K50" s="50">
        <v>1431</v>
      </c>
      <c r="L50" s="50">
        <v>10</v>
      </c>
      <c r="M50" s="50">
        <v>4000</v>
      </c>
      <c r="N50" s="50">
        <v>1431</v>
      </c>
      <c r="O50" s="50">
        <v>12</v>
      </c>
      <c r="P50" s="50">
        <v>3000</v>
      </c>
      <c r="Q50" s="50">
        <v>1431</v>
      </c>
      <c r="R50" s="50">
        <v>14</v>
      </c>
      <c r="S50" s="50">
        <v>3000</v>
      </c>
      <c r="T50" s="50">
        <v>0.25</v>
      </c>
      <c r="U50" s="50">
        <v>1</v>
      </c>
      <c r="V50" s="50">
        <v>0</v>
      </c>
      <c r="W50" s="50">
        <v>7000</v>
      </c>
    </row>
    <row r="51" spans="1:23">
      <c r="A51" s="50">
        <v>2148</v>
      </c>
      <c r="B51" s="50">
        <v>1137</v>
      </c>
      <c r="C51" s="50">
        <v>100</v>
      </c>
      <c r="D51" s="50">
        <v>1429</v>
      </c>
      <c r="E51" s="50">
        <v>120</v>
      </c>
      <c r="F51" s="50">
        <v>1430</v>
      </c>
      <c r="G51" s="50">
        <v>120</v>
      </c>
      <c r="H51" s="50">
        <v>3000</v>
      </c>
      <c r="I51" s="50">
        <v>1431</v>
      </c>
      <c r="J51" s="50">
        <v>70</v>
      </c>
      <c r="K51" s="50">
        <v>1431</v>
      </c>
      <c r="L51" s="50">
        <v>10</v>
      </c>
      <c r="M51" s="50">
        <v>4000</v>
      </c>
      <c r="N51" s="50">
        <v>1431</v>
      </c>
      <c r="O51" s="50">
        <v>12</v>
      </c>
      <c r="P51" s="50">
        <v>3000</v>
      </c>
      <c r="Q51" s="50">
        <v>1431</v>
      </c>
      <c r="R51" s="50">
        <v>14</v>
      </c>
      <c r="S51" s="50">
        <v>3000</v>
      </c>
      <c r="T51" s="50">
        <v>0.25</v>
      </c>
      <c r="U51" s="50">
        <v>1</v>
      </c>
      <c r="V51" s="50">
        <v>0</v>
      </c>
      <c r="W51" s="50">
        <v>8000</v>
      </c>
    </row>
    <row r="52" spans="1:23">
      <c r="A52" s="50">
        <v>2149</v>
      </c>
      <c r="B52" s="50">
        <v>1137</v>
      </c>
      <c r="C52" s="50">
        <v>100</v>
      </c>
      <c r="D52" s="50">
        <v>1429</v>
      </c>
      <c r="E52" s="50">
        <v>120</v>
      </c>
      <c r="F52" s="50">
        <v>1430</v>
      </c>
      <c r="G52" s="50">
        <v>120</v>
      </c>
      <c r="H52" s="50">
        <v>2500</v>
      </c>
      <c r="I52" s="50">
        <v>1431</v>
      </c>
      <c r="J52" s="50">
        <v>80</v>
      </c>
      <c r="K52" s="50">
        <v>1431</v>
      </c>
      <c r="L52" s="50">
        <v>10</v>
      </c>
      <c r="M52" s="50">
        <v>4000</v>
      </c>
      <c r="N52" s="50">
        <v>1431</v>
      </c>
      <c r="O52" s="50">
        <v>12</v>
      </c>
      <c r="P52" s="50">
        <v>3000</v>
      </c>
      <c r="Q52" s="50">
        <v>1431</v>
      </c>
      <c r="R52" s="50">
        <v>14</v>
      </c>
      <c r="S52" s="50">
        <v>3000</v>
      </c>
      <c r="T52" s="50">
        <v>0.25</v>
      </c>
      <c r="U52" s="50">
        <v>1</v>
      </c>
      <c r="V52" s="50">
        <v>0</v>
      </c>
      <c r="W52" s="50">
        <v>9000</v>
      </c>
    </row>
    <row r="53" spans="1:23">
      <c r="A53" s="50">
        <v>2150</v>
      </c>
      <c r="B53" s="50">
        <v>1137</v>
      </c>
      <c r="C53" s="50">
        <v>100</v>
      </c>
      <c r="D53" s="50">
        <v>1429</v>
      </c>
      <c r="E53" s="50">
        <v>120</v>
      </c>
      <c r="F53" s="50">
        <v>1430</v>
      </c>
      <c r="G53" s="50">
        <v>120</v>
      </c>
      <c r="H53" s="50">
        <v>2000</v>
      </c>
      <c r="I53" s="50">
        <v>1431</v>
      </c>
      <c r="J53" s="50">
        <v>100</v>
      </c>
      <c r="K53" s="50">
        <v>1431</v>
      </c>
      <c r="L53" s="50">
        <v>10</v>
      </c>
      <c r="M53" s="50">
        <v>4000</v>
      </c>
      <c r="N53" s="50">
        <v>1431</v>
      </c>
      <c r="O53" s="50">
        <v>12</v>
      </c>
      <c r="P53" s="50">
        <v>3000</v>
      </c>
      <c r="Q53" s="50">
        <v>1431</v>
      </c>
      <c r="R53" s="50">
        <v>14</v>
      </c>
      <c r="S53" s="50">
        <v>3000</v>
      </c>
      <c r="T53" s="50">
        <v>0.25</v>
      </c>
      <c r="U53" s="50">
        <v>1</v>
      </c>
      <c r="V53" s="50">
        <v>0</v>
      </c>
      <c r="W53" s="50">
        <v>10000</v>
      </c>
    </row>
  </sheetData>
  <conditionalFormatting sqref="K4:K53">
    <cfRule type="cellIs" dxfId="1" priority="9" operator="equal">
      <formula>"-"</formula>
    </cfRule>
    <cfRule type="cellIs" dxfId="2" priority="10" operator="equal">
      <formula>0</formula>
    </cfRule>
  </conditionalFormatting>
  <conditionalFormatting sqref="K4:K7">
    <cfRule type="cellIs" dxfId="1" priority="3" operator="equal">
      <formula>"-"</formula>
    </cfRule>
    <cfRule type="cellIs" dxfId="2" priority="4" operator="equal">
      <formula>0</formula>
    </cfRule>
  </conditionalFormatting>
  <conditionalFormatting sqref="N4:N53">
    <cfRule type="cellIs" dxfId="1" priority="7" operator="equal">
      <formula>"-"</formula>
    </cfRule>
    <cfRule type="cellIs" dxfId="2" priority="8" operator="equal">
      <formula>0</formula>
    </cfRule>
  </conditionalFormatting>
  <conditionalFormatting sqref="N4:N7">
    <cfRule type="cellIs" dxfId="1" priority="5" operator="equal">
      <formula>"-"</formula>
    </cfRule>
    <cfRule type="cellIs" dxfId="2" priority="6" operator="equal">
      <formula>0</formula>
    </cfRule>
  </conditionalFormatting>
  <conditionalFormatting sqref="Q4:Q53">
    <cfRule type="cellIs" dxfId="1" priority="1" operator="equal">
      <formula>"-"</formula>
    </cfRule>
    <cfRule type="cellIs" dxfId="2" priority="2" operator="equal">
      <formula>0</formula>
    </cfRule>
  </conditionalFormatting>
  <conditionalFormatting sqref="A1:J53">
    <cfRule type="cellIs" dxfId="1" priority="13" operator="equal">
      <formula>"-"</formula>
    </cfRule>
    <cfRule type="cellIs" dxfId="2" priority="14" operator="equal">
      <formula>0</formula>
    </cfRule>
  </conditionalFormatting>
  <conditionalFormatting sqref="K1:W3 L4:M53 O4:P53 R4:W53">
    <cfRule type="cellIs" dxfId="1" priority="11" operator="equal">
      <formula>"-"</formula>
    </cfRule>
    <cfRule type="cellIs" dxfId="2" priority="12" operator="equal">
      <formula>0</formula>
    </cfRule>
  </conditionalFormatting>
  <pageMargins left="0.699305555555556" right="0.699305555555556" top="0.75" bottom="0.75" header="0.3" footer="0.3"/>
  <headerFooter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IV87"/>
  <sheetViews>
    <sheetView showGridLines="0" topLeftCell="E1" workbookViewId="0">
      <pane ySplit="3" topLeftCell="A73" activePane="bottomLeft" state="frozen"/>
      <selection/>
      <selection pane="bottomLeft" activeCell="L92" sqref="L92"/>
    </sheetView>
  </sheetViews>
  <sheetFormatPr defaultColWidth="6.59868421052632" defaultRowHeight="16.5" customHeight="1"/>
  <cols>
    <col min="1" max="1" width="9.5" style="40" customWidth="1"/>
    <col min="2" max="2" width="25.4013157894737" style="40" customWidth="1"/>
    <col min="3" max="3" width="11.0986842105263" style="40" customWidth="1"/>
    <col min="4" max="4" width="14" style="40" customWidth="1"/>
    <col min="5" max="5" width="15.0986842105263" style="40" customWidth="1"/>
    <col min="6" max="6" width="18.0986842105263" style="40" customWidth="1"/>
    <col min="7" max="7" width="11.5" style="40" customWidth="1"/>
    <col min="8" max="8" width="13.0986842105263" style="40" customWidth="1"/>
    <col min="9" max="9" width="10.9013157894737" style="40" customWidth="1"/>
    <col min="10" max="10" width="13.4013157894737" style="40" customWidth="1"/>
    <col min="11" max="11" width="16.4013157894737" style="40" customWidth="1"/>
    <col min="12" max="13" width="19" style="40" customWidth="1"/>
    <col min="14" max="14" width="20.9013157894737" style="40" customWidth="1"/>
    <col min="15" max="256" width="6.59868421052632" style="40" customWidth="1"/>
  </cols>
  <sheetData>
    <row r="1" ht="23.1" customHeight="1" spans="1:14">
      <c r="A1" s="41" t="s">
        <v>155</v>
      </c>
      <c r="B1" s="41" t="s">
        <v>875</v>
      </c>
      <c r="C1" s="41" t="s">
        <v>615</v>
      </c>
      <c r="D1" s="41" t="s">
        <v>876</v>
      </c>
      <c r="E1" s="41" t="s">
        <v>877</v>
      </c>
      <c r="F1" s="41" t="s">
        <v>878</v>
      </c>
      <c r="G1" s="41" t="s">
        <v>879</v>
      </c>
      <c r="H1" s="41" t="s">
        <v>880</v>
      </c>
      <c r="I1" s="41" t="s">
        <v>881</v>
      </c>
      <c r="J1" s="41" t="s">
        <v>882</v>
      </c>
      <c r="K1" s="41" t="s">
        <v>883</v>
      </c>
      <c r="L1" s="41" t="s">
        <v>884</v>
      </c>
      <c r="M1" s="41" t="s">
        <v>885</v>
      </c>
      <c r="N1" s="41" t="s">
        <v>886</v>
      </c>
    </row>
    <row r="2" ht="23.1" customHeight="1" spans="1:14">
      <c r="A2" s="41" t="s">
        <v>15</v>
      </c>
      <c r="B2" s="41" t="s">
        <v>172</v>
      </c>
      <c r="C2" s="41" t="s">
        <v>15</v>
      </c>
      <c r="D2" s="41" t="s">
        <v>15</v>
      </c>
      <c r="E2" s="41" t="s">
        <v>15</v>
      </c>
      <c r="F2" s="41" t="s">
        <v>173</v>
      </c>
      <c r="G2" s="41" t="s">
        <v>173</v>
      </c>
      <c r="H2" s="41" t="s">
        <v>15</v>
      </c>
      <c r="I2" s="41" t="s">
        <v>15</v>
      </c>
      <c r="J2" s="41" t="s">
        <v>172</v>
      </c>
      <c r="K2" s="41" t="s">
        <v>172</v>
      </c>
      <c r="L2" s="41" t="s">
        <v>172</v>
      </c>
      <c r="M2" s="41" t="s">
        <v>173</v>
      </c>
      <c r="N2" s="41" t="s">
        <v>15</v>
      </c>
    </row>
    <row r="3" ht="23.1" customHeight="1" spans="1:14">
      <c r="A3" s="41" t="s">
        <v>887</v>
      </c>
      <c r="B3" s="41" t="s">
        <v>888</v>
      </c>
      <c r="C3" s="41" t="s">
        <v>889</v>
      </c>
      <c r="D3" s="41" t="s">
        <v>621</v>
      </c>
      <c r="E3" s="41" t="s">
        <v>890</v>
      </c>
      <c r="F3" s="44" t="s">
        <v>891</v>
      </c>
      <c r="G3" s="41" t="s">
        <v>892</v>
      </c>
      <c r="H3" s="41" t="s">
        <v>893</v>
      </c>
      <c r="I3" s="41" t="s">
        <v>894</v>
      </c>
      <c r="J3" s="41" t="s">
        <v>895</v>
      </c>
      <c r="K3" s="41" t="s">
        <v>896</v>
      </c>
      <c r="L3" s="41" t="s">
        <v>897</v>
      </c>
      <c r="M3" s="41" t="s">
        <v>898</v>
      </c>
      <c r="N3" s="41" t="s">
        <v>890</v>
      </c>
    </row>
    <row r="4" ht="23.1" customHeight="1" spans="1:14">
      <c r="A4" s="41">
        <v>0</v>
      </c>
      <c r="B4" s="42">
        <v>1</v>
      </c>
      <c r="C4" s="41">
        <v>2101</v>
      </c>
      <c r="D4" s="42">
        <v>1</v>
      </c>
      <c r="E4" s="42">
        <v>1</v>
      </c>
      <c r="F4" s="45">
        <v>0</v>
      </c>
      <c r="G4" s="41">
        <v>0.5</v>
      </c>
      <c r="H4" s="41">
        <v>600</v>
      </c>
      <c r="I4" s="41">
        <v>100</v>
      </c>
      <c r="J4" s="46">
        <v>0</v>
      </c>
      <c r="K4" s="41" t="s">
        <v>899</v>
      </c>
      <c r="L4" s="41">
        <v>0</v>
      </c>
      <c r="M4" s="41">
        <v>1</v>
      </c>
      <c r="N4" s="42">
        <v>1</v>
      </c>
    </row>
    <row r="5" ht="23.1" customHeight="1" spans="1:14">
      <c r="A5" s="41">
        <v>1</v>
      </c>
      <c r="B5" s="42">
        <v>2</v>
      </c>
      <c r="C5" s="41">
        <v>2102</v>
      </c>
      <c r="D5" s="42">
        <v>2</v>
      </c>
      <c r="E5" s="42">
        <v>1</v>
      </c>
      <c r="F5" s="45">
        <v>0</v>
      </c>
      <c r="G5" s="41">
        <v>0.5</v>
      </c>
      <c r="H5" s="41">
        <v>600</v>
      </c>
      <c r="I5" s="41">
        <v>100</v>
      </c>
      <c r="J5" s="41">
        <v>0</v>
      </c>
      <c r="K5" s="41" t="s">
        <v>899</v>
      </c>
      <c r="L5" s="41">
        <v>0</v>
      </c>
      <c r="M5" s="41">
        <v>1</v>
      </c>
      <c r="N5" s="42">
        <v>1</v>
      </c>
    </row>
    <row r="6" ht="23.1" customHeight="1" spans="1:14">
      <c r="A6" s="41">
        <v>2</v>
      </c>
      <c r="B6" s="42">
        <v>3</v>
      </c>
      <c r="C6" s="41">
        <v>2103</v>
      </c>
      <c r="D6" s="42">
        <v>3</v>
      </c>
      <c r="E6" s="42">
        <v>1</v>
      </c>
      <c r="F6" s="45">
        <v>0</v>
      </c>
      <c r="G6" s="41">
        <v>0.5</v>
      </c>
      <c r="H6" s="41">
        <v>600</v>
      </c>
      <c r="I6" s="41">
        <v>100</v>
      </c>
      <c r="J6" s="41">
        <v>0</v>
      </c>
      <c r="K6" s="41" t="s">
        <v>899</v>
      </c>
      <c r="L6" s="41">
        <v>0</v>
      </c>
      <c r="M6" s="41">
        <v>1</v>
      </c>
      <c r="N6" s="42">
        <v>1</v>
      </c>
    </row>
    <row r="7" ht="23.1" customHeight="1" spans="1:14">
      <c r="A7" s="41">
        <v>3</v>
      </c>
      <c r="B7" s="42">
        <v>4</v>
      </c>
      <c r="C7" s="41">
        <v>2104</v>
      </c>
      <c r="D7" s="42">
        <v>4</v>
      </c>
      <c r="E7" s="42">
        <v>1</v>
      </c>
      <c r="F7" s="45">
        <v>0</v>
      </c>
      <c r="G7" s="41">
        <v>0.5</v>
      </c>
      <c r="H7" s="41">
        <v>600</v>
      </c>
      <c r="I7" s="41">
        <v>100</v>
      </c>
      <c r="J7" s="41">
        <v>0</v>
      </c>
      <c r="K7" s="41" t="s">
        <v>899</v>
      </c>
      <c r="L7" s="41">
        <v>0</v>
      </c>
      <c r="M7" s="41">
        <v>1</v>
      </c>
      <c r="N7" s="42">
        <v>1</v>
      </c>
    </row>
    <row r="8" ht="23.1" customHeight="1" spans="1:14">
      <c r="A8" s="41">
        <v>4</v>
      </c>
      <c r="B8" s="42">
        <v>5</v>
      </c>
      <c r="C8" s="41">
        <v>2105</v>
      </c>
      <c r="D8" s="42">
        <v>5</v>
      </c>
      <c r="E8" s="42">
        <v>1</v>
      </c>
      <c r="F8" s="45">
        <v>0</v>
      </c>
      <c r="G8" s="41">
        <v>0.5</v>
      </c>
      <c r="H8" s="41">
        <v>600</v>
      </c>
      <c r="I8" s="41">
        <v>100</v>
      </c>
      <c r="J8" s="41">
        <v>0</v>
      </c>
      <c r="K8" s="41" t="s">
        <v>899</v>
      </c>
      <c r="L8" s="41">
        <v>0</v>
      </c>
      <c r="M8" s="41">
        <v>1</v>
      </c>
      <c r="N8" s="42">
        <v>1</v>
      </c>
    </row>
    <row r="9" ht="23.1" customHeight="1" spans="1:14">
      <c r="A9" s="41">
        <v>5</v>
      </c>
      <c r="B9" s="42">
        <v>6</v>
      </c>
      <c r="C9" s="41">
        <v>2106</v>
      </c>
      <c r="D9" s="42">
        <v>6</v>
      </c>
      <c r="E9" s="42">
        <v>1</v>
      </c>
      <c r="F9" s="45">
        <v>0</v>
      </c>
      <c r="G9" s="41">
        <v>0.5</v>
      </c>
      <c r="H9" s="41">
        <v>600</v>
      </c>
      <c r="I9" s="41">
        <v>100</v>
      </c>
      <c r="J9" s="46">
        <v>0</v>
      </c>
      <c r="K9" s="41" t="s">
        <v>899</v>
      </c>
      <c r="L9" s="41">
        <v>0</v>
      </c>
      <c r="M9" s="41">
        <v>1</v>
      </c>
      <c r="N9" s="42">
        <v>1</v>
      </c>
    </row>
    <row r="10" ht="23.1" customHeight="1" spans="1:14">
      <c r="A10" s="41">
        <v>6</v>
      </c>
      <c r="B10" s="42">
        <v>7</v>
      </c>
      <c r="C10" s="41">
        <v>2107</v>
      </c>
      <c r="D10" s="42">
        <v>7</v>
      </c>
      <c r="E10" s="42">
        <v>1</v>
      </c>
      <c r="F10" s="45">
        <v>0</v>
      </c>
      <c r="G10" s="41">
        <v>0.5</v>
      </c>
      <c r="H10" s="41">
        <v>600</v>
      </c>
      <c r="I10" s="41">
        <v>100</v>
      </c>
      <c r="J10" s="46">
        <v>0</v>
      </c>
      <c r="K10" s="41" t="s">
        <v>899</v>
      </c>
      <c r="L10" s="41">
        <v>0</v>
      </c>
      <c r="M10" s="41">
        <v>1</v>
      </c>
      <c r="N10" s="42">
        <v>1</v>
      </c>
    </row>
    <row r="11" ht="23.1" customHeight="1" spans="1:14">
      <c r="A11" s="41">
        <v>7</v>
      </c>
      <c r="B11" s="42">
        <v>8</v>
      </c>
      <c r="C11" s="41">
        <v>2108</v>
      </c>
      <c r="D11" s="42">
        <v>8</v>
      </c>
      <c r="E11" s="42">
        <v>1</v>
      </c>
      <c r="F11" s="45">
        <v>0</v>
      </c>
      <c r="G11" s="41">
        <v>0.5</v>
      </c>
      <c r="H11" s="41">
        <v>600</v>
      </c>
      <c r="I11" s="41">
        <v>100</v>
      </c>
      <c r="J11" s="41">
        <v>0</v>
      </c>
      <c r="K11" s="41" t="s">
        <v>899</v>
      </c>
      <c r="L11" s="41">
        <v>0</v>
      </c>
      <c r="M11" s="41">
        <v>1</v>
      </c>
      <c r="N11" s="42">
        <v>1</v>
      </c>
    </row>
    <row r="12" ht="23.1" customHeight="1" spans="1:14">
      <c r="A12" s="41">
        <v>8</v>
      </c>
      <c r="B12" s="42">
        <v>9</v>
      </c>
      <c r="C12" s="41">
        <v>2109</v>
      </c>
      <c r="D12" s="42">
        <v>9</v>
      </c>
      <c r="E12" s="42">
        <v>1</v>
      </c>
      <c r="F12" s="45">
        <v>0</v>
      </c>
      <c r="G12" s="41">
        <v>0.5</v>
      </c>
      <c r="H12" s="41">
        <v>600</v>
      </c>
      <c r="I12" s="41">
        <v>100</v>
      </c>
      <c r="J12" s="41">
        <v>0</v>
      </c>
      <c r="K12" s="41" t="s">
        <v>899</v>
      </c>
      <c r="L12" s="41">
        <v>0</v>
      </c>
      <c r="M12" s="41">
        <v>1</v>
      </c>
      <c r="N12" s="42">
        <v>1</v>
      </c>
    </row>
    <row r="13" ht="23.1" customHeight="1" spans="1:14">
      <c r="A13" s="41">
        <v>9</v>
      </c>
      <c r="B13" s="42">
        <v>10</v>
      </c>
      <c r="C13" s="41">
        <v>2110</v>
      </c>
      <c r="D13" s="42">
        <v>10</v>
      </c>
      <c r="E13" s="42">
        <v>1</v>
      </c>
      <c r="F13" s="45">
        <v>0</v>
      </c>
      <c r="G13" s="41">
        <v>0.5</v>
      </c>
      <c r="H13" s="41">
        <v>600</v>
      </c>
      <c r="I13" s="41">
        <v>100</v>
      </c>
      <c r="J13" s="41">
        <v>0</v>
      </c>
      <c r="K13" s="41" t="s">
        <v>899</v>
      </c>
      <c r="L13" s="41">
        <v>0</v>
      </c>
      <c r="M13" s="41">
        <v>1</v>
      </c>
      <c r="N13" s="42">
        <v>1</v>
      </c>
    </row>
    <row r="14" ht="23.1" customHeight="1" spans="1:14">
      <c r="A14" s="41">
        <v>10</v>
      </c>
      <c r="B14" s="42">
        <v>15</v>
      </c>
      <c r="C14" s="41">
        <v>2111</v>
      </c>
      <c r="D14" s="42">
        <v>15</v>
      </c>
      <c r="E14" s="42">
        <v>1</v>
      </c>
      <c r="F14" s="45">
        <v>0</v>
      </c>
      <c r="G14" s="41">
        <v>0.5</v>
      </c>
      <c r="H14" s="41">
        <v>600</v>
      </c>
      <c r="I14" s="41">
        <v>100</v>
      </c>
      <c r="J14" s="46">
        <v>0</v>
      </c>
      <c r="K14" s="41" t="s">
        <v>899</v>
      </c>
      <c r="L14" s="41">
        <v>0</v>
      </c>
      <c r="M14" s="41">
        <v>1</v>
      </c>
      <c r="N14" s="42">
        <v>1</v>
      </c>
    </row>
    <row r="15" ht="23.1" customHeight="1" spans="1:14">
      <c r="A15" s="41">
        <v>11</v>
      </c>
      <c r="B15" s="42">
        <v>20</v>
      </c>
      <c r="C15" s="41">
        <v>2112</v>
      </c>
      <c r="D15" s="42">
        <v>20</v>
      </c>
      <c r="E15" s="42">
        <v>1</v>
      </c>
      <c r="F15" s="45">
        <v>0</v>
      </c>
      <c r="G15" s="41">
        <v>0.5</v>
      </c>
      <c r="H15" s="41">
        <v>600</v>
      </c>
      <c r="I15" s="41">
        <v>100</v>
      </c>
      <c r="J15" s="41">
        <v>0</v>
      </c>
      <c r="K15" s="41" t="s">
        <v>899</v>
      </c>
      <c r="L15" s="41">
        <v>0</v>
      </c>
      <c r="M15" s="41">
        <v>1</v>
      </c>
      <c r="N15" s="42">
        <v>1</v>
      </c>
    </row>
    <row r="16" ht="23.1" customHeight="1" spans="1:14">
      <c r="A16" s="41">
        <v>12</v>
      </c>
      <c r="B16" s="42">
        <v>25</v>
      </c>
      <c r="C16" s="41">
        <v>2113</v>
      </c>
      <c r="D16" s="42">
        <v>25</v>
      </c>
      <c r="E16" s="42">
        <v>1</v>
      </c>
      <c r="F16" s="45">
        <v>0</v>
      </c>
      <c r="G16" s="41">
        <v>0.5</v>
      </c>
      <c r="H16" s="41">
        <v>600</v>
      </c>
      <c r="I16" s="41">
        <v>100</v>
      </c>
      <c r="J16" s="46">
        <v>0</v>
      </c>
      <c r="K16" s="41" t="s">
        <v>899</v>
      </c>
      <c r="L16" s="41">
        <v>0</v>
      </c>
      <c r="M16" s="41">
        <v>1</v>
      </c>
      <c r="N16" s="42">
        <v>1</v>
      </c>
    </row>
    <row r="17" ht="23.1" customHeight="1" spans="1:14">
      <c r="A17" s="41">
        <v>13</v>
      </c>
      <c r="B17" s="42">
        <v>30</v>
      </c>
      <c r="C17" s="41">
        <v>2114</v>
      </c>
      <c r="D17" s="42">
        <v>30</v>
      </c>
      <c r="E17" s="42">
        <v>1</v>
      </c>
      <c r="F17" s="45">
        <v>0</v>
      </c>
      <c r="G17" s="41">
        <v>0.5</v>
      </c>
      <c r="H17" s="41">
        <v>600</v>
      </c>
      <c r="I17" s="41">
        <v>100</v>
      </c>
      <c r="J17" s="41">
        <v>0</v>
      </c>
      <c r="K17" s="41" t="s">
        <v>899</v>
      </c>
      <c r="L17" s="41">
        <v>0</v>
      </c>
      <c r="M17" s="41">
        <v>1</v>
      </c>
      <c r="N17" s="42">
        <v>1</v>
      </c>
    </row>
    <row r="18" ht="23.1" customHeight="1" spans="1:14">
      <c r="A18" s="41">
        <v>14</v>
      </c>
      <c r="B18" s="42">
        <v>35</v>
      </c>
      <c r="C18" s="41">
        <v>2115</v>
      </c>
      <c r="D18" s="42">
        <v>35</v>
      </c>
      <c r="E18" s="42">
        <v>1</v>
      </c>
      <c r="F18" s="45">
        <v>0</v>
      </c>
      <c r="G18" s="41">
        <v>0.5</v>
      </c>
      <c r="H18" s="41">
        <v>600</v>
      </c>
      <c r="I18" s="41">
        <v>105</v>
      </c>
      <c r="J18" s="41">
        <v>0</v>
      </c>
      <c r="K18" s="41" t="s">
        <v>899</v>
      </c>
      <c r="L18" s="41">
        <v>0</v>
      </c>
      <c r="M18" s="41">
        <v>1</v>
      </c>
      <c r="N18" s="42">
        <v>1</v>
      </c>
    </row>
    <row r="19" ht="23.1" customHeight="1" spans="1:14">
      <c r="A19" s="41">
        <v>15</v>
      </c>
      <c r="B19" s="42">
        <v>40</v>
      </c>
      <c r="C19" s="41">
        <v>2116</v>
      </c>
      <c r="D19" s="42">
        <v>40</v>
      </c>
      <c r="E19" s="42">
        <v>1</v>
      </c>
      <c r="F19" s="45">
        <v>0</v>
      </c>
      <c r="G19" s="41">
        <v>0.5</v>
      </c>
      <c r="H19" s="41">
        <v>600</v>
      </c>
      <c r="I19" s="41">
        <v>105</v>
      </c>
      <c r="J19" s="41">
        <v>0</v>
      </c>
      <c r="K19" s="41" t="s">
        <v>899</v>
      </c>
      <c r="L19" s="41">
        <v>0</v>
      </c>
      <c r="M19" s="41">
        <v>1</v>
      </c>
      <c r="N19" s="42">
        <v>1</v>
      </c>
    </row>
    <row r="20" ht="23.1" customHeight="1" spans="1:14">
      <c r="A20" s="41">
        <v>16</v>
      </c>
      <c r="B20" s="42">
        <v>45</v>
      </c>
      <c r="C20" s="41">
        <v>2117</v>
      </c>
      <c r="D20" s="42">
        <v>45</v>
      </c>
      <c r="E20" s="42">
        <v>1</v>
      </c>
      <c r="F20" s="45">
        <v>0</v>
      </c>
      <c r="G20" s="41">
        <v>0.5</v>
      </c>
      <c r="H20" s="41">
        <v>600</v>
      </c>
      <c r="I20" s="41">
        <v>105</v>
      </c>
      <c r="J20" s="46">
        <v>0</v>
      </c>
      <c r="K20" s="41" t="s">
        <v>899</v>
      </c>
      <c r="L20" s="41">
        <v>0</v>
      </c>
      <c r="M20" s="41">
        <v>1</v>
      </c>
      <c r="N20" s="42">
        <v>1</v>
      </c>
    </row>
    <row r="21" ht="23.1" customHeight="1" spans="1:14">
      <c r="A21" s="41">
        <v>17</v>
      </c>
      <c r="B21" s="42">
        <v>50</v>
      </c>
      <c r="C21" s="41">
        <v>2118</v>
      </c>
      <c r="D21" s="42">
        <v>50</v>
      </c>
      <c r="E21" s="42">
        <v>1</v>
      </c>
      <c r="F21" s="45">
        <v>0</v>
      </c>
      <c r="G21" s="41">
        <v>0.5</v>
      </c>
      <c r="H21" s="41">
        <v>600</v>
      </c>
      <c r="I21" s="41">
        <v>105</v>
      </c>
      <c r="J21" s="41">
        <v>0</v>
      </c>
      <c r="K21" s="41" t="s">
        <v>899</v>
      </c>
      <c r="L21" s="41">
        <v>0</v>
      </c>
      <c r="M21" s="41">
        <v>1</v>
      </c>
      <c r="N21" s="42">
        <v>1</v>
      </c>
    </row>
    <row r="22" ht="23.1" customHeight="1" spans="1:14">
      <c r="A22" s="41">
        <v>18</v>
      </c>
      <c r="B22" s="42">
        <v>60</v>
      </c>
      <c r="C22" s="41">
        <v>2119</v>
      </c>
      <c r="D22" s="42">
        <v>60</v>
      </c>
      <c r="E22" s="42">
        <v>1</v>
      </c>
      <c r="F22" s="45">
        <v>0</v>
      </c>
      <c r="G22" s="41">
        <v>0.5</v>
      </c>
      <c r="H22" s="41">
        <v>600</v>
      </c>
      <c r="I22" s="41">
        <v>105</v>
      </c>
      <c r="J22" s="46">
        <v>0</v>
      </c>
      <c r="K22" s="41" t="s">
        <v>899</v>
      </c>
      <c r="L22" s="41">
        <v>0</v>
      </c>
      <c r="M22" s="41">
        <v>1</v>
      </c>
      <c r="N22" s="42">
        <v>1</v>
      </c>
    </row>
    <row r="23" ht="23.1" customHeight="1" spans="1:14">
      <c r="A23" s="41">
        <v>19</v>
      </c>
      <c r="B23" s="42">
        <v>70</v>
      </c>
      <c r="C23" s="41">
        <v>2120</v>
      </c>
      <c r="D23" s="42">
        <v>70</v>
      </c>
      <c r="E23" s="42">
        <v>1</v>
      </c>
      <c r="F23" s="45">
        <v>0</v>
      </c>
      <c r="G23" s="41">
        <v>0.5</v>
      </c>
      <c r="H23" s="41">
        <v>600</v>
      </c>
      <c r="I23" s="41">
        <v>105</v>
      </c>
      <c r="J23" s="41">
        <v>0</v>
      </c>
      <c r="K23" s="41" t="s">
        <v>899</v>
      </c>
      <c r="L23" s="41">
        <v>0</v>
      </c>
      <c r="M23" s="41">
        <v>1</v>
      </c>
      <c r="N23" s="42">
        <v>1</v>
      </c>
    </row>
    <row r="24" ht="23.1" customHeight="1" spans="1:14">
      <c r="A24" s="41">
        <v>20</v>
      </c>
      <c r="B24" s="42">
        <v>80</v>
      </c>
      <c r="C24" s="41">
        <v>2121</v>
      </c>
      <c r="D24" s="42">
        <v>80</v>
      </c>
      <c r="E24" s="42">
        <v>1</v>
      </c>
      <c r="F24" s="45">
        <v>0</v>
      </c>
      <c r="G24" s="41">
        <v>0.5</v>
      </c>
      <c r="H24" s="41">
        <v>600</v>
      </c>
      <c r="I24" s="41">
        <v>105</v>
      </c>
      <c r="J24" s="41">
        <v>0</v>
      </c>
      <c r="K24" s="41" t="s">
        <v>899</v>
      </c>
      <c r="L24" s="41">
        <v>0</v>
      </c>
      <c r="M24" s="41">
        <v>1</v>
      </c>
      <c r="N24" s="42">
        <v>1</v>
      </c>
    </row>
    <row r="25" ht="23.1" customHeight="1" spans="1:14">
      <c r="A25" s="41">
        <v>21</v>
      </c>
      <c r="B25" s="42">
        <v>90</v>
      </c>
      <c r="C25" s="41">
        <v>2122</v>
      </c>
      <c r="D25" s="42">
        <v>90</v>
      </c>
      <c r="E25" s="42">
        <v>1</v>
      </c>
      <c r="F25" s="45">
        <v>0</v>
      </c>
      <c r="G25" s="41">
        <v>0.5</v>
      </c>
      <c r="H25" s="41">
        <v>600</v>
      </c>
      <c r="I25" s="41">
        <v>105</v>
      </c>
      <c r="J25" s="41">
        <v>0</v>
      </c>
      <c r="K25" s="41" t="s">
        <v>899</v>
      </c>
      <c r="L25" s="41">
        <v>0</v>
      </c>
      <c r="M25" s="41">
        <v>1</v>
      </c>
      <c r="N25" s="42">
        <v>1</v>
      </c>
    </row>
    <row r="26" ht="23.1" customHeight="1" spans="1:14">
      <c r="A26" s="41">
        <v>22</v>
      </c>
      <c r="B26" s="42">
        <v>100</v>
      </c>
      <c r="C26" s="41">
        <v>2123</v>
      </c>
      <c r="D26" s="42">
        <v>100</v>
      </c>
      <c r="E26" s="42">
        <v>1</v>
      </c>
      <c r="F26" s="45">
        <v>0</v>
      </c>
      <c r="G26" s="41">
        <v>0.5</v>
      </c>
      <c r="H26" s="41">
        <v>600</v>
      </c>
      <c r="I26" s="41">
        <v>105</v>
      </c>
      <c r="J26" s="46">
        <v>0</v>
      </c>
      <c r="K26" s="41" t="s">
        <v>899</v>
      </c>
      <c r="L26" s="41">
        <v>0</v>
      </c>
      <c r="M26" s="41">
        <v>1</v>
      </c>
      <c r="N26" s="42">
        <v>1</v>
      </c>
    </row>
    <row r="27" ht="23.1" customHeight="1" spans="1:14">
      <c r="A27" s="41">
        <v>23</v>
      </c>
      <c r="B27" s="42">
        <v>150</v>
      </c>
      <c r="C27" s="41">
        <v>2124</v>
      </c>
      <c r="D27" s="42">
        <v>150</v>
      </c>
      <c r="E27" s="42">
        <v>1</v>
      </c>
      <c r="F27" s="45">
        <v>0</v>
      </c>
      <c r="G27" s="41">
        <v>0.5</v>
      </c>
      <c r="H27" s="41">
        <v>600</v>
      </c>
      <c r="I27" s="41">
        <v>105</v>
      </c>
      <c r="J27" s="41">
        <v>0</v>
      </c>
      <c r="K27" s="41" t="s">
        <v>899</v>
      </c>
      <c r="L27" s="41">
        <v>0</v>
      </c>
      <c r="M27" s="41">
        <v>1</v>
      </c>
      <c r="N27" s="42">
        <v>1</v>
      </c>
    </row>
    <row r="28" ht="23.1" customHeight="1" spans="1:14">
      <c r="A28" s="41">
        <v>24</v>
      </c>
      <c r="B28" s="42">
        <v>200</v>
      </c>
      <c r="C28" s="41">
        <v>2125</v>
      </c>
      <c r="D28" s="42">
        <v>200</v>
      </c>
      <c r="E28" s="42">
        <v>1</v>
      </c>
      <c r="F28" s="45">
        <v>0</v>
      </c>
      <c r="G28" s="41">
        <v>0.5</v>
      </c>
      <c r="H28" s="41">
        <v>600</v>
      </c>
      <c r="I28" s="41">
        <v>110</v>
      </c>
      <c r="J28" s="46">
        <v>0</v>
      </c>
      <c r="K28" s="41" t="s">
        <v>899</v>
      </c>
      <c r="L28" s="41">
        <v>0</v>
      </c>
      <c r="M28" s="41">
        <v>1</v>
      </c>
      <c r="N28" s="42">
        <v>1</v>
      </c>
    </row>
    <row r="29" ht="23.1" customHeight="1" spans="1:14">
      <c r="A29" s="41">
        <v>25</v>
      </c>
      <c r="B29" s="42">
        <v>250</v>
      </c>
      <c r="C29" s="41">
        <v>2126</v>
      </c>
      <c r="D29" s="42">
        <v>250</v>
      </c>
      <c r="E29" s="42">
        <v>1</v>
      </c>
      <c r="F29" s="45">
        <v>0</v>
      </c>
      <c r="G29" s="41">
        <v>0.5</v>
      </c>
      <c r="H29" s="41">
        <v>600</v>
      </c>
      <c r="I29" s="41">
        <v>110</v>
      </c>
      <c r="J29" s="41">
        <v>0</v>
      </c>
      <c r="K29" s="41" t="s">
        <v>899</v>
      </c>
      <c r="L29" s="41">
        <v>0</v>
      </c>
      <c r="M29" s="41">
        <v>1</v>
      </c>
      <c r="N29" s="42">
        <v>1</v>
      </c>
    </row>
    <row r="30" ht="23.1" customHeight="1" spans="1:14">
      <c r="A30" s="41">
        <v>26</v>
      </c>
      <c r="B30" s="42">
        <v>300</v>
      </c>
      <c r="C30" s="41">
        <v>2127</v>
      </c>
      <c r="D30" s="42">
        <v>300</v>
      </c>
      <c r="E30" s="42">
        <v>1</v>
      </c>
      <c r="F30" s="45">
        <v>0</v>
      </c>
      <c r="G30" s="41">
        <v>0.5</v>
      </c>
      <c r="H30" s="41">
        <v>600</v>
      </c>
      <c r="I30" s="41">
        <v>110</v>
      </c>
      <c r="J30" s="41">
        <v>0</v>
      </c>
      <c r="K30" s="41" t="s">
        <v>899</v>
      </c>
      <c r="L30" s="41">
        <v>0</v>
      </c>
      <c r="M30" s="41">
        <v>1</v>
      </c>
      <c r="N30" s="42">
        <v>1</v>
      </c>
    </row>
    <row r="31" ht="23.1" customHeight="1" spans="1:14">
      <c r="A31" s="41">
        <v>27</v>
      </c>
      <c r="B31" s="42">
        <v>350</v>
      </c>
      <c r="C31" s="41">
        <v>2128</v>
      </c>
      <c r="D31" s="42">
        <v>350</v>
      </c>
      <c r="E31" s="42">
        <v>1</v>
      </c>
      <c r="F31" s="45">
        <v>0</v>
      </c>
      <c r="G31" s="41">
        <v>0.5</v>
      </c>
      <c r="H31" s="41">
        <v>600</v>
      </c>
      <c r="I31" s="41">
        <v>110</v>
      </c>
      <c r="J31" s="41">
        <v>0</v>
      </c>
      <c r="K31" s="41" t="s">
        <v>899</v>
      </c>
      <c r="L31" s="41">
        <v>0</v>
      </c>
      <c r="M31" s="41">
        <v>1</v>
      </c>
      <c r="N31" s="42">
        <v>1</v>
      </c>
    </row>
    <row r="32" ht="23.1" customHeight="1" spans="1:14">
      <c r="A32" s="41">
        <v>28</v>
      </c>
      <c r="B32" s="42">
        <v>400</v>
      </c>
      <c r="C32" s="41">
        <v>2129</v>
      </c>
      <c r="D32" s="42">
        <v>400</v>
      </c>
      <c r="E32" s="42">
        <v>1</v>
      </c>
      <c r="F32" s="45">
        <v>0</v>
      </c>
      <c r="G32" s="41">
        <v>0.5</v>
      </c>
      <c r="H32" s="41">
        <v>600</v>
      </c>
      <c r="I32" s="41">
        <v>110</v>
      </c>
      <c r="J32" s="46">
        <v>0</v>
      </c>
      <c r="K32" s="41" t="s">
        <v>899</v>
      </c>
      <c r="L32" s="41">
        <v>0</v>
      </c>
      <c r="M32" s="41">
        <v>1</v>
      </c>
      <c r="N32" s="42">
        <v>1</v>
      </c>
    </row>
    <row r="33" ht="23.1" customHeight="1" spans="1:14">
      <c r="A33" s="41">
        <v>29</v>
      </c>
      <c r="B33" s="42">
        <v>450</v>
      </c>
      <c r="C33" s="41">
        <v>2130</v>
      </c>
      <c r="D33" s="42">
        <v>450</v>
      </c>
      <c r="E33" s="42">
        <v>1</v>
      </c>
      <c r="F33" s="45">
        <v>0</v>
      </c>
      <c r="G33" s="41">
        <v>0.5</v>
      </c>
      <c r="H33" s="41">
        <v>600</v>
      </c>
      <c r="I33" s="41">
        <v>110</v>
      </c>
      <c r="J33" s="41">
        <v>0</v>
      </c>
      <c r="K33" s="41" t="s">
        <v>899</v>
      </c>
      <c r="L33" s="41">
        <v>0</v>
      </c>
      <c r="M33" s="41">
        <v>1</v>
      </c>
      <c r="N33" s="42">
        <v>1</v>
      </c>
    </row>
    <row r="34" ht="23.1" customHeight="1" spans="1:14">
      <c r="A34" s="41">
        <v>30</v>
      </c>
      <c r="B34" s="42">
        <v>500</v>
      </c>
      <c r="C34" s="41">
        <v>2131</v>
      </c>
      <c r="D34" s="42">
        <v>500</v>
      </c>
      <c r="E34" s="42">
        <v>1</v>
      </c>
      <c r="F34" s="45">
        <v>0</v>
      </c>
      <c r="G34" s="41">
        <v>0.5</v>
      </c>
      <c r="H34" s="41">
        <v>600</v>
      </c>
      <c r="I34" s="41">
        <v>110</v>
      </c>
      <c r="J34" s="46">
        <v>0</v>
      </c>
      <c r="K34" s="41" t="s">
        <v>899</v>
      </c>
      <c r="L34" s="41">
        <v>0</v>
      </c>
      <c r="M34" s="41">
        <v>1</v>
      </c>
      <c r="N34" s="42">
        <v>1</v>
      </c>
    </row>
    <row r="35" ht="23.1" customHeight="1" spans="1:14">
      <c r="A35" s="41">
        <v>31</v>
      </c>
      <c r="B35" s="42">
        <v>600</v>
      </c>
      <c r="C35" s="41">
        <v>2132</v>
      </c>
      <c r="D35" s="42">
        <v>600</v>
      </c>
      <c r="E35" s="42">
        <v>1</v>
      </c>
      <c r="F35" s="45">
        <v>0</v>
      </c>
      <c r="G35" s="41">
        <v>0.5</v>
      </c>
      <c r="H35" s="41">
        <v>600</v>
      </c>
      <c r="I35" s="41">
        <v>110</v>
      </c>
      <c r="J35" s="41">
        <v>0</v>
      </c>
      <c r="K35" s="41" t="s">
        <v>899</v>
      </c>
      <c r="L35" s="41">
        <v>0</v>
      </c>
      <c r="M35" s="41">
        <v>1</v>
      </c>
      <c r="N35" s="42">
        <v>1</v>
      </c>
    </row>
    <row r="36" ht="23.1" customHeight="1" spans="1:14">
      <c r="A36" s="41">
        <v>32</v>
      </c>
      <c r="B36" s="42">
        <v>700</v>
      </c>
      <c r="C36" s="41">
        <v>2133</v>
      </c>
      <c r="D36" s="42">
        <v>700</v>
      </c>
      <c r="E36" s="42">
        <v>1</v>
      </c>
      <c r="F36" s="45">
        <v>0</v>
      </c>
      <c r="G36" s="41">
        <v>0.5</v>
      </c>
      <c r="H36" s="41">
        <v>600</v>
      </c>
      <c r="I36" s="41">
        <v>110</v>
      </c>
      <c r="J36" s="41">
        <v>0</v>
      </c>
      <c r="K36" s="41" t="s">
        <v>899</v>
      </c>
      <c r="L36" s="41">
        <v>0</v>
      </c>
      <c r="M36" s="41">
        <v>1</v>
      </c>
      <c r="N36" s="42">
        <v>1</v>
      </c>
    </row>
    <row r="37" ht="23.1" customHeight="1" spans="1:14">
      <c r="A37" s="41">
        <v>33</v>
      </c>
      <c r="B37" s="42">
        <v>800</v>
      </c>
      <c r="C37" s="41">
        <v>2134</v>
      </c>
      <c r="D37" s="42">
        <v>800</v>
      </c>
      <c r="E37" s="42">
        <v>1</v>
      </c>
      <c r="F37" s="45">
        <v>0</v>
      </c>
      <c r="G37" s="41">
        <v>0.5</v>
      </c>
      <c r="H37" s="41">
        <v>600</v>
      </c>
      <c r="I37" s="41">
        <v>110</v>
      </c>
      <c r="J37" s="41">
        <v>0</v>
      </c>
      <c r="K37" s="41" t="s">
        <v>899</v>
      </c>
      <c r="L37" s="41">
        <v>0</v>
      </c>
      <c r="M37" s="41">
        <v>1</v>
      </c>
      <c r="N37" s="42">
        <v>1</v>
      </c>
    </row>
    <row r="38" ht="23.1" customHeight="1" spans="1:14">
      <c r="A38" s="41">
        <v>34</v>
      </c>
      <c r="B38" s="42">
        <v>900</v>
      </c>
      <c r="C38" s="41">
        <v>2135</v>
      </c>
      <c r="D38" s="42">
        <v>900</v>
      </c>
      <c r="E38" s="42">
        <v>1</v>
      </c>
      <c r="F38" s="45">
        <v>0</v>
      </c>
      <c r="G38" s="41">
        <v>0.5</v>
      </c>
      <c r="H38" s="41">
        <v>600</v>
      </c>
      <c r="I38" s="41">
        <v>115</v>
      </c>
      <c r="J38" s="46">
        <v>0</v>
      </c>
      <c r="K38" s="41" t="s">
        <v>899</v>
      </c>
      <c r="L38" s="41">
        <v>0</v>
      </c>
      <c r="M38" s="41">
        <v>1</v>
      </c>
      <c r="N38" s="42">
        <v>1</v>
      </c>
    </row>
    <row r="39" ht="23.1" customHeight="1" spans="1:14">
      <c r="A39" s="41">
        <v>35</v>
      </c>
      <c r="B39" s="42">
        <v>1000</v>
      </c>
      <c r="C39" s="41">
        <v>2136</v>
      </c>
      <c r="D39" s="42">
        <v>1000</v>
      </c>
      <c r="E39" s="42">
        <v>1</v>
      </c>
      <c r="F39" s="45">
        <v>0</v>
      </c>
      <c r="G39" s="41">
        <v>0.5</v>
      </c>
      <c r="H39" s="41">
        <v>600</v>
      </c>
      <c r="I39" s="41">
        <v>115</v>
      </c>
      <c r="J39" s="41">
        <v>0</v>
      </c>
      <c r="K39" s="41" t="s">
        <v>899</v>
      </c>
      <c r="L39" s="41">
        <v>0</v>
      </c>
      <c r="M39" s="41">
        <v>1</v>
      </c>
      <c r="N39" s="42">
        <v>1</v>
      </c>
    </row>
    <row r="40" ht="23.1" customHeight="1" spans="1:14">
      <c r="A40" s="41">
        <v>36</v>
      </c>
      <c r="B40" s="42">
        <v>1500</v>
      </c>
      <c r="C40" s="41">
        <v>2137</v>
      </c>
      <c r="D40" s="42">
        <v>1500</v>
      </c>
      <c r="E40" s="42">
        <v>1</v>
      </c>
      <c r="F40" s="45">
        <v>0</v>
      </c>
      <c r="G40" s="41">
        <v>0.5</v>
      </c>
      <c r="H40" s="41">
        <v>600</v>
      </c>
      <c r="I40" s="41">
        <v>115</v>
      </c>
      <c r="J40" s="41">
        <v>0</v>
      </c>
      <c r="K40" s="41" t="s">
        <v>899</v>
      </c>
      <c r="L40" s="41">
        <v>0</v>
      </c>
      <c r="M40" s="41">
        <v>1</v>
      </c>
      <c r="N40" s="42">
        <v>1</v>
      </c>
    </row>
    <row r="41" ht="23.1" customHeight="1" spans="1:14">
      <c r="A41" s="41">
        <v>37</v>
      </c>
      <c r="B41" s="42">
        <v>2000</v>
      </c>
      <c r="C41" s="41">
        <v>2138</v>
      </c>
      <c r="D41" s="42">
        <v>2000</v>
      </c>
      <c r="E41" s="42">
        <v>1</v>
      </c>
      <c r="F41" s="45">
        <v>0</v>
      </c>
      <c r="G41" s="41">
        <v>0.5</v>
      </c>
      <c r="H41" s="41">
        <v>600</v>
      </c>
      <c r="I41" s="41">
        <v>115</v>
      </c>
      <c r="J41" s="41">
        <v>0</v>
      </c>
      <c r="K41" s="41" t="s">
        <v>899</v>
      </c>
      <c r="L41" s="41">
        <v>0</v>
      </c>
      <c r="M41" s="41">
        <v>1</v>
      </c>
      <c r="N41" s="42">
        <v>1</v>
      </c>
    </row>
    <row r="42" ht="23.1" customHeight="1" spans="1:14">
      <c r="A42" s="41">
        <v>38</v>
      </c>
      <c r="B42" s="42">
        <v>2500</v>
      </c>
      <c r="C42" s="41">
        <v>2139</v>
      </c>
      <c r="D42" s="42">
        <v>2500</v>
      </c>
      <c r="E42" s="42">
        <v>1</v>
      </c>
      <c r="F42" s="45">
        <v>0</v>
      </c>
      <c r="G42" s="41">
        <v>0.5</v>
      </c>
      <c r="H42" s="41">
        <v>600</v>
      </c>
      <c r="I42" s="41">
        <v>115</v>
      </c>
      <c r="J42" s="41">
        <v>0</v>
      </c>
      <c r="K42" s="41" t="s">
        <v>899</v>
      </c>
      <c r="L42" s="41">
        <v>0</v>
      </c>
      <c r="M42" s="41">
        <v>1</v>
      </c>
      <c r="N42" s="42">
        <v>1</v>
      </c>
    </row>
    <row r="43" ht="23.1" customHeight="1" spans="1:14">
      <c r="A43" s="41">
        <v>39</v>
      </c>
      <c r="B43" s="42">
        <v>3000</v>
      </c>
      <c r="C43" s="41">
        <v>2140</v>
      </c>
      <c r="D43" s="42">
        <v>3000</v>
      </c>
      <c r="E43" s="42">
        <v>1</v>
      </c>
      <c r="F43" s="45">
        <v>0</v>
      </c>
      <c r="G43" s="41">
        <v>0.5</v>
      </c>
      <c r="H43" s="41">
        <v>600</v>
      </c>
      <c r="I43" s="41">
        <v>115</v>
      </c>
      <c r="J43" s="46">
        <v>0</v>
      </c>
      <c r="K43" s="41" t="s">
        <v>899</v>
      </c>
      <c r="L43" s="41">
        <v>0</v>
      </c>
      <c r="M43" s="41">
        <v>1</v>
      </c>
      <c r="N43" s="42">
        <v>1</v>
      </c>
    </row>
    <row r="44" ht="23.1" customHeight="1" spans="1:14">
      <c r="A44" s="41">
        <v>40</v>
      </c>
      <c r="B44" s="42">
        <v>3500</v>
      </c>
      <c r="C44" s="41">
        <v>2141</v>
      </c>
      <c r="D44" s="42">
        <v>3500</v>
      </c>
      <c r="E44" s="42">
        <v>1</v>
      </c>
      <c r="F44" s="45">
        <v>0</v>
      </c>
      <c r="G44" s="41">
        <v>0.5</v>
      </c>
      <c r="H44" s="41">
        <v>600</v>
      </c>
      <c r="I44" s="41">
        <v>115</v>
      </c>
      <c r="J44" s="41">
        <v>0</v>
      </c>
      <c r="K44" s="41" t="s">
        <v>899</v>
      </c>
      <c r="L44" s="41">
        <v>0</v>
      </c>
      <c r="M44" s="41">
        <v>1</v>
      </c>
      <c r="N44" s="42">
        <v>1</v>
      </c>
    </row>
    <row r="45" ht="23.1" customHeight="1" spans="1:14">
      <c r="A45" s="41">
        <v>41</v>
      </c>
      <c r="B45" s="42">
        <v>4000</v>
      </c>
      <c r="C45" s="41">
        <v>2142</v>
      </c>
      <c r="D45" s="42">
        <v>4000</v>
      </c>
      <c r="E45" s="42">
        <v>1</v>
      </c>
      <c r="F45" s="45">
        <v>0</v>
      </c>
      <c r="G45" s="41">
        <v>0.5</v>
      </c>
      <c r="H45" s="41">
        <v>600</v>
      </c>
      <c r="I45" s="41">
        <v>115</v>
      </c>
      <c r="J45" s="41">
        <v>0</v>
      </c>
      <c r="K45" s="41" t="s">
        <v>899</v>
      </c>
      <c r="L45" s="41">
        <v>0</v>
      </c>
      <c r="M45" s="41">
        <v>1</v>
      </c>
      <c r="N45" s="42">
        <v>1</v>
      </c>
    </row>
    <row r="46" ht="23.1" customHeight="1" spans="1:14">
      <c r="A46" s="41">
        <v>42</v>
      </c>
      <c r="B46" s="42">
        <v>4500</v>
      </c>
      <c r="C46" s="41">
        <v>2143</v>
      </c>
      <c r="D46" s="42">
        <v>4500</v>
      </c>
      <c r="E46" s="42">
        <v>1</v>
      </c>
      <c r="F46" s="45">
        <v>0</v>
      </c>
      <c r="G46" s="41">
        <v>0.5</v>
      </c>
      <c r="H46" s="41">
        <v>600</v>
      </c>
      <c r="I46" s="41">
        <v>115</v>
      </c>
      <c r="J46" s="41">
        <v>0</v>
      </c>
      <c r="K46" s="41" t="s">
        <v>899</v>
      </c>
      <c r="L46" s="41">
        <v>0</v>
      </c>
      <c r="M46" s="41">
        <v>1</v>
      </c>
      <c r="N46" s="42">
        <v>1</v>
      </c>
    </row>
    <row r="47" ht="23.1" customHeight="1" spans="1:14">
      <c r="A47" s="41">
        <v>43</v>
      </c>
      <c r="B47" s="42">
        <v>5000</v>
      </c>
      <c r="C47" s="41">
        <v>2144</v>
      </c>
      <c r="D47" s="42">
        <v>5000</v>
      </c>
      <c r="E47" s="42">
        <v>1</v>
      </c>
      <c r="F47" s="45">
        <v>0</v>
      </c>
      <c r="G47" s="41">
        <v>0.5</v>
      </c>
      <c r="H47" s="41">
        <v>600</v>
      </c>
      <c r="I47" s="41">
        <v>115</v>
      </c>
      <c r="J47" s="41">
        <v>0</v>
      </c>
      <c r="K47" s="41" t="s">
        <v>899</v>
      </c>
      <c r="L47" s="41">
        <v>0</v>
      </c>
      <c r="M47" s="41">
        <v>1</v>
      </c>
      <c r="N47" s="42">
        <v>1</v>
      </c>
    </row>
    <row r="48" ht="23.1" customHeight="1" spans="1:14">
      <c r="A48" s="41">
        <v>44</v>
      </c>
      <c r="B48" s="42">
        <v>5500</v>
      </c>
      <c r="C48" s="41">
        <v>2145</v>
      </c>
      <c r="D48" s="42">
        <v>5500</v>
      </c>
      <c r="E48" s="42">
        <v>1</v>
      </c>
      <c r="F48" s="45">
        <v>0</v>
      </c>
      <c r="G48" s="41">
        <v>0.5</v>
      </c>
      <c r="H48" s="41">
        <v>600</v>
      </c>
      <c r="I48" s="41">
        <v>120</v>
      </c>
      <c r="J48" s="46">
        <v>0</v>
      </c>
      <c r="K48" s="41" t="s">
        <v>899</v>
      </c>
      <c r="L48" s="41">
        <v>0</v>
      </c>
      <c r="M48" s="41">
        <v>1</v>
      </c>
      <c r="N48" s="42">
        <v>1</v>
      </c>
    </row>
    <row r="49" ht="23.1" customHeight="1" spans="1:14">
      <c r="A49" s="41">
        <v>45</v>
      </c>
      <c r="B49" s="42">
        <v>6000</v>
      </c>
      <c r="C49" s="41">
        <v>2146</v>
      </c>
      <c r="D49" s="42">
        <v>6000</v>
      </c>
      <c r="E49" s="42">
        <v>1</v>
      </c>
      <c r="F49" s="45">
        <v>0</v>
      </c>
      <c r="G49" s="41">
        <v>0.5</v>
      </c>
      <c r="H49" s="41">
        <v>600</v>
      </c>
      <c r="I49" s="41">
        <v>120</v>
      </c>
      <c r="J49" s="46">
        <v>0</v>
      </c>
      <c r="K49" s="41" t="s">
        <v>899</v>
      </c>
      <c r="L49" s="41">
        <v>0</v>
      </c>
      <c r="M49" s="41">
        <v>1</v>
      </c>
      <c r="N49" s="42">
        <v>1</v>
      </c>
    </row>
    <row r="50" ht="23.1" customHeight="1" spans="1:14">
      <c r="A50" s="41">
        <v>46</v>
      </c>
      <c r="B50" s="42">
        <v>7000</v>
      </c>
      <c r="C50" s="41">
        <v>2147</v>
      </c>
      <c r="D50" s="42">
        <v>7000</v>
      </c>
      <c r="E50" s="42">
        <v>1</v>
      </c>
      <c r="F50" s="45">
        <v>0</v>
      </c>
      <c r="G50" s="41">
        <v>0.5</v>
      </c>
      <c r="H50" s="41">
        <v>600</v>
      </c>
      <c r="I50" s="41">
        <v>120</v>
      </c>
      <c r="J50" s="41">
        <v>0</v>
      </c>
      <c r="K50" s="41" t="s">
        <v>899</v>
      </c>
      <c r="L50" s="41">
        <v>0</v>
      </c>
      <c r="M50" s="41">
        <v>1</v>
      </c>
      <c r="N50" s="42">
        <v>1</v>
      </c>
    </row>
    <row r="51" ht="23.1" customHeight="1" spans="1:14">
      <c r="A51" s="41">
        <v>47</v>
      </c>
      <c r="B51" s="42">
        <v>8000</v>
      </c>
      <c r="C51" s="41">
        <v>2148</v>
      </c>
      <c r="D51" s="42">
        <v>8000</v>
      </c>
      <c r="E51" s="42">
        <v>1</v>
      </c>
      <c r="F51" s="45">
        <v>0</v>
      </c>
      <c r="G51" s="41">
        <v>0.5</v>
      </c>
      <c r="H51" s="41">
        <v>600</v>
      </c>
      <c r="I51" s="41">
        <v>120</v>
      </c>
      <c r="J51" s="41">
        <v>0</v>
      </c>
      <c r="K51" s="41" t="s">
        <v>899</v>
      </c>
      <c r="L51" s="41">
        <v>0</v>
      </c>
      <c r="M51" s="41">
        <v>1</v>
      </c>
      <c r="N51" s="42">
        <v>1</v>
      </c>
    </row>
    <row r="52" ht="23.1" customHeight="1" spans="1:14">
      <c r="A52" s="41">
        <v>48</v>
      </c>
      <c r="B52" s="42">
        <v>9000</v>
      </c>
      <c r="C52" s="41">
        <v>2149</v>
      </c>
      <c r="D52" s="42">
        <v>9000</v>
      </c>
      <c r="E52" s="42">
        <v>1</v>
      </c>
      <c r="F52" s="45">
        <v>0</v>
      </c>
      <c r="G52" s="41">
        <v>0.5</v>
      </c>
      <c r="H52" s="41">
        <v>600</v>
      </c>
      <c r="I52" s="41">
        <v>120</v>
      </c>
      <c r="J52" s="41">
        <v>0</v>
      </c>
      <c r="K52" s="41" t="s">
        <v>899</v>
      </c>
      <c r="L52" s="41">
        <v>0</v>
      </c>
      <c r="M52" s="41">
        <v>1</v>
      </c>
      <c r="N52" s="42">
        <v>1</v>
      </c>
    </row>
    <row r="53" ht="23.1" customHeight="1" spans="1:14">
      <c r="A53" s="41">
        <v>49</v>
      </c>
      <c r="B53" s="42">
        <v>10000</v>
      </c>
      <c r="C53" s="41">
        <v>2150</v>
      </c>
      <c r="D53" s="42">
        <v>10000</v>
      </c>
      <c r="E53" s="42">
        <v>1</v>
      </c>
      <c r="F53" s="45">
        <v>0</v>
      </c>
      <c r="G53" s="41">
        <v>0.5</v>
      </c>
      <c r="H53" s="41">
        <v>600</v>
      </c>
      <c r="I53" s="41">
        <v>120</v>
      </c>
      <c r="J53" s="46">
        <v>0</v>
      </c>
      <c r="K53" s="41" t="s">
        <v>899</v>
      </c>
      <c r="L53" s="41">
        <v>0</v>
      </c>
      <c r="M53" s="41">
        <v>1</v>
      </c>
      <c r="N53" s="42">
        <v>1</v>
      </c>
    </row>
    <row r="54" ht="23.1" customHeight="1" spans="1:14">
      <c r="A54" s="41">
        <v>50</v>
      </c>
      <c r="B54" s="41" t="s">
        <v>900</v>
      </c>
      <c r="C54" s="41">
        <v>2201</v>
      </c>
      <c r="D54" s="43">
        <v>0</v>
      </c>
      <c r="E54" s="43">
        <v>0</v>
      </c>
      <c r="F54" s="45">
        <v>0</v>
      </c>
      <c r="G54" s="43">
        <v>0</v>
      </c>
      <c r="H54" s="43">
        <v>0</v>
      </c>
      <c r="I54" s="43">
        <v>0</v>
      </c>
      <c r="J54" s="43">
        <v>0</v>
      </c>
      <c r="K54" s="43">
        <v>0</v>
      </c>
      <c r="L54" s="43">
        <v>0</v>
      </c>
      <c r="M54" s="41">
        <v>1</v>
      </c>
      <c r="N54" s="43">
        <v>0</v>
      </c>
    </row>
    <row r="55" ht="23.1" customHeight="1" spans="1:14">
      <c r="A55" s="41">
        <v>51</v>
      </c>
      <c r="B55" s="41" t="s">
        <v>901</v>
      </c>
      <c r="C55" s="41">
        <v>2202</v>
      </c>
      <c r="D55" s="43">
        <v>0</v>
      </c>
      <c r="E55" s="43">
        <v>0</v>
      </c>
      <c r="F55" s="45">
        <v>0</v>
      </c>
      <c r="G55" s="43">
        <v>0</v>
      </c>
      <c r="H55" s="43">
        <v>0</v>
      </c>
      <c r="I55" s="43">
        <v>0</v>
      </c>
      <c r="J55" s="43">
        <v>0</v>
      </c>
      <c r="K55" s="43">
        <v>0</v>
      </c>
      <c r="L55" s="43">
        <v>0</v>
      </c>
      <c r="M55" s="41">
        <v>1</v>
      </c>
      <c r="N55" s="43">
        <v>0</v>
      </c>
    </row>
    <row r="56" ht="23.1" customHeight="1" spans="1:14">
      <c r="A56" s="41">
        <v>52</v>
      </c>
      <c r="B56" s="41" t="s">
        <v>902</v>
      </c>
      <c r="C56" s="41">
        <v>2203</v>
      </c>
      <c r="D56" s="43">
        <v>0</v>
      </c>
      <c r="E56" s="43">
        <v>0</v>
      </c>
      <c r="F56" s="45">
        <v>0</v>
      </c>
      <c r="G56" s="43">
        <v>0</v>
      </c>
      <c r="H56" s="43">
        <v>0</v>
      </c>
      <c r="I56" s="43">
        <v>0</v>
      </c>
      <c r="J56" s="43">
        <v>0</v>
      </c>
      <c r="K56" s="43">
        <v>0</v>
      </c>
      <c r="L56" s="43">
        <v>0</v>
      </c>
      <c r="M56" s="41">
        <v>1</v>
      </c>
      <c r="N56" s="43">
        <v>0</v>
      </c>
    </row>
    <row r="57" ht="23.1" customHeight="1" spans="1:14">
      <c r="A57" s="41">
        <v>53</v>
      </c>
      <c r="B57" s="41" t="s">
        <v>903</v>
      </c>
      <c r="C57" s="41">
        <v>2204</v>
      </c>
      <c r="D57" s="43">
        <v>0</v>
      </c>
      <c r="E57" s="43">
        <v>0</v>
      </c>
      <c r="F57" s="45">
        <v>0</v>
      </c>
      <c r="G57" s="43">
        <v>0</v>
      </c>
      <c r="H57" s="43">
        <v>0</v>
      </c>
      <c r="I57" s="43">
        <v>0</v>
      </c>
      <c r="J57" s="43">
        <v>0</v>
      </c>
      <c r="K57" s="43">
        <v>0</v>
      </c>
      <c r="L57" s="43">
        <v>0</v>
      </c>
      <c r="M57" s="41">
        <v>1</v>
      </c>
      <c r="N57" s="43">
        <v>0</v>
      </c>
    </row>
    <row r="58" ht="23.1" customHeight="1" spans="1:14">
      <c r="A58" s="41">
        <v>54</v>
      </c>
      <c r="B58" s="41" t="s">
        <v>904</v>
      </c>
      <c r="C58" s="41">
        <v>2205</v>
      </c>
      <c r="D58" s="43">
        <v>0</v>
      </c>
      <c r="E58" s="43">
        <v>0</v>
      </c>
      <c r="F58" s="45">
        <v>0</v>
      </c>
      <c r="G58" s="43">
        <v>0</v>
      </c>
      <c r="H58" s="43">
        <v>0</v>
      </c>
      <c r="I58" s="43">
        <v>0</v>
      </c>
      <c r="J58" s="43">
        <v>0</v>
      </c>
      <c r="K58" s="43">
        <v>0</v>
      </c>
      <c r="L58" s="43">
        <v>0</v>
      </c>
      <c r="M58" s="41">
        <v>1</v>
      </c>
      <c r="N58" s="43">
        <v>0</v>
      </c>
    </row>
    <row r="59" ht="23.1" customHeight="1" spans="1:14">
      <c r="A59" s="41">
        <v>55</v>
      </c>
      <c r="B59" s="41" t="s">
        <v>905</v>
      </c>
      <c r="C59" s="41">
        <v>2206</v>
      </c>
      <c r="D59" s="43">
        <v>0</v>
      </c>
      <c r="E59" s="43">
        <v>0</v>
      </c>
      <c r="F59" s="45">
        <v>0</v>
      </c>
      <c r="G59" s="43">
        <v>0</v>
      </c>
      <c r="H59" s="43">
        <v>0</v>
      </c>
      <c r="I59" s="43">
        <v>0</v>
      </c>
      <c r="J59" s="43">
        <v>0</v>
      </c>
      <c r="K59" s="43">
        <v>0</v>
      </c>
      <c r="L59" s="43">
        <v>0</v>
      </c>
      <c r="M59" s="41">
        <v>1</v>
      </c>
      <c r="N59" s="43">
        <v>0</v>
      </c>
    </row>
    <row r="60" ht="23.1" customHeight="1" spans="1:14">
      <c r="A60" s="41">
        <v>56</v>
      </c>
      <c r="B60" s="41" t="s">
        <v>906</v>
      </c>
      <c r="C60" s="41">
        <v>2207</v>
      </c>
      <c r="D60" s="43">
        <v>0</v>
      </c>
      <c r="E60" s="43">
        <v>0</v>
      </c>
      <c r="F60" s="45">
        <v>0</v>
      </c>
      <c r="G60" s="43">
        <v>0</v>
      </c>
      <c r="H60" s="43">
        <v>0</v>
      </c>
      <c r="I60" s="43">
        <v>0</v>
      </c>
      <c r="J60" s="43">
        <v>0</v>
      </c>
      <c r="K60" s="43">
        <v>0</v>
      </c>
      <c r="L60" s="43">
        <v>0</v>
      </c>
      <c r="M60" s="41">
        <v>1</v>
      </c>
      <c r="N60" s="43">
        <v>0</v>
      </c>
    </row>
    <row r="61" ht="23.1" customHeight="1" spans="1:14">
      <c r="A61" s="41">
        <v>57</v>
      </c>
      <c r="B61" s="41" t="s">
        <v>907</v>
      </c>
      <c r="C61" s="41">
        <v>2208</v>
      </c>
      <c r="D61" s="43">
        <v>0</v>
      </c>
      <c r="E61" s="43">
        <v>0</v>
      </c>
      <c r="F61" s="45">
        <v>0</v>
      </c>
      <c r="G61" s="43">
        <v>0</v>
      </c>
      <c r="H61" s="43">
        <v>0</v>
      </c>
      <c r="I61" s="43">
        <v>0</v>
      </c>
      <c r="J61" s="43">
        <v>0</v>
      </c>
      <c r="K61" s="43">
        <v>0</v>
      </c>
      <c r="L61" s="43">
        <v>0</v>
      </c>
      <c r="M61" s="41">
        <v>1</v>
      </c>
      <c r="N61" s="43">
        <v>0</v>
      </c>
    </row>
    <row r="62" ht="23.1" customHeight="1" spans="1:14">
      <c r="A62" s="41">
        <v>58</v>
      </c>
      <c r="B62" s="41" t="s">
        <v>908</v>
      </c>
      <c r="C62" s="41">
        <v>2209</v>
      </c>
      <c r="D62" s="43">
        <v>0</v>
      </c>
      <c r="E62" s="43">
        <v>0</v>
      </c>
      <c r="F62" s="45">
        <v>0</v>
      </c>
      <c r="G62" s="43">
        <v>0</v>
      </c>
      <c r="H62" s="43">
        <v>0</v>
      </c>
      <c r="I62" s="43">
        <v>0</v>
      </c>
      <c r="J62" s="43">
        <v>0</v>
      </c>
      <c r="K62" s="43">
        <v>0</v>
      </c>
      <c r="L62" s="43">
        <v>0</v>
      </c>
      <c r="M62" s="41">
        <v>1</v>
      </c>
      <c r="N62" s="43">
        <v>0</v>
      </c>
    </row>
    <row r="63" ht="23.1" customHeight="1" spans="1:14">
      <c r="A63" s="41">
        <v>59</v>
      </c>
      <c r="B63" s="41" t="s">
        <v>909</v>
      </c>
      <c r="C63" s="41">
        <v>2210</v>
      </c>
      <c r="D63" s="43">
        <v>0</v>
      </c>
      <c r="E63" s="43">
        <v>0</v>
      </c>
      <c r="F63" s="45">
        <v>0</v>
      </c>
      <c r="G63" s="43">
        <v>0</v>
      </c>
      <c r="H63" s="43">
        <v>0</v>
      </c>
      <c r="I63" s="43">
        <v>0</v>
      </c>
      <c r="J63" s="43">
        <v>0</v>
      </c>
      <c r="K63" s="43">
        <v>0</v>
      </c>
      <c r="L63" s="43">
        <v>0</v>
      </c>
      <c r="M63" s="41">
        <v>1</v>
      </c>
      <c r="N63" s="43">
        <v>0</v>
      </c>
    </row>
    <row r="64" ht="23.1" customHeight="1" spans="1:14">
      <c r="A64" s="41">
        <v>60</v>
      </c>
      <c r="B64" s="41" t="s">
        <v>361</v>
      </c>
      <c r="C64" s="41">
        <v>2301</v>
      </c>
      <c r="D64" s="43">
        <v>0</v>
      </c>
      <c r="E64" s="43">
        <v>0</v>
      </c>
      <c r="F64" s="45">
        <v>0</v>
      </c>
      <c r="G64" s="43">
        <v>0</v>
      </c>
      <c r="H64" s="43">
        <v>0</v>
      </c>
      <c r="I64" s="43">
        <v>0</v>
      </c>
      <c r="J64" s="43">
        <v>0</v>
      </c>
      <c r="K64" s="43">
        <v>0</v>
      </c>
      <c r="L64" s="43">
        <v>0</v>
      </c>
      <c r="M64" s="41">
        <v>1</v>
      </c>
      <c r="N64" s="43">
        <v>0</v>
      </c>
    </row>
    <row r="65" ht="23.1" customHeight="1" spans="1:14">
      <c r="A65" s="41">
        <v>61</v>
      </c>
      <c r="B65" s="41" t="s">
        <v>910</v>
      </c>
      <c r="C65" s="41">
        <v>2302</v>
      </c>
      <c r="D65" s="43">
        <v>0</v>
      </c>
      <c r="E65" s="43">
        <v>0</v>
      </c>
      <c r="F65" s="45">
        <v>0</v>
      </c>
      <c r="G65" s="43">
        <v>0</v>
      </c>
      <c r="H65" s="43">
        <v>0</v>
      </c>
      <c r="I65" s="43">
        <v>0</v>
      </c>
      <c r="J65" s="43">
        <v>0</v>
      </c>
      <c r="K65" s="43">
        <v>0</v>
      </c>
      <c r="L65" s="43">
        <v>0</v>
      </c>
      <c r="M65" s="41">
        <v>1</v>
      </c>
      <c r="N65" s="43">
        <v>0</v>
      </c>
    </row>
    <row r="66" ht="23.1" customHeight="1" spans="1:14">
      <c r="A66" s="41">
        <v>62</v>
      </c>
      <c r="B66" s="41" t="s">
        <v>352</v>
      </c>
      <c r="C66" s="41">
        <v>2401</v>
      </c>
      <c r="D66" s="43">
        <v>0</v>
      </c>
      <c r="E66" s="48">
        <v>1000</v>
      </c>
      <c r="F66" s="45">
        <v>0</v>
      </c>
      <c r="G66" s="43">
        <v>0</v>
      </c>
      <c r="H66" s="43">
        <v>0</v>
      </c>
      <c r="I66" s="43">
        <v>400</v>
      </c>
      <c r="J66" s="43">
        <v>0</v>
      </c>
      <c r="K66" s="43">
        <v>0</v>
      </c>
      <c r="L66" s="43">
        <v>0</v>
      </c>
      <c r="M66" s="41">
        <v>1</v>
      </c>
      <c r="N66" s="48">
        <v>1000</v>
      </c>
    </row>
    <row r="67" ht="23.1" customHeight="1" spans="1:14">
      <c r="A67" s="41">
        <v>63</v>
      </c>
      <c r="B67" s="41" t="s">
        <v>353</v>
      </c>
      <c r="C67" s="41">
        <v>2402</v>
      </c>
      <c r="D67" s="43">
        <v>0</v>
      </c>
      <c r="E67" s="48">
        <v>1500</v>
      </c>
      <c r="F67" s="45">
        <v>0</v>
      </c>
      <c r="G67" s="43">
        <v>0</v>
      </c>
      <c r="H67" s="43">
        <v>0</v>
      </c>
      <c r="I67" s="43">
        <v>400</v>
      </c>
      <c r="J67" s="43">
        <v>0</v>
      </c>
      <c r="K67" s="43">
        <v>0</v>
      </c>
      <c r="L67" s="43">
        <v>0</v>
      </c>
      <c r="M67" s="41">
        <v>1</v>
      </c>
      <c r="N67" s="48">
        <v>1500</v>
      </c>
    </row>
    <row r="68" ht="23.1" customHeight="1" spans="1:14">
      <c r="A68" s="41">
        <v>64</v>
      </c>
      <c r="B68" s="41" t="s">
        <v>354</v>
      </c>
      <c r="C68" s="41">
        <v>2403</v>
      </c>
      <c r="D68" s="43">
        <v>0</v>
      </c>
      <c r="E68" s="48">
        <v>2000</v>
      </c>
      <c r="F68" s="45">
        <v>0</v>
      </c>
      <c r="G68" s="43">
        <v>0</v>
      </c>
      <c r="H68" s="43">
        <v>0</v>
      </c>
      <c r="I68" s="43">
        <v>400</v>
      </c>
      <c r="J68" s="43">
        <v>0</v>
      </c>
      <c r="K68" s="43">
        <v>0</v>
      </c>
      <c r="L68" s="43">
        <v>0</v>
      </c>
      <c r="M68" s="41">
        <v>1</v>
      </c>
      <c r="N68" s="48">
        <v>2000</v>
      </c>
    </row>
    <row r="69" ht="23.1" customHeight="1" spans="1:14">
      <c r="A69" s="41">
        <v>65</v>
      </c>
      <c r="B69" s="41" t="s">
        <v>355</v>
      </c>
      <c r="C69" s="41">
        <v>2404</v>
      </c>
      <c r="D69" s="43">
        <v>0</v>
      </c>
      <c r="E69" s="48">
        <v>2500</v>
      </c>
      <c r="F69" s="45">
        <v>0</v>
      </c>
      <c r="G69" s="43">
        <v>0</v>
      </c>
      <c r="H69" s="43">
        <v>0</v>
      </c>
      <c r="I69" s="43">
        <v>400</v>
      </c>
      <c r="J69" s="43">
        <v>0</v>
      </c>
      <c r="K69" s="43">
        <v>0</v>
      </c>
      <c r="L69" s="43">
        <v>0</v>
      </c>
      <c r="M69" s="41">
        <v>1</v>
      </c>
      <c r="N69" s="48">
        <v>2500</v>
      </c>
    </row>
    <row r="70" ht="23.1" customHeight="1" spans="1:14">
      <c r="A70" s="41">
        <v>66</v>
      </c>
      <c r="B70" s="41" t="s">
        <v>356</v>
      </c>
      <c r="C70" s="41">
        <v>2405</v>
      </c>
      <c r="D70" s="43">
        <v>0</v>
      </c>
      <c r="E70" s="48">
        <v>3000</v>
      </c>
      <c r="F70" s="45">
        <v>0</v>
      </c>
      <c r="G70" s="43">
        <v>0</v>
      </c>
      <c r="H70" s="43">
        <v>0</v>
      </c>
      <c r="I70" s="43">
        <v>400</v>
      </c>
      <c r="J70" s="43">
        <v>0</v>
      </c>
      <c r="K70" s="43">
        <v>0</v>
      </c>
      <c r="L70" s="43">
        <v>0</v>
      </c>
      <c r="M70" s="41">
        <v>1</v>
      </c>
      <c r="N70" s="48">
        <v>3000</v>
      </c>
    </row>
    <row r="71" ht="23.1" customHeight="1" spans="1:14">
      <c r="A71" s="41">
        <v>67</v>
      </c>
      <c r="B71" s="41" t="s">
        <v>357</v>
      </c>
      <c r="C71" s="41">
        <v>2406</v>
      </c>
      <c r="D71" s="43">
        <v>0</v>
      </c>
      <c r="E71" s="48">
        <v>3000</v>
      </c>
      <c r="F71" s="45">
        <v>0</v>
      </c>
      <c r="G71" s="43">
        <v>0</v>
      </c>
      <c r="H71" s="43">
        <v>0</v>
      </c>
      <c r="I71" s="43">
        <v>400</v>
      </c>
      <c r="J71" s="43">
        <v>0</v>
      </c>
      <c r="K71" s="43">
        <v>0</v>
      </c>
      <c r="L71" s="43">
        <v>0</v>
      </c>
      <c r="M71" s="41">
        <v>1</v>
      </c>
      <c r="N71" s="48">
        <v>3000</v>
      </c>
    </row>
    <row r="72" ht="23.1" customHeight="1" spans="1:256">
      <c r="A72" s="41">
        <v>68</v>
      </c>
      <c r="B72" s="41" t="s">
        <v>911</v>
      </c>
      <c r="C72" s="41">
        <v>2701</v>
      </c>
      <c r="D72" s="43">
        <v>0</v>
      </c>
      <c r="E72" s="49">
        <v>600</v>
      </c>
      <c r="F72" s="45">
        <v>0</v>
      </c>
      <c r="G72" s="43">
        <v>0</v>
      </c>
      <c r="H72" s="43">
        <v>0</v>
      </c>
      <c r="I72" s="43">
        <v>0</v>
      </c>
      <c r="J72" s="43">
        <v>0</v>
      </c>
      <c r="K72" s="43">
        <v>0</v>
      </c>
      <c r="L72" s="43">
        <v>0</v>
      </c>
      <c r="M72" s="43">
        <v>1</v>
      </c>
      <c r="N72" s="49">
        <v>600</v>
      </c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</row>
    <row r="73" ht="23.1" customHeight="1" spans="1:256">
      <c r="A73" s="41">
        <v>69</v>
      </c>
      <c r="B73" s="41" t="s">
        <v>912</v>
      </c>
      <c r="C73" s="41">
        <v>2702</v>
      </c>
      <c r="D73" s="43">
        <v>0</v>
      </c>
      <c r="E73" s="49">
        <v>900</v>
      </c>
      <c r="F73" s="45">
        <v>0</v>
      </c>
      <c r="G73" s="43">
        <v>0</v>
      </c>
      <c r="H73" s="43">
        <v>0</v>
      </c>
      <c r="I73" s="43">
        <v>0</v>
      </c>
      <c r="J73" s="43">
        <v>0</v>
      </c>
      <c r="K73" s="43">
        <v>0</v>
      </c>
      <c r="L73" s="43">
        <v>0</v>
      </c>
      <c r="M73" s="43">
        <v>1</v>
      </c>
      <c r="N73" s="49">
        <v>900</v>
      </c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</row>
    <row r="74" ht="23.1" customHeight="1" spans="1:256">
      <c r="A74" s="41">
        <v>70</v>
      </c>
      <c r="B74" s="41" t="s">
        <v>913</v>
      </c>
      <c r="C74" s="41">
        <v>2703</v>
      </c>
      <c r="D74" s="43">
        <v>0</v>
      </c>
      <c r="E74" s="49">
        <v>1200</v>
      </c>
      <c r="F74" s="45">
        <v>0</v>
      </c>
      <c r="G74" s="43">
        <v>0</v>
      </c>
      <c r="H74" s="43">
        <v>0</v>
      </c>
      <c r="I74" s="43">
        <v>0</v>
      </c>
      <c r="J74" s="43">
        <v>0</v>
      </c>
      <c r="K74" s="43">
        <v>0</v>
      </c>
      <c r="L74" s="43">
        <v>0</v>
      </c>
      <c r="M74" s="43">
        <v>1</v>
      </c>
      <c r="N74" s="49">
        <v>1200</v>
      </c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/>
      <c r="IP74"/>
      <c r="IQ74"/>
      <c r="IR74"/>
      <c r="IS74"/>
      <c r="IT74"/>
      <c r="IU74"/>
      <c r="IV74"/>
    </row>
    <row r="75" ht="23.1" customHeight="1" spans="1:256">
      <c r="A75" s="41">
        <v>71</v>
      </c>
      <c r="B75" s="41" t="s">
        <v>914</v>
      </c>
      <c r="C75" s="41">
        <v>2704</v>
      </c>
      <c r="D75" s="43">
        <v>0</v>
      </c>
      <c r="E75" s="48">
        <v>1500</v>
      </c>
      <c r="F75" s="45">
        <v>0</v>
      </c>
      <c r="G75" s="43">
        <v>0</v>
      </c>
      <c r="H75" s="43">
        <v>0</v>
      </c>
      <c r="I75" s="43">
        <v>0</v>
      </c>
      <c r="J75" s="43">
        <v>0</v>
      </c>
      <c r="K75" s="43">
        <v>0</v>
      </c>
      <c r="L75" s="43">
        <v>0</v>
      </c>
      <c r="M75" s="43">
        <v>1</v>
      </c>
      <c r="N75" s="48">
        <v>1500</v>
      </c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/>
      <c r="IP75"/>
      <c r="IQ75"/>
      <c r="IR75"/>
      <c r="IS75"/>
      <c r="IT75"/>
      <c r="IU75"/>
      <c r="IV75"/>
    </row>
    <row r="76" ht="23.1" customHeight="1" spans="1:256">
      <c r="A76" s="41">
        <v>72</v>
      </c>
      <c r="B76" s="41" t="s">
        <v>915</v>
      </c>
      <c r="C76" s="41">
        <v>2705</v>
      </c>
      <c r="D76" s="43">
        <v>0</v>
      </c>
      <c r="E76" s="48">
        <v>1800</v>
      </c>
      <c r="F76" s="45">
        <v>0</v>
      </c>
      <c r="G76" s="43">
        <v>0</v>
      </c>
      <c r="H76" s="43">
        <v>0</v>
      </c>
      <c r="I76" s="43">
        <v>0</v>
      </c>
      <c r="J76" s="43">
        <v>0</v>
      </c>
      <c r="K76" s="43">
        <v>0</v>
      </c>
      <c r="L76" s="43">
        <v>0</v>
      </c>
      <c r="M76" s="43">
        <v>1</v>
      </c>
      <c r="N76" s="48">
        <v>1800</v>
      </c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  <c r="IC76"/>
      <c r="ID76"/>
      <c r="IE76"/>
      <c r="IF76"/>
      <c r="IG76"/>
      <c r="IH76"/>
      <c r="II76"/>
      <c r="IJ76"/>
      <c r="IK76"/>
      <c r="IL76"/>
      <c r="IM76"/>
      <c r="IN76"/>
      <c r="IO76"/>
      <c r="IP76"/>
      <c r="IQ76"/>
      <c r="IR76"/>
      <c r="IS76"/>
      <c r="IT76"/>
      <c r="IU76"/>
      <c r="IV76"/>
    </row>
    <row r="77" ht="23.1" customHeight="1" spans="1:256">
      <c r="A77" s="41">
        <v>73</v>
      </c>
      <c r="B77" s="47" t="s">
        <v>916</v>
      </c>
      <c r="C77" s="41">
        <v>2801</v>
      </c>
      <c r="D77" s="43">
        <v>0</v>
      </c>
      <c r="E77" s="49">
        <v>2800</v>
      </c>
      <c r="F77" s="45">
        <v>0</v>
      </c>
      <c r="G77" s="43">
        <v>0</v>
      </c>
      <c r="H77" s="43">
        <v>0</v>
      </c>
      <c r="I77" s="43">
        <v>0</v>
      </c>
      <c r="J77" s="43">
        <v>0</v>
      </c>
      <c r="K77" s="43">
        <v>0</v>
      </c>
      <c r="L77" s="43">
        <v>0</v>
      </c>
      <c r="M77" s="43">
        <v>0.2</v>
      </c>
      <c r="N77" s="49">
        <v>2800</v>
      </c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  <c r="IP77"/>
      <c r="IQ77"/>
      <c r="IR77"/>
      <c r="IS77"/>
      <c r="IT77"/>
      <c r="IU77"/>
      <c r="IV77"/>
    </row>
    <row r="78" ht="23.1" customHeight="1" spans="1:256">
      <c r="A78" s="41">
        <v>74</v>
      </c>
      <c r="B78" s="47" t="s">
        <v>917</v>
      </c>
      <c r="C78" s="41">
        <v>2802</v>
      </c>
      <c r="D78" s="43">
        <v>0</v>
      </c>
      <c r="E78" s="49">
        <v>2800</v>
      </c>
      <c r="F78" s="45">
        <v>0</v>
      </c>
      <c r="G78" s="43">
        <v>0</v>
      </c>
      <c r="H78" s="43">
        <v>0</v>
      </c>
      <c r="I78" s="43">
        <v>0</v>
      </c>
      <c r="J78" s="43">
        <v>0</v>
      </c>
      <c r="K78" s="43">
        <v>0</v>
      </c>
      <c r="L78" s="43">
        <v>0</v>
      </c>
      <c r="M78" s="43">
        <v>0.2</v>
      </c>
      <c r="N78" s="49">
        <v>2800</v>
      </c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/>
      <c r="IP78"/>
      <c r="IQ78"/>
      <c r="IR78"/>
      <c r="IS78"/>
      <c r="IT78"/>
      <c r="IU78"/>
      <c r="IV78"/>
    </row>
    <row r="79" ht="23.1" customHeight="1" spans="1:256">
      <c r="A79" s="41">
        <v>75</v>
      </c>
      <c r="B79" s="47" t="s">
        <v>918</v>
      </c>
      <c r="C79" s="41">
        <v>2803</v>
      </c>
      <c r="D79" s="43">
        <v>0</v>
      </c>
      <c r="E79" s="49">
        <v>2800</v>
      </c>
      <c r="F79" s="45">
        <v>0</v>
      </c>
      <c r="G79" s="43">
        <v>0</v>
      </c>
      <c r="H79" s="43">
        <v>0</v>
      </c>
      <c r="I79" s="43">
        <v>0</v>
      </c>
      <c r="J79" s="43">
        <v>0</v>
      </c>
      <c r="K79" s="43">
        <v>0</v>
      </c>
      <c r="L79" s="43">
        <v>0</v>
      </c>
      <c r="M79" s="43">
        <v>0.2</v>
      </c>
      <c r="N79" s="49">
        <v>2800</v>
      </c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  <c r="IM79"/>
      <c r="IN79"/>
      <c r="IO79"/>
      <c r="IP79"/>
      <c r="IQ79"/>
      <c r="IR79"/>
      <c r="IS79"/>
      <c r="IT79"/>
      <c r="IU79"/>
      <c r="IV79"/>
    </row>
    <row r="80" ht="23.1" customHeight="1" spans="1:256">
      <c r="A80" s="41">
        <v>76</v>
      </c>
      <c r="B80" s="47" t="s">
        <v>919</v>
      </c>
      <c r="C80" s="41">
        <v>2804</v>
      </c>
      <c r="D80" s="43">
        <v>0</v>
      </c>
      <c r="E80" s="48">
        <v>3500</v>
      </c>
      <c r="F80" s="45">
        <v>0</v>
      </c>
      <c r="G80" s="43">
        <v>0</v>
      </c>
      <c r="H80" s="43">
        <v>0</v>
      </c>
      <c r="I80" s="43">
        <v>0</v>
      </c>
      <c r="J80" s="43">
        <v>0</v>
      </c>
      <c r="K80" s="43">
        <v>0</v>
      </c>
      <c r="L80" s="43">
        <v>0</v>
      </c>
      <c r="M80" s="43">
        <v>0.2</v>
      </c>
      <c r="N80" s="48">
        <v>3500</v>
      </c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  <c r="IV80"/>
    </row>
    <row r="81" ht="23.1" customHeight="1" spans="1:256">
      <c r="A81" s="41">
        <v>77</v>
      </c>
      <c r="B81" s="47" t="s">
        <v>920</v>
      </c>
      <c r="C81" s="41">
        <v>2805</v>
      </c>
      <c r="D81" s="43">
        <v>0</v>
      </c>
      <c r="E81" s="48">
        <v>4200</v>
      </c>
      <c r="F81" s="45">
        <v>0</v>
      </c>
      <c r="G81" s="43">
        <v>0</v>
      </c>
      <c r="H81" s="43">
        <v>0</v>
      </c>
      <c r="I81" s="43">
        <v>0</v>
      </c>
      <c r="J81" s="43">
        <v>0</v>
      </c>
      <c r="K81" s="43">
        <v>0</v>
      </c>
      <c r="L81" s="43">
        <v>0</v>
      </c>
      <c r="M81" s="43">
        <v>0.2</v>
      </c>
      <c r="N81" s="48">
        <v>4200</v>
      </c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  <c r="IC81"/>
      <c r="ID81"/>
      <c r="IE81"/>
      <c r="IF81"/>
      <c r="IG81"/>
      <c r="IH81"/>
      <c r="II81"/>
      <c r="IJ81"/>
      <c r="IK81"/>
      <c r="IL81"/>
      <c r="IM81"/>
      <c r="IN81"/>
      <c r="IO81"/>
      <c r="IP81"/>
      <c r="IQ81"/>
      <c r="IR81"/>
      <c r="IS81"/>
      <c r="IT81"/>
      <c r="IU81"/>
      <c r="IV81"/>
    </row>
    <row r="82" customHeight="1" spans="1:14">
      <c r="A82" s="41">
        <v>78</v>
      </c>
      <c r="B82" s="47" t="s">
        <v>539</v>
      </c>
      <c r="C82" s="41">
        <v>2901</v>
      </c>
      <c r="D82" s="43">
        <v>0</v>
      </c>
      <c r="E82" s="48">
        <v>90</v>
      </c>
      <c r="F82" s="45">
        <v>0</v>
      </c>
      <c r="G82" s="43">
        <v>0</v>
      </c>
      <c r="H82" s="43">
        <v>0</v>
      </c>
      <c r="I82" s="43">
        <v>0</v>
      </c>
      <c r="J82" s="43">
        <v>0</v>
      </c>
      <c r="K82" s="43">
        <v>0</v>
      </c>
      <c r="L82" s="43">
        <v>0</v>
      </c>
      <c r="M82" s="43">
        <v>1</v>
      </c>
      <c r="N82" s="48">
        <v>90</v>
      </c>
    </row>
    <row r="83" customHeight="1" spans="1:256">
      <c r="A83" s="41">
        <v>79</v>
      </c>
      <c r="B83" s="47" t="s">
        <v>547</v>
      </c>
      <c r="C83" s="41">
        <v>3001</v>
      </c>
      <c r="D83" s="43">
        <v>0</v>
      </c>
      <c r="E83" s="48">
        <v>120</v>
      </c>
      <c r="F83" s="45">
        <v>0</v>
      </c>
      <c r="G83" s="43">
        <v>0</v>
      </c>
      <c r="H83" s="43">
        <v>0</v>
      </c>
      <c r="I83" s="43">
        <v>0</v>
      </c>
      <c r="J83" s="43">
        <v>0</v>
      </c>
      <c r="K83" s="43">
        <v>0</v>
      </c>
      <c r="L83" s="43">
        <v>0</v>
      </c>
      <c r="M83" s="43">
        <v>1</v>
      </c>
      <c r="N83" s="48">
        <v>120</v>
      </c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/>
      <c r="HU83"/>
      <c r="HV83"/>
      <c r="HW83"/>
      <c r="HX83"/>
      <c r="HY83"/>
      <c r="HZ83"/>
      <c r="IA83"/>
      <c r="IB83"/>
      <c r="IC83"/>
      <c r="ID83"/>
      <c r="IE83"/>
      <c r="IF83"/>
      <c r="IG83"/>
      <c r="IH83"/>
      <c r="II83"/>
      <c r="IJ83"/>
      <c r="IK83"/>
      <c r="IL83"/>
      <c r="IM83"/>
      <c r="IN83"/>
      <c r="IO83"/>
      <c r="IP83"/>
      <c r="IQ83"/>
      <c r="IR83"/>
      <c r="IS83"/>
      <c r="IT83"/>
      <c r="IU83"/>
      <c r="IV83"/>
    </row>
    <row r="84" customHeight="1" spans="1:256">
      <c r="A84" s="41">
        <v>80</v>
      </c>
      <c r="B84" s="47" t="s">
        <v>921</v>
      </c>
      <c r="C84" s="41">
        <v>3101</v>
      </c>
      <c r="D84" s="43">
        <v>0</v>
      </c>
      <c r="E84" s="48">
        <v>200</v>
      </c>
      <c r="F84" s="45">
        <v>0</v>
      </c>
      <c r="G84" s="43">
        <v>0</v>
      </c>
      <c r="H84" s="43">
        <v>0</v>
      </c>
      <c r="I84" s="43">
        <v>0</v>
      </c>
      <c r="J84" s="43">
        <v>0</v>
      </c>
      <c r="K84" s="43">
        <v>0</v>
      </c>
      <c r="L84" s="43">
        <v>0</v>
      </c>
      <c r="M84" s="43">
        <v>1</v>
      </c>
      <c r="N84" s="48">
        <v>200</v>
      </c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  <c r="IM84"/>
      <c r="IN84"/>
      <c r="IO84"/>
      <c r="IP84"/>
      <c r="IQ84"/>
      <c r="IR84"/>
      <c r="IS84"/>
      <c r="IT84"/>
      <c r="IU84"/>
      <c r="IV84"/>
    </row>
    <row r="85" customHeight="1" spans="1:256">
      <c r="A85" s="41">
        <v>81</v>
      </c>
      <c r="B85" s="47" t="s">
        <v>589</v>
      </c>
      <c r="C85" s="41">
        <v>3201</v>
      </c>
      <c r="D85" s="43">
        <v>0</v>
      </c>
      <c r="E85" s="48">
        <v>198</v>
      </c>
      <c r="F85" s="45">
        <v>0</v>
      </c>
      <c r="G85" s="43">
        <v>0</v>
      </c>
      <c r="H85" s="43">
        <v>0</v>
      </c>
      <c r="I85" s="43">
        <v>0</v>
      </c>
      <c r="J85" s="43">
        <v>0</v>
      </c>
      <c r="K85" s="43">
        <v>0</v>
      </c>
      <c r="L85" s="43">
        <v>0</v>
      </c>
      <c r="M85" s="43">
        <v>1</v>
      </c>
      <c r="N85" s="48">
        <v>60</v>
      </c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  <c r="IM85"/>
      <c r="IN85"/>
      <c r="IO85"/>
      <c r="IP85"/>
      <c r="IQ85"/>
      <c r="IR85"/>
      <c r="IS85"/>
      <c r="IT85"/>
      <c r="IU85"/>
      <c r="IV85"/>
    </row>
    <row r="86" customHeight="1" spans="1:256">
      <c r="A86" s="41">
        <v>82</v>
      </c>
      <c r="B86" s="47" t="s">
        <v>591</v>
      </c>
      <c r="C86" s="41">
        <v>3301</v>
      </c>
      <c r="D86" s="43">
        <v>0</v>
      </c>
      <c r="E86" s="48">
        <v>504</v>
      </c>
      <c r="F86" s="45">
        <v>0</v>
      </c>
      <c r="G86" s="43">
        <v>0</v>
      </c>
      <c r="H86" s="43">
        <v>0</v>
      </c>
      <c r="I86" s="43">
        <v>0</v>
      </c>
      <c r="J86" s="43">
        <v>0</v>
      </c>
      <c r="K86" s="43">
        <v>0</v>
      </c>
      <c r="L86" s="43">
        <v>0</v>
      </c>
      <c r="M86" s="43">
        <v>1</v>
      </c>
      <c r="N86" s="48">
        <v>160</v>
      </c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</row>
    <row r="87" customHeight="1" spans="1:256">
      <c r="A87" s="41">
        <v>83</v>
      </c>
      <c r="B87" s="47" t="s">
        <v>593</v>
      </c>
      <c r="C87" s="41">
        <v>3401</v>
      </c>
      <c r="D87" s="43">
        <v>0</v>
      </c>
      <c r="E87" s="48">
        <v>315</v>
      </c>
      <c r="F87" s="45">
        <v>0</v>
      </c>
      <c r="G87" s="43">
        <v>0</v>
      </c>
      <c r="H87" s="43">
        <v>0</v>
      </c>
      <c r="I87" s="43">
        <v>0</v>
      </c>
      <c r="J87" s="43">
        <v>0</v>
      </c>
      <c r="K87" s="43">
        <v>0</v>
      </c>
      <c r="L87" s="43">
        <v>0</v>
      </c>
      <c r="M87" s="43">
        <v>1</v>
      </c>
      <c r="N87" s="48">
        <v>100</v>
      </c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/>
      <c r="IP87"/>
      <c r="IQ87"/>
      <c r="IR87"/>
      <c r="IS87"/>
      <c r="IT87"/>
      <c r="IU87"/>
      <c r="IV87"/>
    </row>
  </sheetData>
  <pageMargins left="0.75" right="0.75" top="1" bottom="1" header="0.5" footer="0.5"/>
  <pageSetup paperSize="1" orientation="portrait"/>
  <headerFooter>
    <oddFooter>&amp;L&amp;"Helvetica,Regular"&amp;12&amp;K000000	&amp;P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M22"/>
  <sheetViews>
    <sheetView topLeftCell="A4" workbookViewId="0">
      <selection activeCell="I12" sqref="I12"/>
    </sheetView>
  </sheetViews>
  <sheetFormatPr defaultColWidth="11.0986842105263" defaultRowHeight="15.2"/>
  <cols>
    <col min="1" max="16384" width="11.0986842105263" style="37"/>
  </cols>
  <sheetData>
    <row r="1" ht="23.1" customHeight="1" spans="1:13">
      <c r="A1" s="38" t="s">
        <v>922</v>
      </c>
      <c r="B1" s="38" t="s">
        <v>923</v>
      </c>
      <c r="C1" s="38" t="s">
        <v>924</v>
      </c>
      <c r="D1" s="38" t="s">
        <v>923</v>
      </c>
      <c r="E1" s="38" t="s">
        <v>924</v>
      </c>
      <c r="F1" s="38" t="s">
        <v>923</v>
      </c>
      <c r="G1" s="38" t="s">
        <v>924</v>
      </c>
      <c r="H1" s="38" t="s">
        <v>923</v>
      </c>
      <c r="I1" s="38" t="s">
        <v>924</v>
      </c>
      <c r="J1" s="38" t="s">
        <v>923</v>
      </c>
      <c r="K1" s="38" t="s">
        <v>924</v>
      </c>
      <c r="L1" s="38" t="s">
        <v>923</v>
      </c>
      <c r="M1" s="38" t="s">
        <v>924</v>
      </c>
    </row>
    <row r="2" ht="23.1" customHeight="1" spans="1:13">
      <c r="A2" s="38" t="s">
        <v>889</v>
      </c>
      <c r="B2" s="38" t="s">
        <v>925</v>
      </c>
      <c r="C2" s="38" t="s">
        <v>689</v>
      </c>
      <c r="D2" s="38" t="s">
        <v>925</v>
      </c>
      <c r="E2" s="38" t="s">
        <v>689</v>
      </c>
      <c r="F2" s="38" t="s">
        <v>925</v>
      </c>
      <c r="G2" s="38" t="s">
        <v>689</v>
      </c>
      <c r="H2" s="38" t="s">
        <v>925</v>
      </c>
      <c r="I2" s="38" t="s">
        <v>689</v>
      </c>
      <c r="J2" s="38" t="s">
        <v>925</v>
      </c>
      <c r="K2" s="38" t="s">
        <v>689</v>
      </c>
      <c r="L2" s="38" t="s">
        <v>925</v>
      </c>
      <c r="M2" s="38" t="s">
        <v>689</v>
      </c>
    </row>
    <row r="3" ht="23.1" customHeight="1" spans="1:13">
      <c r="A3" s="38" t="s">
        <v>15</v>
      </c>
      <c r="B3" s="38" t="s">
        <v>173</v>
      </c>
      <c r="C3" s="38" t="s">
        <v>15</v>
      </c>
      <c r="D3" s="38" t="s">
        <v>173</v>
      </c>
      <c r="E3" s="38" t="s">
        <v>15</v>
      </c>
      <c r="F3" s="38" t="s">
        <v>15</v>
      </c>
      <c r="G3" s="38" t="s">
        <v>173</v>
      </c>
      <c r="H3" s="39"/>
      <c r="I3" s="39"/>
      <c r="J3" s="39"/>
      <c r="K3" s="39"/>
      <c r="L3" s="39"/>
      <c r="M3" s="39"/>
    </row>
    <row r="4" ht="23.1" customHeight="1" spans="1:13">
      <c r="A4" s="38">
        <v>2401</v>
      </c>
      <c r="B4" s="38" t="s">
        <v>926</v>
      </c>
      <c r="C4" s="38">
        <v>1600</v>
      </c>
      <c r="D4" s="38" t="s">
        <v>927</v>
      </c>
      <c r="E4" s="38">
        <v>6400</v>
      </c>
      <c r="F4" s="38" t="s">
        <v>928</v>
      </c>
      <c r="G4" s="38">
        <v>2000</v>
      </c>
      <c r="H4" s="39"/>
      <c r="I4" s="39"/>
      <c r="J4" s="39"/>
      <c r="K4" s="39"/>
      <c r="L4" s="39"/>
      <c r="M4" s="39"/>
    </row>
    <row r="5" ht="23.1" customHeight="1" spans="1:13">
      <c r="A5" s="38">
        <v>2402</v>
      </c>
      <c r="B5" s="38" t="s">
        <v>926</v>
      </c>
      <c r="C5" s="38">
        <v>1600</v>
      </c>
      <c r="D5" s="38" t="s">
        <v>927</v>
      </c>
      <c r="E5" s="38">
        <v>6400</v>
      </c>
      <c r="F5" s="38" t="s">
        <v>928</v>
      </c>
      <c r="G5" s="38">
        <v>2000</v>
      </c>
      <c r="H5" s="38"/>
      <c r="I5" s="38"/>
      <c r="J5" s="38"/>
      <c r="K5" s="38"/>
      <c r="L5" s="38"/>
      <c r="M5" s="38"/>
    </row>
    <row r="6" ht="23.1" customHeight="1" spans="1:13">
      <c r="A6" s="38">
        <v>2403</v>
      </c>
      <c r="B6" s="38" t="s">
        <v>926</v>
      </c>
      <c r="C6" s="38">
        <v>1600</v>
      </c>
      <c r="D6" s="38" t="s">
        <v>927</v>
      </c>
      <c r="E6" s="38">
        <v>6400</v>
      </c>
      <c r="F6" s="38" t="s">
        <v>928</v>
      </c>
      <c r="G6" s="38">
        <v>2000</v>
      </c>
      <c r="H6" s="38"/>
      <c r="I6" s="38"/>
      <c r="J6" s="38"/>
      <c r="K6" s="38"/>
      <c r="L6" s="38"/>
      <c r="M6" s="38"/>
    </row>
    <row r="7" ht="23.1" customHeight="1" spans="1:13">
      <c r="A7" s="38">
        <v>2404</v>
      </c>
      <c r="B7" s="38" t="s">
        <v>926</v>
      </c>
      <c r="C7" s="38">
        <v>1600</v>
      </c>
      <c r="D7" s="38" t="s">
        <v>927</v>
      </c>
      <c r="E7" s="38">
        <v>6400</v>
      </c>
      <c r="F7" s="38" t="s">
        <v>928</v>
      </c>
      <c r="G7" s="38">
        <v>2000</v>
      </c>
      <c r="H7" s="39"/>
      <c r="I7" s="39"/>
      <c r="J7" s="39"/>
      <c r="K7" s="39"/>
      <c r="L7" s="39"/>
      <c r="M7" s="39"/>
    </row>
    <row r="8" ht="23.1" customHeight="1" spans="1:13">
      <c r="A8" s="38">
        <v>2405</v>
      </c>
      <c r="B8" s="38" t="s">
        <v>926</v>
      </c>
      <c r="C8" s="38">
        <v>1600</v>
      </c>
      <c r="D8" s="38" t="s">
        <v>927</v>
      </c>
      <c r="E8" s="38">
        <v>6400</v>
      </c>
      <c r="F8" s="38" t="s">
        <v>928</v>
      </c>
      <c r="G8" s="38">
        <v>2000</v>
      </c>
      <c r="H8" s="39"/>
      <c r="I8" s="39"/>
      <c r="J8" s="39"/>
      <c r="K8" s="39"/>
      <c r="L8" s="39"/>
      <c r="M8" s="39"/>
    </row>
    <row r="9" ht="23.1" customHeight="1" spans="1:13">
      <c r="A9" s="38">
        <v>2406</v>
      </c>
      <c r="B9" s="38" t="s">
        <v>926</v>
      </c>
      <c r="C9" s="38">
        <v>1600</v>
      </c>
      <c r="D9" s="38" t="s">
        <v>927</v>
      </c>
      <c r="E9" s="38">
        <v>6400</v>
      </c>
      <c r="F9" s="38" t="s">
        <v>928</v>
      </c>
      <c r="G9" s="38">
        <v>2000</v>
      </c>
      <c r="H9" s="38"/>
      <c r="I9" s="38"/>
      <c r="J9" s="38"/>
      <c r="K9" s="38"/>
      <c r="L9" s="38"/>
      <c r="M9" s="38"/>
    </row>
    <row r="10" ht="23.1" customHeight="1" spans="1:13">
      <c r="A10" s="38">
        <v>2701</v>
      </c>
      <c r="B10" s="38" t="s">
        <v>929</v>
      </c>
      <c r="C10" s="38">
        <v>2700</v>
      </c>
      <c r="D10" s="38" t="s">
        <v>930</v>
      </c>
      <c r="E10" s="38">
        <v>2500</v>
      </c>
      <c r="F10" s="38" t="s">
        <v>931</v>
      </c>
      <c r="G10" s="38">
        <v>2400</v>
      </c>
      <c r="H10" s="38" t="s">
        <v>932</v>
      </c>
      <c r="I10" s="38">
        <v>1500</v>
      </c>
      <c r="J10" s="38" t="s">
        <v>933</v>
      </c>
      <c r="K10" s="38">
        <v>600</v>
      </c>
      <c r="L10" s="38" t="s">
        <v>934</v>
      </c>
      <c r="M10" s="38">
        <v>300</v>
      </c>
    </row>
    <row r="11" ht="23.1" customHeight="1" spans="1:13">
      <c r="A11" s="38">
        <v>2702</v>
      </c>
      <c r="B11" s="38" t="s">
        <v>929</v>
      </c>
      <c r="C11" s="38">
        <v>2700</v>
      </c>
      <c r="D11" s="38" t="s">
        <v>930</v>
      </c>
      <c r="E11" s="38">
        <v>2500</v>
      </c>
      <c r="F11" s="38" t="s">
        <v>931</v>
      </c>
      <c r="G11" s="38">
        <v>2400</v>
      </c>
      <c r="H11" s="38" t="s">
        <v>932</v>
      </c>
      <c r="I11" s="39">
        <v>1500</v>
      </c>
      <c r="J11" s="38" t="s">
        <v>933</v>
      </c>
      <c r="K11" s="39">
        <v>600</v>
      </c>
      <c r="L11" s="38" t="s">
        <v>934</v>
      </c>
      <c r="M11" s="39">
        <v>300</v>
      </c>
    </row>
    <row r="12" ht="23.1" customHeight="1" spans="1:13">
      <c r="A12" s="38">
        <v>2703</v>
      </c>
      <c r="B12" s="38" t="s">
        <v>929</v>
      </c>
      <c r="C12" s="38">
        <v>2700</v>
      </c>
      <c r="D12" s="38" t="s">
        <v>930</v>
      </c>
      <c r="E12" s="38">
        <v>2500</v>
      </c>
      <c r="F12" s="38" t="s">
        <v>931</v>
      </c>
      <c r="G12" s="38">
        <v>2400</v>
      </c>
      <c r="H12" s="38" t="s">
        <v>932</v>
      </c>
      <c r="I12" s="39">
        <v>1500</v>
      </c>
      <c r="J12" s="38" t="s">
        <v>933</v>
      </c>
      <c r="K12" s="39">
        <v>600</v>
      </c>
      <c r="L12" s="38" t="s">
        <v>934</v>
      </c>
      <c r="M12" s="39">
        <v>300</v>
      </c>
    </row>
    <row r="13" ht="23.1" customHeight="1" spans="1:13">
      <c r="A13" s="38">
        <v>2704</v>
      </c>
      <c r="B13" s="38" t="s">
        <v>929</v>
      </c>
      <c r="C13" s="38">
        <v>2700</v>
      </c>
      <c r="D13" s="38" t="s">
        <v>930</v>
      </c>
      <c r="E13" s="38">
        <v>2500</v>
      </c>
      <c r="F13" s="38" t="s">
        <v>931</v>
      </c>
      <c r="G13" s="38">
        <v>2400</v>
      </c>
      <c r="H13" s="38" t="s">
        <v>932</v>
      </c>
      <c r="I13" s="38">
        <v>1500</v>
      </c>
      <c r="J13" s="38" t="s">
        <v>933</v>
      </c>
      <c r="K13" s="38">
        <v>600</v>
      </c>
      <c r="L13" s="38" t="s">
        <v>934</v>
      </c>
      <c r="M13" s="38">
        <v>300</v>
      </c>
    </row>
    <row r="14" ht="23.1" customHeight="1" spans="1:13">
      <c r="A14" s="38">
        <v>2705</v>
      </c>
      <c r="B14" s="38" t="s">
        <v>929</v>
      </c>
      <c r="C14" s="38">
        <v>2700</v>
      </c>
      <c r="D14" s="38" t="s">
        <v>930</v>
      </c>
      <c r="E14" s="38">
        <v>2500</v>
      </c>
      <c r="F14" s="38" t="s">
        <v>931</v>
      </c>
      <c r="G14" s="38">
        <v>2400</v>
      </c>
      <c r="H14" s="38" t="s">
        <v>932</v>
      </c>
      <c r="I14" s="38">
        <v>1500</v>
      </c>
      <c r="J14" s="38" t="s">
        <v>933</v>
      </c>
      <c r="K14" s="38">
        <v>600</v>
      </c>
      <c r="L14" s="38" t="s">
        <v>934</v>
      </c>
      <c r="M14" s="38">
        <v>300</v>
      </c>
    </row>
    <row r="15" ht="23.1" customHeight="1" spans="1:13">
      <c r="A15" s="38">
        <v>2801</v>
      </c>
      <c r="B15" s="38" t="s">
        <v>935</v>
      </c>
      <c r="C15" s="38">
        <v>2500</v>
      </c>
      <c r="D15" s="38" t="s">
        <v>936</v>
      </c>
      <c r="E15" s="38">
        <v>3000</v>
      </c>
      <c r="F15" s="38" t="s">
        <v>937</v>
      </c>
      <c r="G15" s="38">
        <v>2500</v>
      </c>
      <c r="H15" s="39" t="s">
        <v>938</v>
      </c>
      <c r="I15" s="39">
        <v>1500</v>
      </c>
      <c r="J15" s="39" t="s">
        <v>939</v>
      </c>
      <c r="K15" s="39">
        <v>500</v>
      </c>
      <c r="L15" s="39"/>
      <c r="M15" s="39"/>
    </row>
    <row r="16" ht="23.1" customHeight="1" spans="1:13">
      <c r="A16" s="38">
        <v>2802</v>
      </c>
      <c r="B16" s="38" t="s">
        <v>935</v>
      </c>
      <c r="C16" s="38">
        <v>2500</v>
      </c>
      <c r="D16" s="38" t="s">
        <v>936</v>
      </c>
      <c r="E16" s="38">
        <v>3000</v>
      </c>
      <c r="F16" s="38" t="s">
        <v>937</v>
      </c>
      <c r="G16" s="38">
        <v>2500</v>
      </c>
      <c r="H16" s="39" t="s">
        <v>938</v>
      </c>
      <c r="I16" s="39">
        <v>1500</v>
      </c>
      <c r="J16" s="39" t="s">
        <v>939</v>
      </c>
      <c r="K16" s="39">
        <v>500</v>
      </c>
      <c r="L16" s="39"/>
      <c r="M16" s="39"/>
    </row>
    <row r="17" ht="23.1" customHeight="1" spans="1:13">
      <c r="A17" s="38">
        <v>2803</v>
      </c>
      <c r="B17" s="38" t="s">
        <v>935</v>
      </c>
      <c r="C17" s="38">
        <v>2500</v>
      </c>
      <c r="D17" s="38" t="s">
        <v>936</v>
      </c>
      <c r="E17" s="38">
        <v>3000</v>
      </c>
      <c r="F17" s="38" t="s">
        <v>937</v>
      </c>
      <c r="G17" s="38">
        <v>2500</v>
      </c>
      <c r="H17" s="39" t="s">
        <v>938</v>
      </c>
      <c r="I17" s="39">
        <v>1500</v>
      </c>
      <c r="J17" s="39" t="s">
        <v>939</v>
      </c>
      <c r="K17" s="39">
        <v>500</v>
      </c>
      <c r="L17" s="39"/>
      <c r="M17" s="39"/>
    </row>
    <row r="18" ht="23.1" customHeight="1" spans="1:13">
      <c r="A18" s="38">
        <v>2804</v>
      </c>
      <c r="B18" s="38" t="s">
        <v>935</v>
      </c>
      <c r="C18" s="38">
        <v>2500</v>
      </c>
      <c r="D18" s="38" t="s">
        <v>936</v>
      </c>
      <c r="E18" s="38">
        <v>3000</v>
      </c>
      <c r="F18" s="38" t="s">
        <v>937</v>
      </c>
      <c r="G18" s="38">
        <v>2500</v>
      </c>
      <c r="H18" s="39" t="s">
        <v>938</v>
      </c>
      <c r="I18" s="39">
        <v>1500</v>
      </c>
      <c r="J18" s="39" t="s">
        <v>939</v>
      </c>
      <c r="K18" s="39">
        <v>500</v>
      </c>
      <c r="L18" s="39"/>
      <c r="M18" s="39"/>
    </row>
    <row r="19" ht="23.1" customHeight="1" spans="1:13">
      <c r="A19" s="38">
        <v>2805</v>
      </c>
      <c r="B19" s="38" t="s">
        <v>935</v>
      </c>
      <c r="C19" s="38">
        <v>2500</v>
      </c>
      <c r="D19" s="38" t="s">
        <v>936</v>
      </c>
      <c r="E19" s="38">
        <v>3000</v>
      </c>
      <c r="F19" s="38" t="s">
        <v>937</v>
      </c>
      <c r="G19" s="38">
        <v>2500</v>
      </c>
      <c r="H19" s="39" t="s">
        <v>938</v>
      </c>
      <c r="I19" s="39">
        <v>1500</v>
      </c>
      <c r="J19" s="39" t="s">
        <v>939</v>
      </c>
      <c r="K19" s="39">
        <v>500</v>
      </c>
      <c r="L19" s="39"/>
      <c r="M19" s="39"/>
    </row>
    <row r="20" ht="16" spans="1:13">
      <c r="A20" s="38">
        <v>3201</v>
      </c>
      <c r="B20" s="38" t="s">
        <v>940</v>
      </c>
      <c r="C20" s="38">
        <v>1000</v>
      </c>
      <c r="D20" s="38" t="s">
        <v>941</v>
      </c>
      <c r="E20" s="38">
        <v>6000</v>
      </c>
      <c r="F20" s="38" t="s">
        <v>942</v>
      </c>
      <c r="G20" s="38">
        <v>2000</v>
      </c>
      <c r="H20" s="39" t="s">
        <v>939</v>
      </c>
      <c r="I20" s="39">
        <v>500</v>
      </c>
      <c r="J20" s="39" t="s">
        <v>943</v>
      </c>
      <c r="K20" s="39">
        <v>500</v>
      </c>
      <c r="L20" s="39"/>
      <c r="M20" s="39"/>
    </row>
    <row r="21" ht="16" spans="1:13">
      <c r="A21" s="38">
        <v>3301</v>
      </c>
      <c r="B21" s="38" t="s">
        <v>940</v>
      </c>
      <c r="C21" s="38">
        <v>1000</v>
      </c>
      <c r="D21" s="38" t="s">
        <v>941</v>
      </c>
      <c r="E21" s="38">
        <v>6000</v>
      </c>
      <c r="F21" s="38" t="s">
        <v>942</v>
      </c>
      <c r="G21" s="38">
        <v>2000</v>
      </c>
      <c r="H21" s="39" t="s">
        <v>939</v>
      </c>
      <c r="I21" s="39">
        <v>500</v>
      </c>
      <c r="J21" s="39" t="s">
        <v>943</v>
      </c>
      <c r="K21" s="39">
        <v>500</v>
      </c>
      <c r="L21" s="39"/>
      <c r="M21" s="39"/>
    </row>
    <row r="22" ht="16" spans="1:13">
      <c r="A22" s="38">
        <v>3401</v>
      </c>
      <c r="B22" s="38" t="s">
        <v>940</v>
      </c>
      <c r="C22" s="38">
        <v>1000</v>
      </c>
      <c r="D22" s="38" t="s">
        <v>941</v>
      </c>
      <c r="E22" s="38">
        <v>6000</v>
      </c>
      <c r="F22" s="38" t="s">
        <v>942</v>
      </c>
      <c r="G22" s="38">
        <v>2000</v>
      </c>
      <c r="H22" s="39" t="s">
        <v>939</v>
      </c>
      <c r="I22" s="39">
        <v>500</v>
      </c>
      <c r="J22" s="39" t="s">
        <v>943</v>
      </c>
      <c r="K22" s="39">
        <v>500</v>
      </c>
      <c r="L22" s="39"/>
      <c r="M22" s="39"/>
    </row>
  </sheetData>
  <pageMargins left="0.75" right="0.75" top="1" bottom="1" header="0.5" footer="0.5"/>
  <pageSetup paperSize="9" orientation="portrait"/>
  <headerFooter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H8"/>
  <sheetViews>
    <sheetView workbookViewId="0">
      <selection activeCell="D11" sqref="D11"/>
    </sheetView>
  </sheetViews>
  <sheetFormatPr defaultColWidth="8.90131578947368" defaultRowHeight="15.2" outlineLevelRow="7" outlineLevelCol="7"/>
  <cols>
    <col min="1" max="1" width="8.59868421052632" customWidth="1"/>
    <col min="2" max="2" width="14.0986842105263" customWidth="1"/>
    <col min="3" max="3" width="12.4013157894737" customWidth="1"/>
    <col min="6" max="6" width="9.69736842105263" customWidth="1"/>
    <col min="7" max="7" width="9.59868421052632" customWidth="1"/>
    <col min="8" max="8" width="7.09868421052632" customWidth="1"/>
  </cols>
  <sheetData>
    <row r="1" ht="16" spans="1:8">
      <c r="A1" s="34" t="s">
        <v>944</v>
      </c>
      <c r="B1" s="34" t="s">
        <v>945</v>
      </c>
      <c r="C1" s="34" t="s">
        <v>946</v>
      </c>
      <c r="E1" s="34" t="s">
        <v>1</v>
      </c>
      <c r="F1" s="34" t="s">
        <v>947</v>
      </c>
      <c r="G1" s="34" t="s">
        <v>948</v>
      </c>
      <c r="H1" s="34" t="s">
        <v>808</v>
      </c>
    </row>
    <row r="2" ht="16" spans="1:8">
      <c r="A2" s="34" t="s">
        <v>15</v>
      </c>
      <c r="B2" s="34" t="s">
        <v>14</v>
      </c>
      <c r="C2" s="34" t="s">
        <v>15</v>
      </c>
      <c r="E2" s="34" t="s">
        <v>15</v>
      </c>
      <c r="F2" s="34" t="s">
        <v>173</v>
      </c>
      <c r="G2" s="34" t="s">
        <v>173</v>
      </c>
      <c r="H2" s="34" t="s">
        <v>15</v>
      </c>
    </row>
    <row r="3" spans="1:8">
      <c r="A3" s="35" t="s">
        <v>138</v>
      </c>
      <c r="B3" s="35" t="s">
        <v>949</v>
      </c>
      <c r="C3" s="35" t="s">
        <v>950</v>
      </c>
      <c r="E3" s="35" t="s">
        <v>951</v>
      </c>
      <c r="F3" s="35" t="s">
        <v>952</v>
      </c>
      <c r="G3" s="35" t="s">
        <v>953</v>
      </c>
      <c r="H3" s="35" t="s">
        <v>830</v>
      </c>
    </row>
    <row r="4" spans="1:8">
      <c r="A4" s="35">
        <v>71203</v>
      </c>
      <c r="B4" s="35" t="s">
        <v>954</v>
      </c>
      <c r="C4" s="35">
        <v>90</v>
      </c>
      <c r="E4" s="35">
        <v>1</v>
      </c>
      <c r="F4" s="35">
        <v>0.4</v>
      </c>
      <c r="G4" s="35">
        <v>0.7</v>
      </c>
      <c r="H4" s="35">
        <v>10</v>
      </c>
    </row>
    <row r="5" spans="1:8">
      <c r="A5" s="35">
        <v>74207</v>
      </c>
      <c r="B5" s="35" t="s">
        <v>954</v>
      </c>
      <c r="C5" s="35">
        <v>120</v>
      </c>
      <c r="E5" s="35">
        <v>2</v>
      </c>
      <c r="F5" s="35">
        <v>0.75</v>
      </c>
      <c r="G5" s="35">
        <v>0.95</v>
      </c>
      <c r="H5" s="35">
        <v>60</v>
      </c>
    </row>
    <row r="6" spans="1:8">
      <c r="A6" s="35">
        <v>75208</v>
      </c>
      <c r="B6" s="35" t="s">
        <v>954</v>
      </c>
      <c r="C6" s="35">
        <v>200</v>
      </c>
      <c r="E6" s="35">
        <v>3</v>
      </c>
      <c r="F6" s="35">
        <v>0.85</v>
      </c>
      <c r="G6" s="35">
        <v>1.5</v>
      </c>
      <c r="H6" s="35">
        <v>20</v>
      </c>
    </row>
    <row r="7" spans="1:8">
      <c r="A7" s="36"/>
      <c r="B7" s="36"/>
      <c r="E7" s="35">
        <v>4</v>
      </c>
      <c r="F7" s="35">
        <v>1.5</v>
      </c>
      <c r="G7" s="35">
        <v>2</v>
      </c>
      <c r="H7" s="35">
        <v>5</v>
      </c>
    </row>
    <row r="8" spans="1:8">
      <c r="A8" s="36"/>
      <c r="B8" s="36"/>
      <c r="E8" s="35">
        <v>5</v>
      </c>
      <c r="F8" s="35">
        <v>2</v>
      </c>
      <c r="G8" s="35">
        <v>2.5</v>
      </c>
      <c r="H8" s="35">
        <v>5</v>
      </c>
    </row>
  </sheetData>
  <pageMargins left="0.75" right="0.75" top="1" bottom="1" header="0.511805555555556" footer="0.511805555555556"/>
  <headerFooter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AQ8"/>
  <sheetViews>
    <sheetView topLeftCell="AK1" workbookViewId="0">
      <selection activeCell="AP5" sqref="AP5"/>
    </sheetView>
  </sheetViews>
  <sheetFormatPr defaultColWidth="8.90131578947368" defaultRowHeight="15.2" outlineLevelRow="7"/>
  <cols>
    <col min="42" max="42" width="67.1973684210526" customWidth="1"/>
    <col min="43" max="43" width="52.6973684210526" customWidth="1"/>
  </cols>
  <sheetData>
    <row r="1" ht="31" spans="1:43">
      <c r="A1" s="13" t="s">
        <v>955</v>
      </c>
      <c r="B1" s="14"/>
      <c r="C1" s="15" t="s">
        <v>10</v>
      </c>
      <c r="D1" s="15" t="s">
        <v>956</v>
      </c>
      <c r="E1" s="24"/>
      <c r="F1" s="15" t="s">
        <v>10</v>
      </c>
      <c r="G1" s="15" t="s">
        <v>957</v>
      </c>
      <c r="H1" s="15" t="s">
        <v>958</v>
      </c>
      <c r="I1" s="15" t="s">
        <v>857</v>
      </c>
      <c r="J1" s="15" t="s">
        <v>959</v>
      </c>
      <c r="K1" s="15" t="s">
        <v>958</v>
      </c>
      <c r="L1" s="15" t="s">
        <v>857</v>
      </c>
      <c r="M1" s="15" t="s">
        <v>959</v>
      </c>
      <c r="N1" s="15" t="s">
        <v>958</v>
      </c>
      <c r="O1" s="15" t="s">
        <v>857</v>
      </c>
      <c r="P1" s="15" t="s">
        <v>959</v>
      </c>
      <c r="Q1" s="15" t="s">
        <v>958</v>
      </c>
      <c r="R1" s="15" t="s">
        <v>857</v>
      </c>
      <c r="S1" s="15" t="s">
        <v>959</v>
      </c>
      <c r="T1" s="15" t="s">
        <v>958</v>
      </c>
      <c r="U1" s="15" t="s">
        <v>857</v>
      </c>
      <c r="V1" s="15" t="s">
        <v>959</v>
      </c>
      <c r="W1" s="15" t="s">
        <v>958</v>
      </c>
      <c r="X1" s="15" t="s">
        <v>857</v>
      </c>
      <c r="Y1" s="15" t="s">
        <v>959</v>
      </c>
      <c r="Z1" s="15" t="s">
        <v>958</v>
      </c>
      <c r="AA1" s="15" t="s">
        <v>857</v>
      </c>
      <c r="AB1" s="15" t="s">
        <v>959</v>
      </c>
      <c r="AC1" s="15" t="s">
        <v>958</v>
      </c>
      <c r="AD1" s="15" t="s">
        <v>857</v>
      </c>
      <c r="AE1" s="15" t="s">
        <v>959</v>
      </c>
      <c r="AF1" s="15" t="s">
        <v>958</v>
      </c>
      <c r="AG1" s="15" t="s">
        <v>857</v>
      </c>
      <c r="AH1" s="15" t="s">
        <v>959</v>
      </c>
      <c r="AI1" s="15" t="s">
        <v>958</v>
      </c>
      <c r="AJ1" s="15" t="s">
        <v>857</v>
      </c>
      <c r="AK1" s="15" t="s">
        <v>959</v>
      </c>
      <c r="AL1" s="28"/>
      <c r="AM1" s="15" t="s">
        <v>960</v>
      </c>
      <c r="AN1" s="15" t="s">
        <v>961</v>
      </c>
      <c r="AO1" s="15" t="s">
        <v>962</v>
      </c>
      <c r="AQ1" s="32" t="s">
        <v>963</v>
      </c>
    </row>
    <row r="2" ht="16" spans="1:43">
      <c r="A2" s="16" t="s">
        <v>15</v>
      </c>
      <c r="B2" s="17"/>
      <c r="C2" s="15" t="s">
        <v>15</v>
      </c>
      <c r="D2" s="15" t="s">
        <v>15</v>
      </c>
      <c r="E2" s="24"/>
      <c r="F2" s="15" t="s">
        <v>15</v>
      </c>
      <c r="G2" s="15" t="s">
        <v>172</v>
      </c>
      <c r="H2" s="15" t="s">
        <v>172</v>
      </c>
      <c r="I2" s="15" t="s">
        <v>15</v>
      </c>
      <c r="J2" s="15" t="s">
        <v>15</v>
      </c>
      <c r="K2" s="15" t="s">
        <v>172</v>
      </c>
      <c r="L2" s="15" t="s">
        <v>15</v>
      </c>
      <c r="M2" s="15" t="s">
        <v>15</v>
      </c>
      <c r="N2" s="15" t="s">
        <v>172</v>
      </c>
      <c r="O2" s="15" t="s">
        <v>15</v>
      </c>
      <c r="P2" s="15" t="s">
        <v>15</v>
      </c>
      <c r="Q2" s="15" t="s">
        <v>172</v>
      </c>
      <c r="R2" s="15" t="s">
        <v>15</v>
      </c>
      <c r="S2" s="15" t="s">
        <v>15</v>
      </c>
      <c r="T2" s="15" t="s">
        <v>172</v>
      </c>
      <c r="U2" s="15" t="s">
        <v>15</v>
      </c>
      <c r="V2" s="15" t="s">
        <v>15</v>
      </c>
      <c r="W2" s="15" t="s">
        <v>172</v>
      </c>
      <c r="X2" s="15" t="s">
        <v>15</v>
      </c>
      <c r="Y2" s="15" t="s">
        <v>15</v>
      </c>
      <c r="Z2" s="15" t="s">
        <v>172</v>
      </c>
      <c r="AA2" s="15" t="s">
        <v>15</v>
      </c>
      <c r="AB2" s="15" t="s">
        <v>15</v>
      </c>
      <c r="AC2" s="15" t="s">
        <v>172</v>
      </c>
      <c r="AD2" s="15" t="s">
        <v>15</v>
      </c>
      <c r="AE2" s="15" t="s">
        <v>15</v>
      </c>
      <c r="AF2" s="15" t="s">
        <v>172</v>
      </c>
      <c r="AG2" s="15" t="s">
        <v>15</v>
      </c>
      <c r="AH2" s="15" t="s">
        <v>15</v>
      </c>
      <c r="AI2" s="15" t="s">
        <v>172</v>
      </c>
      <c r="AJ2" s="15" t="s">
        <v>15</v>
      </c>
      <c r="AK2" s="15" t="s">
        <v>15</v>
      </c>
      <c r="AL2" s="24"/>
      <c r="AM2" s="15" t="s">
        <v>15</v>
      </c>
      <c r="AN2" s="15" t="s">
        <v>15</v>
      </c>
      <c r="AO2" s="15" t="s">
        <v>172</v>
      </c>
      <c r="AQ2" s="32" t="s">
        <v>15</v>
      </c>
    </row>
    <row r="3" ht="26" spans="1:43">
      <c r="A3" s="18" t="s">
        <v>964</v>
      </c>
      <c r="B3" s="14"/>
      <c r="C3" s="15" t="s">
        <v>965</v>
      </c>
      <c r="D3" s="15" t="s">
        <v>966</v>
      </c>
      <c r="E3" s="25"/>
      <c r="F3" s="15" t="s">
        <v>967</v>
      </c>
      <c r="G3" s="15" t="s">
        <v>968</v>
      </c>
      <c r="H3" s="15" t="s">
        <v>969</v>
      </c>
      <c r="I3" s="15" t="s">
        <v>870</v>
      </c>
      <c r="J3" s="15" t="s">
        <v>970</v>
      </c>
      <c r="K3" s="15" t="s">
        <v>969</v>
      </c>
      <c r="L3" s="15" t="s">
        <v>870</v>
      </c>
      <c r="M3" s="15" t="s">
        <v>970</v>
      </c>
      <c r="N3" s="15" t="s">
        <v>969</v>
      </c>
      <c r="O3" s="15" t="s">
        <v>870</v>
      </c>
      <c r="P3" s="15" t="s">
        <v>970</v>
      </c>
      <c r="Q3" s="15" t="s">
        <v>969</v>
      </c>
      <c r="R3" s="15" t="s">
        <v>870</v>
      </c>
      <c r="S3" s="15" t="s">
        <v>970</v>
      </c>
      <c r="T3" s="15" t="s">
        <v>969</v>
      </c>
      <c r="U3" s="15" t="s">
        <v>870</v>
      </c>
      <c r="V3" s="15" t="s">
        <v>970</v>
      </c>
      <c r="W3" s="15" t="s">
        <v>969</v>
      </c>
      <c r="X3" s="15" t="s">
        <v>870</v>
      </c>
      <c r="Y3" s="15" t="s">
        <v>970</v>
      </c>
      <c r="Z3" s="15" t="s">
        <v>969</v>
      </c>
      <c r="AA3" s="15" t="s">
        <v>870</v>
      </c>
      <c r="AB3" s="15" t="s">
        <v>970</v>
      </c>
      <c r="AC3" s="15" t="s">
        <v>969</v>
      </c>
      <c r="AD3" s="15" t="s">
        <v>870</v>
      </c>
      <c r="AE3" s="15" t="s">
        <v>970</v>
      </c>
      <c r="AF3" s="15" t="s">
        <v>969</v>
      </c>
      <c r="AG3" s="15" t="s">
        <v>870</v>
      </c>
      <c r="AH3" s="15" t="s">
        <v>970</v>
      </c>
      <c r="AI3" s="15" t="s">
        <v>969</v>
      </c>
      <c r="AJ3" s="15" t="s">
        <v>870</v>
      </c>
      <c r="AK3" s="15" t="s">
        <v>970</v>
      </c>
      <c r="AL3" s="25"/>
      <c r="AM3" s="15" t="s">
        <v>971</v>
      </c>
      <c r="AN3" s="15" t="s">
        <v>686</v>
      </c>
      <c r="AO3" s="15" t="s">
        <v>874</v>
      </c>
      <c r="AQ3" s="33" t="s">
        <v>972</v>
      </c>
    </row>
    <row r="4" spans="1:43">
      <c r="A4" s="19">
        <v>1</v>
      </c>
      <c r="B4" s="14"/>
      <c r="C4" s="20">
        <v>1</v>
      </c>
      <c r="D4" s="20">
        <v>1000</v>
      </c>
      <c r="E4" s="25"/>
      <c r="F4" s="20">
        <v>1</v>
      </c>
      <c r="G4" s="26" t="s">
        <v>933</v>
      </c>
      <c r="H4" s="15" t="s">
        <v>973</v>
      </c>
      <c r="I4" s="21">
        <v>50</v>
      </c>
      <c r="J4" s="21">
        <v>1</v>
      </c>
      <c r="K4" s="15" t="s">
        <v>974</v>
      </c>
      <c r="L4" s="21">
        <v>30000</v>
      </c>
      <c r="M4" s="21">
        <v>1</v>
      </c>
      <c r="N4" s="15" t="s">
        <v>975</v>
      </c>
      <c r="O4" s="21">
        <v>1600</v>
      </c>
      <c r="P4" s="21">
        <v>1</v>
      </c>
      <c r="Q4" s="15" t="s">
        <v>976</v>
      </c>
      <c r="R4" s="21">
        <v>6000</v>
      </c>
      <c r="S4" s="21">
        <v>1</v>
      </c>
      <c r="T4" s="15" t="s">
        <v>977</v>
      </c>
      <c r="U4" s="21">
        <v>6000</v>
      </c>
      <c r="V4" s="21">
        <v>1</v>
      </c>
      <c r="W4" s="15" t="s">
        <v>978</v>
      </c>
      <c r="X4" s="21">
        <v>2500</v>
      </c>
      <c r="Y4" s="21">
        <v>1</v>
      </c>
      <c r="Z4" s="15" t="s">
        <v>979</v>
      </c>
      <c r="AA4" s="21">
        <v>3600</v>
      </c>
      <c r="AB4" s="21">
        <v>1</v>
      </c>
      <c r="AC4" s="15" t="s">
        <v>980</v>
      </c>
      <c r="AD4" s="21">
        <v>25000</v>
      </c>
      <c r="AE4" s="21">
        <v>1</v>
      </c>
      <c r="AF4" s="15" t="s">
        <v>981</v>
      </c>
      <c r="AG4" s="21">
        <v>250</v>
      </c>
      <c r="AH4" s="21">
        <v>1</v>
      </c>
      <c r="AI4" s="15" t="s">
        <v>982</v>
      </c>
      <c r="AJ4" s="21">
        <v>25000</v>
      </c>
      <c r="AK4" s="21">
        <v>1</v>
      </c>
      <c r="AL4" s="25"/>
      <c r="AM4" s="21">
        <v>2</v>
      </c>
      <c r="AN4" s="21">
        <v>0</v>
      </c>
      <c r="AO4" s="15" t="s">
        <v>983</v>
      </c>
      <c r="AQ4" s="32">
        <v>3</v>
      </c>
    </row>
    <row r="5" spans="1:41">
      <c r="A5" s="14"/>
      <c r="B5" s="14"/>
      <c r="C5" s="21">
        <v>2</v>
      </c>
      <c r="D5" s="21">
        <v>2000</v>
      </c>
      <c r="E5" s="25"/>
      <c r="F5" s="21">
        <v>2</v>
      </c>
      <c r="G5" s="26" t="s">
        <v>984</v>
      </c>
      <c r="H5" s="15" t="s">
        <v>985</v>
      </c>
      <c r="I5" s="21">
        <v>50</v>
      </c>
      <c r="J5" s="21">
        <v>1</v>
      </c>
      <c r="K5" s="15" t="s">
        <v>986</v>
      </c>
      <c r="L5" s="21">
        <v>25000</v>
      </c>
      <c r="M5" s="21">
        <v>1</v>
      </c>
      <c r="N5" s="15" t="s">
        <v>987</v>
      </c>
      <c r="O5" s="21">
        <v>700</v>
      </c>
      <c r="P5" s="21">
        <v>1</v>
      </c>
      <c r="Q5" s="15" t="s">
        <v>988</v>
      </c>
      <c r="R5" s="21">
        <v>2000</v>
      </c>
      <c r="S5" s="21">
        <v>1</v>
      </c>
      <c r="T5" s="15" t="s">
        <v>989</v>
      </c>
      <c r="U5" s="21">
        <v>18000</v>
      </c>
      <c r="V5" s="21">
        <v>1</v>
      </c>
      <c r="W5" s="15" t="s">
        <v>978</v>
      </c>
      <c r="X5" s="21">
        <v>2000</v>
      </c>
      <c r="Y5" s="21">
        <v>1</v>
      </c>
      <c r="Z5" s="15" t="s">
        <v>990</v>
      </c>
      <c r="AA5" s="21">
        <v>9000</v>
      </c>
      <c r="AB5" s="21">
        <v>1</v>
      </c>
      <c r="AC5" s="15" t="s">
        <v>989</v>
      </c>
      <c r="AD5" s="21">
        <v>25000</v>
      </c>
      <c r="AE5" s="21">
        <v>1</v>
      </c>
      <c r="AF5" s="15" t="s">
        <v>991</v>
      </c>
      <c r="AG5" s="21">
        <v>250</v>
      </c>
      <c r="AH5" s="21">
        <v>1</v>
      </c>
      <c r="AI5" s="15" t="s">
        <v>986</v>
      </c>
      <c r="AJ5" s="21">
        <v>18000</v>
      </c>
      <c r="AK5" s="21">
        <v>1</v>
      </c>
      <c r="AL5" s="25"/>
      <c r="AM5" s="21">
        <v>3</v>
      </c>
      <c r="AN5" s="21">
        <v>0</v>
      </c>
      <c r="AO5" s="15" t="s">
        <v>992</v>
      </c>
    </row>
    <row r="6" spans="1:41">
      <c r="A6" s="14"/>
      <c r="B6" s="14"/>
      <c r="C6" s="21">
        <v>3</v>
      </c>
      <c r="D6" s="22">
        <v>3000</v>
      </c>
      <c r="E6" s="27"/>
      <c r="F6" s="21">
        <v>3</v>
      </c>
      <c r="G6" s="26" t="s">
        <v>984</v>
      </c>
      <c r="H6" s="15" t="s">
        <v>993</v>
      </c>
      <c r="I6" s="21">
        <v>50</v>
      </c>
      <c r="J6" s="21">
        <v>1</v>
      </c>
      <c r="K6" s="15" t="s">
        <v>990</v>
      </c>
      <c r="L6" s="21">
        <v>35000</v>
      </c>
      <c r="M6" s="21">
        <v>1</v>
      </c>
      <c r="N6" s="15" t="s">
        <v>985</v>
      </c>
      <c r="O6" s="21">
        <v>700</v>
      </c>
      <c r="P6" s="21">
        <v>1</v>
      </c>
      <c r="Q6" s="15" t="s">
        <v>989</v>
      </c>
      <c r="R6" s="21">
        <v>4000</v>
      </c>
      <c r="S6" s="21">
        <v>1</v>
      </c>
      <c r="T6" s="15" t="s">
        <v>994</v>
      </c>
      <c r="U6" s="21">
        <v>10000</v>
      </c>
      <c r="V6" s="21">
        <v>1</v>
      </c>
      <c r="W6" s="15" t="s">
        <v>978</v>
      </c>
      <c r="X6" s="21">
        <v>4000</v>
      </c>
      <c r="Y6" s="21">
        <v>1</v>
      </c>
      <c r="Z6" s="15" t="s">
        <v>987</v>
      </c>
      <c r="AA6" s="21">
        <v>4000</v>
      </c>
      <c r="AB6" s="21">
        <v>1</v>
      </c>
      <c r="AC6" s="15" t="s">
        <v>995</v>
      </c>
      <c r="AD6" s="21">
        <v>32000</v>
      </c>
      <c r="AE6" s="21">
        <v>1</v>
      </c>
      <c r="AF6" s="15" t="s">
        <v>996</v>
      </c>
      <c r="AG6" s="21">
        <v>250</v>
      </c>
      <c r="AH6" s="21">
        <v>1</v>
      </c>
      <c r="AI6" s="15" t="s">
        <v>997</v>
      </c>
      <c r="AJ6" s="21">
        <v>10000</v>
      </c>
      <c r="AK6" s="21">
        <v>1</v>
      </c>
      <c r="AL6" s="25"/>
      <c r="AM6" s="21">
        <v>4</v>
      </c>
      <c r="AN6" s="21">
        <v>0</v>
      </c>
      <c r="AO6" s="15" t="s">
        <v>998</v>
      </c>
    </row>
    <row r="7" spans="1:41">
      <c r="A7" s="14"/>
      <c r="B7" s="14"/>
      <c r="C7" s="21">
        <v>4</v>
      </c>
      <c r="D7" s="23">
        <v>4000</v>
      </c>
      <c r="E7" s="27"/>
      <c r="F7" s="21">
        <v>4</v>
      </c>
      <c r="G7" s="26" t="s">
        <v>999</v>
      </c>
      <c r="H7" s="15" t="s">
        <v>1000</v>
      </c>
      <c r="I7" s="21">
        <v>50</v>
      </c>
      <c r="J7" s="21">
        <v>1</v>
      </c>
      <c r="K7" s="15" t="s">
        <v>1001</v>
      </c>
      <c r="L7" s="21">
        <v>36000</v>
      </c>
      <c r="M7" s="21">
        <v>1</v>
      </c>
      <c r="N7" s="15" t="s">
        <v>1002</v>
      </c>
      <c r="O7" s="21">
        <v>700</v>
      </c>
      <c r="P7" s="21">
        <v>1</v>
      </c>
      <c r="Q7" s="15" t="s">
        <v>1003</v>
      </c>
      <c r="R7" s="21">
        <v>5000</v>
      </c>
      <c r="S7" s="21">
        <v>1</v>
      </c>
      <c r="T7" s="15" t="s">
        <v>1004</v>
      </c>
      <c r="U7" s="21">
        <v>7000</v>
      </c>
      <c r="V7" s="21">
        <v>1</v>
      </c>
      <c r="W7" s="15" t="s">
        <v>978</v>
      </c>
      <c r="X7" s="21">
        <v>4000</v>
      </c>
      <c r="Y7" s="21">
        <v>1</v>
      </c>
      <c r="Z7" s="15" t="s">
        <v>1005</v>
      </c>
      <c r="AA7" s="21">
        <v>2000</v>
      </c>
      <c r="AB7" s="21">
        <v>1</v>
      </c>
      <c r="AC7" s="15" t="s">
        <v>1006</v>
      </c>
      <c r="AD7" s="21">
        <v>30000</v>
      </c>
      <c r="AE7" s="21">
        <v>1</v>
      </c>
      <c r="AF7" s="15" t="s">
        <v>1007</v>
      </c>
      <c r="AG7" s="21">
        <v>250</v>
      </c>
      <c r="AH7" s="21">
        <v>1</v>
      </c>
      <c r="AI7" s="15" t="s">
        <v>1008</v>
      </c>
      <c r="AJ7" s="21">
        <v>15000</v>
      </c>
      <c r="AK7" s="21">
        <v>1</v>
      </c>
      <c r="AL7" s="29"/>
      <c r="AM7" s="30"/>
      <c r="AN7" s="30"/>
      <c r="AO7" s="30"/>
    </row>
    <row r="8" spans="1:41">
      <c r="A8" s="14"/>
      <c r="B8" s="14"/>
      <c r="C8" s="21">
        <v>5</v>
      </c>
      <c r="D8" s="23">
        <v>5000</v>
      </c>
      <c r="E8" s="27"/>
      <c r="F8" s="21">
        <v>5</v>
      </c>
      <c r="G8" s="26" t="s">
        <v>999</v>
      </c>
      <c r="H8" s="15" t="s">
        <v>1000</v>
      </c>
      <c r="I8" s="21">
        <v>50</v>
      </c>
      <c r="J8" s="21">
        <v>1</v>
      </c>
      <c r="K8" s="15" t="s">
        <v>1001</v>
      </c>
      <c r="L8" s="21">
        <v>36000</v>
      </c>
      <c r="M8" s="21">
        <v>1</v>
      </c>
      <c r="N8" s="15" t="s">
        <v>1002</v>
      </c>
      <c r="O8" s="21">
        <v>700</v>
      </c>
      <c r="P8" s="21">
        <v>1</v>
      </c>
      <c r="Q8" s="15" t="s">
        <v>1003</v>
      </c>
      <c r="R8" s="21">
        <v>5000</v>
      </c>
      <c r="S8" s="21">
        <v>1</v>
      </c>
      <c r="T8" s="15" t="s">
        <v>1004</v>
      </c>
      <c r="U8" s="21">
        <v>7000</v>
      </c>
      <c r="V8" s="21">
        <v>1</v>
      </c>
      <c r="W8" s="15" t="s">
        <v>978</v>
      </c>
      <c r="X8" s="21">
        <v>4000</v>
      </c>
      <c r="Y8" s="21">
        <v>1</v>
      </c>
      <c r="Z8" s="15" t="s">
        <v>1005</v>
      </c>
      <c r="AA8" s="21">
        <v>2000</v>
      </c>
      <c r="AB8" s="21">
        <v>1</v>
      </c>
      <c r="AC8" s="15" t="s">
        <v>1006</v>
      </c>
      <c r="AD8" s="21">
        <v>30000</v>
      </c>
      <c r="AE8" s="21">
        <v>1</v>
      </c>
      <c r="AF8" s="15" t="s">
        <v>1007</v>
      </c>
      <c r="AG8" s="21">
        <v>250</v>
      </c>
      <c r="AH8" s="21">
        <v>1</v>
      </c>
      <c r="AI8" s="15" t="s">
        <v>1008</v>
      </c>
      <c r="AJ8" s="21">
        <v>15000</v>
      </c>
      <c r="AK8" s="21">
        <v>1</v>
      </c>
      <c r="AL8" s="29"/>
      <c r="AM8" s="31"/>
      <c r="AN8" s="31"/>
      <c r="AO8" s="31"/>
    </row>
  </sheetData>
  <pageMargins left="0.75" right="0.75" top="1" bottom="1" header="0.511805555555556" footer="0.511805555555556"/>
  <pageSetup paperSize="9" orientation="portrait"/>
  <headerFooter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F31"/>
  <sheetViews>
    <sheetView topLeftCell="A2" workbookViewId="0">
      <selection activeCell="H4" sqref="H4:L18"/>
    </sheetView>
  </sheetViews>
  <sheetFormatPr defaultColWidth="8.79605263157895" defaultRowHeight="15.2" outlineLevelCol="5"/>
  <sheetData>
    <row r="1" ht="16" spans="1:6">
      <c r="A1" s="7" t="s">
        <v>604</v>
      </c>
      <c r="B1" s="8" t="s">
        <v>1009</v>
      </c>
      <c r="C1" s="7" t="s">
        <v>1010</v>
      </c>
      <c r="D1" s="7" t="s">
        <v>1011</v>
      </c>
      <c r="E1" s="7" t="s">
        <v>1012</v>
      </c>
      <c r="F1" s="7" t="s">
        <v>1013</v>
      </c>
    </row>
    <row r="2" ht="16" spans="1:6">
      <c r="A2" s="7" t="s">
        <v>4</v>
      </c>
      <c r="B2" s="9" t="s">
        <v>15</v>
      </c>
      <c r="C2" s="7" t="s">
        <v>15</v>
      </c>
      <c r="D2" s="7" t="s">
        <v>15</v>
      </c>
      <c r="E2" s="7" t="s">
        <v>15</v>
      </c>
      <c r="F2" s="7" t="s">
        <v>15</v>
      </c>
    </row>
    <row r="3" spans="1:6">
      <c r="A3" s="5" t="s">
        <v>618</v>
      </c>
      <c r="B3" s="10" t="s">
        <v>1014</v>
      </c>
      <c r="C3" s="5" t="s">
        <v>1015</v>
      </c>
      <c r="D3" s="5" t="s">
        <v>870</v>
      </c>
      <c r="E3" s="5" t="s">
        <v>1016</v>
      </c>
      <c r="F3" s="5" t="s">
        <v>870</v>
      </c>
    </row>
    <row r="4" spans="1:6">
      <c r="A4" s="5" t="s">
        <v>631</v>
      </c>
      <c r="B4" s="11">
        <v>44101</v>
      </c>
      <c r="C4" s="5">
        <v>5101</v>
      </c>
      <c r="D4" s="5">
        <v>27500</v>
      </c>
      <c r="E4" s="5">
        <v>5101</v>
      </c>
      <c r="F4" s="5">
        <v>15000</v>
      </c>
    </row>
    <row r="5" spans="1:6">
      <c r="A5" s="5" t="s">
        <v>634</v>
      </c>
      <c r="B5" s="11">
        <v>44101</v>
      </c>
      <c r="C5" s="5">
        <v>5105</v>
      </c>
      <c r="D5" s="5">
        <v>27500</v>
      </c>
      <c r="E5" s="5">
        <v>5105</v>
      </c>
      <c r="F5" s="5">
        <v>15000</v>
      </c>
    </row>
    <row r="6" spans="1:6">
      <c r="A6" s="5" t="s">
        <v>1017</v>
      </c>
      <c r="B6" s="11">
        <v>44101</v>
      </c>
      <c r="C6" s="5">
        <v>5103</v>
      </c>
      <c r="D6" s="5">
        <v>15000</v>
      </c>
      <c r="E6" s="5">
        <v>5103</v>
      </c>
      <c r="F6" s="5">
        <v>15000</v>
      </c>
    </row>
    <row r="7" spans="1:6">
      <c r="A7" s="5" t="s">
        <v>636</v>
      </c>
      <c r="B7" s="11">
        <v>44101</v>
      </c>
      <c r="C7" s="5">
        <v>5108</v>
      </c>
      <c r="D7" s="5">
        <v>15000</v>
      </c>
      <c r="E7" s="5">
        <v>5108</v>
      </c>
      <c r="F7" s="5">
        <v>15000</v>
      </c>
    </row>
    <row r="8" spans="1:6">
      <c r="A8" s="5" t="s">
        <v>1018</v>
      </c>
      <c r="B8" s="11">
        <v>44101</v>
      </c>
      <c r="C8" s="5">
        <v>5106</v>
      </c>
      <c r="D8" s="5">
        <v>5000</v>
      </c>
      <c r="E8" s="5">
        <v>5106</v>
      </c>
      <c r="F8" s="5">
        <v>15000</v>
      </c>
    </row>
    <row r="9" spans="1:6">
      <c r="A9" s="5" t="s">
        <v>637</v>
      </c>
      <c r="B9" s="11">
        <v>44101</v>
      </c>
      <c r="C9" s="5">
        <v>5109</v>
      </c>
      <c r="D9" s="5">
        <v>5000</v>
      </c>
      <c r="E9" s="5">
        <v>5109</v>
      </c>
      <c r="F9" s="5">
        <v>15000</v>
      </c>
    </row>
    <row r="10" spans="1:6">
      <c r="A10" s="5" t="s">
        <v>638</v>
      </c>
      <c r="B10" s="11">
        <v>44101</v>
      </c>
      <c r="C10" s="5">
        <v>5110</v>
      </c>
      <c r="D10" s="5">
        <v>5000</v>
      </c>
      <c r="E10" s="5">
        <v>5110</v>
      </c>
      <c r="F10" s="5">
        <v>10000</v>
      </c>
    </row>
    <row r="11" spans="1:6">
      <c r="A11" s="5" t="s">
        <v>631</v>
      </c>
      <c r="B11" s="12">
        <v>44102</v>
      </c>
      <c r="C11" s="5">
        <v>5101</v>
      </c>
      <c r="D11" s="5">
        <v>20000</v>
      </c>
      <c r="E11" s="5">
        <v>5101</v>
      </c>
      <c r="F11" s="5">
        <v>15000</v>
      </c>
    </row>
    <row r="12" spans="1:6">
      <c r="A12" s="5" t="s">
        <v>634</v>
      </c>
      <c r="B12" s="12">
        <v>44102</v>
      </c>
      <c r="C12" s="5">
        <v>5105</v>
      </c>
      <c r="D12" s="5">
        <v>20000</v>
      </c>
      <c r="E12" s="5">
        <v>5105</v>
      </c>
      <c r="F12" s="5">
        <v>15000</v>
      </c>
    </row>
    <row r="13" spans="1:6">
      <c r="A13" s="5" t="s">
        <v>1017</v>
      </c>
      <c r="B13" s="12">
        <v>44102</v>
      </c>
      <c r="C13" s="5">
        <v>5103</v>
      </c>
      <c r="D13" s="5">
        <v>22500</v>
      </c>
      <c r="E13" s="5">
        <v>5103</v>
      </c>
      <c r="F13" s="5">
        <v>15000</v>
      </c>
    </row>
    <row r="14" spans="1:6">
      <c r="A14" s="5" t="s">
        <v>636</v>
      </c>
      <c r="B14" s="12">
        <v>44102</v>
      </c>
      <c r="C14" s="5">
        <v>5108</v>
      </c>
      <c r="D14" s="5">
        <v>22500</v>
      </c>
      <c r="E14" s="5">
        <v>5108</v>
      </c>
      <c r="F14" s="5">
        <v>15000</v>
      </c>
    </row>
    <row r="15" spans="1:6">
      <c r="A15" s="5" t="s">
        <v>1018</v>
      </c>
      <c r="B15" s="12">
        <v>44102</v>
      </c>
      <c r="C15" s="5">
        <v>5106</v>
      </c>
      <c r="D15" s="5">
        <v>5000</v>
      </c>
      <c r="E15" s="5">
        <v>5106</v>
      </c>
      <c r="F15" s="5">
        <v>15000</v>
      </c>
    </row>
    <row r="16" spans="1:6">
      <c r="A16" s="5" t="s">
        <v>637</v>
      </c>
      <c r="B16" s="12">
        <v>44102</v>
      </c>
      <c r="C16" s="5">
        <v>5109</v>
      </c>
      <c r="D16" s="5">
        <v>5000</v>
      </c>
      <c r="E16" s="5">
        <v>5109</v>
      </c>
      <c r="F16" s="5">
        <v>15000</v>
      </c>
    </row>
    <row r="17" spans="1:6">
      <c r="A17" s="5" t="s">
        <v>638</v>
      </c>
      <c r="B17" s="12">
        <v>44102</v>
      </c>
      <c r="C17" s="5">
        <v>5110</v>
      </c>
      <c r="D17" s="5">
        <v>5000</v>
      </c>
      <c r="E17" s="5">
        <v>5110</v>
      </c>
      <c r="F17" s="5">
        <v>10000</v>
      </c>
    </row>
    <row r="18" spans="1:6">
      <c r="A18" s="5" t="s">
        <v>631</v>
      </c>
      <c r="B18" s="12">
        <v>44103</v>
      </c>
      <c r="C18" s="5">
        <v>5101</v>
      </c>
      <c r="D18" s="5">
        <v>5000</v>
      </c>
      <c r="E18" s="5">
        <v>5101</v>
      </c>
      <c r="F18" s="5">
        <v>15000</v>
      </c>
    </row>
    <row r="19" spans="1:6">
      <c r="A19" s="5" t="s">
        <v>634</v>
      </c>
      <c r="B19" s="12">
        <v>44103</v>
      </c>
      <c r="C19" s="5">
        <v>5105</v>
      </c>
      <c r="D19" s="5">
        <v>5000</v>
      </c>
      <c r="E19" s="5">
        <v>5105</v>
      </c>
      <c r="F19" s="5">
        <v>15000</v>
      </c>
    </row>
    <row r="20" spans="1:6">
      <c r="A20" s="5" t="s">
        <v>1017</v>
      </c>
      <c r="B20" s="12">
        <v>44103</v>
      </c>
      <c r="C20" s="5">
        <v>5103</v>
      </c>
      <c r="D20" s="5">
        <v>18000</v>
      </c>
      <c r="E20" s="5">
        <v>5103</v>
      </c>
      <c r="F20" s="5">
        <v>15000</v>
      </c>
    </row>
    <row r="21" spans="1:6">
      <c r="A21" s="5" t="s">
        <v>636</v>
      </c>
      <c r="B21" s="12">
        <v>44103</v>
      </c>
      <c r="C21" s="5">
        <v>5108</v>
      </c>
      <c r="D21" s="5">
        <v>18000</v>
      </c>
      <c r="E21" s="5">
        <v>5108</v>
      </c>
      <c r="F21" s="5">
        <v>15000</v>
      </c>
    </row>
    <row r="22" spans="1:6">
      <c r="A22" s="5" t="s">
        <v>1018</v>
      </c>
      <c r="B22" s="12">
        <v>44103</v>
      </c>
      <c r="C22" s="5">
        <v>5106</v>
      </c>
      <c r="D22" s="5">
        <v>18000</v>
      </c>
      <c r="E22" s="5">
        <v>5106</v>
      </c>
      <c r="F22" s="5">
        <v>15000</v>
      </c>
    </row>
    <row r="23" spans="1:6">
      <c r="A23" s="5" t="s">
        <v>637</v>
      </c>
      <c r="B23" s="12">
        <v>44103</v>
      </c>
      <c r="C23" s="5">
        <v>5109</v>
      </c>
      <c r="D23" s="5">
        <v>18000</v>
      </c>
      <c r="E23" s="5">
        <v>5109</v>
      </c>
      <c r="F23" s="5">
        <v>15000</v>
      </c>
    </row>
    <row r="24" spans="1:6">
      <c r="A24" s="5" t="s">
        <v>638</v>
      </c>
      <c r="B24" s="12">
        <v>44103</v>
      </c>
      <c r="C24" s="5">
        <v>5110</v>
      </c>
      <c r="D24" s="5">
        <v>18000</v>
      </c>
      <c r="E24" s="5">
        <v>5110</v>
      </c>
      <c r="F24" s="5">
        <v>10000</v>
      </c>
    </row>
    <row r="25" spans="1:6">
      <c r="A25" s="5" t="s">
        <v>631</v>
      </c>
      <c r="B25" s="12">
        <v>44104</v>
      </c>
      <c r="C25" s="5">
        <v>5101</v>
      </c>
      <c r="D25" s="5">
        <v>5000</v>
      </c>
      <c r="E25" s="5">
        <v>5101</v>
      </c>
      <c r="F25" s="5">
        <v>15000</v>
      </c>
    </row>
    <row r="26" spans="1:6">
      <c r="A26" s="5" t="s">
        <v>634</v>
      </c>
      <c r="B26" s="12">
        <v>44104</v>
      </c>
      <c r="C26" s="5">
        <v>5105</v>
      </c>
      <c r="D26" s="5">
        <v>5000</v>
      </c>
      <c r="E26" s="5">
        <v>5105</v>
      </c>
      <c r="F26" s="5">
        <v>15000</v>
      </c>
    </row>
    <row r="27" spans="1:6">
      <c r="A27" s="5" t="s">
        <v>1017</v>
      </c>
      <c r="B27" s="12">
        <v>44104</v>
      </c>
      <c r="C27" s="5">
        <v>5103</v>
      </c>
      <c r="D27" s="5">
        <v>7500</v>
      </c>
      <c r="E27" s="5">
        <v>5103</v>
      </c>
      <c r="F27" s="5">
        <v>15000</v>
      </c>
    </row>
    <row r="28" spans="1:6">
      <c r="A28" s="5" t="s">
        <v>636</v>
      </c>
      <c r="B28" s="12">
        <v>44104</v>
      </c>
      <c r="C28" s="5">
        <v>5108</v>
      </c>
      <c r="D28" s="5">
        <v>7500</v>
      </c>
      <c r="E28" s="5">
        <v>5108</v>
      </c>
      <c r="F28" s="5">
        <v>15000</v>
      </c>
    </row>
    <row r="29" spans="1:6">
      <c r="A29" s="5" t="s">
        <v>1018</v>
      </c>
      <c r="B29" s="12">
        <v>44104</v>
      </c>
      <c r="C29" s="5">
        <v>5106</v>
      </c>
      <c r="D29" s="5">
        <v>25000</v>
      </c>
      <c r="E29" s="5">
        <v>5106</v>
      </c>
      <c r="F29" s="5">
        <v>15000</v>
      </c>
    </row>
    <row r="30" spans="1:6">
      <c r="A30" s="5" t="s">
        <v>637</v>
      </c>
      <c r="B30" s="12">
        <v>44104</v>
      </c>
      <c r="C30" s="5">
        <v>5109</v>
      </c>
      <c r="D30" s="5">
        <v>25000</v>
      </c>
      <c r="E30" s="5">
        <v>5109</v>
      </c>
      <c r="F30" s="5">
        <v>15000</v>
      </c>
    </row>
    <row r="31" spans="1:6">
      <c r="A31" s="5" t="s">
        <v>638</v>
      </c>
      <c r="B31" s="12">
        <v>44104</v>
      </c>
      <c r="C31" s="5">
        <v>5110</v>
      </c>
      <c r="D31" s="5">
        <v>25000</v>
      </c>
      <c r="E31" s="5">
        <v>5110</v>
      </c>
      <c r="F31" s="5">
        <v>10000</v>
      </c>
    </row>
  </sheetData>
  <pageMargins left="0.75" right="0.75" top="1" bottom="1" header="0.511805555555556" footer="0.511805555555556"/>
  <pageSetup paperSize="9" orientation="portrait"/>
  <headerFooter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AH187"/>
  <sheetViews>
    <sheetView topLeftCell="I1" workbookViewId="0">
      <selection activeCell="Q124" sqref="Q124"/>
    </sheetView>
  </sheetViews>
  <sheetFormatPr defaultColWidth="11.6973684210526" defaultRowHeight="17.6"/>
  <cols>
    <col min="1" max="1" width="11.6973684210526" style="3" customWidth="1"/>
    <col min="2" max="16384" width="11.6973684210526" style="3"/>
  </cols>
  <sheetData>
    <row r="1" spans="1:34">
      <c r="A1" s="3" t="s">
        <v>1019</v>
      </c>
      <c r="B1" s="3" t="s">
        <v>1020</v>
      </c>
      <c r="C1" s="3" t="s">
        <v>1021</v>
      </c>
      <c r="D1" s="3" t="s">
        <v>1022</v>
      </c>
      <c r="E1" s="3" t="s">
        <v>1023</v>
      </c>
      <c r="F1" s="3" t="s">
        <v>1024</v>
      </c>
      <c r="G1" s="3" t="s">
        <v>858</v>
      </c>
      <c r="H1" s="3" t="s">
        <v>1025</v>
      </c>
      <c r="I1" s="3" t="s">
        <v>1026</v>
      </c>
      <c r="J1" s="3" t="s">
        <v>1027</v>
      </c>
      <c r="K1" s="3" t="s">
        <v>1023</v>
      </c>
      <c r="L1" s="3" t="s">
        <v>1024</v>
      </c>
      <c r="M1" s="3" t="s">
        <v>858</v>
      </c>
      <c r="N1" s="3" t="s">
        <v>1025</v>
      </c>
      <c r="O1" s="3" t="s">
        <v>1026</v>
      </c>
      <c r="P1" s="3" t="s">
        <v>1027</v>
      </c>
      <c r="Q1" s="3" t="s">
        <v>1023</v>
      </c>
      <c r="R1" s="3" t="s">
        <v>1024</v>
      </c>
      <c r="S1" s="3" t="s">
        <v>858</v>
      </c>
      <c r="T1" s="3" t="s">
        <v>1025</v>
      </c>
      <c r="U1" s="3" t="s">
        <v>1026</v>
      </c>
      <c r="V1" s="3" t="s">
        <v>1027</v>
      </c>
      <c r="W1" s="3" t="s">
        <v>1023</v>
      </c>
      <c r="X1" s="3" t="s">
        <v>1024</v>
      </c>
      <c r="Y1" s="3" t="s">
        <v>858</v>
      </c>
      <c r="Z1" s="3" t="s">
        <v>1025</v>
      </c>
      <c r="AA1" s="3" t="s">
        <v>1026</v>
      </c>
      <c r="AB1" s="3" t="s">
        <v>1027</v>
      </c>
      <c r="AC1" s="3" t="s">
        <v>1023</v>
      </c>
      <c r="AD1" s="3" t="s">
        <v>1024</v>
      </c>
      <c r="AE1" s="3" t="s">
        <v>858</v>
      </c>
      <c r="AF1" s="3" t="s">
        <v>1025</v>
      </c>
      <c r="AG1" s="3" t="s">
        <v>1026</v>
      </c>
      <c r="AH1" s="3" t="s">
        <v>1027</v>
      </c>
    </row>
    <row r="2" spans="1:34">
      <c r="A2" s="3" t="s">
        <v>15</v>
      </c>
      <c r="B2" s="3" t="s">
        <v>15</v>
      </c>
      <c r="C2" s="3" t="s">
        <v>15</v>
      </c>
      <c r="D2" s="3" t="s">
        <v>15</v>
      </c>
      <c r="E2" s="3" t="s">
        <v>172</v>
      </c>
      <c r="F2" s="3" t="s">
        <v>15</v>
      </c>
      <c r="G2" s="3" t="s">
        <v>15</v>
      </c>
      <c r="H2" s="3" t="s">
        <v>15</v>
      </c>
      <c r="I2" s="3" t="s">
        <v>15</v>
      </c>
      <c r="J2" s="3" t="s">
        <v>15</v>
      </c>
      <c r="K2" s="3" t="s">
        <v>172</v>
      </c>
      <c r="L2" s="3" t="s">
        <v>15</v>
      </c>
      <c r="M2" s="3" t="s">
        <v>15</v>
      </c>
      <c r="N2" s="3" t="s">
        <v>15</v>
      </c>
      <c r="O2" s="3" t="s">
        <v>15</v>
      </c>
      <c r="P2" s="3" t="s">
        <v>15</v>
      </c>
      <c r="Q2" s="3" t="s">
        <v>172</v>
      </c>
      <c r="R2" s="3" t="s">
        <v>15</v>
      </c>
      <c r="S2" s="3" t="s">
        <v>15</v>
      </c>
      <c r="T2" s="3" t="s">
        <v>15</v>
      </c>
      <c r="U2" s="3" t="s">
        <v>15</v>
      </c>
      <c r="V2" s="3" t="s">
        <v>15</v>
      </c>
      <c r="W2" s="3" t="s">
        <v>172</v>
      </c>
      <c r="X2" s="3" t="s">
        <v>15</v>
      </c>
      <c r="Y2" s="3" t="s">
        <v>15</v>
      </c>
      <c r="Z2" s="3" t="s">
        <v>15</v>
      </c>
      <c r="AA2" s="3" t="s">
        <v>15</v>
      </c>
      <c r="AB2" s="3" t="s">
        <v>15</v>
      </c>
      <c r="AC2" s="3" t="s">
        <v>172</v>
      </c>
      <c r="AD2" s="3" t="s">
        <v>15</v>
      </c>
      <c r="AE2" s="3" t="s">
        <v>15</v>
      </c>
      <c r="AF2" s="3" t="s">
        <v>15</v>
      </c>
      <c r="AG2" s="3" t="s">
        <v>15</v>
      </c>
      <c r="AH2" s="3" t="s">
        <v>15</v>
      </c>
    </row>
    <row r="3" ht="18" spans="1:34">
      <c r="A3" s="3" t="s">
        <v>1028</v>
      </c>
      <c r="B3" s="3" t="s">
        <v>1029</v>
      </c>
      <c r="C3" s="3" t="s">
        <v>179</v>
      </c>
      <c r="D3" s="3" t="s">
        <v>1030</v>
      </c>
      <c r="E3" s="3" t="s">
        <v>1031</v>
      </c>
      <c r="F3" s="3" t="s">
        <v>1032</v>
      </c>
      <c r="G3" s="3" t="s">
        <v>870</v>
      </c>
      <c r="H3" s="3" t="s">
        <v>1033</v>
      </c>
      <c r="I3" s="3" t="s">
        <v>1034</v>
      </c>
      <c r="J3" s="3" t="s">
        <v>1035</v>
      </c>
      <c r="K3" s="3" t="s">
        <v>1031</v>
      </c>
      <c r="L3" s="3" t="s">
        <v>1032</v>
      </c>
      <c r="M3" s="3" t="s">
        <v>870</v>
      </c>
      <c r="N3" s="3" t="s">
        <v>1033</v>
      </c>
      <c r="O3" s="3" t="s">
        <v>1034</v>
      </c>
      <c r="P3" s="3" t="s">
        <v>1035</v>
      </c>
      <c r="Q3" s="3" t="s">
        <v>1031</v>
      </c>
      <c r="R3" s="3" t="s">
        <v>1032</v>
      </c>
      <c r="S3" s="3" t="s">
        <v>870</v>
      </c>
      <c r="T3" s="3" t="s">
        <v>1033</v>
      </c>
      <c r="U3" s="3" t="s">
        <v>1034</v>
      </c>
      <c r="V3" s="3" t="s">
        <v>1035</v>
      </c>
      <c r="W3" s="3" t="s">
        <v>1031</v>
      </c>
      <c r="X3" s="3" t="s">
        <v>1032</v>
      </c>
      <c r="Y3" s="3" t="s">
        <v>870</v>
      </c>
      <c r="Z3" s="3" t="s">
        <v>1033</v>
      </c>
      <c r="AA3" s="3" t="s">
        <v>1034</v>
      </c>
      <c r="AB3" s="3" t="s">
        <v>1035</v>
      </c>
      <c r="AC3" s="3" t="s">
        <v>1031</v>
      </c>
      <c r="AD3" s="3" t="s">
        <v>1032</v>
      </c>
      <c r="AE3" s="3" t="s">
        <v>870</v>
      </c>
      <c r="AF3" s="3" t="s">
        <v>1033</v>
      </c>
      <c r="AG3" s="3" t="s">
        <v>1034</v>
      </c>
      <c r="AH3" s="3" t="s">
        <v>1035</v>
      </c>
    </row>
    <row r="4" spans="1:30">
      <c r="A4" s="3">
        <v>44411</v>
      </c>
      <c r="B4" s="3">
        <v>1</v>
      </c>
      <c r="C4" s="3">
        <v>1</v>
      </c>
      <c r="D4" s="3">
        <v>1</v>
      </c>
      <c r="E4" s="3" t="s">
        <v>194</v>
      </c>
      <c r="F4" s="3">
        <f>IF(E4&gt;0,VLOOKUP(E4,IF({1,0},Fish!$N:$N,Fish!$D:$D),2,FALSE),"")</f>
        <v>11001</v>
      </c>
      <c r="G4" s="3">
        <v>0</v>
      </c>
      <c r="H4" s="3">
        <v>1</v>
      </c>
      <c r="I4" s="3">
        <v>6</v>
      </c>
      <c r="J4" s="3">
        <v>12</v>
      </c>
      <c r="K4" s="3" t="s">
        <v>198</v>
      </c>
      <c r="L4" s="3">
        <f>IF(K4&gt;0,VLOOKUP(K4,IF({1,0},Fish!$N:$N,Fish!$D:$D),2,FALSE),"")</f>
        <v>11003</v>
      </c>
      <c r="M4" s="3">
        <v>0</v>
      </c>
      <c r="N4" s="3">
        <v>1</v>
      </c>
      <c r="O4" s="3">
        <v>6</v>
      </c>
      <c r="P4" s="3">
        <v>8</v>
      </c>
      <c r="R4" s="3" t="str">
        <f>IF(Q4&gt;0,VLOOKUP(Q4,IF({1,0},Fish!$N:$N,Fish!$D:$D),2,FALSE),"")</f>
        <v/>
      </c>
      <c r="X4" s="3" t="str">
        <f>IF(W4&gt;0,VLOOKUP(W4,IF({1,0},Fish!$N:$N,Fish!$D:$D),2,FALSE),"")</f>
        <v/>
      </c>
      <c r="AD4" s="3" t="str">
        <f>IF(AC4&gt;0,VLOOKUP(AC4,IF({1,0},Fish!$N:$N,Fish!$D:$D),2,FALSE),"")</f>
        <v/>
      </c>
    </row>
    <row r="5" spans="1:30">
      <c r="A5" s="3">
        <v>44411</v>
      </c>
      <c r="B5" s="3">
        <v>1</v>
      </c>
      <c r="C5" s="3">
        <v>1</v>
      </c>
      <c r="D5" s="3">
        <v>1</v>
      </c>
      <c r="E5" s="3" t="s">
        <v>194</v>
      </c>
      <c r="F5" s="3">
        <f>IF(E5&gt;0,VLOOKUP(E5,IF({1,0},Fish!$N:$N,Fish!$D:$D),2,FALSE),"")</f>
        <v>11001</v>
      </c>
      <c r="G5" s="3">
        <v>0</v>
      </c>
      <c r="H5" s="3">
        <v>1</v>
      </c>
      <c r="I5" s="3">
        <v>6</v>
      </c>
      <c r="J5" s="3">
        <v>12</v>
      </c>
      <c r="K5" s="3" t="s">
        <v>1036</v>
      </c>
      <c r="L5" s="3" t="e">
        <f>IF(K5&gt;0,VLOOKUP(K5,IF({1,0},Fish!$N:$N,Fish!$D:$D),2,FALSE),"")</f>
        <v>#N/A</v>
      </c>
      <c r="M5" s="3">
        <v>0</v>
      </c>
      <c r="N5" s="3">
        <v>1</v>
      </c>
      <c r="O5" s="3">
        <v>6</v>
      </c>
      <c r="P5" s="3">
        <v>8</v>
      </c>
      <c r="R5" s="3" t="str">
        <f>IF(Q5&gt;0,VLOOKUP(Q5,IF({1,0},Fish!$N:$N,Fish!$D:$D),2,FALSE),"")</f>
        <v/>
      </c>
      <c r="X5" s="3" t="str">
        <f>IF(W5&gt;0,VLOOKUP(W5,IF({1,0},Fish!$N:$N,Fish!$D:$D),2,FALSE),"")</f>
        <v/>
      </c>
      <c r="AD5" s="3" t="str">
        <f>IF(AC5&gt;0,VLOOKUP(AC5,IF({1,0},Fish!$N:$N,Fish!$D:$D),2,FALSE),"")</f>
        <v/>
      </c>
    </row>
    <row r="6" spans="1:30">
      <c r="A6" s="3">
        <v>44411</v>
      </c>
      <c r="B6" s="3">
        <v>1</v>
      </c>
      <c r="C6" s="3">
        <v>1</v>
      </c>
      <c r="D6" s="3">
        <v>1</v>
      </c>
      <c r="E6" s="3" t="s">
        <v>196</v>
      </c>
      <c r="F6" s="3">
        <f>IF(E6&gt;0,VLOOKUP(E6,IF({1,0},Fish!$N:$N,Fish!$D:$D),2,FALSE),"")</f>
        <v>11002</v>
      </c>
      <c r="G6" s="3">
        <v>0</v>
      </c>
      <c r="H6" s="3">
        <v>1</v>
      </c>
      <c r="I6" s="3">
        <v>6</v>
      </c>
      <c r="J6" s="3">
        <v>12</v>
      </c>
      <c r="K6" s="3" t="s">
        <v>198</v>
      </c>
      <c r="L6" s="3">
        <f>IF(K6&gt;0,VLOOKUP(K6,IF({1,0},Fish!$N:$N,Fish!$D:$D),2,FALSE),"")</f>
        <v>11003</v>
      </c>
      <c r="M6" s="3">
        <v>0</v>
      </c>
      <c r="N6" s="3">
        <v>1</v>
      </c>
      <c r="O6" s="3">
        <v>6</v>
      </c>
      <c r="P6" s="3">
        <v>8</v>
      </c>
      <c r="R6" s="3" t="str">
        <f>IF(Q6&gt;0,VLOOKUP(Q6,IF({1,0},Fish!$N:$N,Fish!$D:$D),2,FALSE),"")</f>
        <v/>
      </c>
      <c r="X6" s="3" t="str">
        <f>IF(W6&gt;0,VLOOKUP(W6,IF({1,0},Fish!$N:$N,Fish!$D:$D),2,FALSE),"")</f>
        <v/>
      </c>
      <c r="AD6" s="3" t="str">
        <f>IF(AC6&gt;0,VLOOKUP(AC6,IF({1,0},Fish!$N:$N,Fish!$D:$D),2,FALSE),"")</f>
        <v/>
      </c>
    </row>
    <row r="7" spans="1:30">
      <c r="A7" s="3">
        <v>44411</v>
      </c>
      <c r="B7" s="3">
        <v>1</v>
      </c>
      <c r="C7" s="3">
        <v>1</v>
      </c>
      <c r="D7" s="3">
        <v>1</v>
      </c>
      <c r="E7" s="3" t="s">
        <v>196</v>
      </c>
      <c r="F7" s="3">
        <f>IF(E7&gt;0,VLOOKUP(E7,IF({1,0},Fish!$N:$N,Fish!$D:$D),2,FALSE),"")</f>
        <v>11002</v>
      </c>
      <c r="G7" s="3">
        <v>0</v>
      </c>
      <c r="H7" s="3">
        <v>1</v>
      </c>
      <c r="I7" s="3">
        <v>6</v>
      </c>
      <c r="J7" s="3">
        <v>12</v>
      </c>
      <c r="K7" s="3" t="s">
        <v>1036</v>
      </c>
      <c r="L7" s="3" t="e">
        <f>IF(K7&gt;0,VLOOKUP(K7,IF({1,0},Fish!$N:$N,Fish!$D:$D),2,FALSE),"")</f>
        <v>#N/A</v>
      </c>
      <c r="M7" s="3">
        <v>0</v>
      </c>
      <c r="N7" s="3">
        <v>1</v>
      </c>
      <c r="O7" s="3">
        <v>6</v>
      </c>
      <c r="P7" s="3">
        <v>8</v>
      </c>
      <c r="R7" s="3" t="str">
        <f>IF(Q7&gt;0,VLOOKUP(Q7,IF({1,0},Fish!$N:$N,Fish!$D:$D),2,FALSE),"")</f>
        <v/>
      </c>
      <c r="X7" s="3" t="str">
        <f>IF(W7&gt;0,VLOOKUP(W7,IF({1,0},Fish!$N:$N,Fish!$D:$D),2,FALSE),"")</f>
        <v/>
      </c>
      <c r="AD7" s="3" t="str">
        <f>IF(AC7&gt;0,VLOOKUP(AC7,IF({1,0},Fish!$N:$N,Fish!$D:$D),2,FALSE),"")</f>
        <v/>
      </c>
    </row>
    <row r="8" spans="1:30">
      <c r="A8" s="3">
        <v>44411</v>
      </c>
      <c r="B8" s="3">
        <v>1</v>
      </c>
      <c r="C8" s="3">
        <v>2</v>
      </c>
      <c r="D8" s="3">
        <v>1</v>
      </c>
      <c r="E8" s="3" t="s">
        <v>208</v>
      </c>
      <c r="F8" s="3">
        <f>IF(E8&gt;0,VLOOKUP(E8,IF({1,0},Fish!$N:$N,Fish!$D:$D),2,FALSE),"")</f>
        <v>11008</v>
      </c>
      <c r="G8" s="3">
        <v>0</v>
      </c>
      <c r="H8" s="3">
        <v>1</v>
      </c>
      <c r="I8" s="3">
        <v>3</v>
      </c>
      <c r="J8" s="3">
        <v>5</v>
      </c>
      <c r="K8" s="3" t="s">
        <v>218</v>
      </c>
      <c r="L8" s="3">
        <f>IF(K8&gt;0,VLOOKUP(K8,IF({1,0},Fish!$N:$N,Fish!$D:$D),2,FALSE),"")</f>
        <v>11011</v>
      </c>
      <c r="M8" s="3">
        <v>0</v>
      </c>
      <c r="N8" s="3">
        <v>1</v>
      </c>
      <c r="O8" s="3">
        <v>2</v>
      </c>
      <c r="P8" s="3">
        <v>3</v>
      </c>
      <c r="Q8" s="3" t="s">
        <v>232</v>
      </c>
      <c r="R8" s="3">
        <f>IF(Q8&gt;0,VLOOKUP(Q8,IF({1,0},Fish!$N:$N,Fish!$D:$D),2,FALSE),"")</f>
        <v>11017</v>
      </c>
      <c r="S8" s="3">
        <v>0</v>
      </c>
      <c r="T8" s="3">
        <v>1</v>
      </c>
      <c r="U8" s="3">
        <v>1</v>
      </c>
      <c r="V8" s="3">
        <v>2</v>
      </c>
      <c r="W8" s="3" t="s">
        <v>228</v>
      </c>
      <c r="X8" s="3">
        <f>IF(W8&gt;0,VLOOKUP(W8,IF({1,0},Fish!$N:$N,Fish!$D:$D),2,FALSE),"")</f>
        <v>11015</v>
      </c>
      <c r="Y8" s="3">
        <v>0</v>
      </c>
      <c r="Z8" s="3">
        <v>1</v>
      </c>
      <c r="AA8" s="3">
        <v>1</v>
      </c>
      <c r="AB8" s="3">
        <v>2</v>
      </c>
      <c r="AD8" s="3" t="str">
        <f>IF(AC8&gt;0,VLOOKUP(AC8,IF({1,0},Fish!$N:$N,Fish!$D:$D),2,FALSE),"")</f>
        <v/>
      </c>
    </row>
    <row r="9" spans="1:30">
      <c r="A9" s="3">
        <v>44411</v>
      </c>
      <c r="B9" s="3">
        <v>1</v>
      </c>
      <c r="C9" s="3">
        <v>2</v>
      </c>
      <c r="D9" s="3">
        <v>1</v>
      </c>
      <c r="E9" s="3" t="s">
        <v>208</v>
      </c>
      <c r="F9" s="3">
        <f>IF(E9&gt;0,VLOOKUP(E9,IF({1,0},Fish!$N:$N,Fish!$D:$D),2,FALSE),"")</f>
        <v>11008</v>
      </c>
      <c r="G9" s="3">
        <v>0</v>
      </c>
      <c r="H9" s="3">
        <v>1</v>
      </c>
      <c r="I9" s="3">
        <v>3</v>
      </c>
      <c r="J9" s="3">
        <v>5</v>
      </c>
      <c r="K9" s="3" t="s">
        <v>218</v>
      </c>
      <c r="L9" s="3">
        <f>IF(K9&gt;0,VLOOKUP(K9,IF({1,0},Fish!$N:$N,Fish!$D:$D),2,FALSE),"")</f>
        <v>11011</v>
      </c>
      <c r="M9" s="3">
        <v>0</v>
      </c>
      <c r="N9" s="3">
        <v>1</v>
      </c>
      <c r="O9" s="3">
        <v>2</v>
      </c>
      <c r="P9" s="3">
        <v>3</v>
      </c>
      <c r="Q9" s="3" t="s">
        <v>232</v>
      </c>
      <c r="R9" s="3">
        <f>IF(Q9&gt;0,VLOOKUP(Q9,IF({1,0},Fish!$N:$N,Fish!$D:$D),2,FALSE),"")</f>
        <v>11017</v>
      </c>
      <c r="S9" s="3">
        <v>0</v>
      </c>
      <c r="T9" s="3">
        <v>1</v>
      </c>
      <c r="U9" s="3">
        <v>1</v>
      </c>
      <c r="V9" s="3">
        <v>2</v>
      </c>
      <c r="W9" s="3" t="s">
        <v>242</v>
      </c>
      <c r="X9" s="3">
        <f>IF(W9&gt;0,VLOOKUP(W9,IF({1,0},Fish!$N:$N,Fish!$D:$D),2,FALSE),"")</f>
        <v>11020</v>
      </c>
      <c r="Y9" s="3">
        <v>0</v>
      </c>
      <c r="Z9" s="3">
        <v>1</v>
      </c>
      <c r="AA9" s="3">
        <v>1</v>
      </c>
      <c r="AB9" s="3">
        <v>2</v>
      </c>
      <c r="AD9" s="3" t="str">
        <f>IF(AC9&gt;0,VLOOKUP(AC9,IF({1,0},Fish!$N:$N,Fish!$D:$D),2,FALSE),"")</f>
        <v/>
      </c>
    </row>
    <row r="10" spans="1:30">
      <c r="A10" s="3">
        <v>44411</v>
      </c>
      <c r="B10" s="3">
        <v>1</v>
      </c>
      <c r="C10" s="3">
        <v>2</v>
      </c>
      <c r="D10" s="3">
        <v>1</v>
      </c>
      <c r="E10" s="3" t="s">
        <v>208</v>
      </c>
      <c r="F10" s="3">
        <f>IF(E10&gt;0,VLOOKUP(E10,IF({1,0},Fish!$N:$N,Fish!$D:$D),2,FALSE),"")</f>
        <v>11008</v>
      </c>
      <c r="G10" s="3">
        <v>0</v>
      </c>
      <c r="H10" s="3">
        <v>1</v>
      </c>
      <c r="I10" s="3">
        <v>3</v>
      </c>
      <c r="J10" s="3">
        <v>5</v>
      </c>
      <c r="K10" s="3" t="s">
        <v>218</v>
      </c>
      <c r="L10" s="3">
        <f>IF(K10&gt;0,VLOOKUP(K10,IF({1,0},Fish!$N:$N,Fish!$D:$D),2,FALSE),"")</f>
        <v>11011</v>
      </c>
      <c r="M10" s="3">
        <v>0</v>
      </c>
      <c r="N10" s="3">
        <v>1</v>
      </c>
      <c r="O10" s="3">
        <v>2</v>
      </c>
      <c r="P10" s="3">
        <v>3</v>
      </c>
      <c r="Q10" s="3" t="s">
        <v>232</v>
      </c>
      <c r="R10" s="3">
        <f>IF(Q10&gt;0,VLOOKUP(Q10,IF({1,0},Fish!$N:$N,Fish!$D:$D),2,FALSE),"")</f>
        <v>11017</v>
      </c>
      <c r="S10" s="3">
        <v>0</v>
      </c>
      <c r="T10" s="3">
        <v>1</v>
      </c>
      <c r="U10" s="3">
        <v>1</v>
      </c>
      <c r="V10" s="3">
        <v>2</v>
      </c>
      <c r="W10" s="3" t="s">
        <v>222</v>
      </c>
      <c r="X10" s="3">
        <f>IF(W10&gt;0,VLOOKUP(W10,IF({1,0},Fish!$N:$N,Fish!$D:$D),2,FALSE),"")</f>
        <v>11013</v>
      </c>
      <c r="Y10" s="3">
        <v>0</v>
      </c>
      <c r="Z10" s="3">
        <v>1</v>
      </c>
      <c r="AA10" s="3">
        <v>1</v>
      </c>
      <c r="AB10" s="3">
        <v>2</v>
      </c>
      <c r="AD10" s="3" t="str">
        <f>IF(AC10&gt;0,VLOOKUP(AC10,IF({1,0},Fish!$N:$N,Fish!$D:$D),2,FALSE),"")</f>
        <v/>
      </c>
    </row>
    <row r="11" spans="1:30">
      <c r="A11" s="3">
        <v>44411</v>
      </c>
      <c r="B11" s="3">
        <v>1</v>
      </c>
      <c r="C11" s="3">
        <v>2</v>
      </c>
      <c r="D11" s="3">
        <v>1</v>
      </c>
      <c r="E11" s="3" t="s">
        <v>208</v>
      </c>
      <c r="F11" s="3">
        <f>IF(E11&gt;0,VLOOKUP(E11,IF({1,0},Fish!$N:$N,Fish!$D:$D),2,FALSE),"")</f>
        <v>11008</v>
      </c>
      <c r="G11" s="3">
        <v>0</v>
      </c>
      <c r="H11" s="3">
        <v>1</v>
      </c>
      <c r="I11" s="3">
        <v>3</v>
      </c>
      <c r="J11" s="3">
        <v>5</v>
      </c>
      <c r="K11" s="3" t="s">
        <v>218</v>
      </c>
      <c r="L11" s="3">
        <f>IF(K11&gt;0,VLOOKUP(K11,IF({1,0},Fish!$N:$N,Fish!$D:$D),2,FALSE),"")</f>
        <v>11011</v>
      </c>
      <c r="M11" s="3">
        <v>0</v>
      </c>
      <c r="N11" s="3">
        <v>1</v>
      </c>
      <c r="O11" s="3">
        <v>2</v>
      </c>
      <c r="P11" s="3">
        <v>3</v>
      </c>
      <c r="Q11" s="3" t="s">
        <v>220</v>
      </c>
      <c r="R11" s="3">
        <f>IF(Q11&gt;0,VLOOKUP(Q11,IF({1,0},Fish!$N:$N,Fish!$D:$D),2,FALSE),"")</f>
        <v>11012</v>
      </c>
      <c r="S11" s="3">
        <v>0</v>
      </c>
      <c r="T11" s="3">
        <v>1</v>
      </c>
      <c r="U11" s="3">
        <v>1</v>
      </c>
      <c r="V11" s="3">
        <v>2</v>
      </c>
      <c r="W11" s="3" t="s">
        <v>228</v>
      </c>
      <c r="X11" s="3">
        <f>IF(W11&gt;0,VLOOKUP(W11,IF({1,0},Fish!$N:$N,Fish!$D:$D),2,FALSE),"")</f>
        <v>11015</v>
      </c>
      <c r="Y11" s="3">
        <v>0</v>
      </c>
      <c r="Z11" s="3">
        <v>1</v>
      </c>
      <c r="AA11" s="3">
        <v>1</v>
      </c>
      <c r="AB11" s="3">
        <v>2</v>
      </c>
      <c r="AD11" s="3" t="str">
        <f>IF(AC11&gt;0,VLOOKUP(AC11,IF({1,0},Fish!$N:$N,Fish!$D:$D),2,FALSE),"")</f>
        <v/>
      </c>
    </row>
    <row r="12" spans="1:30">
      <c r="A12" s="3">
        <v>44411</v>
      </c>
      <c r="B12" s="3">
        <v>1</v>
      </c>
      <c r="C12" s="3">
        <v>2</v>
      </c>
      <c r="D12" s="3">
        <v>1</v>
      </c>
      <c r="E12" s="3" t="s">
        <v>208</v>
      </c>
      <c r="F12" s="3">
        <f>IF(E12&gt;0,VLOOKUP(E12,IF({1,0},Fish!$N:$N,Fish!$D:$D),2,FALSE),"")</f>
        <v>11008</v>
      </c>
      <c r="G12" s="3">
        <v>0</v>
      </c>
      <c r="H12" s="3">
        <v>1</v>
      </c>
      <c r="I12" s="3">
        <v>3</v>
      </c>
      <c r="J12" s="3">
        <v>5</v>
      </c>
      <c r="K12" s="3" t="s">
        <v>218</v>
      </c>
      <c r="L12" s="3">
        <f>IF(K12&gt;0,VLOOKUP(K12,IF({1,0},Fish!$N:$N,Fish!$D:$D),2,FALSE),"")</f>
        <v>11011</v>
      </c>
      <c r="M12" s="3">
        <v>0</v>
      </c>
      <c r="N12" s="3">
        <v>1</v>
      </c>
      <c r="O12" s="3">
        <v>2</v>
      </c>
      <c r="P12" s="3">
        <v>3</v>
      </c>
      <c r="Q12" s="3" t="s">
        <v>220</v>
      </c>
      <c r="R12" s="3">
        <f>IF(Q12&gt;0,VLOOKUP(Q12,IF({1,0},Fish!$N:$N,Fish!$D:$D),2,FALSE),"")</f>
        <v>11012</v>
      </c>
      <c r="S12" s="3">
        <v>0</v>
      </c>
      <c r="T12" s="3">
        <v>1</v>
      </c>
      <c r="U12" s="3">
        <v>1</v>
      </c>
      <c r="V12" s="3">
        <v>2</v>
      </c>
      <c r="W12" s="3" t="s">
        <v>242</v>
      </c>
      <c r="X12" s="3">
        <f>IF(W12&gt;0,VLOOKUP(W12,IF({1,0},Fish!$N:$N,Fish!$D:$D),2,FALSE),"")</f>
        <v>11020</v>
      </c>
      <c r="Y12" s="3">
        <v>0</v>
      </c>
      <c r="Z12" s="3">
        <v>1</v>
      </c>
      <c r="AA12" s="3">
        <v>1</v>
      </c>
      <c r="AB12" s="3">
        <v>2</v>
      </c>
      <c r="AD12" s="3" t="str">
        <f>IF(AC12&gt;0,VLOOKUP(AC12,IF({1,0},Fish!$N:$N,Fish!$D:$D),2,FALSE),"")</f>
        <v/>
      </c>
    </row>
    <row r="13" spans="1:30">
      <c r="A13" s="3">
        <v>44411</v>
      </c>
      <c r="B13" s="3">
        <v>1</v>
      </c>
      <c r="C13" s="3">
        <v>2</v>
      </c>
      <c r="D13" s="3">
        <v>1</v>
      </c>
      <c r="E13" s="3" t="s">
        <v>208</v>
      </c>
      <c r="F13" s="3">
        <f>IF(E13&gt;0,VLOOKUP(E13,IF({1,0},Fish!$N:$N,Fish!$D:$D),2,FALSE),"")</f>
        <v>11008</v>
      </c>
      <c r="G13" s="3">
        <v>0</v>
      </c>
      <c r="H13" s="3">
        <v>1</v>
      </c>
      <c r="I13" s="3">
        <v>3</v>
      </c>
      <c r="J13" s="3">
        <v>5</v>
      </c>
      <c r="K13" s="3" t="s">
        <v>218</v>
      </c>
      <c r="L13" s="3">
        <f>IF(K13&gt;0,VLOOKUP(K13,IF({1,0},Fish!$N:$N,Fish!$D:$D),2,FALSE),"")</f>
        <v>11011</v>
      </c>
      <c r="M13" s="3">
        <v>0</v>
      </c>
      <c r="N13" s="3">
        <v>1</v>
      </c>
      <c r="O13" s="3">
        <v>2</v>
      </c>
      <c r="P13" s="3">
        <v>3</v>
      </c>
      <c r="Q13" s="3" t="s">
        <v>220</v>
      </c>
      <c r="R13" s="3">
        <f>IF(Q13&gt;0,VLOOKUP(Q13,IF({1,0},Fish!$N:$N,Fish!$D:$D),2,FALSE),"")</f>
        <v>11012</v>
      </c>
      <c r="S13" s="3">
        <v>0</v>
      </c>
      <c r="T13" s="3">
        <v>1</v>
      </c>
      <c r="U13" s="3">
        <v>1</v>
      </c>
      <c r="V13" s="3">
        <v>2</v>
      </c>
      <c r="W13" s="3" t="s">
        <v>222</v>
      </c>
      <c r="X13" s="3">
        <f>IF(W13&gt;0,VLOOKUP(W13,IF({1,0},Fish!$N:$N,Fish!$D:$D),2,FALSE),"")</f>
        <v>11013</v>
      </c>
      <c r="Y13" s="3">
        <v>0</v>
      </c>
      <c r="Z13" s="3">
        <v>1</v>
      </c>
      <c r="AA13" s="3">
        <v>1</v>
      </c>
      <c r="AB13" s="3">
        <v>2</v>
      </c>
      <c r="AD13" s="3" t="str">
        <f>IF(AC13&gt;0,VLOOKUP(AC13,IF({1,0},Fish!$N:$N,Fish!$D:$D),2,FALSE),"")</f>
        <v/>
      </c>
    </row>
    <row r="14" spans="1:30">
      <c r="A14" s="3">
        <v>44411</v>
      </c>
      <c r="B14" s="3">
        <v>1</v>
      </c>
      <c r="C14" s="3">
        <v>2</v>
      </c>
      <c r="D14" s="3">
        <v>1</v>
      </c>
      <c r="E14" s="3" t="s">
        <v>208</v>
      </c>
      <c r="F14" s="3">
        <f>IF(E14&gt;0,VLOOKUP(E14,IF({1,0},Fish!$N:$N,Fish!$D:$D),2,FALSE),"")</f>
        <v>11008</v>
      </c>
      <c r="G14" s="3">
        <v>0</v>
      </c>
      <c r="H14" s="3">
        <v>1</v>
      </c>
      <c r="I14" s="3">
        <v>3</v>
      </c>
      <c r="J14" s="3">
        <v>5</v>
      </c>
      <c r="K14" s="3" t="s">
        <v>216</v>
      </c>
      <c r="L14" s="3">
        <f>IF(K14&gt;0,VLOOKUP(K14,IF({1,0},Fish!$N:$N,Fish!$D:$D),2,FALSE),"")</f>
        <v>11010</v>
      </c>
      <c r="M14" s="3">
        <v>0</v>
      </c>
      <c r="N14" s="3">
        <v>1</v>
      </c>
      <c r="O14" s="3">
        <v>2</v>
      </c>
      <c r="P14" s="3">
        <v>3</v>
      </c>
      <c r="Q14" s="3" t="s">
        <v>232</v>
      </c>
      <c r="R14" s="3">
        <f>IF(Q14&gt;0,VLOOKUP(Q14,IF({1,0},Fish!$N:$N,Fish!$D:$D),2,FALSE),"")</f>
        <v>11017</v>
      </c>
      <c r="S14" s="3">
        <v>0</v>
      </c>
      <c r="T14" s="3">
        <v>1</v>
      </c>
      <c r="U14" s="3">
        <v>1</v>
      </c>
      <c r="V14" s="3">
        <v>2</v>
      </c>
      <c r="W14" s="3" t="s">
        <v>228</v>
      </c>
      <c r="X14" s="3">
        <f>IF(W14&gt;0,VLOOKUP(W14,IF({1,0},Fish!$N:$N,Fish!$D:$D),2,FALSE),"")</f>
        <v>11015</v>
      </c>
      <c r="Y14" s="3">
        <v>0</v>
      </c>
      <c r="Z14" s="3">
        <v>1</v>
      </c>
      <c r="AA14" s="3">
        <v>1</v>
      </c>
      <c r="AB14" s="3">
        <v>2</v>
      </c>
      <c r="AD14" s="3" t="str">
        <f>IF(AC14&gt;0,VLOOKUP(AC14,IF({1,0},Fish!$N:$N,Fish!$D:$D),2,FALSE),"")</f>
        <v/>
      </c>
    </row>
    <row r="15" spans="1:30">
      <c r="A15" s="3">
        <v>44411</v>
      </c>
      <c r="B15" s="3">
        <v>1</v>
      </c>
      <c r="C15" s="3">
        <v>2</v>
      </c>
      <c r="D15" s="3">
        <v>1</v>
      </c>
      <c r="E15" s="3" t="s">
        <v>208</v>
      </c>
      <c r="F15" s="3">
        <f>IF(E15&gt;0,VLOOKUP(E15,IF({1,0},Fish!$N:$N,Fish!$D:$D),2,FALSE),"")</f>
        <v>11008</v>
      </c>
      <c r="G15" s="3">
        <v>0</v>
      </c>
      <c r="H15" s="3">
        <v>1</v>
      </c>
      <c r="I15" s="3">
        <v>3</v>
      </c>
      <c r="J15" s="3">
        <v>5</v>
      </c>
      <c r="K15" s="3" t="s">
        <v>216</v>
      </c>
      <c r="L15" s="3">
        <f>IF(K15&gt;0,VLOOKUP(K15,IF({1,0},Fish!$N:$N,Fish!$D:$D),2,FALSE),"")</f>
        <v>11010</v>
      </c>
      <c r="M15" s="3">
        <v>0</v>
      </c>
      <c r="N15" s="3">
        <v>1</v>
      </c>
      <c r="O15" s="3">
        <v>2</v>
      </c>
      <c r="P15" s="3">
        <v>3</v>
      </c>
      <c r="Q15" s="3" t="s">
        <v>232</v>
      </c>
      <c r="R15" s="3">
        <f>IF(Q15&gt;0,VLOOKUP(Q15,IF({1,0},Fish!$N:$N,Fish!$D:$D),2,FALSE),"")</f>
        <v>11017</v>
      </c>
      <c r="S15" s="3">
        <v>0</v>
      </c>
      <c r="T15" s="3">
        <v>1</v>
      </c>
      <c r="U15" s="3">
        <v>1</v>
      </c>
      <c r="V15" s="3">
        <v>2</v>
      </c>
      <c r="W15" s="3" t="s">
        <v>242</v>
      </c>
      <c r="X15" s="3">
        <f>IF(W15&gt;0,VLOOKUP(W15,IF({1,0},Fish!$N:$N,Fish!$D:$D),2,FALSE),"")</f>
        <v>11020</v>
      </c>
      <c r="Y15" s="3">
        <v>0</v>
      </c>
      <c r="Z15" s="3">
        <v>1</v>
      </c>
      <c r="AA15" s="3">
        <v>1</v>
      </c>
      <c r="AB15" s="3">
        <v>2</v>
      </c>
      <c r="AD15" s="3" t="str">
        <f>IF(AC15&gt;0,VLOOKUP(AC15,IF({1,0},Fish!$N:$N,Fish!$D:$D),2,FALSE),"")</f>
        <v/>
      </c>
    </row>
    <row r="16" spans="1:30">
      <c r="A16" s="3">
        <v>44411</v>
      </c>
      <c r="B16" s="3">
        <v>1</v>
      </c>
      <c r="C16" s="3">
        <v>2</v>
      </c>
      <c r="D16" s="3">
        <v>1</v>
      </c>
      <c r="E16" s="3" t="s">
        <v>208</v>
      </c>
      <c r="F16" s="3">
        <f>IF(E16&gt;0,VLOOKUP(E16,IF({1,0},Fish!$N:$N,Fish!$D:$D),2,FALSE),"")</f>
        <v>11008</v>
      </c>
      <c r="G16" s="3">
        <v>0</v>
      </c>
      <c r="H16" s="3">
        <v>1</v>
      </c>
      <c r="I16" s="3">
        <v>3</v>
      </c>
      <c r="J16" s="3">
        <v>5</v>
      </c>
      <c r="K16" s="3" t="s">
        <v>216</v>
      </c>
      <c r="L16" s="3">
        <f>IF(K16&gt;0,VLOOKUP(K16,IF({1,0},Fish!$N:$N,Fish!$D:$D),2,FALSE),"")</f>
        <v>11010</v>
      </c>
      <c r="M16" s="3">
        <v>0</v>
      </c>
      <c r="N16" s="3">
        <v>1</v>
      </c>
      <c r="O16" s="3">
        <v>2</v>
      </c>
      <c r="P16" s="3">
        <v>3</v>
      </c>
      <c r="Q16" s="3" t="s">
        <v>232</v>
      </c>
      <c r="R16" s="3">
        <f>IF(Q16&gt;0,VLOOKUP(Q16,IF({1,0},Fish!$N:$N,Fish!$D:$D),2,FALSE),"")</f>
        <v>11017</v>
      </c>
      <c r="S16" s="3">
        <v>0</v>
      </c>
      <c r="T16" s="3">
        <v>1</v>
      </c>
      <c r="U16" s="3">
        <v>1</v>
      </c>
      <c r="V16" s="3">
        <v>2</v>
      </c>
      <c r="W16" s="3" t="s">
        <v>222</v>
      </c>
      <c r="X16" s="3">
        <f>IF(W16&gt;0,VLOOKUP(W16,IF({1,0},Fish!$N:$N,Fish!$D:$D),2,FALSE),"")</f>
        <v>11013</v>
      </c>
      <c r="Y16" s="3">
        <v>0</v>
      </c>
      <c r="Z16" s="3">
        <v>1</v>
      </c>
      <c r="AA16" s="3">
        <v>1</v>
      </c>
      <c r="AB16" s="3">
        <v>2</v>
      </c>
      <c r="AD16" s="3" t="str">
        <f>IF(AC16&gt;0,VLOOKUP(AC16,IF({1,0},Fish!$N:$N,Fish!$D:$D),2,FALSE),"")</f>
        <v/>
      </c>
    </row>
    <row r="17" spans="1:30">
      <c r="A17" s="3">
        <v>44411</v>
      </c>
      <c r="B17" s="3">
        <v>1</v>
      </c>
      <c r="C17" s="3">
        <v>2</v>
      </c>
      <c r="D17" s="3">
        <v>1</v>
      </c>
      <c r="E17" s="3" t="s">
        <v>208</v>
      </c>
      <c r="F17" s="3">
        <f>IF(E17&gt;0,VLOOKUP(E17,IF({1,0},Fish!$N:$N,Fish!$D:$D),2,FALSE),"")</f>
        <v>11008</v>
      </c>
      <c r="G17" s="3">
        <v>0</v>
      </c>
      <c r="H17" s="3">
        <v>1</v>
      </c>
      <c r="I17" s="3">
        <v>3</v>
      </c>
      <c r="J17" s="3">
        <v>5</v>
      </c>
      <c r="K17" s="3" t="s">
        <v>216</v>
      </c>
      <c r="L17" s="3">
        <f>IF(K17&gt;0,VLOOKUP(K17,IF({1,0},Fish!$N:$N,Fish!$D:$D),2,FALSE),"")</f>
        <v>11010</v>
      </c>
      <c r="M17" s="3">
        <v>0</v>
      </c>
      <c r="N17" s="3">
        <v>1</v>
      </c>
      <c r="O17" s="3">
        <v>2</v>
      </c>
      <c r="P17" s="3">
        <v>3</v>
      </c>
      <c r="Q17" s="3" t="s">
        <v>220</v>
      </c>
      <c r="R17" s="3">
        <f>IF(Q17&gt;0,VLOOKUP(Q17,IF({1,0},Fish!$N:$N,Fish!$D:$D),2,FALSE),"")</f>
        <v>11012</v>
      </c>
      <c r="S17" s="3">
        <v>0</v>
      </c>
      <c r="T17" s="3">
        <v>1</v>
      </c>
      <c r="U17" s="3">
        <v>1</v>
      </c>
      <c r="V17" s="3">
        <v>2</v>
      </c>
      <c r="W17" s="3" t="s">
        <v>228</v>
      </c>
      <c r="X17" s="3">
        <f>IF(W17&gt;0,VLOOKUP(W17,IF({1,0},Fish!$N:$N,Fish!$D:$D),2,FALSE),"")</f>
        <v>11015</v>
      </c>
      <c r="Y17" s="3">
        <v>0</v>
      </c>
      <c r="Z17" s="3">
        <v>1</v>
      </c>
      <c r="AA17" s="3">
        <v>1</v>
      </c>
      <c r="AB17" s="3">
        <v>2</v>
      </c>
      <c r="AD17" s="3" t="str">
        <f>IF(AC17&gt;0,VLOOKUP(AC17,IF({1,0},Fish!$N:$N,Fish!$D:$D),2,FALSE),"")</f>
        <v/>
      </c>
    </row>
    <row r="18" spans="1:30">
      <c r="A18" s="3">
        <v>44411</v>
      </c>
      <c r="B18" s="3">
        <v>1</v>
      </c>
      <c r="C18" s="3">
        <v>2</v>
      </c>
      <c r="D18" s="3">
        <v>1</v>
      </c>
      <c r="E18" s="3" t="s">
        <v>208</v>
      </c>
      <c r="F18" s="3">
        <f>IF(E18&gt;0,VLOOKUP(E18,IF({1,0},Fish!$N:$N,Fish!$D:$D),2,FALSE),"")</f>
        <v>11008</v>
      </c>
      <c r="G18" s="3">
        <v>0</v>
      </c>
      <c r="H18" s="3">
        <v>1</v>
      </c>
      <c r="I18" s="3">
        <v>3</v>
      </c>
      <c r="J18" s="3">
        <v>5</v>
      </c>
      <c r="K18" s="3" t="s">
        <v>216</v>
      </c>
      <c r="L18" s="3">
        <f>IF(K18&gt;0,VLOOKUP(K18,IF({1,0},Fish!$N:$N,Fish!$D:$D),2,FALSE),"")</f>
        <v>11010</v>
      </c>
      <c r="M18" s="3">
        <v>0</v>
      </c>
      <c r="N18" s="3">
        <v>1</v>
      </c>
      <c r="O18" s="3">
        <v>2</v>
      </c>
      <c r="P18" s="3">
        <v>3</v>
      </c>
      <c r="Q18" s="3" t="s">
        <v>220</v>
      </c>
      <c r="R18" s="3">
        <f>IF(Q18&gt;0,VLOOKUP(Q18,IF({1,0},Fish!$N:$N,Fish!$D:$D),2,FALSE),"")</f>
        <v>11012</v>
      </c>
      <c r="S18" s="3">
        <v>0</v>
      </c>
      <c r="T18" s="3">
        <v>1</v>
      </c>
      <c r="U18" s="3">
        <v>1</v>
      </c>
      <c r="V18" s="3">
        <v>2</v>
      </c>
      <c r="W18" s="3" t="s">
        <v>242</v>
      </c>
      <c r="X18" s="3">
        <f>IF(W18&gt;0,VLOOKUP(W18,IF({1,0},Fish!$N:$N,Fish!$D:$D),2,FALSE),"")</f>
        <v>11020</v>
      </c>
      <c r="Y18" s="3">
        <v>0</v>
      </c>
      <c r="Z18" s="3">
        <v>1</v>
      </c>
      <c r="AA18" s="3">
        <v>1</v>
      </c>
      <c r="AB18" s="3">
        <v>2</v>
      </c>
      <c r="AD18" s="3" t="str">
        <f>IF(AC18&gt;0,VLOOKUP(AC18,IF({1,0},Fish!$N:$N,Fish!$D:$D),2,FALSE),"")</f>
        <v/>
      </c>
    </row>
    <row r="19" spans="1:30">
      <c r="A19" s="3">
        <v>44411</v>
      </c>
      <c r="B19" s="3">
        <v>1</v>
      </c>
      <c r="C19" s="3">
        <v>2</v>
      </c>
      <c r="D19" s="3">
        <v>1</v>
      </c>
      <c r="E19" s="3" t="s">
        <v>208</v>
      </c>
      <c r="F19" s="3">
        <f>IF(E19&gt;0,VLOOKUP(E19,IF({1,0},Fish!$N:$N,Fish!$D:$D),2,FALSE),"")</f>
        <v>11008</v>
      </c>
      <c r="G19" s="3">
        <v>0</v>
      </c>
      <c r="H19" s="3">
        <v>1</v>
      </c>
      <c r="I19" s="3">
        <v>3</v>
      </c>
      <c r="J19" s="3">
        <v>5</v>
      </c>
      <c r="K19" s="3" t="s">
        <v>216</v>
      </c>
      <c r="L19" s="3">
        <f>IF(K19&gt;0,VLOOKUP(K19,IF({1,0},Fish!$N:$N,Fish!$D:$D),2,FALSE),"")</f>
        <v>11010</v>
      </c>
      <c r="M19" s="3">
        <v>0</v>
      </c>
      <c r="N19" s="3">
        <v>1</v>
      </c>
      <c r="O19" s="3">
        <v>2</v>
      </c>
      <c r="P19" s="3">
        <v>3</v>
      </c>
      <c r="Q19" s="3" t="s">
        <v>220</v>
      </c>
      <c r="R19" s="3">
        <f>IF(Q19&gt;0,VLOOKUP(Q19,IF({1,0},Fish!$N:$N,Fish!$D:$D),2,FALSE),"")</f>
        <v>11012</v>
      </c>
      <c r="S19" s="3">
        <v>0</v>
      </c>
      <c r="T19" s="3">
        <v>1</v>
      </c>
      <c r="U19" s="3">
        <v>1</v>
      </c>
      <c r="V19" s="3">
        <v>2</v>
      </c>
      <c r="W19" s="3" t="s">
        <v>222</v>
      </c>
      <c r="X19" s="3">
        <f>IF(W19&gt;0,VLOOKUP(W19,IF({1,0},Fish!$N:$N,Fish!$D:$D),2,FALSE),"")</f>
        <v>11013</v>
      </c>
      <c r="Y19" s="3">
        <v>0</v>
      </c>
      <c r="Z19" s="3">
        <v>1</v>
      </c>
      <c r="AA19" s="3">
        <v>1</v>
      </c>
      <c r="AB19" s="3">
        <v>2</v>
      </c>
      <c r="AD19" s="3" t="str">
        <f>IF(AC19&gt;0,VLOOKUP(AC19,IF({1,0},Fish!$N:$N,Fish!$D:$D),2,FALSE),"")</f>
        <v/>
      </c>
    </row>
    <row r="20" spans="1:30">
      <c r="A20" s="3">
        <v>44411</v>
      </c>
      <c r="B20" s="3">
        <v>1</v>
      </c>
      <c r="C20" s="3">
        <v>2</v>
      </c>
      <c r="D20" s="3">
        <v>1</v>
      </c>
      <c r="E20" s="3" t="s">
        <v>210</v>
      </c>
      <c r="F20" s="3">
        <f>IF(E20&gt;0,VLOOKUP(E20,IF({1,0},Fish!$N:$N,Fish!$D:$D),2,FALSE),"")</f>
        <v>11009</v>
      </c>
      <c r="G20" s="3">
        <v>0</v>
      </c>
      <c r="H20" s="3">
        <v>1</v>
      </c>
      <c r="I20" s="3">
        <v>3</v>
      </c>
      <c r="J20" s="3">
        <v>5</v>
      </c>
      <c r="K20" s="3" t="s">
        <v>218</v>
      </c>
      <c r="L20" s="3">
        <f>IF(K20&gt;0,VLOOKUP(K20,IF({1,0},Fish!$N:$N,Fish!$D:$D),2,FALSE),"")</f>
        <v>11011</v>
      </c>
      <c r="M20" s="3">
        <v>0</v>
      </c>
      <c r="N20" s="3">
        <v>1</v>
      </c>
      <c r="O20" s="3">
        <v>2</v>
      </c>
      <c r="P20" s="3">
        <v>3</v>
      </c>
      <c r="Q20" s="3" t="s">
        <v>232</v>
      </c>
      <c r="R20" s="3">
        <f>IF(Q20&gt;0,VLOOKUP(Q20,IF({1,0},Fish!$N:$N,Fish!$D:$D),2,FALSE),"")</f>
        <v>11017</v>
      </c>
      <c r="S20" s="3">
        <v>0</v>
      </c>
      <c r="T20" s="3">
        <v>1</v>
      </c>
      <c r="U20" s="3">
        <v>1</v>
      </c>
      <c r="V20" s="3">
        <v>2</v>
      </c>
      <c r="W20" s="3" t="s">
        <v>228</v>
      </c>
      <c r="X20" s="3">
        <f>IF(W20&gt;0,VLOOKUP(W20,IF({1,0},Fish!$N:$N,Fish!$D:$D),2,FALSE),"")</f>
        <v>11015</v>
      </c>
      <c r="Y20" s="3">
        <v>0</v>
      </c>
      <c r="Z20" s="3">
        <v>1</v>
      </c>
      <c r="AA20" s="3">
        <v>1</v>
      </c>
      <c r="AB20" s="3">
        <v>2</v>
      </c>
      <c r="AD20" s="3" t="str">
        <f>IF(AC20&gt;0,VLOOKUP(AC20,IF({1,0},Fish!$N:$N,Fish!$D:$D),2,FALSE),"")</f>
        <v/>
      </c>
    </row>
    <row r="21" spans="1:30">
      <c r="A21" s="3">
        <v>44411</v>
      </c>
      <c r="B21" s="3">
        <v>1</v>
      </c>
      <c r="C21" s="3">
        <v>2</v>
      </c>
      <c r="D21" s="3">
        <v>1</v>
      </c>
      <c r="E21" s="3" t="s">
        <v>210</v>
      </c>
      <c r="F21" s="3">
        <f>IF(E21&gt;0,VLOOKUP(E21,IF({1,0},Fish!$N:$N,Fish!$D:$D),2,FALSE),"")</f>
        <v>11009</v>
      </c>
      <c r="G21" s="3">
        <v>0</v>
      </c>
      <c r="H21" s="3">
        <v>1</v>
      </c>
      <c r="I21" s="3">
        <v>3</v>
      </c>
      <c r="J21" s="3">
        <v>5</v>
      </c>
      <c r="K21" s="3" t="s">
        <v>218</v>
      </c>
      <c r="L21" s="3">
        <f>IF(K21&gt;0,VLOOKUP(K21,IF({1,0},Fish!$N:$N,Fish!$D:$D),2,FALSE),"")</f>
        <v>11011</v>
      </c>
      <c r="M21" s="3">
        <v>0</v>
      </c>
      <c r="N21" s="3">
        <v>1</v>
      </c>
      <c r="O21" s="3">
        <v>2</v>
      </c>
      <c r="P21" s="3">
        <v>3</v>
      </c>
      <c r="Q21" s="3" t="s">
        <v>232</v>
      </c>
      <c r="R21" s="3">
        <f>IF(Q21&gt;0,VLOOKUP(Q21,IF({1,0},Fish!$N:$N,Fish!$D:$D),2,FALSE),"")</f>
        <v>11017</v>
      </c>
      <c r="S21" s="3">
        <v>0</v>
      </c>
      <c r="T21" s="3">
        <v>1</v>
      </c>
      <c r="U21" s="3">
        <v>1</v>
      </c>
      <c r="V21" s="3">
        <v>2</v>
      </c>
      <c r="W21" s="3" t="s">
        <v>242</v>
      </c>
      <c r="X21" s="3">
        <f>IF(W21&gt;0,VLOOKUP(W21,IF({1,0},Fish!$N:$N,Fish!$D:$D),2,FALSE),"")</f>
        <v>11020</v>
      </c>
      <c r="Y21" s="3">
        <v>0</v>
      </c>
      <c r="Z21" s="3">
        <v>1</v>
      </c>
      <c r="AA21" s="3">
        <v>1</v>
      </c>
      <c r="AB21" s="3">
        <v>2</v>
      </c>
      <c r="AD21" s="3" t="str">
        <f>IF(AC21&gt;0,VLOOKUP(AC21,IF({1,0},Fish!$N:$N,Fish!$D:$D),2,FALSE),"")</f>
        <v/>
      </c>
    </row>
    <row r="22" spans="1:30">
      <c r="A22" s="3">
        <v>44411</v>
      </c>
      <c r="B22" s="3">
        <v>1</v>
      </c>
      <c r="C22" s="3">
        <v>2</v>
      </c>
      <c r="D22" s="3">
        <v>1</v>
      </c>
      <c r="E22" s="3" t="s">
        <v>210</v>
      </c>
      <c r="F22" s="3">
        <f>IF(E22&gt;0,VLOOKUP(E22,IF({1,0},Fish!$N:$N,Fish!$D:$D),2,FALSE),"")</f>
        <v>11009</v>
      </c>
      <c r="G22" s="3">
        <v>0</v>
      </c>
      <c r="H22" s="3">
        <v>1</v>
      </c>
      <c r="I22" s="3">
        <v>3</v>
      </c>
      <c r="J22" s="3">
        <v>5</v>
      </c>
      <c r="K22" s="3" t="s">
        <v>218</v>
      </c>
      <c r="L22" s="3">
        <f>IF(K22&gt;0,VLOOKUP(K22,IF({1,0},Fish!$N:$N,Fish!$D:$D),2,FALSE),"")</f>
        <v>11011</v>
      </c>
      <c r="M22" s="3">
        <v>0</v>
      </c>
      <c r="N22" s="3">
        <v>1</v>
      </c>
      <c r="O22" s="3">
        <v>2</v>
      </c>
      <c r="P22" s="3">
        <v>3</v>
      </c>
      <c r="Q22" s="3" t="s">
        <v>232</v>
      </c>
      <c r="R22" s="3">
        <f>IF(Q22&gt;0,VLOOKUP(Q22,IF({1,0},Fish!$N:$N,Fish!$D:$D),2,FALSE),"")</f>
        <v>11017</v>
      </c>
      <c r="S22" s="3">
        <v>0</v>
      </c>
      <c r="T22" s="3">
        <v>1</v>
      </c>
      <c r="U22" s="3">
        <v>1</v>
      </c>
      <c r="V22" s="3">
        <v>2</v>
      </c>
      <c r="W22" s="3" t="s">
        <v>222</v>
      </c>
      <c r="X22" s="3">
        <f>IF(W22&gt;0,VLOOKUP(W22,IF({1,0},Fish!$N:$N,Fish!$D:$D),2,FALSE),"")</f>
        <v>11013</v>
      </c>
      <c r="Y22" s="3">
        <v>0</v>
      </c>
      <c r="Z22" s="3">
        <v>1</v>
      </c>
      <c r="AA22" s="3">
        <v>1</v>
      </c>
      <c r="AB22" s="3">
        <v>2</v>
      </c>
      <c r="AD22" s="3" t="str">
        <f>IF(AC22&gt;0,VLOOKUP(AC22,IF({1,0},Fish!$N:$N,Fish!$D:$D),2,FALSE),"")</f>
        <v/>
      </c>
    </row>
    <row r="23" spans="1:30">
      <c r="A23" s="3">
        <v>44411</v>
      </c>
      <c r="B23" s="3">
        <v>1</v>
      </c>
      <c r="C23" s="3">
        <v>2</v>
      </c>
      <c r="D23" s="3">
        <v>1</v>
      </c>
      <c r="E23" s="3" t="s">
        <v>210</v>
      </c>
      <c r="F23" s="3">
        <f>IF(E23&gt;0,VLOOKUP(E23,IF({1,0},Fish!$N:$N,Fish!$D:$D),2,FALSE),"")</f>
        <v>11009</v>
      </c>
      <c r="G23" s="3">
        <v>0</v>
      </c>
      <c r="H23" s="3">
        <v>1</v>
      </c>
      <c r="I23" s="3">
        <v>3</v>
      </c>
      <c r="J23" s="3">
        <v>5</v>
      </c>
      <c r="K23" s="3" t="s">
        <v>218</v>
      </c>
      <c r="L23" s="3">
        <f>IF(K23&gt;0,VLOOKUP(K23,IF({1,0},Fish!$N:$N,Fish!$D:$D),2,FALSE),"")</f>
        <v>11011</v>
      </c>
      <c r="M23" s="3">
        <v>0</v>
      </c>
      <c r="N23" s="3">
        <v>1</v>
      </c>
      <c r="O23" s="3">
        <v>2</v>
      </c>
      <c r="P23" s="3">
        <v>3</v>
      </c>
      <c r="Q23" s="3" t="s">
        <v>220</v>
      </c>
      <c r="R23" s="3">
        <f>IF(Q23&gt;0,VLOOKUP(Q23,IF({1,0},Fish!$N:$N,Fish!$D:$D),2,FALSE),"")</f>
        <v>11012</v>
      </c>
      <c r="S23" s="3">
        <v>0</v>
      </c>
      <c r="T23" s="3">
        <v>1</v>
      </c>
      <c r="U23" s="3">
        <v>1</v>
      </c>
      <c r="V23" s="3">
        <v>2</v>
      </c>
      <c r="W23" s="3" t="s">
        <v>228</v>
      </c>
      <c r="X23" s="3">
        <f>IF(W23&gt;0,VLOOKUP(W23,IF({1,0},Fish!$N:$N,Fish!$D:$D),2,FALSE),"")</f>
        <v>11015</v>
      </c>
      <c r="Y23" s="3">
        <v>0</v>
      </c>
      <c r="Z23" s="3">
        <v>1</v>
      </c>
      <c r="AA23" s="3">
        <v>1</v>
      </c>
      <c r="AB23" s="3">
        <v>2</v>
      </c>
      <c r="AD23" s="3" t="str">
        <f>IF(AC23&gt;0,VLOOKUP(AC23,IF({1,0},Fish!$N:$N,Fish!$D:$D),2,FALSE),"")</f>
        <v/>
      </c>
    </row>
    <row r="24" spans="1:30">
      <c r="A24" s="3">
        <v>44411</v>
      </c>
      <c r="B24" s="3">
        <v>1</v>
      </c>
      <c r="C24" s="3">
        <v>2</v>
      </c>
      <c r="D24" s="3">
        <v>1</v>
      </c>
      <c r="E24" s="3" t="s">
        <v>210</v>
      </c>
      <c r="F24" s="3">
        <f>IF(E24&gt;0,VLOOKUP(E24,IF({1,0},Fish!$N:$N,Fish!$D:$D),2,FALSE),"")</f>
        <v>11009</v>
      </c>
      <c r="G24" s="3">
        <v>0</v>
      </c>
      <c r="H24" s="3">
        <v>1</v>
      </c>
      <c r="I24" s="3">
        <v>3</v>
      </c>
      <c r="J24" s="3">
        <v>5</v>
      </c>
      <c r="K24" s="3" t="s">
        <v>218</v>
      </c>
      <c r="L24" s="3">
        <f>IF(K24&gt;0,VLOOKUP(K24,IF({1,0},Fish!$N:$N,Fish!$D:$D),2,FALSE),"")</f>
        <v>11011</v>
      </c>
      <c r="M24" s="3">
        <v>0</v>
      </c>
      <c r="N24" s="3">
        <v>1</v>
      </c>
      <c r="O24" s="3">
        <v>2</v>
      </c>
      <c r="P24" s="3">
        <v>3</v>
      </c>
      <c r="Q24" s="3" t="s">
        <v>220</v>
      </c>
      <c r="R24" s="3">
        <f>IF(Q24&gt;0,VLOOKUP(Q24,IF({1,0},Fish!$N:$N,Fish!$D:$D),2,FALSE),"")</f>
        <v>11012</v>
      </c>
      <c r="S24" s="3">
        <v>0</v>
      </c>
      <c r="T24" s="3">
        <v>1</v>
      </c>
      <c r="U24" s="3">
        <v>1</v>
      </c>
      <c r="V24" s="3">
        <v>2</v>
      </c>
      <c r="W24" s="3" t="s">
        <v>242</v>
      </c>
      <c r="X24" s="3">
        <f>IF(W24&gt;0,VLOOKUP(W24,IF({1,0},Fish!$N:$N,Fish!$D:$D),2,FALSE),"")</f>
        <v>11020</v>
      </c>
      <c r="Y24" s="3">
        <v>0</v>
      </c>
      <c r="Z24" s="3">
        <v>1</v>
      </c>
      <c r="AA24" s="3">
        <v>1</v>
      </c>
      <c r="AB24" s="3">
        <v>2</v>
      </c>
      <c r="AD24" s="3" t="str">
        <f>IF(AC24&gt;0,VLOOKUP(AC24,IF({1,0},Fish!$N:$N,Fish!$D:$D),2,FALSE),"")</f>
        <v/>
      </c>
    </row>
    <row r="25" spans="1:30">
      <c r="A25" s="3">
        <v>44411</v>
      </c>
      <c r="B25" s="3">
        <v>1</v>
      </c>
      <c r="C25" s="3">
        <v>2</v>
      </c>
      <c r="D25" s="3">
        <v>1</v>
      </c>
      <c r="E25" s="3" t="s">
        <v>210</v>
      </c>
      <c r="F25" s="3">
        <f>IF(E25&gt;0,VLOOKUP(E25,IF({1,0},Fish!$N:$N,Fish!$D:$D),2,FALSE),"")</f>
        <v>11009</v>
      </c>
      <c r="G25" s="3">
        <v>0</v>
      </c>
      <c r="H25" s="3">
        <v>1</v>
      </c>
      <c r="I25" s="3">
        <v>3</v>
      </c>
      <c r="J25" s="3">
        <v>5</v>
      </c>
      <c r="K25" s="3" t="s">
        <v>218</v>
      </c>
      <c r="L25" s="3">
        <f>IF(K25&gt;0,VLOOKUP(K25,IF({1,0},Fish!$N:$N,Fish!$D:$D),2,FALSE),"")</f>
        <v>11011</v>
      </c>
      <c r="M25" s="3">
        <v>0</v>
      </c>
      <c r="N25" s="3">
        <v>1</v>
      </c>
      <c r="O25" s="3">
        <v>2</v>
      </c>
      <c r="P25" s="3">
        <v>3</v>
      </c>
      <c r="Q25" s="3" t="s">
        <v>220</v>
      </c>
      <c r="R25" s="3">
        <f>IF(Q25&gt;0,VLOOKUP(Q25,IF({1,0},Fish!$N:$N,Fish!$D:$D),2,FALSE),"")</f>
        <v>11012</v>
      </c>
      <c r="S25" s="3">
        <v>0</v>
      </c>
      <c r="T25" s="3">
        <v>1</v>
      </c>
      <c r="U25" s="3">
        <v>1</v>
      </c>
      <c r="V25" s="3">
        <v>2</v>
      </c>
      <c r="W25" s="3" t="s">
        <v>222</v>
      </c>
      <c r="X25" s="3">
        <f>IF(W25&gt;0,VLOOKUP(W25,IF({1,0},Fish!$N:$N,Fish!$D:$D),2,FALSE),"")</f>
        <v>11013</v>
      </c>
      <c r="Y25" s="3">
        <v>0</v>
      </c>
      <c r="Z25" s="3">
        <v>1</v>
      </c>
      <c r="AA25" s="3">
        <v>1</v>
      </c>
      <c r="AB25" s="3">
        <v>2</v>
      </c>
      <c r="AD25" s="3" t="str">
        <f>IF(AC25&gt;0,VLOOKUP(AC25,IF({1,0},Fish!$N:$N,Fish!$D:$D),2,FALSE),"")</f>
        <v/>
      </c>
    </row>
    <row r="26" spans="1:30">
      <c r="A26" s="3">
        <v>44411</v>
      </c>
      <c r="B26" s="3">
        <v>1</v>
      </c>
      <c r="C26" s="3">
        <v>2</v>
      </c>
      <c r="D26" s="3">
        <v>1</v>
      </c>
      <c r="E26" s="3" t="s">
        <v>210</v>
      </c>
      <c r="F26" s="3">
        <f>IF(E26&gt;0,VLOOKUP(E26,IF({1,0},Fish!$N:$N,Fish!$D:$D),2,FALSE),"")</f>
        <v>11009</v>
      </c>
      <c r="G26" s="3">
        <v>0</v>
      </c>
      <c r="H26" s="3">
        <v>1</v>
      </c>
      <c r="I26" s="3">
        <v>3</v>
      </c>
      <c r="J26" s="3">
        <v>5</v>
      </c>
      <c r="K26" s="3" t="s">
        <v>216</v>
      </c>
      <c r="L26" s="3">
        <f>IF(K26&gt;0,VLOOKUP(K26,IF({1,0},Fish!$N:$N,Fish!$D:$D),2,FALSE),"")</f>
        <v>11010</v>
      </c>
      <c r="M26" s="3">
        <v>0</v>
      </c>
      <c r="N26" s="3">
        <v>1</v>
      </c>
      <c r="O26" s="3">
        <v>2</v>
      </c>
      <c r="P26" s="3">
        <v>3</v>
      </c>
      <c r="Q26" s="3" t="s">
        <v>232</v>
      </c>
      <c r="R26" s="3">
        <f>IF(Q26&gt;0,VLOOKUP(Q26,IF({1,0},Fish!$N:$N,Fish!$D:$D),2,FALSE),"")</f>
        <v>11017</v>
      </c>
      <c r="S26" s="3">
        <v>0</v>
      </c>
      <c r="T26" s="3">
        <v>1</v>
      </c>
      <c r="U26" s="3">
        <v>1</v>
      </c>
      <c r="V26" s="3">
        <v>2</v>
      </c>
      <c r="W26" s="3" t="s">
        <v>228</v>
      </c>
      <c r="X26" s="3">
        <f>IF(W26&gt;0,VLOOKUP(W26,IF({1,0},Fish!$N:$N,Fish!$D:$D),2,FALSE),"")</f>
        <v>11015</v>
      </c>
      <c r="Y26" s="3">
        <v>0</v>
      </c>
      <c r="Z26" s="3">
        <v>1</v>
      </c>
      <c r="AA26" s="3">
        <v>1</v>
      </c>
      <c r="AB26" s="3">
        <v>2</v>
      </c>
      <c r="AD26" s="3" t="str">
        <f>IF(AC26&gt;0,VLOOKUP(AC26,IF({1,0},Fish!$N:$N,Fish!$D:$D),2,FALSE),"")</f>
        <v/>
      </c>
    </row>
    <row r="27" spans="1:30">
      <c r="A27" s="3">
        <v>44411</v>
      </c>
      <c r="B27" s="3">
        <v>1</v>
      </c>
      <c r="C27" s="3">
        <v>2</v>
      </c>
      <c r="D27" s="3">
        <v>1</v>
      </c>
      <c r="E27" s="3" t="s">
        <v>210</v>
      </c>
      <c r="F27" s="3">
        <f>IF(E27&gt;0,VLOOKUP(E27,IF({1,0},Fish!$N:$N,Fish!$D:$D),2,FALSE),"")</f>
        <v>11009</v>
      </c>
      <c r="G27" s="3">
        <v>0</v>
      </c>
      <c r="H27" s="3">
        <v>1</v>
      </c>
      <c r="I27" s="3">
        <v>3</v>
      </c>
      <c r="J27" s="3">
        <v>5</v>
      </c>
      <c r="K27" s="3" t="s">
        <v>216</v>
      </c>
      <c r="L27" s="3">
        <f>IF(K27&gt;0,VLOOKUP(K27,IF({1,0},Fish!$N:$N,Fish!$D:$D),2,FALSE),"")</f>
        <v>11010</v>
      </c>
      <c r="M27" s="3">
        <v>0</v>
      </c>
      <c r="N27" s="3">
        <v>1</v>
      </c>
      <c r="O27" s="3">
        <v>2</v>
      </c>
      <c r="P27" s="3">
        <v>3</v>
      </c>
      <c r="Q27" s="3" t="s">
        <v>232</v>
      </c>
      <c r="R27" s="3">
        <f>IF(Q27&gt;0,VLOOKUP(Q27,IF({1,0},Fish!$N:$N,Fish!$D:$D),2,FALSE),"")</f>
        <v>11017</v>
      </c>
      <c r="S27" s="3">
        <v>0</v>
      </c>
      <c r="T27" s="3">
        <v>1</v>
      </c>
      <c r="U27" s="3">
        <v>1</v>
      </c>
      <c r="V27" s="3">
        <v>2</v>
      </c>
      <c r="W27" s="3" t="s">
        <v>242</v>
      </c>
      <c r="X27" s="3">
        <f>IF(W27&gt;0,VLOOKUP(W27,IF({1,0},Fish!$N:$N,Fish!$D:$D),2,FALSE),"")</f>
        <v>11020</v>
      </c>
      <c r="Y27" s="3">
        <v>0</v>
      </c>
      <c r="Z27" s="3">
        <v>1</v>
      </c>
      <c r="AA27" s="3">
        <v>1</v>
      </c>
      <c r="AB27" s="3">
        <v>2</v>
      </c>
      <c r="AD27" s="3" t="str">
        <f>IF(AC27&gt;0,VLOOKUP(AC27,IF({1,0},Fish!$N:$N,Fish!$D:$D),2,FALSE),"")</f>
        <v/>
      </c>
    </row>
    <row r="28" spans="1:30">
      <c r="A28" s="3">
        <v>44411</v>
      </c>
      <c r="B28" s="3">
        <v>1</v>
      </c>
      <c r="C28" s="3">
        <v>2</v>
      </c>
      <c r="D28" s="3">
        <v>1</v>
      </c>
      <c r="E28" s="3" t="s">
        <v>210</v>
      </c>
      <c r="F28" s="3">
        <f>IF(E28&gt;0,VLOOKUP(E28,IF({1,0},Fish!$N:$N,Fish!$D:$D),2,FALSE),"")</f>
        <v>11009</v>
      </c>
      <c r="G28" s="3">
        <v>0</v>
      </c>
      <c r="H28" s="3">
        <v>1</v>
      </c>
      <c r="I28" s="3">
        <v>3</v>
      </c>
      <c r="J28" s="3">
        <v>5</v>
      </c>
      <c r="K28" s="3" t="s">
        <v>216</v>
      </c>
      <c r="L28" s="3">
        <f>IF(K28&gt;0,VLOOKUP(K28,IF({1,0},Fish!$N:$N,Fish!$D:$D),2,FALSE),"")</f>
        <v>11010</v>
      </c>
      <c r="M28" s="3">
        <v>0</v>
      </c>
      <c r="N28" s="3">
        <v>1</v>
      </c>
      <c r="O28" s="3">
        <v>2</v>
      </c>
      <c r="P28" s="3">
        <v>3</v>
      </c>
      <c r="Q28" s="3" t="s">
        <v>232</v>
      </c>
      <c r="R28" s="3">
        <f>IF(Q28&gt;0,VLOOKUP(Q28,IF({1,0},Fish!$N:$N,Fish!$D:$D),2,FALSE),"")</f>
        <v>11017</v>
      </c>
      <c r="S28" s="3">
        <v>0</v>
      </c>
      <c r="T28" s="3">
        <v>1</v>
      </c>
      <c r="U28" s="3">
        <v>1</v>
      </c>
      <c r="V28" s="3">
        <v>2</v>
      </c>
      <c r="W28" s="3" t="s">
        <v>222</v>
      </c>
      <c r="X28" s="3">
        <f>IF(W28&gt;0,VLOOKUP(W28,IF({1,0},Fish!$N:$N,Fish!$D:$D),2,FALSE),"")</f>
        <v>11013</v>
      </c>
      <c r="Y28" s="3">
        <v>0</v>
      </c>
      <c r="Z28" s="3">
        <v>1</v>
      </c>
      <c r="AA28" s="3">
        <v>1</v>
      </c>
      <c r="AB28" s="3">
        <v>2</v>
      </c>
      <c r="AD28" s="3" t="str">
        <f>IF(AC28&gt;0,VLOOKUP(AC28,IF({1,0},Fish!$N:$N,Fish!$D:$D),2,FALSE),"")</f>
        <v/>
      </c>
    </row>
    <row r="29" spans="1:30">
      <c r="A29" s="3">
        <v>44411</v>
      </c>
      <c r="B29" s="3">
        <v>1</v>
      </c>
      <c r="C29" s="3">
        <v>2</v>
      </c>
      <c r="D29" s="3">
        <v>1</v>
      </c>
      <c r="E29" s="3" t="s">
        <v>210</v>
      </c>
      <c r="F29" s="3">
        <f>IF(E29&gt;0,VLOOKUP(E29,IF({1,0},Fish!$N:$N,Fish!$D:$D),2,FALSE),"")</f>
        <v>11009</v>
      </c>
      <c r="G29" s="3">
        <v>0</v>
      </c>
      <c r="H29" s="3">
        <v>1</v>
      </c>
      <c r="I29" s="3">
        <v>3</v>
      </c>
      <c r="J29" s="3">
        <v>5</v>
      </c>
      <c r="K29" s="3" t="s">
        <v>216</v>
      </c>
      <c r="L29" s="3">
        <f>IF(K29&gt;0,VLOOKUP(K29,IF({1,0},Fish!$N:$N,Fish!$D:$D),2,FALSE),"")</f>
        <v>11010</v>
      </c>
      <c r="M29" s="3">
        <v>0</v>
      </c>
      <c r="N29" s="3">
        <v>1</v>
      </c>
      <c r="O29" s="3">
        <v>2</v>
      </c>
      <c r="P29" s="3">
        <v>3</v>
      </c>
      <c r="Q29" s="3" t="s">
        <v>220</v>
      </c>
      <c r="R29" s="3">
        <f>IF(Q29&gt;0,VLOOKUP(Q29,IF({1,0},Fish!$N:$N,Fish!$D:$D),2,FALSE),"")</f>
        <v>11012</v>
      </c>
      <c r="S29" s="3">
        <v>0</v>
      </c>
      <c r="T29" s="3">
        <v>1</v>
      </c>
      <c r="U29" s="3">
        <v>1</v>
      </c>
      <c r="V29" s="3">
        <v>2</v>
      </c>
      <c r="W29" s="3" t="s">
        <v>228</v>
      </c>
      <c r="X29" s="3">
        <f>IF(W29&gt;0,VLOOKUP(W29,IF({1,0},Fish!$N:$N,Fish!$D:$D),2,FALSE),"")</f>
        <v>11015</v>
      </c>
      <c r="Y29" s="3">
        <v>0</v>
      </c>
      <c r="Z29" s="3">
        <v>1</v>
      </c>
      <c r="AA29" s="3">
        <v>1</v>
      </c>
      <c r="AB29" s="3">
        <v>2</v>
      </c>
      <c r="AD29" s="3" t="str">
        <f>IF(AC29&gt;0,VLOOKUP(AC29,IF({1,0},Fish!$N:$N,Fish!$D:$D),2,FALSE),"")</f>
        <v/>
      </c>
    </row>
    <row r="30" spans="1:30">
      <c r="A30" s="3">
        <v>44411</v>
      </c>
      <c r="B30" s="3">
        <v>1</v>
      </c>
      <c r="C30" s="3">
        <v>2</v>
      </c>
      <c r="D30" s="3">
        <v>1</v>
      </c>
      <c r="E30" s="3" t="s">
        <v>210</v>
      </c>
      <c r="F30" s="3">
        <f>IF(E30&gt;0,VLOOKUP(E30,IF({1,0},Fish!$N:$N,Fish!$D:$D),2,FALSE),"")</f>
        <v>11009</v>
      </c>
      <c r="G30" s="3">
        <v>0</v>
      </c>
      <c r="H30" s="3">
        <v>1</v>
      </c>
      <c r="I30" s="3">
        <v>3</v>
      </c>
      <c r="J30" s="3">
        <v>5</v>
      </c>
      <c r="K30" s="3" t="s">
        <v>216</v>
      </c>
      <c r="L30" s="3">
        <f>IF(K30&gt;0,VLOOKUP(K30,IF({1,0},Fish!$N:$N,Fish!$D:$D),2,FALSE),"")</f>
        <v>11010</v>
      </c>
      <c r="M30" s="3">
        <v>0</v>
      </c>
      <c r="N30" s="3">
        <v>1</v>
      </c>
      <c r="O30" s="3">
        <v>2</v>
      </c>
      <c r="P30" s="3">
        <v>3</v>
      </c>
      <c r="Q30" s="3" t="s">
        <v>220</v>
      </c>
      <c r="R30" s="3">
        <f>IF(Q30&gt;0,VLOOKUP(Q30,IF({1,0},Fish!$N:$N,Fish!$D:$D),2,FALSE),"")</f>
        <v>11012</v>
      </c>
      <c r="S30" s="3">
        <v>0</v>
      </c>
      <c r="T30" s="3">
        <v>1</v>
      </c>
      <c r="U30" s="3">
        <v>1</v>
      </c>
      <c r="V30" s="3">
        <v>2</v>
      </c>
      <c r="W30" s="3" t="s">
        <v>242</v>
      </c>
      <c r="X30" s="3">
        <f>IF(W30&gt;0,VLOOKUP(W30,IF({1,0},Fish!$N:$N,Fish!$D:$D),2,FALSE),"")</f>
        <v>11020</v>
      </c>
      <c r="Y30" s="3">
        <v>0</v>
      </c>
      <c r="Z30" s="3">
        <v>1</v>
      </c>
      <c r="AA30" s="3">
        <v>1</v>
      </c>
      <c r="AB30" s="3">
        <v>2</v>
      </c>
      <c r="AD30" s="3" t="str">
        <f>IF(AC30&gt;0,VLOOKUP(AC30,IF({1,0},Fish!$N:$N,Fish!$D:$D),2,FALSE),"")</f>
        <v/>
      </c>
    </row>
    <row r="31" spans="1:30">
      <c r="A31" s="3">
        <v>44411</v>
      </c>
      <c r="B31" s="3">
        <v>1</v>
      </c>
      <c r="C31" s="3">
        <v>2</v>
      </c>
      <c r="D31" s="3">
        <v>1</v>
      </c>
      <c r="E31" s="3" t="s">
        <v>210</v>
      </c>
      <c r="F31" s="3">
        <f>IF(E31&gt;0,VLOOKUP(E31,IF({1,0},Fish!$N:$N,Fish!$D:$D),2,FALSE),"")</f>
        <v>11009</v>
      </c>
      <c r="G31" s="3">
        <v>0</v>
      </c>
      <c r="H31" s="3">
        <v>1</v>
      </c>
      <c r="I31" s="3">
        <v>3</v>
      </c>
      <c r="J31" s="3">
        <v>5</v>
      </c>
      <c r="K31" s="3" t="s">
        <v>216</v>
      </c>
      <c r="L31" s="3">
        <f>IF(K31&gt;0,VLOOKUP(K31,IF({1,0},Fish!$N:$N,Fish!$D:$D),2,FALSE),"")</f>
        <v>11010</v>
      </c>
      <c r="M31" s="3">
        <v>0</v>
      </c>
      <c r="N31" s="3">
        <v>1</v>
      </c>
      <c r="O31" s="3">
        <v>2</v>
      </c>
      <c r="P31" s="3">
        <v>3</v>
      </c>
      <c r="Q31" s="3" t="s">
        <v>220</v>
      </c>
      <c r="R31" s="3">
        <f>IF(Q31&gt;0,VLOOKUP(Q31,IF({1,0},Fish!$N:$N,Fish!$D:$D),2,FALSE),"")</f>
        <v>11012</v>
      </c>
      <c r="S31" s="3">
        <v>0</v>
      </c>
      <c r="T31" s="3">
        <v>1</v>
      </c>
      <c r="U31" s="3">
        <v>1</v>
      </c>
      <c r="V31" s="3">
        <v>2</v>
      </c>
      <c r="W31" s="3" t="s">
        <v>222</v>
      </c>
      <c r="X31" s="3">
        <f>IF(W31&gt;0,VLOOKUP(W31,IF({1,0},Fish!$N:$N,Fish!$D:$D),2,FALSE),"")</f>
        <v>11013</v>
      </c>
      <c r="Y31" s="3">
        <v>0</v>
      </c>
      <c r="Z31" s="3">
        <v>1</v>
      </c>
      <c r="AA31" s="3">
        <v>1</v>
      </c>
      <c r="AB31" s="3">
        <v>2</v>
      </c>
      <c r="AD31" s="3" t="str">
        <f>IF(AC31&gt;0,VLOOKUP(AC31,IF({1,0},Fish!$N:$N,Fish!$D:$D),2,FALSE),"")</f>
        <v/>
      </c>
    </row>
    <row r="32" spans="1:30">
      <c r="A32" s="3">
        <v>44411</v>
      </c>
      <c r="B32" s="3">
        <v>1</v>
      </c>
      <c r="C32" s="3">
        <v>3</v>
      </c>
      <c r="D32" s="3">
        <v>2</v>
      </c>
      <c r="E32" s="3" t="s">
        <v>256</v>
      </c>
      <c r="F32" s="3">
        <f>IF(E32&gt;0,VLOOKUP(E32,IF({1,0},Fish!$N:$N,Fish!$D:$D),2,FALSE),"")</f>
        <v>11090</v>
      </c>
      <c r="G32" s="3">
        <v>55000</v>
      </c>
      <c r="H32" s="3">
        <v>1</v>
      </c>
      <c r="I32" s="3">
        <v>3</v>
      </c>
      <c r="J32" s="3">
        <v>5</v>
      </c>
      <c r="K32" s="3" t="s">
        <v>254</v>
      </c>
      <c r="L32" s="3">
        <f>IF(K32&gt;0,VLOOKUP(K32,IF({1,0},Fish!$N:$N,Fish!$D:$D),2,FALSE),"")</f>
        <v>11024</v>
      </c>
      <c r="M32" s="3">
        <v>45000</v>
      </c>
      <c r="N32" s="3">
        <v>1</v>
      </c>
      <c r="O32" s="3">
        <v>3</v>
      </c>
      <c r="P32" s="3">
        <v>5</v>
      </c>
      <c r="R32" s="3" t="str">
        <f>IF(Q32&gt;0,VLOOKUP(Q32,IF({1,0},Fish!$N:$N,Fish!$D:$D),2,FALSE),"")</f>
        <v/>
      </c>
      <c r="X32" s="3" t="str">
        <f>IF(W32&gt;0,VLOOKUP(W32,IF({1,0},Fish!$N:$N,Fish!$D:$D),2,FALSE),"")</f>
        <v/>
      </c>
      <c r="AD32" s="3" t="str">
        <f>IF(AC32&gt;0,VLOOKUP(AC32,IF({1,0},Fish!$N:$N,Fish!$D:$D),2,FALSE),"")</f>
        <v/>
      </c>
    </row>
    <row r="33" spans="1:30">
      <c r="A33" s="3">
        <v>44411</v>
      </c>
      <c r="B33" s="3">
        <v>1</v>
      </c>
      <c r="C33" s="3">
        <v>4</v>
      </c>
      <c r="D33" s="3">
        <v>2</v>
      </c>
      <c r="E33" s="3" t="s">
        <v>238</v>
      </c>
      <c r="F33" s="3">
        <f>IF(E33&gt;0,VLOOKUP(E33,IF({1,0},Fish!$N:$N,Fish!$D:$D),2,FALSE),"")</f>
        <v>11018</v>
      </c>
      <c r="G33" s="3">
        <v>30000</v>
      </c>
      <c r="H33" s="3">
        <v>1</v>
      </c>
      <c r="I33" s="3">
        <v>2</v>
      </c>
      <c r="J33" s="3">
        <v>4</v>
      </c>
      <c r="K33" s="3" t="s">
        <v>565</v>
      </c>
      <c r="L33" s="3">
        <f>IF(K33&gt;0,VLOOKUP(K33,IF({1,0},Fish!$N:$N,Fish!$D:$D),2,FALSE),"")</f>
        <v>11214</v>
      </c>
      <c r="M33" s="3">
        <v>30000</v>
      </c>
      <c r="N33" s="3">
        <v>1</v>
      </c>
      <c r="O33" s="3">
        <v>2</v>
      </c>
      <c r="P33" s="3">
        <v>4</v>
      </c>
      <c r="Q33" s="3" t="s">
        <v>246</v>
      </c>
      <c r="R33" s="3">
        <f>IF(Q33&gt;0,VLOOKUP(Q33,IF({1,0},Fish!$N:$N,Fish!$D:$D),2,FALSE),"")</f>
        <v>11021</v>
      </c>
      <c r="S33" s="3">
        <v>25000</v>
      </c>
      <c r="T33" s="3">
        <v>1</v>
      </c>
      <c r="U33" s="3">
        <v>2</v>
      </c>
      <c r="V33" s="3">
        <v>4</v>
      </c>
      <c r="W33" s="4" t="s">
        <v>240</v>
      </c>
      <c r="X33" s="3">
        <f>IF(W33&gt;0,VLOOKUP(W33,IF({1,0},Fish!$N:$N,Fish!$D:$D),2,FALSE),"")</f>
        <v>11092</v>
      </c>
      <c r="Y33" s="3">
        <v>15000</v>
      </c>
      <c r="Z33" s="3">
        <v>1</v>
      </c>
      <c r="AA33" s="3">
        <v>2</v>
      </c>
      <c r="AB33" s="3">
        <v>4</v>
      </c>
      <c r="AD33" s="3" t="str">
        <f>IF(AC33&gt;0,VLOOKUP(AC33,IF({1,0},Fish!$N:$N,Fish!$D:$D),2,FALSE),"")</f>
        <v/>
      </c>
    </row>
    <row r="34" spans="1:30">
      <c r="A34" s="3">
        <v>44411</v>
      </c>
      <c r="B34" s="3">
        <v>1</v>
      </c>
      <c r="C34" s="3">
        <v>5</v>
      </c>
      <c r="D34" s="3">
        <v>2</v>
      </c>
      <c r="E34" s="3" t="s">
        <v>291</v>
      </c>
      <c r="F34" s="3">
        <f>IF(E34&gt;0,VLOOKUP(E34,IF({1,0},Fish!$N:$N,Fish!$D:$D),2,FALSE),"")</f>
        <v>14009</v>
      </c>
      <c r="G34" s="3">
        <v>38000</v>
      </c>
      <c r="H34" s="3">
        <v>1</v>
      </c>
      <c r="I34" s="3">
        <v>2</v>
      </c>
      <c r="J34" s="3">
        <v>4</v>
      </c>
      <c r="K34" s="3" t="s">
        <v>292</v>
      </c>
      <c r="L34" s="3">
        <f>IF(K34&gt;0,VLOOKUP(K34,IF({1,0},Fish!$N:$N,Fish!$D:$D),2,FALSE),"")</f>
        <v>14011</v>
      </c>
      <c r="M34" s="3">
        <v>30000</v>
      </c>
      <c r="N34" s="3">
        <v>1</v>
      </c>
      <c r="O34" s="3">
        <v>2</v>
      </c>
      <c r="P34" s="3">
        <v>4</v>
      </c>
      <c r="Q34" s="3" t="s">
        <v>294</v>
      </c>
      <c r="R34" s="3">
        <f>IF(Q34&gt;0,VLOOKUP(Q34,IF({1,0},Fish!$N:$N,Fish!$D:$D),2,FALSE),"")</f>
        <v>14015</v>
      </c>
      <c r="S34" s="3">
        <v>17000</v>
      </c>
      <c r="T34" s="3">
        <v>1</v>
      </c>
      <c r="U34" s="3">
        <v>2</v>
      </c>
      <c r="V34" s="3">
        <v>4</v>
      </c>
      <c r="W34" s="3" t="s">
        <v>298</v>
      </c>
      <c r="X34" s="3">
        <f>IF(W34&gt;0,VLOOKUP(W34,IF({1,0},Fish!$N:$N,Fish!$D:$D),2,FALSE),"")</f>
        <v>14020</v>
      </c>
      <c r="Y34" s="3">
        <v>15000</v>
      </c>
      <c r="Z34" s="3">
        <v>1</v>
      </c>
      <c r="AA34" s="3">
        <v>2</v>
      </c>
      <c r="AB34" s="3">
        <v>4</v>
      </c>
      <c r="AD34" s="3" t="str">
        <f>IF(AC34&gt;0,VLOOKUP(AC34,IF({1,0},Fish!$N:$N,Fish!$D:$D),2,FALSE),"")</f>
        <v/>
      </c>
    </row>
    <row r="35" spans="1:30">
      <c r="A35" s="3">
        <v>44412</v>
      </c>
      <c r="B35" s="3">
        <v>1</v>
      </c>
      <c r="C35" s="3">
        <v>1</v>
      </c>
      <c r="D35" s="3">
        <v>1</v>
      </c>
      <c r="E35" s="3" t="s">
        <v>194</v>
      </c>
      <c r="F35" s="3">
        <f>IF(E35&gt;0,VLOOKUP(E35,IF({1,0},Fish!$N:$N,Fish!$D:$D),2,FALSE),"")</f>
        <v>11001</v>
      </c>
      <c r="G35" s="3">
        <v>0</v>
      </c>
      <c r="H35" s="3">
        <v>1</v>
      </c>
      <c r="I35" s="3">
        <v>6</v>
      </c>
      <c r="J35" s="3">
        <v>12</v>
      </c>
      <c r="K35" s="3" t="s">
        <v>198</v>
      </c>
      <c r="L35" s="3">
        <f>IF(K35&gt;0,VLOOKUP(K35,IF({1,0},Fish!$N:$N,Fish!$D:$D),2,FALSE),"")</f>
        <v>11003</v>
      </c>
      <c r="M35" s="3">
        <v>0</v>
      </c>
      <c r="N35" s="3">
        <v>1</v>
      </c>
      <c r="O35" s="3">
        <v>6</v>
      </c>
      <c r="P35" s="3">
        <v>8</v>
      </c>
      <c r="R35" s="3" t="str">
        <f>IF(Q35&gt;0,VLOOKUP(Q35,IF({1,0},Fish!$N:$N,Fish!$D:$D),2,FALSE),"")</f>
        <v/>
      </c>
      <c r="X35" s="3" t="str">
        <f>IF(W35&gt;0,VLOOKUP(W35,IF({1,0},Fish!$N:$N,Fish!$D:$D),2,FALSE),"")</f>
        <v/>
      </c>
      <c r="AD35" s="3" t="str">
        <f>IF(AC35&gt;0,VLOOKUP(AC35,IF({1,0},Fish!$N:$N,Fish!$D:$D),2,FALSE),"")</f>
        <v/>
      </c>
    </row>
    <row r="36" spans="1:30">
      <c r="A36" s="3">
        <v>44412</v>
      </c>
      <c r="B36" s="3">
        <v>1</v>
      </c>
      <c r="C36" s="3">
        <v>1</v>
      </c>
      <c r="D36" s="3">
        <v>1</v>
      </c>
      <c r="E36" s="3" t="s">
        <v>194</v>
      </c>
      <c r="F36" s="3">
        <f>IF(E36&gt;0,VLOOKUP(E36,IF({1,0},Fish!$N:$N,Fish!$D:$D),2,FALSE),"")</f>
        <v>11001</v>
      </c>
      <c r="G36" s="3">
        <v>0</v>
      </c>
      <c r="H36" s="3">
        <v>1</v>
      </c>
      <c r="I36" s="3">
        <v>6</v>
      </c>
      <c r="J36" s="3">
        <v>12</v>
      </c>
      <c r="K36" s="3" t="s">
        <v>1036</v>
      </c>
      <c r="L36" s="3" t="e">
        <f>IF(K36&gt;0,VLOOKUP(K36,IF({1,0},Fish!$N:$N,Fish!$D:$D),2,FALSE),"")</f>
        <v>#N/A</v>
      </c>
      <c r="M36" s="3">
        <v>0</v>
      </c>
      <c r="N36" s="3">
        <v>1</v>
      </c>
      <c r="O36" s="3">
        <v>6</v>
      </c>
      <c r="P36" s="3">
        <v>8</v>
      </c>
      <c r="R36" s="3" t="str">
        <f>IF(Q36&gt;0,VLOOKUP(Q36,IF({1,0},Fish!$N:$N,Fish!$D:$D),2,FALSE),"")</f>
        <v/>
      </c>
      <c r="X36" s="3" t="str">
        <f>IF(W36&gt;0,VLOOKUP(W36,IF({1,0},Fish!$N:$N,Fish!$D:$D),2,FALSE),"")</f>
        <v/>
      </c>
      <c r="AD36" s="3" t="str">
        <f>IF(AC36&gt;0,VLOOKUP(AC36,IF({1,0},Fish!$N:$N,Fish!$D:$D),2,FALSE),"")</f>
        <v/>
      </c>
    </row>
    <row r="37" spans="1:30">
      <c r="A37" s="3">
        <v>44412</v>
      </c>
      <c r="B37" s="3">
        <v>1</v>
      </c>
      <c r="C37" s="3">
        <v>1</v>
      </c>
      <c r="D37" s="3">
        <v>1</v>
      </c>
      <c r="E37" s="3" t="s">
        <v>196</v>
      </c>
      <c r="F37" s="3">
        <f>IF(E37&gt;0,VLOOKUP(E37,IF({1,0},Fish!$N:$N,Fish!$D:$D),2,FALSE),"")</f>
        <v>11002</v>
      </c>
      <c r="G37" s="3">
        <v>0</v>
      </c>
      <c r="H37" s="3">
        <v>1</v>
      </c>
      <c r="I37" s="3">
        <v>6</v>
      </c>
      <c r="J37" s="3">
        <v>12</v>
      </c>
      <c r="K37" s="3" t="s">
        <v>198</v>
      </c>
      <c r="L37" s="3">
        <f>IF(K37&gt;0,VLOOKUP(K37,IF({1,0},Fish!$N:$N,Fish!$D:$D),2,FALSE),"")</f>
        <v>11003</v>
      </c>
      <c r="M37" s="3">
        <v>0</v>
      </c>
      <c r="N37" s="3">
        <v>1</v>
      </c>
      <c r="O37" s="3">
        <v>6</v>
      </c>
      <c r="P37" s="3">
        <v>8</v>
      </c>
      <c r="R37" s="3" t="str">
        <f>IF(Q37&gt;0,VLOOKUP(Q37,IF({1,0},Fish!$N:$N,Fish!$D:$D),2,FALSE),"")</f>
        <v/>
      </c>
      <c r="X37" s="3" t="str">
        <f>IF(W37&gt;0,VLOOKUP(W37,IF({1,0},Fish!$N:$N,Fish!$D:$D),2,FALSE),"")</f>
        <v/>
      </c>
      <c r="AD37" s="3" t="str">
        <f>IF(AC37&gt;0,VLOOKUP(AC37,IF({1,0},Fish!$N:$N,Fish!$D:$D),2,FALSE),"")</f>
        <v/>
      </c>
    </row>
    <row r="38" spans="1:30">
      <c r="A38" s="3">
        <v>44412</v>
      </c>
      <c r="B38" s="3">
        <v>1</v>
      </c>
      <c r="C38" s="3">
        <v>1</v>
      </c>
      <c r="D38" s="3">
        <v>1</v>
      </c>
      <c r="E38" s="3" t="s">
        <v>196</v>
      </c>
      <c r="F38" s="3">
        <f>IF(E38&gt;0,VLOOKUP(E38,IF({1,0},Fish!$N:$N,Fish!$D:$D),2,FALSE),"")</f>
        <v>11002</v>
      </c>
      <c r="G38" s="3">
        <v>0</v>
      </c>
      <c r="H38" s="3">
        <v>1</v>
      </c>
      <c r="I38" s="3">
        <v>6</v>
      </c>
      <c r="J38" s="3">
        <v>12</v>
      </c>
      <c r="K38" s="3" t="s">
        <v>1036</v>
      </c>
      <c r="L38" s="3" t="e">
        <f>IF(K38&gt;0,VLOOKUP(K38,IF({1,0},Fish!$N:$N,Fish!$D:$D),2,FALSE),"")</f>
        <v>#N/A</v>
      </c>
      <c r="M38" s="3">
        <v>0</v>
      </c>
      <c r="N38" s="3">
        <v>1</v>
      </c>
      <c r="O38" s="3">
        <v>6</v>
      </c>
      <c r="P38" s="3">
        <v>8</v>
      </c>
      <c r="R38" s="3" t="str">
        <f>IF(Q38&gt;0,VLOOKUP(Q38,IF({1,0},Fish!$N:$N,Fish!$D:$D),2,FALSE),"")</f>
        <v/>
      </c>
      <c r="X38" s="3" t="str">
        <f>IF(W38&gt;0,VLOOKUP(W38,IF({1,0},Fish!$N:$N,Fish!$D:$D),2,FALSE),"")</f>
        <v/>
      </c>
      <c r="AD38" s="3" t="str">
        <f>IF(AC38&gt;0,VLOOKUP(AC38,IF({1,0},Fish!$N:$N,Fish!$D:$D),2,FALSE),"")</f>
        <v/>
      </c>
    </row>
    <row r="39" spans="1:34">
      <c r="A39" s="3">
        <v>44412</v>
      </c>
      <c r="B39" s="3">
        <v>1</v>
      </c>
      <c r="C39" s="3">
        <v>2</v>
      </c>
      <c r="D39" s="3">
        <v>1</v>
      </c>
      <c r="E39" s="3" t="s">
        <v>208</v>
      </c>
      <c r="F39" s="3">
        <f>IF(E39&gt;0,VLOOKUP(E39,IF({1,0},Fish!$N:$N,Fish!$D:$D),2,FALSE),"")</f>
        <v>11008</v>
      </c>
      <c r="G39" s="3">
        <v>0</v>
      </c>
      <c r="H39" s="3">
        <v>1</v>
      </c>
      <c r="I39" s="3">
        <v>2</v>
      </c>
      <c r="J39" s="3">
        <v>4</v>
      </c>
      <c r="K39" s="3" t="s">
        <v>218</v>
      </c>
      <c r="L39" s="3">
        <f>IF(K39&gt;0,VLOOKUP(K39,IF({1,0},Fish!$N:$N,Fish!$D:$D),2,FALSE),"")</f>
        <v>11011</v>
      </c>
      <c r="M39" s="3">
        <v>0</v>
      </c>
      <c r="N39" s="3">
        <v>1</v>
      </c>
      <c r="O39" s="3">
        <v>2</v>
      </c>
      <c r="P39" s="3">
        <v>3</v>
      </c>
      <c r="Q39" s="3" t="s">
        <v>232</v>
      </c>
      <c r="R39" s="3">
        <f>IF(Q39&gt;0,VLOOKUP(Q39,IF({1,0},Fish!$N:$N,Fish!$D:$D),2,FALSE),"")</f>
        <v>11017</v>
      </c>
      <c r="S39" s="3">
        <v>0</v>
      </c>
      <c r="T39" s="3">
        <v>1</v>
      </c>
      <c r="U39" s="3">
        <v>1</v>
      </c>
      <c r="V39" s="3">
        <v>2</v>
      </c>
      <c r="W39" s="5" t="s">
        <v>228</v>
      </c>
      <c r="X39" s="3">
        <f>IF(W39&gt;0,VLOOKUP(W39,IF({1,0},Fish!$N:$N,Fish!$D:$D),2,FALSE),"")</f>
        <v>11015</v>
      </c>
      <c r="Y39" s="3">
        <v>0</v>
      </c>
      <c r="Z39" s="5">
        <v>1</v>
      </c>
      <c r="AA39" s="5">
        <v>1</v>
      </c>
      <c r="AB39" s="5">
        <v>2</v>
      </c>
      <c r="AC39" s="5" t="s">
        <v>222</v>
      </c>
      <c r="AD39" s="3">
        <f>IF(AC39&gt;0,VLOOKUP(AC39,IF({1,0},Fish!$N:$N,Fish!$D:$D),2,FALSE),"")</f>
        <v>11013</v>
      </c>
      <c r="AE39" s="3">
        <v>0</v>
      </c>
      <c r="AF39" s="5">
        <v>1</v>
      </c>
      <c r="AG39" s="5">
        <v>1</v>
      </c>
      <c r="AH39" s="5">
        <v>1</v>
      </c>
    </row>
    <row r="40" spans="1:34">
      <c r="A40" s="3">
        <v>44412</v>
      </c>
      <c r="B40" s="3">
        <v>1</v>
      </c>
      <c r="C40" s="3">
        <v>2</v>
      </c>
      <c r="D40" s="3">
        <v>1</v>
      </c>
      <c r="E40" s="3" t="s">
        <v>208</v>
      </c>
      <c r="F40" s="3">
        <f>IF(E40&gt;0,VLOOKUP(E40,IF({1,0},Fish!$N:$N,Fish!$D:$D),2,FALSE),"")</f>
        <v>11008</v>
      </c>
      <c r="G40" s="3">
        <v>0</v>
      </c>
      <c r="H40" s="3">
        <v>1</v>
      </c>
      <c r="I40" s="3">
        <v>2</v>
      </c>
      <c r="J40" s="3">
        <v>4</v>
      </c>
      <c r="K40" s="3" t="s">
        <v>218</v>
      </c>
      <c r="L40" s="3">
        <f>IF(K40&gt;0,VLOOKUP(K40,IF({1,0},Fish!$N:$N,Fish!$D:$D),2,FALSE),"")</f>
        <v>11011</v>
      </c>
      <c r="M40" s="3">
        <v>0</v>
      </c>
      <c r="N40" s="3">
        <v>1</v>
      </c>
      <c r="O40" s="3">
        <v>2</v>
      </c>
      <c r="P40" s="3">
        <v>3</v>
      </c>
      <c r="Q40" s="3" t="s">
        <v>232</v>
      </c>
      <c r="R40" s="3">
        <f>IF(Q40&gt;0,VLOOKUP(Q40,IF({1,0},Fish!$N:$N,Fish!$D:$D),2,FALSE),"")</f>
        <v>11017</v>
      </c>
      <c r="S40" s="3">
        <v>0</v>
      </c>
      <c r="T40" s="3">
        <v>1</v>
      </c>
      <c r="U40" s="3">
        <v>1</v>
      </c>
      <c r="V40" s="3">
        <v>2</v>
      </c>
      <c r="W40" s="5" t="s">
        <v>228</v>
      </c>
      <c r="X40" s="3">
        <f>IF(W40&gt;0,VLOOKUP(W40,IF({1,0},Fish!$N:$N,Fish!$D:$D),2,FALSE),"")</f>
        <v>11015</v>
      </c>
      <c r="Y40" s="3">
        <v>0</v>
      </c>
      <c r="Z40" s="5">
        <v>1</v>
      </c>
      <c r="AA40" s="5">
        <v>1</v>
      </c>
      <c r="AB40" s="5">
        <v>2</v>
      </c>
      <c r="AC40" s="5" t="s">
        <v>230</v>
      </c>
      <c r="AD40" s="3">
        <f>IF(AC40&gt;0,VLOOKUP(AC40,IF({1,0},Fish!$N:$N,Fish!$D:$D),2,FALSE),"")</f>
        <v>11016</v>
      </c>
      <c r="AE40" s="3">
        <v>0</v>
      </c>
      <c r="AF40" s="5">
        <v>1</v>
      </c>
      <c r="AG40" s="5">
        <v>1</v>
      </c>
      <c r="AH40" s="5">
        <v>1</v>
      </c>
    </row>
    <row r="41" spans="1:34">
      <c r="A41" s="3">
        <v>44412</v>
      </c>
      <c r="B41" s="3">
        <v>1</v>
      </c>
      <c r="C41" s="3">
        <v>2</v>
      </c>
      <c r="D41" s="3">
        <v>1</v>
      </c>
      <c r="E41" s="3" t="s">
        <v>208</v>
      </c>
      <c r="F41" s="3">
        <f>IF(E41&gt;0,VLOOKUP(E41,IF({1,0},Fish!$N:$N,Fish!$D:$D),2,FALSE),"")</f>
        <v>11008</v>
      </c>
      <c r="G41" s="3">
        <v>0</v>
      </c>
      <c r="H41" s="3">
        <v>1</v>
      </c>
      <c r="I41" s="3">
        <v>2</v>
      </c>
      <c r="J41" s="3">
        <v>4</v>
      </c>
      <c r="K41" s="3" t="s">
        <v>218</v>
      </c>
      <c r="L41" s="3">
        <f>IF(K41&gt;0,VLOOKUP(K41,IF({1,0},Fish!$N:$N,Fish!$D:$D),2,FALSE),"")</f>
        <v>11011</v>
      </c>
      <c r="M41" s="3">
        <v>0</v>
      </c>
      <c r="N41" s="3">
        <v>1</v>
      </c>
      <c r="O41" s="3">
        <v>2</v>
      </c>
      <c r="P41" s="3">
        <v>3</v>
      </c>
      <c r="Q41" s="3" t="s">
        <v>232</v>
      </c>
      <c r="R41" s="3">
        <f>IF(Q41&gt;0,VLOOKUP(Q41,IF({1,0},Fish!$N:$N,Fish!$D:$D),2,FALSE),"")</f>
        <v>11017</v>
      </c>
      <c r="S41" s="3">
        <v>0</v>
      </c>
      <c r="T41" s="3">
        <v>1</v>
      </c>
      <c r="U41" s="3">
        <v>1</v>
      </c>
      <c r="V41" s="3">
        <v>2</v>
      </c>
      <c r="W41" s="5" t="s">
        <v>242</v>
      </c>
      <c r="X41" s="3">
        <f>IF(W41&gt;0,VLOOKUP(W41,IF({1,0},Fish!$N:$N,Fish!$D:$D),2,FALSE),"")</f>
        <v>11020</v>
      </c>
      <c r="Y41" s="3">
        <v>0</v>
      </c>
      <c r="Z41" s="5">
        <v>1</v>
      </c>
      <c r="AA41" s="5">
        <v>1</v>
      </c>
      <c r="AB41" s="5">
        <v>2</v>
      </c>
      <c r="AC41" s="5" t="s">
        <v>222</v>
      </c>
      <c r="AD41" s="3">
        <f>IF(AC41&gt;0,VLOOKUP(AC41,IF({1,0},Fish!$N:$N,Fish!$D:$D),2,FALSE),"")</f>
        <v>11013</v>
      </c>
      <c r="AE41" s="3">
        <v>0</v>
      </c>
      <c r="AF41" s="5">
        <v>1</v>
      </c>
      <c r="AG41" s="5">
        <v>1</v>
      </c>
      <c r="AH41" s="5">
        <v>1</v>
      </c>
    </row>
    <row r="42" spans="1:34">
      <c r="A42" s="3">
        <v>44412</v>
      </c>
      <c r="B42" s="3">
        <v>1</v>
      </c>
      <c r="C42" s="3">
        <v>2</v>
      </c>
      <c r="D42" s="3">
        <v>1</v>
      </c>
      <c r="E42" s="3" t="s">
        <v>208</v>
      </c>
      <c r="F42" s="3">
        <f>IF(E42&gt;0,VLOOKUP(E42,IF({1,0},Fish!$N:$N,Fish!$D:$D),2,FALSE),"")</f>
        <v>11008</v>
      </c>
      <c r="G42" s="3">
        <v>0</v>
      </c>
      <c r="H42" s="3">
        <v>1</v>
      </c>
      <c r="I42" s="3">
        <v>2</v>
      </c>
      <c r="J42" s="3">
        <v>4</v>
      </c>
      <c r="K42" s="3" t="s">
        <v>218</v>
      </c>
      <c r="L42" s="3">
        <f>IF(K42&gt;0,VLOOKUP(K42,IF({1,0},Fish!$N:$N,Fish!$D:$D),2,FALSE),"")</f>
        <v>11011</v>
      </c>
      <c r="M42" s="3">
        <v>0</v>
      </c>
      <c r="N42" s="3">
        <v>1</v>
      </c>
      <c r="O42" s="3">
        <v>2</v>
      </c>
      <c r="P42" s="3">
        <v>3</v>
      </c>
      <c r="Q42" s="3" t="s">
        <v>232</v>
      </c>
      <c r="R42" s="3">
        <f>IF(Q42&gt;0,VLOOKUP(Q42,IF({1,0},Fish!$N:$N,Fish!$D:$D),2,FALSE),"")</f>
        <v>11017</v>
      </c>
      <c r="S42" s="3">
        <v>0</v>
      </c>
      <c r="T42" s="3">
        <v>1</v>
      </c>
      <c r="U42" s="3">
        <v>1</v>
      </c>
      <c r="V42" s="3">
        <v>2</v>
      </c>
      <c r="W42" s="5" t="s">
        <v>242</v>
      </c>
      <c r="X42" s="3">
        <f>IF(W42&gt;0,VLOOKUP(W42,IF({1,0},Fish!$N:$N,Fish!$D:$D),2,FALSE),"")</f>
        <v>11020</v>
      </c>
      <c r="Y42" s="3">
        <v>0</v>
      </c>
      <c r="Z42" s="5">
        <v>1</v>
      </c>
      <c r="AA42" s="5">
        <v>1</v>
      </c>
      <c r="AB42" s="5">
        <v>2</v>
      </c>
      <c r="AC42" s="5" t="s">
        <v>230</v>
      </c>
      <c r="AD42" s="3">
        <f>IF(AC42&gt;0,VLOOKUP(AC42,IF({1,0},Fish!$N:$N,Fish!$D:$D),2,FALSE),"")</f>
        <v>11016</v>
      </c>
      <c r="AE42" s="3">
        <v>0</v>
      </c>
      <c r="AF42" s="5">
        <v>1</v>
      </c>
      <c r="AG42" s="5">
        <v>1</v>
      </c>
      <c r="AH42" s="5">
        <v>1</v>
      </c>
    </row>
    <row r="43" spans="1:34">
      <c r="A43" s="3">
        <v>44412</v>
      </c>
      <c r="B43" s="3">
        <v>1</v>
      </c>
      <c r="C43" s="3">
        <v>2</v>
      </c>
      <c r="D43" s="3">
        <v>1</v>
      </c>
      <c r="E43" s="3" t="s">
        <v>208</v>
      </c>
      <c r="F43" s="3">
        <f>IF(E43&gt;0,VLOOKUP(E43,IF({1,0},Fish!$N:$N,Fish!$D:$D),2,FALSE),"")</f>
        <v>11008</v>
      </c>
      <c r="G43" s="3">
        <v>0</v>
      </c>
      <c r="H43" s="3">
        <v>1</v>
      </c>
      <c r="I43" s="3">
        <v>2</v>
      </c>
      <c r="J43" s="3">
        <v>4</v>
      </c>
      <c r="K43" s="3" t="s">
        <v>218</v>
      </c>
      <c r="L43" s="3">
        <f>IF(K43&gt;0,VLOOKUP(K43,IF({1,0},Fish!$N:$N,Fish!$D:$D),2,FALSE),"")</f>
        <v>11011</v>
      </c>
      <c r="M43" s="3">
        <v>0</v>
      </c>
      <c r="N43" s="3">
        <v>1</v>
      </c>
      <c r="O43" s="3">
        <v>2</v>
      </c>
      <c r="P43" s="3">
        <v>3</v>
      </c>
      <c r="Q43" s="3" t="s">
        <v>220</v>
      </c>
      <c r="R43" s="3">
        <f>IF(Q43&gt;0,VLOOKUP(Q43,IF({1,0},Fish!$N:$N,Fish!$D:$D),2,FALSE),"")</f>
        <v>11012</v>
      </c>
      <c r="S43" s="3">
        <v>0</v>
      </c>
      <c r="T43" s="3">
        <v>1</v>
      </c>
      <c r="U43" s="3">
        <v>1</v>
      </c>
      <c r="V43" s="3">
        <v>2</v>
      </c>
      <c r="W43" s="5" t="s">
        <v>228</v>
      </c>
      <c r="X43" s="3">
        <f>IF(W43&gt;0,VLOOKUP(W43,IF({1,0},Fish!$N:$N,Fish!$D:$D),2,FALSE),"")</f>
        <v>11015</v>
      </c>
      <c r="Y43" s="3">
        <v>0</v>
      </c>
      <c r="Z43" s="5">
        <v>1</v>
      </c>
      <c r="AA43" s="5">
        <v>1</v>
      </c>
      <c r="AB43" s="5">
        <v>2</v>
      </c>
      <c r="AC43" s="5" t="s">
        <v>222</v>
      </c>
      <c r="AD43" s="3">
        <f>IF(AC43&gt;0,VLOOKUP(AC43,IF({1,0},Fish!$N:$N,Fish!$D:$D),2,FALSE),"")</f>
        <v>11013</v>
      </c>
      <c r="AE43" s="3">
        <v>0</v>
      </c>
      <c r="AF43" s="5">
        <v>1</v>
      </c>
      <c r="AG43" s="5">
        <v>1</v>
      </c>
      <c r="AH43" s="5">
        <v>1</v>
      </c>
    </row>
    <row r="44" spans="1:34">
      <c r="A44" s="3">
        <v>44412</v>
      </c>
      <c r="B44" s="3">
        <v>1</v>
      </c>
      <c r="C44" s="3">
        <v>2</v>
      </c>
      <c r="D44" s="3">
        <v>1</v>
      </c>
      <c r="E44" s="3" t="s">
        <v>208</v>
      </c>
      <c r="F44" s="3">
        <f>IF(E44&gt;0,VLOOKUP(E44,IF({1,0},Fish!$N:$N,Fish!$D:$D),2,FALSE),"")</f>
        <v>11008</v>
      </c>
      <c r="G44" s="3">
        <v>0</v>
      </c>
      <c r="H44" s="3">
        <v>1</v>
      </c>
      <c r="I44" s="3">
        <v>2</v>
      </c>
      <c r="J44" s="3">
        <v>4</v>
      </c>
      <c r="K44" s="3" t="s">
        <v>218</v>
      </c>
      <c r="L44" s="3">
        <f>IF(K44&gt;0,VLOOKUP(K44,IF({1,0},Fish!$N:$N,Fish!$D:$D),2,FALSE),"")</f>
        <v>11011</v>
      </c>
      <c r="M44" s="3">
        <v>0</v>
      </c>
      <c r="N44" s="3">
        <v>1</v>
      </c>
      <c r="O44" s="3">
        <v>2</v>
      </c>
      <c r="P44" s="3">
        <v>3</v>
      </c>
      <c r="Q44" s="3" t="s">
        <v>220</v>
      </c>
      <c r="R44" s="3">
        <f>IF(Q44&gt;0,VLOOKUP(Q44,IF({1,0},Fish!$N:$N,Fish!$D:$D),2,FALSE),"")</f>
        <v>11012</v>
      </c>
      <c r="S44" s="3">
        <v>0</v>
      </c>
      <c r="T44" s="3">
        <v>1</v>
      </c>
      <c r="U44" s="3">
        <v>1</v>
      </c>
      <c r="V44" s="3">
        <v>2</v>
      </c>
      <c r="W44" s="5" t="s">
        <v>228</v>
      </c>
      <c r="X44" s="3">
        <f>IF(W44&gt;0,VLOOKUP(W44,IF({1,0},Fish!$N:$N,Fish!$D:$D),2,FALSE),"")</f>
        <v>11015</v>
      </c>
      <c r="Y44" s="3">
        <v>0</v>
      </c>
      <c r="Z44" s="5">
        <v>1</v>
      </c>
      <c r="AA44" s="5">
        <v>1</v>
      </c>
      <c r="AB44" s="5">
        <v>2</v>
      </c>
      <c r="AC44" s="5" t="s">
        <v>230</v>
      </c>
      <c r="AD44" s="3">
        <f>IF(AC44&gt;0,VLOOKUP(AC44,IF({1,0},Fish!$N:$N,Fish!$D:$D),2,FALSE),"")</f>
        <v>11016</v>
      </c>
      <c r="AE44" s="3">
        <v>0</v>
      </c>
      <c r="AF44" s="5">
        <v>1</v>
      </c>
      <c r="AG44" s="5">
        <v>1</v>
      </c>
      <c r="AH44" s="5">
        <v>1</v>
      </c>
    </row>
    <row r="45" spans="1:34">
      <c r="A45" s="3">
        <v>44412</v>
      </c>
      <c r="B45" s="3">
        <v>1</v>
      </c>
      <c r="C45" s="3">
        <v>2</v>
      </c>
      <c r="D45" s="3">
        <v>1</v>
      </c>
      <c r="E45" s="3" t="s">
        <v>208</v>
      </c>
      <c r="F45" s="3">
        <f>IF(E45&gt;0,VLOOKUP(E45,IF({1,0},Fish!$N:$N,Fish!$D:$D),2,FALSE),"")</f>
        <v>11008</v>
      </c>
      <c r="G45" s="3">
        <v>0</v>
      </c>
      <c r="H45" s="3">
        <v>1</v>
      </c>
      <c r="I45" s="3">
        <v>2</v>
      </c>
      <c r="J45" s="3">
        <v>4</v>
      </c>
      <c r="K45" s="3" t="s">
        <v>218</v>
      </c>
      <c r="L45" s="3">
        <f>IF(K45&gt;0,VLOOKUP(K45,IF({1,0},Fish!$N:$N,Fish!$D:$D),2,FALSE),"")</f>
        <v>11011</v>
      </c>
      <c r="M45" s="3">
        <v>0</v>
      </c>
      <c r="N45" s="3">
        <v>1</v>
      </c>
      <c r="O45" s="3">
        <v>2</v>
      </c>
      <c r="P45" s="3">
        <v>3</v>
      </c>
      <c r="Q45" s="3" t="s">
        <v>220</v>
      </c>
      <c r="R45" s="3">
        <f>IF(Q45&gt;0,VLOOKUP(Q45,IF({1,0},Fish!$N:$N,Fish!$D:$D),2,FALSE),"")</f>
        <v>11012</v>
      </c>
      <c r="S45" s="3">
        <v>0</v>
      </c>
      <c r="T45" s="3">
        <v>1</v>
      </c>
      <c r="U45" s="3">
        <v>1</v>
      </c>
      <c r="V45" s="3">
        <v>2</v>
      </c>
      <c r="W45" s="5" t="s">
        <v>242</v>
      </c>
      <c r="X45" s="3">
        <f>IF(W45&gt;0,VLOOKUP(W45,IF({1,0},Fish!$N:$N,Fish!$D:$D),2,FALSE),"")</f>
        <v>11020</v>
      </c>
      <c r="Y45" s="3">
        <v>0</v>
      </c>
      <c r="Z45" s="5">
        <v>1</v>
      </c>
      <c r="AA45" s="5">
        <v>1</v>
      </c>
      <c r="AB45" s="5">
        <v>2</v>
      </c>
      <c r="AC45" s="5" t="s">
        <v>222</v>
      </c>
      <c r="AD45" s="3">
        <f>IF(AC45&gt;0,VLOOKUP(AC45,IF({1,0},Fish!$N:$N,Fish!$D:$D),2,FALSE),"")</f>
        <v>11013</v>
      </c>
      <c r="AE45" s="3">
        <v>0</v>
      </c>
      <c r="AF45" s="5">
        <v>1</v>
      </c>
      <c r="AG45" s="5">
        <v>1</v>
      </c>
      <c r="AH45" s="5">
        <v>1</v>
      </c>
    </row>
    <row r="46" spans="1:34">
      <c r="A46" s="3">
        <v>44412</v>
      </c>
      <c r="B46" s="3">
        <v>1</v>
      </c>
      <c r="C46" s="3">
        <v>2</v>
      </c>
      <c r="D46" s="3">
        <v>1</v>
      </c>
      <c r="E46" s="3" t="s">
        <v>208</v>
      </c>
      <c r="F46" s="3">
        <f>IF(E46&gt;0,VLOOKUP(E46,IF({1,0},Fish!$N:$N,Fish!$D:$D),2,FALSE),"")</f>
        <v>11008</v>
      </c>
      <c r="G46" s="3">
        <v>0</v>
      </c>
      <c r="H46" s="3">
        <v>1</v>
      </c>
      <c r="I46" s="3">
        <v>2</v>
      </c>
      <c r="J46" s="3">
        <v>4</v>
      </c>
      <c r="K46" s="3" t="s">
        <v>218</v>
      </c>
      <c r="L46" s="3">
        <f>IF(K46&gt;0,VLOOKUP(K46,IF({1,0},Fish!$N:$N,Fish!$D:$D),2,FALSE),"")</f>
        <v>11011</v>
      </c>
      <c r="M46" s="3">
        <v>0</v>
      </c>
      <c r="N46" s="3">
        <v>1</v>
      </c>
      <c r="O46" s="3">
        <v>2</v>
      </c>
      <c r="P46" s="3">
        <v>3</v>
      </c>
      <c r="Q46" s="3" t="s">
        <v>220</v>
      </c>
      <c r="R46" s="3">
        <f>IF(Q46&gt;0,VLOOKUP(Q46,IF({1,0},Fish!$N:$N,Fish!$D:$D),2,FALSE),"")</f>
        <v>11012</v>
      </c>
      <c r="S46" s="3">
        <v>0</v>
      </c>
      <c r="T46" s="3">
        <v>1</v>
      </c>
      <c r="U46" s="3">
        <v>1</v>
      </c>
      <c r="V46" s="3">
        <v>2</v>
      </c>
      <c r="W46" s="5" t="s">
        <v>242</v>
      </c>
      <c r="X46" s="3">
        <f>IF(W46&gt;0,VLOOKUP(W46,IF({1,0},Fish!$N:$N,Fish!$D:$D),2,FALSE),"")</f>
        <v>11020</v>
      </c>
      <c r="Y46" s="3">
        <v>0</v>
      </c>
      <c r="Z46" s="5">
        <v>1</v>
      </c>
      <c r="AA46" s="5">
        <v>1</v>
      </c>
      <c r="AB46" s="5">
        <v>2</v>
      </c>
      <c r="AC46" s="5" t="s">
        <v>230</v>
      </c>
      <c r="AD46" s="3">
        <f>IF(AC46&gt;0,VLOOKUP(AC46,IF({1,0},Fish!$N:$N,Fish!$D:$D),2,FALSE),"")</f>
        <v>11016</v>
      </c>
      <c r="AE46" s="3">
        <v>0</v>
      </c>
      <c r="AF46" s="5">
        <v>1</v>
      </c>
      <c r="AG46" s="5">
        <v>1</v>
      </c>
      <c r="AH46" s="5">
        <v>1</v>
      </c>
    </row>
    <row r="47" spans="1:34">
      <c r="A47" s="3">
        <v>44412</v>
      </c>
      <c r="B47" s="3">
        <v>1</v>
      </c>
      <c r="C47" s="3">
        <v>2</v>
      </c>
      <c r="D47" s="3">
        <v>1</v>
      </c>
      <c r="E47" s="3" t="s">
        <v>208</v>
      </c>
      <c r="F47" s="3">
        <f>IF(E47&gt;0,VLOOKUP(E47,IF({1,0},Fish!$N:$N,Fish!$D:$D),2,FALSE),"")</f>
        <v>11008</v>
      </c>
      <c r="G47" s="3">
        <v>0</v>
      </c>
      <c r="H47" s="3">
        <v>1</v>
      </c>
      <c r="I47" s="3">
        <v>2</v>
      </c>
      <c r="J47" s="3">
        <v>4</v>
      </c>
      <c r="K47" s="3" t="s">
        <v>216</v>
      </c>
      <c r="L47" s="3">
        <f>IF(K47&gt;0,VLOOKUP(K47,IF({1,0},Fish!$N:$N,Fish!$D:$D),2,FALSE),"")</f>
        <v>11010</v>
      </c>
      <c r="M47" s="3">
        <v>0</v>
      </c>
      <c r="N47" s="3">
        <v>1</v>
      </c>
      <c r="O47" s="3">
        <v>2</v>
      </c>
      <c r="P47" s="3">
        <v>3</v>
      </c>
      <c r="Q47" s="3" t="s">
        <v>232</v>
      </c>
      <c r="R47" s="3">
        <f>IF(Q47&gt;0,VLOOKUP(Q47,IF({1,0},Fish!$N:$N,Fish!$D:$D),2,FALSE),"")</f>
        <v>11017</v>
      </c>
      <c r="S47" s="3">
        <v>0</v>
      </c>
      <c r="T47" s="3">
        <v>1</v>
      </c>
      <c r="U47" s="3">
        <v>1</v>
      </c>
      <c r="V47" s="3">
        <v>2</v>
      </c>
      <c r="W47" s="5" t="s">
        <v>228</v>
      </c>
      <c r="X47" s="3">
        <f>IF(W47&gt;0,VLOOKUP(W47,IF({1,0},Fish!$N:$N,Fish!$D:$D),2,FALSE),"")</f>
        <v>11015</v>
      </c>
      <c r="Y47" s="3">
        <v>0</v>
      </c>
      <c r="Z47" s="5">
        <v>1</v>
      </c>
      <c r="AA47" s="5">
        <v>1</v>
      </c>
      <c r="AB47" s="5">
        <v>2</v>
      </c>
      <c r="AC47" s="5" t="s">
        <v>222</v>
      </c>
      <c r="AD47" s="3">
        <f>IF(AC47&gt;0,VLOOKUP(AC47,IF({1,0},Fish!$N:$N,Fish!$D:$D),2,FALSE),"")</f>
        <v>11013</v>
      </c>
      <c r="AE47" s="3">
        <v>0</v>
      </c>
      <c r="AF47" s="5">
        <v>1</v>
      </c>
      <c r="AG47" s="5">
        <v>1</v>
      </c>
      <c r="AH47" s="5">
        <v>1</v>
      </c>
    </row>
    <row r="48" spans="1:34">
      <c r="A48" s="3">
        <v>44412</v>
      </c>
      <c r="B48" s="3">
        <v>1</v>
      </c>
      <c r="C48" s="3">
        <v>2</v>
      </c>
      <c r="D48" s="3">
        <v>1</v>
      </c>
      <c r="E48" s="3" t="s">
        <v>208</v>
      </c>
      <c r="F48" s="3">
        <f>IF(E48&gt;0,VLOOKUP(E48,IF({1,0},Fish!$N:$N,Fish!$D:$D),2,FALSE),"")</f>
        <v>11008</v>
      </c>
      <c r="G48" s="3">
        <v>0</v>
      </c>
      <c r="H48" s="3">
        <v>1</v>
      </c>
      <c r="I48" s="3">
        <v>2</v>
      </c>
      <c r="J48" s="3">
        <v>4</v>
      </c>
      <c r="K48" s="3" t="s">
        <v>216</v>
      </c>
      <c r="L48" s="3">
        <f>IF(K48&gt;0,VLOOKUP(K48,IF({1,0},Fish!$N:$N,Fish!$D:$D),2,FALSE),"")</f>
        <v>11010</v>
      </c>
      <c r="M48" s="3">
        <v>0</v>
      </c>
      <c r="N48" s="3">
        <v>1</v>
      </c>
      <c r="O48" s="3">
        <v>2</v>
      </c>
      <c r="P48" s="3">
        <v>3</v>
      </c>
      <c r="Q48" s="3" t="s">
        <v>232</v>
      </c>
      <c r="R48" s="3">
        <f>IF(Q48&gt;0,VLOOKUP(Q48,IF({1,0},Fish!$N:$N,Fish!$D:$D),2,FALSE),"")</f>
        <v>11017</v>
      </c>
      <c r="S48" s="3">
        <v>0</v>
      </c>
      <c r="T48" s="3">
        <v>1</v>
      </c>
      <c r="U48" s="3">
        <v>1</v>
      </c>
      <c r="V48" s="3">
        <v>2</v>
      </c>
      <c r="W48" s="5" t="s">
        <v>228</v>
      </c>
      <c r="X48" s="3">
        <f>IF(W48&gt;0,VLOOKUP(W48,IF({1,0},Fish!$N:$N,Fish!$D:$D),2,FALSE),"")</f>
        <v>11015</v>
      </c>
      <c r="Y48" s="3">
        <v>0</v>
      </c>
      <c r="Z48" s="5">
        <v>1</v>
      </c>
      <c r="AA48" s="5">
        <v>1</v>
      </c>
      <c r="AB48" s="5">
        <v>2</v>
      </c>
      <c r="AC48" s="5" t="s">
        <v>230</v>
      </c>
      <c r="AD48" s="3">
        <f>IF(AC48&gt;0,VLOOKUP(AC48,IF({1,0},Fish!$N:$N,Fish!$D:$D),2,FALSE),"")</f>
        <v>11016</v>
      </c>
      <c r="AE48" s="3">
        <v>0</v>
      </c>
      <c r="AF48" s="5">
        <v>1</v>
      </c>
      <c r="AG48" s="5">
        <v>1</v>
      </c>
      <c r="AH48" s="5">
        <v>1</v>
      </c>
    </row>
    <row r="49" spans="1:34">
      <c r="A49" s="3">
        <v>44412</v>
      </c>
      <c r="B49" s="3">
        <v>1</v>
      </c>
      <c r="C49" s="3">
        <v>2</v>
      </c>
      <c r="D49" s="3">
        <v>1</v>
      </c>
      <c r="E49" s="3" t="s">
        <v>208</v>
      </c>
      <c r="F49" s="3">
        <f>IF(E49&gt;0,VLOOKUP(E49,IF({1,0},Fish!$N:$N,Fish!$D:$D),2,FALSE),"")</f>
        <v>11008</v>
      </c>
      <c r="G49" s="3">
        <v>0</v>
      </c>
      <c r="H49" s="3">
        <v>1</v>
      </c>
      <c r="I49" s="3">
        <v>2</v>
      </c>
      <c r="J49" s="3">
        <v>4</v>
      </c>
      <c r="K49" s="3" t="s">
        <v>216</v>
      </c>
      <c r="L49" s="3">
        <f>IF(K49&gt;0,VLOOKUP(K49,IF({1,0},Fish!$N:$N,Fish!$D:$D),2,FALSE),"")</f>
        <v>11010</v>
      </c>
      <c r="M49" s="3">
        <v>0</v>
      </c>
      <c r="N49" s="3">
        <v>1</v>
      </c>
      <c r="O49" s="3">
        <v>2</v>
      </c>
      <c r="P49" s="3">
        <v>3</v>
      </c>
      <c r="Q49" s="3" t="s">
        <v>232</v>
      </c>
      <c r="R49" s="3">
        <f>IF(Q49&gt;0,VLOOKUP(Q49,IF({1,0},Fish!$N:$N,Fish!$D:$D),2,FALSE),"")</f>
        <v>11017</v>
      </c>
      <c r="S49" s="3">
        <v>0</v>
      </c>
      <c r="T49" s="3">
        <v>1</v>
      </c>
      <c r="U49" s="3">
        <v>1</v>
      </c>
      <c r="V49" s="3">
        <v>2</v>
      </c>
      <c r="W49" s="5" t="s">
        <v>242</v>
      </c>
      <c r="X49" s="3">
        <f>IF(W49&gt;0,VLOOKUP(W49,IF({1,0},Fish!$N:$N,Fish!$D:$D),2,FALSE),"")</f>
        <v>11020</v>
      </c>
      <c r="Y49" s="3">
        <v>0</v>
      </c>
      <c r="Z49" s="5">
        <v>1</v>
      </c>
      <c r="AA49" s="5">
        <v>1</v>
      </c>
      <c r="AB49" s="5">
        <v>2</v>
      </c>
      <c r="AC49" s="5" t="s">
        <v>222</v>
      </c>
      <c r="AD49" s="3">
        <f>IF(AC49&gt;0,VLOOKUP(AC49,IF({1,0},Fish!$N:$N,Fish!$D:$D),2,FALSE),"")</f>
        <v>11013</v>
      </c>
      <c r="AE49" s="3">
        <v>0</v>
      </c>
      <c r="AF49" s="5">
        <v>1</v>
      </c>
      <c r="AG49" s="5">
        <v>1</v>
      </c>
      <c r="AH49" s="5">
        <v>1</v>
      </c>
    </row>
    <row r="50" spans="1:34">
      <c r="A50" s="3">
        <v>44412</v>
      </c>
      <c r="B50" s="3">
        <v>1</v>
      </c>
      <c r="C50" s="3">
        <v>2</v>
      </c>
      <c r="D50" s="3">
        <v>1</v>
      </c>
      <c r="E50" s="3" t="s">
        <v>208</v>
      </c>
      <c r="F50" s="3">
        <f>IF(E50&gt;0,VLOOKUP(E50,IF({1,0},Fish!$N:$N,Fish!$D:$D),2,FALSE),"")</f>
        <v>11008</v>
      </c>
      <c r="G50" s="3">
        <v>0</v>
      </c>
      <c r="H50" s="3">
        <v>1</v>
      </c>
      <c r="I50" s="3">
        <v>2</v>
      </c>
      <c r="J50" s="3">
        <v>4</v>
      </c>
      <c r="K50" s="3" t="s">
        <v>216</v>
      </c>
      <c r="L50" s="3">
        <f>IF(K50&gt;0,VLOOKUP(K50,IF({1,0},Fish!$N:$N,Fish!$D:$D),2,FALSE),"")</f>
        <v>11010</v>
      </c>
      <c r="M50" s="3">
        <v>0</v>
      </c>
      <c r="N50" s="3">
        <v>1</v>
      </c>
      <c r="O50" s="3">
        <v>2</v>
      </c>
      <c r="P50" s="3">
        <v>3</v>
      </c>
      <c r="Q50" s="3" t="s">
        <v>232</v>
      </c>
      <c r="R50" s="3">
        <f>IF(Q50&gt;0,VLOOKUP(Q50,IF({1,0},Fish!$N:$N,Fish!$D:$D),2,FALSE),"")</f>
        <v>11017</v>
      </c>
      <c r="S50" s="3">
        <v>0</v>
      </c>
      <c r="T50" s="3">
        <v>1</v>
      </c>
      <c r="U50" s="3">
        <v>1</v>
      </c>
      <c r="V50" s="3">
        <v>2</v>
      </c>
      <c r="W50" s="5" t="s">
        <v>242</v>
      </c>
      <c r="X50" s="3">
        <f>IF(W50&gt;0,VLOOKUP(W50,IF({1,0},Fish!$N:$N,Fish!$D:$D),2,FALSE),"")</f>
        <v>11020</v>
      </c>
      <c r="Y50" s="3">
        <v>0</v>
      </c>
      <c r="Z50" s="5">
        <v>1</v>
      </c>
      <c r="AA50" s="5">
        <v>1</v>
      </c>
      <c r="AB50" s="5">
        <v>2</v>
      </c>
      <c r="AC50" s="5" t="s">
        <v>230</v>
      </c>
      <c r="AD50" s="3">
        <f>IF(AC50&gt;0,VLOOKUP(AC50,IF({1,0},Fish!$N:$N,Fish!$D:$D),2,FALSE),"")</f>
        <v>11016</v>
      </c>
      <c r="AE50" s="3">
        <v>0</v>
      </c>
      <c r="AF50" s="5">
        <v>1</v>
      </c>
      <c r="AG50" s="5">
        <v>1</v>
      </c>
      <c r="AH50" s="5">
        <v>1</v>
      </c>
    </row>
    <row r="51" spans="1:34">
      <c r="A51" s="3">
        <v>44412</v>
      </c>
      <c r="B51" s="3">
        <v>1</v>
      </c>
      <c r="C51" s="3">
        <v>2</v>
      </c>
      <c r="D51" s="3">
        <v>1</v>
      </c>
      <c r="E51" s="3" t="s">
        <v>208</v>
      </c>
      <c r="F51" s="3">
        <f>IF(E51&gt;0,VLOOKUP(E51,IF({1,0},Fish!$N:$N,Fish!$D:$D),2,FALSE),"")</f>
        <v>11008</v>
      </c>
      <c r="G51" s="3">
        <v>0</v>
      </c>
      <c r="H51" s="3">
        <v>1</v>
      </c>
      <c r="I51" s="3">
        <v>2</v>
      </c>
      <c r="J51" s="3">
        <v>4</v>
      </c>
      <c r="K51" s="3" t="s">
        <v>216</v>
      </c>
      <c r="L51" s="3">
        <f>IF(K51&gt;0,VLOOKUP(K51,IF({1,0},Fish!$N:$N,Fish!$D:$D),2,FALSE),"")</f>
        <v>11010</v>
      </c>
      <c r="M51" s="3">
        <v>0</v>
      </c>
      <c r="N51" s="3">
        <v>1</v>
      </c>
      <c r="O51" s="3">
        <v>2</v>
      </c>
      <c r="P51" s="3">
        <v>3</v>
      </c>
      <c r="Q51" s="3" t="s">
        <v>220</v>
      </c>
      <c r="R51" s="3">
        <f>IF(Q51&gt;0,VLOOKUP(Q51,IF({1,0},Fish!$N:$N,Fish!$D:$D),2,FALSE),"")</f>
        <v>11012</v>
      </c>
      <c r="S51" s="3">
        <v>0</v>
      </c>
      <c r="T51" s="3">
        <v>1</v>
      </c>
      <c r="U51" s="3">
        <v>1</v>
      </c>
      <c r="V51" s="3">
        <v>2</v>
      </c>
      <c r="W51" s="5" t="s">
        <v>228</v>
      </c>
      <c r="X51" s="3">
        <f>IF(W51&gt;0,VLOOKUP(W51,IF({1,0},Fish!$N:$N,Fish!$D:$D),2,FALSE),"")</f>
        <v>11015</v>
      </c>
      <c r="Y51" s="3">
        <v>0</v>
      </c>
      <c r="Z51" s="5">
        <v>1</v>
      </c>
      <c r="AA51" s="5">
        <v>1</v>
      </c>
      <c r="AB51" s="5">
        <v>2</v>
      </c>
      <c r="AC51" s="5" t="s">
        <v>222</v>
      </c>
      <c r="AD51" s="3">
        <f>IF(AC51&gt;0,VLOOKUP(AC51,IF({1,0},Fish!$N:$N,Fish!$D:$D),2,FALSE),"")</f>
        <v>11013</v>
      </c>
      <c r="AE51" s="3">
        <v>0</v>
      </c>
      <c r="AF51" s="5">
        <v>1</v>
      </c>
      <c r="AG51" s="5">
        <v>1</v>
      </c>
      <c r="AH51" s="5">
        <v>1</v>
      </c>
    </row>
    <row r="52" spans="1:34">
      <c r="A52" s="3">
        <v>44412</v>
      </c>
      <c r="B52" s="3">
        <v>1</v>
      </c>
      <c r="C52" s="3">
        <v>2</v>
      </c>
      <c r="D52" s="3">
        <v>1</v>
      </c>
      <c r="E52" s="3" t="s">
        <v>208</v>
      </c>
      <c r="F52" s="3">
        <f>IF(E52&gt;0,VLOOKUP(E52,IF({1,0},Fish!$N:$N,Fish!$D:$D),2,FALSE),"")</f>
        <v>11008</v>
      </c>
      <c r="G52" s="3">
        <v>0</v>
      </c>
      <c r="H52" s="3">
        <v>1</v>
      </c>
      <c r="I52" s="3">
        <v>2</v>
      </c>
      <c r="J52" s="3">
        <v>4</v>
      </c>
      <c r="K52" s="3" t="s">
        <v>216</v>
      </c>
      <c r="L52" s="3">
        <f>IF(K52&gt;0,VLOOKUP(K52,IF({1,0},Fish!$N:$N,Fish!$D:$D),2,FALSE),"")</f>
        <v>11010</v>
      </c>
      <c r="M52" s="3">
        <v>0</v>
      </c>
      <c r="N52" s="3">
        <v>1</v>
      </c>
      <c r="O52" s="3">
        <v>2</v>
      </c>
      <c r="P52" s="3">
        <v>3</v>
      </c>
      <c r="Q52" s="3" t="s">
        <v>220</v>
      </c>
      <c r="R52" s="3">
        <f>IF(Q52&gt;0,VLOOKUP(Q52,IF({1,0},Fish!$N:$N,Fish!$D:$D),2,FALSE),"")</f>
        <v>11012</v>
      </c>
      <c r="S52" s="3">
        <v>0</v>
      </c>
      <c r="T52" s="3">
        <v>1</v>
      </c>
      <c r="U52" s="3">
        <v>1</v>
      </c>
      <c r="V52" s="3">
        <v>2</v>
      </c>
      <c r="W52" s="3" t="s">
        <v>228</v>
      </c>
      <c r="X52" s="3">
        <f>IF(W52&gt;0,VLOOKUP(W52,IF({1,0},Fish!$N:$N,Fish!$D:$D),2,FALSE),"")</f>
        <v>11015</v>
      </c>
      <c r="Y52" s="3">
        <v>0</v>
      </c>
      <c r="Z52" s="3">
        <v>1</v>
      </c>
      <c r="AA52" s="3">
        <v>1</v>
      </c>
      <c r="AB52" s="3">
        <v>2</v>
      </c>
      <c r="AC52" s="3" t="s">
        <v>230</v>
      </c>
      <c r="AD52" s="3">
        <f>IF(AC52&gt;0,VLOOKUP(AC52,IF({1,0},Fish!$N:$N,Fish!$D:$D),2,FALSE),"")</f>
        <v>11016</v>
      </c>
      <c r="AE52" s="3">
        <v>0</v>
      </c>
      <c r="AF52" s="3">
        <v>1</v>
      </c>
      <c r="AG52" s="3">
        <v>1</v>
      </c>
      <c r="AH52" s="3">
        <v>1</v>
      </c>
    </row>
    <row r="53" spans="1:34">
      <c r="A53" s="3">
        <v>44412</v>
      </c>
      <c r="B53" s="3">
        <v>1</v>
      </c>
      <c r="C53" s="3">
        <v>2</v>
      </c>
      <c r="D53" s="3">
        <v>1</v>
      </c>
      <c r="E53" s="3" t="s">
        <v>208</v>
      </c>
      <c r="F53" s="3">
        <f>IF(E53&gt;0,VLOOKUP(E53,IF({1,0},Fish!$N:$N,Fish!$D:$D),2,FALSE),"")</f>
        <v>11008</v>
      </c>
      <c r="G53" s="3">
        <v>0</v>
      </c>
      <c r="H53" s="3">
        <v>1</v>
      </c>
      <c r="I53" s="3">
        <v>2</v>
      </c>
      <c r="J53" s="3">
        <v>4</v>
      </c>
      <c r="K53" s="3" t="s">
        <v>216</v>
      </c>
      <c r="L53" s="3">
        <f>IF(K53&gt;0,VLOOKUP(K53,IF({1,0},Fish!$N:$N,Fish!$D:$D),2,FALSE),"")</f>
        <v>11010</v>
      </c>
      <c r="M53" s="3">
        <v>0</v>
      </c>
      <c r="N53" s="3">
        <v>1</v>
      </c>
      <c r="O53" s="3">
        <v>2</v>
      </c>
      <c r="P53" s="3">
        <v>3</v>
      </c>
      <c r="Q53" s="3" t="s">
        <v>220</v>
      </c>
      <c r="R53" s="3">
        <f>IF(Q53&gt;0,VLOOKUP(Q53,IF({1,0},Fish!$N:$N,Fish!$D:$D),2,FALSE),"")</f>
        <v>11012</v>
      </c>
      <c r="S53" s="3">
        <v>0</v>
      </c>
      <c r="T53" s="3">
        <v>1</v>
      </c>
      <c r="U53" s="3">
        <v>1</v>
      </c>
      <c r="V53" s="3">
        <v>2</v>
      </c>
      <c r="W53" s="3" t="s">
        <v>242</v>
      </c>
      <c r="X53" s="3">
        <f>IF(W53&gt;0,VLOOKUP(W53,IF({1,0},Fish!$N:$N,Fish!$D:$D),2,FALSE),"")</f>
        <v>11020</v>
      </c>
      <c r="Y53" s="3">
        <v>0</v>
      </c>
      <c r="Z53" s="3">
        <v>1</v>
      </c>
      <c r="AA53" s="3">
        <v>1</v>
      </c>
      <c r="AB53" s="3">
        <v>2</v>
      </c>
      <c r="AC53" s="3" t="s">
        <v>222</v>
      </c>
      <c r="AD53" s="3">
        <f>IF(AC53&gt;0,VLOOKUP(AC53,IF({1,0},Fish!$N:$N,Fish!$D:$D),2,FALSE),"")</f>
        <v>11013</v>
      </c>
      <c r="AE53" s="3">
        <v>0</v>
      </c>
      <c r="AF53" s="3">
        <v>1</v>
      </c>
      <c r="AG53" s="3">
        <v>1</v>
      </c>
      <c r="AH53" s="3">
        <v>1</v>
      </c>
    </row>
    <row r="54" spans="1:34">
      <c r="A54" s="3">
        <v>44412</v>
      </c>
      <c r="B54" s="3">
        <v>1</v>
      </c>
      <c r="C54" s="3">
        <v>2</v>
      </c>
      <c r="D54" s="3">
        <v>1</v>
      </c>
      <c r="E54" s="3" t="s">
        <v>208</v>
      </c>
      <c r="F54" s="3">
        <f>IF(E54&gt;0,VLOOKUP(E54,IF({1,0},Fish!$N:$N,Fish!$D:$D),2,FALSE),"")</f>
        <v>11008</v>
      </c>
      <c r="G54" s="3">
        <v>0</v>
      </c>
      <c r="H54" s="3">
        <v>1</v>
      </c>
      <c r="I54" s="3">
        <v>2</v>
      </c>
      <c r="J54" s="3">
        <v>4</v>
      </c>
      <c r="K54" s="3" t="s">
        <v>216</v>
      </c>
      <c r="L54" s="3">
        <f>IF(K54&gt;0,VLOOKUP(K54,IF({1,0},Fish!$N:$N,Fish!$D:$D),2,FALSE),"")</f>
        <v>11010</v>
      </c>
      <c r="M54" s="3">
        <v>0</v>
      </c>
      <c r="N54" s="3">
        <v>1</v>
      </c>
      <c r="O54" s="3">
        <v>2</v>
      </c>
      <c r="P54" s="3">
        <v>3</v>
      </c>
      <c r="Q54" s="3" t="s">
        <v>220</v>
      </c>
      <c r="R54" s="3">
        <f>IF(Q54&gt;0,VLOOKUP(Q54,IF({1,0},Fish!$N:$N,Fish!$D:$D),2,FALSE),"")</f>
        <v>11012</v>
      </c>
      <c r="S54" s="3">
        <v>0</v>
      </c>
      <c r="T54" s="3">
        <v>1</v>
      </c>
      <c r="U54" s="3">
        <v>1</v>
      </c>
      <c r="V54" s="3">
        <v>2</v>
      </c>
      <c r="W54" s="3" t="s">
        <v>242</v>
      </c>
      <c r="X54" s="3">
        <f>IF(W54&gt;0,VLOOKUP(W54,IF({1,0},Fish!$N:$N,Fish!$D:$D),2,FALSE),"")</f>
        <v>11020</v>
      </c>
      <c r="Y54" s="3">
        <v>0</v>
      </c>
      <c r="Z54" s="3">
        <v>1</v>
      </c>
      <c r="AA54" s="3">
        <v>1</v>
      </c>
      <c r="AB54" s="3">
        <v>2</v>
      </c>
      <c r="AC54" s="3" t="s">
        <v>230</v>
      </c>
      <c r="AD54" s="3">
        <f>IF(AC54&gt;0,VLOOKUP(AC54,IF({1,0},Fish!$N:$N,Fish!$D:$D),2,FALSE),"")</f>
        <v>11016</v>
      </c>
      <c r="AE54" s="3">
        <v>0</v>
      </c>
      <c r="AF54" s="3">
        <v>1</v>
      </c>
      <c r="AG54" s="3">
        <v>1</v>
      </c>
      <c r="AH54" s="3">
        <v>1</v>
      </c>
    </row>
    <row r="55" spans="1:34">
      <c r="A55" s="3">
        <v>44412</v>
      </c>
      <c r="B55" s="3">
        <v>1</v>
      </c>
      <c r="C55" s="3">
        <v>2</v>
      </c>
      <c r="D55" s="3">
        <v>1</v>
      </c>
      <c r="E55" s="3" t="s">
        <v>210</v>
      </c>
      <c r="F55" s="3">
        <f>IF(E55&gt;0,VLOOKUP(E55,IF({1,0},Fish!$N:$N,Fish!$D:$D),2,FALSE),"")</f>
        <v>11009</v>
      </c>
      <c r="G55" s="3">
        <v>0</v>
      </c>
      <c r="H55" s="3">
        <v>1</v>
      </c>
      <c r="I55" s="3">
        <v>2</v>
      </c>
      <c r="J55" s="3">
        <v>4</v>
      </c>
      <c r="K55" s="3" t="s">
        <v>218</v>
      </c>
      <c r="L55" s="3">
        <f>IF(K55&gt;0,VLOOKUP(K55,IF({1,0},Fish!$N:$N,Fish!$D:$D),2,FALSE),"")</f>
        <v>11011</v>
      </c>
      <c r="M55" s="3">
        <v>0</v>
      </c>
      <c r="N55" s="3">
        <v>1</v>
      </c>
      <c r="O55" s="3">
        <v>2</v>
      </c>
      <c r="P55" s="3">
        <v>3</v>
      </c>
      <c r="Q55" s="3" t="s">
        <v>232</v>
      </c>
      <c r="R55" s="3">
        <f>IF(Q55&gt;0,VLOOKUP(Q55,IF({1,0},Fish!$N:$N,Fish!$D:$D),2,FALSE),"")</f>
        <v>11017</v>
      </c>
      <c r="S55" s="3">
        <v>0</v>
      </c>
      <c r="T55" s="3">
        <v>1</v>
      </c>
      <c r="U55" s="3">
        <v>1</v>
      </c>
      <c r="V55" s="3">
        <v>2</v>
      </c>
      <c r="W55" s="3" t="s">
        <v>228</v>
      </c>
      <c r="X55" s="3">
        <f>IF(W55&gt;0,VLOOKUP(W55,IF({1,0},Fish!$N:$N,Fish!$D:$D),2,FALSE),"")</f>
        <v>11015</v>
      </c>
      <c r="Y55" s="3">
        <v>0</v>
      </c>
      <c r="Z55" s="3">
        <v>1</v>
      </c>
      <c r="AA55" s="3">
        <v>1</v>
      </c>
      <c r="AB55" s="3">
        <v>2</v>
      </c>
      <c r="AC55" s="3" t="s">
        <v>222</v>
      </c>
      <c r="AD55" s="3">
        <f>IF(AC55&gt;0,VLOOKUP(AC55,IF({1,0},Fish!$N:$N,Fish!$D:$D),2,FALSE),"")</f>
        <v>11013</v>
      </c>
      <c r="AE55" s="3">
        <v>0</v>
      </c>
      <c r="AF55" s="3">
        <v>1</v>
      </c>
      <c r="AG55" s="3">
        <v>1</v>
      </c>
      <c r="AH55" s="3">
        <v>1</v>
      </c>
    </row>
    <row r="56" spans="1:34">
      <c r="A56" s="3">
        <v>44412</v>
      </c>
      <c r="B56" s="3">
        <v>1</v>
      </c>
      <c r="C56" s="3">
        <v>2</v>
      </c>
      <c r="D56" s="3">
        <v>1</v>
      </c>
      <c r="E56" s="3" t="s">
        <v>210</v>
      </c>
      <c r="F56" s="3">
        <f>IF(E56&gt;0,VLOOKUP(E56,IF({1,0},Fish!$N:$N,Fish!$D:$D),2,FALSE),"")</f>
        <v>11009</v>
      </c>
      <c r="G56" s="3">
        <v>0</v>
      </c>
      <c r="H56" s="3">
        <v>1</v>
      </c>
      <c r="I56" s="3">
        <v>2</v>
      </c>
      <c r="J56" s="3">
        <v>4</v>
      </c>
      <c r="K56" s="3" t="s">
        <v>218</v>
      </c>
      <c r="L56" s="3">
        <f>IF(K56&gt;0,VLOOKUP(K56,IF({1,0},Fish!$N:$N,Fish!$D:$D),2,FALSE),"")</f>
        <v>11011</v>
      </c>
      <c r="M56" s="3">
        <v>0</v>
      </c>
      <c r="N56" s="3">
        <v>1</v>
      </c>
      <c r="O56" s="3">
        <v>2</v>
      </c>
      <c r="P56" s="3">
        <v>3</v>
      </c>
      <c r="Q56" s="3" t="s">
        <v>232</v>
      </c>
      <c r="R56" s="3">
        <f>IF(Q56&gt;0,VLOOKUP(Q56,IF({1,0},Fish!$N:$N,Fish!$D:$D),2,FALSE),"")</f>
        <v>11017</v>
      </c>
      <c r="S56" s="3">
        <v>0</v>
      </c>
      <c r="T56" s="3">
        <v>1</v>
      </c>
      <c r="U56" s="3">
        <v>1</v>
      </c>
      <c r="V56" s="3">
        <v>2</v>
      </c>
      <c r="W56" s="3" t="s">
        <v>228</v>
      </c>
      <c r="X56" s="3">
        <f>IF(W56&gt;0,VLOOKUP(W56,IF({1,0},Fish!$N:$N,Fish!$D:$D),2,FALSE),"")</f>
        <v>11015</v>
      </c>
      <c r="Y56" s="3">
        <v>0</v>
      </c>
      <c r="Z56" s="3">
        <v>1</v>
      </c>
      <c r="AA56" s="3">
        <v>1</v>
      </c>
      <c r="AB56" s="3">
        <v>2</v>
      </c>
      <c r="AC56" s="3" t="s">
        <v>230</v>
      </c>
      <c r="AD56" s="3">
        <f>IF(AC56&gt;0,VLOOKUP(AC56,IF({1,0},Fish!$N:$N,Fish!$D:$D),2,FALSE),"")</f>
        <v>11016</v>
      </c>
      <c r="AE56" s="3">
        <v>0</v>
      </c>
      <c r="AF56" s="3">
        <v>1</v>
      </c>
      <c r="AG56" s="3">
        <v>1</v>
      </c>
      <c r="AH56" s="3">
        <v>1</v>
      </c>
    </row>
    <row r="57" spans="1:34">
      <c r="A57" s="3">
        <v>44412</v>
      </c>
      <c r="B57" s="3">
        <v>1</v>
      </c>
      <c r="C57" s="3">
        <v>2</v>
      </c>
      <c r="D57" s="3">
        <v>1</v>
      </c>
      <c r="E57" s="3" t="s">
        <v>210</v>
      </c>
      <c r="F57" s="3">
        <f>IF(E57&gt;0,VLOOKUP(E57,IF({1,0},Fish!$N:$N,Fish!$D:$D),2,FALSE),"")</f>
        <v>11009</v>
      </c>
      <c r="G57" s="3">
        <v>0</v>
      </c>
      <c r="H57" s="3">
        <v>1</v>
      </c>
      <c r="I57" s="3">
        <v>2</v>
      </c>
      <c r="J57" s="3">
        <v>4</v>
      </c>
      <c r="K57" s="3" t="s">
        <v>218</v>
      </c>
      <c r="L57" s="3">
        <f>IF(K57&gt;0,VLOOKUP(K57,IF({1,0},Fish!$N:$N,Fish!$D:$D),2,FALSE),"")</f>
        <v>11011</v>
      </c>
      <c r="M57" s="3">
        <v>0</v>
      </c>
      <c r="N57" s="3">
        <v>1</v>
      </c>
      <c r="O57" s="3">
        <v>2</v>
      </c>
      <c r="P57" s="3">
        <v>3</v>
      </c>
      <c r="Q57" s="3" t="s">
        <v>232</v>
      </c>
      <c r="R57" s="3">
        <f>IF(Q57&gt;0,VLOOKUP(Q57,IF({1,0},Fish!$N:$N,Fish!$D:$D),2,FALSE),"")</f>
        <v>11017</v>
      </c>
      <c r="S57" s="3">
        <v>0</v>
      </c>
      <c r="T57" s="3">
        <v>1</v>
      </c>
      <c r="U57" s="3">
        <v>1</v>
      </c>
      <c r="V57" s="3">
        <v>2</v>
      </c>
      <c r="W57" s="3" t="s">
        <v>242</v>
      </c>
      <c r="X57" s="3">
        <f>IF(W57&gt;0,VLOOKUP(W57,IF({1,0},Fish!$N:$N,Fish!$D:$D),2,FALSE),"")</f>
        <v>11020</v>
      </c>
      <c r="Y57" s="3">
        <v>0</v>
      </c>
      <c r="Z57" s="3">
        <v>1</v>
      </c>
      <c r="AA57" s="3">
        <v>1</v>
      </c>
      <c r="AB57" s="3">
        <v>2</v>
      </c>
      <c r="AC57" s="3" t="s">
        <v>222</v>
      </c>
      <c r="AD57" s="3">
        <f>IF(AC57&gt;0,VLOOKUP(AC57,IF({1,0},Fish!$N:$N,Fish!$D:$D),2,FALSE),"")</f>
        <v>11013</v>
      </c>
      <c r="AE57" s="3">
        <v>0</v>
      </c>
      <c r="AF57" s="3">
        <v>1</v>
      </c>
      <c r="AG57" s="3">
        <v>1</v>
      </c>
      <c r="AH57" s="3">
        <v>1</v>
      </c>
    </row>
    <row r="58" spans="1:34">
      <c r="A58" s="3">
        <v>44412</v>
      </c>
      <c r="B58" s="3">
        <v>1</v>
      </c>
      <c r="C58" s="3">
        <v>2</v>
      </c>
      <c r="D58" s="3">
        <v>1</v>
      </c>
      <c r="E58" s="3" t="s">
        <v>210</v>
      </c>
      <c r="F58" s="3">
        <f>IF(E58&gt;0,VLOOKUP(E58,IF({1,0},Fish!$N:$N,Fish!$D:$D),2,FALSE),"")</f>
        <v>11009</v>
      </c>
      <c r="G58" s="3">
        <v>0</v>
      </c>
      <c r="H58" s="3">
        <v>1</v>
      </c>
      <c r="I58" s="3">
        <v>2</v>
      </c>
      <c r="J58" s="3">
        <v>4</v>
      </c>
      <c r="K58" s="3" t="s">
        <v>218</v>
      </c>
      <c r="L58" s="3">
        <f>IF(K58&gt;0,VLOOKUP(K58,IF({1,0},Fish!$N:$N,Fish!$D:$D),2,FALSE),"")</f>
        <v>11011</v>
      </c>
      <c r="M58" s="3">
        <v>0</v>
      </c>
      <c r="N58" s="3">
        <v>1</v>
      </c>
      <c r="O58" s="3">
        <v>2</v>
      </c>
      <c r="P58" s="3">
        <v>3</v>
      </c>
      <c r="Q58" s="3" t="s">
        <v>232</v>
      </c>
      <c r="R58" s="3">
        <f>IF(Q58&gt;0,VLOOKUP(Q58,IF({1,0},Fish!$N:$N,Fish!$D:$D),2,FALSE),"")</f>
        <v>11017</v>
      </c>
      <c r="S58" s="3">
        <v>0</v>
      </c>
      <c r="T58" s="3">
        <v>1</v>
      </c>
      <c r="U58" s="3">
        <v>1</v>
      </c>
      <c r="V58" s="3">
        <v>2</v>
      </c>
      <c r="W58" s="3" t="s">
        <v>242</v>
      </c>
      <c r="X58" s="3">
        <f>IF(W58&gt;0,VLOOKUP(W58,IF({1,0},Fish!$N:$N,Fish!$D:$D),2,FALSE),"")</f>
        <v>11020</v>
      </c>
      <c r="Y58" s="3">
        <v>0</v>
      </c>
      <c r="Z58" s="3">
        <v>1</v>
      </c>
      <c r="AA58" s="3">
        <v>1</v>
      </c>
      <c r="AB58" s="3">
        <v>2</v>
      </c>
      <c r="AC58" s="3" t="s">
        <v>230</v>
      </c>
      <c r="AD58" s="3">
        <f>IF(AC58&gt;0,VLOOKUP(AC58,IF({1,0},Fish!$N:$N,Fish!$D:$D),2,FALSE),"")</f>
        <v>11016</v>
      </c>
      <c r="AE58" s="3">
        <v>0</v>
      </c>
      <c r="AF58" s="3">
        <v>1</v>
      </c>
      <c r="AG58" s="3">
        <v>1</v>
      </c>
      <c r="AH58" s="3">
        <v>1</v>
      </c>
    </row>
    <row r="59" spans="1:34">
      <c r="A59" s="3">
        <v>44412</v>
      </c>
      <c r="B59" s="3">
        <v>1</v>
      </c>
      <c r="C59" s="3">
        <v>2</v>
      </c>
      <c r="D59" s="3">
        <v>1</v>
      </c>
      <c r="E59" s="3" t="s">
        <v>210</v>
      </c>
      <c r="F59" s="3">
        <f>IF(E59&gt;0,VLOOKUP(E59,IF({1,0},Fish!$N:$N,Fish!$D:$D),2,FALSE),"")</f>
        <v>11009</v>
      </c>
      <c r="G59" s="3">
        <v>0</v>
      </c>
      <c r="H59" s="3">
        <v>1</v>
      </c>
      <c r="I59" s="3">
        <v>2</v>
      </c>
      <c r="J59" s="3">
        <v>4</v>
      </c>
      <c r="K59" s="3" t="s">
        <v>218</v>
      </c>
      <c r="L59" s="3">
        <f>IF(K59&gt;0,VLOOKUP(K59,IF({1,0},Fish!$N:$N,Fish!$D:$D),2,FALSE),"")</f>
        <v>11011</v>
      </c>
      <c r="M59" s="3">
        <v>0</v>
      </c>
      <c r="N59" s="3">
        <v>1</v>
      </c>
      <c r="O59" s="3">
        <v>2</v>
      </c>
      <c r="P59" s="3">
        <v>3</v>
      </c>
      <c r="Q59" s="3" t="s">
        <v>220</v>
      </c>
      <c r="R59" s="3">
        <f>IF(Q59&gt;0,VLOOKUP(Q59,IF({1,0},Fish!$N:$N,Fish!$D:$D),2,FALSE),"")</f>
        <v>11012</v>
      </c>
      <c r="S59" s="3">
        <v>0</v>
      </c>
      <c r="T59" s="3">
        <v>1</v>
      </c>
      <c r="U59" s="3">
        <v>1</v>
      </c>
      <c r="V59" s="3">
        <v>2</v>
      </c>
      <c r="W59" s="3" t="s">
        <v>228</v>
      </c>
      <c r="X59" s="3">
        <f>IF(W59&gt;0,VLOOKUP(W59,IF({1,0},Fish!$N:$N,Fish!$D:$D),2,FALSE),"")</f>
        <v>11015</v>
      </c>
      <c r="Y59" s="3">
        <v>0</v>
      </c>
      <c r="Z59" s="3">
        <v>1</v>
      </c>
      <c r="AA59" s="3">
        <v>1</v>
      </c>
      <c r="AB59" s="3">
        <v>2</v>
      </c>
      <c r="AC59" s="3" t="s">
        <v>222</v>
      </c>
      <c r="AD59" s="3">
        <f>IF(AC59&gt;0,VLOOKUP(AC59,IF({1,0},Fish!$N:$N,Fish!$D:$D),2,FALSE),"")</f>
        <v>11013</v>
      </c>
      <c r="AE59" s="3">
        <v>0</v>
      </c>
      <c r="AF59" s="3">
        <v>1</v>
      </c>
      <c r="AG59" s="3">
        <v>1</v>
      </c>
      <c r="AH59" s="3">
        <v>1</v>
      </c>
    </row>
    <row r="60" spans="1:34">
      <c r="A60" s="3">
        <v>44412</v>
      </c>
      <c r="B60" s="3">
        <v>1</v>
      </c>
      <c r="C60" s="3">
        <v>2</v>
      </c>
      <c r="D60" s="3">
        <v>1</v>
      </c>
      <c r="E60" s="3" t="s">
        <v>210</v>
      </c>
      <c r="F60" s="3">
        <f>IF(E60&gt;0,VLOOKUP(E60,IF({1,0},Fish!$N:$N,Fish!$D:$D),2,FALSE),"")</f>
        <v>11009</v>
      </c>
      <c r="G60" s="3">
        <v>0</v>
      </c>
      <c r="H60" s="3">
        <v>1</v>
      </c>
      <c r="I60" s="3">
        <v>2</v>
      </c>
      <c r="J60" s="3">
        <v>4</v>
      </c>
      <c r="K60" s="3" t="s">
        <v>218</v>
      </c>
      <c r="L60" s="3">
        <f>IF(K60&gt;0,VLOOKUP(K60,IF({1,0},Fish!$N:$N,Fish!$D:$D),2,FALSE),"")</f>
        <v>11011</v>
      </c>
      <c r="M60" s="3">
        <v>0</v>
      </c>
      <c r="N60" s="3">
        <v>1</v>
      </c>
      <c r="O60" s="3">
        <v>2</v>
      </c>
      <c r="P60" s="3">
        <v>3</v>
      </c>
      <c r="Q60" s="3" t="s">
        <v>220</v>
      </c>
      <c r="R60" s="3">
        <f>IF(Q60&gt;0,VLOOKUP(Q60,IF({1,0},Fish!$N:$N,Fish!$D:$D),2,FALSE),"")</f>
        <v>11012</v>
      </c>
      <c r="S60" s="3">
        <v>0</v>
      </c>
      <c r="T60" s="3">
        <v>1</v>
      </c>
      <c r="U60" s="3">
        <v>1</v>
      </c>
      <c r="V60" s="3">
        <v>2</v>
      </c>
      <c r="W60" s="3" t="s">
        <v>228</v>
      </c>
      <c r="X60" s="3">
        <f>IF(W60&gt;0,VLOOKUP(W60,IF({1,0},Fish!$N:$N,Fish!$D:$D),2,FALSE),"")</f>
        <v>11015</v>
      </c>
      <c r="Y60" s="3">
        <v>0</v>
      </c>
      <c r="Z60" s="3">
        <v>1</v>
      </c>
      <c r="AA60" s="3">
        <v>1</v>
      </c>
      <c r="AB60" s="3">
        <v>2</v>
      </c>
      <c r="AC60" s="3" t="s">
        <v>230</v>
      </c>
      <c r="AD60" s="3">
        <f>IF(AC60&gt;0,VLOOKUP(AC60,IF({1,0},Fish!$N:$N,Fish!$D:$D),2,FALSE),"")</f>
        <v>11016</v>
      </c>
      <c r="AE60" s="3">
        <v>0</v>
      </c>
      <c r="AF60" s="3">
        <v>1</v>
      </c>
      <c r="AG60" s="3">
        <v>1</v>
      </c>
      <c r="AH60" s="3">
        <v>1</v>
      </c>
    </row>
    <row r="61" spans="1:34">
      <c r="A61" s="3">
        <v>44412</v>
      </c>
      <c r="B61" s="3">
        <v>1</v>
      </c>
      <c r="C61" s="3">
        <v>2</v>
      </c>
      <c r="D61" s="3">
        <v>1</v>
      </c>
      <c r="E61" s="3" t="s">
        <v>210</v>
      </c>
      <c r="F61" s="3">
        <f>IF(E61&gt;0,VLOOKUP(E61,IF({1,0},Fish!$N:$N,Fish!$D:$D),2,FALSE),"")</f>
        <v>11009</v>
      </c>
      <c r="G61" s="3">
        <v>0</v>
      </c>
      <c r="H61" s="3">
        <v>1</v>
      </c>
      <c r="I61" s="3">
        <v>2</v>
      </c>
      <c r="J61" s="3">
        <v>4</v>
      </c>
      <c r="K61" s="3" t="s">
        <v>218</v>
      </c>
      <c r="L61" s="3">
        <f>IF(K61&gt;0,VLOOKUP(K61,IF({1,0},Fish!$N:$N,Fish!$D:$D),2,FALSE),"")</f>
        <v>11011</v>
      </c>
      <c r="M61" s="3">
        <v>0</v>
      </c>
      <c r="N61" s="3">
        <v>1</v>
      </c>
      <c r="O61" s="3">
        <v>2</v>
      </c>
      <c r="P61" s="3">
        <v>3</v>
      </c>
      <c r="Q61" s="3" t="s">
        <v>220</v>
      </c>
      <c r="R61" s="3">
        <f>IF(Q61&gt;0,VLOOKUP(Q61,IF({1,0},Fish!$N:$N,Fish!$D:$D),2,FALSE),"")</f>
        <v>11012</v>
      </c>
      <c r="S61" s="3">
        <v>0</v>
      </c>
      <c r="T61" s="3">
        <v>1</v>
      </c>
      <c r="U61" s="3">
        <v>1</v>
      </c>
      <c r="V61" s="3">
        <v>2</v>
      </c>
      <c r="W61" s="3" t="s">
        <v>242</v>
      </c>
      <c r="X61" s="3">
        <f>IF(W61&gt;0,VLOOKUP(W61,IF({1,0},Fish!$N:$N,Fish!$D:$D),2,FALSE),"")</f>
        <v>11020</v>
      </c>
      <c r="Y61" s="3">
        <v>0</v>
      </c>
      <c r="Z61" s="3">
        <v>1</v>
      </c>
      <c r="AA61" s="3">
        <v>1</v>
      </c>
      <c r="AB61" s="3">
        <v>2</v>
      </c>
      <c r="AC61" s="3" t="s">
        <v>222</v>
      </c>
      <c r="AD61" s="3">
        <f>IF(AC61&gt;0,VLOOKUP(AC61,IF({1,0},Fish!$N:$N,Fish!$D:$D),2,FALSE),"")</f>
        <v>11013</v>
      </c>
      <c r="AE61" s="3">
        <v>0</v>
      </c>
      <c r="AF61" s="3">
        <v>1</v>
      </c>
      <c r="AG61" s="3">
        <v>1</v>
      </c>
      <c r="AH61" s="3">
        <v>1</v>
      </c>
    </row>
    <row r="62" spans="1:34">
      <c r="A62" s="3">
        <v>44412</v>
      </c>
      <c r="B62" s="3">
        <v>1</v>
      </c>
      <c r="C62" s="3">
        <v>2</v>
      </c>
      <c r="D62" s="3">
        <v>1</v>
      </c>
      <c r="E62" s="3" t="s">
        <v>210</v>
      </c>
      <c r="F62" s="3">
        <f>IF(E62&gt;0,VLOOKUP(E62,IF({1,0},Fish!$N:$N,Fish!$D:$D),2,FALSE),"")</f>
        <v>11009</v>
      </c>
      <c r="G62" s="3">
        <v>0</v>
      </c>
      <c r="H62" s="3">
        <v>1</v>
      </c>
      <c r="I62" s="3">
        <v>2</v>
      </c>
      <c r="J62" s="3">
        <v>4</v>
      </c>
      <c r="K62" s="3" t="s">
        <v>218</v>
      </c>
      <c r="L62" s="3">
        <f>IF(K62&gt;0,VLOOKUP(K62,IF({1,0},Fish!$N:$N,Fish!$D:$D),2,FALSE),"")</f>
        <v>11011</v>
      </c>
      <c r="M62" s="3">
        <v>0</v>
      </c>
      <c r="N62" s="3">
        <v>1</v>
      </c>
      <c r="O62" s="3">
        <v>2</v>
      </c>
      <c r="P62" s="3">
        <v>3</v>
      </c>
      <c r="Q62" s="3" t="s">
        <v>220</v>
      </c>
      <c r="R62" s="3">
        <f>IF(Q62&gt;0,VLOOKUP(Q62,IF({1,0},Fish!$N:$N,Fish!$D:$D),2,FALSE),"")</f>
        <v>11012</v>
      </c>
      <c r="S62" s="3">
        <v>0</v>
      </c>
      <c r="T62" s="3">
        <v>1</v>
      </c>
      <c r="U62" s="3">
        <v>1</v>
      </c>
      <c r="V62" s="3">
        <v>2</v>
      </c>
      <c r="W62" s="3" t="s">
        <v>242</v>
      </c>
      <c r="X62" s="3">
        <f>IF(W62&gt;0,VLOOKUP(W62,IF({1,0},Fish!$N:$N,Fish!$D:$D),2,FALSE),"")</f>
        <v>11020</v>
      </c>
      <c r="Y62" s="3">
        <v>0</v>
      </c>
      <c r="Z62" s="3">
        <v>1</v>
      </c>
      <c r="AA62" s="3">
        <v>1</v>
      </c>
      <c r="AB62" s="3">
        <v>2</v>
      </c>
      <c r="AC62" s="3" t="s">
        <v>230</v>
      </c>
      <c r="AD62" s="3">
        <f>IF(AC62&gt;0,VLOOKUP(AC62,IF({1,0},Fish!$N:$N,Fish!$D:$D),2,FALSE),"")</f>
        <v>11016</v>
      </c>
      <c r="AE62" s="3">
        <v>0</v>
      </c>
      <c r="AF62" s="3">
        <v>1</v>
      </c>
      <c r="AG62" s="3">
        <v>1</v>
      </c>
      <c r="AH62" s="3">
        <v>1</v>
      </c>
    </row>
    <row r="63" spans="1:34">
      <c r="A63" s="3">
        <v>44412</v>
      </c>
      <c r="B63" s="3">
        <v>1</v>
      </c>
      <c r="C63" s="3">
        <v>2</v>
      </c>
      <c r="D63" s="3">
        <v>1</v>
      </c>
      <c r="E63" s="3" t="s">
        <v>210</v>
      </c>
      <c r="F63" s="3">
        <f>IF(E63&gt;0,VLOOKUP(E63,IF({1,0},Fish!$N:$N,Fish!$D:$D),2,FALSE),"")</f>
        <v>11009</v>
      </c>
      <c r="G63" s="3">
        <v>0</v>
      </c>
      <c r="H63" s="3">
        <v>1</v>
      </c>
      <c r="I63" s="3">
        <v>2</v>
      </c>
      <c r="J63" s="3">
        <v>4</v>
      </c>
      <c r="K63" s="3" t="s">
        <v>216</v>
      </c>
      <c r="L63" s="3">
        <f>IF(K63&gt;0,VLOOKUP(K63,IF({1,0},Fish!$N:$N,Fish!$D:$D),2,FALSE),"")</f>
        <v>11010</v>
      </c>
      <c r="M63" s="3">
        <v>0</v>
      </c>
      <c r="N63" s="3">
        <v>1</v>
      </c>
      <c r="O63" s="3">
        <v>2</v>
      </c>
      <c r="P63" s="3">
        <v>3</v>
      </c>
      <c r="Q63" s="3" t="s">
        <v>232</v>
      </c>
      <c r="R63" s="3">
        <f>IF(Q63&gt;0,VLOOKUP(Q63,IF({1,0},Fish!$N:$N,Fish!$D:$D),2,FALSE),"")</f>
        <v>11017</v>
      </c>
      <c r="S63" s="3">
        <v>0</v>
      </c>
      <c r="T63" s="3">
        <v>1</v>
      </c>
      <c r="U63" s="3">
        <v>1</v>
      </c>
      <c r="V63" s="3">
        <v>2</v>
      </c>
      <c r="W63" s="3" t="s">
        <v>228</v>
      </c>
      <c r="X63" s="3">
        <f>IF(W63&gt;0,VLOOKUP(W63,IF({1,0},Fish!$N:$N,Fish!$D:$D),2,FALSE),"")</f>
        <v>11015</v>
      </c>
      <c r="Y63" s="3">
        <v>0</v>
      </c>
      <c r="Z63" s="3">
        <v>1</v>
      </c>
      <c r="AA63" s="3">
        <v>1</v>
      </c>
      <c r="AB63" s="3">
        <v>2</v>
      </c>
      <c r="AC63" s="3" t="s">
        <v>222</v>
      </c>
      <c r="AD63" s="3">
        <f>IF(AC63&gt;0,VLOOKUP(AC63,IF({1,0},Fish!$N:$N,Fish!$D:$D),2,FALSE),"")</f>
        <v>11013</v>
      </c>
      <c r="AE63" s="3">
        <v>0</v>
      </c>
      <c r="AF63" s="3">
        <v>1</v>
      </c>
      <c r="AG63" s="3">
        <v>1</v>
      </c>
      <c r="AH63" s="3">
        <v>1</v>
      </c>
    </row>
    <row r="64" spans="1:34">
      <c r="A64" s="3">
        <v>44412</v>
      </c>
      <c r="B64" s="3">
        <v>1</v>
      </c>
      <c r="C64" s="3">
        <v>2</v>
      </c>
      <c r="D64" s="3">
        <v>1</v>
      </c>
      <c r="E64" s="3" t="s">
        <v>210</v>
      </c>
      <c r="F64" s="3">
        <f>IF(E64&gt;0,VLOOKUP(E64,IF({1,0},Fish!$N:$N,Fish!$D:$D),2,FALSE),"")</f>
        <v>11009</v>
      </c>
      <c r="G64" s="3">
        <v>0</v>
      </c>
      <c r="H64" s="3">
        <v>1</v>
      </c>
      <c r="I64" s="3">
        <v>2</v>
      </c>
      <c r="J64" s="3">
        <v>4</v>
      </c>
      <c r="K64" s="3" t="s">
        <v>216</v>
      </c>
      <c r="L64" s="3">
        <f>IF(K64&gt;0,VLOOKUP(K64,IF({1,0},Fish!$N:$N,Fish!$D:$D),2,FALSE),"")</f>
        <v>11010</v>
      </c>
      <c r="M64" s="3">
        <v>0</v>
      </c>
      <c r="N64" s="3">
        <v>1</v>
      </c>
      <c r="O64" s="3">
        <v>2</v>
      </c>
      <c r="P64" s="3">
        <v>3</v>
      </c>
      <c r="Q64" s="3" t="s">
        <v>232</v>
      </c>
      <c r="R64" s="3">
        <f>IF(Q64&gt;0,VLOOKUP(Q64,IF({1,0},Fish!$N:$N,Fish!$D:$D),2,FALSE),"")</f>
        <v>11017</v>
      </c>
      <c r="S64" s="3">
        <v>0</v>
      </c>
      <c r="T64" s="3">
        <v>1</v>
      </c>
      <c r="U64" s="3">
        <v>1</v>
      </c>
      <c r="V64" s="3">
        <v>2</v>
      </c>
      <c r="W64" s="3" t="s">
        <v>228</v>
      </c>
      <c r="X64" s="3">
        <f>IF(W64&gt;0,VLOOKUP(W64,IF({1,0},Fish!$N:$N,Fish!$D:$D),2,FALSE),"")</f>
        <v>11015</v>
      </c>
      <c r="Y64" s="3">
        <v>0</v>
      </c>
      <c r="Z64" s="3">
        <v>1</v>
      </c>
      <c r="AA64" s="3">
        <v>1</v>
      </c>
      <c r="AB64" s="3">
        <v>2</v>
      </c>
      <c r="AC64" s="3" t="s">
        <v>230</v>
      </c>
      <c r="AD64" s="3">
        <f>IF(AC64&gt;0,VLOOKUP(AC64,IF({1,0},Fish!$N:$N,Fish!$D:$D),2,FALSE),"")</f>
        <v>11016</v>
      </c>
      <c r="AE64" s="3">
        <v>0</v>
      </c>
      <c r="AF64" s="3">
        <v>1</v>
      </c>
      <c r="AG64" s="3">
        <v>1</v>
      </c>
      <c r="AH64" s="3">
        <v>1</v>
      </c>
    </row>
    <row r="65" spans="1:34">
      <c r="A65" s="3">
        <v>44412</v>
      </c>
      <c r="B65" s="3">
        <v>1</v>
      </c>
      <c r="C65" s="3">
        <v>2</v>
      </c>
      <c r="D65" s="3">
        <v>1</v>
      </c>
      <c r="E65" s="3" t="s">
        <v>210</v>
      </c>
      <c r="F65" s="3">
        <f>IF(E65&gt;0,VLOOKUP(E65,IF({1,0},Fish!$N:$N,Fish!$D:$D),2,FALSE),"")</f>
        <v>11009</v>
      </c>
      <c r="G65" s="3">
        <v>0</v>
      </c>
      <c r="H65" s="3">
        <v>1</v>
      </c>
      <c r="I65" s="3">
        <v>2</v>
      </c>
      <c r="J65" s="3">
        <v>4</v>
      </c>
      <c r="K65" s="3" t="s">
        <v>216</v>
      </c>
      <c r="L65" s="3">
        <f>IF(K65&gt;0,VLOOKUP(K65,IF({1,0},Fish!$N:$N,Fish!$D:$D),2,FALSE),"")</f>
        <v>11010</v>
      </c>
      <c r="M65" s="3">
        <v>0</v>
      </c>
      <c r="N65" s="3">
        <v>1</v>
      </c>
      <c r="O65" s="3">
        <v>2</v>
      </c>
      <c r="P65" s="3">
        <v>3</v>
      </c>
      <c r="Q65" s="3" t="s">
        <v>232</v>
      </c>
      <c r="R65" s="3">
        <f>IF(Q65&gt;0,VLOOKUP(Q65,IF({1,0},Fish!$N:$N,Fish!$D:$D),2,FALSE),"")</f>
        <v>11017</v>
      </c>
      <c r="S65" s="3">
        <v>0</v>
      </c>
      <c r="T65" s="3">
        <v>1</v>
      </c>
      <c r="U65" s="3">
        <v>1</v>
      </c>
      <c r="V65" s="3">
        <v>2</v>
      </c>
      <c r="W65" s="3" t="s">
        <v>242</v>
      </c>
      <c r="X65" s="3">
        <f>IF(W65&gt;0,VLOOKUP(W65,IF({1,0},Fish!$N:$N,Fish!$D:$D),2,FALSE),"")</f>
        <v>11020</v>
      </c>
      <c r="Y65" s="3">
        <v>0</v>
      </c>
      <c r="Z65" s="3">
        <v>1</v>
      </c>
      <c r="AA65" s="3">
        <v>1</v>
      </c>
      <c r="AB65" s="3">
        <v>2</v>
      </c>
      <c r="AC65" s="3" t="s">
        <v>222</v>
      </c>
      <c r="AD65" s="3">
        <f>IF(AC65&gt;0,VLOOKUP(AC65,IF({1,0},Fish!$N:$N,Fish!$D:$D),2,FALSE),"")</f>
        <v>11013</v>
      </c>
      <c r="AE65" s="3">
        <v>0</v>
      </c>
      <c r="AF65" s="3">
        <v>1</v>
      </c>
      <c r="AG65" s="3">
        <v>1</v>
      </c>
      <c r="AH65" s="3">
        <v>1</v>
      </c>
    </row>
    <row r="66" spans="1:34">
      <c r="A66" s="3">
        <v>44412</v>
      </c>
      <c r="B66" s="3">
        <v>1</v>
      </c>
      <c r="C66" s="3">
        <v>2</v>
      </c>
      <c r="D66" s="3">
        <v>1</v>
      </c>
      <c r="E66" s="3" t="s">
        <v>210</v>
      </c>
      <c r="F66" s="3">
        <f>IF(E66&gt;0,VLOOKUP(E66,IF({1,0},Fish!$N:$N,Fish!$D:$D),2,FALSE),"")</f>
        <v>11009</v>
      </c>
      <c r="G66" s="3">
        <v>0</v>
      </c>
      <c r="H66" s="3">
        <v>1</v>
      </c>
      <c r="I66" s="3">
        <v>2</v>
      </c>
      <c r="J66" s="3">
        <v>4</v>
      </c>
      <c r="K66" s="3" t="s">
        <v>216</v>
      </c>
      <c r="L66" s="3">
        <f>IF(K66&gt;0,VLOOKUP(K66,IF({1,0},Fish!$N:$N,Fish!$D:$D),2,FALSE),"")</f>
        <v>11010</v>
      </c>
      <c r="M66" s="3">
        <v>0</v>
      </c>
      <c r="N66" s="3">
        <v>1</v>
      </c>
      <c r="O66" s="3">
        <v>2</v>
      </c>
      <c r="P66" s="3">
        <v>3</v>
      </c>
      <c r="Q66" s="3" t="s">
        <v>232</v>
      </c>
      <c r="R66" s="3">
        <f>IF(Q66&gt;0,VLOOKUP(Q66,IF({1,0},Fish!$N:$N,Fish!$D:$D),2,FALSE),"")</f>
        <v>11017</v>
      </c>
      <c r="S66" s="3">
        <v>0</v>
      </c>
      <c r="T66" s="3">
        <v>1</v>
      </c>
      <c r="U66" s="3">
        <v>1</v>
      </c>
      <c r="V66" s="3">
        <v>2</v>
      </c>
      <c r="W66" s="3" t="s">
        <v>242</v>
      </c>
      <c r="X66" s="3">
        <f>IF(W66&gt;0,VLOOKUP(W66,IF({1,0},Fish!$N:$N,Fish!$D:$D),2,FALSE),"")</f>
        <v>11020</v>
      </c>
      <c r="Y66" s="3">
        <v>0</v>
      </c>
      <c r="Z66" s="3">
        <v>1</v>
      </c>
      <c r="AA66" s="3">
        <v>1</v>
      </c>
      <c r="AB66" s="3">
        <v>2</v>
      </c>
      <c r="AC66" s="3" t="s">
        <v>230</v>
      </c>
      <c r="AD66" s="3">
        <f>IF(AC66&gt;0,VLOOKUP(AC66,IF({1,0},Fish!$N:$N,Fish!$D:$D),2,FALSE),"")</f>
        <v>11016</v>
      </c>
      <c r="AE66" s="3">
        <v>0</v>
      </c>
      <c r="AF66" s="3">
        <v>1</v>
      </c>
      <c r="AG66" s="3">
        <v>1</v>
      </c>
      <c r="AH66" s="3">
        <v>1</v>
      </c>
    </row>
    <row r="67" spans="1:34">
      <c r="A67" s="3">
        <v>44412</v>
      </c>
      <c r="B67" s="3">
        <v>1</v>
      </c>
      <c r="C67" s="3">
        <v>2</v>
      </c>
      <c r="D67" s="3">
        <v>1</v>
      </c>
      <c r="E67" s="3" t="s">
        <v>210</v>
      </c>
      <c r="F67" s="3">
        <f>IF(E67&gt;0,VLOOKUP(E67,IF({1,0},Fish!$N:$N,Fish!$D:$D),2,FALSE),"")</f>
        <v>11009</v>
      </c>
      <c r="G67" s="3">
        <v>0</v>
      </c>
      <c r="H67" s="3">
        <v>1</v>
      </c>
      <c r="I67" s="3">
        <v>2</v>
      </c>
      <c r="J67" s="3">
        <v>4</v>
      </c>
      <c r="K67" s="3" t="s">
        <v>216</v>
      </c>
      <c r="L67" s="3">
        <f>IF(K67&gt;0,VLOOKUP(K67,IF({1,0},Fish!$N:$N,Fish!$D:$D),2,FALSE),"")</f>
        <v>11010</v>
      </c>
      <c r="M67" s="3">
        <v>0</v>
      </c>
      <c r="N67" s="3">
        <v>1</v>
      </c>
      <c r="O67" s="3">
        <v>2</v>
      </c>
      <c r="P67" s="3">
        <v>3</v>
      </c>
      <c r="Q67" s="3" t="s">
        <v>220</v>
      </c>
      <c r="R67" s="3">
        <f>IF(Q67&gt;0,VLOOKUP(Q67,IF({1,0},Fish!$N:$N,Fish!$D:$D),2,FALSE),"")</f>
        <v>11012</v>
      </c>
      <c r="S67" s="3">
        <v>0</v>
      </c>
      <c r="T67" s="3">
        <v>1</v>
      </c>
      <c r="U67" s="3">
        <v>1</v>
      </c>
      <c r="V67" s="3">
        <v>2</v>
      </c>
      <c r="W67" s="3" t="s">
        <v>228</v>
      </c>
      <c r="X67" s="3">
        <f>IF(W67&gt;0,VLOOKUP(W67,IF({1,0},Fish!$N:$N,Fish!$D:$D),2,FALSE),"")</f>
        <v>11015</v>
      </c>
      <c r="Y67" s="3">
        <v>0</v>
      </c>
      <c r="Z67" s="3">
        <v>1</v>
      </c>
      <c r="AA67" s="3">
        <v>1</v>
      </c>
      <c r="AB67" s="3">
        <v>2</v>
      </c>
      <c r="AC67" s="3" t="s">
        <v>222</v>
      </c>
      <c r="AD67" s="3">
        <f>IF(AC67&gt;0,VLOOKUP(AC67,IF({1,0},Fish!$N:$N,Fish!$D:$D),2,FALSE),"")</f>
        <v>11013</v>
      </c>
      <c r="AE67" s="3">
        <v>0</v>
      </c>
      <c r="AF67" s="3">
        <v>1</v>
      </c>
      <c r="AG67" s="3">
        <v>1</v>
      </c>
      <c r="AH67" s="3">
        <v>1</v>
      </c>
    </row>
    <row r="68" spans="1:34">
      <c r="A68" s="3">
        <v>44412</v>
      </c>
      <c r="B68" s="3">
        <v>1</v>
      </c>
      <c r="C68" s="3">
        <v>2</v>
      </c>
      <c r="D68" s="3">
        <v>1</v>
      </c>
      <c r="E68" s="3" t="s">
        <v>210</v>
      </c>
      <c r="F68" s="3">
        <f>IF(E68&gt;0,VLOOKUP(E68,IF({1,0},Fish!$N:$N,Fish!$D:$D),2,FALSE),"")</f>
        <v>11009</v>
      </c>
      <c r="G68" s="3">
        <v>0</v>
      </c>
      <c r="H68" s="3">
        <v>1</v>
      </c>
      <c r="I68" s="3">
        <v>2</v>
      </c>
      <c r="J68" s="3">
        <v>4</v>
      </c>
      <c r="K68" s="3" t="s">
        <v>216</v>
      </c>
      <c r="L68" s="3">
        <f>IF(K68&gt;0,VLOOKUP(K68,IF({1,0},Fish!$N:$N,Fish!$D:$D),2,FALSE),"")</f>
        <v>11010</v>
      </c>
      <c r="M68" s="3">
        <v>0</v>
      </c>
      <c r="N68" s="3">
        <v>1</v>
      </c>
      <c r="O68" s="3">
        <v>2</v>
      </c>
      <c r="P68" s="3">
        <v>3</v>
      </c>
      <c r="Q68" s="3" t="s">
        <v>220</v>
      </c>
      <c r="R68" s="3">
        <f>IF(Q68&gt;0,VLOOKUP(Q68,IF({1,0},Fish!$N:$N,Fish!$D:$D),2,FALSE),"")</f>
        <v>11012</v>
      </c>
      <c r="S68" s="3">
        <v>0</v>
      </c>
      <c r="T68" s="3">
        <v>1</v>
      </c>
      <c r="U68" s="3">
        <v>1</v>
      </c>
      <c r="V68" s="3">
        <v>2</v>
      </c>
      <c r="W68" s="3" t="s">
        <v>228</v>
      </c>
      <c r="X68" s="3">
        <f>IF(W68&gt;0,VLOOKUP(W68,IF({1,0},Fish!$N:$N,Fish!$D:$D),2,FALSE),"")</f>
        <v>11015</v>
      </c>
      <c r="Y68" s="3">
        <v>0</v>
      </c>
      <c r="Z68" s="3">
        <v>1</v>
      </c>
      <c r="AA68" s="3">
        <v>1</v>
      </c>
      <c r="AB68" s="3">
        <v>2</v>
      </c>
      <c r="AC68" s="3" t="s">
        <v>230</v>
      </c>
      <c r="AD68" s="3">
        <f>IF(AC68&gt;0,VLOOKUP(AC68,IF({1,0},Fish!$N:$N,Fish!$D:$D),2,FALSE),"")</f>
        <v>11016</v>
      </c>
      <c r="AE68" s="3">
        <v>0</v>
      </c>
      <c r="AF68" s="3">
        <v>1</v>
      </c>
      <c r="AG68" s="3">
        <v>1</v>
      </c>
      <c r="AH68" s="3">
        <v>1</v>
      </c>
    </row>
    <row r="69" spans="1:34">
      <c r="A69" s="3">
        <v>44412</v>
      </c>
      <c r="B69" s="3">
        <v>1</v>
      </c>
      <c r="C69" s="3">
        <v>2</v>
      </c>
      <c r="D69" s="3">
        <v>1</v>
      </c>
      <c r="E69" s="3" t="s">
        <v>210</v>
      </c>
      <c r="F69" s="3">
        <f>IF(E69&gt;0,VLOOKUP(E69,IF({1,0},Fish!$N:$N,Fish!$D:$D),2,FALSE),"")</f>
        <v>11009</v>
      </c>
      <c r="G69" s="3">
        <v>0</v>
      </c>
      <c r="H69" s="3">
        <v>1</v>
      </c>
      <c r="I69" s="3">
        <v>2</v>
      </c>
      <c r="J69" s="3">
        <v>4</v>
      </c>
      <c r="K69" s="3" t="s">
        <v>216</v>
      </c>
      <c r="L69" s="3">
        <f>IF(K69&gt;0,VLOOKUP(K69,IF({1,0},Fish!$N:$N,Fish!$D:$D),2,FALSE),"")</f>
        <v>11010</v>
      </c>
      <c r="M69" s="3">
        <v>0</v>
      </c>
      <c r="N69" s="3">
        <v>1</v>
      </c>
      <c r="O69" s="3">
        <v>2</v>
      </c>
      <c r="P69" s="3">
        <v>3</v>
      </c>
      <c r="Q69" s="3" t="s">
        <v>220</v>
      </c>
      <c r="R69" s="3">
        <f>IF(Q69&gt;0,VLOOKUP(Q69,IF({1,0},Fish!$N:$N,Fish!$D:$D),2,FALSE),"")</f>
        <v>11012</v>
      </c>
      <c r="S69" s="3">
        <v>0</v>
      </c>
      <c r="T69" s="3">
        <v>1</v>
      </c>
      <c r="U69" s="3">
        <v>1</v>
      </c>
      <c r="V69" s="3">
        <v>2</v>
      </c>
      <c r="W69" s="3" t="s">
        <v>242</v>
      </c>
      <c r="X69" s="3">
        <f>IF(W69&gt;0,VLOOKUP(W69,IF({1,0},Fish!$N:$N,Fish!$D:$D),2,FALSE),"")</f>
        <v>11020</v>
      </c>
      <c r="Y69" s="3">
        <v>0</v>
      </c>
      <c r="Z69" s="3">
        <v>1</v>
      </c>
      <c r="AA69" s="3">
        <v>1</v>
      </c>
      <c r="AB69" s="3">
        <v>2</v>
      </c>
      <c r="AC69" s="3" t="s">
        <v>222</v>
      </c>
      <c r="AD69" s="3">
        <f>IF(AC69&gt;0,VLOOKUP(AC69,IF({1,0},Fish!$N:$N,Fish!$D:$D),2,FALSE),"")</f>
        <v>11013</v>
      </c>
      <c r="AE69" s="3">
        <v>0</v>
      </c>
      <c r="AF69" s="3">
        <v>1</v>
      </c>
      <c r="AG69" s="3">
        <v>1</v>
      </c>
      <c r="AH69" s="3">
        <v>1</v>
      </c>
    </row>
    <row r="70" spans="1:34">
      <c r="A70" s="3">
        <v>44412</v>
      </c>
      <c r="B70" s="3">
        <v>1</v>
      </c>
      <c r="C70" s="3">
        <v>2</v>
      </c>
      <c r="D70" s="3">
        <v>1</v>
      </c>
      <c r="E70" s="3" t="s">
        <v>210</v>
      </c>
      <c r="F70" s="3">
        <f>IF(E70&gt;0,VLOOKUP(E70,IF({1,0},Fish!$N:$N,Fish!$D:$D),2,FALSE),"")</f>
        <v>11009</v>
      </c>
      <c r="G70" s="3">
        <v>0</v>
      </c>
      <c r="H70" s="3">
        <v>1</v>
      </c>
      <c r="I70" s="3">
        <v>2</v>
      </c>
      <c r="J70" s="3">
        <v>4</v>
      </c>
      <c r="K70" s="3" t="s">
        <v>216</v>
      </c>
      <c r="L70" s="3">
        <f>IF(K70&gt;0,VLOOKUP(K70,IF({1,0},Fish!$N:$N,Fish!$D:$D),2,FALSE),"")</f>
        <v>11010</v>
      </c>
      <c r="M70" s="3">
        <v>0</v>
      </c>
      <c r="N70" s="3">
        <v>1</v>
      </c>
      <c r="O70" s="3">
        <v>2</v>
      </c>
      <c r="P70" s="3">
        <v>3</v>
      </c>
      <c r="Q70" s="3" t="s">
        <v>220</v>
      </c>
      <c r="R70" s="3">
        <f>IF(Q70&gt;0,VLOOKUP(Q70,IF({1,0},Fish!$N:$N,Fish!$D:$D),2,FALSE),"")</f>
        <v>11012</v>
      </c>
      <c r="S70" s="3">
        <v>0</v>
      </c>
      <c r="T70" s="3">
        <v>1</v>
      </c>
      <c r="U70" s="3">
        <v>1</v>
      </c>
      <c r="V70" s="3">
        <v>2</v>
      </c>
      <c r="W70" s="3" t="s">
        <v>242</v>
      </c>
      <c r="X70" s="3">
        <f>IF(W70&gt;0,VLOOKUP(W70,IF({1,0},Fish!$N:$N,Fish!$D:$D),2,FALSE),"")</f>
        <v>11020</v>
      </c>
      <c r="Y70" s="3">
        <v>0</v>
      </c>
      <c r="Z70" s="3">
        <v>1</v>
      </c>
      <c r="AA70" s="3">
        <v>1</v>
      </c>
      <c r="AB70" s="3">
        <v>2</v>
      </c>
      <c r="AC70" s="3" t="s">
        <v>230</v>
      </c>
      <c r="AD70" s="3">
        <f>IF(AC70&gt;0,VLOOKUP(AC70,IF({1,0},Fish!$N:$N,Fish!$D:$D),2,FALSE),"")</f>
        <v>11016</v>
      </c>
      <c r="AE70" s="3">
        <v>0</v>
      </c>
      <c r="AF70" s="3">
        <v>1</v>
      </c>
      <c r="AG70" s="3">
        <v>1</v>
      </c>
      <c r="AH70" s="3">
        <v>1</v>
      </c>
    </row>
    <row r="71" spans="1:30">
      <c r="A71" s="3">
        <v>44412</v>
      </c>
      <c r="B71" s="3">
        <v>1</v>
      </c>
      <c r="C71" s="3">
        <v>3</v>
      </c>
      <c r="D71" s="3">
        <v>2</v>
      </c>
      <c r="E71" s="3" t="s">
        <v>256</v>
      </c>
      <c r="F71" s="3">
        <f>IF(E71&gt;0,VLOOKUP(E71,IF({1,0},Fish!$N:$N,Fish!$D:$D),2,FALSE),"")</f>
        <v>11090</v>
      </c>
      <c r="G71" s="3">
        <v>55000</v>
      </c>
      <c r="H71" s="3">
        <v>1</v>
      </c>
      <c r="I71" s="3">
        <v>3</v>
      </c>
      <c r="J71" s="3">
        <v>5</v>
      </c>
      <c r="K71" s="3" t="s">
        <v>254</v>
      </c>
      <c r="L71" s="3">
        <f>IF(K71&gt;0,VLOOKUP(K71,IF({1,0},Fish!$N:$N,Fish!$D:$D),2,FALSE),"")</f>
        <v>11024</v>
      </c>
      <c r="M71" s="3">
        <v>45000</v>
      </c>
      <c r="N71" s="3">
        <v>1</v>
      </c>
      <c r="O71" s="3">
        <v>3</v>
      </c>
      <c r="P71" s="3">
        <v>5</v>
      </c>
      <c r="R71" s="3" t="str">
        <f>IF(Q71&gt;0,VLOOKUP(Q71,IF({1,0},Fish!$N:$N,Fish!$D:$D),2,FALSE),"")</f>
        <v/>
      </c>
      <c r="X71" s="3" t="str">
        <f>IF(W71&gt;0,VLOOKUP(W71,IF({1,0},Fish!$N:$N,Fish!$D:$D),2,FALSE),"")</f>
        <v/>
      </c>
      <c r="AD71" s="3" t="str">
        <f>IF(AC71&gt;0,VLOOKUP(AC71,IF({1,0},Fish!$N:$N,Fish!$D:$D),2,FALSE),"")</f>
        <v/>
      </c>
    </row>
    <row r="72" spans="1:30">
      <c r="A72" s="3">
        <v>44412</v>
      </c>
      <c r="B72" s="3">
        <v>1</v>
      </c>
      <c r="C72" s="3">
        <v>4</v>
      </c>
      <c r="D72" s="3">
        <v>2</v>
      </c>
      <c r="E72" s="3" t="s">
        <v>238</v>
      </c>
      <c r="F72" s="3">
        <f>IF(E72&gt;0,VLOOKUP(E72,IF({1,0},Fish!$N:$N,Fish!$D:$D),2,FALSE),"")</f>
        <v>11018</v>
      </c>
      <c r="G72" s="3">
        <v>30000</v>
      </c>
      <c r="H72" s="3">
        <v>1</v>
      </c>
      <c r="I72" s="3">
        <v>2</v>
      </c>
      <c r="J72" s="3">
        <v>4</v>
      </c>
      <c r="K72" s="3" t="s">
        <v>565</v>
      </c>
      <c r="L72" s="3">
        <f>IF(K72&gt;0,VLOOKUP(K72,IF({1,0},Fish!$N:$N,Fish!$D:$D),2,FALSE),"")</f>
        <v>11214</v>
      </c>
      <c r="M72" s="3">
        <v>30000</v>
      </c>
      <c r="N72" s="3">
        <v>1</v>
      </c>
      <c r="O72" s="3">
        <v>2</v>
      </c>
      <c r="P72" s="3">
        <v>4</v>
      </c>
      <c r="Q72" s="3" t="s">
        <v>246</v>
      </c>
      <c r="R72" s="3">
        <f>IF(Q72&gt;0,VLOOKUP(Q72,IF({1,0},Fish!$N:$N,Fish!$D:$D),2,FALSE),"")</f>
        <v>11021</v>
      </c>
      <c r="S72" s="3">
        <v>25000</v>
      </c>
      <c r="T72" s="3">
        <v>1</v>
      </c>
      <c r="U72" s="3">
        <v>2</v>
      </c>
      <c r="V72" s="3">
        <v>4</v>
      </c>
      <c r="W72" s="4" t="s">
        <v>240</v>
      </c>
      <c r="X72" s="3">
        <f>IF(W72&gt;0,VLOOKUP(W72,IF({1,0},Fish!$N:$N,Fish!$D:$D),2,FALSE),"")</f>
        <v>11092</v>
      </c>
      <c r="Y72" s="3">
        <v>15000</v>
      </c>
      <c r="Z72" s="3">
        <v>1</v>
      </c>
      <c r="AA72" s="3">
        <v>2</v>
      </c>
      <c r="AB72" s="3">
        <v>4</v>
      </c>
      <c r="AD72" s="3" t="str">
        <f>IF(AC72&gt;0,VLOOKUP(AC72,IF({1,0},Fish!$N:$N,Fish!$D:$D),2,FALSE),"")</f>
        <v/>
      </c>
    </row>
    <row r="73" spans="1:34">
      <c r="A73" s="3">
        <v>44412</v>
      </c>
      <c r="B73" s="3">
        <v>1</v>
      </c>
      <c r="C73" s="3">
        <v>5</v>
      </c>
      <c r="D73" s="3">
        <v>2</v>
      </c>
      <c r="E73" s="3" t="s">
        <v>291</v>
      </c>
      <c r="F73" s="3">
        <f>IF(E73&gt;0,VLOOKUP(E73,IF({1,0},Fish!$N:$N,Fish!$D:$D),2,FALSE),"")</f>
        <v>14009</v>
      </c>
      <c r="G73" s="3">
        <v>30000</v>
      </c>
      <c r="H73" s="3">
        <v>1</v>
      </c>
      <c r="I73" s="3">
        <v>2</v>
      </c>
      <c r="J73" s="3">
        <v>4</v>
      </c>
      <c r="K73" s="3" t="s">
        <v>292</v>
      </c>
      <c r="L73" s="3">
        <f>IF(K73&gt;0,VLOOKUP(K73,IF({1,0},Fish!$N:$N,Fish!$D:$D),2,FALSE),"")</f>
        <v>14011</v>
      </c>
      <c r="M73" s="3">
        <v>28000</v>
      </c>
      <c r="N73" s="3">
        <v>1</v>
      </c>
      <c r="O73" s="3">
        <v>2</v>
      </c>
      <c r="P73" s="3">
        <v>4</v>
      </c>
      <c r="Q73" s="3" t="s">
        <v>294</v>
      </c>
      <c r="R73" s="3">
        <f>IF(Q73&gt;0,VLOOKUP(Q73,IF({1,0},Fish!$N:$N,Fish!$D:$D),2,FALSE),"")</f>
        <v>14015</v>
      </c>
      <c r="S73" s="3">
        <v>20000</v>
      </c>
      <c r="T73" s="3">
        <v>1</v>
      </c>
      <c r="U73" s="3">
        <v>2</v>
      </c>
      <c r="V73" s="3">
        <v>4</v>
      </c>
      <c r="W73" s="3" t="s">
        <v>298</v>
      </c>
      <c r="X73" s="3">
        <f>IF(W73&gt;0,VLOOKUP(W73,IF({1,0},Fish!$N:$N,Fish!$D:$D),2,FALSE),"")</f>
        <v>14020</v>
      </c>
      <c r="Y73" s="3">
        <v>12000</v>
      </c>
      <c r="Z73" s="3">
        <v>1</v>
      </c>
      <c r="AA73" s="3">
        <v>2</v>
      </c>
      <c r="AB73" s="3">
        <v>4</v>
      </c>
      <c r="AC73" s="3" t="s">
        <v>293</v>
      </c>
      <c r="AD73" s="3">
        <f>IF(AC73&gt;0,VLOOKUP(AC73,IF({1,0},Fish!$N:$N,Fish!$D:$D),2,FALSE),"")</f>
        <v>14013</v>
      </c>
      <c r="AE73" s="3">
        <v>10000</v>
      </c>
      <c r="AF73" s="3">
        <v>1</v>
      </c>
      <c r="AG73" s="3">
        <v>2</v>
      </c>
      <c r="AH73" s="3">
        <v>4</v>
      </c>
    </row>
    <row r="75" spans="1:34">
      <c r="A75" s="3" t="s">
        <v>1019</v>
      </c>
      <c r="B75" s="3" t="s">
        <v>1020</v>
      </c>
      <c r="C75" s="3" t="s">
        <v>1021</v>
      </c>
      <c r="D75" s="3" t="s">
        <v>1022</v>
      </c>
      <c r="E75" s="3" t="s">
        <v>1023</v>
      </c>
      <c r="F75" s="3" t="s">
        <v>1024</v>
      </c>
      <c r="G75" s="3" t="s">
        <v>858</v>
      </c>
      <c r="H75" s="3" t="s">
        <v>1025</v>
      </c>
      <c r="I75" s="3" t="s">
        <v>1026</v>
      </c>
      <c r="J75" s="3" t="s">
        <v>1027</v>
      </c>
      <c r="K75" s="3" t="s">
        <v>1023</v>
      </c>
      <c r="L75" s="3" t="s">
        <v>1024</v>
      </c>
      <c r="M75" s="3" t="s">
        <v>858</v>
      </c>
      <c r="N75" s="3" t="s">
        <v>1025</v>
      </c>
      <c r="O75" s="3" t="s">
        <v>1026</v>
      </c>
      <c r="P75" s="3" t="s">
        <v>1027</v>
      </c>
      <c r="Q75" s="3" t="s">
        <v>1023</v>
      </c>
      <c r="R75" s="3" t="s">
        <v>1024</v>
      </c>
      <c r="S75" s="3" t="s">
        <v>858</v>
      </c>
      <c r="T75" s="3" t="s">
        <v>1025</v>
      </c>
      <c r="U75" s="3" t="s">
        <v>1026</v>
      </c>
      <c r="V75" s="3" t="s">
        <v>1027</v>
      </c>
      <c r="W75" s="3" t="s">
        <v>1023</v>
      </c>
      <c r="X75" s="3" t="s">
        <v>1024</v>
      </c>
      <c r="Y75" s="3" t="s">
        <v>858</v>
      </c>
      <c r="Z75" s="3" t="s">
        <v>1025</v>
      </c>
      <c r="AA75" s="3" t="s">
        <v>1026</v>
      </c>
      <c r="AB75" s="3" t="s">
        <v>1027</v>
      </c>
      <c r="AC75" s="3" t="s">
        <v>1023</v>
      </c>
      <c r="AD75" s="3" t="s">
        <v>1024</v>
      </c>
      <c r="AE75" s="3" t="s">
        <v>858</v>
      </c>
      <c r="AF75" s="3" t="s">
        <v>1025</v>
      </c>
      <c r="AG75" s="3" t="s">
        <v>1026</v>
      </c>
      <c r="AH75" s="3" t="s">
        <v>1027</v>
      </c>
    </row>
    <row r="76" spans="1:34">
      <c r="A76" s="3" t="s">
        <v>15</v>
      </c>
      <c r="B76" s="3" t="s">
        <v>15</v>
      </c>
      <c r="C76" s="3" t="s">
        <v>15</v>
      </c>
      <c r="D76" s="3" t="s">
        <v>15</v>
      </c>
      <c r="E76" s="3" t="s">
        <v>172</v>
      </c>
      <c r="F76" s="3" t="s">
        <v>15</v>
      </c>
      <c r="G76" s="3" t="s">
        <v>15</v>
      </c>
      <c r="H76" s="3" t="s">
        <v>15</v>
      </c>
      <c r="I76" s="3" t="s">
        <v>15</v>
      </c>
      <c r="J76" s="3" t="s">
        <v>15</v>
      </c>
      <c r="K76" s="3" t="s">
        <v>172</v>
      </c>
      <c r="L76" s="3" t="s">
        <v>15</v>
      </c>
      <c r="M76" s="3" t="s">
        <v>15</v>
      </c>
      <c r="N76" s="3" t="s">
        <v>15</v>
      </c>
      <c r="O76" s="3" t="s">
        <v>15</v>
      </c>
      <c r="P76" s="3" t="s">
        <v>15</v>
      </c>
      <c r="Q76" s="3" t="s">
        <v>172</v>
      </c>
      <c r="R76" s="3" t="s">
        <v>15</v>
      </c>
      <c r="S76" s="3" t="s">
        <v>15</v>
      </c>
      <c r="T76" s="3" t="s">
        <v>15</v>
      </c>
      <c r="U76" s="3" t="s">
        <v>15</v>
      </c>
      <c r="V76" s="3" t="s">
        <v>15</v>
      </c>
      <c r="W76" s="3" t="s">
        <v>172</v>
      </c>
      <c r="X76" s="3" t="s">
        <v>15</v>
      </c>
      <c r="Y76" s="3" t="s">
        <v>15</v>
      </c>
      <c r="Z76" s="3" t="s">
        <v>15</v>
      </c>
      <c r="AA76" s="3" t="s">
        <v>15</v>
      </c>
      <c r="AB76" s="3" t="s">
        <v>15</v>
      </c>
      <c r="AC76" s="3" t="s">
        <v>172</v>
      </c>
      <c r="AD76" s="3" t="s">
        <v>15</v>
      </c>
      <c r="AE76" s="3" t="s">
        <v>15</v>
      </c>
      <c r="AF76" s="3" t="s">
        <v>15</v>
      </c>
      <c r="AG76" s="3" t="s">
        <v>15</v>
      </c>
      <c r="AH76" s="3" t="s">
        <v>15</v>
      </c>
    </row>
    <row r="77" ht="18" spans="1:34">
      <c r="A77" s="3" t="s">
        <v>1028</v>
      </c>
      <c r="B77" s="3" t="s">
        <v>1029</v>
      </c>
      <c r="C77" s="3" t="s">
        <v>179</v>
      </c>
      <c r="D77" s="3" t="s">
        <v>1030</v>
      </c>
      <c r="E77" s="3" t="s">
        <v>1031</v>
      </c>
      <c r="F77" s="3" t="s">
        <v>1032</v>
      </c>
      <c r="G77" s="3" t="s">
        <v>870</v>
      </c>
      <c r="H77" s="3" t="s">
        <v>1033</v>
      </c>
      <c r="I77" s="3" t="s">
        <v>1034</v>
      </c>
      <c r="J77" s="3" t="s">
        <v>1035</v>
      </c>
      <c r="K77" s="3" t="s">
        <v>1031</v>
      </c>
      <c r="L77" s="3" t="s">
        <v>1032</v>
      </c>
      <c r="M77" s="3" t="s">
        <v>870</v>
      </c>
      <c r="N77" s="3" t="s">
        <v>1033</v>
      </c>
      <c r="O77" s="3" t="s">
        <v>1034</v>
      </c>
      <c r="P77" s="3" t="s">
        <v>1035</v>
      </c>
      <c r="Q77" s="3" t="s">
        <v>1031</v>
      </c>
      <c r="R77" s="3" t="s">
        <v>1032</v>
      </c>
      <c r="S77" s="3" t="s">
        <v>870</v>
      </c>
      <c r="T77" s="3" t="s">
        <v>1033</v>
      </c>
      <c r="U77" s="3" t="s">
        <v>1034</v>
      </c>
      <c r="V77" s="3" t="s">
        <v>1035</v>
      </c>
      <c r="W77" s="3" t="s">
        <v>1031</v>
      </c>
      <c r="X77" s="3" t="s">
        <v>1032</v>
      </c>
      <c r="Y77" s="3" t="s">
        <v>870</v>
      </c>
      <c r="Z77" s="3" t="s">
        <v>1033</v>
      </c>
      <c r="AA77" s="3" t="s">
        <v>1034</v>
      </c>
      <c r="AB77" s="3" t="s">
        <v>1035</v>
      </c>
      <c r="AC77" s="3" t="s">
        <v>1031</v>
      </c>
      <c r="AD77" s="3" t="s">
        <v>1032</v>
      </c>
      <c r="AE77" s="3" t="s">
        <v>870</v>
      </c>
      <c r="AF77" s="3" t="s">
        <v>1033</v>
      </c>
      <c r="AG77" s="3" t="s">
        <v>1034</v>
      </c>
      <c r="AH77" s="3" t="s">
        <v>1035</v>
      </c>
    </row>
    <row r="78" spans="1:30">
      <c r="A78" s="3">
        <v>44411</v>
      </c>
      <c r="B78" s="3">
        <v>1</v>
      </c>
      <c r="C78" s="3">
        <v>1</v>
      </c>
      <c r="D78" s="3">
        <v>1</v>
      </c>
      <c r="E78" s="3" t="s">
        <v>194</v>
      </c>
      <c r="F78" s="3">
        <f>IF(E78&gt;0,VLOOKUP(E78,IF({1,0},Fish!$N:$N,Fish!$D:$D),2,FALSE),"")</f>
        <v>11001</v>
      </c>
      <c r="G78" s="3">
        <v>0</v>
      </c>
      <c r="H78" s="3">
        <v>1</v>
      </c>
      <c r="I78" s="3">
        <v>6</v>
      </c>
      <c r="J78" s="3">
        <v>12</v>
      </c>
      <c r="K78" s="3" t="s">
        <v>198</v>
      </c>
      <c r="L78" s="3">
        <f>IF(K78&gt;0,VLOOKUP(K78,IF({1,0},Fish!$N:$N,Fish!$D:$D),2,FALSE),"")</f>
        <v>11003</v>
      </c>
      <c r="M78" s="3">
        <v>0</v>
      </c>
      <c r="N78" s="3">
        <v>1</v>
      </c>
      <c r="O78" s="3">
        <v>6</v>
      </c>
      <c r="P78" s="3">
        <v>8</v>
      </c>
      <c r="R78" s="3" t="str">
        <f>IF(Q78&gt;0,VLOOKUP(Q78,IF({1,0},Fish!$N:$N,Fish!$D:$D),2,FALSE),"")</f>
        <v/>
      </c>
      <c r="X78" s="3" t="str">
        <f>IF(W78&gt;0,VLOOKUP(W78,IF({1,0},Fish!$N:$N,Fish!$D:$D),2,FALSE),"")</f>
        <v/>
      </c>
      <c r="AD78" s="3" t="str">
        <f>IF(AC78&gt;0,VLOOKUP(AC78,IF({1,0},Fish!$N:$N,Fish!$D:$D),2,FALSE),"")</f>
        <v/>
      </c>
    </row>
    <row r="79" spans="1:30">
      <c r="A79" s="3">
        <v>44411</v>
      </c>
      <c r="B79" s="3">
        <v>1</v>
      </c>
      <c r="C79" s="3">
        <v>1</v>
      </c>
      <c r="D79" s="3">
        <v>1</v>
      </c>
      <c r="E79" s="3" t="s">
        <v>194</v>
      </c>
      <c r="F79" s="3">
        <f>IF(E79&gt;0,VLOOKUP(E79,IF({1,0},Fish!$N:$N,Fish!$D:$D),2,FALSE),"")</f>
        <v>11001</v>
      </c>
      <c r="G79" s="3">
        <v>0</v>
      </c>
      <c r="H79" s="3">
        <v>1</v>
      </c>
      <c r="I79" s="3">
        <v>6</v>
      </c>
      <c r="J79" s="3">
        <v>12</v>
      </c>
      <c r="K79" s="3" t="s">
        <v>1036</v>
      </c>
      <c r="L79" s="3" t="e">
        <f>IF(K79&gt;0,VLOOKUP(K79,IF({1,0},Fish!$N:$N,Fish!$D:$D),2,FALSE),"")</f>
        <v>#N/A</v>
      </c>
      <c r="M79" s="3">
        <v>0</v>
      </c>
      <c r="N79" s="3">
        <v>1</v>
      </c>
      <c r="O79" s="3">
        <v>6</v>
      </c>
      <c r="P79" s="3">
        <v>8</v>
      </c>
      <c r="R79" s="3" t="str">
        <f>IF(Q79&gt;0,VLOOKUP(Q79,IF({1,0},Fish!$N:$N,Fish!$D:$D),2,FALSE),"")</f>
        <v/>
      </c>
      <c r="X79" s="3" t="str">
        <f>IF(W79&gt;0,VLOOKUP(W79,IF({1,0},Fish!$N:$N,Fish!$D:$D),2,FALSE),"")</f>
        <v/>
      </c>
      <c r="AD79" s="3" t="str">
        <f>IF(AC79&gt;0,VLOOKUP(AC79,IF({1,0},Fish!$N:$N,Fish!$D:$D),2,FALSE),"")</f>
        <v/>
      </c>
    </row>
    <row r="80" spans="1:30">
      <c r="A80" s="3">
        <v>44411</v>
      </c>
      <c r="B80" s="3">
        <v>1</v>
      </c>
      <c r="C80" s="3">
        <v>1</v>
      </c>
      <c r="D80" s="3">
        <v>1</v>
      </c>
      <c r="E80" s="3" t="s">
        <v>196</v>
      </c>
      <c r="F80" s="3">
        <f>IF(E80&gt;0,VLOOKUP(E80,IF({1,0},Fish!$N:$N,Fish!$D:$D),2,FALSE),"")</f>
        <v>11002</v>
      </c>
      <c r="G80" s="3">
        <v>0</v>
      </c>
      <c r="H80" s="3">
        <v>1</v>
      </c>
      <c r="I80" s="3">
        <v>6</v>
      </c>
      <c r="J80" s="3">
        <v>12</v>
      </c>
      <c r="K80" s="3" t="s">
        <v>198</v>
      </c>
      <c r="L80" s="3">
        <f>IF(K80&gt;0,VLOOKUP(K80,IF({1,0},Fish!$N:$N,Fish!$D:$D),2,FALSE),"")</f>
        <v>11003</v>
      </c>
      <c r="M80" s="3">
        <v>0</v>
      </c>
      <c r="N80" s="3">
        <v>1</v>
      </c>
      <c r="O80" s="3">
        <v>6</v>
      </c>
      <c r="P80" s="3">
        <v>8</v>
      </c>
      <c r="R80" s="3" t="str">
        <f>IF(Q80&gt;0,VLOOKUP(Q80,IF({1,0},Fish!$N:$N,Fish!$D:$D),2,FALSE),"")</f>
        <v/>
      </c>
      <c r="X80" s="3" t="str">
        <f>IF(W80&gt;0,VLOOKUP(W80,IF({1,0},Fish!$N:$N,Fish!$D:$D),2,FALSE),"")</f>
        <v/>
      </c>
      <c r="AD80" s="3" t="str">
        <f>IF(AC80&gt;0,VLOOKUP(AC80,IF({1,0},Fish!$N:$N,Fish!$D:$D),2,FALSE),"")</f>
        <v/>
      </c>
    </row>
    <row r="81" spans="1:30">
      <c r="A81" s="3">
        <v>44411</v>
      </c>
      <c r="B81" s="3">
        <v>1</v>
      </c>
      <c r="C81" s="3">
        <v>1</v>
      </c>
      <c r="D81" s="3">
        <v>1</v>
      </c>
      <c r="E81" s="3" t="s">
        <v>196</v>
      </c>
      <c r="F81" s="3">
        <f>IF(E81&gt;0,VLOOKUP(E81,IF({1,0},Fish!$N:$N,Fish!$D:$D),2,FALSE),"")</f>
        <v>11002</v>
      </c>
      <c r="G81" s="3">
        <v>0</v>
      </c>
      <c r="H81" s="3">
        <v>1</v>
      </c>
      <c r="I81" s="3">
        <v>6</v>
      </c>
      <c r="J81" s="3">
        <v>12</v>
      </c>
      <c r="K81" s="3" t="s">
        <v>1036</v>
      </c>
      <c r="L81" s="3" t="e">
        <f>IF(K81&gt;0,VLOOKUP(K81,IF({1,0},Fish!$N:$N,Fish!$D:$D),2,FALSE),"")</f>
        <v>#N/A</v>
      </c>
      <c r="M81" s="3">
        <v>0</v>
      </c>
      <c r="N81" s="3">
        <v>1</v>
      </c>
      <c r="O81" s="3">
        <v>6</v>
      </c>
      <c r="P81" s="3">
        <v>8</v>
      </c>
      <c r="R81" s="3" t="str">
        <f>IF(Q81&gt;0,VLOOKUP(Q81,IF({1,0},Fish!$N:$N,Fish!$D:$D),2,FALSE),"")</f>
        <v/>
      </c>
      <c r="X81" s="3" t="str">
        <f>IF(W81&gt;0,VLOOKUP(W81,IF({1,0},Fish!$N:$N,Fish!$D:$D),2,FALSE),"")</f>
        <v/>
      </c>
      <c r="AD81" s="3" t="str">
        <f>IF(AC81&gt;0,VLOOKUP(AC81,IF({1,0},Fish!$N:$N,Fish!$D:$D),2,FALSE),"")</f>
        <v/>
      </c>
    </row>
    <row r="82" spans="1:30">
      <c r="A82" s="3">
        <v>44411</v>
      </c>
      <c r="B82" s="3">
        <v>1</v>
      </c>
      <c r="C82" s="3">
        <v>2</v>
      </c>
      <c r="D82" s="3">
        <v>1</v>
      </c>
      <c r="E82" s="3" t="s">
        <v>208</v>
      </c>
      <c r="F82" s="3">
        <f>IF(E82&gt;0,VLOOKUP(E82,IF({1,0},Fish!$N:$N,Fish!$D:$D),2,FALSE),"")</f>
        <v>11008</v>
      </c>
      <c r="G82" s="3">
        <v>0</v>
      </c>
      <c r="H82" s="3">
        <v>1</v>
      </c>
      <c r="I82" s="3">
        <v>3</v>
      </c>
      <c r="J82" s="3">
        <v>5</v>
      </c>
      <c r="K82" s="3" t="s">
        <v>218</v>
      </c>
      <c r="L82" s="3">
        <f>IF(K82&gt;0,VLOOKUP(K82,IF({1,0},Fish!$N:$N,Fish!$D:$D),2,FALSE),"")</f>
        <v>11011</v>
      </c>
      <c r="M82" s="3">
        <v>0</v>
      </c>
      <c r="N82" s="3">
        <v>1</v>
      </c>
      <c r="O82" s="3">
        <v>2</v>
      </c>
      <c r="P82" s="3">
        <v>3</v>
      </c>
      <c r="Q82" s="3" t="s">
        <v>232</v>
      </c>
      <c r="R82" s="3">
        <f>IF(Q82&gt;0,VLOOKUP(Q82,IF({1,0},Fish!$N:$N,Fish!$D:$D),2,FALSE),"")</f>
        <v>11017</v>
      </c>
      <c r="S82" s="3">
        <v>0</v>
      </c>
      <c r="T82" s="3">
        <v>1</v>
      </c>
      <c r="U82" s="3">
        <v>1</v>
      </c>
      <c r="V82" s="3">
        <v>2</v>
      </c>
      <c r="W82" s="3" t="s">
        <v>228</v>
      </c>
      <c r="X82" s="3">
        <f>IF(W82&gt;0,VLOOKUP(W82,IF({1,0},Fish!$N:$N,Fish!$D:$D),2,FALSE),"")</f>
        <v>11015</v>
      </c>
      <c r="Y82" s="3">
        <v>0</v>
      </c>
      <c r="Z82" s="3">
        <v>1</v>
      </c>
      <c r="AA82" s="3">
        <v>1</v>
      </c>
      <c r="AB82" s="3">
        <v>2</v>
      </c>
      <c r="AD82" s="3" t="str">
        <f>IF(AC82&gt;0,VLOOKUP(AC82,IF({1,0},Fish!$N:$N,Fish!$D:$D),2,FALSE),"")</f>
        <v/>
      </c>
    </row>
    <row r="83" spans="1:30">
      <c r="A83" s="3">
        <v>44411</v>
      </c>
      <c r="B83" s="3">
        <v>1</v>
      </c>
      <c r="C83" s="3">
        <v>2</v>
      </c>
      <c r="D83" s="3">
        <v>1</v>
      </c>
      <c r="E83" s="3" t="s">
        <v>208</v>
      </c>
      <c r="F83" s="3">
        <f>IF(E83&gt;0,VLOOKUP(E83,IF({1,0},Fish!$N:$N,Fish!$D:$D),2,FALSE),"")</f>
        <v>11008</v>
      </c>
      <c r="G83" s="3">
        <v>0</v>
      </c>
      <c r="H83" s="3">
        <v>1</v>
      </c>
      <c r="I83" s="3">
        <v>3</v>
      </c>
      <c r="J83" s="3">
        <v>5</v>
      </c>
      <c r="K83" s="3" t="s">
        <v>218</v>
      </c>
      <c r="L83" s="3">
        <f>IF(K83&gt;0,VLOOKUP(K83,IF({1,0},Fish!$N:$N,Fish!$D:$D),2,FALSE),"")</f>
        <v>11011</v>
      </c>
      <c r="M83" s="3">
        <v>0</v>
      </c>
      <c r="N83" s="3">
        <v>1</v>
      </c>
      <c r="O83" s="3">
        <v>2</v>
      </c>
      <c r="P83" s="3">
        <v>3</v>
      </c>
      <c r="Q83" s="3" t="s">
        <v>232</v>
      </c>
      <c r="R83" s="3">
        <f>IF(Q83&gt;0,VLOOKUP(Q83,IF({1,0},Fish!$N:$N,Fish!$D:$D),2,FALSE),"")</f>
        <v>11017</v>
      </c>
      <c r="S83" s="3">
        <v>0</v>
      </c>
      <c r="T83" s="3">
        <v>1</v>
      </c>
      <c r="U83" s="3">
        <v>1</v>
      </c>
      <c r="V83" s="3">
        <v>2</v>
      </c>
      <c r="W83" s="3" t="s">
        <v>242</v>
      </c>
      <c r="X83" s="3">
        <f>IF(W83&gt;0,VLOOKUP(W83,IF({1,0},Fish!$N:$N,Fish!$D:$D),2,FALSE),"")</f>
        <v>11020</v>
      </c>
      <c r="Y83" s="3">
        <v>0</v>
      </c>
      <c r="Z83" s="3">
        <v>1</v>
      </c>
      <c r="AA83" s="3">
        <v>1</v>
      </c>
      <c r="AB83" s="3">
        <v>2</v>
      </c>
      <c r="AD83" s="3" t="str">
        <f>IF(AC83&gt;0,VLOOKUP(AC83,IF({1,0},Fish!$N:$N,Fish!$D:$D),2,FALSE),"")</f>
        <v/>
      </c>
    </row>
    <row r="84" spans="1:30">
      <c r="A84" s="3">
        <v>44411</v>
      </c>
      <c r="B84" s="3">
        <v>1</v>
      </c>
      <c r="C84" s="3">
        <v>2</v>
      </c>
      <c r="D84" s="3">
        <v>1</v>
      </c>
      <c r="E84" s="3" t="s">
        <v>208</v>
      </c>
      <c r="F84" s="3">
        <f>IF(E84&gt;0,VLOOKUP(E84,IF({1,0},Fish!$N:$N,Fish!$D:$D),2,FALSE),"")</f>
        <v>11008</v>
      </c>
      <c r="G84" s="3">
        <v>0</v>
      </c>
      <c r="H84" s="3">
        <v>1</v>
      </c>
      <c r="I84" s="3">
        <v>3</v>
      </c>
      <c r="J84" s="3">
        <v>5</v>
      </c>
      <c r="K84" s="3" t="s">
        <v>218</v>
      </c>
      <c r="L84" s="3">
        <f>IF(K84&gt;0,VLOOKUP(K84,IF({1,0},Fish!$N:$N,Fish!$D:$D),2,FALSE),"")</f>
        <v>11011</v>
      </c>
      <c r="M84" s="3">
        <v>0</v>
      </c>
      <c r="N84" s="3">
        <v>1</v>
      </c>
      <c r="O84" s="3">
        <v>2</v>
      </c>
      <c r="P84" s="3">
        <v>3</v>
      </c>
      <c r="Q84" s="3" t="s">
        <v>232</v>
      </c>
      <c r="R84" s="3">
        <f>IF(Q84&gt;0,VLOOKUP(Q84,IF({1,0},Fish!$N:$N,Fish!$D:$D),2,FALSE),"")</f>
        <v>11017</v>
      </c>
      <c r="S84" s="3">
        <v>0</v>
      </c>
      <c r="T84" s="3">
        <v>1</v>
      </c>
      <c r="U84" s="3">
        <v>1</v>
      </c>
      <c r="V84" s="3">
        <v>2</v>
      </c>
      <c r="W84" s="3" t="s">
        <v>222</v>
      </c>
      <c r="X84" s="3">
        <f>IF(W84&gt;0,VLOOKUP(W84,IF({1,0},Fish!$N:$N,Fish!$D:$D),2,FALSE),"")</f>
        <v>11013</v>
      </c>
      <c r="Y84" s="3">
        <v>0</v>
      </c>
      <c r="Z84" s="3">
        <v>1</v>
      </c>
      <c r="AA84" s="3">
        <v>1</v>
      </c>
      <c r="AB84" s="3">
        <v>2</v>
      </c>
      <c r="AD84" s="3" t="str">
        <f>IF(AC84&gt;0,VLOOKUP(AC84,IF({1,0},Fish!$N:$N,Fish!$D:$D),2,FALSE),"")</f>
        <v/>
      </c>
    </row>
    <row r="85" spans="1:30">
      <c r="A85" s="3">
        <v>44411</v>
      </c>
      <c r="B85" s="3">
        <v>1</v>
      </c>
      <c r="C85" s="3">
        <v>2</v>
      </c>
      <c r="D85" s="3">
        <v>1</v>
      </c>
      <c r="E85" s="3" t="s">
        <v>208</v>
      </c>
      <c r="F85" s="3">
        <f>IF(E85&gt;0,VLOOKUP(E85,IF({1,0},Fish!$N:$N,Fish!$D:$D),2,FALSE),"")</f>
        <v>11008</v>
      </c>
      <c r="G85" s="3">
        <v>0</v>
      </c>
      <c r="H85" s="3">
        <v>1</v>
      </c>
      <c r="I85" s="3">
        <v>3</v>
      </c>
      <c r="J85" s="3">
        <v>5</v>
      </c>
      <c r="K85" s="3" t="s">
        <v>218</v>
      </c>
      <c r="L85" s="3">
        <f>IF(K85&gt;0,VLOOKUP(K85,IF({1,0},Fish!$N:$N,Fish!$D:$D),2,FALSE),"")</f>
        <v>11011</v>
      </c>
      <c r="M85" s="3">
        <v>0</v>
      </c>
      <c r="N85" s="3">
        <v>1</v>
      </c>
      <c r="O85" s="3">
        <v>2</v>
      </c>
      <c r="P85" s="3">
        <v>3</v>
      </c>
      <c r="Q85" s="3" t="s">
        <v>220</v>
      </c>
      <c r="R85" s="3">
        <f>IF(Q85&gt;0,VLOOKUP(Q85,IF({1,0},Fish!$N:$N,Fish!$D:$D),2,FALSE),"")</f>
        <v>11012</v>
      </c>
      <c r="S85" s="3">
        <v>0</v>
      </c>
      <c r="T85" s="3">
        <v>1</v>
      </c>
      <c r="U85" s="3">
        <v>1</v>
      </c>
      <c r="V85" s="3">
        <v>2</v>
      </c>
      <c r="W85" s="3" t="s">
        <v>228</v>
      </c>
      <c r="X85" s="3">
        <f>IF(W85&gt;0,VLOOKUP(W85,IF({1,0},Fish!$N:$N,Fish!$D:$D),2,FALSE),"")</f>
        <v>11015</v>
      </c>
      <c r="Y85" s="3">
        <v>0</v>
      </c>
      <c r="Z85" s="3">
        <v>1</v>
      </c>
      <c r="AA85" s="3">
        <v>1</v>
      </c>
      <c r="AB85" s="3">
        <v>2</v>
      </c>
      <c r="AD85" s="3" t="str">
        <f>IF(AC85&gt;0,VLOOKUP(AC85,IF({1,0},Fish!$N:$N,Fish!$D:$D),2,FALSE),"")</f>
        <v/>
      </c>
    </row>
    <row r="86" spans="1:30">
      <c r="A86" s="3">
        <v>44411</v>
      </c>
      <c r="B86" s="3">
        <v>1</v>
      </c>
      <c r="C86" s="3">
        <v>2</v>
      </c>
      <c r="D86" s="3">
        <v>1</v>
      </c>
      <c r="E86" s="3" t="s">
        <v>208</v>
      </c>
      <c r="F86" s="3">
        <f>IF(E86&gt;0,VLOOKUP(E86,IF({1,0},Fish!$N:$N,Fish!$D:$D),2,FALSE),"")</f>
        <v>11008</v>
      </c>
      <c r="G86" s="3">
        <v>0</v>
      </c>
      <c r="H86" s="3">
        <v>1</v>
      </c>
      <c r="I86" s="3">
        <v>3</v>
      </c>
      <c r="J86" s="3">
        <v>5</v>
      </c>
      <c r="K86" s="3" t="s">
        <v>218</v>
      </c>
      <c r="L86" s="3">
        <f>IF(K86&gt;0,VLOOKUP(K86,IF({1,0},Fish!$N:$N,Fish!$D:$D),2,FALSE),"")</f>
        <v>11011</v>
      </c>
      <c r="M86" s="3">
        <v>0</v>
      </c>
      <c r="N86" s="3">
        <v>1</v>
      </c>
      <c r="O86" s="3">
        <v>2</v>
      </c>
      <c r="P86" s="3">
        <v>3</v>
      </c>
      <c r="Q86" s="3" t="s">
        <v>220</v>
      </c>
      <c r="R86" s="3">
        <f>IF(Q86&gt;0,VLOOKUP(Q86,IF({1,0},Fish!$N:$N,Fish!$D:$D),2,FALSE),"")</f>
        <v>11012</v>
      </c>
      <c r="S86" s="3">
        <v>0</v>
      </c>
      <c r="T86" s="3">
        <v>1</v>
      </c>
      <c r="U86" s="3">
        <v>1</v>
      </c>
      <c r="V86" s="3">
        <v>2</v>
      </c>
      <c r="W86" s="3" t="s">
        <v>242</v>
      </c>
      <c r="X86" s="3">
        <f>IF(W86&gt;0,VLOOKUP(W86,IF({1,0},Fish!$N:$N,Fish!$D:$D),2,FALSE),"")</f>
        <v>11020</v>
      </c>
      <c r="Y86" s="3">
        <v>0</v>
      </c>
      <c r="Z86" s="3">
        <v>1</v>
      </c>
      <c r="AA86" s="3">
        <v>1</v>
      </c>
      <c r="AB86" s="3">
        <v>2</v>
      </c>
      <c r="AD86" s="3" t="str">
        <f>IF(AC86&gt;0,VLOOKUP(AC86,IF({1,0},Fish!$N:$N,Fish!$D:$D),2,FALSE),"")</f>
        <v/>
      </c>
    </row>
    <row r="87" spans="1:30">
      <c r="A87" s="3">
        <v>44411</v>
      </c>
      <c r="B87" s="3">
        <v>1</v>
      </c>
      <c r="C87" s="3">
        <v>2</v>
      </c>
      <c r="D87" s="3">
        <v>1</v>
      </c>
      <c r="E87" s="3" t="s">
        <v>208</v>
      </c>
      <c r="F87" s="3">
        <f>IF(E87&gt;0,VLOOKUP(E87,IF({1,0},Fish!$N:$N,Fish!$D:$D),2,FALSE),"")</f>
        <v>11008</v>
      </c>
      <c r="G87" s="3">
        <v>0</v>
      </c>
      <c r="H87" s="3">
        <v>1</v>
      </c>
      <c r="I87" s="3">
        <v>3</v>
      </c>
      <c r="J87" s="3">
        <v>5</v>
      </c>
      <c r="K87" s="3" t="s">
        <v>218</v>
      </c>
      <c r="L87" s="3">
        <f>IF(K87&gt;0,VLOOKUP(K87,IF({1,0},Fish!$N:$N,Fish!$D:$D),2,FALSE),"")</f>
        <v>11011</v>
      </c>
      <c r="M87" s="3">
        <v>0</v>
      </c>
      <c r="N87" s="3">
        <v>1</v>
      </c>
      <c r="O87" s="3">
        <v>2</v>
      </c>
      <c r="P87" s="3">
        <v>3</v>
      </c>
      <c r="Q87" s="3" t="s">
        <v>220</v>
      </c>
      <c r="R87" s="3">
        <f>IF(Q87&gt;0,VLOOKUP(Q87,IF({1,0},Fish!$N:$N,Fish!$D:$D),2,FALSE),"")</f>
        <v>11012</v>
      </c>
      <c r="S87" s="3">
        <v>0</v>
      </c>
      <c r="T87" s="3">
        <v>1</v>
      </c>
      <c r="U87" s="3">
        <v>1</v>
      </c>
      <c r="V87" s="3">
        <v>2</v>
      </c>
      <c r="W87" s="3" t="s">
        <v>222</v>
      </c>
      <c r="X87" s="3">
        <f>IF(W87&gt;0,VLOOKUP(W87,IF({1,0},Fish!$N:$N,Fish!$D:$D),2,FALSE),"")</f>
        <v>11013</v>
      </c>
      <c r="Y87" s="3">
        <v>0</v>
      </c>
      <c r="Z87" s="3">
        <v>1</v>
      </c>
      <c r="AA87" s="3">
        <v>1</v>
      </c>
      <c r="AB87" s="3">
        <v>2</v>
      </c>
      <c r="AD87" s="3" t="str">
        <f>IF(AC87&gt;0,VLOOKUP(AC87,IF({1,0},Fish!$N:$N,Fish!$D:$D),2,FALSE),"")</f>
        <v/>
      </c>
    </row>
    <row r="88" spans="1:30">
      <c r="A88" s="3">
        <v>44411</v>
      </c>
      <c r="B88" s="3">
        <v>1</v>
      </c>
      <c r="C88" s="3">
        <v>2</v>
      </c>
      <c r="D88" s="3">
        <v>1</v>
      </c>
      <c r="E88" s="3" t="s">
        <v>208</v>
      </c>
      <c r="F88" s="3">
        <f>IF(E88&gt;0,VLOOKUP(E88,IF({1,0},Fish!$N:$N,Fish!$D:$D),2,FALSE),"")</f>
        <v>11008</v>
      </c>
      <c r="G88" s="3">
        <v>0</v>
      </c>
      <c r="H88" s="3">
        <v>1</v>
      </c>
      <c r="I88" s="3">
        <v>3</v>
      </c>
      <c r="J88" s="3">
        <v>5</v>
      </c>
      <c r="K88" s="3" t="s">
        <v>216</v>
      </c>
      <c r="L88" s="3">
        <f>IF(K88&gt;0,VLOOKUP(K88,IF({1,0},Fish!$N:$N,Fish!$D:$D),2,FALSE),"")</f>
        <v>11010</v>
      </c>
      <c r="M88" s="3">
        <v>0</v>
      </c>
      <c r="N88" s="3">
        <v>1</v>
      </c>
      <c r="O88" s="3">
        <v>2</v>
      </c>
      <c r="P88" s="3">
        <v>3</v>
      </c>
      <c r="Q88" s="3" t="s">
        <v>232</v>
      </c>
      <c r="R88" s="3">
        <f>IF(Q88&gt;0,VLOOKUP(Q88,IF({1,0},Fish!$N:$N,Fish!$D:$D),2,FALSE),"")</f>
        <v>11017</v>
      </c>
      <c r="S88" s="3">
        <v>0</v>
      </c>
      <c r="T88" s="3">
        <v>1</v>
      </c>
      <c r="U88" s="3">
        <v>1</v>
      </c>
      <c r="V88" s="3">
        <v>2</v>
      </c>
      <c r="W88" s="3" t="s">
        <v>228</v>
      </c>
      <c r="X88" s="3">
        <f>IF(W88&gt;0,VLOOKUP(W88,IF({1,0},Fish!$N:$N,Fish!$D:$D),2,FALSE),"")</f>
        <v>11015</v>
      </c>
      <c r="Y88" s="3">
        <v>0</v>
      </c>
      <c r="Z88" s="3">
        <v>1</v>
      </c>
      <c r="AA88" s="3">
        <v>1</v>
      </c>
      <c r="AB88" s="3">
        <v>2</v>
      </c>
      <c r="AD88" s="3" t="str">
        <f>IF(AC88&gt;0,VLOOKUP(AC88,IF({1,0},Fish!$N:$N,Fish!$D:$D),2,FALSE),"")</f>
        <v/>
      </c>
    </row>
    <row r="89" spans="1:30">
      <c r="A89" s="3">
        <v>44411</v>
      </c>
      <c r="B89" s="3">
        <v>1</v>
      </c>
      <c r="C89" s="3">
        <v>2</v>
      </c>
      <c r="D89" s="3">
        <v>1</v>
      </c>
      <c r="E89" s="3" t="s">
        <v>208</v>
      </c>
      <c r="F89" s="3">
        <f>IF(E89&gt;0,VLOOKUP(E89,IF({1,0},Fish!$N:$N,Fish!$D:$D),2,FALSE),"")</f>
        <v>11008</v>
      </c>
      <c r="G89" s="3">
        <v>0</v>
      </c>
      <c r="H89" s="3">
        <v>1</v>
      </c>
      <c r="I89" s="3">
        <v>3</v>
      </c>
      <c r="J89" s="3">
        <v>5</v>
      </c>
      <c r="K89" s="3" t="s">
        <v>216</v>
      </c>
      <c r="L89" s="3">
        <f>IF(K89&gt;0,VLOOKUP(K89,IF({1,0},Fish!$N:$N,Fish!$D:$D),2,FALSE),"")</f>
        <v>11010</v>
      </c>
      <c r="M89" s="3">
        <v>0</v>
      </c>
      <c r="N89" s="3">
        <v>1</v>
      </c>
      <c r="O89" s="3">
        <v>2</v>
      </c>
      <c r="P89" s="3">
        <v>3</v>
      </c>
      <c r="Q89" s="3" t="s">
        <v>232</v>
      </c>
      <c r="R89" s="3">
        <f>IF(Q89&gt;0,VLOOKUP(Q89,IF({1,0},Fish!$N:$N,Fish!$D:$D),2,FALSE),"")</f>
        <v>11017</v>
      </c>
      <c r="S89" s="3">
        <v>0</v>
      </c>
      <c r="T89" s="3">
        <v>1</v>
      </c>
      <c r="U89" s="3">
        <v>1</v>
      </c>
      <c r="V89" s="3">
        <v>2</v>
      </c>
      <c r="W89" s="3" t="s">
        <v>242</v>
      </c>
      <c r="X89" s="3">
        <f>IF(W89&gt;0,VLOOKUP(W89,IF({1,0},Fish!$N:$N,Fish!$D:$D),2,FALSE),"")</f>
        <v>11020</v>
      </c>
      <c r="Y89" s="3">
        <v>0</v>
      </c>
      <c r="Z89" s="3">
        <v>1</v>
      </c>
      <c r="AA89" s="3">
        <v>1</v>
      </c>
      <c r="AB89" s="3">
        <v>2</v>
      </c>
      <c r="AD89" s="3" t="str">
        <f>IF(AC89&gt;0,VLOOKUP(AC89,IF({1,0},Fish!$N:$N,Fish!$D:$D),2,FALSE),"")</f>
        <v/>
      </c>
    </row>
    <row r="90" spans="1:30">
      <c r="A90" s="3">
        <v>44411</v>
      </c>
      <c r="B90" s="3">
        <v>1</v>
      </c>
      <c r="C90" s="3">
        <v>2</v>
      </c>
      <c r="D90" s="3">
        <v>1</v>
      </c>
      <c r="E90" s="3" t="s">
        <v>208</v>
      </c>
      <c r="F90" s="3">
        <f>IF(E90&gt;0,VLOOKUP(E90,IF({1,0},Fish!$N:$N,Fish!$D:$D),2,FALSE),"")</f>
        <v>11008</v>
      </c>
      <c r="G90" s="3">
        <v>0</v>
      </c>
      <c r="H90" s="3">
        <v>1</v>
      </c>
      <c r="I90" s="3">
        <v>3</v>
      </c>
      <c r="J90" s="3">
        <v>5</v>
      </c>
      <c r="K90" s="3" t="s">
        <v>216</v>
      </c>
      <c r="L90" s="3">
        <f>IF(K90&gt;0,VLOOKUP(K90,IF({1,0},Fish!$N:$N,Fish!$D:$D),2,FALSE),"")</f>
        <v>11010</v>
      </c>
      <c r="M90" s="3">
        <v>0</v>
      </c>
      <c r="N90" s="3">
        <v>1</v>
      </c>
      <c r="O90" s="3">
        <v>2</v>
      </c>
      <c r="P90" s="3">
        <v>3</v>
      </c>
      <c r="Q90" s="3" t="s">
        <v>232</v>
      </c>
      <c r="R90" s="3">
        <f>IF(Q90&gt;0,VLOOKUP(Q90,IF({1,0},Fish!$N:$N,Fish!$D:$D),2,FALSE),"")</f>
        <v>11017</v>
      </c>
      <c r="S90" s="3">
        <v>0</v>
      </c>
      <c r="T90" s="3">
        <v>1</v>
      </c>
      <c r="U90" s="3">
        <v>1</v>
      </c>
      <c r="V90" s="3">
        <v>2</v>
      </c>
      <c r="W90" s="3" t="s">
        <v>222</v>
      </c>
      <c r="X90" s="3">
        <f>IF(W90&gt;0,VLOOKUP(W90,IF({1,0},Fish!$N:$N,Fish!$D:$D),2,FALSE),"")</f>
        <v>11013</v>
      </c>
      <c r="Y90" s="3">
        <v>0</v>
      </c>
      <c r="Z90" s="3">
        <v>1</v>
      </c>
      <c r="AA90" s="3">
        <v>1</v>
      </c>
      <c r="AB90" s="3">
        <v>2</v>
      </c>
      <c r="AD90" s="3" t="str">
        <f>IF(AC90&gt;0,VLOOKUP(AC90,IF({1,0},Fish!$N:$N,Fish!$D:$D),2,FALSE),"")</f>
        <v/>
      </c>
    </row>
    <row r="91" spans="1:30">
      <c r="A91" s="3">
        <v>44411</v>
      </c>
      <c r="B91" s="3">
        <v>1</v>
      </c>
      <c r="C91" s="3">
        <v>2</v>
      </c>
      <c r="D91" s="3">
        <v>1</v>
      </c>
      <c r="E91" s="3" t="s">
        <v>208</v>
      </c>
      <c r="F91" s="3">
        <f>IF(E91&gt;0,VLOOKUP(E91,IF({1,0},Fish!$N:$N,Fish!$D:$D),2,FALSE),"")</f>
        <v>11008</v>
      </c>
      <c r="G91" s="3">
        <v>0</v>
      </c>
      <c r="H91" s="3">
        <v>1</v>
      </c>
      <c r="I91" s="3">
        <v>3</v>
      </c>
      <c r="J91" s="3">
        <v>5</v>
      </c>
      <c r="K91" s="3" t="s">
        <v>216</v>
      </c>
      <c r="L91" s="3">
        <f>IF(K91&gt;0,VLOOKUP(K91,IF({1,0},Fish!$N:$N,Fish!$D:$D),2,FALSE),"")</f>
        <v>11010</v>
      </c>
      <c r="M91" s="3">
        <v>0</v>
      </c>
      <c r="N91" s="3">
        <v>1</v>
      </c>
      <c r="O91" s="3">
        <v>2</v>
      </c>
      <c r="P91" s="3">
        <v>3</v>
      </c>
      <c r="Q91" s="3" t="s">
        <v>220</v>
      </c>
      <c r="R91" s="3">
        <f>IF(Q91&gt;0,VLOOKUP(Q91,IF({1,0},Fish!$N:$N,Fish!$D:$D),2,FALSE),"")</f>
        <v>11012</v>
      </c>
      <c r="S91" s="3">
        <v>0</v>
      </c>
      <c r="T91" s="3">
        <v>1</v>
      </c>
      <c r="U91" s="3">
        <v>1</v>
      </c>
      <c r="V91" s="3">
        <v>2</v>
      </c>
      <c r="W91" s="3" t="s">
        <v>228</v>
      </c>
      <c r="X91" s="3">
        <f>IF(W91&gt;0,VLOOKUP(W91,IF({1,0},Fish!$N:$N,Fish!$D:$D),2,FALSE),"")</f>
        <v>11015</v>
      </c>
      <c r="Y91" s="3">
        <v>0</v>
      </c>
      <c r="Z91" s="3">
        <v>1</v>
      </c>
      <c r="AA91" s="3">
        <v>1</v>
      </c>
      <c r="AB91" s="3">
        <v>2</v>
      </c>
      <c r="AD91" s="3" t="str">
        <f>IF(AC91&gt;0,VLOOKUP(AC91,IF({1,0},Fish!$N:$N,Fish!$D:$D),2,FALSE),"")</f>
        <v/>
      </c>
    </row>
    <row r="92" spans="1:30">
      <c r="A92" s="3">
        <v>44411</v>
      </c>
      <c r="B92" s="3">
        <v>1</v>
      </c>
      <c r="C92" s="3">
        <v>2</v>
      </c>
      <c r="D92" s="3">
        <v>1</v>
      </c>
      <c r="E92" s="3" t="s">
        <v>208</v>
      </c>
      <c r="F92" s="3">
        <f>IF(E92&gt;0,VLOOKUP(E92,IF({1,0},Fish!$N:$N,Fish!$D:$D),2,FALSE),"")</f>
        <v>11008</v>
      </c>
      <c r="G92" s="3">
        <v>0</v>
      </c>
      <c r="H92" s="3">
        <v>1</v>
      </c>
      <c r="I92" s="3">
        <v>3</v>
      </c>
      <c r="J92" s="3">
        <v>5</v>
      </c>
      <c r="K92" s="3" t="s">
        <v>216</v>
      </c>
      <c r="L92" s="3">
        <f>IF(K92&gt;0,VLOOKUP(K92,IF({1,0},Fish!$N:$N,Fish!$D:$D),2,FALSE),"")</f>
        <v>11010</v>
      </c>
      <c r="M92" s="3">
        <v>0</v>
      </c>
      <c r="N92" s="3">
        <v>1</v>
      </c>
      <c r="O92" s="3">
        <v>2</v>
      </c>
      <c r="P92" s="3">
        <v>3</v>
      </c>
      <c r="Q92" s="3" t="s">
        <v>220</v>
      </c>
      <c r="R92" s="3">
        <f>IF(Q92&gt;0,VLOOKUP(Q92,IF({1,0},Fish!$N:$N,Fish!$D:$D),2,FALSE),"")</f>
        <v>11012</v>
      </c>
      <c r="S92" s="3">
        <v>0</v>
      </c>
      <c r="T92" s="3">
        <v>1</v>
      </c>
      <c r="U92" s="3">
        <v>1</v>
      </c>
      <c r="V92" s="3">
        <v>2</v>
      </c>
      <c r="W92" s="3" t="s">
        <v>242</v>
      </c>
      <c r="X92" s="3">
        <f>IF(W92&gt;0,VLOOKUP(W92,IF({1,0},Fish!$N:$N,Fish!$D:$D),2,FALSE),"")</f>
        <v>11020</v>
      </c>
      <c r="Y92" s="3">
        <v>0</v>
      </c>
      <c r="Z92" s="3">
        <v>1</v>
      </c>
      <c r="AA92" s="3">
        <v>1</v>
      </c>
      <c r="AB92" s="3">
        <v>2</v>
      </c>
      <c r="AD92" s="3" t="str">
        <f>IF(AC92&gt;0,VLOOKUP(AC92,IF({1,0},Fish!$N:$N,Fish!$D:$D),2,FALSE),"")</f>
        <v/>
      </c>
    </row>
    <row r="93" spans="1:30">
      <c r="A93" s="3">
        <v>44411</v>
      </c>
      <c r="B93" s="3">
        <v>1</v>
      </c>
      <c r="C93" s="3">
        <v>2</v>
      </c>
      <c r="D93" s="3">
        <v>1</v>
      </c>
      <c r="E93" s="3" t="s">
        <v>208</v>
      </c>
      <c r="F93" s="3">
        <f>IF(E93&gt;0,VLOOKUP(E93,IF({1,0},Fish!$N:$N,Fish!$D:$D),2,FALSE),"")</f>
        <v>11008</v>
      </c>
      <c r="G93" s="3">
        <v>0</v>
      </c>
      <c r="H93" s="3">
        <v>1</v>
      </c>
      <c r="I93" s="3">
        <v>3</v>
      </c>
      <c r="J93" s="3">
        <v>5</v>
      </c>
      <c r="K93" s="3" t="s">
        <v>216</v>
      </c>
      <c r="L93" s="3">
        <f>IF(K93&gt;0,VLOOKUP(K93,IF({1,0},Fish!$N:$N,Fish!$D:$D),2,FALSE),"")</f>
        <v>11010</v>
      </c>
      <c r="M93" s="3">
        <v>0</v>
      </c>
      <c r="N93" s="3">
        <v>1</v>
      </c>
      <c r="O93" s="3">
        <v>2</v>
      </c>
      <c r="P93" s="3">
        <v>3</v>
      </c>
      <c r="Q93" s="3" t="s">
        <v>220</v>
      </c>
      <c r="R93" s="3">
        <f>IF(Q93&gt;0,VLOOKUP(Q93,IF({1,0},Fish!$N:$N,Fish!$D:$D),2,FALSE),"")</f>
        <v>11012</v>
      </c>
      <c r="S93" s="3">
        <v>0</v>
      </c>
      <c r="T93" s="3">
        <v>1</v>
      </c>
      <c r="U93" s="3">
        <v>1</v>
      </c>
      <c r="V93" s="3">
        <v>2</v>
      </c>
      <c r="W93" s="3" t="s">
        <v>222</v>
      </c>
      <c r="X93" s="3">
        <f>IF(W93&gt;0,VLOOKUP(W93,IF({1,0},Fish!$N:$N,Fish!$D:$D),2,FALSE),"")</f>
        <v>11013</v>
      </c>
      <c r="Y93" s="3">
        <v>0</v>
      </c>
      <c r="Z93" s="3">
        <v>1</v>
      </c>
      <c r="AA93" s="3">
        <v>1</v>
      </c>
      <c r="AB93" s="3">
        <v>2</v>
      </c>
      <c r="AD93" s="3" t="str">
        <f>IF(AC93&gt;0,VLOOKUP(AC93,IF({1,0},Fish!$N:$N,Fish!$D:$D),2,FALSE),"")</f>
        <v/>
      </c>
    </row>
    <row r="94" spans="1:30">
      <c r="A94" s="3">
        <v>44411</v>
      </c>
      <c r="B94" s="3">
        <v>1</v>
      </c>
      <c r="C94" s="3">
        <v>2</v>
      </c>
      <c r="D94" s="3">
        <v>1</v>
      </c>
      <c r="E94" s="3" t="s">
        <v>210</v>
      </c>
      <c r="F94" s="3">
        <f>IF(E94&gt;0,VLOOKUP(E94,IF({1,0},Fish!$N:$N,Fish!$D:$D),2,FALSE),"")</f>
        <v>11009</v>
      </c>
      <c r="G94" s="3">
        <v>0</v>
      </c>
      <c r="H94" s="3">
        <v>1</v>
      </c>
      <c r="I94" s="3">
        <v>3</v>
      </c>
      <c r="J94" s="3">
        <v>5</v>
      </c>
      <c r="K94" s="3" t="s">
        <v>218</v>
      </c>
      <c r="L94" s="3">
        <f>IF(K94&gt;0,VLOOKUP(K94,IF({1,0},Fish!$N:$N,Fish!$D:$D),2,FALSE),"")</f>
        <v>11011</v>
      </c>
      <c r="M94" s="3">
        <v>0</v>
      </c>
      <c r="N94" s="3">
        <v>1</v>
      </c>
      <c r="O94" s="3">
        <v>2</v>
      </c>
      <c r="P94" s="3">
        <v>3</v>
      </c>
      <c r="Q94" s="3" t="s">
        <v>232</v>
      </c>
      <c r="R94" s="3">
        <f>IF(Q94&gt;0,VLOOKUP(Q94,IF({1,0},Fish!$N:$N,Fish!$D:$D),2,FALSE),"")</f>
        <v>11017</v>
      </c>
      <c r="S94" s="3">
        <v>0</v>
      </c>
      <c r="T94" s="3">
        <v>1</v>
      </c>
      <c r="U94" s="3">
        <v>1</v>
      </c>
      <c r="V94" s="3">
        <v>2</v>
      </c>
      <c r="W94" s="3" t="s">
        <v>228</v>
      </c>
      <c r="X94" s="3">
        <f>IF(W94&gt;0,VLOOKUP(W94,IF({1,0},Fish!$N:$N,Fish!$D:$D),2,FALSE),"")</f>
        <v>11015</v>
      </c>
      <c r="Y94" s="3">
        <v>0</v>
      </c>
      <c r="Z94" s="3">
        <v>1</v>
      </c>
      <c r="AA94" s="3">
        <v>1</v>
      </c>
      <c r="AB94" s="3">
        <v>2</v>
      </c>
      <c r="AD94" s="3" t="str">
        <f>IF(AC94&gt;0,VLOOKUP(AC94,IF({1,0},Fish!$N:$N,Fish!$D:$D),2,FALSE),"")</f>
        <v/>
      </c>
    </row>
    <row r="95" spans="1:30">
      <c r="A95" s="3">
        <v>44411</v>
      </c>
      <c r="B95" s="3">
        <v>1</v>
      </c>
      <c r="C95" s="3">
        <v>2</v>
      </c>
      <c r="D95" s="3">
        <v>1</v>
      </c>
      <c r="E95" s="3" t="s">
        <v>210</v>
      </c>
      <c r="F95" s="3">
        <f>IF(E95&gt;0,VLOOKUP(E95,IF({1,0},Fish!$N:$N,Fish!$D:$D),2,FALSE),"")</f>
        <v>11009</v>
      </c>
      <c r="G95" s="3">
        <v>0</v>
      </c>
      <c r="H95" s="3">
        <v>1</v>
      </c>
      <c r="I95" s="3">
        <v>3</v>
      </c>
      <c r="J95" s="3">
        <v>5</v>
      </c>
      <c r="K95" s="3" t="s">
        <v>218</v>
      </c>
      <c r="L95" s="3">
        <f>IF(K95&gt;0,VLOOKUP(K95,IF({1,0},Fish!$N:$N,Fish!$D:$D),2,FALSE),"")</f>
        <v>11011</v>
      </c>
      <c r="M95" s="3">
        <v>0</v>
      </c>
      <c r="N95" s="3">
        <v>1</v>
      </c>
      <c r="O95" s="3">
        <v>2</v>
      </c>
      <c r="P95" s="3">
        <v>3</v>
      </c>
      <c r="Q95" s="3" t="s">
        <v>232</v>
      </c>
      <c r="R95" s="3">
        <f>IF(Q95&gt;0,VLOOKUP(Q95,IF({1,0},Fish!$N:$N,Fish!$D:$D),2,FALSE),"")</f>
        <v>11017</v>
      </c>
      <c r="S95" s="3">
        <v>0</v>
      </c>
      <c r="T95" s="3">
        <v>1</v>
      </c>
      <c r="U95" s="3">
        <v>1</v>
      </c>
      <c r="V95" s="3">
        <v>2</v>
      </c>
      <c r="W95" s="3" t="s">
        <v>242</v>
      </c>
      <c r="X95" s="3">
        <f>IF(W95&gt;0,VLOOKUP(W95,IF({1,0},Fish!$N:$N,Fish!$D:$D),2,FALSE),"")</f>
        <v>11020</v>
      </c>
      <c r="Y95" s="3">
        <v>0</v>
      </c>
      <c r="Z95" s="3">
        <v>1</v>
      </c>
      <c r="AA95" s="3">
        <v>1</v>
      </c>
      <c r="AB95" s="3">
        <v>2</v>
      </c>
      <c r="AD95" s="3" t="str">
        <f>IF(AC95&gt;0,VLOOKUP(AC95,IF({1,0},Fish!$N:$N,Fish!$D:$D),2,FALSE),"")</f>
        <v/>
      </c>
    </row>
    <row r="96" spans="1:30">
      <c r="A96" s="3">
        <v>44411</v>
      </c>
      <c r="B96" s="3">
        <v>1</v>
      </c>
      <c r="C96" s="3">
        <v>2</v>
      </c>
      <c r="D96" s="3">
        <v>1</v>
      </c>
      <c r="E96" s="3" t="s">
        <v>210</v>
      </c>
      <c r="F96" s="3">
        <f>IF(E96&gt;0,VLOOKUP(E96,IF({1,0},Fish!$N:$N,Fish!$D:$D),2,FALSE),"")</f>
        <v>11009</v>
      </c>
      <c r="G96" s="3">
        <v>0</v>
      </c>
      <c r="H96" s="3">
        <v>1</v>
      </c>
      <c r="I96" s="3">
        <v>3</v>
      </c>
      <c r="J96" s="3">
        <v>5</v>
      </c>
      <c r="K96" s="3" t="s">
        <v>218</v>
      </c>
      <c r="L96" s="3">
        <f>IF(K96&gt;0,VLOOKUP(K96,IF({1,0},Fish!$N:$N,Fish!$D:$D),2,FALSE),"")</f>
        <v>11011</v>
      </c>
      <c r="M96" s="3">
        <v>0</v>
      </c>
      <c r="N96" s="3">
        <v>1</v>
      </c>
      <c r="O96" s="3">
        <v>2</v>
      </c>
      <c r="P96" s="3">
        <v>3</v>
      </c>
      <c r="Q96" s="3" t="s">
        <v>232</v>
      </c>
      <c r="R96" s="3">
        <f>IF(Q96&gt;0,VLOOKUP(Q96,IF({1,0},Fish!$N:$N,Fish!$D:$D),2,FALSE),"")</f>
        <v>11017</v>
      </c>
      <c r="S96" s="3">
        <v>0</v>
      </c>
      <c r="T96" s="3">
        <v>1</v>
      </c>
      <c r="U96" s="3">
        <v>1</v>
      </c>
      <c r="V96" s="3">
        <v>2</v>
      </c>
      <c r="W96" s="3" t="s">
        <v>222</v>
      </c>
      <c r="X96" s="3">
        <f>IF(W96&gt;0,VLOOKUP(W96,IF({1,0},Fish!$N:$N,Fish!$D:$D),2,FALSE),"")</f>
        <v>11013</v>
      </c>
      <c r="Y96" s="3">
        <v>0</v>
      </c>
      <c r="Z96" s="3">
        <v>1</v>
      </c>
      <c r="AA96" s="3">
        <v>1</v>
      </c>
      <c r="AB96" s="3">
        <v>2</v>
      </c>
      <c r="AD96" s="3" t="str">
        <f>IF(AC96&gt;0,VLOOKUP(AC96,IF({1,0},Fish!$N:$N,Fish!$D:$D),2,FALSE),"")</f>
        <v/>
      </c>
    </row>
    <row r="97" spans="1:30">
      <c r="A97" s="3">
        <v>44411</v>
      </c>
      <c r="B97" s="3">
        <v>1</v>
      </c>
      <c r="C97" s="3">
        <v>2</v>
      </c>
      <c r="D97" s="3">
        <v>1</v>
      </c>
      <c r="E97" s="3" t="s">
        <v>210</v>
      </c>
      <c r="F97" s="3">
        <f>IF(E97&gt;0,VLOOKUP(E97,IF({1,0},Fish!$N:$N,Fish!$D:$D),2,FALSE),"")</f>
        <v>11009</v>
      </c>
      <c r="G97" s="3">
        <v>0</v>
      </c>
      <c r="H97" s="3">
        <v>1</v>
      </c>
      <c r="I97" s="3">
        <v>3</v>
      </c>
      <c r="J97" s="3">
        <v>5</v>
      </c>
      <c r="K97" s="3" t="s">
        <v>218</v>
      </c>
      <c r="L97" s="3">
        <f>IF(K97&gt;0,VLOOKUP(K97,IF({1,0},Fish!$N:$N,Fish!$D:$D),2,FALSE),"")</f>
        <v>11011</v>
      </c>
      <c r="M97" s="3">
        <v>0</v>
      </c>
      <c r="N97" s="3">
        <v>1</v>
      </c>
      <c r="O97" s="3">
        <v>2</v>
      </c>
      <c r="P97" s="3">
        <v>3</v>
      </c>
      <c r="Q97" s="3" t="s">
        <v>220</v>
      </c>
      <c r="R97" s="3">
        <f>IF(Q97&gt;0,VLOOKUP(Q97,IF({1,0},Fish!$N:$N,Fish!$D:$D),2,FALSE),"")</f>
        <v>11012</v>
      </c>
      <c r="S97" s="3">
        <v>0</v>
      </c>
      <c r="T97" s="3">
        <v>1</v>
      </c>
      <c r="U97" s="3">
        <v>1</v>
      </c>
      <c r="V97" s="3">
        <v>2</v>
      </c>
      <c r="W97" s="3" t="s">
        <v>228</v>
      </c>
      <c r="X97" s="3">
        <f>IF(W97&gt;0,VLOOKUP(W97,IF({1,0},Fish!$N:$N,Fish!$D:$D),2,FALSE),"")</f>
        <v>11015</v>
      </c>
      <c r="Y97" s="3">
        <v>0</v>
      </c>
      <c r="Z97" s="3">
        <v>1</v>
      </c>
      <c r="AA97" s="3">
        <v>1</v>
      </c>
      <c r="AB97" s="3">
        <v>2</v>
      </c>
      <c r="AD97" s="3" t="str">
        <f>IF(AC97&gt;0,VLOOKUP(AC97,IF({1,0},Fish!$N:$N,Fish!$D:$D),2,FALSE),"")</f>
        <v/>
      </c>
    </row>
    <row r="98" spans="1:30">
      <c r="A98" s="3">
        <v>44411</v>
      </c>
      <c r="B98" s="3">
        <v>1</v>
      </c>
      <c r="C98" s="3">
        <v>2</v>
      </c>
      <c r="D98" s="3">
        <v>1</v>
      </c>
      <c r="E98" s="3" t="s">
        <v>210</v>
      </c>
      <c r="F98" s="3">
        <f>IF(E98&gt;0,VLOOKUP(E98,IF({1,0},Fish!$N:$N,Fish!$D:$D),2,FALSE),"")</f>
        <v>11009</v>
      </c>
      <c r="G98" s="3">
        <v>0</v>
      </c>
      <c r="H98" s="3">
        <v>1</v>
      </c>
      <c r="I98" s="3">
        <v>3</v>
      </c>
      <c r="J98" s="3">
        <v>5</v>
      </c>
      <c r="K98" s="3" t="s">
        <v>218</v>
      </c>
      <c r="L98" s="3">
        <f>IF(K98&gt;0,VLOOKUP(K98,IF({1,0},Fish!$N:$N,Fish!$D:$D),2,FALSE),"")</f>
        <v>11011</v>
      </c>
      <c r="M98" s="3">
        <v>0</v>
      </c>
      <c r="N98" s="3">
        <v>1</v>
      </c>
      <c r="O98" s="3">
        <v>2</v>
      </c>
      <c r="P98" s="3">
        <v>3</v>
      </c>
      <c r="Q98" s="3" t="s">
        <v>220</v>
      </c>
      <c r="R98" s="3">
        <f>IF(Q98&gt;0,VLOOKUP(Q98,IF({1,0},Fish!$N:$N,Fish!$D:$D),2,FALSE),"")</f>
        <v>11012</v>
      </c>
      <c r="S98" s="3">
        <v>0</v>
      </c>
      <c r="T98" s="3">
        <v>1</v>
      </c>
      <c r="U98" s="3">
        <v>1</v>
      </c>
      <c r="V98" s="3">
        <v>2</v>
      </c>
      <c r="W98" s="3" t="s">
        <v>242</v>
      </c>
      <c r="X98" s="3">
        <f>IF(W98&gt;0,VLOOKUP(W98,IF({1,0},Fish!$N:$N,Fish!$D:$D),2,FALSE),"")</f>
        <v>11020</v>
      </c>
      <c r="Y98" s="3">
        <v>0</v>
      </c>
      <c r="Z98" s="3">
        <v>1</v>
      </c>
      <c r="AA98" s="3">
        <v>1</v>
      </c>
      <c r="AB98" s="3">
        <v>2</v>
      </c>
      <c r="AD98" s="3" t="str">
        <f>IF(AC98&gt;0,VLOOKUP(AC98,IF({1,0},Fish!$N:$N,Fish!$D:$D),2,FALSE),"")</f>
        <v/>
      </c>
    </row>
    <row r="99" spans="1:30">
      <c r="A99" s="3">
        <v>44411</v>
      </c>
      <c r="B99" s="3">
        <v>1</v>
      </c>
      <c r="C99" s="3">
        <v>2</v>
      </c>
      <c r="D99" s="3">
        <v>1</v>
      </c>
      <c r="E99" s="3" t="s">
        <v>210</v>
      </c>
      <c r="F99" s="3">
        <f>IF(E99&gt;0,VLOOKUP(E99,IF({1,0},Fish!$N:$N,Fish!$D:$D),2,FALSE),"")</f>
        <v>11009</v>
      </c>
      <c r="G99" s="3">
        <v>0</v>
      </c>
      <c r="H99" s="3">
        <v>1</v>
      </c>
      <c r="I99" s="3">
        <v>3</v>
      </c>
      <c r="J99" s="3">
        <v>5</v>
      </c>
      <c r="K99" s="3" t="s">
        <v>218</v>
      </c>
      <c r="L99" s="3">
        <f>IF(K99&gt;0,VLOOKUP(K99,IF({1,0},Fish!$N:$N,Fish!$D:$D),2,FALSE),"")</f>
        <v>11011</v>
      </c>
      <c r="M99" s="3">
        <v>0</v>
      </c>
      <c r="N99" s="3">
        <v>1</v>
      </c>
      <c r="O99" s="3">
        <v>2</v>
      </c>
      <c r="P99" s="3">
        <v>3</v>
      </c>
      <c r="Q99" s="3" t="s">
        <v>220</v>
      </c>
      <c r="R99" s="3">
        <f>IF(Q99&gt;0,VLOOKUP(Q99,IF({1,0},Fish!$N:$N,Fish!$D:$D),2,FALSE),"")</f>
        <v>11012</v>
      </c>
      <c r="S99" s="3">
        <v>0</v>
      </c>
      <c r="T99" s="3">
        <v>1</v>
      </c>
      <c r="U99" s="3">
        <v>1</v>
      </c>
      <c r="V99" s="3">
        <v>2</v>
      </c>
      <c r="W99" s="3" t="s">
        <v>222</v>
      </c>
      <c r="X99" s="3">
        <f>IF(W99&gt;0,VLOOKUP(W99,IF({1,0},Fish!$N:$N,Fish!$D:$D),2,FALSE),"")</f>
        <v>11013</v>
      </c>
      <c r="Y99" s="3">
        <v>0</v>
      </c>
      <c r="Z99" s="3">
        <v>1</v>
      </c>
      <c r="AA99" s="3">
        <v>1</v>
      </c>
      <c r="AB99" s="3">
        <v>2</v>
      </c>
      <c r="AD99" s="3" t="str">
        <f>IF(AC99&gt;0,VLOOKUP(AC99,IF({1,0},Fish!$N:$N,Fish!$D:$D),2,FALSE),"")</f>
        <v/>
      </c>
    </row>
    <row r="100" spans="1:30">
      <c r="A100" s="3">
        <v>44411</v>
      </c>
      <c r="B100" s="3">
        <v>1</v>
      </c>
      <c r="C100" s="3">
        <v>2</v>
      </c>
      <c r="D100" s="3">
        <v>1</v>
      </c>
      <c r="E100" s="3" t="s">
        <v>210</v>
      </c>
      <c r="F100" s="3">
        <f>IF(E100&gt;0,VLOOKUP(E100,IF({1,0},Fish!$N:$N,Fish!$D:$D),2,FALSE),"")</f>
        <v>11009</v>
      </c>
      <c r="G100" s="3">
        <v>0</v>
      </c>
      <c r="H100" s="3">
        <v>1</v>
      </c>
      <c r="I100" s="3">
        <v>3</v>
      </c>
      <c r="J100" s="3">
        <v>5</v>
      </c>
      <c r="K100" s="3" t="s">
        <v>216</v>
      </c>
      <c r="L100" s="3">
        <f>IF(K100&gt;0,VLOOKUP(K100,IF({1,0},Fish!$N:$N,Fish!$D:$D),2,FALSE),"")</f>
        <v>11010</v>
      </c>
      <c r="M100" s="3">
        <v>0</v>
      </c>
      <c r="N100" s="3">
        <v>1</v>
      </c>
      <c r="O100" s="3">
        <v>2</v>
      </c>
      <c r="P100" s="3">
        <v>3</v>
      </c>
      <c r="Q100" s="3" t="s">
        <v>232</v>
      </c>
      <c r="R100" s="3">
        <f>IF(Q100&gt;0,VLOOKUP(Q100,IF({1,0},Fish!$N:$N,Fish!$D:$D),2,FALSE),"")</f>
        <v>11017</v>
      </c>
      <c r="S100" s="3">
        <v>0</v>
      </c>
      <c r="T100" s="3">
        <v>1</v>
      </c>
      <c r="U100" s="3">
        <v>1</v>
      </c>
      <c r="V100" s="3">
        <v>2</v>
      </c>
      <c r="W100" s="3" t="s">
        <v>228</v>
      </c>
      <c r="X100" s="3">
        <f>IF(W100&gt;0,VLOOKUP(W100,IF({1,0},Fish!$N:$N,Fish!$D:$D),2,FALSE),"")</f>
        <v>11015</v>
      </c>
      <c r="Y100" s="3">
        <v>0</v>
      </c>
      <c r="Z100" s="3">
        <v>1</v>
      </c>
      <c r="AA100" s="3">
        <v>1</v>
      </c>
      <c r="AB100" s="3">
        <v>2</v>
      </c>
      <c r="AD100" s="3" t="str">
        <f>IF(AC100&gt;0,VLOOKUP(AC100,IF({1,0},Fish!$N:$N,Fish!$D:$D),2,FALSE),"")</f>
        <v/>
      </c>
    </row>
    <row r="101" spans="1:30">
      <c r="A101" s="3">
        <v>44411</v>
      </c>
      <c r="B101" s="3">
        <v>1</v>
      </c>
      <c r="C101" s="3">
        <v>2</v>
      </c>
      <c r="D101" s="3">
        <v>1</v>
      </c>
      <c r="E101" s="3" t="s">
        <v>210</v>
      </c>
      <c r="F101" s="3">
        <f>IF(E101&gt;0,VLOOKUP(E101,IF({1,0},Fish!$N:$N,Fish!$D:$D),2,FALSE),"")</f>
        <v>11009</v>
      </c>
      <c r="G101" s="3">
        <v>0</v>
      </c>
      <c r="H101" s="3">
        <v>1</v>
      </c>
      <c r="I101" s="3">
        <v>3</v>
      </c>
      <c r="J101" s="3">
        <v>5</v>
      </c>
      <c r="K101" s="3" t="s">
        <v>216</v>
      </c>
      <c r="L101" s="3">
        <f>IF(K101&gt;0,VLOOKUP(K101,IF({1,0},Fish!$N:$N,Fish!$D:$D),2,FALSE),"")</f>
        <v>11010</v>
      </c>
      <c r="M101" s="3">
        <v>0</v>
      </c>
      <c r="N101" s="3">
        <v>1</v>
      </c>
      <c r="O101" s="3">
        <v>2</v>
      </c>
      <c r="P101" s="3">
        <v>3</v>
      </c>
      <c r="Q101" s="3" t="s">
        <v>232</v>
      </c>
      <c r="R101" s="3">
        <f>IF(Q101&gt;0,VLOOKUP(Q101,IF({1,0},Fish!$N:$N,Fish!$D:$D),2,FALSE),"")</f>
        <v>11017</v>
      </c>
      <c r="S101" s="3">
        <v>0</v>
      </c>
      <c r="T101" s="3">
        <v>1</v>
      </c>
      <c r="U101" s="3">
        <v>1</v>
      </c>
      <c r="V101" s="3">
        <v>2</v>
      </c>
      <c r="W101" s="3" t="s">
        <v>242</v>
      </c>
      <c r="X101" s="3">
        <f>IF(W101&gt;0,VLOOKUP(W101,IF({1,0},Fish!$N:$N,Fish!$D:$D),2,FALSE),"")</f>
        <v>11020</v>
      </c>
      <c r="Y101" s="3">
        <v>0</v>
      </c>
      <c r="Z101" s="3">
        <v>1</v>
      </c>
      <c r="AA101" s="3">
        <v>1</v>
      </c>
      <c r="AB101" s="3">
        <v>2</v>
      </c>
      <c r="AD101" s="3" t="str">
        <f>IF(AC101&gt;0,VLOOKUP(AC101,IF({1,0},Fish!$N:$N,Fish!$D:$D),2,FALSE),"")</f>
        <v/>
      </c>
    </row>
    <row r="102" spans="1:30">
      <c r="A102" s="3">
        <v>44411</v>
      </c>
      <c r="B102" s="3">
        <v>1</v>
      </c>
      <c r="C102" s="3">
        <v>2</v>
      </c>
      <c r="D102" s="3">
        <v>1</v>
      </c>
      <c r="E102" s="3" t="s">
        <v>210</v>
      </c>
      <c r="F102" s="3">
        <f>IF(E102&gt;0,VLOOKUP(E102,IF({1,0},Fish!$N:$N,Fish!$D:$D),2,FALSE),"")</f>
        <v>11009</v>
      </c>
      <c r="G102" s="3">
        <v>0</v>
      </c>
      <c r="H102" s="3">
        <v>1</v>
      </c>
      <c r="I102" s="3">
        <v>3</v>
      </c>
      <c r="J102" s="3">
        <v>5</v>
      </c>
      <c r="K102" s="3" t="s">
        <v>216</v>
      </c>
      <c r="L102" s="3">
        <f>IF(K102&gt;0,VLOOKUP(K102,IF({1,0},Fish!$N:$N,Fish!$D:$D),2,FALSE),"")</f>
        <v>11010</v>
      </c>
      <c r="M102" s="3">
        <v>0</v>
      </c>
      <c r="N102" s="3">
        <v>1</v>
      </c>
      <c r="O102" s="3">
        <v>2</v>
      </c>
      <c r="P102" s="3">
        <v>3</v>
      </c>
      <c r="Q102" s="3" t="s">
        <v>232</v>
      </c>
      <c r="R102" s="3">
        <f>IF(Q102&gt;0,VLOOKUP(Q102,IF({1,0},Fish!$N:$N,Fish!$D:$D),2,FALSE),"")</f>
        <v>11017</v>
      </c>
      <c r="S102" s="3">
        <v>0</v>
      </c>
      <c r="T102" s="3">
        <v>1</v>
      </c>
      <c r="U102" s="3">
        <v>1</v>
      </c>
      <c r="V102" s="3">
        <v>2</v>
      </c>
      <c r="W102" s="3" t="s">
        <v>222</v>
      </c>
      <c r="X102" s="3">
        <f>IF(W102&gt;0,VLOOKUP(W102,IF({1,0},Fish!$N:$N,Fish!$D:$D),2,FALSE),"")</f>
        <v>11013</v>
      </c>
      <c r="Y102" s="3">
        <v>0</v>
      </c>
      <c r="Z102" s="3">
        <v>1</v>
      </c>
      <c r="AA102" s="3">
        <v>1</v>
      </c>
      <c r="AB102" s="3">
        <v>2</v>
      </c>
      <c r="AD102" s="3" t="str">
        <f>IF(AC102&gt;0,VLOOKUP(AC102,IF({1,0},Fish!$N:$N,Fish!$D:$D),2,FALSE),"")</f>
        <v/>
      </c>
    </row>
    <row r="103" spans="1:30">
      <c r="A103" s="3">
        <v>44411</v>
      </c>
      <c r="B103" s="3">
        <v>1</v>
      </c>
      <c r="C103" s="3">
        <v>2</v>
      </c>
      <c r="D103" s="3">
        <v>1</v>
      </c>
      <c r="E103" s="3" t="s">
        <v>210</v>
      </c>
      <c r="F103" s="3">
        <f>IF(E103&gt;0,VLOOKUP(E103,IF({1,0},Fish!$N:$N,Fish!$D:$D),2,FALSE),"")</f>
        <v>11009</v>
      </c>
      <c r="G103" s="3">
        <v>0</v>
      </c>
      <c r="H103" s="3">
        <v>1</v>
      </c>
      <c r="I103" s="3">
        <v>3</v>
      </c>
      <c r="J103" s="3">
        <v>5</v>
      </c>
      <c r="K103" s="3" t="s">
        <v>216</v>
      </c>
      <c r="L103" s="3">
        <f>IF(K103&gt;0,VLOOKUP(K103,IF({1,0},Fish!$N:$N,Fish!$D:$D),2,FALSE),"")</f>
        <v>11010</v>
      </c>
      <c r="M103" s="3">
        <v>0</v>
      </c>
      <c r="N103" s="3">
        <v>1</v>
      </c>
      <c r="O103" s="3">
        <v>2</v>
      </c>
      <c r="P103" s="3">
        <v>3</v>
      </c>
      <c r="Q103" s="3" t="s">
        <v>220</v>
      </c>
      <c r="R103" s="3">
        <f>IF(Q103&gt;0,VLOOKUP(Q103,IF({1,0},Fish!$N:$N,Fish!$D:$D),2,FALSE),"")</f>
        <v>11012</v>
      </c>
      <c r="S103" s="3">
        <v>0</v>
      </c>
      <c r="T103" s="3">
        <v>1</v>
      </c>
      <c r="U103" s="3">
        <v>1</v>
      </c>
      <c r="V103" s="3">
        <v>2</v>
      </c>
      <c r="W103" s="3" t="s">
        <v>228</v>
      </c>
      <c r="X103" s="3">
        <f>IF(W103&gt;0,VLOOKUP(W103,IF({1,0},Fish!$N:$N,Fish!$D:$D),2,FALSE),"")</f>
        <v>11015</v>
      </c>
      <c r="Y103" s="3">
        <v>0</v>
      </c>
      <c r="Z103" s="3">
        <v>1</v>
      </c>
      <c r="AA103" s="3">
        <v>1</v>
      </c>
      <c r="AB103" s="3">
        <v>2</v>
      </c>
      <c r="AD103" s="3" t="str">
        <f>IF(AC103&gt;0,VLOOKUP(AC103,IF({1,0},Fish!$N:$N,Fish!$D:$D),2,FALSE),"")</f>
        <v/>
      </c>
    </row>
    <row r="104" spans="1:30">
      <c r="A104" s="3">
        <v>44411</v>
      </c>
      <c r="B104" s="3">
        <v>1</v>
      </c>
      <c r="C104" s="3">
        <v>2</v>
      </c>
      <c r="D104" s="3">
        <v>1</v>
      </c>
      <c r="E104" s="3" t="s">
        <v>210</v>
      </c>
      <c r="F104" s="3">
        <f>IF(E104&gt;0,VLOOKUP(E104,IF({1,0},Fish!$N:$N,Fish!$D:$D),2,FALSE),"")</f>
        <v>11009</v>
      </c>
      <c r="G104" s="3">
        <v>0</v>
      </c>
      <c r="H104" s="3">
        <v>1</v>
      </c>
      <c r="I104" s="3">
        <v>3</v>
      </c>
      <c r="J104" s="3">
        <v>5</v>
      </c>
      <c r="K104" s="3" t="s">
        <v>216</v>
      </c>
      <c r="L104" s="3">
        <f>IF(K104&gt;0,VLOOKUP(K104,IF({1,0},Fish!$N:$N,Fish!$D:$D),2,FALSE),"")</f>
        <v>11010</v>
      </c>
      <c r="M104" s="3">
        <v>0</v>
      </c>
      <c r="N104" s="3">
        <v>1</v>
      </c>
      <c r="O104" s="3">
        <v>2</v>
      </c>
      <c r="P104" s="3">
        <v>3</v>
      </c>
      <c r="Q104" s="3" t="s">
        <v>220</v>
      </c>
      <c r="R104" s="3">
        <f>IF(Q104&gt;0,VLOOKUP(Q104,IF({1,0},Fish!$N:$N,Fish!$D:$D),2,FALSE),"")</f>
        <v>11012</v>
      </c>
      <c r="S104" s="3">
        <v>0</v>
      </c>
      <c r="T104" s="3">
        <v>1</v>
      </c>
      <c r="U104" s="3">
        <v>1</v>
      </c>
      <c r="V104" s="3">
        <v>2</v>
      </c>
      <c r="W104" s="3" t="s">
        <v>242</v>
      </c>
      <c r="X104" s="3">
        <f>IF(W104&gt;0,VLOOKUP(W104,IF({1,0},Fish!$N:$N,Fish!$D:$D),2,FALSE),"")</f>
        <v>11020</v>
      </c>
      <c r="Y104" s="3">
        <v>0</v>
      </c>
      <c r="Z104" s="3">
        <v>1</v>
      </c>
      <c r="AA104" s="3">
        <v>1</v>
      </c>
      <c r="AB104" s="3">
        <v>2</v>
      </c>
      <c r="AD104" s="3" t="str">
        <f>IF(AC104&gt;0,VLOOKUP(AC104,IF({1,0},Fish!$N:$N,Fish!$D:$D),2,FALSE),"")</f>
        <v/>
      </c>
    </row>
    <row r="105" spans="1:30">
      <c r="A105" s="3">
        <v>44411</v>
      </c>
      <c r="B105" s="3">
        <v>1</v>
      </c>
      <c r="C105" s="3">
        <v>2</v>
      </c>
      <c r="D105" s="3">
        <v>1</v>
      </c>
      <c r="E105" s="3" t="s">
        <v>210</v>
      </c>
      <c r="F105" s="3">
        <f>IF(E105&gt;0,VLOOKUP(E105,IF({1,0},Fish!$N:$N,Fish!$D:$D),2,FALSE),"")</f>
        <v>11009</v>
      </c>
      <c r="G105" s="3">
        <v>0</v>
      </c>
      <c r="H105" s="3">
        <v>1</v>
      </c>
      <c r="I105" s="3">
        <v>3</v>
      </c>
      <c r="J105" s="3">
        <v>5</v>
      </c>
      <c r="K105" s="3" t="s">
        <v>216</v>
      </c>
      <c r="L105" s="3">
        <f>IF(K105&gt;0,VLOOKUP(K105,IF({1,0},Fish!$N:$N,Fish!$D:$D),2,FALSE),"")</f>
        <v>11010</v>
      </c>
      <c r="M105" s="3">
        <v>0</v>
      </c>
      <c r="N105" s="3">
        <v>1</v>
      </c>
      <c r="O105" s="3">
        <v>2</v>
      </c>
      <c r="P105" s="3">
        <v>3</v>
      </c>
      <c r="Q105" s="3" t="s">
        <v>220</v>
      </c>
      <c r="R105" s="3">
        <f>IF(Q105&gt;0,VLOOKUP(Q105,IF({1,0},Fish!$N:$N,Fish!$D:$D),2,FALSE),"")</f>
        <v>11012</v>
      </c>
      <c r="S105" s="3">
        <v>0</v>
      </c>
      <c r="T105" s="3">
        <v>1</v>
      </c>
      <c r="U105" s="3">
        <v>1</v>
      </c>
      <c r="V105" s="3">
        <v>2</v>
      </c>
      <c r="W105" s="3" t="s">
        <v>222</v>
      </c>
      <c r="X105" s="3">
        <f>IF(W105&gt;0,VLOOKUP(W105,IF({1,0},Fish!$N:$N,Fish!$D:$D),2,FALSE),"")</f>
        <v>11013</v>
      </c>
      <c r="Y105" s="3">
        <v>0</v>
      </c>
      <c r="Z105" s="3">
        <v>1</v>
      </c>
      <c r="AA105" s="3">
        <v>1</v>
      </c>
      <c r="AB105" s="3">
        <v>2</v>
      </c>
      <c r="AD105" s="3" t="str">
        <f>IF(AC105&gt;0,VLOOKUP(AC105,IF({1,0},Fish!$N:$N,Fish!$D:$D),2,FALSE),"")</f>
        <v/>
      </c>
    </row>
    <row r="106" spans="1:30">
      <c r="A106" s="3">
        <v>44411</v>
      </c>
      <c r="B106" s="3">
        <v>1</v>
      </c>
      <c r="C106" s="3">
        <v>3</v>
      </c>
      <c r="D106" s="3">
        <v>2</v>
      </c>
      <c r="E106" s="3" t="s">
        <v>256</v>
      </c>
      <c r="F106" s="3">
        <f>IF(E106&gt;0,VLOOKUP(E106,IF({1,0},Fish!$N:$N,Fish!$D:$D),2,FALSE),"")</f>
        <v>11090</v>
      </c>
      <c r="G106" s="3">
        <v>55000</v>
      </c>
      <c r="H106" s="3">
        <v>1</v>
      </c>
      <c r="I106" s="3">
        <v>3</v>
      </c>
      <c r="J106" s="3">
        <v>5</v>
      </c>
      <c r="K106" s="3" t="s">
        <v>254</v>
      </c>
      <c r="L106" s="3">
        <f>IF(K106&gt;0,VLOOKUP(K106,IF({1,0},Fish!$N:$N,Fish!$D:$D),2,FALSE),"")</f>
        <v>11024</v>
      </c>
      <c r="M106" s="3">
        <v>45000</v>
      </c>
      <c r="N106" s="3">
        <v>1</v>
      </c>
      <c r="O106" s="3">
        <v>3</v>
      </c>
      <c r="P106" s="3">
        <v>5</v>
      </c>
      <c r="R106" s="3" t="str">
        <f>IF(Q106&gt;0,VLOOKUP(Q106,IF({1,0},Fish!$N:$N,Fish!$D:$D),2,FALSE),"")</f>
        <v/>
      </c>
      <c r="X106" s="3" t="str">
        <f>IF(W106&gt;0,VLOOKUP(W106,IF({1,0},Fish!$N:$N,Fish!$D:$D),2,FALSE),"")</f>
        <v/>
      </c>
      <c r="AD106" s="3" t="str">
        <f>IF(AC106&gt;0,VLOOKUP(AC106,IF({1,0},Fish!$N:$N,Fish!$D:$D),2,FALSE),"")</f>
        <v/>
      </c>
    </row>
    <row r="107" spans="1:30">
      <c r="A107" s="3">
        <v>44411</v>
      </c>
      <c r="B107" s="3">
        <v>1</v>
      </c>
      <c r="C107" s="3">
        <v>4</v>
      </c>
      <c r="D107" s="3">
        <v>2</v>
      </c>
      <c r="E107" s="3" t="s">
        <v>238</v>
      </c>
      <c r="F107" s="3">
        <f>IF(E107&gt;0,VLOOKUP(E107,IF({1,0},Fish!$N:$N,Fish!$D:$D),2,FALSE),"")</f>
        <v>11018</v>
      </c>
      <c r="G107" s="3">
        <v>30000</v>
      </c>
      <c r="H107" s="3">
        <v>1</v>
      </c>
      <c r="I107" s="3">
        <v>2</v>
      </c>
      <c r="J107" s="3">
        <v>4</v>
      </c>
      <c r="K107" s="3" t="s">
        <v>565</v>
      </c>
      <c r="L107" s="3">
        <f>IF(K107&gt;0,VLOOKUP(K107,IF({1,0},Fish!$N:$N,Fish!$D:$D),2,FALSE),"")</f>
        <v>11214</v>
      </c>
      <c r="M107" s="3">
        <v>30000</v>
      </c>
      <c r="N107" s="3">
        <v>1</v>
      </c>
      <c r="O107" s="3">
        <v>2</v>
      </c>
      <c r="P107" s="3">
        <v>4</v>
      </c>
      <c r="Q107" s="3" t="s">
        <v>246</v>
      </c>
      <c r="R107" s="3">
        <f>IF(Q107&gt;0,VLOOKUP(Q107,IF({1,0},Fish!$N:$N,Fish!$D:$D),2,FALSE),"")</f>
        <v>11021</v>
      </c>
      <c r="S107" s="3">
        <v>25000</v>
      </c>
      <c r="T107" s="3">
        <v>1</v>
      </c>
      <c r="U107" s="3">
        <v>2</v>
      </c>
      <c r="V107" s="3">
        <v>4</v>
      </c>
      <c r="W107" s="4" t="s">
        <v>240</v>
      </c>
      <c r="X107" s="3">
        <f>IF(W107&gt;0,VLOOKUP(W107,IF({1,0},Fish!$N:$N,Fish!$D:$D),2,FALSE),"")</f>
        <v>11092</v>
      </c>
      <c r="Y107" s="3">
        <v>15000</v>
      </c>
      <c r="Z107" s="3">
        <v>1</v>
      </c>
      <c r="AA107" s="3">
        <v>2</v>
      </c>
      <c r="AB107" s="3">
        <v>4</v>
      </c>
      <c r="AD107" s="3" t="str">
        <f>IF(AC107&gt;0,VLOOKUP(AC107,IF({1,0},Fish!$N:$N,Fish!$D:$D),2,FALSE),"")</f>
        <v/>
      </c>
    </row>
    <row r="108" spans="1:30">
      <c r="A108" s="3">
        <v>44411</v>
      </c>
      <c r="B108" s="3">
        <v>1</v>
      </c>
      <c r="C108" s="3">
        <v>5</v>
      </c>
      <c r="D108" s="3">
        <v>2</v>
      </c>
      <c r="E108" s="3" t="s">
        <v>291</v>
      </c>
      <c r="F108" s="3">
        <f>IF(E108&gt;0,VLOOKUP(E108,IF({1,0},Fish!$N:$N,Fish!$D:$D),2,FALSE),"")</f>
        <v>14009</v>
      </c>
      <c r="G108" s="3">
        <v>38000</v>
      </c>
      <c r="H108" s="3">
        <v>1</v>
      </c>
      <c r="I108" s="3">
        <v>2</v>
      </c>
      <c r="J108" s="3">
        <v>4</v>
      </c>
      <c r="K108" s="3" t="s">
        <v>292</v>
      </c>
      <c r="L108" s="3">
        <f>IF(K108&gt;0,VLOOKUP(K108,IF({1,0},Fish!$N:$N,Fish!$D:$D),2,FALSE),"")</f>
        <v>14011</v>
      </c>
      <c r="M108" s="3">
        <v>30000</v>
      </c>
      <c r="N108" s="3">
        <v>1</v>
      </c>
      <c r="O108" s="3">
        <v>2</v>
      </c>
      <c r="P108" s="3">
        <v>4</v>
      </c>
      <c r="Q108" s="3" t="s">
        <v>294</v>
      </c>
      <c r="R108" s="3">
        <f>IF(Q108&gt;0,VLOOKUP(Q108,IF({1,0},Fish!$N:$N,Fish!$D:$D),2,FALSE),"")</f>
        <v>14015</v>
      </c>
      <c r="S108" s="3">
        <v>17000</v>
      </c>
      <c r="T108" s="3">
        <v>1</v>
      </c>
      <c r="U108" s="3">
        <v>2</v>
      </c>
      <c r="V108" s="3">
        <v>4</v>
      </c>
      <c r="W108" s="3" t="s">
        <v>298</v>
      </c>
      <c r="X108" s="3">
        <f>IF(W108&gt;0,VLOOKUP(W108,IF({1,0},Fish!$N:$N,Fish!$D:$D),2,FALSE),"")</f>
        <v>14020</v>
      </c>
      <c r="Y108" s="3">
        <v>15000</v>
      </c>
      <c r="Z108" s="3">
        <v>1</v>
      </c>
      <c r="AA108" s="3">
        <v>2</v>
      </c>
      <c r="AB108" s="3">
        <v>4</v>
      </c>
      <c r="AD108" s="3" t="str">
        <f>IF(AC108&gt;0,VLOOKUP(AC108,IF({1,0},Fish!$N:$N,Fish!$D:$D),2,FALSE),"")</f>
        <v/>
      </c>
    </row>
    <row r="109" spans="1:30">
      <c r="A109" s="3">
        <v>44412</v>
      </c>
      <c r="B109" s="3">
        <v>1</v>
      </c>
      <c r="C109" s="3">
        <v>1</v>
      </c>
      <c r="D109" s="3">
        <v>1</v>
      </c>
      <c r="E109" s="3" t="s">
        <v>194</v>
      </c>
      <c r="F109" s="3">
        <f>IF(E109&gt;0,VLOOKUP(E109,IF({1,0},Fish!$N:$N,Fish!$D:$D),2,FALSE),"")</f>
        <v>11001</v>
      </c>
      <c r="G109" s="3">
        <v>0</v>
      </c>
      <c r="H109" s="3">
        <v>1</v>
      </c>
      <c r="I109" s="3">
        <v>6</v>
      </c>
      <c r="J109" s="3">
        <v>12</v>
      </c>
      <c r="K109" s="3" t="s">
        <v>198</v>
      </c>
      <c r="L109" s="3">
        <f>IF(K109&gt;0,VLOOKUP(K109,IF({1,0},Fish!$N:$N,Fish!$D:$D),2,FALSE),"")</f>
        <v>11003</v>
      </c>
      <c r="M109" s="3">
        <v>0</v>
      </c>
      <c r="N109" s="3">
        <v>1</v>
      </c>
      <c r="O109" s="3">
        <v>6</v>
      </c>
      <c r="P109" s="3">
        <v>8</v>
      </c>
      <c r="R109" s="3" t="str">
        <f>IF(Q109&gt;0,VLOOKUP(Q109,IF({1,0},Fish!$N:$N,Fish!$D:$D),2,FALSE),"")</f>
        <v/>
      </c>
      <c r="X109" s="3" t="str">
        <f>IF(W109&gt;0,VLOOKUP(W109,IF({1,0},Fish!$N:$N,Fish!$D:$D),2,FALSE),"")</f>
        <v/>
      </c>
      <c r="AD109" s="3" t="str">
        <f>IF(AC109&gt;0,VLOOKUP(AC109,IF({1,0},Fish!$N:$N,Fish!$D:$D),2,FALSE),"")</f>
        <v/>
      </c>
    </row>
    <row r="110" spans="1:30">
      <c r="A110" s="3">
        <v>44412</v>
      </c>
      <c r="B110" s="3">
        <v>1</v>
      </c>
      <c r="C110" s="3">
        <v>1</v>
      </c>
      <c r="D110" s="3">
        <v>1</v>
      </c>
      <c r="E110" s="3" t="s">
        <v>194</v>
      </c>
      <c r="F110" s="3">
        <f>IF(E110&gt;0,VLOOKUP(E110,IF({1,0},Fish!$N:$N,Fish!$D:$D),2,FALSE),"")</f>
        <v>11001</v>
      </c>
      <c r="G110" s="3">
        <v>0</v>
      </c>
      <c r="H110" s="3">
        <v>1</v>
      </c>
      <c r="I110" s="3">
        <v>6</v>
      </c>
      <c r="J110" s="3">
        <v>12</v>
      </c>
      <c r="K110" s="3" t="s">
        <v>1036</v>
      </c>
      <c r="L110" s="3" t="e">
        <f>IF(K110&gt;0,VLOOKUP(K110,IF({1,0},Fish!$N:$N,Fish!$D:$D),2,FALSE),"")</f>
        <v>#N/A</v>
      </c>
      <c r="M110" s="3">
        <v>0</v>
      </c>
      <c r="N110" s="3">
        <v>1</v>
      </c>
      <c r="O110" s="3">
        <v>6</v>
      </c>
      <c r="P110" s="3">
        <v>8</v>
      </c>
      <c r="R110" s="3" t="str">
        <f>IF(Q110&gt;0,VLOOKUP(Q110,IF({1,0},Fish!$N:$N,Fish!$D:$D),2,FALSE),"")</f>
        <v/>
      </c>
      <c r="X110" s="3" t="str">
        <f>IF(W110&gt;0,VLOOKUP(W110,IF({1,0},Fish!$N:$N,Fish!$D:$D),2,FALSE),"")</f>
        <v/>
      </c>
      <c r="AD110" s="3" t="str">
        <f>IF(AC110&gt;0,VLOOKUP(AC110,IF({1,0},Fish!$N:$N,Fish!$D:$D),2,FALSE),"")</f>
        <v/>
      </c>
    </row>
    <row r="111" spans="1:30">
      <c r="A111" s="3">
        <v>44412</v>
      </c>
      <c r="B111" s="3">
        <v>1</v>
      </c>
      <c r="C111" s="3">
        <v>1</v>
      </c>
      <c r="D111" s="3">
        <v>1</v>
      </c>
      <c r="E111" s="3" t="s">
        <v>196</v>
      </c>
      <c r="F111" s="3">
        <f>IF(E111&gt;0,VLOOKUP(E111,IF({1,0},Fish!$N:$N,Fish!$D:$D),2,FALSE),"")</f>
        <v>11002</v>
      </c>
      <c r="G111" s="3">
        <v>0</v>
      </c>
      <c r="H111" s="3">
        <v>1</v>
      </c>
      <c r="I111" s="3">
        <v>6</v>
      </c>
      <c r="J111" s="3">
        <v>12</v>
      </c>
      <c r="K111" s="3" t="s">
        <v>198</v>
      </c>
      <c r="L111" s="3">
        <f>IF(K111&gt;0,VLOOKUP(K111,IF({1,0},Fish!$N:$N,Fish!$D:$D),2,FALSE),"")</f>
        <v>11003</v>
      </c>
      <c r="M111" s="3">
        <v>0</v>
      </c>
      <c r="N111" s="3">
        <v>1</v>
      </c>
      <c r="O111" s="3">
        <v>6</v>
      </c>
      <c r="P111" s="3">
        <v>8</v>
      </c>
      <c r="R111" s="3" t="str">
        <f>IF(Q111&gt;0,VLOOKUP(Q111,IF({1,0},Fish!$N:$N,Fish!$D:$D),2,FALSE),"")</f>
        <v/>
      </c>
      <c r="X111" s="3" t="str">
        <f>IF(W111&gt;0,VLOOKUP(W111,IF({1,0},Fish!$N:$N,Fish!$D:$D),2,FALSE),"")</f>
        <v/>
      </c>
      <c r="AD111" s="3" t="str">
        <f>IF(AC111&gt;0,VLOOKUP(AC111,IF({1,0},Fish!$N:$N,Fish!$D:$D),2,FALSE),"")</f>
        <v/>
      </c>
    </row>
    <row r="112" spans="1:30">
      <c r="A112" s="3">
        <v>44412</v>
      </c>
      <c r="B112" s="3">
        <v>1</v>
      </c>
      <c r="C112" s="3">
        <v>1</v>
      </c>
      <c r="D112" s="3">
        <v>1</v>
      </c>
      <c r="E112" s="3" t="s">
        <v>196</v>
      </c>
      <c r="F112" s="3">
        <f>IF(E112&gt;0,VLOOKUP(E112,IF({1,0},Fish!$N:$N,Fish!$D:$D),2,FALSE),"")</f>
        <v>11002</v>
      </c>
      <c r="G112" s="3">
        <v>0</v>
      </c>
      <c r="H112" s="3">
        <v>1</v>
      </c>
      <c r="I112" s="3">
        <v>6</v>
      </c>
      <c r="J112" s="3">
        <v>12</v>
      </c>
      <c r="K112" s="3" t="s">
        <v>1036</v>
      </c>
      <c r="L112" s="3" t="e">
        <f>IF(K112&gt;0,VLOOKUP(K112,IF({1,0},Fish!$N:$N,Fish!$D:$D),2,FALSE),"")</f>
        <v>#N/A</v>
      </c>
      <c r="M112" s="3">
        <v>0</v>
      </c>
      <c r="N112" s="3">
        <v>1</v>
      </c>
      <c r="O112" s="3">
        <v>6</v>
      </c>
      <c r="P112" s="3">
        <v>8</v>
      </c>
      <c r="R112" s="3" t="str">
        <f>IF(Q112&gt;0,VLOOKUP(Q112,IF({1,0},Fish!$N:$N,Fish!$D:$D),2,FALSE),"")</f>
        <v/>
      </c>
      <c r="X112" s="3" t="str">
        <f>IF(W112&gt;0,VLOOKUP(W112,IF({1,0},Fish!$N:$N,Fish!$D:$D),2,FALSE),"")</f>
        <v/>
      </c>
      <c r="AD112" s="3" t="str">
        <f>IF(AC112&gt;0,VLOOKUP(AC112,IF({1,0},Fish!$N:$N,Fish!$D:$D),2,FALSE),"")</f>
        <v/>
      </c>
    </row>
    <row r="113" spans="1:34">
      <c r="A113" s="3">
        <v>44412</v>
      </c>
      <c r="B113" s="3">
        <v>1</v>
      </c>
      <c r="C113" s="3">
        <v>2</v>
      </c>
      <c r="D113" s="3">
        <v>1</v>
      </c>
      <c r="E113" s="3" t="s">
        <v>208</v>
      </c>
      <c r="F113" s="3">
        <f>IF(E113&gt;0,VLOOKUP(E113,IF({1,0},Fish!$N:$N,Fish!$D:$D),2,FALSE),"")</f>
        <v>11008</v>
      </c>
      <c r="G113" s="3">
        <v>0</v>
      </c>
      <c r="H113" s="3">
        <v>1</v>
      </c>
      <c r="I113" s="3">
        <v>2</v>
      </c>
      <c r="J113" s="3">
        <v>4</v>
      </c>
      <c r="K113" s="3" t="s">
        <v>218</v>
      </c>
      <c r="L113" s="3">
        <f>IF(K113&gt;0,VLOOKUP(K113,IF({1,0},Fish!$N:$N,Fish!$D:$D),2,FALSE),"")</f>
        <v>11011</v>
      </c>
      <c r="M113" s="3">
        <v>0</v>
      </c>
      <c r="N113" s="3">
        <v>1</v>
      </c>
      <c r="O113" s="3">
        <v>2</v>
      </c>
      <c r="P113" s="3">
        <v>3</v>
      </c>
      <c r="Q113" s="3" t="s">
        <v>232</v>
      </c>
      <c r="R113" s="3">
        <f>IF(Q113&gt;0,VLOOKUP(Q113,IF({1,0},Fish!$N:$N,Fish!$D:$D),2,FALSE),"")</f>
        <v>11017</v>
      </c>
      <c r="S113" s="3">
        <v>0</v>
      </c>
      <c r="T113" s="3">
        <v>1</v>
      </c>
      <c r="U113" s="3">
        <v>1</v>
      </c>
      <c r="V113" s="3">
        <v>2</v>
      </c>
      <c r="W113" s="5" t="s">
        <v>228</v>
      </c>
      <c r="X113" s="3">
        <f>IF(W113&gt;0,VLOOKUP(W113,IF({1,0},Fish!$N:$N,Fish!$D:$D),2,FALSE),"")</f>
        <v>11015</v>
      </c>
      <c r="Y113" s="3">
        <v>0</v>
      </c>
      <c r="Z113" s="5">
        <v>1</v>
      </c>
      <c r="AA113" s="5">
        <v>1</v>
      </c>
      <c r="AB113" s="5">
        <v>2</v>
      </c>
      <c r="AC113" s="5" t="s">
        <v>222</v>
      </c>
      <c r="AD113" s="3">
        <f>IF(AC113&gt;0,VLOOKUP(AC113,IF({1,0},Fish!$N:$N,Fish!$D:$D),2,FALSE),"")</f>
        <v>11013</v>
      </c>
      <c r="AE113" s="3">
        <v>0</v>
      </c>
      <c r="AF113" s="5">
        <v>1</v>
      </c>
      <c r="AG113" s="5">
        <v>1</v>
      </c>
      <c r="AH113" s="5">
        <v>1</v>
      </c>
    </row>
    <row r="114" spans="1:34">
      <c r="A114" s="3">
        <v>44412</v>
      </c>
      <c r="B114" s="3">
        <v>1</v>
      </c>
      <c r="C114" s="3">
        <v>2</v>
      </c>
      <c r="D114" s="3">
        <v>1</v>
      </c>
      <c r="E114" s="3" t="s">
        <v>208</v>
      </c>
      <c r="F114" s="3">
        <f>IF(E114&gt;0,VLOOKUP(E114,IF({1,0},Fish!$N:$N,Fish!$D:$D),2,FALSE),"")</f>
        <v>11008</v>
      </c>
      <c r="G114" s="3">
        <v>0</v>
      </c>
      <c r="H114" s="3">
        <v>1</v>
      </c>
      <c r="I114" s="3">
        <v>2</v>
      </c>
      <c r="J114" s="3">
        <v>4</v>
      </c>
      <c r="K114" s="3" t="s">
        <v>218</v>
      </c>
      <c r="L114" s="3">
        <f>IF(K114&gt;0,VLOOKUP(K114,IF({1,0},Fish!$N:$N,Fish!$D:$D),2,FALSE),"")</f>
        <v>11011</v>
      </c>
      <c r="M114" s="3">
        <v>0</v>
      </c>
      <c r="N114" s="3">
        <v>1</v>
      </c>
      <c r="O114" s="3">
        <v>2</v>
      </c>
      <c r="P114" s="3">
        <v>3</v>
      </c>
      <c r="Q114" s="3" t="s">
        <v>232</v>
      </c>
      <c r="R114" s="3">
        <f>IF(Q114&gt;0,VLOOKUP(Q114,IF({1,0},Fish!$N:$N,Fish!$D:$D),2,FALSE),"")</f>
        <v>11017</v>
      </c>
      <c r="S114" s="3">
        <v>0</v>
      </c>
      <c r="T114" s="3">
        <v>1</v>
      </c>
      <c r="U114" s="3">
        <v>1</v>
      </c>
      <c r="V114" s="3">
        <v>2</v>
      </c>
      <c r="W114" s="5" t="s">
        <v>228</v>
      </c>
      <c r="X114" s="3">
        <f>IF(W114&gt;0,VLOOKUP(W114,IF({1,0},Fish!$N:$N,Fish!$D:$D),2,FALSE),"")</f>
        <v>11015</v>
      </c>
      <c r="Y114" s="3">
        <v>0</v>
      </c>
      <c r="Z114" s="5">
        <v>1</v>
      </c>
      <c r="AA114" s="5">
        <v>1</v>
      </c>
      <c r="AB114" s="5">
        <v>2</v>
      </c>
      <c r="AC114" s="5" t="s">
        <v>230</v>
      </c>
      <c r="AD114" s="3">
        <f>IF(AC114&gt;0,VLOOKUP(AC114,IF({1,0},Fish!$N:$N,Fish!$D:$D),2,FALSE),"")</f>
        <v>11016</v>
      </c>
      <c r="AE114" s="3">
        <v>0</v>
      </c>
      <c r="AF114" s="5">
        <v>1</v>
      </c>
      <c r="AG114" s="5">
        <v>1</v>
      </c>
      <c r="AH114" s="5">
        <v>1</v>
      </c>
    </row>
    <row r="115" spans="1:34">
      <c r="A115" s="3">
        <v>44412</v>
      </c>
      <c r="B115" s="3">
        <v>1</v>
      </c>
      <c r="C115" s="3">
        <v>2</v>
      </c>
      <c r="D115" s="3">
        <v>1</v>
      </c>
      <c r="E115" s="3" t="s">
        <v>208</v>
      </c>
      <c r="F115" s="3">
        <f>IF(E115&gt;0,VLOOKUP(E115,IF({1,0},Fish!$N:$N,Fish!$D:$D),2,FALSE),"")</f>
        <v>11008</v>
      </c>
      <c r="G115" s="3">
        <v>0</v>
      </c>
      <c r="H115" s="3">
        <v>1</v>
      </c>
      <c r="I115" s="3">
        <v>2</v>
      </c>
      <c r="J115" s="3">
        <v>4</v>
      </c>
      <c r="K115" s="3" t="s">
        <v>218</v>
      </c>
      <c r="L115" s="3">
        <f>IF(K115&gt;0,VLOOKUP(K115,IF({1,0},Fish!$N:$N,Fish!$D:$D),2,FALSE),"")</f>
        <v>11011</v>
      </c>
      <c r="M115" s="3">
        <v>0</v>
      </c>
      <c r="N115" s="3">
        <v>1</v>
      </c>
      <c r="O115" s="3">
        <v>2</v>
      </c>
      <c r="P115" s="3">
        <v>3</v>
      </c>
      <c r="Q115" s="3" t="s">
        <v>232</v>
      </c>
      <c r="R115" s="3">
        <f>IF(Q115&gt;0,VLOOKUP(Q115,IF({1,0},Fish!$N:$N,Fish!$D:$D),2,FALSE),"")</f>
        <v>11017</v>
      </c>
      <c r="S115" s="3">
        <v>0</v>
      </c>
      <c r="T115" s="3">
        <v>1</v>
      </c>
      <c r="U115" s="3">
        <v>1</v>
      </c>
      <c r="V115" s="3">
        <v>2</v>
      </c>
      <c r="W115" s="5" t="s">
        <v>242</v>
      </c>
      <c r="X115" s="3">
        <f>IF(W115&gt;0,VLOOKUP(W115,IF({1,0},Fish!$N:$N,Fish!$D:$D),2,FALSE),"")</f>
        <v>11020</v>
      </c>
      <c r="Y115" s="3">
        <v>0</v>
      </c>
      <c r="Z115" s="5">
        <v>1</v>
      </c>
      <c r="AA115" s="5">
        <v>1</v>
      </c>
      <c r="AB115" s="5">
        <v>2</v>
      </c>
      <c r="AC115" s="5" t="s">
        <v>222</v>
      </c>
      <c r="AD115" s="3">
        <f>IF(AC115&gt;0,VLOOKUP(AC115,IF({1,0},Fish!$N:$N,Fish!$D:$D),2,FALSE),"")</f>
        <v>11013</v>
      </c>
      <c r="AE115" s="3">
        <v>0</v>
      </c>
      <c r="AF115" s="5">
        <v>1</v>
      </c>
      <c r="AG115" s="5">
        <v>1</v>
      </c>
      <c r="AH115" s="5">
        <v>1</v>
      </c>
    </row>
    <row r="116" spans="1:34">
      <c r="A116" s="3">
        <v>44412</v>
      </c>
      <c r="B116" s="3">
        <v>1</v>
      </c>
      <c r="C116" s="3">
        <v>2</v>
      </c>
      <c r="D116" s="3">
        <v>1</v>
      </c>
      <c r="E116" s="3" t="s">
        <v>208</v>
      </c>
      <c r="F116" s="3">
        <f>IF(E116&gt;0,VLOOKUP(E116,IF({1,0},Fish!$N:$N,Fish!$D:$D),2,FALSE),"")</f>
        <v>11008</v>
      </c>
      <c r="G116" s="3">
        <v>0</v>
      </c>
      <c r="H116" s="3">
        <v>1</v>
      </c>
      <c r="I116" s="3">
        <v>2</v>
      </c>
      <c r="J116" s="3">
        <v>4</v>
      </c>
      <c r="K116" s="3" t="s">
        <v>218</v>
      </c>
      <c r="L116" s="3">
        <f>IF(K116&gt;0,VLOOKUP(K116,IF({1,0},Fish!$N:$N,Fish!$D:$D),2,FALSE),"")</f>
        <v>11011</v>
      </c>
      <c r="M116" s="3">
        <v>0</v>
      </c>
      <c r="N116" s="3">
        <v>1</v>
      </c>
      <c r="O116" s="3">
        <v>2</v>
      </c>
      <c r="P116" s="3">
        <v>3</v>
      </c>
      <c r="Q116" s="3" t="s">
        <v>232</v>
      </c>
      <c r="R116" s="3">
        <f>IF(Q116&gt;0,VLOOKUP(Q116,IF({1,0},Fish!$N:$N,Fish!$D:$D),2,FALSE),"")</f>
        <v>11017</v>
      </c>
      <c r="S116" s="3">
        <v>0</v>
      </c>
      <c r="T116" s="3">
        <v>1</v>
      </c>
      <c r="U116" s="3">
        <v>1</v>
      </c>
      <c r="V116" s="3">
        <v>2</v>
      </c>
      <c r="W116" s="5" t="s">
        <v>242</v>
      </c>
      <c r="X116" s="3">
        <f>IF(W116&gt;0,VLOOKUP(W116,IF({1,0},Fish!$N:$N,Fish!$D:$D),2,FALSE),"")</f>
        <v>11020</v>
      </c>
      <c r="Y116" s="3">
        <v>0</v>
      </c>
      <c r="Z116" s="5">
        <v>1</v>
      </c>
      <c r="AA116" s="5">
        <v>1</v>
      </c>
      <c r="AB116" s="5">
        <v>2</v>
      </c>
      <c r="AC116" s="5" t="s">
        <v>230</v>
      </c>
      <c r="AD116" s="3">
        <f>IF(AC116&gt;0,VLOOKUP(AC116,IF({1,0},Fish!$N:$N,Fish!$D:$D),2,FALSE),"")</f>
        <v>11016</v>
      </c>
      <c r="AE116" s="3">
        <v>0</v>
      </c>
      <c r="AF116" s="5">
        <v>1</v>
      </c>
      <c r="AG116" s="5">
        <v>1</v>
      </c>
      <c r="AH116" s="5">
        <v>1</v>
      </c>
    </row>
    <row r="117" spans="1:34">
      <c r="A117" s="3">
        <v>44412</v>
      </c>
      <c r="B117" s="3">
        <v>1</v>
      </c>
      <c r="C117" s="3">
        <v>2</v>
      </c>
      <c r="D117" s="3">
        <v>1</v>
      </c>
      <c r="E117" s="3" t="s">
        <v>208</v>
      </c>
      <c r="F117" s="3">
        <f>IF(E117&gt;0,VLOOKUP(E117,IF({1,0},Fish!$N:$N,Fish!$D:$D),2,FALSE),"")</f>
        <v>11008</v>
      </c>
      <c r="G117" s="3">
        <v>0</v>
      </c>
      <c r="H117" s="3">
        <v>1</v>
      </c>
      <c r="I117" s="3">
        <v>2</v>
      </c>
      <c r="J117" s="3">
        <v>4</v>
      </c>
      <c r="K117" s="3" t="s">
        <v>218</v>
      </c>
      <c r="L117" s="3">
        <f>IF(K117&gt;0,VLOOKUP(K117,IF({1,0},Fish!$N:$N,Fish!$D:$D),2,FALSE),"")</f>
        <v>11011</v>
      </c>
      <c r="M117" s="3">
        <v>0</v>
      </c>
      <c r="N117" s="3">
        <v>1</v>
      </c>
      <c r="O117" s="3">
        <v>2</v>
      </c>
      <c r="P117" s="3">
        <v>3</v>
      </c>
      <c r="Q117" s="3" t="s">
        <v>220</v>
      </c>
      <c r="R117" s="3">
        <f>IF(Q117&gt;0,VLOOKUP(Q117,IF({1,0},Fish!$N:$N,Fish!$D:$D),2,FALSE),"")</f>
        <v>11012</v>
      </c>
      <c r="S117" s="3">
        <v>0</v>
      </c>
      <c r="T117" s="3">
        <v>1</v>
      </c>
      <c r="U117" s="3">
        <v>1</v>
      </c>
      <c r="V117" s="3">
        <v>2</v>
      </c>
      <c r="W117" s="5" t="s">
        <v>228</v>
      </c>
      <c r="X117" s="3">
        <f>IF(W117&gt;0,VLOOKUP(W117,IF({1,0},Fish!$N:$N,Fish!$D:$D),2,FALSE),"")</f>
        <v>11015</v>
      </c>
      <c r="Y117" s="3">
        <v>0</v>
      </c>
      <c r="Z117" s="5">
        <v>1</v>
      </c>
      <c r="AA117" s="5">
        <v>1</v>
      </c>
      <c r="AB117" s="5">
        <v>2</v>
      </c>
      <c r="AC117" s="5" t="s">
        <v>222</v>
      </c>
      <c r="AD117" s="3">
        <f>IF(AC117&gt;0,VLOOKUP(AC117,IF({1,0},Fish!$N:$N,Fish!$D:$D),2,FALSE),"")</f>
        <v>11013</v>
      </c>
      <c r="AE117" s="3">
        <v>0</v>
      </c>
      <c r="AF117" s="5">
        <v>1</v>
      </c>
      <c r="AG117" s="5">
        <v>1</v>
      </c>
      <c r="AH117" s="5">
        <v>1</v>
      </c>
    </row>
    <row r="118" spans="1:34">
      <c r="A118" s="3">
        <v>44412</v>
      </c>
      <c r="B118" s="3">
        <v>1</v>
      </c>
      <c r="C118" s="3">
        <v>2</v>
      </c>
      <c r="D118" s="3">
        <v>1</v>
      </c>
      <c r="E118" s="3" t="s">
        <v>208</v>
      </c>
      <c r="F118" s="3">
        <f>IF(E118&gt;0,VLOOKUP(E118,IF({1,0},Fish!$N:$N,Fish!$D:$D),2,FALSE),"")</f>
        <v>11008</v>
      </c>
      <c r="G118" s="3">
        <v>0</v>
      </c>
      <c r="H118" s="3">
        <v>1</v>
      </c>
      <c r="I118" s="3">
        <v>2</v>
      </c>
      <c r="J118" s="3">
        <v>4</v>
      </c>
      <c r="K118" s="3" t="s">
        <v>218</v>
      </c>
      <c r="L118" s="3">
        <f>IF(K118&gt;0,VLOOKUP(K118,IF({1,0},Fish!$N:$N,Fish!$D:$D),2,FALSE),"")</f>
        <v>11011</v>
      </c>
      <c r="M118" s="3">
        <v>0</v>
      </c>
      <c r="N118" s="3">
        <v>1</v>
      </c>
      <c r="O118" s="3">
        <v>2</v>
      </c>
      <c r="P118" s="3">
        <v>3</v>
      </c>
      <c r="Q118" s="3" t="s">
        <v>220</v>
      </c>
      <c r="R118" s="3">
        <f>IF(Q118&gt;0,VLOOKUP(Q118,IF({1,0},Fish!$N:$N,Fish!$D:$D),2,FALSE),"")</f>
        <v>11012</v>
      </c>
      <c r="S118" s="3">
        <v>0</v>
      </c>
      <c r="T118" s="3">
        <v>1</v>
      </c>
      <c r="U118" s="3">
        <v>1</v>
      </c>
      <c r="V118" s="3">
        <v>2</v>
      </c>
      <c r="W118" s="5" t="s">
        <v>228</v>
      </c>
      <c r="X118" s="3">
        <f>IF(W118&gt;0,VLOOKUP(W118,IF({1,0},Fish!$N:$N,Fish!$D:$D),2,FALSE),"")</f>
        <v>11015</v>
      </c>
      <c r="Y118" s="3">
        <v>0</v>
      </c>
      <c r="Z118" s="5">
        <v>1</v>
      </c>
      <c r="AA118" s="5">
        <v>1</v>
      </c>
      <c r="AB118" s="5">
        <v>2</v>
      </c>
      <c r="AC118" s="5" t="s">
        <v>230</v>
      </c>
      <c r="AD118" s="3">
        <f>IF(AC118&gt;0,VLOOKUP(AC118,IF({1,0},Fish!$N:$N,Fish!$D:$D),2,FALSE),"")</f>
        <v>11016</v>
      </c>
      <c r="AE118" s="3">
        <v>0</v>
      </c>
      <c r="AF118" s="5">
        <v>1</v>
      </c>
      <c r="AG118" s="5">
        <v>1</v>
      </c>
      <c r="AH118" s="5">
        <v>1</v>
      </c>
    </row>
    <row r="119" spans="1:34">
      <c r="A119" s="3">
        <v>44412</v>
      </c>
      <c r="B119" s="3">
        <v>1</v>
      </c>
      <c r="C119" s="3">
        <v>2</v>
      </c>
      <c r="D119" s="3">
        <v>1</v>
      </c>
      <c r="E119" s="3" t="s">
        <v>208</v>
      </c>
      <c r="F119" s="3">
        <f>IF(E119&gt;0,VLOOKUP(E119,IF({1,0},Fish!$N:$N,Fish!$D:$D),2,FALSE),"")</f>
        <v>11008</v>
      </c>
      <c r="G119" s="3">
        <v>0</v>
      </c>
      <c r="H119" s="3">
        <v>1</v>
      </c>
      <c r="I119" s="3">
        <v>2</v>
      </c>
      <c r="J119" s="3">
        <v>4</v>
      </c>
      <c r="K119" s="3" t="s">
        <v>218</v>
      </c>
      <c r="L119" s="3">
        <f>IF(K119&gt;0,VLOOKUP(K119,IF({1,0},Fish!$N:$N,Fish!$D:$D),2,FALSE),"")</f>
        <v>11011</v>
      </c>
      <c r="M119" s="3">
        <v>0</v>
      </c>
      <c r="N119" s="3">
        <v>1</v>
      </c>
      <c r="O119" s="3">
        <v>2</v>
      </c>
      <c r="P119" s="3">
        <v>3</v>
      </c>
      <c r="Q119" s="3" t="s">
        <v>220</v>
      </c>
      <c r="R119" s="3">
        <f>IF(Q119&gt;0,VLOOKUP(Q119,IF({1,0},Fish!$N:$N,Fish!$D:$D),2,FALSE),"")</f>
        <v>11012</v>
      </c>
      <c r="S119" s="3">
        <v>0</v>
      </c>
      <c r="T119" s="3">
        <v>1</v>
      </c>
      <c r="U119" s="3">
        <v>1</v>
      </c>
      <c r="V119" s="3">
        <v>2</v>
      </c>
      <c r="W119" s="5" t="s">
        <v>242</v>
      </c>
      <c r="X119" s="3">
        <f>IF(W119&gt;0,VLOOKUP(W119,IF({1,0},Fish!$N:$N,Fish!$D:$D),2,FALSE),"")</f>
        <v>11020</v>
      </c>
      <c r="Y119" s="3">
        <v>0</v>
      </c>
      <c r="Z119" s="5">
        <v>1</v>
      </c>
      <c r="AA119" s="5">
        <v>1</v>
      </c>
      <c r="AB119" s="5">
        <v>2</v>
      </c>
      <c r="AC119" s="5" t="s">
        <v>222</v>
      </c>
      <c r="AD119" s="3">
        <f>IF(AC119&gt;0,VLOOKUP(AC119,IF({1,0},Fish!$N:$N,Fish!$D:$D),2,FALSE),"")</f>
        <v>11013</v>
      </c>
      <c r="AE119" s="3">
        <v>0</v>
      </c>
      <c r="AF119" s="5">
        <v>1</v>
      </c>
      <c r="AG119" s="5">
        <v>1</v>
      </c>
      <c r="AH119" s="5">
        <v>1</v>
      </c>
    </row>
    <row r="120" spans="1:34">
      <c r="A120" s="3">
        <v>44412</v>
      </c>
      <c r="B120" s="3">
        <v>1</v>
      </c>
      <c r="C120" s="3">
        <v>2</v>
      </c>
      <c r="D120" s="3">
        <v>1</v>
      </c>
      <c r="E120" s="3" t="s">
        <v>208</v>
      </c>
      <c r="F120" s="3">
        <f>IF(E120&gt;0,VLOOKUP(E120,IF({1,0},Fish!$N:$N,Fish!$D:$D),2,FALSE),"")</f>
        <v>11008</v>
      </c>
      <c r="G120" s="3">
        <v>0</v>
      </c>
      <c r="H120" s="3">
        <v>1</v>
      </c>
      <c r="I120" s="3">
        <v>2</v>
      </c>
      <c r="J120" s="3">
        <v>4</v>
      </c>
      <c r="K120" s="3" t="s">
        <v>218</v>
      </c>
      <c r="L120" s="3">
        <f>IF(K120&gt;0,VLOOKUP(K120,IF({1,0},Fish!$N:$N,Fish!$D:$D),2,FALSE),"")</f>
        <v>11011</v>
      </c>
      <c r="M120" s="3">
        <v>0</v>
      </c>
      <c r="N120" s="3">
        <v>1</v>
      </c>
      <c r="O120" s="3">
        <v>2</v>
      </c>
      <c r="P120" s="3">
        <v>3</v>
      </c>
      <c r="Q120" s="3" t="s">
        <v>220</v>
      </c>
      <c r="R120" s="3">
        <f>IF(Q120&gt;0,VLOOKUP(Q120,IF({1,0},Fish!$N:$N,Fish!$D:$D),2,FALSE),"")</f>
        <v>11012</v>
      </c>
      <c r="S120" s="3">
        <v>0</v>
      </c>
      <c r="T120" s="3">
        <v>1</v>
      </c>
      <c r="U120" s="3">
        <v>1</v>
      </c>
      <c r="V120" s="3">
        <v>2</v>
      </c>
      <c r="W120" s="5" t="s">
        <v>242</v>
      </c>
      <c r="X120" s="3">
        <f>IF(W120&gt;0,VLOOKUP(W120,IF({1,0},Fish!$N:$N,Fish!$D:$D),2,FALSE),"")</f>
        <v>11020</v>
      </c>
      <c r="Y120" s="3">
        <v>0</v>
      </c>
      <c r="Z120" s="5">
        <v>1</v>
      </c>
      <c r="AA120" s="5">
        <v>1</v>
      </c>
      <c r="AB120" s="5">
        <v>2</v>
      </c>
      <c r="AC120" s="5" t="s">
        <v>230</v>
      </c>
      <c r="AD120" s="3">
        <f>IF(AC120&gt;0,VLOOKUP(AC120,IF({1,0},Fish!$N:$N,Fish!$D:$D),2,FALSE),"")</f>
        <v>11016</v>
      </c>
      <c r="AE120" s="3">
        <v>0</v>
      </c>
      <c r="AF120" s="5">
        <v>1</v>
      </c>
      <c r="AG120" s="5">
        <v>1</v>
      </c>
      <c r="AH120" s="5">
        <v>1</v>
      </c>
    </row>
    <row r="121" spans="1:34">
      <c r="A121" s="3">
        <v>44412</v>
      </c>
      <c r="B121" s="3">
        <v>1</v>
      </c>
      <c r="C121" s="3">
        <v>2</v>
      </c>
      <c r="D121" s="3">
        <v>1</v>
      </c>
      <c r="E121" s="3" t="s">
        <v>208</v>
      </c>
      <c r="F121" s="3">
        <f>IF(E121&gt;0,VLOOKUP(E121,IF({1,0},Fish!$N:$N,Fish!$D:$D),2,FALSE),"")</f>
        <v>11008</v>
      </c>
      <c r="G121" s="3">
        <v>0</v>
      </c>
      <c r="H121" s="3">
        <v>1</v>
      </c>
      <c r="I121" s="3">
        <v>2</v>
      </c>
      <c r="J121" s="3">
        <v>4</v>
      </c>
      <c r="K121" s="3" t="s">
        <v>216</v>
      </c>
      <c r="L121" s="3">
        <f>IF(K121&gt;0,VLOOKUP(K121,IF({1,0},Fish!$N:$N,Fish!$D:$D),2,FALSE),"")</f>
        <v>11010</v>
      </c>
      <c r="M121" s="3">
        <v>0</v>
      </c>
      <c r="N121" s="3">
        <v>1</v>
      </c>
      <c r="O121" s="3">
        <v>2</v>
      </c>
      <c r="P121" s="3">
        <v>3</v>
      </c>
      <c r="Q121" s="3" t="s">
        <v>232</v>
      </c>
      <c r="R121" s="3">
        <f>IF(Q121&gt;0,VLOOKUP(Q121,IF({1,0},Fish!$N:$N,Fish!$D:$D),2,FALSE),"")</f>
        <v>11017</v>
      </c>
      <c r="S121" s="3">
        <v>0</v>
      </c>
      <c r="T121" s="3">
        <v>1</v>
      </c>
      <c r="U121" s="3">
        <v>1</v>
      </c>
      <c r="V121" s="3">
        <v>2</v>
      </c>
      <c r="W121" s="5" t="s">
        <v>228</v>
      </c>
      <c r="X121" s="3">
        <f>IF(W121&gt;0,VLOOKUP(W121,IF({1,0},Fish!$N:$N,Fish!$D:$D),2,FALSE),"")</f>
        <v>11015</v>
      </c>
      <c r="Y121" s="3">
        <v>0</v>
      </c>
      <c r="Z121" s="5">
        <v>1</v>
      </c>
      <c r="AA121" s="5">
        <v>1</v>
      </c>
      <c r="AB121" s="5">
        <v>2</v>
      </c>
      <c r="AC121" s="5" t="s">
        <v>222</v>
      </c>
      <c r="AD121" s="3">
        <f>IF(AC121&gt;0,VLOOKUP(AC121,IF({1,0},Fish!$N:$N,Fish!$D:$D),2,FALSE),"")</f>
        <v>11013</v>
      </c>
      <c r="AE121" s="3">
        <v>0</v>
      </c>
      <c r="AF121" s="5">
        <v>1</v>
      </c>
      <c r="AG121" s="5">
        <v>1</v>
      </c>
      <c r="AH121" s="5">
        <v>1</v>
      </c>
    </row>
    <row r="122" spans="1:34">
      <c r="A122" s="3">
        <v>44412</v>
      </c>
      <c r="B122" s="3">
        <v>1</v>
      </c>
      <c r="C122" s="3">
        <v>2</v>
      </c>
      <c r="D122" s="3">
        <v>1</v>
      </c>
      <c r="E122" s="3" t="s">
        <v>208</v>
      </c>
      <c r="F122" s="3">
        <f>IF(E122&gt;0,VLOOKUP(E122,IF({1,0},Fish!$N:$N,Fish!$D:$D),2,FALSE),"")</f>
        <v>11008</v>
      </c>
      <c r="G122" s="3">
        <v>0</v>
      </c>
      <c r="H122" s="3">
        <v>1</v>
      </c>
      <c r="I122" s="3">
        <v>2</v>
      </c>
      <c r="J122" s="3">
        <v>4</v>
      </c>
      <c r="K122" s="3" t="s">
        <v>216</v>
      </c>
      <c r="L122" s="3">
        <f>IF(K122&gt;0,VLOOKUP(K122,IF({1,0},Fish!$N:$N,Fish!$D:$D),2,FALSE),"")</f>
        <v>11010</v>
      </c>
      <c r="M122" s="3">
        <v>0</v>
      </c>
      <c r="N122" s="3">
        <v>1</v>
      </c>
      <c r="O122" s="3">
        <v>2</v>
      </c>
      <c r="P122" s="3">
        <v>3</v>
      </c>
      <c r="Q122" s="3" t="s">
        <v>232</v>
      </c>
      <c r="R122" s="3">
        <f>IF(Q122&gt;0,VLOOKUP(Q122,IF({1,0},Fish!$N:$N,Fish!$D:$D),2,FALSE),"")</f>
        <v>11017</v>
      </c>
      <c r="S122" s="3">
        <v>0</v>
      </c>
      <c r="T122" s="3">
        <v>1</v>
      </c>
      <c r="U122" s="3">
        <v>1</v>
      </c>
      <c r="V122" s="3">
        <v>2</v>
      </c>
      <c r="W122" s="5" t="s">
        <v>228</v>
      </c>
      <c r="X122" s="3">
        <f>IF(W122&gt;0,VLOOKUP(W122,IF({1,0},Fish!$N:$N,Fish!$D:$D),2,FALSE),"")</f>
        <v>11015</v>
      </c>
      <c r="Y122" s="3">
        <v>0</v>
      </c>
      <c r="Z122" s="5">
        <v>1</v>
      </c>
      <c r="AA122" s="5">
        <v>1</v>
      </c>
      <c r="AB122" s="5">
        <v>2</v>
      </c>
      <c r="AC122" s="5" t="s">
        <v>230</v>
      </c>
      <c r="AD122" s="3">
        <f>IF(AC122&gt;0,VLOOKUP(AC122,IF({1,0},Fish!$N:$N,Fish!$D:$D),2,FALSE),"")</f>
        <v>11016</v>
      </c>
      <c r="AE122" s="3">
        <v>0</v>
      </c>
      <c r="AF122" s="5">
        <v>1</v>
      </c>
      <c r="AG122" s="5">
        <v>1</v>
      </c>
      <c r="AH122" s="5">
        <v>1</v>
      </c>
    </row>
    <row r="123" spans="1:34">
      <c r="A123" s="3">
        <v>44412</v>
      </c>
      <c r="B123" s="3">
        <v>1</v>
      </c>
      <c r="C123" s="3">
        <v>2</v>
      </c>
      <c r="D123" s="3">
        <v>1</v>
      </c>
      <c r="E123" s="3" t="s">
        <v>208</v>
      </c>
      <c r="F123" s="3">
        <f>IF(E123&gt;0,VLOOKUP(E123,IF({1,0},Fish!$N:$N,Fish!$D:$D),2,FALSE),"")</f>
        <v>11008</v>
      </c>
      <c r="G123" s="3">
        <v>0</v>
      </c>
      <c r="H123" s="3">
        <v>1</v>
      </c>
      <c r="I123" s="3">
        <v>2</v>
      </c>
      <c r="J123" s="3">
        <v>4</v>
      </c>
      <c r="K123" s="3" t="s">
        <v>216</v>
      </c>
      <c r="L123" s="3">
        <f>IF(K123&gt;0,VLOOKUP(K123,IF({1,0},Fish!$N:$N,Fish!$D:$D),2,FALSE),"")</f>
        <v>11010</v>
      </c>
      <c r="M123" s="3">
        <v>0</v>
      </c>
      <c r="N123" s="3">
        <v>1</v>
      </c>
      <c r="O123" s="3">
        <v>2</v>
      </c>
      <c r="P123" s="3">
        <v>3</v>
      </c>
      <c r="Q123" s="3" t="s">
        <v>232</v>
      </c>
      <c r="R123" s="3">
        <f>IF(Q123&gt;0,VLOOKUP(Q123,IF({1,0},Fish!$N:$N,Fish!$D:$D),2,FALSE),"")</f>
        <v>11017</v>
      </c>
      <c r="S123" s="3">
        <v>0</v>
      </c>
      <c r="T123" s="3">
        <v>1</v>
      </c>
      <c r="U123" s="3">
        <v>1</v>
      </c>
      <c r="V123" s="3">
        <v>2</v>
      </c>
      <c r="W123" s="5" t="s">
        <v>242</v>
      </c>
      <c r="X123" s="3">
        <f>IF(W123&gt;0,VLOOKUP(W123,IF({1,0},Fish!$N:$N,Fish!$D:$D),2,FALSE),"")</f>
        <v>11020</v>
      </c>
      <c r="Y123" s="3">
        <v>0</v>
      </c>
      <c r="Z123" s="5">
        <v>1</v>
      </c>
      <c r="AA123" s="5">
        <v>1</v>
      </c>
      <c r="AB123" s="5">
        <v>2</v>
      </c>
      <c r="AC123" s="5" t="s">
        <v>222</v>
      </c>
      <c r="AD123" s="3">
        <f>IF(AC123&gt;0,VLOOKUP(AC123,IF({1,0},Fish!$N:$N,Fish!$D:$D),2,FALSE),"")</f>
        <v>11013</v>
      </c>
      <c r="AE123" s="3">
        <v>0</v>
      </c>
      <c r="AF123" s="5">
        <v>1</v>
      </c>
      <c r="AG123" s="5">
        <v>1</v>
      </c>
      <c r="AH123" s="5">
        <v>1</v>
      </c>
    </row>
    <row r="124" spans="1:34">
      <c r="A124" s="3">
        <v>44412</v>
      </c>
      <c r="B124" s="3">
        <v>1</v>
      </c>
      <c r="C124" s="3">
        <v>2</v>
      </c>
      <c r="D124" s="3">
        <v>1</v>
      </c>
      <c r="E124" s="3" t="s">
        <v>208</v>
      </c>
      <c r="F124" s="3">
        <f>IF(E124&gt;0,VLOOKUP(E124,IF({1,0},Fish!$N:$N,Fish!$D:$D),2,FALSE),"")</f>
        <v>11008</v>
      </c>
      <c r="G124" s="3">
        <v>0</v>
      </c>
      <c r="H124" s="3">
        <v>1</v>
      </c>
      <c r="I124" s="3">
        <v>2</v>
      </c>
      <c r="J124" s="3">
        <v>4</v>
      </c>
      <c r="K124" s="3" t="s">
        <v>216</v>
      </c>
      <c r="L124" s="3">
        <f>IF(K124&gt;0,VLOOKUP(K124,IF({1,0},Fish!$N:$N,Fish!$D:$D),2,FALSE),"")</f>
        <v>11010</v>
      </c>
      <c r="M124" s="3">
        <v>0</v>
      </c>
      <c r="N124" s="3">
        <v>1</v>
      </c>
      <c r="O124" s="3">
        <v>2</v>
      </c>
      <c r="P124" s="3">
        <v>3</v>
      </c>
      <c r="Q124" s="3" t="s">
        <v>232</v>
      </c>
      <c r="R124" s="3">
        <f>IF(Q124&gt;0,VLOOKUP(Q124,IF({1,0},Fish!$N:$N,Fish!$D:$D),2,FALSE),"")</f>
        <v>11017</v>
      </c>
      <c r="S124" s="3">
        <v>0</v>
      </c>
      <c r="T124" s="3">
        <v>1</v>
      </c>
      <c r="U124" s="3">
        <v>1</v>
      </c>
      <c r="V124" s="3">
        <v>2</v>
      </c>
      <c r="W124" s="5" t="s">
        <v>242</v>
      </c>
      <c r="X124" s="3">
        <f>IF(W124&gt;0,VLOOKUP(W124,IF({1,0},Fish!$N:$N,Fish!$D:$D),2,FALSE),"")</f>
        <v>11020</v>
      </c>
      <c r="Y124" s="3">
        <v>0</v>
      </c>
      <c r="Z124" s="5">
        <v>1</v>
      </c>
      <c r="AA124" s="5">
        <v>1</v>
      </c>
      <c r="AB124" s="5">
        <v>2</v>
      </c>
      <c r="AC124" s="5" t="s">
        <v>230</v>
      </c>
      <c r="AD124" s="3">
        <f>IF(AC124&gt;0,VLOOKUP(AC124,IF({1,0},Fish!$N:$N,Fish!$D:$D),2,FALSE),"")</f>
        <v>11016</v>
      </c>
      <c r="AE124" s="3">
        <v>0</v>
      </c>
      <c r="AF124" s="5">
        <v>1</v>
      </c>
      <c r="AG124" s="5">
        <v>1</v>
      </c>
      <c r="AH124" s="5">
        <v>1</v>
      </c>
    </row>
    <row r="125" spans="1:34">
      <c r="A125" s="3">
        <v>44412</v>
      </c>
      <c r="B125" s="3">
        <v>1</v>
      </c>
      <c r="C125" s="3">
        <v>2</v>
      </c>
      <c r="D125" s="3">
        <v>1</v>
      </c>
      <c r="E125" s="3" t="s">
        <v>208</v>
      </c>
      <c r="F125" s="3">
        <f>IF(E125&gt;0,VLOOKUP(E125,IF({1,0},Fish!$N:$N,Fish!$D:$D),2,FALSE),"")</f>
        <v>11008</v>
      </c>
      <c r="G125" s="3">
        <v>0</v>
      </c>
      <c r="H125" s="3">
        <v>1</v>
      </c>
      <c r="I125" s="3">
        <v>2</v>
      </c>
      <c r="J125" s="3">
        <v>4</v>
      </c>
      <c r="K125" s="3" t="s">
        <v>216</v>
      </c>
      <c r="L125" s="3">
        <f>IF(K125&gt;0,VLOOKUP(K125,IF({1,0},Fish!$N:$N,Fish!$D:$D),2,FALSE),"")</f>
        <v>11010</v>
      </c>
      <c r="M125" s="3">
        <v>0</v>
      </c>
      <c r="N125" s="3">
        <v>1</v>
      </c>
      <c r="O125" s="3">
        <v>2</v>
      </c>
      <c r="P125" s="3">
        <v>3</v>
      </c>
      <c r="Q125" s="3" t="s">
        <v>220</v>
      </c>
      <c r="R125" s="3">
        <f>IF(Q125&gt;0,VLOOKUP(Q125,IF({1,0},Fish!$N:$N,Fish!$D:$D),2,FALSE),"")</f>
        <v>11012</v>
      </c>
      <c r="S125" s="3">
        <v>0</v>
      </c>
      <c r="T125" s="3">
        <v>1</v>
      </c>
      <c r="U125" s="3">
        <v>1</v>
      </c>
      <c r="V125" s="3">
        <v>2</v>
      </c>
      <c r="W125" s="5" t="s">
        <v>228</v>
      </c>
      <c r="X125" s="3">
        <f>IF(W125&gt;0,VLOOKUP(W125,IF({1,0},Fish!$N:$N,Fish!$D:$D),2,FALSE),"")</f>
        <v>11015</v>
      </c>
      <c r="Y125" s="3">
        <v>0</v>
      </c>
      <c r="Z125" s="5">
        <v>1</v>
      </c>
      <c r="AA125" s="5">
        <v>1</v>
      </c>
      <c r="AB125" s="5">
        <v>2</v>
      </c>
      <c r="AC125" s="5" t="s">
        <v>222</v>
      </c>
      <c r="AD125" s="3">
        <f>IF(AC125&gt;0,VLOOKUP(AC125,IF({1,0},Fish!$N:$N,Fish!$D:$D),2,FALSE),"")</f>
        <v>11013</v>
      </c>
      <c r="AE125" s="3">
        <v>0</v>
      </c>
      <c r="AF125" s="5">
        <v>1</v>
      </c>
      <c r="AG125" s="5">
        <v>1</v>
      </c>
      <c r="AH125" s="5">
        <v>1</v>
      </c>
    </row>
    <row r="126" spans="1:34">
      <c r="A126" s="3">
        <v>44412</v>
      </c>
      <c r="B126" s="3">
        <v>1</v>
      </c>
      <c r="C126" s="3">
        <v>2</v>
      </c>
      <c r="D126" s="3">
        <v>1</v>
      </c>
      <c r="E126" s="3" t="s">
        <v>208</v>
      </c>
      <c r="F126" s="3">
        <f>IF(E126&gt;0,VLOOKUP(E126,IF({1,0},Fish!$N:$N,Fish!$D:$D),2,FALSE),"")</f>
        <v>11008</v>
      </c>
      <c r="G126" s="3">
        <v>0</v>
      </c>
      <c r="H126" s="3">
        <v>1</v>
      </c>
      <c r="I126" s="3">
        <v>2</v>
      </c>
      <c r="J126" s="3">
        <v>4</v>
      </c>
      <c r="K126" s="3" t="s">
        <v>216</v>
      </c>
      <c r="L126" s="3">
        <f>IF(K126&gt;0,VLOOKUP(K126,IF({1,0},Fish!$N:$N,Fish!$D:$D),2,FALSE),"")</f>
        <v>11010</v>
      </c>
      <c r="M126" s="3">
        <v>0</v>
      </c>
      <c r="N126" s="3">
        <v>1</v>
      </c>
      <c r="O126" s="3">
        <v>2</v>
      </c>
      <c r="P126" s="3">
        <v>3</v>
      </c>
      <c r="Q126" s="3" t="s">
        <v>220</v>
      </c>
      <c r="R126" s="3">
        <f>IF(Q126&gt;0,VLOOKUP(Q126,IF({1,0},Fish!$N:$N,Fish!$D:$D),2,FALSE),"")</f>
        <v>11012</v>
      </c>
      <c r="S126" s="3">
        <v>0</v>
      </c>
      <c r="T126" s="3">
        <v>1</v>
      </c>
      <c r="U126" s="3">
        <v>1</v>
      </c>
      <c r="V126" s="3">
        <v>2</v>
      </c>
      <c r="W126" s="3" t="s">
        <v>228</v>
      </c>
      <c r="X126" s="3">
        <f>IF(W126&gt;0,VLOOKUP(W126,IF({1,0},Fish!$N:$N,Fish!$D:$D),2,FALSE),"")</f>
        <v>11015</v>
      </c>
      <c r="Y126" s="3">
        <v>0</v>
      </c>
      <c r="Z126" s="3">
        <v>1</v>
      </c>
      <c r="AA126" s="3">
        <v>1</v>
      </c>
      <c r="AB126" s="3">
        <v>2</v>
      </c>
      <c r="AC126" s="3" t="s">
        <v>230</v>
      </c>
      <c r="AD126" s="3">
        <f>IF(AC126&gt;0,VLOOKUP(AC126,IF({1,0},Fish!$N:$N,Fish!$D:$D),2,FALSE),"")</f>
        <v>11016</v>
      </c>
      <c r="AE126" s="3">
        <v>0</v>
      </c>
      <c r="AF126" s="3">
        <v>1</v>
      </c>
      <c r="AG126" s="3">
        <v>1</v>
      </c>
      <c r="AH126" s="3">
        <v>1</v>
      </c>
    </row>
    <row r="127" spans="1:34">
      <c r="A127" s="3">
        <v>44412</v>
      </c>
      <c r="B127" s="3">
        <v>1</v>
      </c>
      <c r="C127" s="3">
        <v>2</v>
      </c>
      <c r="D127" s="3">
        <v>1</v>
      </c>
      <c r="E127" s="3" t="s">
        <v>208</v>
      </c>
      <c r="F127" s="3">
        <f>IF(E127&gt;0,VLOOKUP(E127,IF({1,0},Fish!$N:$N,Fish!$D:$D),2,FALSE),"")</f>
        <v>11008</v>
      </c>
      <c r="G127" s="3">
        <v>0</v>
      </c>
      <c r="H127" s="3">
        <v>1</v>
      </c>
      <c r="I127" s="3">
        <v>2</v>
      </c>
      <c r="J127" s="3">
        <v>4</v>
      </c>
      <c r="K127" s="3" t="s">
        <v>216</v>
      </c>
      <c r="L127" s="3">
        <f>IF(K127&gt;0,VLOOKUP(K127,IF({1,0},Fish!$N:$N,Fish!$D:$D),2,FALSE),"")</f>
        <v>11010</v>
      </c>
      <c r="M127" s="3">
        <v>0</v>
      </c>
      <c r="N127" s="3">
        <v>1</v>
      </c>
      <c r="O127" s="3">
        <v>2</v>
      </c>
      <c r="P127" s="3">
        <v>3</v>
      </c>
      <c r="Q127" s="3" t="s">
        <v>220</v>
      </c>
      <c r="R127" s="3">
        <f>IF(Q127&gt;0,VLOOKUP(Q127,IF({1,0},Fish!$N:$N,Fish!$D:$D),2,FALSE),"")</f>
        <v>11012</v>
      </c>
      <c r="S127" s="3">
        <v>0</v>
      </c>
      <c r="T127" s="3">
        <v>1</v>
      </c>
      <c r="U127" s="3">
        <v>1</v>
      </c>
      <c r="V127" s="3">
        <v>2</v>
      </c>
      <c r="W127" s="3" t="s">
        <v>242</v>
      </c>
      <c r="X127" s="3">
        <f>IF(W127&gt;0,VLOOKUP(W127,IF({1,0},Fish!$N:$N,Fish!$D:$D),2,FALSE),"")</f>
        <v>11020</v>
      </c>
      <c r="Y127" s="3">
        <v>0</v>
      </c>
      <c r="Z127" s="3">
        <v>1</v>
      </c>
      <c r="AA127" s="3">
        <v>1</v>
      </c>
      <c r="AB127" s="3">
        <v>2</v>
      </c>
      <c r="AC127" s="3" t="s">
        <v>222</v>
      </c>
      <c r="AD127" s="3">
        <f>IF(AC127&gt;0,VLOOKUP(AC127,IF({1,0},Fish!$N:$N,Fish!$D:$D),2,FALSE),"")</f>
        <v>11013</v>
      </c>
      <c r="AE127" s="3">
        <v>0</v>
      </c>
      <c r="AF127" s="3">
        <v>1</v>
      </c>
      <c r="AG127" s="3">
        <v>1</v>
      </c>
      <c r="AH127" s="3">
        <v>1</v>
      </c>
    </row>
    <row r="128" spans="1:34">
      <c r="A128" s="3">
        <v>44412</v>
      </c>
      <c r="B128" s="3">
        <v>1</v>
      </c>
      <c r="C128" s="3">
        <v>2</v>
      </c>
      <c r="D128" s="3">
        <v>1</v>
      </c>
      <c r="E128" s="3" t="s">
        <v>208</v>
      </c>
      <c r="F128" s="3">
        <f>IF(E128&gt;0,VLOOKUP(E128,IF({1,0},Fish!$N:$N,Fish!$D:$D),2,FALSE),"")</f>
        <v>11008</v>
      </c>
      <c r="G128" s="3">
        <v>0</v>
      </c>
      <c r="H128" s="3">
        <v>1</v>
      </c>
      <c r="I128" s="3">
        <v>2</v>
      </c>
      <c r="J128" s="3">
        <v>4</v>
      </c>
      <c r="K128" s="3" t="s">
        <v>216</v>
      </c>
      <c r="L128" s="3">
        <f>IF(K128&gt;0,VLOOKUP(K128,IF({1,0},Fish!$N:$N,Fish!$D:$D),2,FALSE),"")</f>
        <v>11010</v>
      </c>
      <c r="M128" s="3">
        <v>0</v>
      </c>
      <c r="N128" s="3">
        <v>1</v>
      </c>
      <c r="O128" s="3">
        <v>2</v>
      </c>
      <c r="P128" s="3">
        <v>3</v>
      </c>
      <c r="Q128" s="3" t="s">
        <v>220</v>
      </c>
      <c r="R128" s="3">
        <f>IF(Q128&gt;0,VLOOKUP(Q128,IF({1,0},Fish!$N:$N,Fish!$D:$D),2,FALSE),"")</f>
        <v>11012</v>
      </c>
      <c r="S128" s="3">
        <v>0</v>
      </c>
      <c r="T128" s="3">
        <v>1</v>
      </c>
      <c r="U128" s="3">
        <v>1</v>
      </c>
      <c r="V128" s="3">
        <v>2</v>
      </c>
      <c r="W128" s="3" t="s">
        <v>242</v>
      </c>
      <c r="X128" s="3">
        <f>IF(W128&gt;0,VLOOKUP(W128,IF({1,0},Fish!$N:$N,Fish!$D:$D),2,FALSE),"")</f>
        <v>11020</v>
      </c>
      <c r="Y128" s="3">
        <v>0</v>
      </c>
      <c r="Z128" s="3">
        <v>1</v>
      </c>
      <c r="AA128" s="3">
        <v>1</v>
      </c>
      <c r="AB128" s="3">
        <v>2</v>
      </c>
      <c r="AC128" s="3" t="s">
        <v>230</v>
      </c>
      <c r="AD128" s="3">
        <f>IF(AC128&gt;0,VLOOKUP(AC128,IF({1,0},Fish!$N:$N,Fish!$D:$D),2,FALSE),"")</f>
        <v>11016</v>
      </c>
      <c r="AE128" s="3">
        <v>0</v>
      </c>
      <c r="AF128" s="3">
        <v>1</v>
      </c>
      <c r="AG128" s="3">
        <v>1</v>
      </c>
      <c r="AH128" s="3">
        <v>1</v>
      </c>
    </row>
    <row r="129" spans="1:34">
      <c r="A129" s="3">
        <v>44412</v>
      </c>
      <c r="B129" s="3">
        <v>1</v>
      </c>
      <c r="C129" s="3">
        <v>2</v>
      </c>
      <c r="D129" s="3">
        <v>1</v>
      </c>
      <c r="E129" s="3" t="s">
        <v>210</v>
      </c>
      <c r="F129" s="3">
        <f>IF(E129&gt;0,VLOOKUP(E129,IF({1,0},Fish!$N:$N,Fish!$D:$D),2,FALSE),"")</f>
        <v>11009</v>
      </c>
      <c r="G129" s="3">
        <v>0</v>
      </c>
      <c r="H129" s="3">
        <v>1</v>
      </c>
      <c r="I129" s="3">
        <v>2</v>
      </c>
      <c r="J129" s="3">
        <v>4</v>
      </c>
      <c r="K129" s="3" t="s">
        <v>218</v>
      </c>
      <c r="L129" s="3">
        <f>IF(K129&gt;0,VLOOKUP(K129,IF({1,0},Fish!$N:$N,Fish!$D:$D),2,FALSE),"")</f>
        <v>11011</v>
      </c>
      <c r="M129" s="3">
        <v>0</v>
      </c>
      <c r="N129" s="3">
        <v>1</v>
      </c>
      <c r="O129" s="3">
        <v>2</v>
      </c>
      <c r="P129" s="3">
        <v>3</v>
      </c>
      <c r="Q129" s="3" t="s">
        <v>232</v>
      </c>
      <c r="R129" s="3">
        <f>IF(Q129&gt;0,VLOOKUP(Q129,IF({1,0},Fish!$N:$N,Fish!$D:$D),2,FALSE),"")</f>
        <v>11017</v>
      </c>
      <c r="S129" s="3">
        <v>0</v>
      </c>
      <c r="T129" s="3">
        <v>1</v>
      </c>
      <c r="U129" s="3">
        <v>1</v>
      </c>
      <c r="V129" s="3">
        <v>2</v>
      </c>
      <c r="W129" s="3" t="s">
        <v>228</v>
      </c>
      <c r="X129" s="3">
        <f>IF(W129&gt;0,VLOOKUP(W129,IF({1,0},Fish!$N:$N,Fish!$D:$D),2,FALSE),"")</f>
        <v>11015</v>
      </c>
      <c r="Y129" s="3">
        <v>0</v>
      </c>
      <c r="Z129" s="3">
        <v>1</v>
      </c>
      <c r="AA129" s="3">
        <v>1</v>
      </c>
      <c r="AB129" s="3">
        <v>2</v>
      </c>
      <c r="AC129" s="3" t="s">
        <v>222</v>
      </c>
      <c r="AD129" s="3">
        <f>IF(AC129&gt;0,VLOOKUP(AC129,IF({1,0},Fish!$N:$N,Fish!$D:$D),2,FALSE),"")</f>
        <v>11013</v>
      </c>
      <c r="AE129" s="3">
        <v>0</v>
      </c>
      <c r="AF129" s="3">
        <v>1</v>
      </c>
      <c r="AG129" s="3">
        <v>1</v>
      </c>
      <c r="AH129" s="3">
        <v>1</v>
      </c>
    </row>
    <row r="130" spans="1:34">
      <c r="A130" s="3">
        <v>44412</v>
      </c>
      <c r="B130" s="3">
        <v>1</v>
      </c>
      <c r="C130" s="3">
        <v>2</v>
      </c>
      <c r="D130" s="3">
        <v>1</v>
      </c>
      <c r="E130" s="3" t="s">
        <v>210</v>
      </c>
      <c r="F130" s="3">
        <f>IF(E130&gt;0,VLOOKUP(E130,IF({1,0},Fish!$N:$N,Fish!$D:$D),2,FALSE),"")</f>
        <v>11009</v>
      </c>
      <c r="G130" s="3">
        <v>0</v>
      </c>
      <c r="H130" s="3">
        <v>1</v>
      </c>
      <c r="I130" s="3">
        <v>2</v>
      </c>
      <c r="J130" s="3">
        <v>4</v>
      </c>
      <c r="K130" s="3" t="s">
        <v>218</v>
      </c>
      <c r="L130" s="3">
        <f>IF(K130&gt;0,VLOOKUP(K130,IF({1,0},Fish!$N:$N,Fish!$D:$D),2,FALSE),"")</f>
        <v>11011</v>
      </c>
      <c r="M130" s="3">
        <v>0</v>
      </c>
      <c r="N130" s="3">
        <v>1</v>
      </c>
      <c r="O130" s="3">
        <v>2</v>
      </c>
      <c r="P130" s="3">
        <v>3</v>
      </c>
      <c r="Q130" s="3" t="s">
        <v>232</v>
      </c>
      <c r="R130" s="3">
        <f>IF(Q130&gt;0,VLOOKUP(Q130,IF({1,0},Fish!$N:$N,Fish!$D:$D),2,FALSE),"")</f>
        <v>11017</v>
      </c>
      <c r="S130" s="3">
        <v>0</v>
      </c>
      <c r="T130" s="3">
        <v>1</v>
      </c>
      <c r="U130" s="3">
        <v>1</v>
      </c>
      <c r="V130" s="3">
        <v>2</v>
      </c>
      <c r="W130" s="3" t="s">
        <v>228</v>
      </c>
      <c r="X130" s="3">
        <f>IF(W130&gt;0,VLOOKUP(W130,IF({1,0},Fish!$N:$N,Fish!$D:$D),2,FALSE),"")</f>
        <v>11015</v>
      </c>
      <c r="Y130" s="3">
        <v>0</v>
      </c>
      <c r="Z130" s="3">
        <v>1</v>
      </c>
      <c r="AA130" s="3">
        <v>1</v>
      </c>
      <c r="AB130" s="3">
        <v>2</v>
      </c>
      <c r="AC130" s="3" t="s">
        <v>230</v>
      </c>
      <c r="AD130" s="3">
        <f>IF(AC130&gt;0,VLOOKUP(AC130,IF({1,0},Fish!$N:$N,Fish!$D:$D),2,FALSE),"")</f>
        <v>11016</v>
      </c>
      <c r="AE130" s="3">
        <v>0</v>
      </c>
      <c r="AF130" s="3">
        <v>1</v>
      </c>
      <c r="AG130" s="3">
        <v>1</v>
      </c>
      <c r="AH130" s="3">
        <v>1</v>
      </c>
    </row>
    <row r="131" spans="1:34">
      <c r="A131" s="3">
        <v>44412</v>
      </c>
      <c r="B131" s="3">
        <v>1</v>
      </c>
      <c r="C131" s="3">
        <v>2</v>
      </c>
      <c r="D131" s="3">
        <v>1</v>
      </c>
      <c r="E131" s="3" t="s">
        <v>210</v>
      </c>
      <c r="F131" s="3">
        <f>IF(E131&gt;0,VLOOKUP(E131,IF({1,0},Fish!$N:$N,Fish!$D:$D),2,FALSE),"")</f>
        <v>11009</v>
      </c>
      <c r="G131" s="3">
        <v>0</v>
      </c>
      <c r="H131" s="3">
        <v>1</v>
      </c>
      <c r="I131" s="3">
        <v>2</v>
      </c>
      <c r="J131" s="3">
        <v>4</v>
      </c>
      <c r="K131" s="3" t="s">
        <v>218</v>
      </c>
      <c r="L131" s="3">
        <f>IF(K131&gt;0,VLOOKUP(K131,IF({1,0},Fish!$N:$N,Fish!$D:$D),2,FALSE),"")</f>
        <v>11011</v>
      </c>
      <c r="M131" s="3">
        <v>0</v>
      </c>
      <c r="N131" s="3">
        <v>1</v>
      </c>
      <c r="O131" s="3">
        <v>2</v>
      </c>
      <c r="P131" s="3">
        <v>3</v>
      </c>
      <c r="Q131" s="3" t="s">
        <v>232</v>
      </c>
      <c r="R131" s="3">
        <f>IF(Q131&gt;0,VLOOKUP(Q131,IF({1,0},Fish!$N:$N,Fish!$D:$D),2,FALSE),"")</f>
        <v>11017</v>
      </c>
      <c r="S131" s="3">
        <v>0</v>
      </c>
      <c r="T131" s="3">
        <v>1</v>
      </c>
      <c r="U131" s="3">
        <v>1</v>
      </c>
      <c r="V131" s="3">
        <v>2</v>
      </c>
      <c r="W131" s="3" t="s">
        <v>242</v>
      </c>
      <c r="X131" s="3">
        <f>IF(W131&gt;0,VLOOKUP(W131,IF({1,0},Fish!$N:$N,Fish!$D:$D),2,FALSE),"")</f>
        <v>11020</v>
      </c>
      <c r="Y131" s="3">
        <v>0</v>
      </c>
      <c r="Z131" s="3">
        <v>1</v>
      </c>
      <c r="AA131" s="3">
        <v>1</v>
      </c>
      <c r="AB131" s="3">
        <v>2</v>
      </c>
      <c r="AC131" s="3" t="s">
        <v>222</v>
      </c>
      <c r="AD131" s="3">
        <f>IF(AC131&gt;0,VLOOKUP(AC131,IF({1,0},Fish!$N:$N,Fish!$D:$D),2,FALSE),"")</f>
        <v>11013</v>
      </c>
      <c r="AE131" s="3">
        <v>0</v>
      </c>
      <c r="AF131" s="3">
        <v>1</v>
      </c>
      <c r="AG131" s="3">
        <v>1</v>
      </c>
      <c r="AH131" s="3">
        <v>1</v>
      </c>
    </row>
    <row r="132" spans="1:34">
      <c r="A132" s="3">
        <v>44412</v>
      </c>
      <c r="B132" s="3">
        <v>1</v>
      </c>
      <c r="C132" s="3">
        <v>2</v>
      </c>
      <c r="D132" s="3">
        <v>1</v>
      </c>
      <c r="E132" s="3" t="s">
        <v>210</v>
      </c>
      <c r="F132" s="3">
        <f>IF(E132&gt;0,VLOOKUP(E132,IF({1,0},Fish!$N:$N,Fish!$D:$D),2,FALSE),"")</f>
        <v>11009</v>
      </c>
      <c r="G132" s="3">
        <v>0</v>
      </c>
      <c r="H132" s="3">
        <v>1</v>
      </c>
      <c r="I132" s="3">
        <v>2</v>
      </c>
      <c r="J132" s="3">
        <v>4</v>
      </c>
      <c r="K132" s="3" t="s">
        <v>218</v>
      </c>
      <c r="L132" s="3">
        <f>IF(K132&gt;0,VLOOKUP(K132,IF({1,0},Fish!$N:$N,Fish!$D:$D),2,FALSE),"")</f>
        <v>11011</v>
      </c>
      <c r="M132" s="3">
        <v>0</v>
      </c>
      <c r="N132" s="3">
        <v>1</v>
      </c>
      <c r="O132" s="3">
        <v>2</v>
      </c>
      <c r="P132" s="3">
        <v>3</v>
      </c>
      <c r="Q132" s="3" t="s">
        <v>232</v>
      </c>
      <c r="R132" s="3">
        <f>IF(Q132&gt;0,VLOOKUP(Q132,IF({1,0},Fish!$N:$N,Fish!$D:$D),2,FALSE),"")</f>
        <v>11017</v>
      </c>
      <c r="S132" s="3">
        <v>0</v>
      </c>
      <c r="T132" s="3">
        <v>1</v>
      </c>
      <c r="U132" s="3">
        <v>1</v>
      </c>
      <c r="V132" s="3">
        <v>2</v>
      </c>
      <c r="W132" s="3" t="s">
        <v>242</v>
      </c>
      <c r="X132" s="3">
        <f>IF(W132&gt;0,VLOOKUP(W132,IF({1,0},Fish!$N:$N,Fish!$D:$D),2,FALSE),"")</f>
        <v>11020</v>
      </c>
      <c r="Y132" s="3">
        <v>0</v>
      </c>
      <c r="Z132" s="3">
        <v>1</v>
      </c>
      <c r="AA132" s="3">
        <v>1</v>
      </c>
      <c r="AB132" s="3">
        <v>2</v>
      </c>
      <c r="AC132" s="3" t="s">
        <v>230</v>
      </c>
      <c r="AD132" s="3">
        <f>IF(AC132&gt;0,VLOOKUP(AC132,IF({1,0},Fish!$N:$N,Fish!$D:$D),2,FALSE),"")</f>
        <v>11016</v>
      </c>
      <c r="AE132" s="3">
        <v>0</v>
      </c>
      <c r="AF132" s="3">
        <v>1</v>
      </c>
      <c r="AG132" s="3">
        <v>1</v>
      </c>
      <c r="AH132" s="3">
        <v>1</v>
      </c>
    </row>
    <row r="133" spans="1:34">
      <c r="A133" s="3">
        <v>44412</v>
      </c>
      <c r="B133" s="3">
        <v>1</v>
      </c>
      <c r="C133" s="3">
        <v>2</v>
      </c>
      <c r="D133" s="3">
        <v>1</v>
      </c>
      <c r="E133" s="3" t="s">
        <v>210</v>
      </c>
      <c r="F133" s="3">
        <f>IF(E133&gt;0,VLOOKUP(E133,IF({1,0},Fish!$N:$N,Fish!$D:$D),2,FALSE),"")</f>
        <v>11009</v>
      </c>
      <c r="G133" s="3">
        <v>0</v>
      </c>
      <c r="H133" s="3">
        <v>1</v>
      </c>
      <c r="I133" s="3">
        <v>2</v>
      </c>
      <c r="J133" s="3">
        <v>4</v>
      </c>
      <c r="K133" s="3" t="s">
        <v>218</v>
      </c>
      <c r="L133" s="3">
        <f>IF(K133&gt;0,VLOOKUP(K133,IF({1,0},Fish!$N:$N,Fish!$D:$D),2,FALSE),"")</f>
        <v>11011</v>
      </c>
      <c r="M133" s="3">
        <v>0</v>
      </c>
      <c r="N133" s="3">
        <v>1</v>
      </c>
      <c r="O133" s="3">
        <v>2</v>
      </c>
      <c r="P133" s="3">
        <v>3</v>
      </c>
      <c r="Q133" s="3" t="s">
        <v>220</v>
      </c>
      <c r="R133" s="3">
        <f>IF(Q133&gt;0,VLOOKUP(Q133,IF({1,0},Fish!$N:$N,Fish!$D:$D),2,FALSE),"")</f>
        <v>11012</v>
      </c>
      <c r="S133" s="3">
        <v>0</v>
      </c>
      <c r="T133" s="3">
        <v>1</v>
      </c>
      <c r="U133" s="3">
        <v>1</v>
      </c>
      <c r="V133" s="3">
        <v>2</v>
      </c>
      <c r="W133" s="3" t="s">
        <v>228</v>
      </c>
      <c r="X133" s="3">
        <f>IF(W133&gt;0,VLOOKUP(W133,IF({1,0},Fish!$N:$N,Fish!$D:$D),2,FALSE),"")</f>
        <v>11015</v>
      </c>
      <c r="Y133" s="3">
        <v>0</v>
      </c>
      <c r="Z133" s="3">
        <v>1</v>
      </c>
      <c r="AA133" s="3">
        <v>1</v>
      </c>
      <c r="AB133" s="3">
        <v>2</v>
      </c>
      <c r="AC133" s="3" t="s">
        <v>222</v>
      </c>
      <c r="AD133" s="3">
        <f>IF(AC133&gt;0,VLOOKUP(AC133,IF({1,0},Fish!$N:$N,Fish!$D:$D),2,FALSE),"")</f>
        <v>11013</v>
      </c>
      <c r="AE133" s="3">
        <v>0</v>
      </c>
      <c r="AF133" s="3">
        <v>1</v>
      </c>
      <c r="AG133" s="3">
        <v>1</v>
      </c>
      <c r="AH133" s="3">
        <v>1</v>
      </c>
    </row>
    <row r="134" spans="1:34">
      <c r="A134" s="3">
        <v>44412</v>
      </c>
      <c r="B134" s="3">
        <v>1</v>
      </c>
      <c r="C134" s="3">
        <v>2</v>
      </c>
      <c r="D134" s="3">
        <v>1</v>
      </c>
      <c r="E134" s="3" t="s">
        <v>210</v>
      </c>
      <c r="F134" s="3">
        <f>IF(E134&gt;0,VLOOKUP(E134,IF({1,0},Fish!$N:$N,Fish!$D:$D),2,FALSE),"")</f>
        <v>11009</v>
      </c>
      <c r="G134" s="3">
        <v>0</v>
      </c>
      <c r="H134" s="3">
        <v>1</v>
      </c>
      <c r="I134" s="3">
        <v>2</v>
      </c>
      <c r="J134" s="3">
        <v>4</v>
      </c>
      <c r="K134" s="3" t="s">
        <v>218</v>
      </c>
      <c r="L134" s="3">
        <f>IF(K134&gt;0,VLOOKUP(K134,IF({1,0},Fish!$N:$N,Fish!$D:$D),2,FALSE),"")</f>
        <v>11011</v>
      </c>
      <c r="M134" s="3">
        <v>0</v>
      </c>
      <c r="N134" s="3">
        <v>1</v>
      </c>
      <c r="O134" s="3">
        <v>2</v>
      </c>
      <c r="P134" s="3">
        <v>3</v>
      </c>
      <c r="Q134" s="3" t="s">
        <v>220</v>
      </c>
      <c r="R134" s="3">
        <f>IF(Q134&gt;0,VLOOKUP(Q134,IF({1,0},Fish!$N:$N,Fish!$D:$D),2,FALSE),"")</f>
        <v>11012</v>
      </c>
      <c r="S134" s="3">
        <v>0</v>
      </c>
      <c r="T134" s="3">
        <v>1</v>
      </c>
      <c r="U134" s="3">
        <v>1</v>
      </c>
      <c r="V134" s="3">
        <v>2</v>
      </c>
      <c r="W134" s="3" t="s">
        <v>228</v>
      </c>
      <c r="X134" s="3">
        <f>IF(W134&gt;0,VLOOKUP(W134,IF({1,0},Fish!$N:$N,Fish!$D:$D),2,FALSE),"")</f>
        <v>11015</v>
      </c>
      <c r="Y134" s="3">
        <v>0</v>
      </c>
      <c r="Z134" s="3">
        <v>1</v>
      </c>
      <c r="AA134" s="3">
        <v>1</v>
      </c>
      <c r="AB134" s="3">
        <v>2</v>
      </c>
      <c r="AC134" s="3" t="s">
        <v>230</v>
      </c>
      <c r="AD134" s="3">
        <f>IF(AC134&gt;0,VLOOKUP(AC134,IF({1,0},Fish!$N:$N,Fish!$D:$D),2,FALSE),"")</f>
        <v>11016</v>
      </c>
      <c r="AE134" s="3">
        <v>0</v>
      </c>
      <c r="AF134" s="3">
        <v>1</v>
      </c>
      <c r="AG134" s="3">
        <v>1</v>
      </c>
      <c r="AH134" s="3">
        <v>1</v>
      </c>
    </row>
    <row r="135" spans="1:34">
      <c r="A135" s="3">
        <v>44412</v>
      </c>
      <c r="B135" s="3">
        <v>1</v>
      </c>
      <c r="C135" s="3">
        <v>2</v>
      </c>
      <c r="D135" s="3">
        <v>1</v>
      </c>
      <c r="E135" s="3" t="s">
        <v>210</v>
      </c>
      <c r="F135" s="3">
        <f>IF(E135&gt;0,VLOOKUP(E135,IF({1,0},Fish!$N:$N,Fish!$D:$D),2,FALSE),"")</f>
        <v>11009</v>
      </c>
      <c r="G135" s="3">
        <v>0</v>
      </c>
      <c r="H135" s="3">
        <v>1</v>
      </c>
      <c r="I135" s="3">
        <v>2</v>
      </c>
      <c r="J135" s="3">
        <v>4</v>
      </c>
      <c r="K135" s="3" t="s">
        <v>218</v>
      </c>
      <c r="L135" s="3">
        <f>IF(K135&gt;0,VLOOKUP(K135,IF({1,0},Fish!$N:$N,Fish!$D:$D),2,FALSE),"")</f>
        <v>11011</v>
      </c>
      <c r="M135" s="3">
        <v>0</v>
      </c>
      <c r="N135" s="3">
        <v>1</v>
      </c>
      <c r="O135" s="3">
        <v>2</v>
      </c>
      <c r="P135" s="3">
        <v>3</v>
      </c>
      <c r="Q135" s="3" t="s">
        <v>220</v>
      </c>
      <c r="R135" s="3">
        <f>IF(Q135&gt;0,VLOOKUP(Q135,IF({1,0},Fish!$N:$N,Fish!$D:$D),2,FALSE),"")</f>
        <v>11012</v>
      </c>
      <c r="S135" s="3">
        <v>0</v>
      </c>
      <c r="T135" s="3">
        <v>1</v>
      </c>
      <c r="U135" s="3">
        <v>1</v>
      </c>
      <c r="V135" s="3">
        <v>2</v>
      </c>
      <c r="W135" s="3" t="s">
        <v>242</v>
      </c>
      <c r="X135" s="3">
        <f>IF(W135&gt;0,VLOOKUP(W135,IF({1,0},Fish!$N:$N,Fish!$D:$D),2,FALSE),"")</f>
        <v>11020</v>
      </c>
      <c r="Y135" s="3">
        <v>0</v>
      </c>
      <c r="Z135" s="3">
        <v>1</v>
      </c>
      <c r="AA135" s="3">
        <v>1</v>
      </c>
      <c r="AB135" s="3">
        <v>2</v>
      </c>
      <c r="AC135" s="3" t="s">
        <v>222</v>
      </c>
      <c r="AD135" s="3">
        <f>IF(AC135&gt;0,VLOOKUP(AC135,IF({1,0},Fish!$N:$N,Fish!$D:$D),2,FALSE),"")</f>
        <v>11013</v>
      </c>
      <c r="AE135" s="3">
        <v>0</v>
      </c>
      <c r="AF135" s="3">
        <v>1</v>
      </c>
      <c r="AG135" s="3">
        <v>1</v>
      </c>
      <c r="AH135" s="3">
        <v>1</v>
      </c>
    </row>
    <row r="136" spans="1:34">
      <c r="A136" s="3">
        <v>44412</v>
      </c>
      <c r="B136" s="3">
        <v>1</v>
      </c>
      <c r="C136" s="3">
        <v>2</v>
      </c>
      <c r="D136" s="3">
        <v>1</v>
      </c>
      <c r="E136" s="3" t="s">
        <v>210</v>
      </c>
      <c r="F136" s="3">
        <f>IF(E136&gt;0,VLOOKUP(E136,IF({1,0},Fish!$N:$N,Fish!$D:$D),2,FALSE),"")</f>
        <v>11009</v>
      </c>
      <c r="G136" s="3">
        <v>0</v>
      </c>
      <c r="H136" s="3">
        <v>1</v>
      </c>
      <c r="I136" s="3">
        <v>2</v>
      </c>
      <c r="J136" s="3">
        <v>4</v>
      </c>
      <c r="K136" s="3" t="s">
        <v>218</v>
      </c>
      <c r="L136" s="3">
        <f>IF(K136&gt;0,VLOOKUP(K136,IF({1,0},Fish!$N:$N,Fish!$D:$D),2,FALSE),"")</f>
        <v>11011</v>
      </c>
      <c r="M136" s="3">
        <v>0</v>
      </c>
      <c r="N136" s="3">
        <v>1</v>
      </c>
      <c r="O136" s="3">
        <v>2</v>
      </c>
      <c r="P136" s="3">
        <v>3</v>
      </c>
      <c r="Q136" s="3" t="s">
        <v>220</v>
      </c>
      <c r="R136" s="3">
        <f>IF(Q136&gt;0,VLOOKUP(Q136,IF({1,0},Fish!$N:$N,Fish!$D:$D),2,FALSE),"")</f>
        <v>11012</v>
      </c>
      <c r="S136" s="3">
        <v>0</v>
      </c>
      <c r="T136" s="3">
        <v>1</v>
      </c>
      <c r="U136" s="3">
        <v>1</v>
      </c>
      <c r="V136" s="3">
        <v>2</v>
      </c>
      <c r="W136" s="3" t="s">
        <v>242</v>
      </c>
      <c r="X136" s="3">
        <f>IF(W136&gt;0,VLOOKUP(W136,IF({1,0},Fish!$N:$N,Fish!$D:$D),2,FALSE),"")</f>
        <v>11020</v>
      </c>
      <c r="Y136" s="3">
        <v>0</v>
      </c>
      <c r="Z136" s="3">
        <v>1</v>
      </c>
      <c r="AA136" s="3">
        <v>1</v>
      </c>
      <c r="AB136" s="3">
        <v>2</v>
      </c>
      <c r="AC136" s="3" t="s">
        <v>230</v>
      </c>
      <c r="AD136" s="3">
        <f>IF(AC136&gt;0,VLOOKUP(AC136,IF({1,0},Fish!$N:$N,Fish!$D:$D),2,FALSE),"")</f>
        <v>11016</v>
      </c>
      <c r="AE136" s="3">
        <v>0</v>
      </c>
      <c r="AF136" s="3">
        <v>1</v>
      </c>
      <c r="AG136" s="3">
        <v>1</v>
      </c>
      <c r="AH136" s="3">
        <v>1</v>
      </c>
    </row>
    <row r="137" spans="1:34">
      <c r="A137" s="3">
        <v>44412</v>
      </c>
      <c r="B137" s="3">
        <v>1</v>
      </c>
      <c r="C137" s="3">
        <v>2</v>
      </c>
      <c r="D137" s="3">
        <v>1</v>
      </c>
      <c r="E137" s="3" t="s">
        <v>210</v>
      </c>
      <c r="F137" s="3">
        <f>IF(E137&gt;0,VLOOKUP(E137,IF({1,0},Fish!$N:$N,Fish!$D:$D),2,FALSE),"")</f>
        <v>11009</v>
      </c>
      <c r="G137" s="3">
        <v>0</v>
      </c>
      <c r="H137" s="3">
        <v>1</v>
      </c>
      <c r="I137" s="3">
        <v>2</v>
      </c>
      <c r="J137" s="3">
        <v>4</v>
      </c>
      <c r="K137" s="3" t="s">
        <v>216</v>
      </c>
      <c r="L137" s="3">
        <f>IF(K137&gt;0,VLOOKUP(K137,IF({1,0},Fish!$N:$N,Fish!$D:$D),2,FALSE),"")</f>
        <v>11010</v>
      </c>
      <c r="M137" s="3">
        <v>0</v>
      </c>
      <c r="N137" s="3">
        <v>1</v>
      </c>
      <c r="O137" s="3">
        <v>2</v>
      </c>
      <c r="P137" s="3">
        <v>3</v>
      </c>
      <c r="Q137" s="3" t="s">
        <v>232</v>
      </c>
      <c r="R137" s="3">
        <f>IF(Q137&gt;0,VLOOKUP(Q137,IF({1,0},Fish!$N:$N,Fish!$D:$D),2,FALSE),"")</f>
        <v>11017</v>
      </c>
      <c r="S137" s="3">
        <v>0</v>
      </c>
      <c r="T137" s="3">
        <v>1</v>
      </c>
      <c r="U137" s="3">
        <v>1</v>
      </c>
      <c r="V137" s="3">
        <v>2</v>
      </c>
      <c r="W137" s="3" t="s">
        <v>228</v>
      </c>
      <c r="X137" s="3">
        <f>IF(W137&gt;0,VLOOKUP(W137,IF({1,0},Fish!$N:$N,Fish!$D:$D),2,FALSE),"")</f>
        <v>11015</v>
      </c>
      <c r="Y137" s="3">
        <v>0</v>
      </c>
      <c r="Z137" s="3">
        <v>1</v>
      </c>
      <c r="AA137" s="3">
        <v>1</v>
      </c>
      <c r="AB137" s="3">
        <v>2</v>
      </c>
      <c r="AC137" s="3" t="s">
        <v>222</v>
      </c>
      <c r="AD137" s="3">
        <f>IF(AC137&gt;0,VLOOKUP(AC137,IF({1,0},Fish!$N:$N,Fish!$D:$D),2,FALSE),"")</f>
        <v>11013</v>
      </c>
      <c r="AE137" s="3">
        <v>0</v>
      </c>
      <c r="AF137" s="3">
        <v>1</v>
      </c>
      <c r="AG137" s="3">
        <v>1</v>
      </c>
      <c r="AH137" s="3">
        <v>1</v>
      </c>
    </row>
    <row r="138" spans="1:34">
      <c r="A138" s="3">
        <v>44412</v>
      </c>
      <c r="B138" s="3">
        <v>1</v>
      </c>
      <c r="C138" s="3">
        <v>2</v>
      </c>
      <c r="D138" s="3">
        <v>1</v>
      </c>
      <c r="E138" s="3" t="s">
        <v>210</v>
      </c>
      <c r="F138" s="3">
        <f>IF(E138&gt;0,VLOOKUP(E138,IF({1,0},Fish!$N:$N,Fish!$D:$D),2,FALSE),"")</f>
        <v>11009</v>
      </c>
      <c r="G138" s="3">
        <v>0</v>
      </c>
      <c r="H138" s="3">
        <v>1</v>
      </c>
      <c r="I138" s="3">
        <v>2</v>
      </c>
      <c r="J138" s="3">
        <v>4</v>
      </c>
      <c r="K138" s="3" t="s">
        <v>216</v>
      </c>
      <c r="L138" s="3">
        <f>IF(K138&gt;0,VLOOKUP(K138,IF({1,0},Fish!$N:$N,Fish!$D:$D),2,FALSE),"")</f>
        <v>11010</v>
      </c>
      <c r="M138" s="3">
        <v>0</v>
      </c>
      <c r="N138" s="3">
        <v>1</v>
      </c>
      <c r="O138" s="3">
        <v>2</v>
      </c>
      <c r="P138" s="3">
        <v>3</v>
      </c>
      <c r="Q138" s="3" t="s">
        <v>232</v>
      </c>
      <c r="R138" s="3">
        <f>IF(Q138&gt;0,VLOOKUP(Q138,IF({1,0},Fish!$N:$N,Fish!$D:$D),2,FALSE),"")</f>
        <v>11017</v>
      </c>
      <c r="S138" s="3">
        <v>0</v>
      </c>
      <c r="T138" s="3">
        <v>1</v>
      </c>
      <c r="U138" s="3">
        <v>1</v>
      </c>
      <c r="V138" s="3">
        <v>2</v>
      </c>
      <c r="W138" s="3" t="s">
        <v>228</v>
      </c>
      <c r="X138" s="3">
        <f>IF(W138&gt;0,VLOOKUP(W138,IF({1,0},Fish!$N:$N,Fish!$D:$D),2,FALSE),"")</f>
        <v>11015</v>
      </c>
      <c r="Y138" s="3">
        <v>0</v>
      </c>
      <c r="Z138" s="3">
        <v>1</v>
      </c>
      <c r="AA138" s="3">
        <v>1</v>
      </c>
      <c r="AB138" s="3">
        <v>2</v>
      </c>
      <c r="AC138" s="3" t="s">
        <v>230</v>
      </c>
      <c r="AD138" s="3">
        <f>IF(AC138&gt;0,VLOOKUP(AC138,IF({1,0},Fish!$N:$N,Fish!$D:$D),2,FALSE),"")</f>
        <v>11016</v>
      </c>
      <c r="AE138" s="3">
        <v>0</v>
      </c>
      <c r="AF138" s="3">
        <v>1</v>
      </c>
      <c r="AG138" s="3">
        <v>1</v>
      </c>
      <c r="AH138" s="3">
        <v>1</v>
      </c>
    </row>
    <row r="139" spans="1:34">
      <c r="A139" s="3">
        <v>44412</v>
      </c>
      <c r="B139" s="3">
        <v>1</v>
      </c>
      <c r="C139" s="3">
        <v>2</v>
      </c>
      <c r="D139" s="3">
        <v>1</v>
      </c>
      <c r="E139" s="3" t="s">
        <v>210</v>
      </c>
      <c r="F139" s="3">
        <f>IF(E139&gt;0,VLOOKUP(E139,IF({1,0},Fish!$N:$N,Fish!$D:$D),2,FALSE),"")</f>
        <v>11009</v>
      </c>
      <c r="G139" s="3">
        <v>0</v>
      </c>
      <c r="H139" s="3">
        <v>1</v>
      </c>
      <c r="I139" s="3">
        <v>2</v>
      </c>
      <c r="J139" s="3">
        <v>4</v>
      </c>
      <c r="K139" s="3" t="s">
        <v>216</v>
      </c>
      <c r="L139" s="3">
        <f>IF(K139&gt;0,VLOOKUP(K139,IF({1,0},Fish!$N:$N,Fish!$D:$D),2,FALSE),"")</f>
        <v>11010</v>
      </c>
      <c r="M139" s="3">
        <v>0</v>
      </c>
      <c r="N139" s="3">
        <v>1</v>
      </c>
      <c r="O139" s="3">
        <v>2</v>
      </c>
      <c r="P139" s="3">
        <v>3</v>
      </c>
      <c r="Q139" s="3" t="s">
        <v>232</v>
      </c>
      <c r="R139" s="3">
        <f>IF(Q139&gt;0,VLOOKUP(Q139,IF({1,0},Fish!$N:$N,Fish!$D:$D),2,FALSE),"")</f>
        <v>11017</v>
      </c>
      <c r="S139" s="3">
        <v>0</v>
      </c>
      <c r="T139" s="3">
        <v>1</v>
      </c>
      <c r="U139" s="3">
        <v>1</v>
      </c>
      <c r="V139" s="3">
        <v>2</v>
      </c>
      <c r="W139" s="3" t="s">
        <v>242</v>
      </c>
      <c r="X139" s="3">
        <f>IF(W139&gt;0,VLOOKUP(W139,IF({1,0},Fish!$N:$N,Fish!$D:$D),2,FALSE),"")</f>
        <v>11020</v>
      </c>
      <c r="Y139" s="3">
        <v>0</v>
      </c>
      <c r="Z139" s="3">
        <v>1</v>
      </c>
      <c r="AA139" s="3">
        <v>1</v>
      </c>
      <c r="AB139" s="3">
        <v>2</v>
      </c>
      <c r="AC139" s="3" t="s">
        <v>222</v>
      </c>
      <c r="AD139" s="3">
        <f>IF(AC139&gt;0,VLOOKUP(AC139,IF({1,0},Fish!$N:$N,Fish!$D:$D),2,FALSE),"")</f>
        <v>11013</v>
      </c>
      <c r="AE139" s="3">
        <v>0</v>
      </c>
      <c r="AF139" s="3">
        <v>1</v>
      </c>
      <c r="AG139" s="3">
        <v>1</v>
      </c>
      <c r="AH139" s="3">
        <v>1</v>
      </c>
    </row>
    <row r="140" spans="1:34">
      <c r="A140" s="3">
        <v>44412</v>
      </c>
      <c r="B140" s="3">
        <v>1</v>
      </c>
      <c r="C140" s="3">
        <v>2</v>
      </c>
      <c r="D140" s="3">
        <v>1</v>
      </c>
      <c r="E140" s="3" t="s">
        <v>210</v>
      </c>
      <c r="F140" s="3">
        <f>IF(E140&gt;0,VLOOKUP(E140,IF({1,0},Fish!$N:$N,Fish!$D:$D),2,FALSE),"")</f>
        <v>11009</v>
      </c>
      <c r="G140" s="3">
        <v>0</v>
      </c>
      <c r="H140" s="3">
        <v>1</v>
      </c>
      <c r="I140" s="3">
        <v>2</v>
      </c>
      <c r="J140" s="3">
        <v>4</v>
      </c>
      <c r="K140" s="3" t="s">
        <v>216</v>
      </c>
      <c r="L140" s="3">
        <f>IF(K140&gt;0,VLOOKUP(K140,IF({1,0},Fish!$N:$N,Fish!$D:$D),2,FALSE),"")</f>
        <v>11010</v>
      </c>
      <c r="M140" s="3">
        <v>0</v>
      </c>
      <c r="N140" s="3">
        <v>1</v>
      </c>
      <c r="O140" s="3">
        <v>2</v>
      </c>
      <c r="P140" s="3">
        <v>3</v>
      </c>
      <c r="Q140" s="3" t="s">
        <v>232</v>
      </c>
      <c r="R140" s="3">
        <f>IF(Q140&gt;0,VLOOKUP(Q140,IF({1,0},Fish!$N:$N,Fish!$D:$D),2,FALSE),"")</f>
        <v>11017</v>
      </c>
      <c r="S140" s="3">
        <v>0</v>
      </c>
      <c r="T140" s="3">
        <v>1</v>
      </c>
      <c r="U140" s="3">
        <v>1</v>
      </c>
      <c r="V140" s="3">
        <v>2</v>
      </c>
      <c r="W140" s="3" t="s">
        <v>242</v>
      </c>
      <c r="X140" s="3">
        <f>IF(W140&gt;0,VLOOKUP(W140,IF({1,0},Fish!$N:$N,Fish!$D:$D),2,FALSE),"")</f>
        <v>11020</v>
      </c>
      <c r="Y140" s="3">
        <v>0</v>
      </c>
      <c r="Z140" s="3">
        <v>1</v>
      </c>
      <c r="AA140" s="3">
        <v>1</v>
      </c>
      <c r="AB140" s="3">
        <v>2</v>
      </c>
      <c r="AC140" s="3" t="s">
        <v>230</v>
      </c>
      <c r="AD140" s="3">
        <f>IF(AC140&gt;0,VLOOKUP(AC140,IF({1,0},Fish!$N:$N,Fish!$D:$D),2,FALSE),"")</f>
        <v>11016</v>
      </c>
      <c r="AE140" s="3">
        <v>0</v>
      </c>
      <c r="AF140" s="3">
        <v>1</v>
      </c>
      <c r="AG140" s="3">
        <v>1</v>
      </c>
      <c r="AH140" s="3">
        <v>1</v>
      </c>
    </row>
    <row r="141" spans="1:34">
      <c r="A141" s="3">
        <v>44412</v>
      </c>
      <c r="B141" s="3">
        <v>1</v>
      </c>
      <c r="C141" s="3">
        <v>2</v>
      </c>
      <c r="D141" s="3">
        <v>1</v>
      </c>
      <c r="E141" s="3" t="s">
        <v>210</v>
      </c>
      <c r="F141" s="3">
        <f>IF(E141&gt;0,VLOOKUP(E141,IF({1,0},Fish!$N:$N,Fish!$D:$D),2,FALSE),"")</f>
        <v>11009</v>
      </c>
      <c r="G141" s="3">
        <v>0</v>
      </c>
      <c r="H141" s="3">
        <v>1</v>
      </c>
      <c r="I141" s="3">
        <v>2</v>
      </c>
      <c r="J141" s="3">
        <v>4</v>
      </c>
      <c r="K141" s="3" t="s">
        <v>216</v>
      </c>
      <c r="L141" s="3">
        <f>IF(K141&gt;0,VLOOKUP(K141,IF({1,0},Fish!$N:$N,Fish!$D:$D),2,FALSE),"")</f>
        <v>11010</v>
      </c>
      <c r="M141" s="3">
        <v>0</v>
      </c>
      <c r="N141" s="3">
        <v>1</v>
      </c>
      <c r="O141" s="3">
        <v>2</v>
      </c>
      <c r="P141" s="3">
        <v>3</v>
      </c>
      <c r="Q141" s="3" t="s">
        <v>220</v>
      </c>
      <c r="R141" s="3">
        <f>IF(Q141&gt;0,VLOOKUP(Q141,IF({1,0},Fish!$N:$N,Fish!$D:$D),2,FALSE),"")</f>
        <v>11012</v>
      </c>
      <c r="S141" s="3">
        <v>0</v>
      </c>
      <c r="T141" s="3">
        <v>1</v>
      </c>
      <c r="U141" s="3">
        <v>1</v>
      </c>
      <c r="V141" s="3">
        <v>2</v>
      </c>
      <c r="W141" s="3" t="s">
        <v>228</v>
      </c>
      <c r="X141" s="3">
        <f>IF(W141&gt;0,VLOOKUP(W141,IF({1,0},Fish!$N:$N,Fish!$D:$D),2,FALSE),"")</f>
        <v>11015</v>
      </c>
      <c r="Y141" s="3">
        <v>0</v>
      </c>
      <c r="Z141" s="3">
        <v>1</v>
      </c>
      <c r="AA141" s="3">
        <v>1</v>
      </c>
      <c r="AB141" s="3">
        <v>2</v>
      </c>
      <c r="AC141" s="3" t="s">
        <v>222</v>
      </c>
      <c r="AD141" s="3">
        <f>IF(AC141&gt;0,VLOOKUP(AC141,IF({1,0},Fish!$N:$N,Fish!$D:$D),2,FALSE),"")</f>
        <v>11013</v>
      </c>
      <c r="AE141" s="3">
        <v>0</v>
      </c>
      <c r="AF141" s="3">
        <v>1</v>
      </c>
      <c r="AG141" s="3">
        <v>1</v>
      </c>
      <c r="AH141" s="3">
        <v>1</v>
      </c>
    </row>
    <row r="142" spans="1:34">
      <c r="A142" s="3">
        <v>44412</v>
      </c>
      <c r="B142" s="3">
        <v>1</v>
      </c>
      <c r="C142" s="3">
        <v>2</v>
      </c>
      <c r="D142" s="3">
        <v>1</v>
      </c>
      <c r="E142" s="3" t="s">
        <v>210</v>
      </c>
      <c r="F142" s="3">
        <f>IF(E142&gt;0,VLOOKUP(E142,IF({1,0},Fish!$N:$N,Fish!$D:$D),2,FALSE),"")</f>
        <v>11009</v>
      </c>
      <c r="G142" s="3">
        <v>0</v>
      </c>
      <c r="H142" s="3">
        <v>1</v>
      </c>
      <c r="I142" s="3">
        <v>2</v>
      </c>
      <c r="J142" s="3">
        <v>4</v>
      </c>
      <c r="K142" s="3" t="s">
        <v>216</v>
      </c>
      <c r="L142" s="3">
        <f>IF(K142&gt;0,VLOOKUP(K142,IF({1,0},Fish!$N:$N,Fish!$D:$D),2,FALSE),"")</f>
        <v>11010</v>
      </c>
      <c r="M142" s="3">
        <v>0</v>
      </c>
      <c r="N142" s="3">
        <v>1</v>
      </c>
      <c r="O142" s="3">
        <v>2</v>
      </c>
      <c r="P142" s="3">
        <v>3</v>
      </c>
      <c r="Q142" s="3" t="s">
        <v>220</v>
      </c>
      <c r="R142" s="3">
        <f>IF(Q142&gt;0,VLOOKUP(Q142,IF({1,0},Fish!$N:$N,Fish!$D:$D),2,FALSE),"")</f>
        <v>11012</v>
      </c>
      <c r="S142" s="3">
        <v>0</v>
      </c>
      <c r="T142" s="3">
        <v>1</v>
      </c>
      <c r="U142" s="3">
        <v>1</v>
      </c>
      <c r="V142" s="3">
        <v>2</v>
      </c>
      <c r="W142" s="3" t="s">
        <v>228</v>
      </c>
      <c r="X142" s="3">
        <f>IF(W142&gt;0,VLOOKUP(W142,IF({1,0},Fish!$N:$N,Fish!$D:$D),2,FALSE),"")</f>
        <v>11015</v>
      </c>
      <c r="Y142" s="3">
        <v>0</v>
      </c>
      <c r="Z142" s="3">
        <v>1</v>
      </c>
      <c r="AA142" s="3">
        <v>1</v>
      </c>
      <c r="AB142" s="3">
        <v>2</v>
      </c>
      <c r="AC142" s="3" t="s">
        <v>230</v>
      </c>
      <c r="AD142" s="3">
        <f>IF(AC142&gt;0,VLOOKUP(AC142,IF({1,0},Fish!$N:$N,Fish!$D:$D),2,FALSE),"")</f>
        <v>11016</v>
      </c>
      <c r="AE142" s="3">
        <v>0</v>
      </c>
      <c r="AF142" s="3">
        <v>1</v>
      </c>
      <c r="AG142" s="3">
        <v>1</v>
      </c>
      <c r="AH142" s="3">
        <v>1</v>
      </c>
    </row>
    <row r="143" spans="1:34">
      <c r="A143" s="3">
        <v>44412</v>
      </c>
      <c r="B143" s="3">
        <v>1</v>
      </c>
      <c r="C143" s="3">
        <v>2</v>
      </c>
      <c r="D143" s="3">
        <v>1</v>
      </c>
      <c r="E143" s="3" t="s">
        <v>210</v>
      </c>
      <c r="F143" s="3">
        <f>IF(E143&gt;0,VLOOKUP(E143,IF({1,0},Fish!$N:$N,Fish!$D:$D),2,FALSE),"")</f>
        <v>11009</v>
      </c>
      <c r="G143" s="3">
        <v>0</v>
      </c>
      <c r="H143" s="3">
        <v>1</v>
      </c>
      <c r="I143" s="3">
        <v>2</v>
      </c>
      <c r="J143" s="3">
        <v>4</v>
      </c>
      <c r="K143" s="3" t="s">
        <v>216</v>
      </c>
      <c r="L143" s="3">
        <f>IF(K143&gt;0,VLOOKUP(K143,IF({1,0},Fish!$N:$N,Fish!$D:$D),2,FALSE),"")</f>
        <v>11010</v>
      </c>
      <c r="M143" s="3">
        <v>0</v>
      </c>
      <c r="N143" s="3">
        <v>1</v>
      </c>
      <c r="O143" s="3">
        <v>2</v>
      </c>
      <c r="P143" s="3">
        <v>3</v>
      </c>
      <c r="Q143" s="3" t="s">
        <v>220</v>
      </c>
      <c r="R143" s="3">
        <f>IF(Q143&gt;0,VLOOKUP(Q143,IF({1,0},Fish!$N:$N,Fish!$D:$D),2,FALSE),"")</f>
        <v>11012</v>
      </c>
      <c r="S143" s="3">
        <v>0</v>
      </c>
      <c r="T143" s="3">
        <v>1</v>
      </c>
      <c r="U143" s="3">
        <v>1</v>
      </c>
      <c r="V143" s="3">
        <v>2</v>
      </c>
      <c r="W143" s="3" t="s">
        <v>242</v>
      </c>
      <c r="X143" s="3">
        <f>IF(W143&gt;0,VLOOKUP(W143,IF({1,0},Fish!$N:$N,Fish!$D:$D),2,FALSE),"")</f>
        <v>11020</v>
      </c>
      <c r="Y143" s="3">
        <v>0</v>
      </c>
      <c r="Z143" s="3">
        <v>1</v>
      </c>
      <c r="AA143" s="3">
        <v>1</v>
      </c>
      <c r="AB143" s="3">
        <v>2</v>
      </c>
      <c r="AC143" s="3" t="s">
        <v>222</v>
      </c>
      <c r="AD143" s="3">
        <f>IF(AC143&gt;0,VLOOKUP(AC143,IF({1,0},Fish!$N:$N,Fish!$D:$D),2,FALSE),"")</f>
        <v>11013</v>
      </c>
      <c r="AE143" s="3">
        <v>0</v>
      </c>
      <c r="AF143" s="3">
        <v>1</v>
      </c>
      <c r="AG143" s="3">
        <v>1</v>
      </c>
      <c r="AH143" s="3">
        <v>1</v>
      </c>
    </row>
    <row r="144" spans="1:34">
      <c r="A144" s="3">
        <v>44412</v>
      </c>
      <c r="B144" s="3">
        <v>1</v>
      </c>
      <c r="C144" s="3">
        <v>2</v>
      </c>
      <c r="D144" s="3">
        <v>1</v>
      </c>
      <c r="E144" s="3" t="s">
        <v>210</v>
      </c>
      <c r="F144" s="3">
        <f>IF(E144&gt;0,VLOOKUP(E144,IF({1,0},Fish!$N:$N,Fish!$D:$D),2,FALSE),"")</f>
        <v>11009</v>
      </c>
      <c r="G144" s="3">
        <v>0</v>
      </c>
      <c r="H144" s="3">
        <v>1</v>
      </c>
      <c r="I144" s="3">
        <v>2</v>
      </c>
      <c r="J144" s="3">
        <v>4</v>
      </c>
      <c r="K144" s="3" t="s">
        <v>216</v>
      </c>
      <c r="L144" s="3">
        <f>IF(K144&gt;0,VLOOKUP(K144,IF({1,0},Fish!$N:$N,Fish!$D:$D),2,FALSE),"")</f>
        <v>11010</v>
      </c>
      <c r="M144" s="3">
        <v>0</v>
      </c>
      <c r="N144" s="3">
        <v>1</v>
      </c>
      <c r="O144" s="3">
        <v>2</v>
      </c>
      <c r="P144" s="3">
        <v>3</v>
      </c>
      <c r="Q144" s="3" t="s">
        <v>220</v>
      </c>
      <c r="R144" s="3">
        <f>IF(Q144&gt;0,VLOOKUP(Q144,IF({1,0},Fish!$N:$N,Fish!$D:$D),2,FALSE),"")</f>
        <v>11012</v>
      </c>
      <c r="S144" s="3">
        <v>0</v>
      </c>
      <c r="T144" s="3">
        <v>1</v>
      </c>
      <c r="U144" s="3">
        <v>1</v>
      </c>
      <c r="V144" s="3">
        <v>2</v>
      </c>
      <c r="W144" s="3" t="s">
        <v>242</v>
      </c>
      <c r="X144" s="3">
        <f>IF(W144&gt;0,VLOOKUP(W144,IF({1,0},Fish!$N:$N,Fish!$D:$D),2,FALSE),"")</f>
        <v>11020</v>
      </c>
      <c r="Y144" s="3">
        <v>0</v>
      </c>
      <c r="Z144" s="3">
        <v>1</v>
      </c>
      <c r="AA144" s="3">
        <v>1</v>
      </c>
      <c r="AB144" s="3">
        <v>2</v>
      </c>
      <c r="AC144" s="3" t="s">
        <v>230</v>
      </c>
      <c r="AD144" s="3">
        <f>IF(AC144&gt;0,VLOOKUP(AC144,IF({1,0},Fish!$N:$N,Fish!$D:$D),2,FALSE),"")</f>
        <v>11016</v>
      </c>
      <c r="AE144" s="3">
        <v>0</v>
      </c>
      <c r="AF144" s="3">
        <v>1</v>
      </c>
      <c r="AG144" s="3">
        <v>1</v>
      </c>
      <c r="AH144" s="3">
        <v>1</v>
      </c>
    </row>
    <row r="145" spans="1:30">
      <c r="A145" s="3">
        <v>44412</v>
      </c>
      <c r="B145" s="3">
        <v>1</v>
      </c>
      <c r="C145" s="3">
        <v>3</v>
      </c>
      <c r="D145" s="3">
        <v>2</v>
      </c>
      <c r="E145" s="3" t="s">
        <v>256</v>
      </c>
      <c r="F145" s="3">
        <f>IF(E145&gt;0,VLOOKUP(E145,IF({1,0},Fish!$N:$N,Fish!$D:$D),2,FALSE),"")</f>
        <v>11090</v>
      </c>
      <c r="G145" s="3">
        <v>55000</v>
      </c>
      <c r="H145" s="3">
        <v>1</v>
      </c>
      <c r="I145" s="3">
        <v>3</v>
      </c>
      <c r="J145" s="3">
        <v>5</v>
      </c>
      <c r="K145" s="3" t="s">
        <v>254</v>
      </c>
      <c r="L145" s="3">
        <f>IF(K145&gt;0,VLOOKUP(K145,IF({1,0},Fish!$N:$N,Fish!$D:$D),2,FALSE),"")</f>
        <v>11024</v>
      </c>
      <c r="M145" s="3">
        <v>45000</v>
      </c>
      <c r="N145" s="3">
        <v>1</v>
      </c>
      <c r="O145" s="3">
        <v>3</v>
      </c>
      <c r="P145" s="3">
        <v>5</v>
      </c>
      <c r="R145" s="3" t="str">
        <f>IF(Q145&gt;0,VLOOKUP(Q145,IF({1,0},Fish!$N:$N,Fish!$D:$D),2,FALSE),"")</f>
        <v/>
      </c>
      <c r="X145" s="3" t="str">
        <f>IF(W145&gt;0,VLOOKUP(W145,IF({1,0},Fish!$N:$N,Fish!$D:$D),2,FALSE),"")</f>
        <v/>
      </c>
      <c r="AD145" s="3" t="str">
        <f>IF(AC145&gt;0,VLOOKUP(AC145,IF({1,0},Fish!$N:$N,Fish!$D:$D),2,FALSE),"")</f>
        <v/>
      </c>
    </row>
    <row r="146" spans="1:30">
      <c r="A146" s="3">
        <v>44412</v>
      </c>
      <c r="B146" s="3">
        <v>1</v>
      </c>
      <c r="C146" s="3">
        <v>4</v>
      </c>
      <c r="D146" s="3">
        <v>2</v>
      </c>
      <c r="E146" s="3" t="s">
        <v>238</v>
      </c>
      <c r="F146" s="3">
        <f>IF(E146&gt;0,VLOOKUP(E146,IF({1,0},Fish!$N:$N,Fish!$D:$D),2,FALSE),"")</f>
        <v>11018</v>
      </c>
      <c r="G146" s="3">
        <v>30000</v>
      </c>
      <c r="H146" s="3">
        <v>1</v>
      </c>
      <c r="I146" s="3">
        <v>2</v>
      </c>
      <c r="J146" s="3">
        <v>4</v>
      </c>
      <c r="K146" s="3" t="s">
        <v>565</v>
      </c>
      <c r="L146" s="3">
        <f>IF(K146&gt;0,VLOOKUP(K146,IF({1,0},Fish!$N:$N,Fish!$D:$D),2,FALSE),"")</f>
        <v>11214</v>
      </c>
      <c r="M146" s="3">
        <v>30000</v>
      </c>
      <c r="N146" s="3">
        <v>1</v>
      </c>
      <c r="O146" s="3">
        <v>2</v>
      </c>
      <c r="P146" s="3">
        <v>4</v>
      </c>
      <c r="Q146" s="3" t="s">
        <v>246</v>
      </c>
      <c r="R146" s="3">
        <f>IF(Q146&gt;0,VLOOKUP(Q146,IF({1,0},Fish!$N:$N,Fish!$D:$D),2,FALSE),"")</f>
        <v>11021</v>
      </c>
      <c r="S146" s="3">
        <v>25000</v>
      </c>
      <c r="T146" s="3">
        <v>1</v>
      </c>
      <c r="U146" s="3">
        <v>2</v>
      </c>
      <c r="V146" s="3">
        <v>4</v>
      </c>
      <c r="W146" s="4" t="s">
        <v>240</v>
      </c>
      <c r="X146" s="3">
        <f>IF(W146&gt;0,VLOOKUP(W146,IF({1,0},Fish!$N:$N,Fish!$D:$D),2,FALSE),"")</f>
        <v>11092</v>
      </c>
      <c r="Y146" s="3">
        <v>15000</v>
      </c>
      <c r="Z146" s="3">
        <v>1</v>
      </c>
      <c r="AA146" s="3">
        <v>2</v>
      </c>
      <c r="AB146" s="3">
        <v>4</v>
      </c>
      <c r="AD146" s="3" t="str">
        <f>IF(AC146&gt;0,VLOOKUP(AC146,IF({1,0},Fish!$N:$N,Fish!$D:$D),2,FALSE),"")</f>
        <v/>
      </c>
    </row>
    <row r="147" spans="1:34">
      <c r="A147" s="3">
        <v>44412</v>
      </c>
      <c r="B147" s="3">
        <v>1</v>
      </c>
      <c r="C147" s="3">
        <v>5</v>
      </c>
      <c r="D147" s="3">
        <v>2</v>
      </c>
      <c r="E147" s="3" t="s">
        <v>291</v>
      </c>
      <c r="F147" s="3">
        <f>IF(E147&gt;0,VLOOKUP(E147,IF({1,0},Fish!$N:$N,Fish!$D:$D),2,FALSE),"")</f>
        <v>14009</v>
      </c>
      <c r="G147" s="3">
        <v>30000</v>
      </c>
      <c r="H147" s="3">
        <v>1</v>
      </c>
      <c r="I147" s="3">
        <v>2</v>
      </c>
      <c r="J147" s="3">
        <v>4</v>
      </c>
      <c r="K147" s="3" t="s">
        <v>292</v>
      </c>
      <c r="L147" s="3">
        <f>IF(K147&gt;0,VLOOKUP(K147,IF({1,0},Fish!$N:$N,Fish!$D:$D),2,FALSE),"")</f>
        <v>14011</v>
      </c>
      <c r="M147" s="3">
        <v>28000</v>
      </c>
      <c r="N147" s="3">
        <v>1</v>
      </c>
      <c r="O147" s="3">
        <v>2</v>
      </c>
      <c r="P147" s="3">
        <v>4</v>
      </c>
      <c r="Q147" s="3" t="s">
        <v>294</v>
      </c>
      <c r="R147" s="3">
        <f>IF(Q147&gt;0,VLOOKUP(Q147,IF({1,0},Fish!$N:$N,Fish!$D:$D),2,FALSE),"")</f>
        <v>14015</v>
      </c>
      <c r="S147" s="3">
        <v>20000</v>
      </c>
      <c r="T147" s="3">
        <v>1</v>
      </c>
      <c r="U147" s="3">
        <v>2</v>
      </c>
      <c r="V147" s="3">
        <v>4</v>
      </c>
      <c r="W147" s="3" t="s">
        <v>298</v>
      </c>
      <c r="X147" s="3">
        <f>IF(W147&gt;0,VLOOKUP(W147,IF({1,0},Fish!$N:$N,Fish!$D:$D),2,FALSE),"")</f>
        <v>14020</v>
      </c>
      <c r="Y147" s="3">
        <v>12000</v>
      </c>
      <c r="Z147" s="3">
        <v>1</v>
      </c>
      <c r="AA147" s="3">
        <v>2</v>
      </c>
      <c r="AB147" s="3">
        <v>4</v>
      </c>
      <c r="AC147" s="3" t="s">
        <v>293</v>
      </c>
      <c r="AD147" s="3">
        <f>IF(AC147&gt;0,VLOOKUP(AC147,IF({1,0},Fish!$N:$N,Fish!$D:$D),2,FALSE),"")</f>
        <v>14013</v>
      </c>
      <c r="AE147" s="3">
        <v>10000</v>
      </c>
      <c r="AF147" s="3">
        <v>1</v>
      </c>
      <c r="AG147" s="3">
        <v>2</v>
      </c>
      <c r="AH147" s="3">
        <v>4</v>
      </c>
    </row>
    <row r="187" spans="5:5">
      <c r="E187" s="6"/>
    </row>
  </sheetData>
  <conditionalFormatting sqref="AB34">
    <cfRule type="containsBlanks" dxfId="3" priority="251">
      <formula>LEN(TRIM(AB34))=0</formula>
    </cfRule>
    <cfRule type="containsBlanks" dxfId="3" priority="252">
      <formula>LEN(TRIM(AB34))=0</formula>
    </cfRule>
    <cfRule type="containsBlanks" dxfId="3" priority="253">
      <formula>LEN(TRIM(AB34))=0</formula>
    </cfRule>
    <cfRule type="containsBlanks" dxfId="3" priority="254">
      <formula>LEN(TRIM(AB34))=0</formula>
    </cfRule>
  </conditionalFormatting>
  <conditionalFormatting sqref="B71:N71">
    <cfRule type="containsBlanks" dxfId="3" priority="125">
      <formula>LEN(TRIM(B71))=0</formula>
    </cfRule>
    <cfRule type="containsBlanks" dxfId="3" priority="126">
      <formula>LEN(TRIM(B71))=0</formula>
    </cfRule>
  </conditionalFormatting>
  <conditionalFormatting sqref="AI71:XFD71">
    <cfRule type="containsBlanks" dxfId="3" priority="129">
      <formula>LEN(TRIM(AI71))=0</formula>
    </cfRule>
    <cfRule type="containsBlanks" dxfId="3" priority="130">
      <formula>LEN(TRIM(AI71))=0</formula>
    </cfRule>
  </conditionalFormatting>
  <conditionalFormatting sqref="B72:N72">
    <cfRule type="containsBlanks" dxfId="3" priority="119">
      <formula>LEN(TRIM(B72))=0</formula>
    </cfRule>
    <cfRule type="containsBlanks" dxfId="3" priority="120">
      <formula>LEN(TRIM(B72))=0</formula>
    </cfRule>
  </conditionalFormatting>
  <conditionalFormatting sqref="W72">
    <cfRule type="containsBlanks" dxfId="3" priority="81">
      <formula>LEN(TRIM(W72))=0</formula>
    </cfRule>
    <cfRule type="containsBlanks" dxfId="3" priority="82">
      <formula>LEN(TRIM(W72))=0</formula>
    </cfRule>
  </conditionalFormatting>
  <conditionalFormatting sqref="AI72:XFD72">
    <cfRule type="containsBlanks" dxfId="3" priority="123">
      <formula>LEN(TRIM(AI72))=0</formula>
    </cfRule>
    <cfRule type="containsBlanks" dxfId="3" priority="124">
      <formula>LEN(TRIM(AI72))=0</formula>
    </cfRule>
  </conditionalFormatting>
  <conditionalFormatting sqref="A73">
    <cfRule type="containsBlanks" dxfId="3" priority="105">
      <formula>LEN(TRIM(A73))=0</formula>
    </cfRule>
    <cfRule type="containsBlanks" dxfId="3" priority="106">
      <formula>LEN(TRIM(A73))=0</formula>
    </cfRule>
  </conditionalFormatting>
  <conditionalFormatting sqref="B73:N73">
    <cfRule type="containsBlanks" dxfId="3" priority="107">
      <formula>LEN(TRIM(B73))=0</formula>
    </cfRule>
    <cfRule type="containsBlanks" dxfId="3" priority="108">
      <formula>LEN(TRIM(B73))=0</formula>
    </cfRule>
  </conditionalFormatting>
  <conditionalFormatting sqref="AI73:XFD73">
    <cfRule type="containsBlanks" dxfId="3" priority="115">
      <formula>LEN(TRIM(AI73))=0</formula>
    </cfRule>
    <cfRule type="containsBlanks" dxfId="3" priority="116">
      <formula>LEN(TRIM(AI73))=0</formula>
    </cfRule>
  </conditionalFormatting>
  <conditionalFormatting sqref="AB108">
    <cfRule type="containsBlanks" dxfId="3" priority="71">
      <formula>LEN(TRIM(AB108))=0</formula>
    </cfRule>
    <cfRule type="containsBlanks" dxfId="3" priority="72">
      <formula>LEN(TRIM(AB108))=0</formula>
    </cfRule>
    <cfRule type="containsBlanks" dxfId="3" priority="73">
      <formula>LEN(TRIM(AB108))=0</formula>
    </cfRule>
    <cfRule type="containsBlanks" dxfId="3" priority="74">
      <formula>LEN(TRIM(AB108))=0</formula>
    </cfRule>
  </conditionalFormatting>
  <conditionalFormatting sqref="B145:N145">
    <cfRule type="containsBlanks" dxfId="3" priority="31">
      <formula>LEN(TRIM(B145))=0</formula>
    </cfRule>
    <cfRule type="containsBlanks" dxfId="3" priority="32">
      <formula>LEN(TRIM(B145))=0</formula>
    </cfRule>
  </conditionalFormatting>
  <conditionalFormatting sqref="B146:N146">
    <cfRule type="containsBlanks" dxfId="3" priority="29">
      <formula>LEN(TRIM(B146))=0</formula>
    </cfRule>
    <cfRule type="containsBlanks" dxfId="3" priority="30">
      <formula>LEN(TRIM(B146))=0</formula>
    </cfRule>
  </conditionalFormatting>
  <conditionalFormatting sqref="W146">
    <cfRule type="containsBlanks" dxfId="3" priority="9">
      <formula>LEN(TRIM(W146))=0</formula>
    </cfRule>
    <cfRule type="containsBlanks" dxfId="3" priority="10">
      <formula>LEN(TRIM(W146))=0</formula>
    </cfRule>
  </conditionalFormatting>
  <conditionalFormatting sqref="A147">
    <cfRule type="containsBlanks" dxfId="3" priority="23">
      <formula>LEN(TRIM(A147))=0</formula>
    </cfRule>
    <cfRule type="containsBlanks" dxfId="3" priority="24">
      <formula>LEN(TRIM(A147))=0</formula>
    </cfRule>
  </conditionalFormatting>
  <conditionalFormatting sqref="B147:N147">
    <cfRule type="containsBlanks" dxfId="3" priority="25">
      <formula>LEN(TRIM(B147))=0</formula>
    </cfRule>
    <cfRule type="containsBlanks" dxfId="3" priority="26">
      <formula>LEN(TRIM(B147))=0</formula>
    </cfRule>
  </conditionalFormatting>
  <conditionalFormatting sqref="A71:A72">
    <cfRule type="containsBlanks" dxfId="3" priority="117">
      <formula>LEN(TRIM(A71))=0</formula>
    </cfRule>
    <cfRule type="containsBlanks" dxfId="3" priority="118">
      <formula>LEN(TRIM(A71))=0</formula>
    </cfRule>
  </conditionalFormatting>
  <conditionalFormatting sqref="A145:A146">
    <cfRule type="containsBlanks" dxfId="3" priority="27">
      <formula>LEN(TRIM(A145))=0</formula>
    </cfRule>
    <cfRule type="containsBlanks" dxfId="3" priority="28">
      <formula>LEN(TRIM(A145))=0</formula>
    </cfRule>
  </conditionalFormatting>
  <conditionalFormatting sqref="F4:F21">
    <cfRule type="containsBlanks" dxfId="3" priority="291">
      <formula>LEN(TRIM(F4))=0</formula>
    </cfRule>
    <cfRule type="containsBlanks" dxfId="3" priority="292">
      <formula>LEN(TRIM(F4))=0</formula>
    </cfRule>
    <cfRule type="containsBlanks" dxfId="3" priority="293">
      <formula>LEN(TRIM(F4))=0</formula>
    </cfRule>
    <cfRule type="containsBlanks" dxfId="3" priority="294">
      <formula>LEN(TRIM(F4))=0</formula>
    </cfRule>
  </conditionalFormatting>
  <conditionalFormatting sqref="F78:F95">
    <cfRule type="containsBlanks" dxfId="3" priority="75">
      <formula>LEN(TRIM(F78))=0</formula>
    </cfRule>
    <cfRule type="containsBlanks" dxfId="3" priority="76">
      <formula>LEN(TRIM(F78))=0</formula>
    </cfRule>
    <cfRule type="containsBlanks" dxfId="3" priority="77">
      <formula>LEN(TRIM(F78))=0</formula>
    </cfRule>
    <cfRule type="containsBlanks" dxfId="3" priority="78">
      <formula>LEN(TRIM(F78))=0</formula>
    </cfRule>
  </conditionalFormatting>
  <conditionalFormatting sqref="L4:L21">
    <cfRule type="containsBlanks" dxfId="3" priority="195">
      <formula>LEN(TRIM(L4))=0</formula>
    </cfRule>
    <cfRule type="containsBlanks" dxfId="3" priority="196">
      <formula>LEN(TRIM(L4))=0</formula>
    </cfRule>
    <cfRule type="containsBlanks" dxfId="3" priority="197">
      <formula>LEN(TRIM(L4))=0</formula>
    </cfRule>
    <cfRule type="containsBlanks" dxfId="3" priority="198">
      <formula>LEN(TRIM(L4))=0</formula>
    </cfRule>
    <cfRule type="containsBlanks" dxfId="3" priority="199">
      <formula>LEN(TRIM(L4))=0</formula>
    </cfRule>
    <cfRule type="containsBlanks" dxfId="3" priority="200">
      <formula>LEN(TRIM(L4))=0</formula>
    </cfRule>
  </conditionalFormatting>
  <conditionalFormatting sqref="L78:L95">
    <cfRule type="containsBlanks" dxfId="3" priority="63">
      <formula>LEN(TRIM(L78))=0</formula>
    </cfRule>
    <cfRule type="containsBlanks" dxfId="3" priority="64">
      <formula>LEN(TRIM(L78))=0</formula>
    </cfRule>
    <cfRule type="containsBlanks" dxfId="3" priority="65">
      <formula>LEN(TRIM(L78))=0</formula>
    </cfRule>
    <cfRule type="containsBlanks" dxfId="3" priority="66">
      <formula>LEN(TRIM(L78))=0</formula>
    </cfRule>
    <cfRule type="containsBlanks" dxfId="3" priority="67">
      <formula>LEN(TRIM(L78))=0</formula>
    </cfRule>
    <cfRule type="containsBlanks" dxfId="3" priority="68">
      <formula>LEN(TRIM(L78))=0</formula>
    </cfRule>
  </conditionalFormatting>
  <conditionalFormatting sqref="R4:R21">
    <cfRule type="containsBlanks" dxfId="3" priority="187">
      <formula>LEN(TRIM(R4))=0</formula>
    </cfRule>
    <cfRule type="containsBlanks" dxfId="3" priority="188">
      <formula>LEN(TRIM(R4))=0</formula>
    </cfRule>
    <cfRule type="containsBlanks" dxfId="3" priority="189">
      <formula>LEN(TRIM(R4))=0</formula>
    </cfRule>
    <cfRule type="containsBlanks" dxfId="3" priority="190">
      <formula>LEN(TRIM(R4))=0</formula>
    </cfRule>
    <cfRule type="containsBlanks" dxfId="3" priority="191">
      <formula>LEN(TRIM(R4))=0</formula>
    </cfRule>
    <cfRule type="containsBlanks" dxfId="3" priority="192">
      <formula>LEN(TRIM(R4))=0</formula>
    </cfRule>
    <cfRule type="containsBlanks" dxfId="3" priority="193">
      <formula>LEN(TRIM(R4))=0</formula>
    </cfRule>
    <cfRule type="containsBlanks" dxfId="3" priority="194">
      <formula>LEN(TRIM(R4))=0</formula>
    </cfRule>
  </conditionalFormatting>
  <conditionalFormatting sqref="R78:R95">
    <cfRule type="containsBlanks" dxfId="3" priority="55">
      <formula>LEN(TRIM(R78))=0</formula>
    </cfRule>
    <cfRule type="containsBlanks" dxfId="3" priority="56">
      <formula>LEN(TRIM(R78))=0</formula>
    </cfRule>
    <cfRule type="containsBlanks" dxfId="3" priority="57">
      <formula>LEN(TRIM(R78))=0</formula>
    </cfRule>
    <cfRule type="containsBlanks" dxfId="3" priority="58">
      <formula>LEN(TRIM(R78))=0</formula>
    </cfRule>
    <cfRule type="containsBlanks" dxfId="3" priority="59">
      <formula>LEN(TRIM(R78))=0</formula>
    </cfRule>
    <cfRule type="containsBlanks" dxfId="3" priority="60">
      <formula>LEN(TRIM(R78))=0</formula>
    </cfRule>
    <cfRule type="containsBlanks" dxfId="3" priority="61">
      <formula>LEN(TRIM(R78))=0</formula>
    </cfRule>
    <cfRule type="containsBlanks" dxfId="3" priority="62">
      <formula>LEN(TRIM(R78))=0</formula>
    </cfRule>
  </conditionalFormatting>
  <conditionalFormatting sqref="X4:X21">
    <cfRule type="containsBlanks" dxfId="3" priority="175">
      <formula>LEN(TRIM(X4))=0</formula>
    </cfRule>
    <cfRule type="containsBlanks" dxfId="3" priority="176">
      <formula>LEN(TRIM(X4))=0</formula>
    </cfRule>
    <cfRule type="containsBlanks" dxfId="3" priority="177">
      <formula>LEN(TRIM(X4))=0</formula>
    </cfRule>
    <cfRule type="containsBlanks" dxfId="3" priority="178">
      <formula>LEN(TRIM(X4))=0</formula>
    </cfRule>
    <cfRule type="containsBlanks" dxfId="3" priority="179">
      <formula>LEN(TRIM(X4))=0</formula>
    </cfRule>
    <cfRule type="containsBlanks" dxfId="3" priority="180">
      <formula>LEN(TRIM(X4))=0</formula>
    </cfRule>
    <cfRule type="containsBlanks" dxfId="3" priority="181">
      <formula>LEN(TRIM(X4))=0</formula>
    </cfRule>
    <cfRule type="containsBlanks" dxfId="3" priority="182">
      <formula>LEN(TRIM(X4))=0</formula>
    </cfRule>
  </conditionalFormatting>
  <conditionalFormatting sqref="X75:X77">
    <cfRule type="containsBlanks" dxfId="3" priority="5">
      <formula>LEN(TRIM(X75))=0</formula>
    </cfRule>
    <cfRule type="containsBlanks" dxfId="3" priority="6">
      <formula>LEN(TRIM(X75))=0</formula>
    </cfRule>
  </conditionalFormatting>
  <conditionalFormatting sqref="X78:X95">
    <cfRule type="containsBlanks" dxfId="3" priority="45">
      <formula>LEN(TRIM(X78))=0</formula>
    </cfRule>
    <cfRule type="containsBlanks" dxfId="3" priority="46">
      <formula>LEN(TRIM(X78))=0</formula>
    </cfRule>
    <cfRule type="containsBlanks" dxfId="3" priority="47">
      <formula>LEN(TRIM(X78))=0</formula>
    </cfRule>
    <cfRule type="containsBlanks" dxfId="3" priority="48">
      <formula>LEN(TRIM(X78))=0</formula>
    </cfRule>
    <cfRule type="containsBlanks" dxfId="3" priority="49">
      <formula>LEN(TRIM(X78))=0</formula>
    </cfRule>
    <cfRule type="containsBlanks" dxfId="3" priority="50">
      <formula>LEN(TRIM(X78))=0</formula>
    </cfRule>
    <cfRule type="containsBlanks" dxfId="3" priority="51">
      <formula>LEN(TRIM(X78))=0</formula>
    </cfRule>
    <cfRule type="containsBlanks" dxfId="3" priority="52">
      <formula>LEN(TRIM(X78))=0</formula>
    </cfRule>
    <cfRule type="containsBlanks" dxfId="3" priority="53">
      <formula>LEN(TRIM(X78))=0</formula>
    </cfRule>
    <cfRule type="containsBlanks" dxfId="3" priority="54">
      <formula>LEN(TRIM(X78))=0</formula>
    </cfRule>
  </conditionalFormatting>
  <conditionalFormatting sqref="Y39:Y51">
    <cfRule type="containsBlanks" dxfId="3" priority="135">
      <formula>LEN(TRIM(Y39))=0</formula>
    </cfRule>
    <cfRule type="containsBlanks" dxfId="3" priority="136">
      <formula>LEN(TRIM(Y39))=0</formula>
    </cfRule>
  </conditionalFormatting>
  <conditionalFormatting sqref="Y113:Y125">
    <cfRule type="containsBlanks" dxfId="3" priority="37">
      <formula>LEN(TRIM(Y113))=0</formula>
    </cfRule>
    <cfRule type="containsBlanks" dxfId="3" priority="38">
      <formula>LEN(TRIM(Y113))=0</formula>
    </cfRule>
  </conditionalFormatting>
  <conditionalFormatting sqref="AA22:AA38">
    <cfRule type="containsBlanks" dxfId="3" priority="247">
      <formula>LEN(TRIM(AA22))=0</formula>
    </cfRule>
    <cfRule type="containsBlanks" dxfId="3" priority="248">
      <formula>LEN(TRIM(AA22))=0</formula>
    </cfRule>
  </conditionalFormatting>
  <conditionalFormatting sqref="AA96:AA112">
    <cfRule type="containsBlanks" dxfId="3" priority="69">
      <formula>LEN(TRIM(AA96))=0</formula>
    </cfRule>
    <cfRule type="containsBlanks" dxfId="3" priority="70">
      <formula>LEN(TRIM(AA96))=0</formula>
    </cfRule>
  </conditionalFormatting>
  <conditionalFormatting sqref="AD1:AD3">
    <cfRule type="containsBlanks" dxfId="3" priority="141">
      <formula>LEN(TRIM(AD1))=0</formula>
    </cfRule>
    <cfRule type="containsBlanks" dxfId="3" priority="142">
      <formula>LEN(TRIM(AD1))=0</formula>
    </cfRule>
  </conditionalFormatting>
  <conditionalFormatting sqref="AD4:AD51">
    <cfRule type="containsBlanks" dxfId="3" priority="85">
      <formula>LEN(TRIM(AD4))=0</formula>
    </cfRule>
    <cfRule type="containsBlanks" dxfId="3" priority="86">
      <formula>LEN(TRIM(AD4))=0</formula>
    </cfRule>
    <cfRule type="containsBlanks" dxfId="3" priority="87">
      <formula>LEN(TRIM(AD4))=0</formula>
    </cfRule>
    <cfRule type="containsBlanks" dxfId="3" priority="88">
      <formula>LEN(TRIM(AD4))=0</formula>
    </cfRule>
    <cfRule type="containsBlanks" dxfId="3" priority="89">
      <formula>LEN(TRIM(AD4))=0</formula>
    </cfRule>
    <cfRule type="containsBlanks" dxfId="3" priority="90">
      <formula>LEN(TRIM(AD4))=0</formula>
    </cfRule>
    <cfRule type="containsBlanks" dxfId="3" priority="91">
      <formula>LEN(TRIM(AD4))=0</formula>
    </cfRule>
    <cfRule type="containsBlanks" dxfId="3" priority="92">
      <formula>LEN(TRIM(AD4))=0</formula>
    </cfRule>
    <cfRule type="containsBlanks" dxfId="3" priority="93">
      <formula>LEN(TRIM(AD4))=0</formula>
    </cfRule>
    <cfRule type="containsBlanks" dxfId="3" priority="94">
      <formula>LEN(TRIM(AD4))=0</formula>
    </cfRule>
  </conditionalFormatting>
  <conditionalFormatting sqref="AD75:AD77">
    <cfRule type="containsBlanks" dxfId="3" priority="1">
      <formula>LEN(TRIM(AD75))=0</formula>
    </cfRule>
    <cfRule type="containsBlanks" dxfId="3" priority="2">
      <formula>LEN(TRIM(AD75))=0</formula>
    </cfRule>
  </conditionalFormatting>
  <conditionalFormatting sqref="AD78:AD125">
    <cfRule type="containsBlanks" dxfId="3" priority="13">
      <formula>LEN(TRIM(AD78))=0</formula>
    </cfRule>
    <cfRule type="containsBlanks" dxfId="3" priority="14">
      <formula>LEN(TRIM(AD78))=0</formula>
    </cfRule>
    <cfRule type="containsBlanks" dxfId="3" priority="15">
      <formula>LEN(TRIM(AD78))=0</formula>
    </cfRule>
    <cfRule type="containsBlanks" dxfId="3" priority="16">
      <formula>LEN(TRIM(AD78))=0</formula>
    </cfRule>
    <cfRule type="containsBlanks" dxfId="3" priority="17">
      <formula>LEN(TRIM(AD78))=0</formula>
    </cfRule>
    <cfRule type="containsBlanks" dxfId="3" priority="18">
      <formula>LEN(TRIM(AD78))=0</formula>
    </cfRule>
    <cfRule type="containsBlanks" dxfId="3" priority="19">
      <formula>LEN(TRIM(AD78))=0</formula>
    </cfRule>
    <cfRule type="containsBlanks" dxfId="3" priority="20">
      <formula>LEN(TRIM(AD78))=0</formula>
    </cfRule>
    <cfRule type="containsBlanks" dxfId="3" priority="21">
      <formula>LEN(TRIM(AD78))=0</formula>
    </cfRule>
    <cfRule type="containsBlanks" dxfId="3" priority="22">
      <formula>LEN(TRIM(AD78))=0</formula>
    </cfRule>
  </conditionalFormatting>
  <conditionalFormatting sqref="AE39:AE51">
    <cfRule type="containsBlanks" dxfId="3" priority="131">
      <formula>LEN(TRIM(AE39))=0</formula>
    </cfRule>
    <cfRule type="containsBlanks" dxfId="3" priority="132">
      <formula>LEN(TRIM(AE39))=0</formula>
    </cfRule>
    <cfRule type="containsBlanks" dxfId="3" priority="133">
      <formula>LEN(TRIM(AE39))=0</formula>
    </cfRule>
    <cfRule type="containsBlanks" dxfId="3" priority="134">
      <formula>LEN(TRIM(AE39))=0</formula>
    </cfRule>
  </conditionalFormatting>
  <conditionalFormatting sqref="AE113:AE125">
    <cfRule type="containsBlanks" dxfId="3" priority="33">
      <formula>LEN(TRIM(AE113))=0</formula>
    </cfRule>
    <cfRule type="containsBlanks" dxfId="3" priority="34">
      <formula>LEN(TRIM(AE113))=0</formula>
    </cfRule>
    <cfRule type="containsBlanks" dxfId="3" priority="35">
      <formula>LEN(TRIM(AE113))=0</formula>
    </cfRule>
    <cfRule type="containsBlanks" dxfId="3" priority="36">
      <formula>LEN(TRIM(AE113))=0</formula>
    </cfRule>
  </conditionalFormatting>
  <conditionalFormatting sqref="A1:W21 Y1:AB3 AI1:XFD3 Y4:AC21 AE4:XFD38 AB22:AC38 AI39:XFD70 Y74:XFD74 A74:W74 A148:W1048576 Y148:XFD1048576 AI78:XFD147">
    <cfRule type="containsBlanks" dxfId="3" priority="301">
      <formula>LEN(TRIM(A1))=0</formula>
    </cfRule>
    <cfRule type="containsBlanks" dxfId="3" priority="302">
      <formula>LEN(TRIM(A1))=0</formula>
    </cfRule>
  </conditionalFormatting>
  <conditionalFormatting sqref="X1:X21 X74 X148:X1048576">
    <cfRule type="containsBlanks" dxfId="3" priority="185">
      <formula>LEN(TRIM(X1))=0</formula>
    </cfRule>
    <cfRule type="containsBlanks" dxfId="3" priority="186">
      <formula>LEN(TRIM(X1))=0</formula>
    </cfRule>
  </conditionalFormatting>
  <conditionalFormatting sqref="AC1:AC3 AE1:AH3">
    <cfRule type="containsBlanks" dxfId="3" priority="143">
      <formula>LEN(TRIM(AC1))=0</formula>
    </cfRule>
    <cfRule type="containsBlanks" dxfId="3" priority="144">
      <formula>LEN(TRIM(AC1))=0</formula>
    </cfRule>
  </conditionalFormatting>
  <conditionalFormatting sqref="A22:Z34 A35:R51 A52:N70 S35:W38 Y35:Z38 T39:V51 Y39:Y51 X35:X51">
    <cfRule type="containsBlanks" dxfId="3" priority="145">
      <formula>LEN(TRIM(A22))=0</formula>
    </cfRule>
    <cfRule type="containsBlanks" dxfId="3" priority="146">
      <formula>LEN(TRIM(A22))=0</formula>
    </cfRule>
  </conditionalFormatting>
  <conditionalFormatting sqref="S39 S46">
    <cfRule type="containsBlanks" dxfId="3" priority="139">
      <formula>LEN(TRIM(S39))=0</formula>
    </cfRule>
    <cfRule type="containsBlanks" dxfId="3" priority="140">
      <formula>LEN(TRIM(S39))=0</formula>
    </cfRule>
  </conditionalFormatting>
  <conditionalFormatting sqref="S40:S45 S47:S51">
    <cfRule type="containsBlanks" dxfId="3" priority="137">
      <formula>LEN(TRIM(S40))=0</formula>
    </cfRule>
    <cfRule type="containsBlanks" dxfId="3" priority="138">
      <formula>LEN(TRIM(S40))=0</formula>
    </cfRule>
  </conditionalFormatting>
  <conditionalFormatting sqref="O52:AH71 O72:V72 X72:AH72 O73:AH73">
    <cfRule type="containsBlanks" dxfId="3" priority="83">
      <formula>LEN(TRIM(O52))=0</formula>
    </cfRule>
    <cfRule type="containsBlanks" dxfId="3" priority="84">
      <formula>LEN(TRIM(O52))=0</formula>
    </cfRule>
  </conditionalFormatting>
  <conditionalFormatting sqref="A75:W77 AI75:XFD77 Y75:AB77">
    <cfRule type="containsBlanks" dxfId="3" priority="7">
      <formula>LEN(TRIM(A75))=0</formula>
    </cfRule>
    <cfRule type="containsBlanks" dxfId="3" priority="8">
      <formula>LEN(TRIM(A75))=0</formula>
    </cfRule>
  </conditionalFormatting>
  <conditionalFormatting sqref="AC75:AC77 AE75:AH77">
    <cfRule type="containsBlanks" dxfId="3" priority="3">
      <formula>LEN(TRIM(AC75))=0</formula>
    </cfRule>
    <cfRule type="containsBlanks" dxfId="3" priority="4">
      <formula>LEN(TRIM(AC75))=0</formula>
    </cfRule>
  </conditionalFormatting>
  <conditionalFormatting sqref="A78:W95 AB96:AC112 AE78:AH112 Y78:AC95">
    <cfRule type="containsBlanks" dxfId="3" priority="79">
      <formula>LEN(TRIM(A78))=0</formula>
    </cfRule>
    <cfRule type="containsBlanks" dxfId="3" priority="80">
      <formula>LEN(TRIM(A78))=0</formula>
    </cfRule>
  </conditionalFormatting>
  <conditionalFormatting sqref="A96:Z108 X109:X125 Y113:Y125 T113:V125 Y109:Z112 S109:W112 A126:N144 A109:R125">
    <cfRule type="containsBlanks" dxfId="3" priority="43">
      <formula>LEN(TRIM(A96))=0</formula>
    </cfRule>
    <cfRule type="containsBlanks" dxfId="3" priority="44">
      <formula>LEN(TRIM(A96))=0</formula>
    </cfRule>
  </conditionalFormatting>
  <conditionalFormatting sqref="S113 S120">
    <cfRule type="containsBlanks" dxfId="3" priority="41">
      <formula>LEN(TRIM(S113))=0</formula>
    </cfRule>
    <cfRule type="containsBlanks" dxfId="3" priority="42">
      <formula>LEN(TRIM(S113))=0</formula>
    </cfRule>
  </conditionalFormatting>
  <conditionalFormatting sqref="S114:S119 S121:S125">
    <cfRule type="containsBlanks" dxfId="3" priority="39">
      <formula>LEN(TRIM(S114))=0</formula>
    </cfRule>
    <cfRule type="containsBlanks" dxfId="3" priority="40">
      <formula>LEN(TRIM(S114))=0</formula>
    </cfRule>
  </conditionalFormatting>
  <conditionalFormatting sqref="O126:AH145 O147:AH147 X146:AH146 O146:V146">
    <cfRule type="containsBlanks" dxfId="3" priority="11">
      <formula>LEN(TRIM(O126))=0</formula>
    </cfRule>
    <cfRule type="containsBlanks" dxfId="3" priority="12">
      <formula>LEN(TRIM(O126))=0</formula>
    </cfRule>
  </conditionalFormatting>
  <pageMargins left="0.75" right="0.75" top="1" bottom="1" header="0.511805555555556" footer="0.511805555555556"/>
  <headerFooter/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D9"/>
  <sheetViews>
    <sheetView tabSelected="1" workbookViewId="0">
      <selection activeCell="D8" sqref="D8"/>
    </sheetView>
  </sheetViews>
  <sheetFormatPr defaultColWidth="8.8421052631579" defaultRowHeight="15.2" outlineLevelCol="3"/>
  <cols>
    <col min="2" max="2" width="23.7960526315789" customWidth="1"/>
    <col min="3" max="3" width="39.9078947368421" customWidth="1"/>
    <col min="4" max="4" width="89.8026315789474" customWidth="1"/>
  </cols>
  <sheetData>
    <row r="1" ht="17.6" spans="1:4">
      <c r="A1" s="1" t="s">
        <v>1037</v>
      </c>
      <c r="B1" s="1" t="s">
        <v>1038</v>
      </c>
      <c r="C1" s="1" t="s">
        <v>1039</v>
      </c>
      <c r="D1" s="1" t="s">
        <v>1040</v>
      </c>
    </row>
    <row r="2" ht="17.6" spans="1:4">
      <c r="A2" s="1" t="s">
        <v>15</v>
      </c>
      <c r="B2" s="1" t="s">
        <v>15</v>
      </c>
      <c r="C2" s="1" t="s">
        <v>15</v>
      </c>
      <c r="D2" s="1" t="s">
        <v>15</v>
      </c>
    </row>
    <row r="3" ht="17.6" spans="1:4">
      <c r="A3" s="1" t="s">
        <v>1041</v>
      </c>
      <c r="B3" s="2" t="s">
        <v>1042</v>
      </c>
      <c r="C3" s="2" t="s">
        <v>1043</v>
      </c>
      <c r="D3" s="2" t="s">
        <v>1044</v>
      </c>
    </row>
    <row r="4" ht="17.6" spans="1:4">
      <c r="A4" s="2">
        <v>1</v>
      </c>
      <c r="B4" s="1">
        <v>0</v>
      </c>
      <c r="C4" s="1">
        <v>0</v>
      </c>
      <c r="D4" s="1">
        <v>0</v>
      </c>
    </row>
    <row r="5" ht="17.6" spans="1:4">
      <c r="A5" s="1">
        <v>2</v>
      </c>
      <c r="B5" s="2">
        <v>3000</v>
      </c>
      <c r="C5" s="2">
        <v>3500</v>
      </c>
      <c r="D5" s="2">
        <v>3500</v>
      </c>
    </row>
    <row r="6" ht="17.6" spans="1:4">
      <c r="A6" s="2">
        <v>3</v>
      </c>
      <c r="B6" s="1">
        <v>3500</v>
      </c>
      <c r="C6" s="1">
        <v>3500</v>
      </c>
      <c r="D6" s="1">
        <v>3500</v>
      </c>
    </row>
    <row r="7" ht="17.6" spans="1:4">
      <c r="A7" s="1">
        <v>4</v>
      </c>
      <c r="B7" s="2">
        <v>1500</v>
      </c>
      <c r="C7" s="2">
        <v>1500</v>
      </c>
      <c r="D7" s="2">
        <v>1500</v>
      </c>
    </row>
    <row r="8" ht="17.6" spans="1:4">
      <c r="A8" s="2">
        <v>5</v>
      </c>
      <c r="B8" s="1">
        <v>1500</v>
      </c>
      <c r="C8" s="1">
        <v>1000</v>
      </c>
      <c r="D8" s="1">
        <v>1000</v>
      </c>
    </row>
    <row r="9" ht="17.6" spans="1:4">
      <c r="A9" s="1">
        <v>6</v>
      </c>
      <c r="B9" s="2">
        <v>500</v>
      </c>
      <c r="C9" s="2">
        <v>500</v>
      </c>
      <c r="D9" s="2">
        <v>500</v>
      </c>
    </row>
  </sheetData>
  <conditionalFormatting sqref="A3">
    <cfRule type="containsBlanks" dxfId="3" priority="8">
      <formula>LEN(TRIM(A3))=0</formula>
    </cfRule>
    <cfRule type="containsBlanks" dxfId="3" priority="4">
      <formula>LEN(TRIM(A3))=0</formula>
    </cfRule>
  </conditionalFormatting>
  <conditionalFormatting sqref="B4:C4">
    <cfRule type="containsBlanks" dxfId="3" priority="20">
      <formula>LEN(TRIM(B4))=0</formula>
    </cfRule>
    <cfRule type="containsBlanks" dxfId="3" priority="14">
      <formula>LEN(TRIM(B4))=0</formula>
    </cfRule>
  </conditionalFormatting>
  <conditionalFormatting sqref="D4">
    <cfRule type="containsBlanks" dxfId="3" priority="19">
      <formula>LEN(TRIM(D4))=0</formula>
    </cfRule>
    <cfRule type="containsBlanks" dxfId="3" priority="13">
      <formula>LEN(TRIM(D4))=0</formula>
    </cfRule>
  </conditionalFormatting>
  <conditionalFormatting sqref="A5">
    <cfRule type="containsBlanks" dxfId="3" priority="6">
      <formula>LEN(TRIM(A5))=0</formula>
    </cfRule>
    <cfRule type="containsBlanks" dxfId="3" priority="2">
      <formula>LEN(TRIM(A5))=0</formula>
    </cfRule>
  </conditionalFormatting>
  <conditionalFormatting sqref="B6:C6">
    <cfRule type="containsBlanks" dxfId="3" priority="18">
      <formula>LEN(TRIM(B6))=0</formula>
    </cfRule>
    <cfRule type="containsBlanks" dxfId="3" priority="12">
      <formula>LEN(TRIM(B6))=0</formula>
    </cfRule>
  </conditionalFormatting>
  <conditionalFormatting sqref="D6">
    <cfRule type="containsBlanks" dxfId="3" priority="17">
      <formula>LEN(TRIM(D6))=0</formula>
    </cfRule>
    <cfRule type="containsBlanks" dxfId="3" priority="11">
      <formula>LEN(TRIM(D6))=0</formula>
    </cfRule>
  </conditionalFormatting>
  <conditionalFormatting sqref="A7">
    <cfRule type="containsBlanks" dxfId="3" priority="5">
      <formula>LEN(TRIM(A7))=0</formula>
    </cfRule>
    <cfRule type="containsBlanks" dxfId="3" priority="1">
      <formula>LEN(TRIM(A7))=0</formula>
    </cfRule>
  </conditionalFormatting>
  <conditionalFormatting sqref="B8:C8">
    <cfRule type="containsBlanks" dxfId="3" priority="16">
      <formula>LEN(TRIM(B8))=0</formula>
    </cfRule>
    <cfRule type="containsBlanks" dxfId="3" priority="10">
      <formula>LEN(TRIM(B8))=0</formula>
    </cfRule>
  </conditionalFormatting>
  <conditionalFormatting sqref="D8">
    <cfRule type="containsBlanks" dxfId="3" priority="15">
      <formula>LEN(TRIM(D8))=0</formula>
    </cfRule>
    <cfRule type="containsBlanks" dxfId="3" priority="9">
      <formula>LEN(TRIM(D8))=0</formula>
    </cfRule>
  </conditionalFormatting>
  <conditionalFormatting sqref="A9">
    <cfRule type="containsBlanks" dxfId="3" priority="7">
      <formula>LEN(TRIM(A9))=0</formula>
    </cfRule>
    <cfRule type="containsBlanks" dxfId="3" priority="3">
      <formula>LEN(TRIM(A9))=0</formula>
    </cfRule>
  </conditionalFormatting>
  <conditionalFormatting sqref="A1:D2">
    <cfRule type="containsBlanks" dxfId="3" priority="22">
      <formula>LEN(TRIM(A1))=0</formula>
    </cfRule>
    <cfRule type="containsBlanks" dxfId="3" priority="21">
      <formula>LEN(TRIM(A1))=0</formula>
    </cfRule>
  </conditionalFormatting>
  <pageMargins left="0.75" right="0.75" top="1" bottom="1" header="0.511805555555556" footer="0.511805555555556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21</vt:i4>
      </vt:variant>
    </vt:vector>
  </HeadingPairs>
  <TitlesOfParts>
    <vt:vector size="21" baseType="lpstr">
      <vt:lpstr>LevelFunds</vt:lpstr>
      <vt:lpstr>LevelFunds_25794</vt:lpstr>
      <vt:lpstr>ID</vt:lpstr>
      <vt:lpstr>Fish</vt:lpstr>
      <vt:lpstr>SkillGrade</vt:lpstr>
      <vt:lpstr>SkillStar</vt:lpstr>
      <vt:lpstr>StarAbility</vt:lpstr>
      <vt:lpstr>TerrorFish</vt:lpstr>
      <vt:lpstr>SuperBossExchange</vt:lpstr>
      <vt:lpstr>SuperBossMinigame</vt:lpstr>
      <vt:lpstr>SuperBossCommon</vt:lpstr>
      <vt:lpstr>Gun</vt:lpstr>
      <vt:lpstr>GunSkin</vt:lpstr>
      <vt:lpstr>GunLevel</vt:lpstr>
      <vt:lpstr>Weapon</vt:lpstr>
      <vt:lpstr>WeaponPowerRate</vt:lpstr>
      <vt:lpstr>SuperBossPower</vt:lpstr>
      <vt:lpstr>LevelPrizeWheel</vt:lpstr>
      <vt:lpstr>TimePointMatchSkill</vt:lpstr>
      <vt:lpstr>AutofillFish</vt:lpstr>
      <vt:lpstr>SpecialFishEffectCount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caokai</dc:creator>
  <cp:lastModifiedBy>lingyun</cp:lastModifiedBy>
  <dcterms:created xsi:type="dcterms:W3CDTF">2018-02-23T03:36:00Z</dcterms:created>
  <dcterms:modified xsi:type="dcterms:W3CDTF">2020-06-21T13:55:28Z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2052-2.3.0.3701</vt:lpwstr>
  </property>
</Properties>
</file>