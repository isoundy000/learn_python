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Height="15380" tabRatio="932" firstSheet="1" activeTab="1"/>
  </bookViews>
  <sheets>
    <sheet name="ID" sheetId="1" r:id="rId1"/>
    <sheet name="Fish" sheetId="2" r:id="rId2"/>
    <sheet name="Weapon" sheetId="3" r:id="rId3"/>
    <sheet name="WeaponPowerRate" sheetId="66" r:id="rId4"/>
    <sheet name="WeaponStageCount" sheetId="150" r:id="rId5"/>
    <sheet name="Level" sheetId="4" r:id="rId6"/>
    <sheet name="GunLevel" sheetId="73" r:id="rId7"/>
    <sheet name="SkillGrade" sheetId="5" r:id="rId8"/>
    <sheet name="SkillStar" sheetId="35" r:id="rId9"/>
    <sheet name="StarAbility" sheetId="36" r:id="rId10"/>
    <sheet name="Guide" sheetId="42" r:id="rId11"/>
    <sheet name="Ncmptt" sheetId="97" r:id="rId12"/>
    <sheet name="Cmptt" sheetId="98" r:id="rId13"/>
    <sheet name="Bonus" sheetId="96" r:id="rId14"/>
    <sheet name="CouponFish" sheetId="37" r:id="rId15"/>
    <sheet name="UserCouponFish" sheetId="111" r:id="rId16"/>
    <sheet name="BossFish" sheetId="54" r:id="rId17"/>
    <sheet name="MultipleFish" sheetId="39" r:id="rId18"/>
    <sheet name="ChestFish" sheetId="55" r:id="rId19"/>
    <sheet name="ActivityFish" sheetId="61" r:id="rId20"/>
    <sheet name="ShareFish" sheetId="81" r:id="rId21"/>
    <sheet name="HitBoss" sheetId="38" r:id="rId22"/>
    <sheet name="DynamicOdds" sheetId="40" r:id="rId23"/>
    <sheet name="CatchDrop" sheetId="50" r:id="rId24"/>
    <sheet name="CallMultipleFish" sheetId="57" r:id="rId25"/>
    <sheet name="MatchCallMultipleFish" sheetId="149" r:id="rId26"/>
    <sheet name="StarfishBonus" sheetId="56" r:id="rId27"/>
    <sheet name="GameTimeBonus" sheetId="65" r:id="rId28"/>
    <sheet name="Gun" sheetId="79" r:id="rId29"/>
    <sheet name="GunSkin" sheetId="67" r:id="rId30"/>
    <sheet name="GuideFollowedTask" sheetId="72" r:id="rId31"/>
    <sheet name="TableTask" sheetId="74" r:id="rId32"/>
    <sheet name="RoomTask" sheetId="75" r:id="rId33"/>
    <sheet name="InviteTask" sheetId="76" r:id="rId34"/>
    <sheet name="RechargePool" sheetId="77" r:id="rId35"/>
    <sheet name="Share" sheetId="80" r:id="rId36"/>
    <sheet name="StarfishTurntable" sheetId="82" r:id="rId37"/>
    <sheet name="FlyPigReward" sheetId="84" r:id="rId38"/>
    <sheet name="SurpassTarget" sheetId="85" r:id="rId39"/>
    <sheet name="SpecialItem" sheetId="86" r:id="rId40"/>
    <sheet name="HippoFish" sheetId="92" r:id="rId41"/>
    <sheet name="TerrorFish" sheetId="87" r:id="rId42"/>
    <sheet name="AutofillFish" sheetId="88" r:id="rId43"/>
    <sheet name="Robot" sheetId="89" r:id="rId44"/>
    <sheet name="ReportFishCB" sheetId="91" r:id="rId45"/>
    <sheet name="Worldboss" sheetId="93" r:id="rId46"/>
    <sheet name="GrandPrize" sheetId="95" r:id="rId47"/>
    <sheet name="LevelRewards" sheetId="104" r:id="rId48"/>
    <sheet name="LevelRewards_25794" sheetId="107" r:id="rId49"/>
    <sheet name="UpdateVerRewards" sheetId="105" r:id="rId50"/>
    <sheet name="PrizeWheel" sheetId="108" r:id="rId51"/>
    <sheet name="GrandPrixPrizeWheel" sheetId="121" r:id="rId52"/>
    <sheet name="StatisProp" sheetId="109" r:id="rId53"/>
    <sheet name="SlotMachine" sheetId="110" r:id="rId54"/>
    <sheet name="MoneyTree" sheetId="112" r:id="rId55"/>
    <sheet name="CannedFish" sheetId="113" r:id="rId56"/>
    <sheet name="LevelFunds" sheetId="114" r:id="rId57"/>
    <sheet name="LevelFunds_25794" sheetId="116" r:id="rId58"/>
    <sheet name="CreditStore" sheetId="115" r:id="rId59"/>
    <sheet name="SuperEggs" sheetId="117" r:id="rId60"/>
    <sheet name="SupplyBox" sheetId="118" r:id="rId61"/>
    <sheet name="FestivalTurntable" sheetId="120" r:id="rId62"/>
    <sheet name="CollectItem" sheetId="123" r:id="rId63"/>
    <sheet name="Competition" sheetId="124" r:id="rId64"/>
    <sheet name="BigPrize" sheetId="125" r:id="rId65"/>
    <sheet name="Newbie7DaysGift" sheetId="141" r:id="rId66"/>
    <sheet name="LotteryTicket" sheetId="142" r:id="rId67"/>
    <sheet name="PassCard" sheetId="146" r:id="rId68"/>
    <sheet name="PassCard_25794" sheetId="152" r:id="rId69"/>
    <sheet name="PassCard_26993" sheetId="151" r:id="rId70"/>
    <sheet name="SkillCompensate" sheetId="147" r:id="rId71"/>
    <sheet name="ABTest" sheetId="148" r:id="rId72"/>
  </sheets>
  <definedNames>
    <definedName name="_xlnm._FilterDatabase" localSheetId="31" hidden="1">TableTask!$B$1:$K$741</definedName>
  </definedNames>
  <calcPr calcId="144525" concurrentCalc="0"/>
</workbook>
</file>

<file path=xl/comments1.xml><?xml version="1.0" encoding="utf-8"?>
<comments xmlns="http://schemas.openxmlformats.org/spreadsheetml/2006/main">
  <authors>
    <author>tugame</author>
  </authors>
  <commentList>
    <comment ref="B1" authorId="0">
      <text>
        <r>
          <rPr>
            <b/>
            <sz val="9"/>
            <rFont val="方正书宋_GBK"/>
            <charset val="134"/>
          </rPr>
          <t>tugame:</t>
        </r>
        <r>
          <rPr>
            <sz val="9"/>
            <rFont val="方正书宋_GBK"/>
            <charset val="134"/>
          </rPr>
          <t xml:space="preserve">
若要修改鱼名，复制对应的ID，去multiLangText.xlsx表中查找并修改</t>
        </r>
      </text>
    </comment>
  </commentList>
</comments>
</file>

<file path=xl/comments2.xml><?xml version="1.0" encoding="utf-8"?>
<comments xmlns="http://schemas.openxmlformats.org/spreadsheetml/2006/main">
  <authors>
    <author>Microsoft Office 用户</author>
  </authors>
  <commentList>
    <comment ref="B3" authorId="0">
      <text>
        <r>
          <rPr>
            <b/>
            <sz val="11"/>
            <rFont val="黑体"/>
            <charset val="134"/>
          </rPr>
          <t>0:无具体数值
1:数字
2:百分比</t>
        </r>
      </text>
    </comment>
  </commentList>
</comments>
</file>

<file path=xl/comments3.xml><?xml version="1.0" encoding="utf-8"?>
<comments xmlns="http://schemas.openxmlformats.org/spreadsheetml/2006/main">
  <authors>
    <author>cao</author>
  </authors>
  <commentList>
    <comment ref="B3" authorId="0">
      <text>
        <r>
          <rPr>
            <b/>
            <sz val="9"/>
            <rFont val="宋体"/>
            <charset val="134"/>
          </rPr>
          <t>cao:</t>
        </r>
        <r>
          <rPr>
            <sz val="9"/>
            <rFont val="宋体"/>
            <charset val="134"/>
          </rPr>
          <t xml:space="preserve">
每个渔场限制累计捕获的各种红包券鱼总数量（所有红包鱼）</t>
        </r>
      </text>
    </comment>
  </commentList>
</comments>
</file>

<file path=xl/comments4.xml><?xml version="1.0" encoding="utf-8"?>
<comments xmlns="http://schemas.openxmlformats.org/spreadsheetml/2006/main">
  <authors>
    <author>Sion</author>
  </authors>
  <commentList>
    <comment ref="D3" authorId="0">
      <text>
        <r>
          <rPr>
            <b/>
            <sz val="9"/>
            <rFont val="宋体"/>
            <charset val="134"/>
          </rPr>
          <t>Sion:</t>
        </r>
        <r>
          <rPr>
            <sz val="9"/>
            <rFont val="宋体"/>
            <charset val="134"/>
          </rPr>
          <t xml:space="preserve">
大于0为涨曲线
小于0为降曲线
等于0则不升不降 </t>
        </r>
      </text>
    </comment>
  </commentList>
</comments>
</file>

<file path=xl/comments5.xml><?xml version="1.0" encoding="utf-8"?>
<comments xmlns="http://schemas.openxmlformats.org/spreadsheetml/2006/main">
  <authors>
    <author>Hao Xian</author>
  </authors>
  <commentList>
    <comment ref="F3" authorId="0">
      <text>
        <r>
          <rPr>
            <b/>
            <sz val="9"/>
            <rFont val="Verdana"/>
            <charset val="134"/>
          </rPr>
          <t>Hao Xian:</t>
        </r>
        <r>
          <rPr>
            <sz val="9"/>
            <rFont val="Verdana"/>
            <charset val="134"/>
          </rPr>
          <t xml:space="preserve">
1</t>
        </r>
        <r>
          <rPr>
            <sz val="9"/>
            <rFont val="宋体"/>
            <charset val="134"/>
          </rPr>
          <t>、稀有</t>
        </r>
      </text>
    </comment>
  </commentList>
</comments>
</file>

<file path=xl/comments6.xml><?xml version="1.0" encoding="utf-8"?>
<comments xmlns="http://schemas.openxmlformats.org/spreadsheetml/2006/main">
  <authors>
    <author>Microsoft Office 用户</author>
  </authors>
  <commentList>
    <comment ref="E3" authorId="0">
      <text>
        <r>
          <rPr>
            <b/>
            <sz val="11"/>
            <rFont val="MS PGothic"/>
            <charset val="128"/>
          </rPr>
          <t>0：无限制
1：VIP等级
2：称号ID
3：火炮等级</t>
        </r>
      </text>
    </comment>
    <comment ref="G3" authorId="0">
      <text>
        <r>
          <rPr>
            <b/>
            <sz val="11"/>
            <rFont val="MS PGothic"/>
            <charset val="128"/>
          </rPr>
          <t>0：无限制
1：VIP等级
2：称号ID
3：火炮等级</t>
        </r>
      </text>
    </comment>
  </commentList>
</comments>
</file>

<file path=xl/comments7.xml><?xml version="1.0" encoding="utf-8"?>
<comments xmlns="http://schemas.openxmlformats.org/spreadsheetml/2006/main">
  <authors>
    <author>Hao Xian</author>
  </authors>
  <commentList>
    <comment ref="C3" authorId="0">
      <text>
        <r>
          <rPr>
            <b/>
            <sz val="10"/>
            <rFont val="Verdana"/>
            <charset val="134"/>
          </rPr>
          <t>Hao Xian:</t>
        </r>
        <r>
          <rPr>
            <sz val="10"/>
            <rFont val="Verdana"/>
            <charset val="134"/>
          </rPr>
          <t xml:space="preserve">
1</t>
        </r>
        <r>
          <rPr>
            <sz val="10"/>
            <rFont val="宋体"/>
            <charset val="134"/>
          </rPr>
          <t xml:space="preserve">、捕鱼完成目标
2、使用技能多少次
</t>
        </r>
      </text>
    </comment>
  </commentList>
</comments>
</file>

<file path=xl/comments8.xml><?xml version="1.0" encoding="utf-8"?>
<comments xmlns="http://schemas.openxmlformats.org/spreadsheetml/2006/main">
  <authors>
    <author>zw</author>
    <author>作者</author>
  </authors>
  <commentList>
    <comment ref="A1" authorId="0">
      <text>
        <r>
          <rPr>
            <sz val="9"/>
            <rFont val="方正书宋_GBK"/>
            <charset val="134"/>
          </rPr>
          <t>任务序号
首位为渔场号
第二位：0为主线，1为支线，2为随机，末尾为序号</t>
        </r>
      </text>
    </comment>
    <comment ref="B1" authorId="0">
      <text>
        <r>
          <rPr>
            <sz val="14"/>
            <rFont val="方正书宋_GBK"/>
            <charset val="134"/>
          </rPr>
          <t>1、捕鱼获得多少金币
2、捕获多少只XX鱼
3、捕获多少只Boss
4、捕获多少只XX金币以上的鱼
5、捕获多少只倍率鱼
6、连击达到多少次
7、使用多少次XX技能
8、使用技能捕获多少只XX鱼
9、使用技能捕获XX金币的XX只鱼
10、XX捕获XX只鱼
11、持有XX金币
12、捕鱼获得多少颗珍珠
13、火炮升到多少级
14、捕获xx只彩虹鱼
15、捕获多少只红包券鱼
16、使用XX技能道具XX次</t>
        </r>
      </text>
    </comment>
    <comment ref="E1" authorId="1">
      <text>
        <r>
          <rPr>
            <b/>
            <sz val="9"/>
            <rFont val="宋体"/>
            <charset val="134"/>
          </rPr>
          <t>目标数量</t>
        </r>
      </text>
    </comment>
    <comment ref="I1" authorId="1">
      <text>
        <r>
          <rPr>
            <b/>
            <sz val="9"/>
            <rFont val="宋体"/>
            <charset val="134"/>
          </rPr>
          <t>常规奖励1</t>
        </r>
      </text>
    </comment>
  </commentList>
</comments>
</file>

<file path=xl/comments9.xml><?xml version="1.0" encoding="utf-8"?>
<comments xmlns="http://schemas.openxmlformats.org/spreadsheetml/2006/main">
  <authors>
    <author>作者</author>
  </authors>
  <commentList>
    <comment ref="B1" authorId="0">
      <text>
        <r>
          <rPr>
            <b/>
            <sz val="10"/>
            <rFont val="Verdana"/>
            <charset val="134"/>
          </rPr>
          <t>作者:</t>
        </r>
        <r>
          <rPr>
            <sz val="10"/>
            <rFont val="Verdana"/>
            <charset val="134"/>
          </rPr>
          <t xml:space="preserve">
1</t>
        </r>
        <r>
          <rPr>
            <sz val="10"/>
            <rFont val="宋体"/>
            <charset val="134"/>
          </rPr>
          <t>、邀请奖励
2、召回奖励</t>
        </r>
      </text>
    </comment>
  </commentList>
</comments>
</file>

<file path=xl/comments10.xml><?xml version="1.0" encoding="utf-8"?>
<comments xmlns="http://schemas.openxmlformats.org/spreadsheetml/2006/main">
  <authors>
    <author>Microsoft Office 用户</author>
  </authors>
  <commentList>
    <comment ref="N3" authorId="0">
      <text>
        <r>
          <rPr>
            <b/>
            <sz val="11"/>
            <rFont val="MS PGothic"/>
            <charset val="128"/>
          </rPr>
          <t>0：每日
1：永久</t>
        </r>
      </text>
    </comment>
    <comment ref="O3" authorId="0">
      <text>
        <r>
          <rPr>
            <b/>
            <sz val="11"/>
            <rFont val="MS PGothic"/>
            <charset val="128"/>
          </rPr>
          <t>0：分享立得
1：他人点击分享</t>
        </r>
      </text>
    </comment>
    <comment ref="Q3" authorId="0">
      <text>
        <r>
          <rPr>
            <b/>
            <sz val="11"/>
            <rFont val="MS PGothic"/>
            <charset val="128"/>
          </rPr>
          <t>0：普通分享
1：广告
2：群分享
3：群分享（不同群）</t>
        </r>
      </text>
    </comment>
  </commentList>
</comments>
</file>

<file path=xl/comments11.xml><?xml version="1.0" encoding="utf-8"?>
<comments xmlns="http://schemas.openxmlformats.org/spreadsheetml/2006/main">
  <authors>
    <author>zw</author>
  </authors>
  <commentList>
    <comment ref="F3" authorId="0">
      <text>
        <r>
          <rPr>
            <sz val="9"/>
            <rFont val="方正书宋_GBK"/>
            <charset val="134"/>
          </rPr>
          <t>0、无限制
1、每日
2、每周
3、每月</t>
        </r>
      </text>
    </comment>
  </commentList>
</comments>
</file>

<file path=xl/sharedStrings.xml><?xml version="1.0" encoding="utf-8"?>
<sst xmlns="http://schemas.openxmlformats.org/spreadsheetml/2006/main" count="2153">
  <si>
    <t>名称</t>
  </si>
  <si>
    <t>货币ID</t>
  </si>
  <si>
    <t>首位</t>
  </si>
  <si>
    <t>二位</t>
  </si>
  <si>
    <t>三位</t>
  </si>
  <si>
    <t>后2位</t>
  </si>
  <si>
    <t>金币</t>
  </si>
  <si>
    <t>鱼</t>
  </si>
  <si>
    <t>类型</t>
  </si>
  <si>
    <t>编号</t>
  </si>
  <si>
    <t>钻石</t>
  </si>
  <si>
    <t>武器</t>
  </si>
  <si>
    <t>奖券</t>
  </si>
  <si>
    <t>宝箱</t>
  </si>
  <si>
    <t>星级</t>
  </si>
  <si>
    <t>类别</t>
  </si>
  <si>
    <t>掉落</t>
  </si>
  <si>
    <t>技能</t>
  </si>
  <si>
    <t>任务</t>
  </si>
  <si>
    <t>所属房间</t>
  </si>
  <si>
    <t>礼包</t>
  </si>
  <si>
    <t>称号</t>
  </si>
  <si>
    <t>比赛*</t>
  </si>
  <si>
    <t>商品</t>
  </si>
  <si>
    <t>表情</t>
  </si>
  <si>
    <t>index</t>
  </si>
  <si>
    <t>name</t>
  </si>
  <si>
    <t>fishType</t>
  </si>
  <si>
    <t>type</t>
  </si>
  <si>
    <t>itemId</t>
  </si>
  <si>
    <t>score</t>
  </si>
  <si>
    <t>probb1</t>
  </si>
  <si>
    <t>probb2</t>
  </si>
  <si>
    <t>HP</t>
  </si>
  <si>
    <t>value</t>
  </si>
  <si>
    <t>desc</t>
  </si>
  <si>
    <t>weaponId</t>
  </si>
  <si>
    <t>prizeWheelValue</t>
  </si>
  <si>
    <t>triggerRate</t>
  </si>
  <si>
    <t>int</t>
  </si>
  <si>
    <t>string</t>
  </si>
  <si>
    <t>float</t>
  </si>
  <si>
    <t>鱼类型索引</t>
  </si>
  <si>
    <r>
      <rPr>
        <sz val="14"/>
        <color rgb="FF000000"/>
        <rFont val="华文宋体"/>
        <charset val="134"/>
      </rPr>
      <t>鱼名</t>
    </r>
    <r>
      <rPr>
        <sz val="14"/>
        <color rgb="FF000000"/>
        <rFont val="Tahoma"/>
        <charset val="134"/>
      </rPr>
      <t>ID</t>
    </r>
  </si>
  <si>
    <t>鱼种名</t>
  </si>
  <si>
    <t>鱼种ID</t>
  </si>
  <si>
    <t>鱼种类别</t>
  </si>
  <si>
    <t>捕获必掉道具ID</t>
  </si>
  <si>
    <t>分值</t>
  </si>
  <si>
    <t>无HP时概率基数</t>
  </si>
  <si>
    <t>有HP时概率基数</t>
  </si>
  <si>
    <t>生命</t>
  </si>
  <si>
    <t>实际价值</t>
  </si>
  <si>
    <t>描述</t>
  </si>
  <si>
    <t>武器Id</t>
  </si>
  <si>
    <t>积攒价值</t>
  </si>
  <si>
    <t>触发几率(10000)</t>
  </si>
  <si>
    <t>ID_CONFIG_FISH_NAME_11001</t>
  </si>
  <si>
    <t>小黄鱼</t>
  </si>
  <si>
    <t>ID_CONFIG_FISH_NAME_11002</t>
  </si>
  <si>
    <t>金枪鱼</t>
  </si>
  <si>
    <t>ID_CONFIG_FISH_NAME_11003</t>
  </si>
  <si>
    <t>小丑鱼</t>
  </si>
  <si>
    <t>ID_CONFIG_FISH_NAME_11004</t>
  </si>
  <si>
    <t>天使鱼</t>
  </si>
  <si>
    <t>ID_CONFIG_FISH_NAME_11005</t>
  </si>
  <si>
    <t>蓝藻鱼</t>
  </si>
  <si>
    <t>ID_CONFIG_FISH_NAME_11006</t>
  </si>
  <si>
    <t>红鹦鹉鱼</t>
  </si>
  <si>
    <t>ID_CONFIG_FISH_NAME_11007</t>
  </si>
  <si>
    <t>月光鱼</t>
  </si>
  <si>
    <t>ID_CONFIG_FISH_NAME_11008</t>
  </si>
  <si>
    <t>小飞鱼</t>
  </si>
  <si>
    <t>ID_CONFIG_FISH_NAME_11009</t>
  </si>
  <si>
    <t>孔雀鱼</t>
  </si>
  <si>
    <t>ID_CONFIG_FISH_NAME_11085</t>
  </si>
  <si>
    <t>红杉鱼</t>
  </si>
  <si>
    <t>ID_CONFIG_FISH_NAME_11086</t>
  </si>
  <si>
    <t>针鱼</t>
  </si>
  <si>
    <t>ID_CONFIG_FISH_NAME_11010</t>
  </si>
  <si>
    <t>海龟</t>
  </si>
  <si>
    <t>ID_CONFIG_FISH_NAME_11011</t>
  </si>
  <si>
    <t>河豚</t>
  </si>
  <si>
    <t>ID_CONFIG_FISH_NAME_11012</t>
  </si>
  <si>
    <t>水母</t>
  </si>
  <si>
    <t>ID_CONFIG_FISH_NAME_11013</t>
  </si>
  <si>
    <t>蝙蝠鱼</t>
  </si>
  <si>
    <t>ID_CONFIG_FISH_NAME_11014</t>
  </si>
  <si>
    <t>螃蟹</t>
  </si>
  <si>
    <t>ID_CONFIG_FISH_NAME_11087</t>
  </si>
  <si>
    <t>比目鱼</t>
  </si>
  <si>
    <t>ID_CONFIG_FISH_NAME_11015</t>
  </si>
  <si>
    <t>狮子鱼</t>
  </si>
  <si>
    <t>ID_CONFIG_FISH_NAME_11016</t>
  </si>
  <si>
    <t>灯笼鱼</t>
  </si>
  <si>
    <t>ID_CONFIG_FISH_NAME_11017</t>
  </si>
  <si>
    <t>剑鱼</t>
  </si>
  <si>
    <t>ID_CONFIG_FISH_NAME_11088</t>
  </si>
  <si>
    <t>松江鲈</t>
  </si>
  <si>
    <t>ID_CONFIG_FISH_NAME_11019</t>
  </si>
  <si>
    <t>亲嘴鱼</t>
  </si>
  <si>
    <t>ID_CONFIG_FISH_NAME_11018</t>
  </si>
  <si>
    <t>黄金龟</t>
  </si>
  <si>
    <t>ID_CONFIG_FISH_NAME_11092</t>
  </si>
  <si>
    <t>黄金水母</t>
  </si>
  <si>
    <t>ID_CONFIG_FISH_NAME_11020</t>
  </si>
  <si>
    <t>海豚</t>
  </si>
  <si>
    <t>ID_CONFIG_FISH_NAME_11089</t>
  </si>
  <si>
    <t>企鹅</t>
  </si>
  <si>
    <t>ID_CONFIG_FISH_NAME_11021</t>
  </si>
  <si>
    <t>金蝙蝠鱼</t>
  </si>
  <si>
    <t>ID_CONFIG_FISH_NAME_11022</t>
  </si>
  <si>
    <t>海豹</t>
  </si>
  <si>
    <t>ID_CONFIG_FISH_NAME_11023</t>
  </si>
  <si>
    <t>黄金蟹</t>
  </si>
  <si>
    <t>ID_CONFIG_FISH_NAME_11091</t>
  </si>
  <si>
    <t>河马</t>
  </si>
  <si>
    <t>ID_CONFIG_FISH_NAME_11024</t>
  </si>
  <si>
    <t>双髻鲨</t>
  </si>
  <si>
    <t>ID_CONFIG_FISH_NAME_11090</t>
  </si>
  <si>
    <t>鳄鱼</t>
  </si>
  <si>
    <t>ID_CONFIG_FISH_NAME_11025</t>
  </si>
  <si>
    <t>大白鲨</t>
  </si>
  <si>
    <t>ID_CONFIG_FISH_NAME_11026</t>
  </si>
  <si>
    <t>黄金双髻鲨</t>
  </si>
  <si>
    <t>ID_CONFIG_FISH_NAME_11093</t>
  </si>
  <si>
    <t>荧光红杉鱼</t>
  </si>
  <si>
    <t>ID_CONFIG_FISH_NAME_11094</t>
  </si>
  <si>
    <t>荧光针鱼</t>
  </si>
  <si>
    <t>ID_CONFIG_FISH_NAME_11095</t>
  </si>
  <si>
    <t>荧光比目鱼</t>
  </si>
  <si>
    <t>ID_CONFIG_FISH_NAME_11096</t>
  </si>
  <si>
    <t>荧光松江鲈</t>
  </si>
  <si>
    <t>ID_CONFIG_FISH_NAME_11097</t>
  </si>
  <si>
    <t>荧光企鹅</t>
  </si>
  <si>
    <t>ID_CONFIG_FISH_NAME_11098</t>
  </si>
  <si>
    <t>荧光鳄鱼</t>
  </si>
  <si>
    <t>ID_CONFIG_FISH_NAME_11099</t>
  </si>
  <si>
    <t>荧光河马</t>
  </si>
  <si>
    <t>ID_CONFIG_FISH_NAME_12027</t>
  </si>
  <si>
    <t>黄金白鲨</t>
  </si>
  <si>
    <t>ID_CONFIG_FISH_NAME_12028</t>
  </si>
  <si>
    <t>冰龙宝宝</t>
  </si>
  <si>
    <t>ID_CONFIG_FISH_NAME_12029</t>
  </si>
  <si>
    <t>美人鱼</t>
  </si>
  <si>
    <t>ID_CONFIG_FISH_NAME_12030</t>
  </si>
  <si>
    <t>海龙兽</t>
  </si>
  <si>
    <t>ID_CONFIG_FISH_NAME_12032</t>
  </si>
  <si>
    <t>章鱼王</t>
  </si>
  <si>
    <t>ID_CONFIG_FISH_NAME_25031</t>
  </si>
  <si>
    <t>小龙女</t>
  </si>
  <si>
    <t>加强美人鱼</t>
  </si>
  <si>
    <t>加强小龙女</t>
  </si>
  <si>
    <t>加强章鱼王</t>
  </si>
  <si>
    <t>倍率月光鱼</t>
  </si>
  <si>
    <t>倍率孔雀鱼</t>
  </si>
  <si>
    <t>倍率河豚</t>
  </si>
  <si>
    <t>倍率蝙蝠鱼</t>
  </si>
  <si>
    <t>倍率狮子鱼</t>
  </si>
  <si>
    <t>倍率灯笼鱼</t>
  </si>
  <si>
    <t>倍率剑鱼</t>
  </si>
  <si>
    <t>倍率亲嘴鱼</t>
  </si>
  <si>
    <t>倍率海豚</t>
  </si>
  <si>
    <t>倍率金蝙蝠鱼</t>
  </si>
  <si>
    <t>倍率海豹</t>
  </si>
  <si>
    <t>倍率黄金蟹</t>
  </si>
  <si>
    <t>倍率双髻鲨</t>
  </si>
  <si>
    <t>倍率大白鲨</t>
  </si>
  <si>
    <t>倍率红杉鱼</t>
  </si>
  <si>
    <t>倍率针鱼</t>
  </si>
  <si>
    <t>倍率比目鱼</t>
  </si>
  <si>
    <t>倍率松江鲈</t>
  </si>
  <si>
    <t>倍率企鹅</t>
  </si>
  <si>
    <t>倍率鳄鱼</t>
  </si>
  <si>
    <t>倍率河马</t>
  </si>
  <si>
    <t>ID_CONFIG_FISH_NAME_15033</t>
  </si>
  <si>
    <t>0.01奖券</t>
  </si>
  <si>
    <t>奖券x1</t>
  </si>
  <si>
    <t>ID_CONFIG_FISH_NAME_15034</t>
  </si>
  <si>
    <t>0.05奖券</t>
  </si>
  <si>
    <t>奖券x5</t>
  </si>
  <si>
    <t>ID_CONFIG_FISH_NAME_15035</t>
  </si>
  <si>
    <t>0.10奖券</t>
  </si>
  <si>
    <t>奖券x10</t>
  </si>
  <si>
    <t>ID_CONFIG_FISH_NAME_15036</t>
  </si>
  <si>
    <t>0.40奖券</t>
  </si>
  <si>
    <t>奖券x40</t>
  </si>
  <si>
    <t>ID_CONFIG_FISH_NAME_15037</t>
  </si>
  <si>
    <t>1.00奖券</t>
  </si>
  <si>
    <t>奖券x100</t>
  </si>
  <si>
    <t>ID_CONFIG_FISH_NAME_15038</t>
  </si>
  <si>
    <t>2.00奖券</t>
  </si>
  <si>
    <t>奖券x200</t>
  </si>
  <si>
    <t>ID_CONFIG_FISH_NAME_15039</t>
  </si>
  <si>
    <t>3.00奖券</t>
  </si>
  <si>
    <t>奖券x300</t>
  </si>
  <si>
    <t>ID_CONFIG_FISH_NAME_15055</t>
  </si>
  <si>
    <t>10.00奖券</t>
  </si>
  <si>
    <t>奖券x1000</t>
  </si>
  <si>
    <t>ID_CONFIG_FISH_NAME_15056</t>
  </si>
  <si>
    <t>20.00奖券</t>
  </si>
  <si>
    <t>奖券x2000</t>
  </si>
  <si>
    <t>ID_CONFIG_FISH_NAME_15057</t>
  </si>
  <si>
    <t>50.00奖券</t>
  </si>
  <si>
    <t>奖券x5000</t>
  </si>
  <si>
    <t>ID_CONFIG_FISH_NAME_15058</t>
  </si>
  <si>
    <t>100.00奖券</t>
  </si>
  <si>
    <t>奖券x10000</t>
  </si>
  <si>
    <t>ID_CONFIG_FISH_NAME_15081</t>
  </si>
  <si>
    <t>5.00奖券</t>
  </si>
  <si>
    <t>奖券x500</t>
  </si>
  <si>
    <t>ID_CONFIG_FISH_NAME_15082</t>
  </si>
  <si>
    <t>30.00奖券</t>
  </si>
  <si>
    <t>奖券x3000</t>
  </si>
  <si>
    <t>ID_CONFIG_FISH_NAME_16040</t>
  </si>
  <si>
    <t>炸弹鱼</t>
  </si>
  <si>
    <t>炸弹鱼v1</t>
  </si>
  <si>
    <t>炸弹鱼v2</t>
  </si>
  <si>
    <t>炸弹鱼v3</t>
  </si>
  <si>
    <t>炸弹鱼v4</t>
  </si>
  <si>
    <t>炸弹鱼v5</t>
  </si>
  <si>
    <t>炸弹鱼v6</t>
  </si>
  <si>
    <t>ID_CONFIG_FISH_NAME_22041</t>
  </si>
  <si>
    <t>冰锥</t>
  </si>
  <si>
    <t>ID_CONFIG_FISH_NAME_23042</t>
  </si>
  <si>
    <t>捕鱼机器人</t>
  </si>
  <si>
    <t>白银招财珠美人鱼</t>
  </si>
  <si>
    <t>白银招财珠冰龙</t>
  </si>
  <si>
    <t>白银招财珠海龙兽</t>
  </si>
  <si>
    <t>黄金招财珠海龙兽</t>
  </si>
  <si>
    <t>黄金招财珠小龙女</t>
  </si>
  <si>
    <t>黄金招财珠章鱼王</t>
  </si>
  <si>
    <t>加强黄金招财珠美人鱼</t>
  </si>
  <si>
    <t>ID_CONFIG_FISH_NAME_26043</t>
  </si>
  <si>
    <t>金币宝箱</t>
  </si>
  <si>
    <t>随机金币宝箱</t>
  </si>
  <si>
    <t>ID_CONFIG_FISH_NAME_27044</t>
  </si>
  <si>
    <t>1奖券</t>
  </si>
  <si>
    <t>1元微信红包</t>
  </si>
  <si>
    <t>ID_CONFIG_FISH_NAME_27080</t>
  </si>
  <si>
    <t>5奖券</t>
  </si>
  <si>
    <t>5元微信红包</t>
  </si>
  <si>
    <t>ID_CONFIG_FISH_NAME_27046</t>
  </si>
  <si>
    <t>10奖券</t>
  </si>
  <si>
    <t>10元微信红包</t>
  </si>
  <si>
    <t>ID_CONFIG_FISH_NAME_27047</t>
  </si>
  <si>
    <t>20奖券</t>
  </si>
  <si>
    <t>20元微信红包</t>
  </si>
  <si>
    <t>ID_CONFIG_FISH_NAME_27048</t>
  </si>
  <si>
    <t>50奖券</t>
  </si>
  <si>
    <t>50元微信红包</t>
  </si>
  <si>
    <t>ID_CONFIG_FISH_NAME_27049</t>
  </si>
  <si>
    <t>100奖券</t>
  </si>
  <si>
    <t>100元微信红包</t>
  </si>
  <si>
    <t>ID_CONFIG_FISH_NAME_28050</t>
  </si>
  <si>
    <t>海螺x1</t>
  </si>
  <si>
    <t>ID_CONFIG_FISH_NAME_28051</t>
  </si>
  <si>
    <t>海螺x3</t>
  </si>
  <si>
    <t>ID_CONFIG_FISH_NAME_28052</t>
  </si>
  <si>
    <t>海螺x10</t>
  </si>
  <si>
    <t>ID_CONFIG_FISH_NAME_28053</t>
  </si>
  <si>
    <t>海螺x30</t>
  </si>
  <si>
    <t>ID_CONFIG_FISH_NAME_28070</t>
  </si>
  <si>
    <t>海螺x100</t>
  </si>
  <si>
    <t>ID_CONFIG_FISH_NAME_28071</t>
  </si>
  <si>
    <t>海螺x300</t>
  </si>
  <si>
    <t>ID_CONFIG_FISH_NAME_28072</t>
  </si>
  <si>
    <t>海螺x400</t>
  </si>
  <si>
    <t>ID_CONFIG_FISH_NAME_28073</t>
  </si>
  <si>
    <t>海螺x1000</t>
  </si>
  <si>
    <t>ID_CONFIG_FISH_NAME_29054</t>
  </si>
  <si>
    <t>随机奖品</t>
  </si>
  <si>
    <t>随机奖品鱼-场次1</t>
  </si>
  <si>
    <t>随机奖品鱼-场次2</t>
  </si>
  <si>
    <t>随机奖品鱼-场次3</t>
  </si>
  <si>
    <t>随机奖品鱼-场次4</t>
  </si>
  <si>
    <t>ID_CONFIG_FISH_NAME_30059</t>
  </si>
  <si>
    <t>10元话费卡</t>
  </si>
  <si>
    <t>话费x10</t>
  </si>
  <si>
    <t>ID_CONFIG_FISH_NAME_30060</t>
  </si>
  <si>
    <t>30元话费卡</t>
  </si>
  <si>
    <t>话费x30</t>
  </si>
  <si>
    <t>ID_CONFIG_FISH_NAME_30061</t>
  </si>
  <si>
    <t>100元话费卡</t>
  </si>
  <si>
    <t>话费x100</t>
  </si>
  <si>
    <t>ID_CONFIG_FISH_NAME_31062</t>
  </si>
  <si>
    <t>100元京东卡</t>
  </si>
  <si>
    <t>京东卡x100</t>
  </si>
  <si>
    <t>ID_CONFIG_FISH_NAME_32063</t>
  </si>
  <si>
    <t>海星x1</t>
  </si>
  <si>
    <t>ID_CONFIG_FISH_NAME_32064</t>
  </si>
  <si>
    <t>海星x5</t>
  </si>
  <si>
    <t>ID_CONFIG_FISH_NAME_32065</t>
  </si>
  <si>
    <t>海星x20</t>
  </si>
  <si>
    <t>ID_CONFIG_FISH_NAME_32066</t>
  </si>
  <si>
    <t>海星x50</t>
  </si>
  <si>
    <t>ID_CONFIG_FISH_NAME_33074</t>
  </si>
  <si>
    <t>金钱鱼</t>
  </si>
  <si>
    <t>招财模式金钱鱼</t>
  </si>
  <si>
    <t>ID_CONFIG_FISH_NAME_33075</t>
  </si>
  <si>
    <t>绿鳍鱼</t>
  </si>
  <si>
    <t>招财模式绿鳍鱼</t>
  </si>
  <si>
    <t>ID_CONFIG_FISH_NAME_33076</t>
  </si>
  <si>
    <t>鸭嘴兽</t>
  </si>
  <si>
    <t>招财模式鸭嘴兽</t>
  </si>
  <si>
    <t>ID_CONFIG_FISH_NAME_34077</t>
  </si>
  <si>
    <t>黄金海马</t>
  </si>
  <si>
    <t>招财模式黄金海马(倍率鱼)</t>
  </si>
  <si>
    <t>ID_CONFIG_FISH_NAME_35027</t>
  </si>
  <si>
    <t>青铜招财珠黄金白鲨</t>
  </si>
  <si>
    <t>青铜招财珠海龙兽</t>
  </si>
  <si>
    <t>青铜招财珠小龙女</t>
  </si>
  <si>
    <t>招财模式小龙女(Boss)</t>
  </si>
  <si>
    <t>ID_CONFIG_FISH_NAME_36078</t>
  </si>
  <si>
    <t>海妖</t>
  </si>
  <si>
    <t>招财模式海妖(Boss)</t>
  </si>
  <si>
    <t>ID_CONFIG_FISH_NAME_37083</t>
  </si>
  <si>
    <t>Buff鱼</t>
  </si>
  <si>
    <t>[10000,10002]</t>
  </si>
  <si>
    <t>[10000,10001]</t>
  </si>
  <si>
    <t>荧光鱼河马</t>
  </si>
  <si>
    <t>加强黄金招财珠小龙女</t>
  </si>
  <si>
    <t>加强黄金招财珠章鱼王</t>
  </si>
  <si>
    <t>随机奖品鱼-场次5</t>
  </si>
  <si>
    <t>ID_CONFIG_FISH_NAME_50101</t>
  </si>
  <si>
    <t>随机分享宝箱鱼</t>
  </si>
  <si>
    <t>ID_CONFIG_FISH_NAME_55102</t>
  </si>
  <si>
    <t>彩虹小丑鱼</t>
  </si>
  <si>
    <t>彩虹小丑鱼1</t>
  </si>
  <si>
    <t>彩虹小丑鱼2</t>
  </si>
  <si>
    <t>ID_CONFIG_FISH_NAME_55103</t>
  </si>
  <si>
    <t>彩虹月光鱼</t>
  </si>
  <si>
    <t>彩虹月光鱼1</t>
  </si>
  <si>
    <t>彩虹月光鱼2</t>
  </si>
  <si>
    <t>ID_CONFIG_FISH_NAME_56104</t>
  </si>
  <si>
    <t>彩虹孔雀鱼</t>
  </si>
  <si>
    <t>彩虹孔雀鱼1</t>
  </si>
  <si>
    <t>彩虹孔雀鱼2</t>
  </si>
  <si>
    <t>ID_CONFIG_FISH_NAME_55105</t>
  </si>
  <si>
    <t>彩虹海龟</t>
  </si>
  <si>
    <t>彩虹海龟1</t>
  </si>
  <si>
    <t>彩虹海龟2</t>
  </si>
  <si>
    <t>ID_CONFIG_FISH_NAME_55106</t>
  </si>
  <si>
    <t>彩虹狮子鱼</t>
  </si>
  <si>
    <t>彩虹狮子鱼1</t>
  </si>
  <si>
    <t>彩虹狮子鱼2</t>
  </si>
  <si>
    <t>ID_CONFIG_FISH_NAME_55107</t>
  </si>
  <si>
    <t>彩虹金蝙蝠鱼</t>
  </si>
  <si>
    <t>彩虹金蝙蝠鱼1</t>
  </si>
  <si>
    <t>彩虹金蝙蝠鱼2</t>
  </si>
  <si>
    <t>ID_CONFIG_FISH_NAME_55108</t>
  </si>
  <si>
    <t>彩虹双髻鲨</t>
  </si>
  <si>
    <t>彩虹双髻鲨1</t>
  </si>
  <si>
    <t>彩虹双髻鲨2</t>
  </si>
  <si>
    <t>新手场章鱼王</t>
  </si>
  <si>
    <t>ID_CONFIG_FISH_NAME_58109</t>
  </si>
  <si>
    <t>分享宝箱鱼</t>
  </si>
  <si>
    <t>1倍场分享宝箱鱼</t>
  </si>
  <si>
    <t>10倍场分享宝箱鱼</t>
  </si>
  <si>
    <t>50倍场分享宝箱鱼</t>
  </si>
  <si>
    <t>200倍场分享宝箱鱼</t>
  </si>
  <si>
    <t>500倍场分享宝箱鱼</t>
  </si>
  <si>
    <t>分享奖券鱼</t>
  </si>
  <si>
    <t>全渔场分享奖券鱼奖券x10</t>
  </si>
  <si>
    <t>ID_CONFIG_FISH_NAME_15115</t>
  </si>
  <si>
    <t>0.20奖券</t>
  </si>
  <si>
    <t>奖券x20</t>
  </si>
  <si>
    <t>ID_CONFIG_FISH_NAME_28116</t>
  </si>
  <si>
    <t>海螺x800</t>
  </si>
  <si>
    <t>ID_CONFIG_FISH_NAME_28117</t>
  </si>
  <si>
    <t>海螺x3000</t>
  </si>
  <si>
    <t>ID_CONFIG_FISH_NAME_60118</t>
  </si>
  <si>
    <t>电鳗</t>
  </si>
  <si>
    <t>电鳗1</t>
  </si>
  <si>
    <t>电鳗2</t>
  </si>
  <si>
    <t>电鳗3</t>
  </si>
  <si>
    <t>电鳗4</t>
  </si>
  <si>
    <t>电鳗5</t>
  </si>
  <si>
    <t>ID_CONFIG_FISH_NAME_65119</t>
  </si>
  <si>
    <t>钻头鱼</t>
  </si>
  <si>
    <t>钻头1</t>
  </si>
  <si>
    <t>钻头2</t>
  </si>
  <si>
    <t>钻头3</t>
  </si>
  <si>
    <t>钻头4</t>
  </si>
  <si>
    <t>钻头5</t>
  </si>
  <si>
    <t>青铜招财珠冰龙宝宝</t>
  </si>
  <si>
    <t>ID_CONFIG_FISH_NAME_55120</t>
  </si>
  <si>
    <t>彩虹红杉鱼</t>
  </si>
  <si>
    <t>彩虹红杉鱼1</t>
  </si>
  <si>
    <t>彩虹红杉鱼2</t>
  </si>
  <si>
    <t>ID_CONFIG_FISH_NAME_55121</t>
  </si>
  <si>
    <t>彩虹针鱼</t>
  </si>
  <si>
    <t>彩虹针鱼1</t>
  </si>
  <si>
    <t>彩虹针鱼2</t>
  </si>
  <si>
    <t>ID_CONFIG_FISH_NAME_70122</t>
  </si>
  <si>
    <t>波塞冬</t>
  </si>
  <si>
    <t>海皇来袭模式波塞冬</t>
  </si>
  <si>
    <r>
      <rPr>
        <sz val="14"/>
        <color rgb="FF000000"/>
        <rFont val="Tahoma"/>
        <charset val="134"/>
      </rPr>
      <t>0.05</t>
    </r>
    <r>
      <rPr>
        <sz val="14"/>
        <color rgb="FF000000"/>
        <rFont val="宋体"/>
        <charset val="134"/>
      </rPr>
      <t>奖券</t>
    </r>
  </si>
  <si>
    <t>新手场红包券</t>
  </si>
  <si>
    <r>
      <rPr>
        <sz val="14"/>
        <color rgb="FF000000"/>
        <rFont val="Tahoma"/>
        <charset val="134"/>
      </rPr>
      <t>0.1</t>
    </r>
    <r>
      <rPr>
        <sz val="14"/>
        <color rgb="FF000000"/>
        <rFont val="宋体"/>
        <charset val="134"/>
      </rPr>
      <t>奖券</t>
    </r>
  </si>
  <si>
    <r>
      <rPr>
        <sz val="14"/>
        <color rgb="FF000000"/>
        <rFont val="Tahoma"/>
        <charset val="134"/>
      </rPr>
      <t>10</t>
    </r>
    <r>
      <rPr>
        <sz val="14"/>
        <color rgb="FF000000"/>
        <rFont val="宋体"/>
        <charset val="134"/>
      </rPr>
      <t>倍场红包券</t>
    </r>
  </si>
  <si>
    <r>
      <rPr>
        <sz val="14"/>
        <color rgb="FF000000"/>
        <rFont val="Tahoma"/>
        <charset val="134"/>
      </rPr>
      <t>0.4</t>
    </r>
    <r>
      <rPr>
        <sz val="14"/>
        <color rgb="FF000000"/>
        <rFont val="宋体"/>
        <charset val="134"/>
      </rPr>
      <t>奖券</t>
    </r>
  </si>
  <si>
    <r>
      <rPr>
        <sz val="14"/>
        <color rgb="FF000000"/>
        <rFont val="Tahoma"/>
        <charset val="134"/>
      </rPr>
      <t>50</t>
    </r>
    <r>
      <rPr>
        <sz val="14"/>
        <color rgb="FF000000"/>
        <rFont val="宋体"/>
        <charset val="134"/>
      </rPr>
      <t>倍场红包券</t>
    </r>
  </si>
  <si>
    <r>
      <rPr>
        <sz val="14"/>
        <color rgb="FF000000"/>
        <rFont val="Tahoma"/>
        <charset val="134"/>
      </rPr>
      <t>1</t>
    </r>
    <r>
      <rPr>
        <sz val="14"/>
        <color rgb="FF000000"/>
        <rFont val="宋体"/>
        <charset val="134"/>
      </rPr>
      <t>奖券</t>
    </r>
  </si>
  <si>
    <r>
      <rPr>
        <sz val="14"/>
        <color rgb="FF000000"/>
        <rFont val="Tahoma"/>
        <charset val="134"/>
      </rPr>
      <t>200</t>
    </r>
    <r>
      <rPr>
        <sz val="14"/>
        <color rgb="FF000000"/>
        <rFont val="宋体"/>
        <charset val="134"/>
      </rPr>
      <t>倍场红包券</t>
    </r>
  </si>
  <si>
    <t>白银招财珠章鱼王(召唤券)</t>
  </si>
  <si>
    <t>黄金招财珠美人鱼(召唤券)</t>
  </si>
  <si>
    <t>weapon_name</t>
  </si>
  <si>
    <t>weapon_id</t>
  </si>
  <si>
    <t>weapon_cost</t>
  </si>
  <si>
    <t>weapon_power</t>
  </si>
  <si>
    <t>match_addition</t>
  </si>
  <si>
    <t>cooldown</t>
  </si>
  <si>
    <t>bullet_speed</t>
  </si>
  <si>
    <t>net_size</t>
  </si>
  <si>
    <t>weapon_icon</t>
  </si>
  <si>
    <t>bullet_animation</t>
  </si>
  <si>
    <t>explosion_animation</t>
  </si>
  <si>
    <t>weapon_power_ratio</t>
  </si>
  <si>
    <t>武器索引</t>
  </si>
  <si>
    <t>武器名</t>
  </si>
  <si>
    <t>武器ID</t>
  </si>
  <si>
    <t>消耗子弹</t>
  </si>
  <si>
    <t>武器威力</t>
  </si>
  <si>
    <t>炮等级对比赛的加成</t>
  </si>
  <si>
    <t>发射间隔</t>
  </si>
  <si>
    <t>弹失速度</t>
  </si>
  <si>
    <t>渔网大小</t>
  </si>
  <si>
    <t>武器图标</t>
  </si>
  <si>
    <t>子弹动画</t>
  </si>
  <si>
    <t>爆炸动画</t>
  </si>
  <si>
    <t>威力系数</t>
  </si>
  <si>
    <t>1级火炮</t>
  </si>
  <si>
    <t>bullet01</t>
  </si>
  <si>
    <t>2级火炮</t>
  </si>
  <si>
    <t>3级火炮</t>
  </si>
  <si>
    <t>4级火炮</t>
  </si>
  <si>
    <t>5级火炮</t>
  </si>
  <si>
    <t>6级火炮</t>
  </si>
  <si>
    <t>7级火炮</t>
  </si>
  <si>
    <t>8级火炮</t>
  </si>
  <si>
    <t>9级火炮</t>
  </si>
  <si>
    <t>10级火炮</t>
  </si>
  <si>
    <t>11级火炮</t>
  </si>
  <si>
    <t>12级火炮</t>
  </si>
  <si>
    <t>13级火炮</t>
  </si>
  <si>
    <t>14级火炮</t>
  </si>
  <si>
    <t>15级火炮</t>
  </si>
  <si>
    <t>16级火炮</t>
  </si>
  <si>
    <t>17级火炮</t>
  </si>
  <si>
    <t>18级火炮</t>
  </si>
  <si>
    <t>19级火炮</t>
  </si>
  <si>
    <t>20级火炮</t>
  </si>
  <si>
    <t>21级火炮</t>
  </si>
  <si>
    <t>22级火炮</t>
  </si>
  <si>
    <t>23级火炮</t>
  </si>
  <si>
    <t>24级火炮</t>
  </si>
  <si>
    <t>25级火炮</t>
  </si>
  <si>
    <t>26级火炮</t>
  </si>
  <si>
    <t>27级火炮</t>
  </si>
  <si>
    <t>28级火炮</t>
  </si>
  <si>
    <t>29级火炮</t>
  </si>
  <si>
    <t>30级火炮</t>
  </si>
  <si>
    <t>31级火炮</t>
  </si>
  <si>
    <t>32级火炮</t>
  </si>
  <si>
    <t>33级火炮</t>
  </si>
  <si>
    <t>34级火炮</t>
  </si>
  <si>
    <t>35级火炮</t>
  </si>
  <si>
    <t>36级火炮</t>
  </si>
  <si>
    <t>37级火炮</t>
  </si>
  <si>
    <t>38级火炮</t>
  </si>
  <si>
    <t>39级火炮</t>
  </si>
  <si>
    <t>40级火炮</t>
  </si>
  <si>
    <t>合金飞弹技能</t>
  </si>
  <si>
    <t>魔术炮技能</t>
  </si>
  <si>
    <t>火蛇加农炮技能</t>
  </si>
  <si>
    <t>极冻炮技能</t>
  </si>
  <si>
    <t>榴弹炮技能</t>
  </si>
  <si>
    <t>汇能弹技能</t>
  </si>
  <si>
    <t>欺诈水晶技能</t>
  </si>
  <si>
    <t>激光炮技能</t>
  </si>
  <si>
    <t>猎鱼机甲技能</t>
  </si>
  <si>
    <t>格林机关枪技能</t>
  </si>
  <si>
    <t>捕鱼机器人爆炸</t>
  </si>
  <si>
    <t>招财模式1级火炮</t>
  </si>
  <si>
    <t>招财模式2级火炮</t>
  </si>
  <si>
    <t>招财模式3级火炮</t>
  </si>
  <si>
    <t>招财模式4级火炮</t>
  </si>
  <si>
    <t>招财模式5级火炮</t>
  </si>
  <si>
    <t>招财模式6级火炮</t>
  </si>
  <si>
    <t>招财模式7级火炮</t>
  </si>
  <si>
    <t>招财模式8级火炮</t>
  </si>
  <si>
    <t>招财模式9级火炮</t>
  </si>
  <si>
    <t>招财模式10级火炮</t>
  </si>
  <si>
    <r>
      <rPr>
        <sz val="14"/>
        <color indexed="8"/>
        <rFont val="Tahoma"/>
        <charset val="134"/>
      </rPr>
      <t>电鳗</t>
    </r>
    <r>
      <rPr>
        <sz val="14"/>
        <color indexed="8"/>
        <rFont val="Tahoma"/>
        <charset val="134"/>
      </rPr>
      <t>1</t>
    </r>
  </si>
  <si>
    <r>
      <rPr>
        <sz val="14"/>
        <color indexed="8"/>
        <rFont val="Tahoma"/>
        <charset val="134"/>
      </rPr>
      <t>电鳗</t>
    </r>
    <r>
      <rPr>
        <sz val="14"/>
        <color indexed="8"/>
        <rFont val="Tahoma"/>
        <charset val="134"/>
      </rPr>
      <t>2</t>
    </r>
  </si>
  <si>
    <r>
      <rPr>
        <sz val="14"/>
        <color indexed="8"/>
        <rFont val="Tahoma"/>
        <charset val="134"/>
      </rPr>
      <t>电鳗</t>
    </r>
    <r>
      <rPr>
        <sz val="14"/>
        <color indexed="8"/>
        <rFont val="Tahoma"/>
        <charset val="134"/>
      </rPr>
      <t>3</t>
    </r>
  </si>
  <si>
    <r>
      <rPr>
        <sz val="14"/>
        <color indexed="8"/>
        <rFont val="Tahoma"/>
        <charset val="134"/>
      </rPr>
      <t>电鳗</t>
    </r>
    <r>
      <rPr>
        <sz val="14"/>
        <color indexed="8"/>
        <rFont val="Tahoma"/>
        <charset val="134"/>
      </rPr>
      <t>4</t>
    </r>
  </si>
  <si>
    <r>
      <rPr>
        <sz val="14"/>
        <color indexed="8"/>
        <rFont val="Tahoma"/>
        <charset val="134"/>
      </rPr>
      <t>电鳗</t>
    </r>
    <r>
      <rPr>
        <sz val="14"/>
        <color indexed="8"/>
        <rFont val="Tahoma"/>
        <charset val="134"/>
      </rPr>
      <t>5</t>
    </r>
  </si>
  <si>
    <r>
      <rPr>
        <sz val="14"/>
        <color rgb="FF000000"/>
        <rFont val="宋体-简"/>
        <charset val="134"/>
      </rPr>
      <t>钻头</t>
    </r>
    <r>
      <rPr>
        <sz val="14"/>
        <color rgb="FF000000"/>
        <rFont val="Tahoma"/>
        <charset val="134"/>
      </rPr>
      <t>1</t>
    </r>
  </si>
  <si>
    <r>
      <rPr>
        <sz val="14"/>
        <color rgb="FF000000"/>
        <rFont val="宋体-简"/>
        <charset val="134"/>
      </rPr>
      <t>钻头</t>
    </r>
    <r>
      <rPr>
        <sz val="14"/>
        <color rgb="FF000000"/>
        <rFont val="Tahoma"/>
        <charset val="134"/>
      </rPr>
      <t>2</t>
    </r>
  </si>
  <si>
    <r>
      <rPr>
        <sz val="14"/>
        <color rgb="FF000000"/>
        <rFont val="宋体-简"/>
        <charset val="134"/>
      </rPr>
      <t>钻头</t>
    </r>
    <r>
      <rPr>
        <sz val="14"/>
        <color rgb="FF000000"/>
        <rFont val="Tahoma"/>
        <charset val="134"/>
      </rPr>
      <t>3</t>
    </r>
  </si>
  <si>
    <r>
      <rPr>
        <sz val="14"/>
        <color rgb="FF000000"/>
        <rFont val="宋体-简"/>
        <charset val="134"/>
      </rPr>
      <t>钻头</t>
    </r>
    <r>
      <rPr>
        <sz val="14"/>
        <color rgb="FF000000"/>
        <rFont val="Tahoma"/>
        <charset val="134"/>
      </rPr>
      <t>4</t>
    </r>
  </si>
  <si>
    <r>
      <rPr>
        <sz val="14"/>
        <color rgb="FF000000"/>
        <rFont val="宋体-简"/>
        <charset val="134"/>
      </rPr>
      <t>钻头</t>
    </r>
    <r>
      <rPr>
        <sz val="14"/>
        <color rgb="FF000000"/>
        <rFont val="Tahoma"/>
        <charset val="134"/>
      </rPr>
      <t>5</t>
    </r>
  </si>
  <si>
    <t>宝箱爸爸</t>
  </si>
  <si>
    <t>龙女王</t>
  </si>
  <si>
    <t>大冰龙</t>
  </si>
  <si>
    <t>weapId</t>
  </si>
  <si>
    <t>fishName</t>
  </si>
  <si>
    <t>percent1</t>
  </si>
  <si>
    <t>probability1</t>
  </si>
  <si>
    <t>鱼名</t>
  </si>
  <si>
    <t>随机值</t>
  </si>
  <si>
    <t>概率</t>
  </si>
  <si>
    <t>str</t>
  </si>
  <si>
    <t>[2.5]</t>
  </si>
  <si>
    <t>[0.85]</t>
  </si>
  <si>
    <t>[0.25]</t>
  </si>
  <si>
    <t>[0.5]</t>
  </si>
  <si>
    <t>[0.75]</t>
  </si>
  <si>
    <t>[1]</t>
  </si>
  <si>
    <t>[1.5]</t>
  </si>
  <si>
    <t>[2]</t>
  </si>
  <si>
    <t>[3]</t>
  </si>
  <si>
    <t>[0.5,0.74]</t>
  </si>
  <si>
    <t>[0.75,0.99]</t>
  </si>
  <si>
    <t>[1,1.24]</t>
  </si>
  <si>
    <t>[1.25,1.49]</t>
  </si>
  <si>
    <t>[1.5,2]</t>
  </si>
  <si>
    <r>
      <rPr>
        <sz val="14"/>
        <color rgb="FF000000"/>
        <rFont val="Helvetica"/>
        <charset val="134"/>
      </rPr>
      <t>1</t>
    </r>
    <r>
      <rPr>
        <sz val="14"/>
        <color rgb="FF000000"/>
        <rFont val="方正书宋_GBK"/>
        <charset val="134"/>
      </rPr>
      <t>次</t>
    </r>
  </si>
  <si>
    <r>
      <rPr>
        <sz val="14"/>
        <color rgb="FF000000"/>
        <rFont val="Helvetica"/>
        <charset val="134"/>
      </rPr>
      <t>2</t>
    </r>
    <r>
      <rPr>
        <sz val="14"/>
        <color rgb="FF000000"/>
        <rFont val="方正书宋_GBK"/>
        <charset val="134"/>
      </rPr>
      <t>次</t>
    </r>
  </si>
  <si>
    <r>
      <rPr>
        <sz val="14"/>
        <color rgb="FF000000"/>
        <rFont val="Helvetica"/>
        <charset val="134"/>
      </rPr>
      <t>3</t>
    </r>
    <r>
      <rPr>
        <sz val="14"/>
        <color rgb="FF000000"/>
        <rFont val="方正书宋_GBK"/>
        <charset val="134"/>
      </rPr>
      <t>次</t>
    </r>
  </si>
  <si>
    <r>
      <rPr>
        <sz val="14"/>
        <color rgb="FF000000"/>
        <rFont val="Helvetica"/>
        <charset val="134"/>
      </rPr>
      <t>4</t>
    </r>
    <r>
      <rPr>
        <sz val="14"/>
        <color rgb="FF000000"/>
        <rFont val="方正书宋_GBK"/>
        <charset val="134"/>
      </rPr>
      <t>次</t>
    </r>
  </si>
  <si>
    <r>
      <rPr>
        <sz val="14"/>
        <color rgb="FF000000"/>
        <rFont val="Helvetica"/>
        <charset val="134"/>
      </rPr>
      <t>5</t>
    </r>
    <r>
      <rPr>
        <sz val="14"/>
        <color rgb="FF000000"/>
        <rFont val="方正书宋_GBK"/>
        <charset val="134"/>
      </rPr>
      <t>次</t>
    </r>
  </si>
  <si>
    <r>
      <rPr>
        <sz val="14"/>
        <color rgb="FF000000"/>
        <rFont val="Helvetica"/>
        <charset val="134"/>
      </rPr>
      <t>6</t>
    </r>
    <r>
      <rPr>
        <sz val="14"/>
        <color rgb="FF000000"/>
        <rFont val="方正书宋_GBK"/>
        <charset val="134"/>
      </rPr>
      <t>次</t>
    </r>
  </si>
  <si>
    <t>权重</t>
  </si>
  <si>
    <t>lvl</t>
  </si>
  <si>
    <t>pearl_ratio</t>
  </si>
  <si>
    <t>等级</t>
  </si>
  <si>
    <r>
      <rPr>
        <sz val="12"/>
        <color rgb="FF000000"/>
        <rFont val="Helvetica"/>
        <charset val="134"/>
      </rPr>
      <t>500</t>
    </r>
    <r>
      <rPr>
        <sz val="12"/>
        <color rgb="FF000000"/>
        <rFont val="方正书宋_GBK"/>
        <charset val="134"/>
      </rPr>
      <t>倍</t>
    </r>
  </si>
  <si>
    <r>
      <rPr>
        <sz val="12"/>
        <color rgb="FF000000"/>
        <rFont val="Helvetica"/>
        <charset val="134"/>
      </rPr>
      <t>2000</t>
    </r>
    <r>
      <rPr>
        <sz val="12"/>
        <color rgb="FF000000"/>
        <rFont val="方正书宋_GBK"/>
        <charset val="134"/>
      </rPr>
      <t>倍</t>
    </r>
  </si>
  <si>
    <r>
      <rPr>
        <sz val="12"/>
        <color rgb="FF000000"/>
        <rFont val="Helvetica"/>
        <charset val="134"/>
      </rPr>
      <t>5000</t>
    </r>
    <r>
      <rPr>
        <sz val="12"/>
        <color rgb="FF000000"/>
        <rFont val="方正书宋_GBK"/>
        <charset val="134"/>
      </rPr>
      <t>倍</t>
    </r>
  </si>
  <si>
    <t>gunLevel</t>
  </si>
  <si>
    <t>kindId</t>
  </si>
  <si>
    <t>num</t>
  </si>
  <si>
    <t>rate</t>
  </si>
  <si>
    <t>weight</t>
  </si>
  <si>
    <t>fireInterval</t>
  </si>
  <si>
    <t>levelAddition</t>
  </si>
  <si>
    <t>levelValue</t>
  </si>
  <si>
    <t>火炮等级</t>
  </si>
  <si>
    <t>所需道具ID</t>
  </si>
  <si>
    <t>所需数量</t>
  </si>
  <si>
    <r>
      <rPr>
        <sz val="14"/>
        <color rgb="FF000000"/>
        <rFont val="方正书宋_GBK"/>
        <charset val="134"/>
      </rPr>
      <t>所需道具</t>
    </r>
    <r>
      <rPr>
        <sz val="14"/>
        <color rgb="FF000000"/>
        <rFont val="Helvetica"/>
        <charset val="134"/>
      </rPr>
      <t>ID</t>
    </r>
  </si>
  <si>
    <r>
      <rPr>
        <sz val="14"/>
        <color rgb="FF000000"/>
        <rFont val="宋体-简"/>
        <charset val="134"/>
      </rPr>
      <t>所需道具</t>
    </r>
    <r>
      <rPr>
        <sz val="14"/>
        <color rgb="FF000000"/>
        <rFont val="Helvetica"/>
        <charset val="134"/>
      </rPr>
      <t>ID</t>
    </r>
  </si>
  <si>
    <t>成功率</t>
  </si>
  <si>
    <r>
      <rPr>
        <sz val="14"/>
        <color rgb="FF000000"/>
        <rFont val="宋体-简"/>
        <charset val="134"/>
      </rPr>
      <t>100%升级成功率所需道具</t>
    </r>
    <r>
      <rPr>
        <sz val="14"/>
        <color rgb="FF000000"/>
        <rFont val="Helvetica"/>
        <charset val="134"/>
      </rPr>
      <t>ID</t>
    </r>
  </si>
  <si>
    <r>
      <rPr>
        <sz val="14"/>
        <color rgb="FF000000"/>
        <rFont val="宋体-简"/>
        <charset val="134"/>
      </rPr>
      <t>升级失败返还道具</t>
    </r>
    <r>
      <rPr>
        <sz val="14"/>
        <color rgb="FF000000"/>
        <rFont val="Helvetica"/>
        <charset val="134"/>
      </rPr>
      <t>ID</t>
    </r>
  </si>
  <si>
    <t>返还数量</t>
  </si>
  <si>
    <t>开火间隔</t>
  </si>
  <si>
    <t>大奖赛等级加成</t>
  </si>
  <si>
    <t>倍率</t>
  </si>
  <si>
    <t>skill_name</t>
  </si>
  <si>
    <t>skill_id</t>
  </si>
  <si>
    <t>skill_level</t>
  </si>
  <si>
    <t>cost</t>
  </si>
  <si>
    <t>power</t>
  </si>
  <si>
    <t>impale</t>
  </si>
  <si>
    <t>bullet</t>
  </si>
  <si>
    <t>interval</t>
  </si>
  <si>
    <t>duration</t>
  </si>
  <si>
    <t>cool_down</t>
  </si>
  <si>
    <t>double</t>
  </si>
  <si>
    <t>isReturn</t>
  </si>
  <si>
    <t>技能名</t>
  </si>
  <si>
    <t>技能ID</t>
  </si>
  <si>
    <t>技能等级</t>
  </si>
  <si>
    <t>单发威力</t>
  </si>
  <si>
    <t>贯穿力</t>
  </si>
  <si>
    <t>技能子弹数</t>
  </si>
  <si>
    <t>每发间隔时间</t>
  </si>
  <si>
    <t>效果时间</t>
  </si>
  <si>
    <t>冷却时间</t>
  </si>
  <si>
    <t>对应武器</t>
  </si>
  <si>
    <t>双倍皮肤炮ID</t>
  </si>
  <si>
    <t>打空是否返还子弹</t>
  </si>
  <si>
    <t>合金飞弹</t>
  </si>
  <si>
    <t>[1290]</t>
  </si>
  <si>
    <t>魔术炮</t>
  </si>
  <si>
    <t>[]</t>
  </si>
  <si>
    <t>火蛇加农炮</t>
  </si>
  <si>
    <t>极冻炮</t>
  </si>
  <si>
    <t>榴弹炮</t>
  </si>
  <si>
    <t>汇能弹</t>
  </si>
  <si>
    <t>激光炮</t>
  </si>
  <si>
    <t>猎鱼机甲</t>
  </si>
  <si>
    <t>格林机关枪</t>
  </si>
  <si>
    <t>ability_type</t>
  </si>
  <si>
    <t>value_type</t>
  </si>
  <si>
    <t>技能星级</t>
  </si>
  <si>
    <t>提升能力类型</t>
  </si>
  <si>
    <t>数值类型</t>
  </si>
  <si>
    <t>数值</t>
  </si>
  <si>
    <t>string_hejinfeidan</t>
  </si>
  <si>
    <t>string_moshupao</t>
  </si>
  <si>
    <t>string_huoshejianongpao</t>
  </si>
  <si>
    <t>string_jidongpao</t>
  </si>
  <si>
    <t>string_liudanpao</t>
  </si>
  <si>
    <t>string_huinengdan</t>
  </si>
  <si>
    <t>string_jiguangpao</t>
  </si>
  <si>
    <t>string_lieyujijia</t>
  </si>
  <si>
    <t>string_gelinjiguanqiang</t>
  </si>
  <si>
    <t>skill_ability_type</t>
  </si>
  <si>
    <t>skill_ability_desc</t>
  </si>
  <si>
    <t>技能能力类型</t>
  </si>
  <si>
    <t>技能能力描述</t>
  </si>
  <si>
    <t>冷却时间减少[var]秒</t>
  </si>
  <si>
    <t>威力提高[var]%</t>
  </si>
  <si>
    <t>使召唤出的鱼在[var]秒内无法被其他玩家捕获</t>
  </si>
  <si>
    <t>无法被其他玩家捕获的时间增加[var]秒</t>
  </si>
  <si>
    <t>产生冰锥的数量增加[var]</t>
  </si>
  <si>
    <t>子弹总数量增加[var]发</t>
  </si>
  <si>
    <t>机器人耐久提高[var]%</t>
  </si>
  <si>
    <t>提高对远距离鱼的威力</t>
  </si>
  <si>
    <t>冰锥HP在[var]%以上受到致命伤害时HP最低为1</t>
  </si>
  <si>
    <t>被贯穿的鱼必被捕获</t>
  </si>
  <si>
    <t>爆炸范围变大[var]%</t>
  </si>
  <si>
    <t>子弹飞行时间减少[var]%</t>
  </si>
  <si>
    <t>喷射距离提升[var]%</t>
  </si>
  <si>
    <t>连续发炮的时间间隔减少[var]%</t>
  </si>
  <si>
    <t>冻结范围变大[var]%</t>
  </si>
  <si>
    <t>提高[var]%炮弹飞行速度</t>
  </si>
  <si>
    <t>反弹次数增加[var]次</t>
  </si>
  <si>
    <t>有效范围变大[var]%</t>
  </si>
  <si>
    <t>魔法球的飞行速度提高[var]%</t>
  </si>
  <si>
    <t>激光炮范围变宽[var]%</t>
  </si>
  <si>
    <t>蓄力时间减少[var]%</t>
  </si>
  <si>
    <t xml:space="preserve"> 机器人射出的子弹可反弹[var]次</t>
  </si>
  <si>
    <t>机器人射出的子弹速度提高[var]%</t>
  </si>
  <si>
    <t>机器人自爆时的范围增加[var]%</t>
  </si>
  <si>
    <t>quest_id</t>
  </si>
  <si>
    <t>target1</t>
  </si>
  <si>
    <t>number1</t>
  </si>
  <si>
    <t>target2</t>
  </si>
  <si>
    <t>number2</t>
  </si>
  <si>
    <t>coin</t>
  </si>
  <si>
    <t>pearl</t>
  </si>
  <si>
    <t>skill</t>
  </si>
  <si>
    <t>chestId</t>
  </si>
  <si>
    <t>steps</t>
  </si>
  <si>
    <t>list</t>
  </si>
  <si>
    <r>
      <rPr>
        <sz val="14"/>
        <color indexed="8"/>
        <rFont val="宋体"/>
        <charset val="134"/>
      </rPr>
      <t>任务</t>
    </r>
    <r>
      <rPr>
        <sz val="14"/>
        <color indexed="8"/>
        <rFont val="Tahoma"/>
        <charset val="134"/>
      </rPr>
      <t>ID</t>
    </r>
  </si>
  <si>
    <t>任务类型</t>
  </si>
  <si>
    <t>任务描述</t>
  </si>
  <si>
    <t>目标1</t>
  </si>
  <si>
    <t>目标1数量</t>
  </si>
  <si>
    <t>目标2</t>
  </si>
  <si>
    <t>目标2数量</t>
  </si>
  <si>
    <t>金币奖励</t>
  </si>
  <si>
    <t>珍珠奖励</t>
  </si>
  <si>
    <t>技能卡奖励</t>
  </si>
  <si>
    <t>宝箱奖励</t>
  </si>
  <si>
    <t>新手引导</t>
  </si>
  <si>
    <t>[1500]</t>
  </si>
  <si>
    <t>[1600]</t>
  </si>
  <si>
    <t>[1300, 1700]</t>
  </si>
  <si>
    <t>[1800]</t>
  </si>
  <si>
    <t>[2200]</t>
  </si>
  <si>
    <t>[2300]</t>
  </si>
  <si>
    <t>quest_scene</t>
  </si>
  <si>
    <t>quest_time</t>
  </si>
  <si>
    <t>autofill_interval</t>
  </si>
  <si>
    <t>chest_dropId</t>
  </si>
  <si>
    <t>所在渔场</t>
  </si>
  <si>
    <t>任务时长</t>
  </si>
  <si>
    <t>自动填充间隔1（秒）</t>
  </si>
  <si>
    <t>自动填充间隔2（秒）</t>
  </si>
  <si>
    <t>ID_CONFIG_CHEST_DROP_DESC_TXT</t>
  </si>
  <si>
    <t>ID_CONFIG_CHEST_DROP_DESC_CONTAIN_NUMBER</t>
  </si>
  <si>
    <t>ID_CONFIG_ONE_GUN_GET_X_COIN</t>
  </si>
  <si>
    <t>ID_CONFIG_CATCH_FISH_IN_LIMIT_TIME</t>
  </si>
  <si>
    <t>ID_CONFIG_1_COMBO_IN_LIMIT_ITME</t>
  </si>
  <si>
    <t>ID_CONFIG_GET_X_POINT_IN_LIMIT_TIME</t>
  </si>
  <si>
    <t>33202|33303|33404</t>
  </si>
  <si>
    <t>34202|34304|34403</t>
  </si>
  <si>
    <t>35202|35305|35403</t>
  </si>
  <si>
    <t>ID_CONFIG_CATCH_TARGET_GET_MORE_POINT</t>
  </si>
  <si>
    <t>ID_CONFIG_CATCH_ANY_FISH_GET_MORE_POINT</t>
  </si>
  <si>
    <t>ID_CONFIG_CATCH_MORE_FISH</t>
  </si>
  <si>
    <t>fish_pool</t>
  </si>
  <si>
    <t>bullet_total</t>
  </si>
  <si>
    <t>min_second</t>
  </si>
  <si>
    <t>max_second</t>
  </si>
  <si>
    <t>catchedCouponRange</t>
  </si>
  <si>
    <t>fish1</t>
  </si>
  <si>
    <t>fish2</t>
  </si>
  <si>
    <t>fish3</t>
  </si>
  <si>
    <t>probb3</t>
  </si>
  <si>
    <t>fish4</t>
  </si>
  <si>
    <t>probb4</t>
  </si>
  <si>
    <t>fish5</t>
  </si>
  <si>
    <t>probb5</t>
  </si>
  <si>
    <t>fish6</t>
  </si>
  <si>
    <t>probb6</t>
  </si>
  <si>
    <t>fish7</t>
  </si>
  <si>
    <t>probb7</t>
  </si>
  <si>
    <t>fish8</t>
  </si>
  <si>
    <t>probb8</t>
  </si>
  <si>
    <t>fish9</t>
  </si>
  <si>
    <t>probb9</t>
  </si>
  <si>
    <t>fish10</t>
  </si>
  <si>
    <t>probb10</t>
  </si>
  <si>
    <t>fish11</t>
  </si>
  <si>
    <t>probb11</t>
  </si>
  <si>
    <t>fish12</t>
  </si>
  <si>
    <t>probb12</t>
  </si>
  <si>
    <t>fish13</t>
  </si>
  <si>
    <t>probb13</t>
  </si>
  <si>
    <t>fish14</t>
  </si>
  <si>
    <t>fish15</t>
  </si>
  <si>
    <t>fish16</t>
  </si>
  <si>
    <t>fish17</t>
  </si>
  <si>
    <t>fish18</t>
  </si>
  <si>
    <t>累计子弹数</t>
  </si>
  <si>
    <t>最小时间</t>
  </si>
  <si>
    <t>最大时间</t>
  </si>
  <si>
    <r>
      <rPr>
        <sz val="14"/>
        <color indexed="8"/>
        <rFont val="宋体"/>
        <charset val="134"/>
      </rPr>
      <t>已捕获红包券范围</t>
    </r>
    <r>
      <rPr>
        <sz val="14"/>
        <color indexed="8"/>
        <rFont val="Tahoma"/>
        <charset val="134"/>
      </rPr>
      <t>(</t>
    </r>
    <r>
      <rPr>
        <sz val="14"/>
        <color indexed="8"/>
        <rFont val="宋体"/>
        <charset val="134"/>
      </rPr>
      <t>真实价值</t>
    </r>
    <r>
      <rPr>
        <sz val="14"/>
        <color indexed="8"/>
        <rFont val="Tahoma"/>
        <charset val="134"/>
      </rPr>
      <t>)</t>
    </r>
  </si>
  <si>
    <t>鱼ID</t>
  </si>
  <si>
    <t>[0, 0.5]</t>
  </si>
  <si>
    <t>[0, 7.5]</t>
  </si>
  <si>
    <t>[0, 11]</t>
  </si>
  <si>
    <t>[0, 31.5]</t>
  </si>
  <si>
    <t>limit_count</t>
  </si>
  <si>
    <t>recharge_section</t>
  </si>
  <si>
    <t>捕获次数上限</t>
  </si>
  <si>
    <t>[充值总额, 可获得min红包券数(元), 可获得max红包券数(元)]</t>
  </si>
  <si>
    <t>[0, 0, 2]</t>
  </si>
  <si>
    <t>[0, 2, 7.5]</t>
  </si>
  <si>
    <t>[0, 0, 7.5]</t>
  </si>
  <si>
    <t>[0, 7.5, 11]</t>
  </si>
  <si>
    <t>[30, 0, 21.5]</t>
  </si>
  <si>
    <t>[30, 21.5, 31.5]</t>
  </si>
  <si>
    <t>multiple1</t>
  </si>
  <si>
    <t>high_probb1</t>
  </si>
  <si>
    <t>high_probb</t>
  </si>
  <si>
    <t>multiple2</t>
  </si>
  <si>
    <t>high_probb2</t>
  </si>
  <si>
    <t>multiple3</t>
  </si>
  <si>
    <t>high_probb3</t>
  </si>
  <si>
    <t>multiple4</t>
  </si>
  <si>
    <t>high_probb4</t>
  </si>
  <si>
    <t>multiple5</t>
  </si>
  <si>
    <t>high_probb5</t>
  </si>
  <si>
    <t>multiple6</t>
  </si>
  <si>
    <t>high_probb6</t>
  </si>
  <si>
    <t>倍数</t>
  </si>
  <si>
    <t>倍率奖池高概率</t>
  </si>
  <si>
    <t>充值奖池高概率</t>
  </si>
  <si>
    <t>maxCoin</t>
  </si>
  <si>
    <t>minCoin</t>
  </si>
  <si>
    <t>fishValue1</t>
  </si>
  <si>
    <t>fishValue2</t>
  </si>
  <si>
    <t>fishValue3</t>
  </si>
  <si>
    <t>fishValue4</t>
  </si>
  <si>
    <t>fishValue5</t>
  </si>
  <si>
    <t>用户盈利最大值</t>
  </si>
  <si>
    <t>用户盈利最小值</t>
  </si>
  <si>
    <t>宝箱鱼的分值</t>
  </si>
  <si>
    <t>rate1</t>
  </si>
  <si>
    <t>rate2</t>
  </si>
  <si>
    <t>rate3</t>
  </si>
  <si>
    <t>rate4</t>
  </si>
  <si>
    <t>rate5</t>
  </si>
  <si>
    <t>fishPool</t>
  </si>
  <si>
    <t>waveId</t>
  </si>
  <si>
    <t>曲线ID</t>
  </si>
  <si>
    <t>涨还是跌</t>
  </si>
  <si>
    <t>曲率</t>
  </si>
  <si>
    <t>groupType</t>
  </si>
  <si>
    <t>typeList</t>
  </si>
  <si>
    <t>idx</t>
  </si>
  <si>
    <t>fpMultiple</t>
  </si>
  <si>
    <t>dropGroupIdx</t>
  </si>
  <si>
    <t>goup_poss</t>
  </si>
  <si>
    <t>min_drop</t>
  </si>
  <si>
    <t>max_drop</t>
  </si>
  <si>
    <t>probability</t>
  </si>
  <si>
    <t>dropData</t>
  </si>
  <si>
    <t>捕鱼类型</t>
  </si>
  <si>
    <t>鱼类型数组</t>
  </si>
  <si>
    <t>索引</t>
  </si>
  <si>
    <t>渔场倍率</t>
  </si>
  <si>
    <t>掉落组</t>
  </si>
  <si>
    <t>掉落组概率</t>
  </si>
  <si>
    <t>最小掉落数</t>
  </si>
  <si>
    <t>最大掉落数</t>
  </si>
  <si>
    <t>掉落组索引</t>
  </si>
  <si>
    <t>掉落数据1(uid为偶数)</t>
  </si>
  <si>
    <t>掉落数据2(uid为奇数)</t>
  </si>
  <si>
    <t>BOSS_FISH_TYPE</t>
  </si>
  <si>
    <t>[2, 8, 9, 19]</t>
  </si>
  <si>
    <t>[{"kindId":3106,"poss":100}]</t>
  </si>
  <si>
    <t>STAR_FISH_TYPE</t>
  </si>
  <si>
    <t>[1, 3, 26]</t>
  </si>
  <si>
    <t>[{"kindId":1137,"poss":100}]</t>
  </si>
  <si>
    <t>PEARL_FISH_TYPE</t>
  </si>
  <si>
    <t>[1, 2, 3, 8, 9, 19, 26]</t>
  </si>
  <si>
    <t>[{"kindId":1429,"poss":70},{"kindId":1430,"poss":30}]</t>
  </si>
  <si>
    <t>[{"kindId":1429,"poss":30},{"kindId":1430,"poss":70}]</t>
  </si>
  <si>
    <t>CRYSTAL_FISH_TYPE</t>
  </si>
  <si>
    <t>fish_id</t>
  </si>
  <si>
    <t>渔场</t>
  </si>
  <si>
    <t>鱼种</t>
  </si>
  <si>
    <t>[14007,14009,14011,14013,14087,14015,14016,14017,14088,14019]</t>
  </si>
  <si>
    <t>[14007,14009,14011,14013,14087,14015,14016,14017,14088,14019,14020]</t>
  </si>
  <si>
    <t>[14007,14009,14011,14013,14087,14015,14016,14017,14088,14019,14020,14089,14021,14022,14023,14091]</t>
  </si>
  <si>
    <t>[14085,14086,14011,14013,14087,14015,14016,14017,14088,14019,14020,14089,14021,14022,14023,14091,14024,14090]</t>
  </si>
  <si>
    <t>[14085,14086,14011,14013,14087,14015,14016,14017,14088,14019,14020,14089,14021,14022,14023,14091,14024,14090,14025]</t>
  </si>
  <si>
    <t>[14007,14009,14011]</t>
  </si>
  <si>
    <r>
      <rPr>
        <sz val="12"/>
        <color indexed="8"/>
        <rFont val="Verdana"/>
        <charset val="134"/>
      </rPr>
      <t>[14007,14009,14011,14013,14015,14016,14017,14019,14020,14021,14022</t>
    </r>
    <r>
      <rPr>
        <sz val="12"/>
        <color indexed="8"/>
        <rFont val="Verdana"/>
        <charset val="134"/>
      </rPr>
      <t>]</t>
    </r>
  </si>
  <si>
    <t>[14007,14009,14011,14013,14015,14016,14017]</t>
  </si>
  <si>
    <t>[14009,14011,14013,14015,14016,14017,14019,14020,14021,14022,14023,14024,14025]</t>
  </si>
  <si>
    <t>Id</t>
  </si>
  <si>
    <t>clearLucky</t>
  </si>
  <si>
    <t>count</t>
  </si>
  <si>
    <t>rare</t>
  </si>
  <si>
    <t>清空幸运值</t>
  </si>
  <si>
    <t>奖励item</t>
  </si>
  <si>
    <t>奖励个数</t>
  </si>
  <si>
    <t>稀有度</t>
  </si>
  <si>
    <t>luckyBoy</t>
  </si>
  <si>
    <t>最小金币</t>
  </si>
  <si>
    <t>最大金币</t>
  </si>
  <si>
    <t>是否是幸运儿</t>
  </si>
  <si>
    <t>gunskin_name</t>
  </si>
  <si>
    <t>gunskin_id</t>
  </si>
  <si>
    <t>gunskin_level</t>
  </si>
  <si>
    <t>multiple</t>
  </si>
  <si>
    <t>unlock_type</t>
  </si>
  <si>
    <t>unlock_value</t>
  </si>
  <si>
    <t>equip_type</t>
  </si>
  <si>
    <t>equip_value</t>
  </si>
  <si>
    <t>exp</t>
  </si>
  <si>
    <t>sum_exp</t>
  </si>
  <si>
    <t>effect_addition</t>
  </si>
  <si>
    <t>effect_type</t>
  </si>
  <si>
    <t>probb</t>
  </si>
  <si>
    <t>unlock_desc</t>
  </si>
  <si>
    <t>equip_desc</t>
  </si>
  <si>
    <t xml:space="preserve">unit_price </t>
  </si>
  <si>
    <t>skins</t>
  </si>
  <si>
    <t>odds</t>
  </si>
  <si>
    <t>arr</t>
  </si>
  <si>
    <t>皮肤炮名</t>
  </si>
  <si>
    <t>皮肤炮ID</t>
  </si>
  <si>
    <t>皮肤炮等级</t>
  </si>
  <si>
    <t>消耗&amp;奖励倍率</t>
  </si>
  <si>
    <t>解锁条件</t>
  </si>
  <si>
    <t>条件数值(火炮等级)</t>
  </si>
  <si>
    <t>装备条件</t>
  </si>
  <si>
    <t>所需经验</t>
  </si>
  <si>
    <t>累计经验</t>
  </si>
  <si>
    <t>熟练效果加成</t>
  </si>
  <si>
    <t>效果类型</t>
  </si>
  <si>
    <t>触发概率</t>
  </si>
  <si>
    <t>单价</t>
  </si>
  <si>
    <t>对应皮肤的Id</t>
  </si>
  <si>
    <t>概率系数</t>
  </si>
  <si>
    <t>出现概率</t>
  </si>
  <si>
    <t>ID_CONFIG_GUN_NAME_1</t>
  </si>
  <si>
    <t>[0,1366,-1]</t>
  </si>
  <si>
    <t>ID_CONFIG_GUN_NAME_2</t>
  </si>
  <si>
    <t>ID_CONFIG_LEVEL_UNLOCK</t>
  </si>
  <si>
    <t>ID_CONFIG_LEVEL_EQUIP</t>
  </si>
  <si>
    <t>[1352,1395,-1]</t>
  </si>
  <si>
    <t>ID_CONFIG_GUN_NAME_3</t>
  </si>
  <si>
    <t>[1353,1472,-1]</t>
  </si>
  <si>
    <t>ID_CONFIG_GUN_NAME_4</t>
  </si>
  <si>
    <t>[1354,1473,-1]</t>
  </si>
  <si>
    <t>ID_CONFIG_GUN_NAME_5</t>
  </si>
  <si>
    <t>[1355,1476,-1]</t>
  </si>
  <si>
    <t>ID_CONFIG_GUN_NAME_6</t>
  </si>
  <si>
    <t>[1356,1478,-1]</t>
  </si>
  <si>
    <t>ID_CONFIG_GUN_NAME_7</t>
  </si>
  <si>
    <t>[1357,-1,-1]</t>
  </si>
  <si>
    <t>skinId</t>
  </si>
  <si>
    <t>gunId</t>
  </si>
  <si>
    <t>consumeCount</t>
  </si>
  <si>
    <t>皮肤ID</t>
  </si>
  <si>
    <t>对应的火炮ID</t>
  </si>
  <si>
    <t>消耗物品ID</t>
  </si>
  <si>
    <t>合成需要消耗碎片数</t>
  </si>
  <si>
    <t>taskId</t>
  </si>
  <si>
    <t>taskDesc</t>
  </si>
  <si>
    <t>repeat</t>
  </si>
  <si>
    <t>target_info</t>
  </si>
  <si>
    <t>reward</t>
  </si>
  <si>
    <t>任务Id</t>
  </si>
  <si>
    <t>任务分类</t>
  </si>
  <si>
    <t>是否重复</t>
  </si>
  <si>
    <r>
      <rPr>
        <sz val="11"/>
        <rFont val="Helvetica"/>
        <charset val="134"/>
      </rPr>
      <t>目标信息</t>
    </r>
  </si>
  <si>
    <t>捕获20条小黄鱼</t>
  </si>
  <si>
    <t>{"num":20, "condition":11009}</t>
  </si>
  <si>
    <t>[103,50]</t>
  </si>
  <si>
    <r>
      <rPr>
        <sz val="12"/>
        <color indexed="8"/>
        <rFont val="宋体"/>
        <charset val="134"/>
      </rPr>
      <t>奖券</t>
    </r>
    <r>
      <rPr>
        <sz val="12"/>
        <color indexed="8"/>
        <rFont val="Verdana"/>
        <charset val="134"/>
      </rPr>
      <t>2</t>
    </r>
  </si>
  <si>
    <t>使用技能20次</t>
  </si>
  <si>
    <t>{"num":20}</t>
  </si>
  <si>
    <t>task_id</t>
  </si>
  <si>
    <t>task_type</t>
  </si>
  <si>
    <t>task_des</t>
  </si>
  <si>
    <t>target</t>
  </si>
  <si>
    <t>time_limit</t>
  </si>
  <si>
    <t>fail_limit</t>
  </si>
  <si>
    <t>reward_num</t>
  </si>
  <si>
    <t>reward_des</t>
  </si>
  <si>
    <t>suggest_target</t>
  </si>
  <si>
    <t>wait_time</t>
  </si>
  <si>
    <t>任务类型编号数据验证源</t>
  </si>
  <si>
    <r>
      <rPr>
        <sz val="12"/>
        <color indexed="8"/>
        <rFont val="Verdana"/>
        <charset val="134"/>
      </rPr>
      <t>r</t>
    </r>
    <r>
      <rPr>
        <sz val="12"/>
        <color indexed="8"/>
        <rFont val="Verdana"/>
        <charset val="134"/>
      </rPr>
      <t>eward</t>
    </r>
  </si>
  <si>
    <t>ID_CONFIG_TABLE_TASK_10005</t>
  </si>
  <si>
    <t>ID_CONFIG_TABLE_TASK_10001</t>
  </si>
  <si>
    <t>珍珠</t>
  </si>
  <si>
    <t>神秘铃铛</t>
  </si>
  <si>
    <t>ID_CONFIG_TABLE_TASK_10006</t>
  </si>
  <si>
    <t>中秋圆月</t>
  </si>
  <si>
    <t>捕获[var]只[var]</t>
  </si>
  <si>
    <t>火蛇加农炮技能卡片</t>
  </si>
  <si>
    <t>合金飞弹技能卡片</t>
  </si>
  <si>
    <t>捕获[var]只[var]金币以上的鱼</t>
  </si>
  <si>
    <t>魔术炮技能卡片</t>
  </si>
  <si>
    <t>累计捕获[var]金币</t>
  </si>
  <si>
    <t>榴弹炮技能卡片</t>
  </si>
  <si>
    <t>限时内累计捕获[var]金币</t>
  </si>
  <si>
    <t>极冻炮技能卡片</t>
  </si>
  <si>
    <t>使用技能赢得[var]金币</t>
  </si>
  <si>
    <t>汇能弹技能卡片</t>
  </si>
  <si>
    <t>欺诈水晶技能卡片</t>
  </si>
  <si>
    <t>激光炮技能卡片</t>
  </si>
  <si>
    <t>猎鱼机甲技能卡片</t>
  </si>
  <si>
    <t>格林机关枪技能卡片</t>
  </si>
  <si>
    <t>合金飞弹升星卡</t>
  </si>
  <si>
    <t>魔术炮升星卡</t>
  </si>
  <si>
    <t>榴弹炮升星卡</t>
  </si>
  <si>
    <t>汇能弹升星卡</t>
  </si>
  <si>
    <t>欺诈水晶升星卡</t>
  </si>
  <si>
    <t>1阶海盗箱</t>
  </si>
  <si>
    <t>极冻炮升星卡</t>
  </si>
  <si>
    <t>火蛇加农炮升星卡</t>
  </si>
  <si>
    <t>2阶海盗箱</t>
  </si>
  <si>
    <t>4阶海盗箱</t>
  </si>
  <si>
    <t>5阶海盗箱</t>
  </si>
  <si>
    <t>6阶海盗箱</t>
  </si>
  <si>
    <t>1阶黄金海盗箱</t>
  </si>
  <si>
    <t>6阶黄金海盗箱</t>
  </si>
  <si>
    <t>3阶黄金海盗箱</t>
  </si>
  <si>
    <t>捕获[var]只倍率鱼</t>
  </si>
  <si>
    <t>4阶黄金海盗箱</t>
  </si>
  <si>
    <t>5阶黄金海盗箱</t>
  </si>
  <si>
    <t>2阶黄金海盗箱</t>
  </si>
  <si>
    <t>财富宝箱</t>
  </si>
  <si>
    <t>神秘大银箱</t>
  </si>
  <si>
    <t>神秘贵族箱</t>
  </si>
  <si>
    <t>超级宝藏箱</t>
  </si>
  <si>
    <t>海盗木宝箱</t>
  </si>
  <si>
    <t>海盗铜宝箱</t>
  </si>
  <si>
    <t>海盗银宝箱</t>
  </si>
  <si>
    <t>海盗金宝箱</t>
  </si>
  <si>
    <t>飓风</t>
  </si>
  <si>
    <t>霜冻</t>
  </si>
  <si>
    <t>炎龙</t>
  </si>
  <si>
    <t>魅影</t>
  </si>
  <si>
    <t>光辉</t>
  </si>
  <si>
    <t>暮刃</t>
  </si>
  <si>
    <t>黄铜扭蛋</t>
  </si>
  <si>
    <t>白银扭蛋</t>
  </si>
  <si>
    <t>刺豚黄金扭蛋</t>
  </si>
  <si>
    <t>章鱼王黄金扭蛋</t>
  </si>
  <si>
    <t>尼莫黄金扭蛋</t>
  </si>
  <si>
    <t>万元红包</t>
  </si>
  <si>
    <t>随机技能卡</t>
  </si>
  <si>
    <t>随机技能卡-场次1</t>
  </si>
  <si>
    <t>随机技能卡-场次2</t>
  </si>
  <si>
    <t>随机技能卡-场次3</t>
  </si>
  <si>
    <t>随机技能卡-场次4</t>
  </si>
  <si>
    <t>随机技能卡-场次5</t>
  </si>
  <si>
    <t>随机技能卡-场次3随机</t>
  </si>
  <si>
    <t>随机技能卡-场次4随机</t>
  </si>
  <si>
    <t>随机技能卡-场次5随机</t>
  </si>
  <si>
    <t>连击数达到[var]</t>
  </si>
  <si>
    <t>随机技能卡-场次2随机</t>
  </si>
  <si>
    <t>捕获[var]只BOSS</t>
  </si>
  <si>
    <t>roomId</t>
  </si>
  <si>
    <t>mainTask</t>
  </si>
  <si>
    <t>branchTask</t>
  </si>
  <si>
    <t>randomTask</t>
  </si>
  <si>
    <t>[10011,10012,10013,10014,10015,10016,10017,10018,10019,10020,10021,10022,10023,10024,10025,10026,10027,10028,10029,10030,10031,10032,10033,10034,10035,10036,10037,10038,10039,10040,10041,10042,10043,10044,10045,10046,10047,10048,10049,10050,10051,10052,10053,10054,10055,10056,10057,10058,10059,10060,10061,10062,10063,10064,10065,10066,10067,10068,10069,10070,10071,10072,10073,10074,10075,10076,10077,10078,10079,10080,10081,10082,10083,10084,10085,10086,10087,10088,10089,10090,10091,10092,10093,10094,10095,10096,10097,10098,10099,10100]</t>
  </si>
  <si>
    <t>[11001,11002,11003,11004,11005,11006,11007,11008,11009,11010,11011,11012,11013,11014,11015,11016,11017,11018,11019,11020,11021,11022,11023,11024,11025,11026,11027,11028,11029,11030,11031,11032,11033,11034,11035,11036,11037,11038,11039,11040]</t>
  </si>
  <si>
    <t>[12001,12002,12003,12004,12005,12006,12007,12008]</t>
  </si>
  <si>
    <t>[20001,20002,20003,20004,20005,20006,20007,20008,20009,20010,20011,20012,20013,20014,20015,20016,20017,20018,20019,20020,20021,20022,20023,20024,20025,20026,20027,20028,20029,20030,20031,20032,20033,20034,20035,20036,20037,20038,20039,20040,20041,20042,20043,20044,20045,20046,20047,20048,20049,20050,20051,20052,20053,20054,20055,20056,20057,20058,20059,20060,20061,20062,20063,20064,20065,20066,20067,20068,20069,20070,20071,20072,20073,20074,20075,20076,20077,20078,20079,20080,20081,20082,20083,20084,20085,20086,20087,20088,20089,20090,20091,20092,20093,20094,20095,20096,20097,20098,20099,20100]</t>
  </si>
  <si>
    <t>[21001,21002,21003,21004,21005,21006,21007,21008,21009,21010,21011,21012,21013,21014,21015,21016,21017,21018,21019,21020,21021,21022,21023,21024,21025,21026,21027,21028,21029,21030,21031,21032,21033,21034,21035,21036,21037,21038,21039,21040]</t>
  </si>
  <si>
    <t>[22001,22002,22003,22004,22005,22006,22007,22008,22009]</t>
  </si>
  <si>
    <t>[30001,30002,30003,30004,30005,30006,30007,30008,30009,30010,30011,30012,30013,30014,30015,30016,30017,30018,30019,30020,30021,30022,30023,30024,30025,30026,30027,30028,30029,30030,30031,30032,30033,30034,30035,30036,30037,30038,30039,30040,30041,30042,30043,30044,30045,30046,30047,30048,30049,30050,30051,30052,30053,30054,30055,30056,30057,30058,30059,30060,30061,30062,30063,30064,30065,30066,30067,30068,30069,30070,30071,30072,30073,30074,30075,30076,30077,30078,30079,30080,30081,30082,30083,30084,30085,30086,30087,30088,30089,30090,30091,30092,30093,30094,30095,30096,30097,30098,30099,30100]</t>
  </si>
  <si>
    <t>[31001,31002,31003,31004,31005,31006,31007,31008,31009,31010,31011,31012,31013,31014,31015,31016,31017,31018,31019,31020,31021,31022,31023,31024,31025,31026,31027,31028,31029,31030,31031,31032,31033,31034,31035,31036,31037,31038,31039,31040]</t>
  </si>
  <si>
    <t>[32001,32002,32003,32004,32005,32006,32007,32008,32009]</t>
  </si>
  <si>
    <t>[40001,40002,40003,40004,40005,40006,40007,40008,40009,40010,40011,40012,40013,40014,40015,40016,40017,40018,40019,40020,40021,40022,40023,40024,40025,40026,40027,40028,40029,40030,40031,40032,40033,40034,40035,40036,40037,40038,40039,40040,40041,40042,40043,40044,40045,40046,40047,40048,40049,40050,40051,40052,40053,40054,40055,40056,40057,40058,40059,40060,40061,40062,40063,40064,40065,40066,40067,40068,40069,40070,40071,40072,40073,40074,40075,40076,40077,40078,40079,40080,40081,40082,40083,40084,40085,40086,40087,40088,40089,40090,40091,40092,40093,40094,40095,40096,40097,40098,40099,40100]</t>
  </si>
  <si>
    <t>[41001,41002,41003,41004,41005,41006,41007,41008,41009,41010,41011,41012,41013,41014,41015,41016,41017,41018,41019,41020,41021,41022,41023,41024,41025,41026,41027,41028,41029,41030,41031,41032,41033,41034,41035,41036,41037,41038,41039,41040]</t>
  </si>
  <si>
    <t>[42001,42002,42003,42004,42005,42006,42007,42008,42009]</t>
  </si>
  <si>
    <t>[50001,50002,50003,50004,50005,50006,50007,50008,50009,50010,50011,50012,50013,50014,50015,50016,50017,50018,50019,50020,50021,50022,50023,50024,50025,50026,50027,50028,50029,50030,50031,50032,50033,50034,50035,50036,50037,50038,50039,50040,50041,50042,50043,50044,50045,50046,50047,50048,50049,50050,50051,50052,50053,50054,50055,50056,50057,50058,50059,50060,50061,50062,50063,50064,50065,50066,50067,50068,50069,50070,50071,50072,50073,50074,50075,50076,50077,50078,50079,50080,50081,50082,50083,50084,50085,50086,50087,50088,50089,50090,50091,50092,50093,50094,50095,50096,50097,50098,50099,50100]</t>
  </si>
  <si>
    <t>[51001,51002,51003,51004,51005,51006,51007,51008,51009,51010,51011,51012,51013,51014,51015,51016,51017,51018,51019,51020,51021,51022,51023,51024,51025,51026,51027,51028,51029,51030,51031,51032,51033,51034,51035,51036,51037,51038,51039,51040]</t>
  </si>
  <si>
    <t>[52001,52002,52003,52004,52005,52006,52007,52008,52009]</t>
  </si>
  <si>
    <t>[10001,10002,10003,10004]</t>
  </si>
  <si>
    <t>rewardName</t>
  </si>
  <si>
    <t>productId</t>
  </si>
  <si>
    <t>bonus</t>
  </si>
  <si>
    <t>商品ID</t>
  </si>
  <si>
    <t>奖池金币数</t>
  </si>
  <si>
    <t>实际期望</t>
  </si>
  <si>
    <r>
      <rPr>
        <sz val="12"/>
        <color rgb="FF000000"/>
        <rFont val="微软雅黑"/>
        <charset val="134"/>
      </rPr>
      <t>价格</t>
    </r>
    <r>
      <rPr>
        <sz val="12"/>
        <color rgb="FF000000"/>
        <rFont val="Verdana"/>
        <charset val="134"/>
      </rPr>
      <t>/rmb</t>
    </r>
  </si>
  <si>
    <t>商品本身发放金币</t>
  </si>
  <si>
    <t>实际最低溢价率</t>
  </si>
  <si>
    <t>TY0044C00080001</t>
  </si>
  <si>
    <t>8万金币</t>
  </si>
  <si>
    <t>TY0044C00120001</t>
  </si>
  <si>
    <t>12万金币</t>
  </si>
  <si>
    <t>TY0044C00300001</t>
  </si>
  <si>
    <t>30万金币</t>
  </si>
  <si>
    <t>TY0044C00680001</t>
  </si>
  <si>
    <t>68万金币</t>
  </si>
  <si>
    <t>TY0044C01280001</t>
  </si>
  <si>
    <t>128万金币</t>
  </si>
  <si>
    <t>TY0044C01980001</t>
  </si>
  <si>
    <t>198万金币</t>
  </si>
  <si>
    <t>TY0044C03280001</t>
  </si>
  <si>
    <t>328万金币</t>
  </si>
  <si>
    <t>TY0044C06480001</t>
  </si>
  <si>
    <t>648万金币</t>
  </si>
  <si>
    <t>TY0044G00080001</t>
  </si>
  <si>
    <t>首充礼包</t>
  </si>
  <si>
    <t>TY0044G00300004</t>
  </si>
  <si>
    <t>超值礼包</t>
  </si>
  <si>
    <t>TY0044G00680005</t>
  </si>
  <si>
    <t>转运礼包</t>
  </si>
  <si>
    <t>TY0044G01980005</t>
  </si>
  <si>
    <t>TY0044G03280005</t>
  </si>
  <si>
    <t>TY0044G06480005</t>
  </si>
  <si>
    <t>TY0044G00080005</t>
  </si>
  <si>
    <t>TY0044D00080001</t>
  </si>
  <si>
    <t>每日礼包1</t>
  </si>
  <si>
    <t>TY0044D00300001</t>
  </si>
  <si>
    <t>每日礼包2</t>
  </si>
  <si>
    <t>TY0044D00980001</t>
  </si>
  <si>
    <t>每日礼包3</t>
  </si>
  <si>
    <t>TY0044D03280001</t>
  </si>
  <si>
    <t>每日礼包4</t>
  </si>
  <si>
    <t>TY0044D06480001</t>
  </si>
  <si>
    <t>每日礼包5</t>
  </si>
  <si>
    <t>TY0044G01280004</t>
  </si>
  <si>
    <t>豪华礼包</t>
  </si>
  <si>
    <t>TY0044G06480004</t>
  </si>
  <si>
    <t>终极礼包</t>
  </si>
  <si>
    <t>TY0044G00010005</t>
  </si>
  <si>
    <t>TY0044G00080006</t>
  </si>
  <si>
    <t>升级礼包</t>
  </si>
  <si>
    <t>TY0044A00300001</t>
  </si>
  <si>
    <t>TY0044A00600001</t>
  </si>
  <si>
    <t>TY0044A01200001</t>
  </si>
  <si>
    <t>TY0044G00080007</t>
  </si>
  <si>
    <t>TY0044G00080008</t>
  </si>
  <si>
    <t>TY0044G00680006</t>
  </si>
  <si>
    <t>TY0044G00680007</t>
  </si>
  <si>
    <t>TY0044G01980006</t>
  </si>
  <si>
    <t>TY0044G01980007</t>
  </si>
  <si>
    <t>TY0044G03280006</t>
  </si>
  <si>
    <t>TY0044G03280007</t>
  </si>
  <si>
    <t>TY0044G06480006</t>
  </si>
  <si>
    <t>TY0044G06480007</t>
  </si>
  <si>
    <t>shareId</t>
  </si>
  <si>
    <t>typeId</t>
  </si>
  <si>
    <t>title</t>
  </si>
  <si>
    <t>desc1</t>
  </si>
  <si>
    <t>desc2</t>
  </si>
  <si>
    <t>condition</t>
  </si>
  <si>
    <t>vipLimit</t>
  </si>
  <si>
    <t>levelLimit</t>
  </si>
  <si>
    <t>versionLimit</t>
  </si>
  <si>
    <t>timeLimit</t>
  </si>
  <si>
    <t>locationLimit</t>
  </si>
  <si>
    <t>popCountLimit</t>
  </si>
  <si>
    <t>finishCountLimit</t>
  </si>
  <si>
    <t>expiresType</t>
  </si>
  <si>
    <t>finishType</t>
  </si>
  <si>
    <t>modes</t>
  </si>
  <si>
    <t>rewards1</t>
  </si>
  <si>
    <t>rewards2</t>
  </si>
  <si>
    <t>分享ID</t>
  </si>
  <si>
    <t>分享类型</t>
  </si>
  <si>
    <t>分享标题</t>
  </si>
  <si>
    <t>分享描述</t>
  </si>
  <si>
    <t>广告描述</t>
  </si>
  <si>
    <t>分享弹出条件</t>
  </si>
  <si>
    <t>分享可见性限制(VIP等级)</t>
  </si>
  <si>
    <t>分享可见性限制(火炮等级)</t>
  </si>
  <si>
    <t>分享模式限制(版本范围)</t>
  </si>
  <si>
    <t>分享模式限制(时间范围)</t>
  </si>
  <si>
    <t>分享模式限制(区域)</t>
  </si>
  <si>
    <t>弹出次数上限</t>
  </si>
  <si>
    <t>完成次数上限</t>
  </si>
  <si>
    <t>分享有效期类型</t>
  </si>
  <si>
    <t>分享完成类型</t>
  </si>
  <si>
    <t>是否为分享到群类型</t>
  </si>
  <si>
    <t>分享模式</t>
  </si>
  <si>
    <t>分享奖励</t>
  </si>
  <si>
    <t>广告奖励</t>
  </si>
  <si>
    <t>limit_task_finish_1</t>
  </si>
  <si>
    <r>
      <rPr>
        <sz val="14"/>
        <color rgb="FF000000"/>
        <rFont val="宋体-简"/>
        <charset val="134"/>
      </rPr>
      <t>首次完成限时任务</t>
    </r>
    <r>
      <rPr>
        <sz val="14"/>
        <color rgb="FF000000"/>
        <rFont val="Tahoma"/>
        <charset val="134"/>
      </rPr>
      <t>(</t>
    </r>
    <r>
      <rPr>
        <sz val="14"/>
        <color rgb="FF000000"/>
        <rFont val="宋体-简"/>
        <charset val="134"/>
      </rPr>
      <t>已废弃</t>
    </r>
    <r>
      <rPr>
        <sz val="14"/>
        <color rgb="FF000000"/>
        <rFont val="Tahoma"/>
        <charset val="134"/>
      </rPr>
      <t>)</t>
    </r>
  </si>
  <si>
    <t>恭喜首次完成限时任务，分享立得：</t>
  </si>
  <si>
    <t>恭喜首次完成限时任务，看视频立得：</t>
  </si>
  <si>
    <t>完成第3个红包任务</t>
  </si>
  <si>
    <t>[3, 1]</t>
  </si>
  <si>
    <t>[{"name": 101, "count": 2000}]</t>
  </si>
  <si>
    <t>gun_obtain</t>
  </si>
  <si>
    <t>分享获得皮肤炮：霜冻</t>
  </si>
  <si>
    <t>点击分享，立得稀有炮台</t>
  </si>
  <si>
    <t>看视频立得稀有炮台</t>
  </si>
  <si>
    <r>
      <rPr>
        <sz val="14"/>
        <color rgb="FF000000"/>
        <rFont val="宋体"/>
        <charset val="134"/>
      </rPr>
      <t>完成第</t>
    </r>
    <r>
      <rPr>
        <sz val="14"/>
        <color rgb="FF000000"/>
        <rFont val="Tahoma"/>
        <charset val="134"/>
      </rPr>
      <t>5</t>
    </r>
    <r>
      <rPr>
        <sz val="14"/>
        <color rgb="FF000000"/>
        <rFont val="宋体"/>
        <charset val="134"/>
      </rPr>
      <t>个红包任务</t>
    </r>
  </si>
  <si>
    <t>[{"name": 1165, "count": 1}]</t>
  </si>
  <si>
    <t>gun_present</t>
  </si>
  <si>
    <r>
      <rPr>
        <sz val="14"/>
        <color rgb="FF000000"/>
        <rFont val="宋体-简"/>
        <charset val="134"/>
      </rPr>
      <t>赠送皮肤炮：霜冻</t>
    </r>
    <r>
      <rPr>
        <sz val="14"/>
        <color rgb="FF000000"/>
        <rFont val="Tahoma"/>
        <charset val="134"/>
      </rPr>
      <t>(</t>
    </r>
    <r>
      <rPr>
        <sz val="14"/>
        <color rgb="FF000000"/>
        <rFont val="宋体-简"/>
        <charset val="134"/>
      </rPr>
      <t>已废弃</t>
    </r>
    <r>
      <rPr>
        <sz val="14"/>
        <color rgb="FF000000"/>
        <rFont val="Tahoma"/>
        <charset val="134"/>
      </rPr>
      <t>)</t>
    </r>
  </si>
  <si>
    <t>他人点击分享，自己立得霜冻x1天</t>
  </si>
  <si>
    <t>[[{"name": 1165, "count": 24}], [{"name": 1165, "count": 1}]]</t>
  </si>
  <si>
    <t>limit_task_fail</t>
  </si>
  <si>
    <t>任务失败分享加速(已废弃)</t>
  </si>
  <si>
    <t>分享即可获得200%任务加速</t>
  </si>
  <si>
    <t>看视频即可获得200%任务加速</t>
  </si>
  <si>
    <t>第10个红包任务失败</t>
  </si>
  <si>
    <t>multiple_fish_catch_1</t>
  </si>
  <si>
    <t>首次捕获倍率鱼(已废弃)</t>
  </si>
  <si>
    <t>恭喜您首次捕获倍率鱼，分享立得：</t>
  </si>
  <si>
    <t>恭喜您首次捕获倍率鱼，看视频立得：</t>
  </si>
  <si>
    <t>第一次捕获倍率鱼</t>
  </si>
  <si>
    <t>[2, 1]</t>
  </si>
  <si>
    <t>[{"name": 101, "count": 1000}]</t>
  </si>
  <si>
    <t>checkin</t>
  </si>
  <si>
    <t>每日签到分享</t>
  </si>
  <si>
    <t>完成每日签到</t>
  </si>
  <si>
    <t>skill_obtain_grenade</t>
  </si>
  <si>
    <r>
      <rPr>
        <sz val="14"/>
        <color rgb="FF000000"/>
        <rFont val="宋体-简"/>
        <charset val="134"/>
      </rPr>
      <t>分享提升技能</t>
    </r>
    <r>
      <rPr>
        <sz val="14"/>
        <color rgb="FF000000"/>
        <rFont val="Tahoma"/>
        <charset val="134"/>
      </rPr>
      <t>(</t>
    </r>
    <r>
      <rPr>
        <sz val="14"/>
        <color rgb="FF000000"/>
        <rFont val="宋体-简"/>
        <charset val="134"/>
      </rPr>
      <t>已废弃</t>
    </r>
    <r>
      <rPr>
        <sz val="14"/>
        <color rgb="FF000000"/>
        <rFont val="Tahoma"/>
        <charset val="134"/>
      </rPr>
      <t>)</t>
    </r>
  </si>
  <si>
    <t>分享即可提升技能等级！</t>
  </si>
  <si>
    <t>看视频即可提升技能等级！</t>
  </si>
  <si>
    <t>完成渔场任务首次获得榴弹炮</t>
  </si>
  <si>
    <t>coin_store</t>
  </si>
  <si>
    <t>分享获得金币</t>
  </si>
  <si>
    <t>金币充值界面</t>
  </si>
  <si>
    <t>[{"name": 101, "count": 3000}]</t>
  </si>
  <si>
    <t>match_end</t>
  </si>
  <si>
    <t>比赛分享(已废弃)</t>
  </si>
  <si>
    <t>分享即可获得1000金币</t>
  </si>
  <si>
    <t>比赛结束后</t>
  </si>
  <si>
    <t>boss_fish_catch</t>
  </si>
  <si>
    <t>捕获BOSS分享</t>
  </si>
  <si>
    <t>分享立得：</t>
  </si>
  <si>
    <t>看视频立得：</t>
  </si>
  <si>
    <t>捕获BOSS后</t>
  </si>
  <si>
    <t>multiple_fish_catch</t>
  </si>
  <si>
    <r>
      <rPr>
        <sz val="14"/>
        <color rgb="FF000000"/>
        <rFont val="宋体-简"/>
        <charset val="134"/>
      </rPr>
      <t>捕获倍率鱼分享</t>
    </r>
    <r>
      <rPr>
        <sz val="14"/>
        <color rgb="FF000000"/>
        <rFont val="Tahoma"/>
        <charset val="134"/>
      </rPr>
      <t>(</t>
    </r>
    <r>
      <rPr>
        <sz val="14"/>
        <color rgb="FF000000"/>
        <rFont val="宋体-简"/>
        <charset val="134"/>
      </rPr>
      <t>已废弃</t>
    </r>
    <r>
      <rPr>
        <sz val="14"/>
        <color rgb="FF000000"/>
        <rFont val="Tahoma"/>
        <charset val="134"/>
      </rPr>
      <t>)</t>
    </r>
  </si>
  <si>
    <t>捕获倍率鱼后</t>
  </si>
  <si>
    <t>skill_cooldown</t>
  </si>
  <si>
    <t>技能刷新CD分享</t>
  </si>
  <si>
    <t>每日n次</t>
  </si>
  <si>
    <t>[{"name": 1408, "count": 1}]</t>
  </si>
  <si>
    <t>first_bucket_gold</t>
  </si>
  <si>
    <t>第一桶金(已废弃)</t>
  </si>
  <si>
    <t>第一桶金</t>
  </si>
  <si>
    <r>
      <rPr>
        <sz val="14"/>
        <color rgb="FF000000"/>
        <rFont val="宋体"/>
        <charset val="134"/>
      </rPr>
      <t>完成第</t>
    </r>
    <r>
      <rPr>
        <sz val="14"/>
        <color rgb="FF000000"/>
        <rFont val="Tahoma"/>
        <charset val="134"/>
      </rPr>
      <t>4</t>
    </r>
    <r>
      <rPr>
        <sz val="14"/>
        <color rgb="FF000000"/>
        <rFont val="宋体"/>
        <charset val="134"/>
      </rPr>
      <t>个红包任务</t>
    </r>
  </si>
  <si>
    <t>alms_coin</t>
  </si>
  <si>
    <t>救济金分享</t>
  </si>
  <si>
    <t>金币不足</t>
  </si>
  <si>
    <t>{"44001": [{"name": 101, "count": 2000, "multiple": 5}], "44002": [{"name": 101, "count": 2000, "multiple": 5}], "44003": [{"name": 101, "count": 2000, "multiple": 5}], "44004": [{"name": 101, "count": 2000, "multiple": 5}], "44005": [{"name": 101, "count": 2000, "multiple": 5}],"44501": [{"name": 101, "count": 2000, "multiple": 5}],"44601": [{"name": 101, "count": 2000, "multiple": 5}]}</t>
  </si>
  <si>
    <t>starfish_catch</t>
  </si>
  <si>
    <r>
      <rPr>
        <sz val="14"/>
        <color rgb="FF000000"/>
        <rFont val="宋体-简"/>
        <charset val="134"/>
      </rPr>
      <t>捕获海星分享</t>
    </r>
    <r>
      <rPr>
        <sz val="14"/>
        <color rgb="FF000000"/>
        <rFont val="Tahoma"/>
        <charset val="134"/>
      </rPr>
      <t>(</t>
    </r>
    <r>
      <rPr>
        <sz val="14"/>
        <color rgb="FF000000"/>
        <rFont val="宋体-简"/>
        <charset val="134"/>
      </rPr>
      <t>未开发</t>
    </r>
    <r>
      <rPr>
        <sz val="14"/>
        <color rgb="FF000000"/>
        <rFont val="Tahoma"/>
        <charset val="134"/>
      </rPr>
      <t>)</t>
    </r>
  </si>
  <si>
    <t>恭喜您获得海星，分享立得：</t>
  </si>
  <si>
    <t>恭喜您获得海星，看视频立得：</t>
  </si>
  <si>
    <t>捕鱼获得海星时</t>
  </si>
  <si>
    <t>[0, 1]</t>
  </si>
  <si>
    <t>skill_obtain_missile</t>
  </si>
  <si>
    <t>分享提升技能(已废弃)</t>
  </si>
  <si>
    <t>完成第6个红包任务</t>
  </si>
  <si>
    <t>skill_obtain_cannon</t>
  </si>
  <si>
    <t>完成渔场任务首次获得火蛇加农炮</t>
  </si>
  <si>
    <t>skill_obtain_energy</t>
  </si>
  <si>
    <t>完成渔场任务首次获得汇能弹</t>
  </si>
  <si>
    <t>skill_obtain_laser</t>
  </si>
  <si>
    <t>完成渔场任务首次获得激光炮</t>
  </si>
  <si>
    <t>limit_task_success</t>
  </si>
  <si>
    <t>任务完成分享双倍</t>
  </si>
  <si>
    <t>限时任务完成(完成万元红包任务后)</t>
  </si>
  <si>
    <t>random_chest</t>
  </si>
  <si>
    <t>随机分享宝箱</t>
  </si>
  <si>
    <t>特定算法</t>
  </si>
  <si>
    <t>{"58109":{"rewards":[{"name": 31101, "count": 1}], "sale":[]},"58110":{"rewards":[{"name": 32101, "count": 1}], "sale":[]},"58111":{"rewards":[{"name": 33101, "count": 1}], "sale":[]},"58112":{"rewards":[{"name": 34101, "count": 1}], "sale":[]},"58113":{"rewards":[{"name": 35101, "count": 1}], "sale":[]}}</t>
  </si>
  <si>
    <t>honor_obtain</t>
  </si>
  <si>
    <r>
      <rPr>
        <sz val="14"/>
        <color rgb="FF000000"/>
        <rFont val="宋体-简"/>
        <charset val="134"/>
      </rPr>
      <t>获得称号</t>
    </r>
    <r>
      <rPr>
        <sz val="14"/>
        <color rgb="FF000000"/>
        <rFont val="Tahoma"/>
        <charset val="134"/>
      </rPr>
      <t>(</t>
    </r>
    <r>
      <rPr>
        <sz val="14"/>
        <color rgb="FF000000"/>
        <rFont val="宋体-简"/>
        <charset val="134"/>
      </rPr>
      <t>未开发</t>
    </r>
    <r>
      <rPr>
        <sz val="14"/>
        <color rgb="FF000000"/>
        <rFont val="Tahoma"/>
        <charset val="134"/>
      </rPr>
      <t>)</t>
    </r>
  </si>
  <si>
    <t>解锁新称号时</t>
  </si>
  <si>
    <t>chest_accelerate</t>
  </si>
  <si>
    <r>
      <rPr>
        <sz val="14"/>
        <color rgb="FF000000"/>
        <rFont val="宋体-简"/>
        <charset val="134"/>
      </rPr>
      <t>宝箱加速分享</t>
    </r>
  </si>
  <si>
    <r>
      <rPr>
        <sz val="14"/>
        <color rgb="FF000000"/>
        <rFont val="宋体-简"/>
        <charset val="134"/>
      </rPr>
      <t>每当一名玩家点击分享，即可减少</t>
    </r>
    <r>
      <rPr>
        <sz val="14"/>
        <color rgb="FF000000"/>
        <rFont val="Tahoma"/>
        <charset val="134"/>
      </rPr>
      <t>30</t>
    </r>
    <r>
      <rPr>
        <sz val="14"/>
        <color rgb="FF000000"/>
        <rFont val="宋体-简"/>
        <charset val="134"/>
      </rPr>
      <t>分钟冷却时间</t>
    </r>
  </si>
  <si>
    <t>在渔场中获得宝箱且该宝箱正在走CD</t>
  </si>
  <si>
    <t>[0]</t>
  </si>
  <si>
    <t>flying_pig</t>
  </si>
  <si>
    <t>分享领豪礼！</t>
  </si>
  <si>
    <t>[{"name": 103, "count": 20, "multiple": 1, "saleCoin": 0},{"name": 1149, "count": 10, "multiple": 1, "saleCoin": 0},{"name": 1137, "count": 10, "multiple": 1, "saleCoin": 0},{"name": 1408, "count": 5, "multiple": 1, "saleCoin": 0}, {"name": 1137, "count": 10, "multiple": 1, "saleCoin": 0}]</t>
  </si>
  <si>
    <t>[{"name": 103, "count": 20, "multiple": 1, "saleCoin": 0},{"name": 1149, "count": 10, "multiple": 1, "saleCoin": 0},{"name": 1137, "count": 5, "multiple": 1, "saleCoin": 0},{"name": 1408, "count": 5, "multiple": 1, "saleCoin": 0}, {"name": 1137, "count": 5, "multiple": 1, "saleCoin": 0}]</t>
  </si>
  <si>
    <t>red_fish_catch</t>
  </si>
  <si>
    <t>捕获红包鱼分享</t>
  </si>
  <si>
    <t>{"share":{"name": 103, "randomArray": [10]}}</t>
  </si>
  <si>
    <t>starweight</t>
  </si>
  <si>
    <t>ticketweight</t>
  </si>
  <si>
    <t>priceTypeCount</t>
  </si>
  <si>
    <t>priceItemId</t>
  </si>
  <si>
    <t>playTimes</t>
  </si>
  <si>
    <t>priceCount</t>
  </si>
  <si>
    <t>level</t>
  </si>
  <si>
    <t>unlockLevel</t>
  </si>
  <si>
    <t>rule</t>
  </si>
  <si>
    <r>
      <rPr>
        <u/>
        <sz val="11"/>
        <color rgb="FF0000FF"/>
        <rFont val="Helvetica"/>
        <charset val="134"/>
      </rPr>
      <t>索引</t>
    </r>
  </si>
  <si>
    <t>名字</t>
  </si>
  <si>
    <t>item类型数量</t>
  </si>
  <si>
    <t>消耗item</t>
  </si>
  <si>
    <t>次数</t>
  </si>
  <si>
    <t>数量</t>
  </si>
  <si>
    <t>升级经验</t>
  </si>
  <si>
    <t>索引1对应的掉落数量</t>
  </si>
  <si>
    <t>解锁需要的玩家等级</t>
  </si>
  <si>
    <t>转盘规则</t>
  </si>
  <si>
    <t>ID_CONFIG_KINDID_ITEM:1154</t>
  </si>
  <si>
    <t>ID_CONFIG_STARFISH_TURN_RULE</t>
  </si>
  <si>
    <t>ID_CONFIG_KINDID_ITEM:1164</t>
  </si>
  <si>
    <t>ID_CONFIG_KINDID_ITEM:1286</t>
  </si>
  <si>
    <t>ID_CONFIG_KINDID_ITEM:1287</t>
  </si>
  <si>
    <t>ID_CONFIG_KINDID_ITEM:1194</t>
  </si>
  <si>
    <t>ID_CONFIG_KINDID_ITEM:1193</t>
  </si>
  <si>
    <t>ID_CONFIG_KINDID_USER:COUPON</t>
  </si>
  <si>
    <t>ID_CONFIG_KINDID_USER:CHIP</t>
  </si>
  <si>
    <t>displayCount</t>
  </si>
  <si>
    <t>shareMultiple</t>
  </si>
  <si>
    <t>advertMultiple</t>
  </si>
  <si>
    <t>saleCoin</t>
  </si>
  <si>
    <t>道具ID</t>
  </si>
  <si>
    <t>显示数量</t>
  </si>
  <si>
    <t>分享倍数</t>
  </si>
  <si>
    <t>广告倍数</t>
  </si>
  <si>
    <t>出售金币</t>
  </si>
  <si>
    <t>合金飞弹技能卡</t>
  </si>
  <si>
    <t>魔术炮技能卡</t>
  </si>
  <si>
    <t>火蛇加农炮技能卡</t>
  </si>
  <si>
    <t>极冻炮技能卡</t>
  </si>
  <si>
    <t>榴弹炮技能卡</t>
  </si>
  <si>
    <t>汇能弹技能卡</t>
  </si>
  <si>
    <t>激光炮技能卡</t>
  </si>
  <si>
    <t>猎鱼机甲技能卡</t>
  </si>
  <si>
    <t>格林机关枪技能卡</t>
  </si>
  <si>
    <t>一星宝箱</t>
  </si>
  <si>
    <t>rank</t>
  </si>
  <si>
    <t>des</t>
  </si>
  <si>
    <t>des2</t>
  </si>
  <si>
    <t>名次</t>
  </si>
  <si>
    <t>超越的玩家</t>
  </si>
  <si>
    <t>玩家当前排名</t>
  </si>
  <si>
    <r>
      <rPr>
        <sz val="11"/>
        <color theme="1"/>
        <rFont val="等线"/>
        <charset val="134"/>
      </rPr>
      <t>第5</t>
    </r>
    <r>
      <rPr>
        <sz val="11"/>
        <color theme="1"/>
        <rFont val="等线"/>
        <charset val="134"/>
      </rPr>
      <t>000</t>
    </r>
    <r>
      <rPr>
        <sz val="11"/>
        <color theme="1"/>
        <rFont val="Verdana"/>
        <charset val="134"/>
      </rPr>
      <t>名的玩家</t>
    </r>
  </si>
  <si>
    <r>
      <rPr>
        <sz val="11"/>
        <color theme="1"/>
        <rFont val="等线"/>
        <charset val="134"/>
      </rPr>
      <t>5</t>
    </r>
    <r>
      <rPr>
        <sz val="11"/>
        <color theme="1"/>
        <rFont val="等线"/>
        <charset val="134"/>
      </rPr>
      <t>001-9999</t>
    </r>
  </si>
  <si>
    <r>
      <rPr>
        <sz val="11"/>
        <color theme="1"/>
        <rFont val="等线"/>
        <charset val="134"/>
      </rPr>
      <t>第2</t>
    </r>
    <r>
      <rPr>
        <sz val="11"/>
        <color theme="1"/>
        <rFont val="等线"/>
        <charset val="134"/>
      </rPr>
      <t>000</t>
    </r>
    <r>
      <rPr>
        <sz val="11"/>
        <color theme="1"/>
        <rFont val="Verdana"/>
        <charset val="134"/>
      </rPr>
      <t>名的玩家</t>
    </r>
  </si>
  <si>
    <r>
      <rPr>
        <sz val="11"/>
        <color theme="1"/>
        <rFont val="等线"/>
        <charset val="134"/>
      </rPr>
      <t>2</t>
    </r>
    <r>
      <rPr>
        <sz val="11"/>
        <color theme="1"/>
        <rFont val="等线"/>
        <charset val="134"/>
      </rPr>
      <t>001-5000</t>
    </r>
  </si>
  <si>
    <r>
      <rPr>
        <sz val="11"/>
        <color theme="1"/>
        <rFont val="等线"/>
        <charset val="134"/>
      </rPr>
      <t>第1</t>
    </r>
    <r>
      <rPr>
        <sz val="11"/>
        <color theme="1"/>
        <rFont val="等线"/>
        <charset val="134"/>
      </rPr>
      <t>000</t>
    </r>
    <r>
      <rPr>
        <sz val="11"/>
        <color theme="1"/>
        <rFont val="Verdana"/>
        <charset val="134"/>
      </rPr>
      <t>名的玩家</t>
    </r>
  </si>
  <si>
    <r>
      <rPr>
        <sz val="11"/>
        <color theme="1"/>
        <rFont val="等线"/>
        <charset val="134"/>
      </rPr>
      <t>1</t>
    </r>
    <r>
      <rPr>
        <sz val="11"/>
        <color theme="1"/>
        <rFont val="等线"/>
        <charset val="134"/>
      </rPr>
      <t>001-2000</t>
    </r>
  </si>
  <si>
    <r>
      <rPr>
        <sz val="11"/>
        <color theme="1"/>
        <rFont val="等线"/>
        <charset val="134"/>
      </rPr>
      <t>第5</t>
    </r>
    <r>
      <rPr>
        <sz val="11"/>
        <color theme="1"/>
        <rFont val="等线"/>
        <charset val="134"/>
      </rPr>
      <t>00</t>
    </r>
    <r>
      <rPr>
        <sz val="11"/>
        <color theme="1"/>
        <rFont val="Verdana"/>
        <charset val="134"/>
      </rPr>
      <t>名的玩家</t>
    </r>
  </si>
  <si>
    <t>501-1000</t>
  </si>
  <si>
    <t>第100名的玩家</t>
  </si>
  <si>
    <t>101~500</t>
  </si>
  <si>
    <t>第80名的玩家</t>
  </si>
  <si>
    <t>81~100</t>
  </si>
  <si>
    <t>第50名的玩家</t>
  </si>
  <si>
    <t>51~80</t>
  </si>
  <si>
    <t>第30名的玩家</t>
  </si>
  <si>
    <t>31~50</t>
  </si>
  <si>
    <t>第20名的玩家</t>
  </si>
  <si>
    <t>21~30</t>
  </si>
  <si>
    <t>第10名的玩家</t>
  </si>
  <si>
    <t>11~20</t>
  </si>
  <si>
    <t>第5名的玩家</t>
  </si>
  <si>
    <t>6~10</t>
  </si>
  <si>
    <t>第3名的玩家</t>
  </si>
  <si>
    <t>4~5</t>
  </si>
  <si>
    <t>第2名的玩家</t>
  </si>
  <si>
    <t>第1名的玩家</t>
  </si>
  <si>
    <t>item</t>
  </si>
  <si>
    <t>incrPearlDropRate</t>
  </si>
  <si>
    <t>incrCrystalDropRate</t>
  </si>
  <si>
    <r>
      <rPr>
        <sz val="12"/>
        <color rgb="FF000000"/>
        <rFont val="宋体-简"/>
        <charset val="134"/>
      </rPr>
      <t>物品</t>
    </r>
    <r>
      <rPr>
        <sz val="12"/>
        <color rgb="FF000000"/>
        <rFont val="Verdana"/>
        <charset val="134"/>
      </rPr>
      <t>Id</t>
    </r>
  </si>
  <si>
    <t>提升珍珠掉率(pct)</t>
  </si>
  <si>
    <t>提升水晶掉率(pct)</t>
  </si>
  <si>
    <t>minTime</t>
  </si>
  <si>
    <t>maxTime</t>
  </si>
  <si>
    <t>鱼的Id</t>
  </si>
  <si>
    <t>最小时间间隔</t>
  </si>
  <si>
    <t>时间间隔</t>
  </si>
  <si>
    <t>间隔(秒)</t>
  </si>
  <si>
    <t>supplyInterval</t>
  </si>
  <si>
    <t>minCount</t>
  </si>
  <si>
    <t>maxCount</t>
  </si>
  <si>
    <t>minInterval</t>
  </si>
  <si>
    <t>maxInterval</t>
  </si>
  <si>
    <t>probb14</t>
  </si>
  <si>
    <t>补充鱼时间</t>
  </si>
  <si>
    <t>最少条数</t>
  </si>
  <si>
    <t>最多条数</t>
  </si>
  <si>
    <t>鱼ID1</t>
  </si>
  <si>
    <t>概率1</t>
  </si>
  <si>
    <t>鱼ID2</t>
  </si>
  <si>
    <t>概率2</t>
  </si>
  <si>
    <t>鱼ID3</t>
  </si>
  <si>
    <t>概率3</t>
  </si>
  <si>
    <t>鱼ID4</t>
  </si>
  <si>
    <t>概率4</t>
  </si>
  <si>
    <t>鱼ID5</t>
  </si>
  <si>
    <t>概率5</t>
  </si>
  <si>
    <t>鱼ID6</t>
  </si>
  <si>
    <t>概率6</t>
  </si>
  <si>
    <t>鱼ID7</t>
  </si>
  <si>
    <t>概率7</t>
  </si>
  <si>
    <t>鱼ID8</t>
  </si>
  <si>
    <t>概率8</t>
  </si>
  <si>
    <t>鱼ID9</t>
  </si>
  <si>
    <t>概率9</t>
  </si>
  <si>
    <t>鱼ID10</t>
  </si>
  <si>
    <t>概率10</t>
  </si>
  <si>
    <t>鱼ID11</t>
  </si>
  <si>
    <t>概率11</t>
  </si>
  <si>
    <t>鱼ID12</t>
  </si>
  <si>
    <t>概率12</t>
  </si>
  <si>
    <t>鱼ID13</t>
  </si>
  <si>
    <t>概率13</t>
  </si>
  <si>
    <t>鱼ID14</t>
  </si>
  <si>
    <t>概率14</t>
  </si>
  <si>
    <t>fishId</t>
  </si>
  <si>
    <t>鱼ID４</t>
  </si>
  <si>
    <t>鱼ID５</t>
  </si>
  <si>
    <t>enable</t>
  </si>
  <si>
    <t>fireCountRange</t>
  </si>
  <si>
    <t>idleCountRange</t>
  </si>
  <si>
    <t>leaveCountRange</t>
  </si>
  <si>
    <t>chatExpList</t>
  </si>
  <si>
    <t>是否启用</t>
  </si>
  <si>
    <t>开火次数</t>
  </si>
  <si>
    <t>空闲计数(5s为单位)</t>
  </si>
  <si>
    <t>离开计数(5s为单位)</t>
  </si>
  <si>
    <t>表情列表</t>
  </si>
  <si>
    <t>[80,200]</t>
  </si>
  <si>
    <t>[2,5]</t>
  </si>
  <si>
    <t>[1,3]</t>
  </si>
  <si>
    <t>[1,2,3]</t>
  </si>
  <si>
    <t>fishpool</t>
  </si>
  <si>
    <t>启动上报</t>
  </si>
  <si>
    <t>上报间隔</t>
  </si>
  <si>
    <t>一次上报的数量</t>
  </si>
  <si>
    <t>days</t>
  </si>
  <si>
    <t>times_in_day</t>
  </si>
  <si>
    <t>ready_interval</t>
  </si>
  <si>
    <t>room_list</t>
  </si>
  <si>
    <t>fish_type</t>
  </si>
  <si>
    <t>life_time</t>
  </si>
  <si>
    <t>是否开启</t>
  </si>
  <si>
    <t>时间设置</t>
  </si>
  <si>
    <t>每天中的时间设置</t>
  </si>
  <si>
    <t>出现前的时间间隔</t>
  </si>
  <si>
    <t>房间列表</t>
  </si>
  <si>
    <t>声明周期</t>
  </si>
  <si>
    <t>{
                    "count": 365,
                    "first": "",
                    "interval": "1d"
                }</t>
  </si>
  <si>
    <t>{
                    "count": 800,
                    "first": "0:00",
                    "interval": 10
                }</t>
  </si>
  <si>
    <t>[44401,44402]</t>
  </si>
  <si>
    <t>boss阶段</t>
  </si>
  <si>
    <t>阶段血量</t>
  </si>
  <si>
    <t>血量衰减比例</t>
  </si>
  <si>
    <t>血量锁定比例</t>
  </si>
  <si>
    <t>阶段捕获奖励描述</t>
  </si>
  <si>
    <t>阶段捕获奖励</t>
  </si>
  <si>
    <t>最后一击vip等级</t>
  </si>
  <si>
    <t>有效命中几率</t>
  </si>
  <si>
    <t>伤害比例</t>
  </si>
  <si>
    <t>奖励几率</t>
  </si>
  <si>
    <t>奖励描述</t>
  </si>
  <si>
    <t>命中奖励1</t>
  </si>
  <si>
    <t>奖励倍数下限</t>
  </si>
  <si>
    <t>奖励倍数上限</t>
  </si>
  <si>
    <t>命中奖励2</t>
  </si>
  <si>
    <t>命中奖励3</t>
  </si>
  <si>
    <t>命中奖励4</t>
  </si>
  <si>
    <t>stage</t>
  </si>
  <si>
    <t>blood_volume</t>
  </si>
  <si>
    <t>attenuation_ratio</t>
  </si>
  <si>
    <t>Locked_blood_ratio</t>
  </si>
  <si>
    <t>capture_reward</t>
  </si>
  <si>
    <t>vip</t>
  </si>
  <si>
    <t>hunt_probb</t>
  </si>
  <si>
    <t>hunt_ratio</t>
  </si>
  <si>
    <t>reward1_probb</t>
  </si>
  <si>
    <t>hunt_reward1</t>
  </si>
  <si>
    <t>reward1_Multiple1</t>
  </si>
  <si>
    <t>reward1_Multiple2</t>
  </si>
  <si>
    <t>reward2_probb</t>
  </si>
  <si>
    <t>hunt_reward2</t>
  </si>
  <si>
    <t>reward2_Multiple1</t>
  </si>
  <si>
    <t>reward2_Multiple2</t>
  </si>
  <si>
    <t>reward3_probb</t>
  </si>
  <si>
    <t>hunt_reward3</t>
  </si>
  <si>
    <t>reward3_Multiple1</t>
  </si>
  <si>
    <t>reward3_Multiple2</t>
  </si>
  <si>
    <t>reward4_probb</t>
  </si>
  <si>
    <t>hunt_reward4</t>
  </si>
  <si>
    <t>reward4_Multiple1</t>
  </si>
  <si>
    <t>reward4_Multiple2</t>
  </si>
  <si>
    <t>[{"name": 103, "count": 10}]</t>
  </si>
  <si>
    <t>排名</t>
  </si>
  <si>
    <t>奖励道具</t>
  </si>
  <si>
    <t>奖励数量</t>
  </si>
  <si>
    <t>rewards</t>
  </si>
  <si>
    <t>黄金招财珠</t>
  </si>
  <si>
    <t>[{"name": 1194, "count": 10}]</t>
  </si>
  <si>
    <t>[{"name": 1194, "count": 9}]</t>
  </si>
  <si>
    <t>[{"name": 1194, "count": 8}]</t>
  </si>
  <si>
    <t>白银招财珠</t>
  </si>
  <si>
    <t>[{"name": 1194, "count": 7}]</t>
  </si>
  <si>
    <t>[{"name": 1194, "count": 6}]</t>
  </si>
  <si>
    <t>[{"name": 1194, "count": 5}]</t>
  </si>
  <si>
    <t>[{"name": 1194, "count": 4}]</t>
  </si>
  <si>
    <t>[{"name": 1194, "count": 3}]</t>
  </si>
  <si>
    <t>[{"name": 1194, "count": 2}]</t>
  </si>
  <si>
    <t>[{"name": 1193, "count": 1}]</t>
  </si>
  <si>
    <t>room_id</t>
  </si>
  <si>
    <t>enable_pool</t>
  </si>
  <si>
    <t>record_count</t>
  </si>
  <si>
    <t>send_prize_interl</t>
  </si>
  <si>
    <t>winning_base_coin</t>
  </si>
  <si>
    <t>min_realpool_count</t>
  </si>
  <si>
    <t>fish_score</t>
  </si>
  <si>
    <t>reward_pct_1</t>
  </si>
  <si>
    <t>reward_pct_2</t>
  </si>
  <si>
    <t>reward_pct_3</t>
  </si>
  <si>
    <t>minWinningRate</t>
  </si>
  <si>
    <t>poolPct</t>
  </si>
  <si>
    <t>所在房间</t>
  </si>
  <si>
    <t>开启奖池</t>
  </si>
  <si>
    <t>纪录数量</t>
  </si>
  <si>
    <t>发放奖励时间间隔</t>
  </si>
  <si>
    <t>中奖金币基数</t>
  </si>
  <si>
    <t>可以发奖的最低真实奖池量</t>
  </si>
  <si>
    <t>中奖检测所需的鱼的分值</t>
  </si>
  <si>
    <t>权重，百分比</t>
  </si>
  <si>
    <t>最低中奖万分比（大于等于）</t>
  </si>
  <si>
    <t>假奖池占真奖池比例</t>
  </si>
  <si>
    <t>[44404,44405]</t>
  </si>
  <si>
    <t>[180, 1020]</t>
  </si>
  <si>
    <t>[7800,5]</t>
  </si>
  <si>
    <t>[1850,25]</t>
  </si>
  <si>
    <t>[350,100]</t>
  </si>
  <si>
    <t>rechargeBonus</t>
  </si>
  <si>
    <t>奖励</t>
  </si>
  <si>
    <t>充值奖池</t>
  </si>
  <si>
    <t>奖励1：金币</t>
  </si>
  <si>
    <t>奖励2：其他</t>
  </si>
  <si>
    <t>[{"name":1147,"count":5},{"name": 101,"count":2000}]</t>
  </si>
  <si>
    <t>火舌加农炮技能卡x5</t>
  </si>
  <si>
    <t>[{"name": 31401,"count":1},{"name": 101,"count":3000}]</t>
  </si>
  <si>
    <t>1星黄金箱</t>
  </si>
  <si>
    <t>[{"name": 1155,"count":200},{"name": 101,"count":4000}]</t>
  </si>
  <si>
    <t>合金飞弹升星卡x200</t>
  </si>
  <si>
    <t>[{"name": 3106,"count":100,"des":"ID_CONFIG_LEVEL_REWARDS_TICKET"},{"name": 101,"count":5000}]</t>
  </si>
  <si>
    <t>海星x100</t>
  </si>
  <si>
    <t>[{"name": 13560,"count":1},{"name": 1166,"count":72},{"name": 1498,"count":1},{"name": 101,"count":6000}]</t>
  </si>
  <si>
    <t>炎龙3天+招财试玩券+50钻石满减券(+20万金币额外的充值奖池)</t>
  </si>
  <si>
    <t>[{"name": 1150,"count":15,"des":"ID_CONFIG_LEVEL_REWARDS_RARE_SKILL"},{"name": 1166,"count":72,"des":"ID_CONFIG_LEVEL_REWARDS_POWERFUL_GUN"},{"name": 101,"count":8000}]</t>
  </si>
  <si>
    <r>
      <rPr>
        <sz val="11"/>
        <color theme="1"/>
        <rFont val="Helvetica"/>
        <charset val="134"/>
      </rPr>
      <t>汇能弹技能卡</t>
    </r>
    <r>
      <rPr>
        <sz val="11"/>
        <color theme="1"/>
        <rFont val="Helvetica"/>
        <charset val="134"/>
      </rPr>
      <t>x15+</t>
    </r>
    <r>
      <rPr>
        <sz val="11"/>
        <color theme="1"/>
        <rFont val="Helvetica"/>
        <charset val="134"/>
      </rPr>
      <t>炎龙</t>
    </r>
    <r>
      <rPr>
        <sz val="11"/>
        <color theme="1"/>
        <rFont val="Helvetica"/>
        <charset val="134"/>
      </rPr>
      <t>3</t>
    </r>
    <r>
      <rPr>
        <sz val="11"/>
        <color theme="1"/>
        <rFont val="Helvetica"/>
        <charset val="134"/>
      </rPr>
      <t>天</t>
    </r>
  </si>
  <si>
    <t>[{"name": 1160,"count":200,"des":"ID_CONFIG_LEVEL_REWARDS_SKILL_STAR_UP"},{"name": 13561,"count":1},{"name": 101,"count":10000}]</t>
  </si>
  <si>
    <t>汇能弹升星卡x200+120钻石满减券(+40额外充值奖池)</t>
  </si>
  <si>
    <t>[{"name": 3106,"count":500},{"name": 101,"count":15000}]</t>
  </si>
  <si>
    <t>500海星</t>
  </si>
  <si>
    <t>[{"name": 37602,"count":1},{"name": 101,"count":20000}]</t>
  </si>
  <si>
    <t>贵族箱</t>
  </si>
  <si>
    <t>[{"name": 1152,"count":25,"des":"ID_CONFIG_LEVEL_REWARDS_RARE_SKILL"},{"name": 101,"count":30000}]</t>
  </si>
  <si>
    <r>
      <rPr>
        <sz val="11"/>
        <color theme="1"/>
        <rFont val="Helvetica"/>
        <charset val="134"/>
      </rPr>
      <t>激光炮技能卡</t>
    </r>
    <r>
      <rPr>
        <sz val="11"/>
        <color theme="1"/>
        <rFont val="Helvetica"/>
        <charset val="134"/>
      </rPr>
      <t>x25</t>
    </r>
  </si>
  <si>
    <t>[{"name": 13562,"count":1},{"name": 1408,"count":20},{"name": 101,"count":40000}]</t>
  </si>
  <si>
    <t>230钻石满减券+洗点道具x1(暂换位冷却x20）+60额外充值奖池</t>
  </si>
  <si>
    <t>[{"name": 1167,"count":72},{"name": 1162,"count":200},{"name": 101,"count":50000}]</t>
  </si>
  <si>
    <t>魅影3天+激光炮升星卡x200</t>
  </si>
  <si>
    <t>[{"name": 37702,"count":1},{"name": 101,"count":100000}]</t>
  </si>
  <si>
    <t>梦幻宝藏箱</t>
  </si>
  <si>
    <t>[{"name": 1289,"count":72,"des":"ID_CONFIG_LEVEL_REWARDS_DOUBLE_GAIN"},{"name": 101,"count":200000}]</t>
  </si>
  <si>
    <t>光辉3天</t>
  </si>
  <si>
    <t>[{"name": 13543,"count":200},{"name": 1408,"count":30},{"name": 101,"count":300000}]</t>
  </si>
  <si>
    <t>洗点道具x2(暂换为冷却x30）+红宝石x200</t>
  </si>
  <si>
    <t>[{"name": 1290,"count":72,"des":"ID_CONFIG_LEVEL_REWARDS_DOUBLE_SKILL"},{"name": 13543,"count":500},{"name": 101,"count":500000}]</t>
  </si>
  <si>
    <t>暮刃3天+红宝石x500+80万奖池</t>
  </si>
  <si>
    <t>[{"name": 13543,"count":20},{"name": 1166,"count":72},{"name": 1498,"count":1},{"name": 101,"count":6000}]</t>
  </si>
  <si>
    <t>炎龙3天+招财试玩券+红宝石x20</t>
  </si>
  <si>
    <t>[{"name": 1160,"count":200,"des":"ID_CONFIG_LEVEL_REWARDS_SKILL_STAR_UP"},{"name": 13543,"count":30},{"name": 101,"count":10000}]</t>
  </si>
  <si>
    <t>汇能弹升星卡x200+30红宝石</t>
  </si>
  <si>
    <t>[{"name": 13543,"count":40},{"name": 1408,"count":20},{"name": 101,"count":40000}]</t>
  </si>
  <si>
    <t>40红宝石+洗点道具x1(暂换位冷却x20）</t>
  </si>
  <si>
    <t>type1</t>
  </si>
  <si>
    <t>type2</t>
  </si>
  <si>
    <t>version</t>
  </si>
  <si>
    <t>msg</t>
  </si>
  <si>
    <t>VIP等级</t>
  </si>
  <si>
    <t>奖励（小更新）</t>
  </si>
  <si>
    <t>奖励（大更新）</t>
  </si>
  <si>
    <t>更新版本</t>
  </si>
  <si>
    <t>奖励类型</t>
  </si>
  <si>
    <t>邮件内容</t>
  </si>
  <si>
    <t>[{"name": 1284, "count": 1}, {"name": 1408, "count":3}]</t>
  </si>
  <si>
    <t>[{"name": 1284, "count": 2}, {"name": 1408, "count":5}]</t>
  </si>
  <si>
    <t>2.0.0</t>
  </si>
  <si>
    <t>ID_CONFIG_UPDATE_VERSION_REWARDS_MSG</t>
  </si>
  <si>
    <t>2.0.5</t>
  </si>
  <si>
    <t>2.0.9</t>
  </si>
  <si>
    <t>2.0.11</t>
  </si>
  <si>
    <t>[{"name": 1284, "count": 2}, {"name": 1408, "count":3}]</t>
  </si>
  <si>
    <t>[{"name": 1284, "count": 4}, {"name": 1408, "count":5}]</t>
  </si>
  <si>
    <t>2.0.12</t>
  </si>
  <si>
    <t>2.0.13</t>
  </si>
  <si>
    <t>2.0.16</t>
  </si>
  <si>
    <t>2.0.20</t>
  </si>
  <si>
    <t>[{"name": 1285, "count": 1}, {"name": 1408, "count":5}]</t>
  </si>
  <si>
    <t>[{"name": 1285, "count": 2}, {"name": 1408, "count":10}]</t>
  </si>
  <si>
    <t>2.0.21</t>
  </si>
  <si>
    <t>2.0.24</t>
  </si>
  <si>
    <t>2.0.25</t>
  </si>
  <si>
    <t>2.0.26</t>
  </si>
  <si>
    <t>[{"name": 1285, "count": 2}, {"name": 1408, "count":5}]</t>
  </si>
  <si>
    <t>[{"name": 1285, "count": 3}, {"name": 1408, "count":10}]</t>
  </si>
  <si>
    <t>2.0.27</t>
  </si>
  <si>
    <t>2.0.30</t>
  </si>
  <si>
    <t>2.0.33</t>
  </si>
  <si>
    <t>2.0.36</t>
  </si>
  <si>
    <t>2.0.37</t>
  </si>
  <si>
    <t>2.0.44</t>
  </si>
  <si>
    <t>2.0.65</t>
  </si>
  <si>
    <t>maxSpinTimes</t>
  </si>
  <si>
    <t>costValue</t>
  </si>
  <si>
    <t>addValue</t>
  </si>
  <si>
    <t>nextRoomId</t>
  </si>
  <si>
    <t>nextRoomMultiple</t>
  </si>
  <si>
    <t>ratio</t>
  </si>
  <si>
    <t>reset</t>
  </si>
  <si>
    <t>bet</t>
  </si>
  <si>
    <t>data</t>
  </si>
  <si>
    <t>抽奖累计次数</t>
  </si>
  <si>
    <t>抽奖次数</t>
  </si>
  <si>
    <t>耗能</t>
  </si>
  <si>
    <t>充能</t>
  </si>
  <si>
    <t>下个渔场</t>
  </si>
  <si>
    <t>下个渔场倍数</t>
  </si>
  <si>
    <t>可选取的翻倍倍数</t>
  </si>
  <si>
    <t>转到重置</t>
  </si>
  <si>
    <t>{"444031000":2600}</t>
  </si>
  <si>
    <t>{"444041000":22500}</t>
  </si>
  <si>
    <t>{"444051000":50000}</t>
  </si>
  <si>
    <t>{}</t>
  </si>
  <si>
    <t>{"name":101,"count":80000}</t>
  </si>
  <si>
    <t>{"name":101,"count":14000}</t>
  </si>
  <si>
    <t>{"name":101,"count":32000}</t>
  </si>
  <si>
    <t>{"name":101,"count":24000}</t>
  </si>
  <si>
    <t>{"name":101,"count":12000}</t>
  </si>
  <si>
    <t>{"name":101,"count":40000}</t>
  </si>
  <si>
    <t>{"name":101,"count":16000}</t>
  </si>
  <si>
    <t>{"name":101,"count":28000}</t>
  </si>
  <si>
    <t>{"name":101,"count":20000}</t>
  </si>
  <si>
    <t>{"name":101,"count":10000}</t>
  </si>
  <si>
    <t>[{"ratio":0, "extra":0, "weight":100,"rate":"50%"},{"ratio":2, "extra":0, "weight":100,"rate":"50%"}]</t>
  </si>
  <si>
    <t>[2,3]</t>
  </si>
  <si>
    <t>{"name":101,"count":600000}</t>
  </si>
  <si>
    <t>{"name":101,"count":100000}</t>
  </si>
  <si>
    <t>{"name":101,"count":240000}</t>
  </si>
  <si>
    <t>{"name":101,"count":180000}</t>
  </si>
  <si>
    <t>{"name":101,"count":280000}</t>
  </si>
  <si>
    <t>{"name":101,"count":140000}</t>
  </si>
  <si>
    <t>{"name":101,"count":200000}</t>
  </si>
  <si>
    <t>{"name":101,"count":160000}</t>
  </si>
  <si>
    <t>{"name":101,"count":60000}</t>
  </si>
  <si>
    <t>[{"ratio":0, "extra":0, "weight":100,"rate":"33%"},{"ratio":0, "extra":0, "weight":100,"rate":"33%"},{"ratio":3, "extra":0, "weight":100,"rate":"34%"}]</t>
  </si>
  <si>
    <t>[2,3,4]</t>
  </si>
  <si>
    <t>{"name":101,"count":3600000}</t>
  </si>
  <si>
    <t>{"name":101,"count":480000}</t>
  </si>
  <si>
    <t>{"name":101,"count":1400000}</t>
  </si>
  <si>
    <t>{"name":101,"count":1000000}</t>
  </si>
  <si>
    <t>{"name":101,"count":400000}</t>
  </si>
  <si>
    <t>{"name":101,"count":1600000}</t>
  </si>
  <si>
    <t>{"name":101,"count":1200000}</t>
  </si>
  <si>
    <t>{"name":101,"count":900000}</t>
  </si>
  <si>
    <t>[{"ratio":0, "extra":0, "weight":100,"rate":"25%"},{"ratio":0, "extra":0, "weight":100,"rate":"25%"},{"ratio":0, "extra":0, "weight":100,"rate":"25%"},{"ratio":4, "extra":0, "weight":100,"rate":"25%"}]</t>
  </si>
  <si>
    <t>{"name":101,"count":16000000}</t>
  </si>
  <si>
    <t>{"name":101,"count":2000000}</t>
  </si>
  <si>
    <t>{"name":101,"count":5000000}</t>
  </si>
  <si>
    <t>{"name":101,"count":3200000}</t>
  </si>
  <si>
    <t>{"name":101,"count":6000000}</t>
  </si>
  <si>
    <t>{"name":101,"count":2400000}</t>
  </si>
  <si>
    <t>{"name":101,"count":4000000}</t>
  </si>
  <si>
    <t>{"name":101,"count":2800000}</t>
  </si>
  <si>
    <t>fireRatio</t>
  </si>
  <si>
    <t>lossRatio</t>
  </si>
  <si>
    <t>开火充能系数</t>
  </si>
  <si>
    <t>亏损充能系数</t>
  </si>
  <si>
    <t>单次充能</t>
  </si>
  <si>
    <t>{"name":1301,"count":100}</t>
  </si>
  <si>
    <t>{"name":1301,"count":10}</t>
  </si>
  <si>
    <t>{"name":1301,"count":30}</t>
  </si>
  <si>
    <t>{"name":1301,"count":6}</t>
  </si>
  <si>
    <t>{"name":1301,"count":15}</t>
  </si>
  <si>
    <t>{"name":0,"count":0}</t>
  </si>
  <si>
    <t>{"name":1301,"count":18}</t>
  </si>
  <si>
    <t>{"name":1301,"count":12}</t>
  </si>
  <si>
    <t>{"name":1301,"count":60}</t>
  </si>
  <si>
    <t>{"name":1301,"count":8}</t>
  </si>
  <si>
    <t>{"name":1193,"count":20}</t>
  </si>
  <si>
    <t>{"name":1193,"count":2}</t>
  </si>
  <si>
    <t>{"name":1193,"count":10}</t>
  </si>
  <si>
    <t>{"name":1193,"count":1}</t>
  </si>
  <si>
    <t>{"name":1193,"count":3}</t>
  </si>
  <si>
    <t>{"name":1193,"count":5}</t>
  </si>
  <si>
    <t>{"name":1193,"count":15}</t>
  </si>
  <si>
    <t>{"name":1193,"count":50}</t>
  </si>
  <si>
    <t>{"name":1193,"count":8}</t>
  </si>
  <si>
    <t>{"name":1193,"count":6}</t>
  </si>
  <si>
    <t>{"name":1193,"count":30}</t>
  </si>
  <si>
    <t>{"name":1193,"count":4}</t>
  </si>
  <si>
    <t>{"name":1194,"count":50}</t>
  </si>
  <si>
    <t>{"name":1194,"count":4}</t>
  </si>
  <si>
    <t>{"name":1194,"count":10}</t>
  </si>
  <si>
    <t>{"name":1194,"count":2}</t>
  </si>
  <si>
    <t>{"name":1194,"count":6}</t>
  </si>
  <si>
    <t>{"name":1194,"count":8}</t>
  </si>
  <si>
    <t>{"name":1194,"count":5}</t>
  </si>
  <si>
    <t>{"name":1194,"count":20}</t>
  </si>
  <si>
    <t>{"name":1194,"count":3}</t>
  </si>
  <si>
    <t>propid</t>
  </si>
  <si>
    <t>道具名</t>
  </si>
  <si>
    <t>青铜招财珠</t>
  </si>
  <si>
    <t>紫水晶</t>
  </si>
  <si>
    <t>黄水晶</t>
  </si>
  <si>
    <t>五彩水晶</t>
  </si>
  <si>
    <t>红宝石</t>
  </si>
  <si>
    <t>weigh</t>
  </si>
  <si>
    <t>integral</t>
  </si>
  <si>
    <t>freetime</t>
  </si>
  <si>
    <t>maxPlayedTimes</t>
  </si>
  <si>
    <t>outProductId</t>
  </si>
  <si>
    <r>
      <rPr>
        <sz val="12"/>
        <color rgb="FF000000"/>
        <rFont val="华文宋体"/>
        <charset val="134"/>
      </rPr>
      <t>奖励</t>
    </r>
    <r>
      <rPr>
        <sz val="12"/>
        <color rgb="FF000000"/>
        <rFont val="Verdana"/>
        <charset val="134"/>
      </rPr>
      <t>item</t>
    </r>
  </si>
  <si>
    <t>是否稀有</t>
  </si>
  <si>
    <t>积分</t>
  </si>
  <si>
    <t>免费领奖时间</t>
  </si>
  <si>
    <t>最大抽奖次数</t>
  </si>
  <si>
    <t>不参与活动商品ID</t>
  </si>
  <si>
    <t>ID_BUYTYPE_COIN</t>
  </si>
  <si>
    <t>TY0044S00010001</t>
  </si>
  <si>
    <t>TY0044S00060001</t>
  </si>
  <si>
    <t>ID_CONFIG_KINDID_ITEM:1430</t>
  </si>
  <si>
    <t>TY0044S00120001</t>
  </si>
  <si>
    <t>TY0044S00300001</t>
  </si>
  <si>
    <t>TY0044S00680001</t>
  </si>
  <si>
    <t>ID_BUYTYPE_PEARL</t>
  </si>
  <si>
    <t>TY0044S01280001</t>
  </si>
  <si>
    <t>ID_CONFIG_KINDID_ITEM:1472</t>
  </si>
  <si>
    <t>TY0044S01980001</t>
  </si>
  <si>
    <t>ID_CONFIG_KINDID_ITEM:1301</t>
  </si>
  <si>
    <t>TY0044S03280001</t>
  </si>
  <si>
    <t>ID_CONFIG_KINDID_ITEM:1431</t>
  </si>
  <si>
    <t>TY0044S06480001</t>
  </si>
  <si>
    <t>ID_CONFIG_KINDID_ITEM:1408</t>
  </si>
  <si>
    <t>ID_BUYTYPE_COUPON</t>
  </si>
  <si>
    <t>ID_CONFIG_KINDID_ITEM:1429</t>
  </si>
  <si>
    <t>ID_CONFIG_TREASURE_NAME_5</t>
  </si>
  <si>
    <t>display</t>
  </si>
  <si>
    <t>certainCount</t>
  </si>
  <si>
    <t>drawCount</t>
  </si>
  <si>
    <t>VIP</t>
  </si>
  <si>
    <t>obtainCount</t>
  </si>
  <si>
    <t>serverCount</t>
  </si>
  <si>
    <t>consumeItem</t>
  </si>
  <si>
    <t>freeTime</t>
  </si>
  <si>
    <t>dict</t>
  </si>
  <si>
    <r>
      <rPr>
        <sz val="14"/>
        <color rgb="FF000000"/>
        <rFont val="Tahoma"/>
        <charset val="134"/>
      </rPr>
      <t>VIP</t>
    </r>
    <r>
      <rPr>
        <sz val="14"/>
        <color rgb="FF000000"/>
        <rFont val="华文宋体"/>
        <charset val="134"/>
      </rPr>
      <t>等级</t>
    </r>
  </si>
  <si>
    <t>消耗物品摇动次数</t>
  </si>
  <si>
    <r>
      <rPr>
        <sz val="14"/>
        <color rgb="FF000000"/>
        <rFont val="华文宋体"/>
        <charset val="134"/>
      </rPr>
      <t>道具</t>
    </r>
    <r>
      <rPr>
        <sz val="12"/>
        <color rgb="FF000000"/>
        <rFont val="Tahoma"/>
        <charset val="134"/>
      </rPr>
      <t>ID</t>
    </r>
  </si>
  <si>
    <t>树上是否展示</t>
  </si>
  <si>
    <t>第N次抽取必中</t>
  </si>
  <si>
    <t>最小抽取次数</t>
  </si>
  <si>
    <t>限制VIP</t>
  </si>
  <si>
    <t>限制等级</t>
  </si>
  <si>
    <t>单玩家获得限制数</t>
  </si>
  <si>
    <t>全服限制数</t>
  </si>
  <si>
    <t>消耗物品</t>
  </si>
  <si>
    <t>免费次数时间点</t>
  </si>
  <si>
    <r>
      <rPr>
        <sz val="14"/>
        <color rgb="FF000000"/>
        <rFont val="华文宋体"/>
        <charset val="134"/>
      </rPr>
      <t>不参与活动商品</t>
    </r>
    <r>
      <rPr>
        <sz val="14"/>
        <color rgb="FF000000"/>
        <rFont val="Tahoma"/>
        <charset val="134"/>
      </rPr>
      <t>ID</t>
    </r>
  </si>
  <si>
    <t>规则</t>
  </si>
  <si>
    <t>聚宝盆</t>
  </si>
  <si>
    <t>[{"name": 101, "count": 20000}]</t>
  </si>
  <si>
    <t>ID_CONFIG_MONEY_TREE_RULE</t>
  </si>
  <si>
    <t>点金手</t>
  </si>
  <si>
    <t>神秘金币</t>
  </si>
  <si>
    <t>雪人皮肤碎片</t>
  </si>
  <si>
    <t>id</t>
  </si>
  <si>
    <t>mail</t>
  </si>
  <si>
    <t>wordFactoryChip</t>
  </si>
  <si>
    <t>userChip</t>
  </si>
  <si>
    <t>expireTime</t>
  </si>
  <si>
    <t>generateTime</t>
  </si>
  <si>
    <r>
      <rPr>
        <sz val="12"/>
        <color rgb="FF000000"/>
        <rFont val="华文宋体"/>
        <charset val="134"/>
      </rPr>
      <t>道具</t>
    </r>
    <r>
      <rPr>
        <sz val="12"/>
        <color rgb="FF000000"/>
        <rFont val="Verdana"/>
        <charset val="134"/>
      </rPr>
      <t>ID</t>
    </r>
  </si>
  <si>
    <r>
      <rPr>
        <sz val="12"/>
        <color rgb="FF000000"/>
        <rFont val="华文宋体"/>
        <charset val="134"/>
      </rPr>
      <t>最低</t>
    </r>
    <r>
      <rPr>
        <sz val="12"/>
        <color rgb="FF000000"/>
        <rFont val="Verdana"/>
        <charset val="134"/>
      </rPr>
      <t>VIP</t>
    </r>
    <r>
      <rPr>
        <sz val="12"/>
        <color rgb="FF000000"/>
        <rFont val="华文宋体"/>
        <charset val="134"/>
      </rPr>
      <t>等级限制</t>
    </r>
  </si>
  <si>
    <t>鱼罐厂规则说明</t>
  </si>
  <si>
    <t>制作者邮件</t>
  </si>
  <si>
    <t>领取人邮件</t>
  </si>
  <si>
    <t>通知罐头过期邮件</t>
  </si>
  <si>
    <t>竞猜世界工厂罐头
消耗的金币数</t>
  </si>
  <si>
    <t>竞猜玩家罐头
消耗的金币数</t>
  </si>
  <si>
    <t>玩家制作的罐头过期时间</t>
  </si>
  <si>
    <t>世界工厂福利罐头产生时间</t>
  </si>
  <si>
    <t>世界工厂福利罐头过期时间</t>
  </si>
  <si>
    <t>玩家每日最多可制作的罐头</t>
  </si>
  <si>
    <t>锁定</t>
  </si>
  <si>
    <t>ID_CONFIG_FISHCAN_FACTOORY_RULE</t>
  </si>
  <si>
    <t>ID_CONFIG_FISHCAN_FACTORY_MAKE_MAIL</t>
  </si>
  <si>
    <t>ID_CONFIG_FISHCAN_FACTORY_RECEIVE_MAIL</t>
  </si>
  <si>
    <t>ID_CONFIG_FISHCAN_FACTORY_OUTDATE_MAIL</t>
  </si>
  <si>
    <t>冰冻</t>
  </si>
  <si>
    <t>canBuyIdx</t>
  </si>
  <si>
    <t>product_id</t>
  </si>
  <si>
    <t>buy_type</t>
  </si>
  <si>
    <t>price_direct</t>
  </si>
  <si>
    <t>price_diamond</t>
  </si>
  <si>
    <t>other_buyType</t>
  </si>
  <si>
    <t>free_rewards</t>
  </si>
  <si>
    <t>recharge_bonus</t>
  </si>
  <si>
    <t>paid_rewards</t>
  </si>
  <si>
    <t>可购买索引</t>
  </si>
  <si>
    <t>商品id</t>
  </si>
  <si>
    <t>基金名字</t>
  </si>
  <si>
    <t>购买方式</t>
  </si>
  <si>
    <t>价格/元</t>
  </si>
  <si>
    <t>钻石价格</t>
  </si>
  <si>
    <t>其他购买方式</t>
  </si>
  <si>
    <t>标题宣传语</t>
  </si>
  <si>
    <t>要求等级</t>
  </si>
  <si>
    <t>商品索引</t>
  </si>
  <si>
    <t>免费奖励</t>
  </si>
  <si>
    <t>免费奖励数量</t>
  </si>
  <si>
    <t>基金奖励</t>
  </si>
  <si>
    <t>基金奖励数量</t>
  </si>
  <si>
    <t>[1,2,3,4,6]</t>
  </si>
  <si>
    <t>TY0044F00300001</t>
  </si>
  <si>
    <t>ID_CONFIG_LEVEL_FUNDS_NAME_QIHANG</t>
  </si>
  <si>
    <t>diamond</t>
  </si>
  <si>
    <t>{"voucher": 30}</t>
  </si>
  <si>
    <r>
      <rPr>
        <sz val="14"/>
        <color rgb="FF000000"/>
        <rFont val="华文宋体"/>
        <charset val="134"/>
      </rPr>
      <t>30,</t>
    </r>
    <r>
      <rPr>
        <sz val="14"/>
        <color rgb="FF000000"/>
        <rFont val="Tahoma"/>
        <charset val="134"/>
      </rPr>
      <t>100</t>
    </r>
    <r>
      <rPr>
        <sz val="14"/>
        <color rgb="FF000000"/>
        <rFont val="华文宋体"/>
        <charset val="134"/>
      </rPr>
      <t>万</t>
    </r>
  </si>
  <si>
    <t>火舌加农炮技能卡</t>
  </si>
  <si>
    <t>[{"name":1147,"count":1}]</t>
  </si>
  <si>
    <t>40000金币</t>
  </si>
  <si>
    <t>[{"name":101,"count":40000}]</t>
  </si>
  <si>
    <t>TY0044F01980001</t>
  </si>
  <si>
    <t>ID_CONFIG_LEVEL_FUNDS_NAME_ADVANCED</t>
  </si>
  <si>
    <t>{"voucher": 198}</t>
  </si>
  <si>
    <r>
      <rPr>
        <sz val="14"/>
        <color rgb="FF000000"/>
        <rFont val="华文宋体"/>
        <charset val="134"/>
      </rPr>
      <t>198,</t>
    </r>
    <r>
      <rPr>
        <sz val="14"/>
        <color rgb="FF000000"/>
        <rFont val="Tahoma"/>
        <charset val="134"/>
      </rPr>
      <t>600</t>
    </r>
    <r>
      <rPr>
        <sz val="14"/>
        <color rgb="FF000000"/>
        <rFont val="华文宋体"/>
        <charset val="134"/>
      </rPr>
      <t>万</t>
    </r>
  </si>
  <si>
    <t>[{"name":101,"count":2500}]</t>
  </si>
  <si>
    <t>50000金币</t>
  </si>
  <si>
    <t>[{"name":101,"count":50000}]</t>
  </si>
  <si>
    <t>TY0044F03280001</t>
  </si>
  <si>
    <t>ID_CONFIG_LEVEL_FUNDS_NAME_TALENT</t>
  </si>
  <si>
    <t>{"voucher": 328}</t>
  </si>
  <si>
    <r>
      <rPr>
        <sz val="14"/>
        <color rgb="FF000000"/>
        <rFont val="华文宋体"/>
        <charset val="134"/>
      </rPr>
      <t>328,</t>
    </r>
    <r>
      <rPr>
        <sz val="14"/>
        <color rgb="FF000000"/>
        <rFont val="Tahoma"/>
        <charset val="134"/>
      </rPr>
      <t>1000</t>
    </r>
    <r>
      <rPr>
        <sz val="14"/>
        <color rgb="FF000000"/>
        <rFont val="华文宋体"/>
        <charset val="134"/>
      </rPr>
      <t>万</t>
    </r>
  </si>
  <si>
    <t>[{"name":101,"count":3000}]</t>
  </si>
  <si>
    <t>[{"name":101,"count":60000}]</t>
  </si>
  <si>
    <t>TY0044F06480001</t>
  </si>
  <si>
    <t>ID_CONFIG_LEVEL_FUNDS_NAME_REGAL</t>
  </si>
  <si>
    <t>{"voucher": 648}</t>
  </si>
  <si>
    <r>
      <rPr>
        <sz val="14"/>
        <color rgb="FF000000"/>
        <rFont val="华文宋体"/>
        <charset val="134"/>
      </rPr>
      <t>648,</t>
    </r>
    <r>
      <rPr>
        <sz val="14"/>
        <color rgb="FF000000"/>
        <rFont val="Tahoma"/>
        <charset val="134"/>
      </rPr>
      <t>2000</t>
    </r>
    <r>
      <rPr>
        <sz val="14"/>
        <color rgb="FF000000"/>
        <rFont val="华文宋体"/>
        <charset val="134"/>
      </rPr>
      <t>万</t>
    </r>
  </si>
  <si>
    <t>[{"name":101,"count":4000}]</t>
  </si>
  <si>
    <t>[{"name":101,"count":70000}]</t>
  </si>
  <si>
    <t>TY0044F03280002</t>
  </si>
  <si>
    <r>
      <rPr>
        <sz val="14"/>
        <color rgb="FF000000"/>
        <rFont val="华文宋体"/>
        <charset val="134"/>
      </rPr>
      <t>328,</t>
    </r>
    <r>
      <rPr>
        <sz val="14"/>
        <color rgb="FF000000"/>
        <rFont val="Tahoma"/>
        <charset val="134"/>
      </rPr>
      <t>1100</t>
    </r>
    <r>
      <rPr>
        <sz val="14"/>
        <color rgb="FF000000"/>
        <rFont val="华文宋体"/>
        <charset val="134"/>
      </rPr>
      <t>万</t>
    </r>
  </si>
  <si>
    <t>[{"name": 1155,"count":200}]</t>
  </si>
  <si>
    <t>[{"name":101,"count":80000}]</t>
  </si>
  <si>
    <t>TY0044F06480002</t>
  </si>
  <si>
    <t>ID_CONFIG_LEVEL_FUNDS_NAME_KING</t>
  </si>
  <si>
    <r>
      <rPr>
        <sz val="14"/>
        <color rgb="FF000000"/>
        <rFont val="华文宋体"/>
        <charset val="134"/>
      </rPr>
      <t>648,</t>
    </r>
    <r>
      <rPr>
        <sz val="14"/>
        <color rgb="FF000000"/>
        <rFont val="Tahoma"/>
        <charset val="134"/>
      </rPr>
      <t>2500</t>
    </r>
    <r>
      <rPr>
        <sz val="14"/>
        <color rgb="FF000000"/>
        <rFont val="华文宋体"/>
        <charset val="134"/>
      </rPr>
      <t>万</t>
    </r>
  </si>
  <si>
    <t>[{"name":101,"count":5000}]</t>
  </si>
  <si>
    <t>[{"name":101,"count":90000}]</t>
  </si>
  <si>
    <t>TY0044F03280003</t>
  </si>
  <si>
    <r>
      <rPr>
        <sz val="14"/>
        <color rgb="FF000000"/>
        <rFont val="华文宋体"/>
        <charset val="134"/>
      </rPr>
      <t>328,</t>
    </r>
    <r>
      <rPr>
        <sz val="14"/>
        <color rgb="FF000000"/>
        <rFont val="Tahoma"/>
        <charset val="134"/>
      </rPr>
      <t>1300</t>
    </r>
    <r>
      <rPr>
        <sz val="14"/>
        <color rgb="FF000000"/>
        <rFont val="华文宋体"/>
        <charset val="134"/>
      </rPr>
      <t>万</t>
    </r>
  </si>
  <si>
    <t>海星</t>
  </si>
  <si>
    <t>[{"name": 3106,"count":50,"des":"比赛门票"}]</t>
  </si>
  <si>
    <t>[{"name":101,"count":100000}]</t>
  </si>
  <si>
    <t>[{"name":101,"count":8000}]</t>
  </si>
  <si>
    <t>[{"name":101,"count":120000}]</t>
  </si>
  <si>
    <t>50钻石满减券</t>
  </si>
  <si>
    <t>[{"name": 13560,"count":1}]</t>
  </si>
  <si>
    <t>[{"name":101,"count":150000}]</t>
  </si>
  <si>
    <t>[{"name":101,"count":10000}]</t>
  </si>
  <si>
    <t>[{"name":101,"count":180000}]</t>
  </si>
  <si>
    <t>[{"name": 1150,"count":15,"des":"稀有技能"}]</t>
  </si>
  <si>
    <t>[{"name":101,"count":200000}]</t>
  </si>
  <si>
    <t>[{"name":101,"count":15000}]</t>
  </si>
  <si>
    <t>[{"name":101,"count":800000}]</t>
  </si>
  <si>
    <t>冷却</t>
  </si>
  <si>
    <t>[{"name":1408,"count":15}]</t>
  </si>
  <si>
    <t>[{"name":101,"count":1000000}]</t>
  </si>
  <si>
    <t>[{"name":101,"count":20000}]</t>
  </si>
  <si>
    <t>[{"name":101,"count":1200000}]</t>
  </si>
  <si>
    <t>[{"name": 1166,"count":72,"des":"强力炮台"}]</t>
  </si>
  <si>
    <t>[{"name":101,"count":1500000}]</t>
  </si>
  <si>
    <t>[{"name":101,"count":25000}]</t>
  </si>
  <si>
    <t>[{"name":101,"count":2000000}]</t>
  </si>
  <si>
    <t>[{"name": 3106,"count":200,"des":"比赛门票"}]</t>
  </si>
  <si>
    <t>[{"name":101,"count":30000}]</t>
  </si>
  <si>
    <t>[{"name":101,"count":1800000}]</t>
  </si>
  <si>
    <t>120钻石满减券</t>
  </si>
  <si>
    <t>[{"name": 13561,"count":1}]</t>
  </si>
  <si>
    <t>[{"name":101,"count":2100000}]</t>
  </si>
  <si>
    <t>[{"name":101,"count":2400000}]</t>
  </si>
  <si>
    <t>[{"name": 1152,"count":25,"des":"稀有技能"}]</t>
  </si>
  <si>
    <t>[{"name":101,"count":3000000}]</t>
  </si>
  <si>
    <t>激光炮升星卡</t>
  </si>
  <si>
    <t>[{"name": 1162,"count":200}]</t>
  </si>
  <si>
    <t>[{"name":101,"count":3500000}]</t>
  </si>
  <si>
    <t>[{"name":101,"count":4000000}]</t>
  </si>
  <si>
    <t>[{"name": 1167,"count":72}]</t>
  </si>
  <si>
    <t>[{"name":101,"count":5000000}]</t>
  </si>
  <si>
    <t>[{"name":101,"count":6000000}]</t>
  </si>
  <si>
    <t>[{"name":101,"count":2200000}]</t>
  </si>
  <si>
    <t>[{"name":101,"count":2500000}]</t>
  </si>
  <si>
    <t>230满减券</t>
  </si>
  <si>
    <t>[{"name": 13562,"count":1}]</t>
  </si>
  <si>
    <t>[{"name": 13543,"count":200}]</t>
  </si>
  <si>
    <t>[{"name": 1290,"count":72,"des":"技能双倍！"}]</t>
  </si>
  <si>
    <t>[{"name":101,"count":7000000}]</t>
  </si>
  <si>
    <t>xianlai.h5</t>
  </si>
  <si>
    <t>[{"name": 13543,"count":20}]</t>
  </si>
  <si>
    <t>[{"name": 13543,"count":100}]</t>
  </si>
  <si>
    <t>[{"name": 1289,"count":72}]</t>
  </si>
  <si>
    <t>credit</t>
  </si>
  <si>
    <t>limitType</t>
  </si>
  <si>
    <t>limitCount</t>
  </si>
  <si>
    <t>limitVipLevel</t>
  </si>
  <si>
    <t>popInfo</t>
  </si>
  <si>
    <t>pic</t>
  </si>
  <si>
    <r>
      <rPr>
        <sz val="14"/>
        <color rgb="FF000000"/>
        <rFont val="Tahoma"/>
        <charset val="134"/>
      </rPr>
      <t>商品</t>
    </r>
    <r>
      <rPr>
        <sz val="14"/>
        <color rgb="FF000000"/>
        <rFont val="Tahoma"/>
        <charset val="134"/>
      </rPr>
      <t>ID</t>
    </r>
  </si>
  <si>
    <t>消耗积分</t>
  </si>
  <si>
    <t>限制兑换类型</t>
  </si>
  <si>
    <t>限制兑换次数</t>
  </si>
  <si>
    <t>限制兑换VIP等级</t>
  </si>
  <si>
    <t>图片地址</t>
  </si>
  <si>
    <t>任务名</t>
  </si>
  <si>
    <t>credit_1</t>
  </si>
  <si>
    <r>
      <rPr>
        <sz val="14"/>
        <color rgb="FF000000"/>
        <rFont val="Tahoma"/>
        <charset val="134"/>
      </rPr>
      <t>5000</t>
    </r>
    <r>
      <rPr>
        <sz val="14"/>
        <color rgb="FF000000"/>
        <rFont val="宋体"/>
        <charset val="134"/>
      </rPr>
      <t>万金币</t>
    </r>
  </si>
  <si>
    <t>${http_download}/newfish/jifenshangcheng/50w.png</t>
  </si>
  <si>
    <t>游戏充值</t>
  </si>
  <si>
    <t>每累计充值1元 +10积分</t>
  </si>
  <si>
    <t>${http_download}/newfish/jifenshangcheng/chongzhi.png</t>
  </si>
  <si>
    <t>credit_2</t>
  </si>
  <si>
    <r>
      <rPr>
        <sz val="14"/>
        <color rgb="FF000000"/>
        <rFont val="Tahoma"/>
        <charset val="134"/>
      </rPr>
      <t>紫水晶</t>
    </r>
    <r>
      <rPr>
        <sz val="14"/>
        <color rgb="FF000000"/>
        <rFont val="Tahoma"/>
        <charset val="134"/>
      </rPr>
      <t>x10</t>
    </r>
  </si>
  <si>
    <t>${http_download}/newfish/jifenshangcheng/zishuijing.png</t>
  </si>
  <si>
    <t>credit_3</t>
  </si>
  <si>
    <r>
      <rPr>
        <sz val="14"/>
        <color rgb="FF000000"/>
        <rFont val="Tahoma"/>
        <charset val="134"/>
      </rPr>
      <t>黄水晶</t>
    </r>
    <r>
      <rPr>
        <sz val="14"/>
        <color rgb="FF000000"/>
        <rFont val="Tahoma"/>
        <charset val="134"/>
      </rPr>
      <t>x10</t>
    </r>
  </si>
  <si>
    <t>${http_download}/newfish/jifenshangcheng/huangshuijing.png</t>
  </si>
  <si>
    <t>credit_4</t>
  </si>
  <si>
    <r>
      <rPr>
        <sz val="14"/>
        <color rgb="FF000000"/>
        <rFont val="Tahoma"/>
        <charset val="134"/>
      </rPr>
      <t>200</t>
    </r>
    <r>
      <rPr>
        <sz val="14"/>
        <color rgb="FF000000"/>
        <rFont val="宋体"/>
        <charset val="134"/>
      </rPr>
      <t>万金币</t>
    </r>
  </si>
  <si>
    <t>${http_download}/newfish/jifenshangcheng/20w.png</t>
  </si>
  <si>
    <t>credit_5</t>
  </si>
  <si>
    <t>珍珠x2000</t>
  </si>
  <si>
    <t>${http_download}/newfish/jifenshangcheng/zhenzhu2000.png</t>
  </si>
  <si>
    <t>credit_6</t>
  </si>
  <si>
    <t>满1280减400钻石券</t>
  </si>
  <si>
    <t>${http_download}/newfish/jifenshangcheng/400manjian.png</t>
  </si>
  <si>
    <t>credit_7</t>
  </si>
  <si>
    <t>满1980减600钻石券</t>
  </si>
  <si>
    <t>${http_download}/newfish/jifenshangcheng/600manjian.png</t>
  </si>
  <si>
    <t>credit_8</t>
  </si>
  <si>
    <t>满3280减1000钻石券</t>
  </si>
  <si>
    <t>${http_download}/newfish/jifenshangcheng/1000manjian.png</t>
  </si>
  <si>
    <t>credit_9</t>
  </si>
  <si>
    <t>满6480减2000钻石券</t>
  </si>
  <si>
    <t>${http_download}/newfish/jifenshangcheng/2000manjian.png</t>
  </si>
  <si>
    <t>credit_10</t>
  </si>
  <si>
    <t>满6480减3240钻石券</t>
  </si>
  <si>
    <t>${http_download}/newfish/jifenshangcheng/3240manjian.png</t>
  </si>
  <si>
    <t>credit_11</t>
  </si>
  <si>
    <t>违规解封服务</t>
  </si>
  <si>
    <r>
      <rPr>
        <sz val="14"/>
        <color rgb="FF000000"/>
        <rFont val="Tahoma"/>
        <charset val="134"/>
      </rPr>
      <t>请联系客服兑换，客服专线：</t>
    </r>
    <r>
      <rPr>
        <sz val="14"/>
        <color rgb="FF000000"/>
        <rFont val="Tahoma"/>
        <charset val="134"/>
      </rPr>
      <t>4008098000</t>
    </r>
  </si>
  <si>
    <t>${http_download}/newfish/jifenshangcheng/weiguijiefeng1.png</t>
  </si>
  <si>
    <t>credit_12</t>
  </si>
  <si>
    <t>解封资产返还服务</t>
  </si>
  <si>
    <t>${http_download}/newfish/jifenshangcheng/zichanfanhuan1.png</t>
  </si>
  <si>
    <t>color</t>
  </si>
  <si>
    <t>限购次数</t>
  </si>
  <si>
    <r>
      <rPr>
        <sz val="14"/>
        <color indexed="8"/>
        <rFont val="Tahoma"/>
        <charset val="134"/>
      </rPr>
      <t>商品</t>
    </r>
    <r>
      <rPr>
        <sz val="12"/>
        <color rgb="FF000000"/>
        <rFont val="Verdana"/>
        <charset val="134"/>
      </rPr>
      <t>id</t>
    </r>
  </si>
  <si>
    <t>颜色</t>
  </si>
  <si>
    <t>TY0044A00250001</t>
  </si>
  <si>
    <t>ID_CONFIG_SUPER_EGG_NAME_MILLION</t>
  </si>
  <si>
    <t>ID_CONFIG_SUPER_EGG_DES_MILLION</t>
  </si>
  <si>
    <t>{"voucher": 25}</t>
  </si>
  <si>
    <t>255,133,24,51,42,85</t>
  </si>
  <si>
    <t>[{"name":101,"count":600000}]</t>
  </si>
  <si>
    <t>238,121,255,51,15,85</t>
  </si>
  <si>
    <t>[{"name":101,"count":400000}]</t>
  </si>
  <si>
    <t>0,222,255,15,42,85</t>
  </si>
  <si>
    <t>255,230,0,172,28,22</t>
  </si>
  <si>
    <t>TY0044A02000001</t>
  </si>
  <si>
    <t>ID_CONFIG_SUPER_EGG_NAME_TEN_MILLIONS</t>
  </si>
  <si>
    <t>ID_CONFIG_SUPER_EGG_DES_TEN_MILLIONS</t>
  </si>
  <si>
    <t>{"voucher": 200}</t>
  </si>
  <si>
    <t>[{"name":101,"count":10000000}]</t>
  </si>
  <si>
    <t>TY0044A01000001</t>
  </si>
  <si>
    <t>ID_CONFIG_SUPER_EGG_NAME_PEARL</t>
  </si>
  <si>
    <t>ID_CONFIG_SUPER_EGG_DES_PEARL</t>
  </si>
  <si>
    <t>{"voucher": 100}</t>
  </si>
  <si>
    <t>[{"name":1137,"count":5000}]</t>
  </si>
  <si>
    <t>[{"name":1137,"count":3000}]</t>
  </si>
  <si>
    <t>[{"name":1137,"count":2500}]</t>
  </si>
  <si>
    <t>[{"name":1137,"count":1000}]</t>
  </si>
  <si>
    <t>[{"name":1137,"count":500}]</t>
  </si>
  <si>
    <t>boxId</t>
  </si>
  <si>
    <t>boxName</t>
  </si>
  <si>
    <t>totalStar</t>
  </si>
  <si>
    <t>tasks</t>
  </si>
  <si>
    <t>timeDesc</t>
  </si>
  <si>
    <t>actType</t>
  </si>
  <si>
    <t>json</t>
  </si>
  <si>
    <t>宝箱ID</t>
  </si>
  <si>
    <t>宝箱名</t>
  </si>
  <si>
    <t>激活宝箱所需星星数</t>
  </si>
  <si>
    <t>任务列表</t>
  </si>
  <si>
    <t>活动描述</t>
  </si>
  <si>
    <t>活动规则</t>
  </si>
  <si>
    <r>
      <rPr>
        <sz val="14"/>
        <color rgb="FF000000"/>
        <rFont val="SimSun"/>
        <charset val="134"/>
      </rPr>
      <t>活动类型</t>
    </r>
    <r>
      <rPr>
        <sz val="14"/>
        <color rgb="FF000000"/>
        <rFont val="Tahoma"/>
        <charset val="134"/>
      </rPr>
      <t>:1</t>
    </r>
    <r>
      <rPr>
        <sz val="14"/>
        <color rgb="FF000000"/>
        <rFont val="SimSun"/>
        <charset val="134"/>
      </rPr>
      <t>表示亿万豪礼补给箱</t>
    </r>
    <r>
      <rPr>
        <sz val="14"/>
        <color rgb="FF000000"/>
        <rFont val="Tahoma"/>
        <charset val="134"/>
      </rPr>
      <t>2</t>
    </r>
    <r>
      <rPr>
        <sz val="14"/>
        <color rgb="FF000000"/>
        <rFont val="SimSun"/>
        <charset val="134"/>
      </rPr>
      <t xml:space="preserve">表示元宵豪礼补给箱
</t>
    </r>
    <r>
      <rPr>
        <sz val="14"/>
        <color rgb="FF000000"/>
        <rFont val="Tahoma"/>
        <charset val="134"/>
      </rPr>
      <t>2</t>
    </r>
  </si>
  <si>
    <t>青铜宝箱</t>
  </si>
  <si>
    <t>[390001,390002,390003,390004,390005,390006]</t>
  </si>
  <si>
    <t>ID_CONFIG_ACT_SUPPLY_BOX_TIMEDESC</t>
  </si>
  <si>
    <t>ID_CONFIG_ACT_SUPPLY_BOX_RULE</t>
  </si>
  <si>
    <t>白银宝箱</t>
  </si>
  <si>
    <t>[390007,390008,390009,390010,390011,390012]</t>
  </si>
  <si>
    <t>黄金宝箱</t>
  </si>
  <si>
    <t>[390013,390014,390015,390016]</t>
  </si>
  <si>
    <t>白金宝箱</t>
  </si>
  <si>
    <t>[390017,390018,390019,390020]</t>
  </si>
  <si>
    <t>钻石宝箱</t>
  </si>
  <si>
    <t>[390021]</t>
  </si>
  <si>
    <t>摇钱树</t>
  </si>
  <si>
    <t>人鱼之戒</t>
  </si>
  <si>
    <t>consumeItemId</t>
  </si>
  <si>
    <t>rankName</t>
  </si>
  <si>
    <t>itemName</t>
  </si>
  <si>
    <t>jumpToActivity</t>
  </si>
  <si>
    <r>
      <rPr>
        <sz val="12"/>
        <color rgb="FF000000"/>
        <rFont val="华文宋体"/>
        <charset val="134"/>
      </rPr>
      <t>抽奖消耗的道具</t>
    </r>
    <r>
      <rPr>
        <sz val="12"/>
        <color rgb="FF000000"/>
        <rFont val="Verdana"/>
        <charset val="134"/>
      </rPr>
      <t>id</t>
    </r>
  </si>
  <si>
    <t>排行榜名字</t>
  </si>
  <si>
    <t>获取道具文本</t>
  </si>
  <si>
    <r>
      <rPr>
        <sz val="12"/>
        <color rgb="FF000000"/>
        <rFont val="华文宋体"/>
        <charset val="134"/>
      </rPr>
      <t>要跳转的活动</t>
    </r>
    <r>
      <rPr>
        <sz val="12"/>
        <color rgb="FF000000"/>
        <rFont val="Verdana"/>
        <charset val="134"/>
      </rPr>
      <t>ID(</t>
    </r>
    <r>
      <rPr>
        <sz val="12"/>
        <color rgb="FF000000"/>
        <rFont val="华文宋体"/>
        <charset val="134"/>
      </rPr>
      <t>无跳转活动配0</t>
    </r>
    <r>
      <rPr>
        <sz val="12"/>
        <color rgb="FF000000"/>
        <rFont val="Verdana"/>
        <charset val="134"/>
      </rPr>
      <t>)</t>
    </r>
  </si>
  <si>
    <t>ID_CONFIG_KINDID_ITEM:14106</t>
  </si>
  <si>
    <t>幸运排行</t>
  </si>
  <si>
    <t>持有的渔人抽奖券：</t>
  </si>
  <si>
    <r>
      <rPr>
        <sz val="12"/>
        <color indexed="8"/>
        <rFont val="Verdana"/>
        <charset val="134"/>
      </rPr>
      <t>activity_thanksgiving_party_20200</t>
    </r>
    <r>
      <rPr>
        <sz val="12"/>
        <color indexed="8"/>
        <rFont val="Verdana"/>
        <charset val="134"/>
      </rPr>
      <t>710</t>
    </r>
  </si>
  <si>
    <t>rankId</t>
  </si>
  <si>
    <t>ts</t>
  </si>
  <si>
    <t>activityTxt</t>
  </si>
  <si>
    <r>
      <rPr>
        <sz val="12"/>
        <color rgb="FF000000"/>
        <rFont val="华文宋体"/>
        <charset val="134"/>
      </rPr>
      <t>消耗的道具</t>
    </r>
    <r>
      <rPr>
        <sz val="12"/>
        <color rgb="FF000000"/>
        <rFont val="Verdana"/>
        <charset val="134"/>
      </rPr>
      <t>Id</t>
    </r>
  </si>
  <si>
    <r>
      <rPr>
        <sz val="12"/>
        <color rgb="FF000000"/>
        <rFont val="华文宋体"/>
        <charset val="134"/>
      </rPr>
      <t>排行榜</t>
    </r>
    <r>
      <rPr>
        <sz val="12"/>
        <color rgb="FF000000"/>
        <rFont val="Verdana"/>
        <charset val="134"/>
      </rPr>
      <t>index</t>
    </r>
  </si>
  <si>
    <t>过期时间</t>
  </si>
  <si>
    <t>活动有关文本</t>
  </si>
  <si>
    <t>皮肤</t>
  </si>
  <si>
    <t>ID_ACT_COLLECT_ITEM_TXT2</t>
  </si>
  <si>
    <t>point</t>
  </si>
  <si>
    <t>effectTimeRange</t>
  </si>
  <si>
    <t>maxBonus</t>
  </si>
  <si>
    <t>minBonus</t>
  </si>
  <si>
    <t>extraRewards</t>
  </si>
  <si>
    <t>inspireTime</t>
  </si>
  <si>
    <t>extraGainLimit</t>
  </si>
  <si>
    <t>championRankExtraRewards</t>
  </si>
  <si>
    <t>rankExtraRewards</t>
  </si>
  <si>
    <t>extraRewardsTeamCnt</t>
  </si>
  <si>
    <t>ruleTxt</t>
  </si>
  <si>
    <t>storeTxt</t>
  </si>
  <si>
    <t>balanceCompensateTime</t>
  </si>
  <si>
    <t>randomPoint</t>
  </si>
  <si>
    <t>pointDiff</t>
  </si>
  <si>
    <t>活动有效时段</t>
  </si>
  <si>
    <t>奖池上限</t>
  </si>
  <si>
    <t>奖池下限</t>
  </si>
  <si>
    <t>最低奖励</t>
  </si>
  <si>
    <r>
      <rPr>
        <sz val="12"/>
        <color rgb="FF000000"/>
        <rFont val="华文宋体"/>
        <charset val="134"/>
      </rPr>
      <t>价格</t>
    </r>
    <r>
      <rPr>
        <sz val="12"/>
        <color rgb="FF000000"/>
        <rFont val="Verdana"/>
        <charset val="134"/>
      </rPr>
      <t>/</t>
    </r>
    <r>
      <rPr>
        <sz val="12"/>
        <color rgb="FF000000"/>
        <rFont val="华文宋体"/>
        <charset val="134"/>
      </rPr>
      <t>元</t>
    </r>
  </si>
  <si>
    <r>
      <rPr>
        <sz val="12"/>
        <color rgb="FF000000"/>
        <rFont val="华文宋体"/>
        <charset val="134"/>
      </rPr>
      <t>物品</t>
    </r>
    <r>
      <rPr>
        <sz val="12"/>
        <color rgb="FF000000"/>
        <rFont val="Verdana"/>
        <charset val="134"/>
      </rPr>
      <t>Id</t>
    </r>
  </si>
  <si>
    <t>加赠奖励数量</t>
  </si>
  <si>
    <t>鼓舞时间（分钟）</t>
  </si>
  <si>
    <t>加赠限购次数</t>
  </si>
  <si>
    <t>冠军排名额外奖励</t>
  </si>
  <si>
    <t>排名额外奖励</t>
  </si>
  <si>
    <t>可获得额外奖励team数量</t>
  </si>
  <si>
    <t>加成</t>
  </si>
  <si>
    <t>规则说明</t>
  </si>
  <si>
    <t>礼包说明</t>
  </si>
  <si>
    <t>是否开启平衡算法</t>
  </si>
  <si>
    <t>平衡算法补偿时间范围</t>
  </si>
  <si>
    <t>随机增加分数范围</t>
  </si>
  <si>
    <t>分差</t>
  </si>
  <si>
    <t>更新间隔</t>
  </si>
  <si>
    <t>["20:00","21:00"]</t>
  </si>
  <si>
    <t>2分钟鼓舞礼包</t>
  </si>
  <si>
    <t>{"name": 101, "count": 10000000}</t>
  </si>
  <si>
    <t>[50,10,10,10,10,10]</t>
  </si>
  <si>
    <t>[600,1500]</t>
  </si>
  <si>
    <t>[500,1000]</t>
  </si>
  <si>
    <t>4分钟鼓舞礼包</t>
  </si>
  <si>
    <t>{"name": 101, "count": 5000000}</t>
  </si>
  <si>
    <t>10分钟鼓舞礼包</t>
  </si>
  <si>
    <t>{"name": 101, "count": 2000000}</t>
  </si>
  <si>
    <t>{"name": 101, "count": 3000000}</t>
  </si>
  <si>
    <t>{"name": 101, "count": 1000000}</t>
  </si>
  <si>
    <t>{"name": 101, "count": 500000}</t>
  </si>
  <si>
    <t>{"name": 101, "count": 1500000}</t>
  </si>
  <si>
    <t>{"name": 101, "count": 200000}</t>
  </si>
  <si>
    <t>{"name": 101, "count": 800000}</t>
  </si>
  <si>
    <t>{"name": 101, "count": 600000}</t>
  </si>
  <si>
    <t>{"name": 101, "count": 300000}</t>
  </si>
  <si>
    <t>{"name": 101, "count": 100000}</t>
  </si>
  <si>
    <t>bigPrize</t>
  </si>
  <si>
    <r>
      <rPr>
        <sz val="12"/>
        <color rgb="FF000000"/>
        <rFont val="华文宋体"/>
        <charset val="134"/>
      </rPr>
      <t>房间</t>
    </r>
    <r>
      <rPr>
        <sz val="12"/>
        <color rgb="FF000000"/>
        <rFont val="Verdana"/>
        <charset val="134"/>
      </rPr>
      <t>id</t>
    </r>
  </si>
  <si>
    <t>转盘分数</t>
  </si>
  <si>
    <r>
      <rPr>
        <sz val="12"/>
        <color indexed="8"/>
        <rFont val="Verdana"/>
        <charset val="134"/>
      </rPr>
      <t>day</t>
    </r>
    <r>
      <rPr>
        <sz val="12"/>
        <color indexed="8"/>
        <rFont val="Verdana"/>
        <charset val="134"/>
      </rPr>
      <t>Idx</t>
    </r>
  </si>
  <si>
    <r>
      <rPr>
        <sz val="12"/>
        <color indexed="8"/>
        <rFont val="Verdana"/>
        <charset val="134"/>
      </rPr>
      <t>r</t>
    </r>
    <r>
      <rPr>
        <sz val="12"/>
        <color indexed="8"/>
        <rFont val="Verdana"/>
        <charset val="134"/>
      </rPr>
      <t>ewards</t>
    </r>
  </si>
  <si>
    <r>
      <rPr>
        <sz val="12"/>
        <color indexed="8"/>
        <rFont val="Verdana"/>
        <charset val="134"/>
      </rPr>
      <t>c</t>
    </r>
    <r>
      <rPr>
        <sz val="12"/>
        <color indexed="8"/>
        <rFont val="Verdana"/>
        <charset val="134"/>
      </rPr>
      <t>ondition</t>
    </r>
  </si>
  <si>
    <t>rechargePool</t>
  </si>
  <si>
    <r>
      <rPr>
        <sz val="12"/>
        <color indexed="8"/>
        <rFont val="Verdana"/>
        <charset val="134"/>
      </rPr>
      <t>s</t>
    </r>
    <r>
      <rPr>
        <sz val="12"/>
        <color indexed="8"/>
        <rFont val="Verdana"/>
        <charset val="134"/>
      </rPr>
      <t>tring</t>
    </r>
  </si>
  <si>
    <t>领取条件</t>
  </si>
  <si>
    <t>文本</t>
  </si>
  <si>
    <t>增加充值奖池</t>
  </si>
  <si>
    <t>[{"name":101, "count":3000}, {"name":14175,"count":10}, {"name":14176, "count":3}]</t>
  </si>
  <si>
    <t>[{"name":101, "count":50000}, {"name":14175,"count":10}, {"name":14176, "count":3}]</t>
  </si>
  <si>
    <t>[{"name":101, "count":100000}, {"name":14175,"count":10}, {"name":14176, "count":3}]</t>
  </si>
  <si>
    <t>ID_NEWBIE_7_DAYS_GIFT_COND_2</t>
  </si>
  <si>
    <t>[{"name":101, "count":150000}, {"name":14175,"count":10}, {"name":14176, "count":3}]</t>
  </si>
  <si>
    <t>[{"name":101, "count":200000}, {"name":14175,"count":10}, {"name":14176, "count":3}]</t>
  </si>
  <si>
    <t>ID_NEWBIE_7_DAYS_GIFT_COND_4</t>
  </si>
  <si>
    <t>[{"name":101, "count":500000}, {"name":14175,"count":10}, {"name":14176, "count":3}]</t>
  </si>
  <si>
    <t>[{"name":101, "count":800000}, {"name":14175,"count":10}, {"name":14176, "count":3}]</t>
  </si>
  <si>
    <t>ID_NEWBIE_7_DAYS_GIFT_COND_6</t>
  </si>
  <si>
    <t>[{"name":101, "count":1200000}, {"name":14175,"count":10}, {"name":14176, "count":3}]</t>
  </si>
  <si>
    <t>roomMultiple</t>
  </si>
  <si>
    <t>showReward</t>
  </si>
  <si>
    <t>maxPrize</t>
  </si>
  <si>
    <t>totalDrawCount</t>
  </si>
  <si>
    <t>orderIdx</t>
  </si>
  <si>
    <t>startTime</t>
  </si>
  <si>
    <t>expire</t>
  </si>
  <si>
    <t>exchangeReward</t>
  </si>
  <si>
    <t>exchangeRewardIgnore</t>
  </si>
  <si>
    <t>ruleIgnore</t>
  </si>
  <si>
    <t>lowClientVersion</t>
  </si>
  <si>
    <t>渔场倍数</t>
  </si>
  <si>
    <t>前端显示奖励</t>
  </si>
  <si>
    <t>单个红包最高</t>
  </si>
  <si>
    <t>下个渔场ID</t>
  </si>
  <si>
    <t>渔场ID</t>
  </si>
  <si>
    <t>消耗的金币</t>
  </si>
  <si>
    <t>总抽奖次数</t>
  </si>
  <si>
    <t>索引(前多少次顺序固定)</t>
  </si>
  <si>
    <t>活动有效时间</t>
  </si>
  <si>
    <t>活动有效期天数</t>
  </si>
  <si>
    <t>兑奖界面显示奖励(允许实物)</t>
  </si>
  <si>
    <t>兑奖界面显示奖励(不允许实物)</t>
  </si>
  <si>
    <t>活动规则(允许实物)</t>
  </si>
  <si>
    <t>活动规则(不允许实物)</t>
  </si>
  <si>
    <t>最低版本限制</t>
  </si>
  <si>
    <t>[{"name":103,"count":10},{"name":103,"count":20},{"name":103,"count":50},{"name":103,"count":100},{"name":103,"count":200}]</t>
  </si>
  <si>
    <t>[600]</t>
  </si>
  <si>
    <t>[{"name":103, "count": 50}]</t>
  </si>
  <si>
    <t>2020-02-22 00:00:00</t>
  </si>
  <si>
    <t>{"name":"ID_LOTTERY_TICKET_REWARD_NAME_1", "id": 4143}</t>
  </si>
  <si>
    <t>{"name":"ID_LOTTERY_TICKET_REWARD_NAME_2", "id": 1193}</t>
  </si>
  <si>
    <t>ID_LOTTERY_TICKET_RULE_1</t>
  </si>
  <si>
    <t>ID_LOTTERY_TICKET_RULE_2</t>
  </si>
  <si>
    <t>[{"name":103,"count":20},{"name":103,"count":50},{"name":103,"count":100},{"name":103,"count":150},{"name":103,"count":300}]</t>
  </si>
  <si>
    <t>[70000, 80000,90000, 90000, 80000]</t>
  </si>
  <si>
    <t>[{"name":103, "count": 100}, {"name":103, "count": 50}, {"name":103, "count": 150}, {"name":103, "count": 20}, {"name":103, "count": 50}]</t>
  </si>
  <si>
    <t>[{"name":103,"count":50},{"name":103,"count":100},{"name":103,"count":150},{"name":103,"count":200},{"name":103,"count":400}]</t>
  </si>
  <si>
    <t>[750000, 450000, 375000, 300000, 225000 ]</t>
  </si>
  <si>
    <t>[{"name":103, "count": 50}, {"name":103, "count": 50}, {"name":103, "count": 50}, {"name":103, "count": 50}, {"name":103, "count": 50}]</t>
  </si>
  <si>
    <t>[{"name":103,"count":50},{"name":103,"count":100},{"name":103,"count":200},{"name":103,"count":300},{"name":103,"count":500}]</t>
  </si>
  <si>
    <t>[6000000, 4500000, 3000000, 2000000, 1500000, 1000000, 1000000, 1000000]</t>
  </si>
  <si>
    <t>[{"name":103, "count": 300}, {"name":103, "count": 50}, {"name":103, "count": 100}, {"name":103, "count": 200}, {"name":103, "count": 200}, {"name":103, "count":200}, {"name":103, "count": 50}, {"name":103, "count": 50}]</t>
  </si>
  <si>
    <t>[{"name":103,"count":200},{"name":103,"count":250},{"name":103,"count":300},{"name":103,"count":500},{"name":103,"count":1000}]</t>
  </si>
  <si>
    <t>[18000000, 13500000, 9000000, 7500000, 7500000, 6000000, 6000000, 4500000, 3000000, 3000000]</t>
  </si>
  <si>
    <t>[{"name":103, "count": 250}, {"name":103, "count": 500}, {"name":103, "count": 300}, {"name":103, "count": 300}, {"name":103, "count": 300}, {"name":103, "count": 200}, {"name":103, "count": 200}, {"name":103, "count": 250}, {"name":103, "count": 200}, {"name":103, "count": 500}]</t>
  </si>
  <si>
    <t>acId</t>
  </si>
  <si>
    <t>productDesc</t>
  </si>
  <si>
    <t>活动ID</t>
  </si>
  <si>
    <t>商品描述</t>
  </si>
  <si>
    <t>activity_pass_card_20200814</t>
  </si>
  <si>
    <t>TY0044H00120001</t>
  </si>
  <si>
    <t>ID_ACT_GOLD_REWARD_1</t>
  </si>
  <si>
    <t>ID_ACT_GOLD_REWARD_4</t>
  </si>
  <si>
    <t>activity_pass_card_1_20200814</t>
  </si>
  <si>
    <t>TY0044H01200001</t>
  </si>
  <si>
    <t>ID_ACT_GOLD_REWARD_2</t>
  </si>
  <si>
    <t>ID_ACT_GOLD_REWARD_5</t>
  </si>
  <si>
    <t>activity_pass_card_2_20200814</t>
  </si>
  <si>
    <t>TY0044H06000001</t>
  </si>
  <si>
    <t>ID_ACT_GOLD_REWARD_3</t>
  </si>
  <si>
    <t>ID_ACT_GOLD_REWARD_6</t>
  </si>
  <si>
    <t>activity_pass_card_xl_20200814</t>
  </si>
  <si>
    <t>activity_pass_card_xl1_20200814</t>
  </si>
  <si>
    <t>activity_pass_card_xl2_20200814</t>
  </si>
  <si>
    <t>xiyou.cn.h5</t>
  </si>
  <si>
    <t>skillId</t>
  </si>
  <si>
    <t>gradeItemId</t>
  </si>
  <si>
    <t>starItemId</t>
  </si>
  <si>
    <t>skillLevel</t>
  </si>
  <si>
    <t>compensate</t>
  </si>
  <si>
    <t>starLevel</t>
  </si>
  <si>
    <t>compenMail</t>
  </si>
  <si>
    <r>
      <rPr>
        <sz val="12"/>
        <color rgb="FF000000"/>
        <rFont val="华文宋体"/>
        <charset val="134"/>
      </rPr>
      <t>补偿的技能</t>
    </r>
    <r>
      <rPr>
        <sz val="12"/>
        <color rgb="FF000000"/>
        <rFont val="Verdana"/>
        <charset val="134"/>
      </rPr>
      <t>id</t>
    </r>
  </si>
  <si>
    <t>技能升级卡id</t>
  </si>
  <si>
    <t>技能升星卡id</t>
  </si>
  <si>
    <t>对应的升级卡数量</t>
  </si>
  <si>
    <t>对应的星级卡数量</t>
  </si>
  <si>
    <t>补偿邮件</t>
  </si>
  <si>
    <t>ID_SKILL_COMPENSATE_MAIL</t>
  </si>
  <si>
    <t>abcTestMode</t>
  </si>
  <si>
    <t>registeRechargeBonus</t>
  </si>
  <si>
    <t>firstCurve</t>
  </si>
  <si>
    <t>enterLimit</t>
  </si>
  <si>
    <t>curveSwitch</t>
  </si>
  <si>
    <t>enableNewbie8DaysGift</t>
  </si>
  <si>
    <t>enableNewbieLottory</t>
  </si>
  <si>
    <t>enableUserCoupon</t>
  </si>
  <si>
    <t>模式</t>
  </si>
  <si>
    <t>注册奖池</t>
  </si>
  <si>
    <t>渔场首次曲线</t>
  </si>
  <si>
    <t>渔场进入条件</t>
  </si>
  <si>
    <t>曲线切换</t>
  </si>
  <si>
    <t>是否开启新手8日礼包</t>
  </si>
  <si>
    <t>是否开启新手红包抽奖</t>
  </si>
  <si>
    <t>是否开启个人红包鱼</t>
  </si>
  <si>
    <t>c</t>
  </si>
  <si>
    <t>{"a":200000, "b":0, "c":200000}</t>
  </si>
  <si>
    <t>{"44002":{"a":6, "b":2, "c":6}}</t>
  </si>
  <si>
    <t>{"44003":{"b":{"minLevel": 12, "minCoin": 150000}},"44004":{"b":{"minLevel": 25, "minCoin": 300000}},"44005":{"b":{"minLevel": 30, "minCoin": 500000}}}</t>
  </si>
  <si>
    <t>{"44002":{"b":{"changeTimes":1, "profitCoin":200000}}}</t>
  </si>
  <si>
    <r>
      <rPr>
        <sz val="12"/>
        <color indexed="8"/>
        <rFont val="Verdana"/>
        <charset val="134"/>
      </rPr>
      <t xml:space="preserve">{"b": {"TY0044G00080001": 80000, "TY0044G00300004": 300000, "TY0044G01280004": </t>
    </r>
    <r>
      <rPr>
        <sz val="12"/>
        <color indexed="8"/>
        <rFont val="Verdana"/>
        <charset val="134"/>
      </rPr>
      <t>60</t>
    </r>
    <r>
      <rPr>
        <sz val="12"/>
        <color indexed="8"/>
        <rFont val="Verdana"/>
        <charset val="134"/>
      </rPr>
      <t>0000, "TY0044G06480004": 6</t>
    </r>
    <r>
      <rPr>
        <sz val="12"/>
        <color indexed="8"/>
        <rFont val="Verdana"/>
        <charset val="134"/>
      </rPr>
      <t>0</t>
    </r>
    <r>
      <rPr>
        <sz val="12"/>
        <color indexed="8"/>
        <rFont val="Verdana"/>
        <charset val="134"/>
      </rPr>
      <t>0000, "TY0044G00680005": 6</t>
    </r>
    <r>
      <rPr>
        <sz val="12"/>
        <color indexed="8"/>
        <rFont val="Verdana"/>
        <charset val="134"/>
      </rPr>
      <t>0</t>
    </r>
    <r>
      <rPr>
        <sz val="12"/>
        <color indexed="8"/>
        <rFont val="Verdana"/>
        <charset val="134"/>
      </rPr>
      <t xml:space="preserve">0000, "TY0044G00080006": 80000}, "c": {"TY0044G00080001": 80000, "TY0044G00300004": 300000, "TY0044G01280004": </t>
    </r>
    <r>
      <rPr>
        <sz val="12"/>
        <color indexed="8"/>
        <rFont val="Verdana"/>
        <charset val="134"/>
      </rPr>
      <t>60</t>
    </r>
    <r>
      <rPr>
        <sz val="12"/>
        <color indexed="8"/>
        <rFont val="Verdana"/>
        <charset val="134"/>
      </rPr>
      <t xml:space="preserve">0000, "TY0044G06480004": </t>
    </r>
    <r>
      <rPr>
        <sz val="12"/>
        <color indexed="8"/>
        <rFont val="Verdana"/>
        <charset val="134"/>
      </rPr>
      <t>60</t>
    </r>
    <r>
      <rPr>
        <sz val="12"/>
        <color indexed="8"/>
        <rFont val="Verdana"/>
        <charset val="134"/>
      </rPr>
      <t>0000, "TY0044G00680005": 6</t>
    </r>
    <r>
      <rPr>
        <sz val="12"/>
        <color indexed="8"/>
        <rFont val="Verdana"/>
        <charset val="134"/>
      </rPr>
      <t>0</t>
    </r>
    <r>
      <rPr>
        <sz val="12"/>
        <color indexed="8"/>
        <rFont val="Verdana"/>
        <charset val="134"/>
      </rPr>
      <t>0000, "TY0044G00080006": 80000}}</t>
    </r>
  </si>
</sst>
</file>

<file path=xl/styles.xml><?xml version="1.0" encoding="utf-8"?>
<styleSheet xmlns="http://schemas.openxmlformats.org/spreadsheetml/2006/main">
  <numFmts count="6">
    <numFmt numFmtId="176" formatCode="0.00_);[Red]\(0.00\)"/>
    <numFmt numFmtId="177" formatCode="0.00_ "/>
    <numFmt numFmtId="41" formatCode="_ * #,##0_ ;_ * \-#,##0_ ;_ * &quot;-&quot;_ ;_ @_ "/>
    <numFmt numFmtId="44" formatCode="_ &quot;￥&quot;* #,##0.00_ ;_ &quot;￥&quot;* \-#,##0.00_ ;_ &quot;￥&quot;* &quot;-&quot;??_ ;_ @_ "/>
    <numFmt numFmtId="43" formatCode="_ * #,##0.00_ ;_ * \-#,##0.00_ ;_ * &quot;-&quot;??_ ;_ @_ "/>
    <numFmt numFmtId="42" formatCode="_ &quot;￥&quot;* #,##0_ ;_ &quot;￥&quot;* \-#,##0_ ;_ &quot;￥&quot;* &quot;-&quot;_ ;_ @_ "/>
  </numFmts>
  <fonts count="68">
    <font>
      <sz val="12"/>
      <color indexed="8"/>
      <name val="Verdana"/>
      <charset val="134"/>
    </font>
    <font>
      <sz val="12"/>
      <color rgb="FF000000"/>
      <name val="华文宋体"/>
      <charset val="134"/>
    </font>
    <font>
      <sz val="12"/>
      <color theme="1"/>
      <name val="Helvetica"/>
      <charset val="134"/>
      <scheme val="minor"/>
    </font>
    <font>
      <sz val="14"/>
      <color indexed="8"/>
      <name val="Tahoma"/>
      <charset val="134"/>
    </font>
    <font>
      <sz val="14"/>
      <color rgb="FF000000"/>
      <name val="华文宋体"/>
      <charset val="134"/>
    </font>
    <font>
      <sz val="11"/>
      <color theme="1"/>
      <name val="Helvetica"/>
      <charset val="134"/>
      <scheme val="minor"/>
    </font>
    <font>
      <sz val="14"/>
      <color rgb="FF000000"/>
      <name val="Tahoma"/>
      <charset val="134"/>
    </font>
    <font>
      <sz val="12"/>
      <color indexed="8"/>
      <name val="宋体"/>
      <charset val="134"/>
    </font>
    <font>
      <sz val="10.5"/>
      <color rgb="FF111F2C"/>
      <name val="PingFang SC"/>
      <charset val="134"/>
    </font>
    <font>
      <sz val="12"/>
      <color rgb="FF000000"/>
      <name val="Verdana"/>
      <charset val="134"/>
    </font>
    <font>
      <sz val="12"/>
      <color rgb="FF000000"/>
      <name val="Helvetica"/>
      <charset val="134"/>
      <scheme val="minor"/>
    </font>
    <font>
      <sz val="14"/>
      <color rgb="FF000000"/>
      <name val="SimSun"/>
      <charset val="134"/>
    </font>
    <font>
      <sz val="14"/>
      <color rgb="FF000000"/>
      <name val="Microsoft YaHei UI"/>
      <charset val="134"/>
    </font>
    <font>
      <sz val="12"/>
      <color indexed="8"/>
      <name val="Tahoma"/>
      <charset val="134"/>
    </font>
    <font>
      <sz val="14"/>
      <color rgb="FF000000"/>
      <name val="Thonburi"/>
      <charset val="222"/>
    </font>
    <font>
      <sz val="14"/>
      <color indexed="8"/>
      <name val="Thonburi"/>
      <charset val="222"/>
    </font>
    <font>
      <b/>
      <sz val="12"/>
      <color theme="1"/>
      <name val="Helvetica"/>
      <charset val="134"/>
      <scheme val="minor"/>
    </font>
    <font>
      <sz val="11"/>
      <color theme="1"/>
      <name val="Helvetica"/>
      <charset val="134"/>
    </font>
    <font>
      <sz val="11"/>
      <color theme="1"/>
      <name val="等线"/>
      <charset val="134"/>
    </font>
    <font>
      <sz val="14"/>
      <color indexed="8"/>
      <name val="Microsoft YaHei"/>
      <charset val="134"/>
    </font>
    <font>
      <sz val="12"/>
      <name val="华文宋体"/>
      <charset val="134"/>
    </font>
    <font>
      <sz val="12"/>
      <name val="Verdana"/>
      <charset val="134"/>
    </font>
    <font>
      <sz val="12"/>
      <color rgb="FF000000"/>
      <name val="宋体-简"/>
      <charset val="134"/>
    </font>
    <font>
      <sz val="14"/>
      <color indexed="8"/>
      <name val="宋体"/>
      <charset val="134"/>
    </font>
    <font>
      <sz val="14"/>
      <color rgb="FF000000"/>
      <name val="宋体-简"/>
      <charset val="134"/>
    </font>
    <font>
      <sz val="14"/>
      <color rgb="FF000000"/>
      <name val="Verdana"/>
      <charset val="134"/>
    </font>
    <font>
      <sz val="14"/>
      <color rgb="FF000000"/>
      <name val="宋体"/>
      <charset val="134"/>
    </font>
    <font>
      <sz val="12"/>
      <color theme="1"/>
      <name val="仿宋"/>
      <charset val="134"/>
    </font>
    <font>
      <sz val="14"/>
      <name val="Tahoma"/>
      <charset val="134"/>
    </font>
    <font>
      <sz val="14"/>
      <name val="宋体-简"/>
      <charset val="134"/>
    </font>
    <font>
      <sz val="14"/>
      <color indexed="8"/>
      <name val="Verdana"/>
      <charset val="134"/>
    </font>
    <font>
      <u/>
      <sz val="11"/>
      <color rgb="FF0000FF"/>
      <name val="Helvetica"/>
      <charset val="134"/>
      <scheme val="minor"/>
    </font>
    <font>
      <sz val="14"/>
      <color indexed="8"/>
      <name val="Songti SC"/>
      <charset val="134"/>
    </font>
    <font>
      <sz val="12"/>
      <color rgb="FF000000"/>
      <name val="微软雅黑"/>
      <charset val="134"/>
    </font>
    <font>
      <sz val="11"/>
      <color rgb="FF000000"/>
      <name val="Helvetica"/>
      <charset val="134"/>
      <scheme val="minor"/>
    </font>
    <font>
      <sz val="11"/>
      <color indexed="8"/>
      <name val="Helvetica"/>
      <charset val="134"/>
      <scheme val="minor"/>
    </font>
    <font>
      <sz val="14"/>
      <color rgb="FF000000"/>
      <name val="Helvetica"/>
      <charset val="134"/>
    </font>
    <font>
      <sz val="14"/>
      <color theme="1"/>
      <name val="Tahoma"/>
      <charset val="134"/>
    </font>
    <font>
      <b/>
      <sz val="12"/>
      <color indexed="8"/>
      <name val="等线"/>
      <charset val="134"/>
    </font>
    <font>
      <sz val="14"/>
      <color rgb="FF000000"/>
      <name val="方正书宋_GBK"/>
      <charset val="134"/>
    </font>
    <font>
      <sz val="10"/>
      <color indexed="8"/>
      <name val="Helvetica"/>
      <charset val="134"/>
    </font>
    <font>
      <sz val="14"/>
      <color indexed="8"/>
      <name val="Helvetica"/>
      <charset val="134"/>
    </font>
    <font>
      <sz val="12"/>
      <color rgb="FF000000"/>
      <name val="Helvetica"/>
      <charset val="134"/>
    </font>
    <font>
      <sz val="14"/>
      <color theme="1"/>
      <name val="宋体"/>
      <charset val="134"/>
    </font>
    <font>
      <sz val="14"/>
      <color rgb="FFFF0000"/>
      <name val="Tahoma"/>
      <charset val="134"/>
    </font>
    <font>
      <sz val="11"/>
      <color rgb="FFFA7D00"/>
      <name val="Helvetica"/>
      <charset val="0"/>
      <scheme val="minor"/>
    </font>
    <font>
      <sz val="11"/>
      <color theme="1"/>
      <name val="Helvetica"/>
      <charset val="0"/>
      <scheme val="minor"/>
    </font>
    <font>
      <sz val="11"/>
      <color theme="0"/>
      <name val="Helvetica"/>
      <charset val="0"/>
      <scheme val="minor"/>
    </font>
    <font>
      <b/>
      <sz val="11"/>
      <color theme="3"/>
      <name val="Helvetica"/>
      <charset val="134"/>
      <scheme val="minor"/>
    </font>
    <font>
      <b/>
      <sz val="13"/>
      <color theme="3"/>
      <name val="Helvetica"/>
      <charset val="134"/>
      <scheme val="minor"/>
    </font>
    <font>
      <sz val="11"/>
      <color rgb="FFFF0000"/>
      <name val="Helvetica"/>
      <charset val="0"/>
      <scheme val="minor"/>
    </font>
    <font>
      <b/>
      <sz val="18"/>
      <color theme="3"/>
      <name val="Helvetica"/>
      <charset val="134"/>
      <scheme val="minor"/>
    </font>
    <font>
      <u/>
      <sz val="11"/>
      <color rgb="FF800080"/>
      <name val="Helvetica"/>
      <charset val="0"/>
      <scheme val="minor"/>
    </font>
    <font>
      <b/>
      <sz val="11"/>
      <color theme="1"/>
      <name val="Helvetica"/>
      <charset val="0"/>
      <scheme val="minor"/>
    </font>
    <font>
      <sz val="11"/>
      <color rgb="FF006100"/>
      <name val="Helvetica"/>
      <charset val="0"/>
      <scheme val="minor"/>
    </font>
    <font>
      <b/>
      <sz val="11"/>
      <color rgb="FF3F3F3F"/>
      <name val="Helvetica"/>
      <charset val="0"/>
      <scheme val="minor"/>
    </font>
    <font>
      <b/>
      <sz val="15"/>
      <color theme="3"/>
      <name val="Helvetica"/>
      <charset val="134"/>
      <scheme val="minor"/>
    </font>
    <font>
      <b/>
      <sz val="11"/>
      <color rgb="FFFA7D00"/>
      <name val="Helvetica"/>
      <charset val="0"/>
      <scheme val="minor"/>
    </font>
    <font>
      <sz val="11"/>
      <color rgb="FF3F3F76"/>
      <name val="Helvetica"/>
      <charset val="0"/>
      <scheme val="minor"/>
    </font>
    <font>
      <sz val="11"/>
      <color rgb="FF9C0006"/>
      <name val="Helvetica"/>
      <charset val="0"/>
      <scheme val="minor"/>
    </font>
    <font>
      <b/>
      <sz val="11"/>
      <color rgb="FFFFFFFF"/>
      <name val="Helvetica"/>
      <charset val="0"/>
      <scheme val="minor"/>
    </font>
    <font>
      <i/>
      <sz val="11"/>
      <color rgb="FF7F7F7F"/>
      <name val="Helvetica"/>
      <charset val="0"/>
      <scheme val="minor"/>
    </font>
    <font>
      <sz val="11"/>
      <color rgb="FF9C6500"/>
      <name val="Helvetica"/>
      <charset val="0"/>
      <scheme val="minor"/>
    </font>
    <font>
      <sz val="12"/>
      <color rgb="FF000000"/>
      <name val="Tahoma"/>
      <charset val="134"/>
    </font>
    <font>
      <sz val="11"/>
      <color theme="1"/>
      <name val="Verdana"/>
      <charset val="134"/>
    </font>
    <font>
      <u/>
      <sz val="11"/>
      <color rgb="FF0000FF"/>
      <name val="Helvetica"/>
      <charset val="134"/>
    </font>
    <font>
      <sz val="11"/>
      <name val="Helvetica"/>
      <charset val="134"/>
    </font>
    <font>
      <sz val="12"/>
      <color rgb="FF000000"/>
      <name val="方正书宋_GBK"/>
      <charset val="134"/>
    </font>
  </fonts>
  <fills count="56">
    <fill>
      <patternFill patternType="none"/>
    </fill>
    <fill>
      <patternFill patternType="gray125"/>
    </fill>
    <fill>
      <patternFill patternType="solid">
        <fgColor rgb="FFFFFFFF"/>
        <bgColor indexed="64"/>
      </patternFill>
    </fill>
    <fill>
      <patternFill patternType="solid">
        <fgColor theme="5"/>
        <bgColor indexed="64"/>
      </patternFill>
    </fill>
    <fill>
      <patternFill patternType="solid">
        <fgColor theme="3" tint="0.799340800195319"/>
        <bgColor indexed="64"/>
      </patternFill>
    </fill>
    <fill>
      <patternFill patternType="solid">
        <fgColor theme="8"/>
        <bgColor indexed="64"/>
      </patternFill>
    </fill>
    <fill>
      <patternFill patternType="solid">
        <fgColor rgb="FFFFFF00"/>
        <bgColor indexed="64"/>
      </patternFill>
    </fill>
    <fill>
      <patternFill patternType="solid">
        <fgColor theme="4" tint="0.799340800195319"/>
        <bgColor indexed="64"/>
      </patternFill>
    </fill>
    <fill>
      <patternFill patternType="solid">
        <fgColor theme="0"/>
        <bgColor indexed="64"/>
      </patternFill>
    </fill>
    <fill>
      <patternFill patternType="solid">
        <fgColor theme="5" tint="0.599993896298105"/>
        <bgColor indexed="64"/>
      </patternFill>
    </fill>
    <fill>
      <patternFill patternType="solid">
        <fgColor theme="9" tint="0.799340800195319"/>
        <bgColor indexed="64"/>
      </patternFill>
    </fill>
    <fill>
      <patternFill patternType="solid">
        <fgColor theme="6" tint="0.799340800195319"/>
        <bgColor indexed="64"/>
      </patternFill>
    </fill>
    <fill>
      <patternFill patternType="solid">
        <fgColor theme="5" tint="0.799340800195319"/>
        <bgColor indexed="64"/>
      </patternFill>
    </fill>
    <fill>
      <patternFill patternType="solid">
        <fgColor rgb="FFC00000"/>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
      <patternFill patternType="solid">
        <fgColor rgb="FF0070C0"/>
        <bgColor indexed="64"/>
      </patternFill>
    </fill>
    <fill>
      <patternFill patternType="solid">
        <fgColor theme="7" tint="-0.249977111117893"/>
        <bgColor indexed="64"/>
      </patternFill>
    </fill>
    <fill>
      <patternFill patternType="solid">
        <fgColor theme="9" tint="0.396649067659536"/>
        <bgColor indexed="64"/>
      </patternFill>
    </fill>
    <fill>
      <patternFill patternType="solid">
        <fgColor theme="7"/>
        <bgColor indexed="64"/>
      </patternFill>
    </fill>
    <fill>
      <patternFill patternType="solid">
        <fgColor rgb="FFCCFFCC"/>
        <bgColor indexed="64"/>
      </patternFill>
    </fill>
    <fill>
      <patternFill patternType="solid">
        <fgColor rgb="FFCCFFCC"/>
        <bgColor rgb="FF000000"/>
      </patternFill>
    </fill>
    <fill>
      <patternFill patternType="solid">
        <fgColor theme="3" tint="0.599993896298105"/>
        <bgColor indexed="64"/>
      </patternFill>
    </fill>
    <fill>
      <patternFill patternType="solid">
        <fgColor rgb="FFFCF5D6"/>
        <bgColor rgb="FF000000"/>
      </patternFill>
    </fill>
    <fill>
      <patternFill patternType="solid">
        <fgColor rgb="FFFFD5D2"/>
        <bgColor rgb="FF000000"/>
      </patternFill>
    </fill>
    <fill>
      <patternFill patternType="solid">
        <fgColor theme="4"/>
        <bgColor indexed="64"/>
      </patternFill>
    </fill>
    <fill>
      <patternFill patternType="solid">
        <fgColor theme="4" tint="0.599993896298105"/>
        <bgColor indexed="64"/>
      </patternFill>
    </fill>
    <fill>
      <patternFill patternType="solid">
        <fgColor theme="6"/>
        <bgColor indexed="64"/>
      </patternFill>
    </fill>
    <fill>
      <patternFill patternType="solid">
        <fgColor theme="7" tint="0.7993408001953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799981688894314"/>
        <bgColor indexed="64"/>
      </patternFill>
    </fill>
    <fill>
      <patternFill patternType="solid">
        <fgColor rgb="FFFFFFCC"/>
        <bgColor indexed="64"/>
      </patternFill>
    </fill>
    <fill>
      <patternFill patternType="solid">
        <fgColor theme="5" tint="0.799981688894314"/>
        <bgColor indexed="64"/>
      </patternFill>
    </fill>
    <fill>
      <patternFill patternType="solid">
        <fgColor rgb="FFC6EFCE"/>
        <bgColor indexed="64"/>
      </patternFill>
    </fill>
    <fill>
      <patternFill patternType="solid">
        <fgColor rgb="FFF2F2F2"/>
        <bgColor indexed="64"/>
      </patternFill>
    </fill>
    <fill>
      <patternFill patternType="solid">
        <fgColor theme="8" tint="0.599993896298105"/>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rgb="FFFFCC99"/>
        <bgColor indexed="64"/>
      </patternFill>
    </fill>
    <fill>
      <patternFill patternType="solid">
        <fgColor rgb="FFFFC7CE"/>
        <bgColor indexed="64"/>
      </patternFill>
    </fill>
    <fill>
      <patternFill patternType="solid">
        <fgColor rgb="FFA5A5A5"/>
        <bgColor indexed="64"/>
      </patternFill>
    </fill>
    <fill>
      <patternFill patternType="solid">
        <fgColor theme="6" tint="0.399975585192419"/>
        <bgColor indexed="64"/>
      </patternFill>
    </fill>
    <fill>
      <patternFill patternType="solid">
        <fgColor theme="9" tint="0.399975585192419"/>
        <bgColor indexed="64"/>
      </patternFill>
    </fill>
    <fill>
      <patternFill patternType="solid">
        <fgColor theme="6" tint="0.799981688894314"/>
        <bgColor indexed="64"/>
      </patternFill>
    </fill>
    <fill>
      <patternFill patternType="solid">
        <fgColor theme="8" tint="0.799981688894314"/>
        <bgColor indexed="64"/>
      </patternFill>
    </fill>
    <fill>
      <patternFill patternType="solid">
        <fgColor theme="5" tint="0.399975585192419"/>
        <bgColor indexed="64"/>
      </patternFill>
    </fill>
    <fill>
      <patternFill patternType="solid">
        <fgColor theme="4" tint="0.799981688894314"/>
        <bgColor indexed="64"/>
      </patternFill>
    </fill>
    <fill>
      <patternFill patternType="solid">
        <fgColor rgb="FFFFEB9C"/>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6" tint="0.599993896298105"/>
        <bgColor indexed="64"/>
      </patternFill>
    </fill>
    <fill>
      <patternFill patternType="solid">
        <fgColor theme="7" tint="0.799981688894314"/>
        <bgColor indexed="64"/>
      </patternFill>
    </fill>
  </fills>
  <borders count="36">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rgb="FF000000"/>
      </left>
      <right style="thin">
        <color rgb="FF000000"/>
      </right>
      <top style="thin">
        <color rgb="FF000000"/>
      </top>
      <bottom style="thin">
        <color rgb="FF000000"/>
      </bottom>
      <diagonal/>
    </border>
    <border>
      <left style="thin">
        <color indexed="8"/>
      </left>
      <right style="thin">
        <color indexed="8"/>
      </right>
      <top style="thin">
        <color indexed="8"/>
      </top>
      <bottom style="thin">
        <color indexed="8"/>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style="thin">
        <color indexed="8"/>
      </left>
      <right/>
      <top style="thin">
        <color indexed="8"/>
      </top>
      <bottom style="thin">
        <color indexed="8"/>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style="thin">
        <color rgb="FF000000"/>
      </right>
      <top/>
      <bottom/>
      <diagonal/>
    </border>
    <border>
      <left/>
      <right style="thin">
        <color rgb="FF000000"/>
      </right>
      <top style="thin">
        <color rgb="FF000000"/>
      </top>
      <bottom/>
      <diagonal/>
    </border>
    <border>
      <left style="thin">
        <color rgb="FF000000"/>
      </left>
      <right style="thin">
        <color rgb="FF000000"/>
      </right>
      <top style="thin">
        <color rgb="FF000000"/>
      </top>
      <bottom style="thin">
        <color auto="1"/>
      </bottom>
      <diagonal/>
    </border>
    <border>
      <left style="thin">
        <color indexed="8"/>
      </left>
      <right style="thin">
        <color indexed="8"/>
      </right>
      <top style="thin">
        <color indexed="8"/>
      </top>
      <bottom/>
      <diagonal/>
    </border>
    <border>
      <left/>
      <right style="thin">
        <color indexed="8"/>
      </right>
      <top style="thin">
        <color indexed="8"/>
      </top>
      <bottom style="thin">
        <color indexed="8"/>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thin">
        <color auto="1"/>
      </left>
      <right style="thin">
        <color auto="1"/>
      </right>
      <top/>
      <bottom/>
      <diagonal/>
    </border>
    <border>
      <left style="thin">
        <color theme="1"/>
      </left>
      <right style="thin">
        <color theme="1"/>
      </right>
      <top style="thin">
        <color theme="1"/>
      </top>
      <bottom style="thin">
        <color theme="1"/>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medium">
        <color auto="1"/>
      </bottom>
      <diagonal/>
    </border>
    <border>
      <left style="thin">
        <color indexed="8"/>
      </left>
      <right style="thin">
        <color indexed="8"/>
      </right>
      <top/>
      <bottom/>
      <diagonal/>
    </border>
    <border>
      <left style="thin">
        <color indexed="9"/>
      </left>
      <right style="thin">
        <color indexed="9"/>
      </right>
      <top style="thin">
        <color indexed="9"/>
      </top>
      <bottom style="thin">
        <color indexed="9"/>
      </bottom>
      <diagonal/>
    </border>
    <border>
      <left/>
      <right/>
      <top/>
      <bottom style="double">
        <color rgb="FFFF8001"/>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s>
  <cellStyleXfs count="74">
    <xf numFmtId="0" fontId="0" fillId="0" borderId="0" applyNumberFormat="0" applyFill="0" applyBorder="0" applyProtection="0">
      <alignment vertical="top" wrapText="1"/>
    </xf>
    <xf numFmtId="0" fontId="5" fillId="0" borderId="0"/>
    <xf numFmtId="0" fontId="5" fillId="0" borderId="0"/>
    <xf numFmtId="0" fontId="5" fillId="0" borderId="0"/>
    <xf numFmtId="0" fontId="0" fillId="0" borderId="0" applyNumberFormat="0" applyFill="0" applyBorder="0" applyProtection="0">
      <alignment vertical="top" wrapText="1"/>
    </xf>
    <xf numFmtId="0" fontId="5" fillId="0" borderId="0"/>
    <xf numFmtId="0" fontId="5" fillId="0" borderId="0"/>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2" fillId="0" borderId="0">
      <alignment vertical="center"/>
    </xf>
    <xf numFmtId="0" fontId="5" fillId="0" borderId="0"/>
    <xf numFmtId="0" fontId="5" fillId="0" borderId="0"/>
    <xf numFmtId="0" fontId="5" fillId="0" borderId="0"/>
    <xf numFmtId="0" fontId="5" fillId="0" borderId="0"/>
    <xf numFmtId="0" fontId="5" fillId="0" borderId="0">
      <alignment vertical="center"/>
    </xf>
    <xf numFmtId="0" fontId="47" fillId="46" borderId="0" applyNumberFormat="0" applyBorder="0" applyAlignment="0" applyProtection="0">
      <alignment vertical="center"/>
    </xf>
    <xf numFmtId="0" fontId="46" fillId="55" borderId="0" applyNumberFormat="0" applyBorder="0" applyAlignment="0" applyProtection="0">
      <alignment vertical="center"/>
    </xf>
    <xf numFmtId="0" fontId="47" fillId="22" borderId="0" applyNumberFormat="0" applyBorder="0" applyAlignment="0" applyProtection="0">
      <alignment vertical="center"/>
    </xf>
    <xf numFmtId="0" fontId="58" fillId="42" borderId="34" applyNumberFormat="0" applyAlignment="0" applyProtection="0">
      <alignment vertical="center"/>
    </xf>
    <xf numFmtId="0" fontId="46" fillId="54" borderId="0" applyNumberFormat="0" applyBorder="0" applyAlignment="0" applyProtection="0">
      <alignment vertical="center"/>
    </xf>
    <xf numFmtId="0" fontId="46" fillId="47" borderId="0" applyNumberFormat="0" applyBorder="0" applyAlignment="0" applyProtection="0">
      <alignment vertical="center"/>
    </xf>
    <xf numFmtId="44" fontId="2" fillId="0" borderId="0" applyFont="0" applyFill="0" applyBorder="0" applyAlignment="0" applyProtection="0">
      <alignment vertical="center"/>
    </xf>
    <xf numFmtId="0" fontId="47" fillId="30" borderId="0" applyNumberFormat="0" applyBorder="0" applyAlignment="0" applyProtection="0">
      <alignment vertical="center"/>
    </xf>
    <xf numFmtId="9" fontId="2" fillId="0" borderId="0" applyFont="0" applyFill="0" applyBorder="0" applyAlignment="0" applyProtection="0">
      <alignment vertical="center"/>
    </xf>
    <xf numFmtId="0" fontId="47" fillId="49" borderId="0" applyNumberFormat="0" applyBorder="0" applyAlignment="0" applyProtection="0">
      <alignment vertical="center"/>
    </xf>
    <xf numFmtId="0" fontId="5" fillId="0" borderId="0">
      <alignment vertical="center"/>
    </xf>
    <xf numFmtId="0" fontId="47" fillId="52" borderId="0" applyNumberFormat="0" applyBorder="0" applyAlignment="0" applyProtection="0">
      <alignment vertical="center"/>
    </xf>
    <xf numFmtId="0" fontId="47" fillId="3" borderId="0" applyNumberFormat="0" applyBorder="0" applyAlignment="0" applyProtection="0">
      <alignment vertical="center"/>
    </xf>
    <xf numFmtId="0" fontId="47" fillId="41" borderId="0" applyNumberFormat="0" applyBorder="0" applyAlignment="0" applyProtection="0">
      <alignment vertical="center"/>
    </xf>
    <xf numFmtId="0" fontId="47" fillId="40" borderId="0" applyNumberFormat="0" applyBorder="0" applyAlignment="0" applyProtection="0">
      <alignment vertical="center"/>
    </xf>
    <xf numFmtId="0" fontId="57" fillId="38" borderId="34" applyNumberFormat="0" applyAlignment="0" applyProtection="0">
      <alignment vertical="center"/>
    </xf>
    <xf numFmtId="0" fontId="47" fillId="28" borderId="0" applyNumberFormat="0" applyBorder="0" applyAlignment="0" applyProtection="0">
      <alignment vertical="center"/>
    </xf>
    <xf numFmtId="0" fontId="5" fillId="0" borderId="0">
      <alignment vertical="center"/>
    </xf>
    <xf numFmtId="0" fontId="62" fillId="51" borderId="0" applyNumberFormat="0" applyBorder="0" applyAlignment="0" applyProtection="0">
      <alignment vertical="center"/>
    </xf>
    <xf numFmtId="0" fontId="46" fillId="48" borderId="0" applyNumberFormat="0" applyBorder="0" applyAlignment="0" applyProtection="0">
      <alignment vertical="center"/>
    </xf>
    <xf numFmtId="0" fontId="54" fillId="37" borderId="0" applyNumberFormat="0" applyBorder="0" applyAlignment="0" applyProtection="0">
      <alignment vertical="center"/>
    </xf>
    <xf numFmtId="0" fontId="46" fillId="50" borderId="0" applyNumberFormat="0" applyBorder="0" applyAlignment="0" applyProtection="0">
      <alignment vertical="center"/>
    </xf>
    <xf numFmtId="0" fontId="53" fillId="0" borderId="32" applyNumberFormat="0" applyFill="0" applyAlignment="0" applyProtection="0">
      <alignment vertical="center"/>
    </xf>
    <xf numFmtId="0" fontId="59" fillId="43" borderId="0" applyNumberFormat="0" applyBorder="0" applyAlignment="0" applyProtection="0">
      <alignment vertical="center"/>
    </xf>
    <xf numFmtId="0" fontId="5" fillId="0" borderId="0"/>
    <xf numFmtId="0" fontId="60" fillId="44" borderId="35" applyNumberFormat="0" applyAlignment="0" applyProtection="0">
      <alignment vertical="center"/>
    </xf>
    <xf numFmtId="0" fontId="55" fillId="38" borderId="33" applyNumberFormat="0" applyAlignment="0" applyProtection="0">
      <alignment vertical="center"/>
    </xf>
    <xf numFmtId="0" fontId="56" fillId="0" borderId="31" applyNumberFormat="0" applyFill="0" applyAlignment="0" applyProtection="0">
      <alignment vertical="center"/>
    </xf>
    <xf numFmtId="0" fontId="5" fillId="0" borderId="0">
      <alignment vertical="center"/>
    </xf>
    <xf numFmtId="0" fontId="61" fillId="0" borderId="0" applyNumberFormat="0" applyFill="0" applyBorder="0" applyAlignment="0" applyProtection="0">
      <alignment vertical="center"/>
    </xf>
    <xf numFmtId="0" fontId="46" fillId="36" borderId="0" applyNumberFormat="0" applyBorder="0" applyAlignment="0" applyProtection="0">
      <alignment vertical="center"/>
    </xf>
    <xf numFmtId="0" fontId="48" fillId="0" borderId="0" applyNumberFormat="0" applyFill="0" applyBorder="0" applyAlignment="0" applyProtection="0">
      <alignment vertical="center"/>
    </xf>
    <xf numFmtId="42" fontId="2" fillId="0" borderId="0" applyFont="0" applyFill="0" applyBorder="0" applyAlignment="0" applyProtection="0">
      <alignment vertical="center"/>
    </xf>
    <xf numFmtId="0" fontId="0" fillId="0" borderId="0" applyNumberFormat="0" applyFill="0" applyBorder="0" applyProtection="0">
      <alignment vertical="top" wrapText="1"/>
    </xf>
    <xf numFmtId="0" fontId="46" fillId="53" borderId="0" applyNumberFormat="0" applyBorder="0" applyAlignment="0" applyProtection="0">
      <alignment vertical="center"/>
    </xf>
    <xf numFmtId="43" fontId="2" fillId="0" borderId="0" applyFont="0" applyFill="0" applyBorder="0" applyAlignment="0" applyProtection="0">
      <alignment vertical="center"/>
    </xf>
    <xf numFmtId="0" fontId="5" fillId="0" borderId="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46" fillId="9" borderId="0" applyNumberFormat="0" applyBorder="0" applyAlignment="0" applyProtection="0">
      <alignment vertical="center"/>
    </xf>
    <xf numFmtId="0" fontId="50" fillId="0" borderId="0" applyNumberFormat="0" applyFill="0" applyBorder="0" applyAlignment="0" applyProtection="0">
      <alignment vertical="center"/>
    </xf>
    <xf numFmtId="0" fontId="47" fillId="45" borderId="0" applyNumberFormat="0" applyBorder="0" applyAlignment="0" applyProtection="0">
      <alignment vertical="center"/>
    </xf>
    <xf numFmtId="0" fontId="2" fillId="35" borderId="30" applyNumberFormat="0" applyFont="0" applyAlignment="0" applyProtection="0">
      <alignment vertical="center"/>
    </xf>
    <xf numFmtId="0" fontId="46" fillId="34" borderId="0" applyNumberFormat="0" applyBorder="0" applyAlignment="0" applyProtection="0">
      <alignment vertical="center"/>
    </xf>
    <xf numFmtId="0" fontId="47" fillId="5" borderId="0" applyNumberFormat="0" applyBorder="0" applyAlignment="0" applyProtection="0">
      <alignment vertical="center"/>
    </xf>
    <xf numFmtId="0" fontId="46" fillId="33" borderId="0" applyNumberFormat="0" applyBorder="0" applyAlignment="0" applyProtection="0">
      <alignment vertical="center"/>
    </xf>
    <xf numFmtId="0" fontId="31" fillId="0" borderId="0" applyNumberFormat="0" applyFill="0" applyBorder="0" applyAlignment="0" applyProtection="0">
      <alignment vertical="center"/>
    </xf>
    <xf numFmtId="41" fontId="2" fillId="0" borderId="0" applyFont="0" applyFill="0" applyBorder="0" applyAlignment="0" applyProtection="0">
      <alignment vertical="center"/>
    </xf>
    <xf numFmtId="0" fontId="49" fillId="0" borderId="31" applyNumberFormat="0" applyFill="0" applyAlignment="0" applyProtection="0">
      <alignment vertical="center"/>
    </xf>
    <xf numFmtId="0" fontId="46" fillId="39" borderId="0" applyNumberFormat="0" applyBorder="0" applyAlignment="0" applyProtection="0">
      <alignment vertical="center"/>
    </xf>
    <xf numFmtId="0" fontId="5" fillId="0" borderId="0">
      <alignment vertical="center"/>
    </xf>
    <xf numFmtId="0" fontId="48" fillId="0" borderId="29" applyNumberFormat="0" applyFill="0" applyAlignment="0" applyProtection="0">
      <alignment vertical="center"/>
    </xf>
    <xf numFmtId="0" fontId="47" fillId="32" borderId="0" applyNumberFormat="0" applyBorder="0" applyAlignment="0" applyProtection="0">
      <alignment vertical="center"/>
    </xf>
    <xf numFmtId="0" fontId="46" fillId="29" borderId="0" applyNumberFormat="0" applyBorder="0" applyAlignment="0" applyProtection="0">
      <alignment vertical="center"/>
    </xf>
    <xf numFmtId="0" fontId="5" fillId="0" borderId="0">
      <alignment vertical="center"/>
    </xf>
    <xf numFmtId="0" fontId="45" fillId="0" borderId="28" applyNumberFormat="0" applyFill="0" applyAlignment="0" applyProtection="0">
      <alignment vertical="center"/>
    </xf>
  </cellStyleXfs>
  <cellXfs count="291">
    <xf numFmtId="0" fontId="0" fillId="0" borderId="0" xfId="0" applyFont="1" applyAlignment="1">
      <alignment vertical="top" wrapText="1"/>
    </xf>
    <xf numFmtId="0" fontId="0" fillId="0" borderId="1" xfId="0" applyFont="1" applyBorder="1" applyAlignment="1">
      <alignment horizontal="center" vertical="center" wrapText="1"/>
    </xf>
    <xf numFmtId="0" fontId="0" fillId="0" borderId="0" xfId="0" applyFont="1" applyAlignment="1">
      <alignment horizontal="center" vertical="center" wrapText="1"/>
    </xf>
    <xf numFmtId="0" fontId="1" fillId="0" borderId="1" xfId="0" applyFont="1" applyBorder="1" applyAlignment="1">
      <alignment horizontal="center" vertical="center" wrapText="1"/>
    </xf>
    <xf numFmtId="0" fontId="1" fillId="0" borderId="0" xfId="0" applyFont="1" applyAlignment="1">
      <alignment horizontal="center" vertical="center" wrapText="1"/>
    </xf>
    <xf numFmtId="0" fontId="2" fillId="0" borderId="1" xfId="0" applyNumberFormat="1" applyFont="1" applyFill="1" applyBorder="1" applyAlignment="1" applyProtection="1">
      <alignment horizontal="center" vertical="center"/>
    </xf>
    <xf numFmtId="0" fontId="3" fillId="0" borderId="1" xfId="0" applyNumberFormat="1" applyFont="1" applyFill="1" applyBorder="1" applyAlignment="1" applyProtection="1">
      <alignment horizontal="center" vertical="center" wrapText="1"/>
    </xf>
    <xf numFmtId="0" fontId="4" fillId="0" borderId="1" xfId="0" applyNumberFormat="1" applyFont="1" applyFill="1" applyBorder="1" applyAlignment="1" applyProtection="1">
      <alignment horizontal="center" vertical="center" wrapText="1"/>
    </xf>
    <xf numFmtId="0" fontId="2" fillId="0" borderId="2" xfId="0" applyNumberFormat="1" applyFont="1" applyFill="1" applyBorder="1" applyAlignment="1" applyProtection="1">
      <alignment horizontal="center" vertical="center"/>
    </xf>
    <xf numFmtId="0" fontId="5" fillId="0" borderId="1" xfId="0" applyNumberFormat="1" applyFont="1" applyFill="1" applyBorder="1" applyAlignment="1" applyProtection="1">
      <alignment horizontal="center" vertical="center"/>
    </xf>
    <xf numFmtId="0" fontId="5" fillId="0" borderId="2" xfId="0" applyNumberFormat="1" applyFont="1" applyFill="1" applyBorder="1" applyAlignment="1" applyProtection="1">
      <alignment horizontal="center" vertical="center"/>
    </xf>
    <xf numFmtId="0" fontId="2" fillId="0" borderId="0" xfId="0" applyNumberFormat="1" applyFont="1" applyFill="1" applyBorder="1" applyAlignment="1" applyProtection="1">
      <alignment horizontal="center" vertical="center"/>
    </xf>
    <xf numFmtId="0" fontId="2" fillId="0" borderId="3" xfId="0" applyNumberFormat="1" applyFont="1" applyFill="1" applyBorder="1" applyAlignment="1" applyProtection="1">
      <alignment horizontal="center" vertical="center"/>
    </xf>
    <xf numFmtId="0" fontId="5" fillId="0" borderId="0" xfId="0" applyNumberFormat="1" applyFont="1" applyFill="1" applyBorder="1" applyAlignment="1" applyProtection="1">
      <alignment horizontal="center" vertical="center"/>
    </xf>
    <xf numFmtId="0" fontId="5" fillId="0" borderId="1" xfId="0" applyNumberFormat="1" applyFont="1" applyFill="1" applyBorder="1" applyAlignment="1" applyProtection="1">
      <alignment horizontal="center" vertical="center" wrapText="1"/>
    </xf>
    <xf numFmtId="0" fontId="5" fillId="0" borderId="2" xfId="0" applyNumberFormat="1" applyFont="1" applyFill="1" applyBorder="1" applyAlignment="1" applyProtection="1">
      <alignment horizontal="center" vertical="center" wrapText="1"/>
    </xf>
    <xf numFmtId="0" fontId="0" fillId="0" borderId="1" xfId="0" applyNumberFormat="1" applyFont="1" applyFill="1" applyBorder="1" applyAlignment="1" applyProtection="1">
      <alignment horizontal="center" vertical="center" wrapText="1"/>
    </xf>
    <xf numFmtId="0" fontId="1" fillId="0" borderId="1" xfId="0" applyNumberFormat="1" applyFont="1" applyFill="1" applyBorder="1" applyAlignment="1" applyProtection="1">
      <alignment horizontal="center" vertical="center" wrapText="1"/>
    </xf>
    <xf numFmtId="49" fontId="6" fillId="0" borderId="4" xfId="0" applyNumberFormat="1" applyFont="1" applyFill="1" applyBorder="1" applyAlignment="1" applyProtection="1">
      <alignment horizontal="center" vertical="center" wrapText="1"/>
    </xf>
    <xf numFmtId="0" fontId="0" fillId="0" borderId="0" xfId="0" applyNumberFormat="1" applyFont="1" applyFill="1" applyBorder="1" applyAlignment="1" applyProtection="1">
      <alignment vertical="top" wrapText="1"/>
    </xf>
    <xf numFmtId="0" fontId="7" fillId="0" borderId="1" xfId="0" applyFont="1" applyBorder="1" applyAlignment="1">
      <alignment horizontal="center" vertical="center" wrapText="1"/>
    </xf>
    <xf numFmtId="0" fontId="8" fillId="0" borderId="1" xfId="0" applyFont="1" applyBorder="1" applyAlignment="1">
      <alignment horizontal="center" vertical="center" wrapText="1"/>
    </xf>
    <xf numFmtId="0" fontId="9" fillId="0" borderId="1" xfId="0"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0" fontId="10" fillId="2" borderId="1" xfId="0" applyNumberFormat="1" applyFont="1" applyFill="1" applyBorder="1" applyAlignment="1" applyProtection="1">
      <alignment horizontal="center" vertical="center" wrapText="1"/>
    </xf>
    <xf numFmtId="0" fontId="10" fillId="2" borderId="1" xfId="0" applyNumberFormat="1" applyFont="1" applyFill="1" applyBorder="1" applyAlignment="1" applyProtection="1">
      <alignment horizontal="center" wrapText="1"/>
    </xf>
    <xf numFmtId="0" fontId="10" fillId="0" borderId="1" xfId="0" applyNumberFormat="1" applyFont="1" applyFill="1" applyBorder="1" applyAlignment="1" applyProtection="1">
      <alignment horizontal="center" vertical="center" wrapText="1"/>
    </xf>
    <xf numFmtId="0" fontId="2" fillId="0" borderId="0" xfId="0" applyNumberFormat="1" applyFont="1" applyFill="1" applyBorder="1" applyAlignment="1" applyProtection="1">
      <alignment vertical="center"/>
    </xf>
    <xf numFmtId="0" fontId="6" fillId="0" borderId="5" xfId="0" applyNumberFormat="1" applyFont="1" applyFill="1" applyBorder="1" applyAlignment="1" applyProtection="1">
      <alignment horizontal="center" vertical="center" wrapText="1"/>
    </xf>
    <xf numFmtId="0" fontId="6" fillId="0" borderId="6" xfId="0" applyNumberFormat="1" applyFont="1" applyFill="1" applyBorder="1" applyAlignment="1" applyProtection="1">
      <alignment horizontal="center" vertical="center" wrapText="1"/>
    </xf>
    <xf numFmtId="0" fontId="4" fillId="0" borderId="6" xfId="0" applyNumberFormat="1" applyFont="1" applyFill="1" applyBorder="1" applyAlignment="1" applyProtection="1">
      <alignment horizontal="center" vertical="center" wrapText="1"/>
    </xf>
    <xf numFmtId="0" fontId="11" fillId="0" borderId="1" xfId="0" applyNumberFormat="1" applyFont="1" applyFill="1" applyBorder="1" applyAlignment="1" applyProtection="1">
      <alignment horizontal="center" vertical="center" wrapText="1"/>
    </xf>
    <xf numFmtId="0" fontId="3" fillId="3" borderId="1" xfId="0" applyNumberFormat="1" applyFont="1" applyFill="1" applyBorder="1" applyAlignment="1" applyProtection="1">
      <alignment horizontal="center" vertical="center" wrapText="1"/>
    </xf>
    <xf numFmtId="0" fontId="4" fillId="3" borderId="1" xfId="0" applyNumberFormat="1" applyFont="1" applyFill="1" applyBorder="1" applyAlignment="1" applyProtection="1">
      <alignment horizontal="center" vertical="center" wrapText="1"/>
    </xf>
    <xf numFmtId="0" fontId="6" fillId="3" borderId="1" xfId="0" applyNumberFormat="1" applyFont="1" applyFill="1" applyBorder="1" applyAlignment="1" applyProtection="1">
      <alignment horizontal="center" vertical="center" wrapText="1"/>
    </xf>
    <xf numFmtId="0" fontId="12" fillId="3" borderId="1" xfId="0" applyNumberFormat="1" applyFont="1" applyFill="1" applyBorder="1" applyAlignment="1" applyProtection="1">
      <alignment horizontal="center" vertical="center" wrapText="1"/>
    </xf>
    <xf numFmtId="0" fontId="3" fillId="4" borderId="1" xfId="0" applyNumberFormat="1" applyFont="1" applyFill="1" applyBorder="1" applyAlignment="1" applyProtection="1">
      <alignment horizontal="center" vertical="center" wrapText="1"/>
    </xf>
    <xf numFmtId="0" fontId="6" fillId="4" borderId="1" xfId="0" applyNumberFormat="1" applyFont="1" applyFill="1" applyBorder="1" applyAlignment="1" applyProtection="1">
      <alignment horizontal="center" vertical="center" wrapText="1"/>
    </xf>
    <xf numFmtId="0" fontId="3" fillId="5" borderId="1" xfId="0" applyNumberFormat="1" applyFont="1" applyFill="1" applyBorder="1" applyAlignment="1" applyProtection="1">
      <alignment horizontal="center" vertical="center" wrapText="1"/>
    </xf>
    <xf numFmtId="0" fontId="6" fillId="5" borderId="1" xfId="0" applyNumberFormat="1" applyFont="1" applyFill="1" applyBorder="1" applyAlignment="1" applyProtection="1">
      <alignment horizontal="center" vertical="center" wrapText="1"/>
    </xf>
    <xf numFmtId="0" fontId="12" fillId="5" borderId="1" xfId="0" applyNumberFormat="1" applyFont="1" applyFill="1" applyBorder="1" applyAlignment="1" applyProtection="1">
      <alignment horizontal="center" vertical="center" wrapText="1"/>
    </xf>
    <xf numFmtId="0" fontId="3" fillId="6" borderId="1" xfId="0" applyNumberFormat="1" applyFont="1" applyFill="1" applyBorder="1" applyAlignment="1" applyProtection="1">
      <alignment horizontal="center" vertical="center" wrapText="1"/>
    </xf>
    <xf numFmtId="0" fontId="3" fillId="7" borderId="1" xfId="0" applyNumberFormat="1" applyFont="1" applyFill="1" applyBorder="1" applyAlignment="1" applyProtection="1">
      <alignment horizontal="center" vertical="center" wrapText="1"/>
    </xf>
    <xf numFmtId="0" fontId="12" fillId="6" borderId="1" xfId="0" applyNumberFormat="1" applyFont="1" applyFill="1" applyBorder="1" applyAlignment="1" applyProtection="1">
      <alignment horizontal="center" vertical="center" wrapText="1"/>
    </xf>
    <xf numFmtId="0" fontId="6" fillId="6" borderId="1" xfId="0" applyNumberFormat="1" applyFont="1" applyFill="1" applyBorder="1" applyAlignment="1" applyProtection="1">
      <alignment horizontal="center" vertical="center" wrapText="1"/>
    </xf>
    <xf numFmtId="0" fontId="6" fillId="7" borderId="1" xfId="0" applyNumberFormat="1" applyFont="1" applyFill="1" applyBorder="1" applyAlignment="1" applyProtection="1">
      <alignment horizontal="center" vertical="center" wrapText="1"/>
    </xf>
    <xf numFmtId="0" fontId="3" fillId="0" borderId="0" xfId="0" applyNumberFormat="1" applyFont="1" applyFill="1" applyBorder="1" applyAlignment="1" applyProtection="1">
      <alignment horizontal="center" vertical="center" wrapText="1"/>
    </xf>
    <xf numFmtId="0" fontId="6" fillId="0" borderId="0" xfId="0" applyNumberFormat="1" applyFont="1" applyFill="1" applyBorder="1" applyAlignment="1" applyProtection="1">
      <alignment horizontal="center" vertical="center" wrapText="1"/>
    </xf>
    <xf numFmtId="0" fontId="1" fillId="0" borderId="0" xfId="0" applyNumberFormat="1" applyFont="1" applyFill="1" applyBorder="1" applyAlignment="1" applyProtection="1">
      <alignment horizontal="center" vertical="center" wrapText="1"/>
    </xf>
    <xf numFmtId="0" fontId="13" fillId="0" borderId="0" xfId="0" applyNumberFormat="1" applyFont="1" applyFill="1" applyBorder="1" applyAlignment="1" applyProtection="1">
      <alignment horizontal="center" vertical="center" wrapText="1"/>
    </xf>
    <xf numFmtId="0" fontId="14" fillId="0" borderId="0" xfId="0" applyNumberFormat="1" applyFont="1" applyFill="1" applyBorder="1" applyAlignment="1" applyProtection="1">
      <alignment horizontal="center" vertical="center" wrapText="1"/>
    </xf>
    <xf numFmtId="0" fontId="15" fillId="0" borderId="0" xfId="0" applyNumberFormat="1" applyFont="1" applyFill="1" applyBorder="1" applyAlignment="1" applyProtection="1">
      <alignment horizontal="center" vertical="center" wrapText="1"/>
    </xf>
    <xf numFmtId="0" fontId="2" fillId="0" borderId="0" xfId="0" applyNumberFormat="1" applyFont="1" applyFill="1" applyBorder="1" applyAlignment="1" applyProtection="1">
      <alignment horizontal="center" vertical="center" wrapText="1"/>
    </xf>
    <xf numFmtId="0" fontId="3" fillId="0" borderId="6" xfId="0" applyNumberFormat="1" applyFont="1" applyFill="1" applyBorder="1" applyAlignment="1" applyProtection="1">
      <alignment horizontal="center" vertical="center" wrapText="1"/>
    </xf>
    <xf numFmtId="0" fontId="0" fillId="0" borderId="7" xfId="0" applyFont="1" applyBorder="1" applyAlignment="1">
      <alignment horizontal="center" vertical="center" wrapText="1"/>
    </xf>
    <xf numFmtId="0" fontId="1" fillId="0" borderId="7" xfId="0" applyFont="1" applyBorder="1" applyAlignment="1">
      <alignment horizontal="center" vertical="center" wrapText="1"/>
    </xf>
    <xf numFmtId="0" fontId="5" fillId="8" borderId="1" xfId="0" applyNumberFormat="1" applyFont="1" applyFill="1" applyBorder="1" applyAlignment="1" applyProtection="1">
      <alignment horizontal="center"/>
    </xf>
    <xf numFmtId="0" fontId="2" fillId="0" borderId="8" xfId="0" applyNumberFormat="1" applyFont="1" applyFill="1" applyBorder="1" applyAlignment="1" applyProtection="1">
      <alignment horizontal="center" vertical="center"/>
    </xf>
    <xf numFmtId="0" fontId="5" fillId="8" borderId="8" xfId="0" applyNumberFormat="1" applyFont="1" applyFill="1" applyBorder="1" applyAlignment="1" applyProtection="1">
      <alignment horizontal="center"/>
    </xf>
    <xf numFmtId="0" fontId="0" fillId="0" borderId="0" xfId="0" applyFont="1" applyBorder="1" applyAlignment="1">
      <alignment vertical="top" wrapText="1"/>
    </xf>
    <xf numFmtId="0" fontId="5" fillId="8" borderId="0" xfId="0" applyNumberFormat="1" applyFont="1" applyFill="1" applyBorder="1" applyAlignment="1" applyProtection="1">
      <alignment horizontal="center"/>
    </xf>
    <xf numFmtId="0" fontId="0" fillId="0" borderId="0" xfId="0">
      <alignment vertical="top" wrapText="1"/>
    </xf>
    <xf numFmtId="0" fontId="2" fillId="0" borderId="1" xfId="0" applyNumberFormat="1" applyFont="1" applyFill="1" applyBorder="1" applyAlignment="1" applyProtection="1">
      <alignment vertical="center"/>
    </xf>
    <xf numFmtId="9" fontId="2" fillId="0" borderId="1" xfId="0" applyNumberFormat="1" applyFont="1" applyFill="1" applyBorder="1" applyAlignment="1" applyProtection="1">
      <alignment vertical="center"/>
    </xf>
    <xf numFmtId="0" fontId="0" fillId="0" borderId="1" xfId="0" applyFont="1" applyBorder="1" applyAlignment="1">
      <alignment vertical="top" wrapText="1"/>
    </xf>
    <xf numFmtId="9" fontId="2" fillId="0" borderId="0" xfId="0" applyNumberFormat="1" applyFont="1" applyFill="1" applyBorder="1" applyAlignment="1" applyProtection="1">
      <alignment vertical="center"/>
    </xf>
    <xf numFmtId="0" fontId="0" fillId="0" borderId="1" xfId="0" applyNumberFormat="1" applyFill="1" applyBorder="1" applyProtection="1">
      <alignment vertical="top" wrapText="1"/>
    </xf>
    <xf numFmtId="0" fontId="5" fillId="8" borderId="1" xfId="0" applyNumberFormat="1" applyFont="1" applyFill="1" applyBorder="1" applyAlignment="1" applyProtection="1">
      <alignment horizontal="center" vertical="center"/>
    </xf>
    <xf numFmtId="38" fontId="0" fillId="0" borderId="0" xfId="0" applyNumberFormat="1" applyFont="1" applyAlignment="1">
      <alignment vertical="top" wrapText="1"/>
    </xf>
    <xf numFmtId="38" fontId="0" fillId="0" borderId="1" xfId="0" applyNumberFormat="1" applyFont="1" applyBorder="1" applyAlignment="1">
      <alignment horizontal="center" vertical="center" wrapText="1"/>
    </xf>
    <xf numFmtId="49" fontId="16" fillId="8" borderId="9" xfId="0" applyNumberFormat="1" applyFont="1" applyFill="1" applyBorder="1" applyAlignment="1" applyProtection="1">
      <alignment horizontal="center" vertical="center"/>
    </xf>
    <xf numFmtId="38" fontId="16" fillId="8" borderId="9" xfId="0" applyNumberFormat="1" applyFont="1" applyFill="1" applyBorder="1" applyAlignment="1" applyProtection="1">
      <alignment horizontal="center" vertical="center"/>
    </xf>
    <xf numFmtId="49" fontId="16" fillId="8" borderId="6" xfId="0" applyNumberFormat="1" applyFont="1" applyFill="1" applyBorder="1" applyAlignment="1" applyProtection="1">
      <alignment horizontal="center" vertical="center"/>
    </xf>
    <xf numFmtId="0" fontId="5" fillId="8" borderId="6" xfId="0" applyNumberFormat="1" applyFont="1" applyFill="1" applyBorder="1" applyAlignment="1" applyProtection="1">
      <alignment horizontal="center" vertical="center"/>
    </xf>
    <xf numFmtId="38" fontId="5" fillId="8" borderId="1" xfId="0" applyNumberFormat="1" applyFont="1" applyFill="1" applyBorder="1" applyAlignment="1" applyProtection="1">
      <alignment horizontal="center" vertical="center"/>
    </xf>
    <xf numFmtId="0" fontId="5" fillId="9" borderId="6" xfId="0" applyNumberFormat="1" applyFont="1" applyFill="1" applyBorder="1" applyAlignment="1" applyProtection="1">
      <alignment horizontal="center" vertical="center"/>
    </xf>
    <xf numFmtId="0" fontId="5" fillId="9" borderId="1" xfId="0" applyNumberFormat="1" applyFont="1" applyFill="1" applyBorder="1" applyAlignment="1" applyProtection="1">
      <alignment horizontal="center" vertical="center"/>
    </xf>
    <xf numFmtId="38" fontId="5" fillId="9" borderId="1" xfId="0" applyNumberFormat="1" applyFont="1" applyFill="1" applyBorder="1" applyAlignment="1" applyProtection="1">
      <alignment horizontal="center" vertical="center"/>
    </xf>
    <xf numFmtId="0" fontId="17" fillId="9" borderId="1" xfId="0" applyNumberFormat="1" applyFont="1" applyFill="1" applyBorder="1" applyAlignment="1" applyProtection="1">
      <alignment horizontal="center" vertical="center"/>
    </xf>
    <xf numFmtId="0" fontId="18" fillId="8" borderId="1" xfId="0" applyNumberFormat="1" applyFont="1" applyFill="1" applyBorder="1" applyAlignment="1" applyProtection="1">
      <alignment horizontal="center" vertical="center"/>
    </xf>
    <xf numFmtId="0" fontId="3" fillId="0" borderId="6" xfId="0" applyNumberFormat="1" applyFont="1" applyBorder="1" applyAlignment="1">
      <alignment horizontal="center" vertical="center" wrapText="1"/>
    </xf>
    <xf numFmtId="0" fontId="4" fillId="0" borderId="6" xfId="0" applyNumberFormat="1" applyFont="1" applyBorder="1" applyAlignment="1">
      <alignment horizontal="center" vertical="center" wrapText="1"/>
    </xf>
    <xf numFmtId="0" fontId="19" fillId="0" borderId="6" xfId="46" applyNumberFormat="1" applyFont="1" applyBorder="1" applyAlignment="1">
      <alignment horizontal="center" vertical="center" wrapText="1"/>
    </xf>
    <xf numFmtId="1" fontId="19" fillId="0" borderId="6" xfId="46" applyNumberFormat="1" applyFont="1" applyBorder="1" applyAlignment="1">
      <alignment horizontal="center" vertical="center" wrapText="1"/>
    </xf>
    <xf numFmtId="0" fontId="3" fillId="0" borderId="10" xfId="0" applyNumberFormat="1" applyFont="1" applyBorder="1" applyAlignment="1">
      <alignment horizontal="center" vertical="center" wrapText="1"/>
    </xf>
    <xf numFmtId="0" fontId="19" fillId="0" borderId="10" xfId="46" applyNumberFormat="1" applyFont="1" applyBorder="1" applyAlignment="1">
      <alignment horizontal="center" vertical="center" wrapText="1"/>
    </xf>
    <xf numFmtId="0" fontId="4" fillId="0" borderId="10" xfId="0" applyNumberFormat="1" applyFont="1" applyBorder="1" applyAlignment="1">
      <alignment horizontal="center" vertical="center" wrapText="1"/>
    </xf>
    <xf numFmtId="0" fontId="1" fillId="0" borderId="1" xfId="0" applyFont="1" applyBorder="1" applyAlignment="1">
      <alignment vertical="top" wrapText="1"/>
    </xf>
    <xf numFmtId="3" fontId="19" fillId="0" borderId="10" xfId="46" applyNumberFormat="1" applyFont="1" applyBorder="1" applyAlignment="1">
      <alignment horizontal="center" vertical="center" wrapText="1"/>
    </xf>
    <xf numFmtId="0" fontId="0" fillId="0" borderId="1" xfId="0" applyNumberFormat="1" applyFont="1" applyFill="1" applyBorder="1" applyAlignment="1" applyProtection="1">
      <alignment horizontal="center" vertical="center"/>
    </xf>
    <xf numFmtId="0" fontId="0" fillId="0" borderId="1" xfId="0" applyNumberFormat="1" applyFont="1" applyFill="1" applyBorder="1" applyAlignment="1" applyProtection="1">
      <alignment vertical="top" wrapText="1"/>
    </xf>
    <xf numFmtId="0" fontId="1" fillId="0" borderId="1" xfId="0" applyNumberFormat="1" applyFont="1" applyFill="1" applyBorder="1" applyAlignment="1" applyProtection="1">
      <alignment horizontal="center" vertical="center"/>
    </xf>
    <xf numFmtId="0" fontId="1" fillId="0" borderId="0" xfId="0" applyNumberFormat="1" applyFont="1" applyFill="1" applyBorder="1" applyAlignment="1" applyProtection="1">
      <alignment vertical="top" wrapText="1"/>
    </xf>
    <xf numFmtId="0" fontId="20" fillId="3" borderId="1" xfId="0" applyNumberFormat="1" applyFont="1" applyFill="1" applyBorder="1" applyAlignment="1" applyProtection="1">
      <alignment vertical="top" wrapText="1"/>
    </xf>
    <xf numFmtId="0" fontId="21" fillId="3" borderId="1" xfId="0" applyNumberFormat="1" applyFont="1" applyFill="1" applyBorder="1" applyAlignment="1" applyProtection="1">
      <alignment vertical="top" wrapText="1"/>
    </xf>
    <xf numFmtId="0" fontId="0" fillId="6" borderId="1" xfId="0" applyNumberFormat="1" applyFont="1" applyFill="1" applyBorder="1" applyAlignment="1" applyProtection="1">
      <alignment vertical="top" wrapText="1"/>
    </xf>
    <xf numFmtId="0" fontId="1" fillId="5" borderId="1" xfId="0" applyNumberFormat="1" applyFont="1" applyFill="1" applyBorder="1" applyAlignment="1" applyProtection="1">
      <alignment vertical="top" wrapText="1"/>
    </xf>
    <xf numFmtId="0" fontId="0" fillId="5" borderId="1" xfId="0" applyNumberFormat="1" applyFont="1" applyFill="1" applyBorder="1" applyAlignment="1" applyProtection="1">
      <alignment vertical="top" wrapText="1"/>
    </xf>
    <xf numFmtId="0" fontId="0" fillId="0" borderId="1" xfId="0" applyFont="1" applyBorder="1" applyAlignment="1">
      <alignment horizontal="center" vertical="center"/>
    </xf>
    <xf numFmtId="0" fontId="22" fillId="0" borderId="1" xfId="0" applyFont="1" applyBorder="1" applyAlignment="1">
      <alignment horizontal="center" vertical="center"/>
    </xf>
    <xf numFmtId="0" fontId="3" fillId="0" borderId="1" xfId="0" applyNumberFormat="1" applyFont="1" applyFill="1" applyBorder="1" applyAlignment="1" applyProtection="1">
      <alignment horizontal="center" vertical="center"/>
    </xf>
    <xf numFmtId="0" fontId="0" fillId="0" borderId="1" xfId="0" applyFont="1" applyBorder="1" applyAlignment="1">
      <alignment horizontal="center" vertical="top"/>
    </xf>
    <xf numFmtId="0" fontId="0" fillId="0" borderId="0" xfId="0" applyFont="1" applyAlignment="1">
      <alignment vertical="top"/>
    </xf>
    <xf numFmtId="0" fontId="3" fillId="0" borderId="9" xfId="0" applyNumberFormat="1" applyFont="1" applyFill="1" applyBorder="1" applyAlignment="1" applyProtection="1">
      <alignment horizontal="center" vertical="center"/>
    </xf>
    <xf numFmtId="0" fontId="23" fillId="10" borderId="9" xfId="0" applyNumberFormat="1" applyFont="1" applyFill="1" applyBorder="1" applyAlignment="1" applyProtection="1">
      <alignment horizontal="center" vertical="center"/>
    </xf>
    <xf numFmtId="0" fontId="3" fillId="0" borderId="6" xfId="0" applyNumberFormat="1" applyFont="1" applyFill="1" applyBorder="1" applyAlignment="1" applyProtection="1">
      <alignment horizontal="center" vertical="center"/>
    </xf>
    <xf numFmtId="0" fontId="3" fillId="10" borderId="6" xfId="0" applyNumberFormat="1" applyFont="1" applyFill="1" applyBorder="1" applyAlignment="1" applyProtection="1">
      <alignment horizontal="center" vertical="center"/>
    </xf>
    <xf numFmtId="0" fontId="3" fillId="11" borderId="9" xfId="0" applyNumberFormat="1" applyFont="1" applyFill="1" applyBorder="1" applyAlignment="1" applyProtection="1">
      <alignment horizontal="center" vertical="center"/>
    </xf>
    <xf numFmtId="0" fontId="23" fillId="11" borderId="9" xfId="0" applyNumberFormat="1" applyFont="1" applyFill="1" applyBorder="1" applyAlignment="1" applyProtection="1">
      <alignment horizontal="center" vertical="center"/>
    </xf>
    <xf numFmtId="0" fontId="3" fillId="11" borderId="6" xfId="0" applyNumberFormat="1" applyFont="1" applyFill="1" applyBorder="1" applyAlignment="1" applyProtection="1">
      <alignment horizontal="center" vertical="center"/>
    </xf>
    <xf numFmtId="0" fontId="3" fillId="10" borderId="9" xfId="0" applyNumberFormat="1" applyFont="1" applyFill="1" applyBorder="1" applyAlignment="1" applyProtection="1">
      <alignment horizontal="center" vertical="center"/>
    </xf>
    <xf numFmtId="0" fontId="23" fillId="0" borderId="9" xfId="0" applyNumberFormat="1" applyFont="1" applyFill="1" applyBorder="1" applyAlignment="1" applyProtection="1">
      <alignment horizontal="center" vertical="center"/>
    </xf>
    <xf numFmtId="0" fontId="24" fillId="0" borderId="6" xfId="0" applyNumberFormat="1" applyFont="1" applyBorder="1" applyAlignment="1">
      <alignment horizontal="center" vertical="center" wrapText="1"/>
    </xf>
    <xf numFmtId="0" fontId="3" fillId="0" borderId="1" xfId="0" applyNumberFormat="1" applyFont="1" applyBorder="1" applyAlignment="1">
      <alignment horizontal="center" vertical="center" wrapText="1"/>
    </xf>
    <xf numFmtId="0" fontId="3" fillId="0" borderId="6" xfId="10" applyNumberFormat="1" applyFont="1" applyBorder="1" applyAlignment="1">
      <alignment horizontal="center" vertical="center" wrapText="1"/>
    </xf>
    <xf numFmtId="0" fontId="6" fillId="0" borderId="5"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3" xfId="0" applyFont="1" applyBorder="1" applyAlignment="1">
      <alignment horizontal="center" vertical="center" wrapText="1"/>
    </xf>
    <xf numFmtId="0" fontId="25" fillId="0" borderId="12" xfId="0" applyFont="1" applyBorder="1" applyAlignment="1">
      <alignment horizontal="center" vertical="center" wrapText="1"/>
    </xf>
    <xf numFmtId="0" fontId="26" fillId="0" borderId="13" xfId="0" applyFont="1" applyBorder="1" applyAlignment="1">
      <alignment horizontal="center" vertical="center" wrapTex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0" fontId="22" fillId="0" borderId="1" xfId="0" applyFont="1" applyBorder="1" applyAlignment="1">
      <alignment horizontal="center" vertical="center" wrapText="1"/>
    </xf>
    <xf numFmtId="0" fontId="3" fillId="12" borderId="6" xfId="0" applyNumberFormat="1" applyFont="1" applyFill="1" applyBorder="1" applyAlignment="1" applyProtection="1">
      <alignment horizontal="center" vertical="center" wrapText="1"/>
    </xf>
    <xf numFmtId="0" fontId="27" fillId="0" borderId="0" xfId="0" applyNumberFormat="1" applyFont="1" applyFill="1" applyBorder="1" applyAlignment="1" applyProtection="1">
      <alignment vertical="center"/>
    </xf>
    <xf numFmtId="0" fontId="3" fillId="13" borderId="6" xfId="0" applyNumberFormat="1" applyFont="1" applyFill="1" applyBorder="1" applyAlignment="1" applyProtection="1">
      <alignment horizontal="center" vertical="center" wrapText="1"/>
    </xf>
    <xf numFmtId="0" fontId="3" fillId="14" borderId="6" xfId="0" applyNumberFormat="1" applyFont="1" applyFill="1" applyBorder="1" applyAlignment="1" applyProtection="1">
      <alignment horizontal="center" vertical="center" wrapText="1"/>
    </xf>
    <xf numFmtId="0" fontId="3" fillId="15" borderId="6" xfId="0" applyNumberFormat="1" applyFont="1" applyFill="1" applyBorder="1" applyAlignment="1" applyProtection="1">
      <alignment horizontal="center" vertical="center" wrapText="1"/>
    </xf>
    <xf numFmtId="0" fontId="3" fillId="16" borderId="6" xfId="0" applyNumberFormat="1" applyFont="1" applyFill="1" applyBorder="1" applyAlignment="1" applyProtection="1">
      <alignment horizontal="center" vertical="center" wrapText="1"/>
    </xf>
    <xf numFmtId="0" fontId="3" fillId="17" borderId="6" xfId="0" applyNumberFormat="1" applyFont="1" applyFill="1" applyBorder="1" applyAlignment="1" applyProtection="1">
      <alignment horizontal="center" vertical="center" wrapText="1"/>
    </xf>
    <xf numFmtId="0" fontId="3" fillId="18" borderId="6" xfId="0" applyNumberFormat="1" applyFont="1" applyFill="1" applyBorder="1" applyAlignment="1" applyProtection="1">
      <alignment horizontal="center" vertical="center" wrapText="1"/>
    </xf>
    <xf numFmtId="0" fontId="3" fillId="19" borderId="6" xfId="0" applyNumberFormat="1" applyFont="1" applyFill="1" applyBorder="1" applyAlignment="1" applyProtection="1">
      <alignment horizontal="center" vertical="center" wrapText="1"/>
    </xf>
    <xf numFmtId="0" fontId="3" fillId="20" borderId="6" xfId="0" applyNumberFormat="1" applyFont="1" applyFill="1" applyBorder="1" applyAlignment="1" applyProtection="1">
      <alignment horizontal="center" vertical="center" wrapText="1"/>
    </xf>
    <xf numFmtId="0" fontId="3" fillId="21" borderId="6" xfId="0" applyNumberFormat="1" applyFont="1" applyFill="1" applyBorder="1" applyAlignment="1" applyProtection="1">
      <alignment horizontal="center" vertical="center" wrapText="1"/>
    </xf>
    <xf numFmtId="0" fontId="28" fillId="22" borderId="6" xfId="0" applyNumberFormat="1" applyFont="1" applyFill="1" applyBorder="1" applyAlignment="1" applyProtection="1">
      <alignment horizontal="center" vertical="center" wrapText="1"/>
    </xf>
    <xf numFmtId="0" fontId="29" fillId="22" borderId="6" xfId="0" applyNumberFormat="1" applyFont="1" applyFill="1" applyBorder="1" applyAlignment="1" applyProtection="1">
      <alignment horizontal="center" vertical="center" wrapText="1"/>
    </xf>
    <xf numFmtId="0" fontId="30" fillId="0" borderId="0" xfId="0" applyFont="1" applyAlignment="1">
      <alignment horizontal="center" vertical="center" wrapText="1"/>
    </xf>
    <xf numFmtId="0" fontId="31" fillId="0" borderId="6" xfId="64" applyNumberFormat="1" applyBorder="1" applyAlignment="1">
      <alignment horizontal="center" vertical="center" wrapText="1"/>
    </xf>
    <xf numFmtId="0" fontId="24" fillId="0" borderId="1" xfId="0" applyNumberFormat="1" applyFont="1" applyBorder="1" applyAlignment="1">
      <alignment horizontal="center" vertical="center" wrapText="1"/>
    </xf>
    <xf numFmtId="0" fontId="30" fillId="0" borderId="1" xfId="0" applyFont="1" applyBorder="1" applyAlignment="1">
      <alignment horizontal="center" vertical="center" wrapText="1"/>
    </xf>
    <xf numFmtId="0" fontId="32" fillId="0" borderId="1" xfId="0" applyFont="1" applyBorder="1" applyAlignment="1">
      <alignment horizontal="center" vertical="center" wrapText="1"/>
    </xf>
    <xf numFmtId="0" fontId="24" fillId="0" borderId="1" xfId="0" applyFont="1" applyBorder="1" applyAlignment="1">
      <alignment horizontal="center" vertical="center" wrapText="1"/>
    </xf>
    <xf numFmtId="0" fontId="26" fillId="0" borderId="6" xfId="0" applyNumberFormat="1" applyFont="1" applyBorder="1" applyAlignment="1">
      <alignment horizontal="center" vertical="center" wrapText="1"/>
    </xf>
    <xf numFmtId="0" fontId="3" fillId="8" borderId="6" xfId="0" applyNumberFormat="1" applyFont="1" applyFill="1" applyBorder="1" applyAlignment="1">
      <alignment horizontal="center" vertical="center" wrapText="1"/>
    </xf>
    <xf numFmtId="0" fontId="3" fillId="8" borderId="17" xfId="0" applyNumberFormat="1" applyFont="1" applyFill="1" applyBorder="1" applyAlignment="1">
      <alignment horizontal="center" vertical="center" wrapText="1"/>
    </xf>
    <xf numFmtId="0" fontId="3" fillId="8" borderId="1" xfId="0" applyNumberFormat="1" applyFont="1" applyFill="1" applyBorder="1" applyAlignment="1">
      <alignment horizontal="center" vertical="center" wrapText="1"/>
    </xf>
    <xf numFmtId="0" fontId="3" fillId="0" borderId="17" xfId="0" applyNumberFormat="1" applyFont="1" applyBorder="1" applyAlignment="1">
      <alignment horizontal="center" vertical="center" wrapText="1"/>
    </xf>
    <xf numFmtId="0" fontId="3" fillId="0" borderId="18" xfId="0" applyNumberFormat="1" applyFont="1" applyBorder="1" applyAlignment="1">
      <alignment horizontal="center" vertical="center" wrapText="1"/>
    </xf>
    <xf numFmtId="0" fontId="3" fillId="0" borderId="19" xfId="0" applyNumberFormat="1" applyFont="1" applyBorder="1" applyAlignment="1">
      <alignment horizontal="center" vertical="center" wrapText="1"/>
    </xf>
    <xf numFmtId="0" fontId="3" fillId="0" borderId="20" xfId="0" applyNumberFormat="1" applyFont="1" applyBorder="1" applyAlignment="1">
      <alignment horizontal="center" vertical="center" wrapText="1"/>
    </xf>
    <xf numFmtId="0" fontId="3" fillId="11" borderId="6" xfId="0" applyNumberFormat="1" applyFont="1" applyFill="1" applyBorder="1" applyAlignment="1">
      <alignment horizontal="center" vertical="center" wrapText="1"/>
    </xf>
    <xf numFmtId="0" fontId="0" fillId="8" borderId="0" xfId="0" applyFont="1" applyFill="1" applyAlignment="1">
      <alignment horizontal="center" vertical="center" wrapText="1"/>
    </xf>
    <xf numFmtId="0" fontId="33" fillId="8" borderId="0" xfId="0" applyFont="1" applyFill="1" applyAlignment="1">
      <alignment horizontal="center" vertical="center" wrapText="1"/>
    </xf>
    <xf numFmtId="0" fontId="9" fillId="8" borderId="0" xfId="0" applyFont="1" applyFill="1" applyAlignment="1">
      <alignment horizontal="center" vertical="center" wrapText="1"/>
    </xf>
    <xf numFmtId="177" fontId="33" fillId="8" borderId="0" xfId="0" applyNumberFormat="1" applyFont="1" applyFill="1" applyAlignment="1">
      <alignment horizontal="center" vertical="center" wrapText="1"/>
    </xf>
    <xf numFmtId="177" fontId="0" fillId="8" borderId="0" xfId="0" applyNumberFormat="1" applyFont="1" applyFill="1" applyAlignment="1">
      <alignment horizontal="center" vertical="center" wrapText="1"/>
    </xf>
    <xf numFmtId="0" fontId="0" fillId="0" borderId="21" xfId="0" applyFont="1" applyFill="1" applyBorder="1" applyAlignment="1">
      <alignment horizontal="center" vertical="center" wrapText="1"/>
    </xf>
    <xf numFmtId="0" fontId="0" fillId="0" borderId="1" xfId="0" applyFont="1" applyFill="1" applyBorder="1" applyAlignment="1">
      <alignment horizontal="center" vertical="center" wrapText="1"/>
    </xf>
    <xf numFmtId="3" fontId="0" fillId="0" borderId="1" xfId="0" applyNumberFormat="1" applyFont="1" applyBorder="1" applyAlignment="1">
      <alignment vertical="top" wrapText="1"/>
    </xf>
    <xf numFmtId="0" fontId="0" fillId="0" borderId="0" xfId="0" applyFont="1" applyAlignment="1" applyProtection="1">
      <alignment vertical="top" wrapText="1"/>
      <protection locked="0"/>
    </xf>
    <xf numFmtId="0" fontId="0" fillId="12" borderId="22" xfId="0" applyFill="1" applyBorder="1" applyAlignment="1">
      <alignment horizontal="center" vertical="center" wrapText="1"/>
    </xf>
    <xf numFmtId="0" fontId="0" fillId="12" borderId="22" xfId="0" applyFill="1" applyBorder="1" applyAlignment="1" applyProtection="1">
      <alignment horizontal="center" vertical="center" wrapText="1"/>
      <protection locked="0"/>
    </xf>
    <xf numFmtId="0" fontId="5" fillId="0" borderId="23" xfId="0" applyFont="1" applyBorder="1" applyAlignment="1" applyProtection="1">
      <protection locked="0"/>
    </xf>
    <xf numFmtId="0" fontId="34" fillId="0" borderId="23" xfId="0" applyFont="1" applyBorder="1" applyAlignment="1" applyProtection="1">
      <protection locked="0"/>
    </xf>
    <xf numFmtId="0" fontId="0" fillId="0" borderId="23" xfId="0" applyBorder="1" applyAlignment="1" applyProtection="1">
      <protection locked="0"/>
    </xf>
    <xf numFmtId="0" fontId="0" fillId="0" borderId="24" xfId="0" applyBorder="1" applyAlignment="1"/>
    <xf numFmtId="0" fontId="0" fillId="0" borderId="24" xfId="0" applyBorder="1" applyAlignment="1" applyProtection="1">
      <protection locked="0"/>
    </xf>
    <xf numFmtId="0" fontId="0" fillId="0" borderId="25" xfId="0" applyBorder="1" applyAlignment="1"/>
    <xf numFmtId="0" fontId="0" fillId="0" borderId="25" xfId="0" applyBorder="1" applyAlignment="1" applyProtection="1">
      <protection locked="0"/>
    </xf>
    <xf numFmtId="0" fontId="0" fillId="0" borderId="23" xfId="0" applyBorder="1" applyAlignment="1"/>
    <xf numFmtId="0" fontId="0" fillId="12" borderId="22" xfId="0" applyFont="1" applyFill="1" applyBorder="1" applyAlignment="1">
      <alignment horizontal="center" vertical="center" wrapText="1"/>
    </xf>
    <xf numFmtId="0" fontId="0" fillId="0" borderId="0" xfId="0" applyFont="1" applyAlignment="1">
      <alignment horizontal="right" vertical="top" wrapText="1"/>
    </xf>
    <xf numFmtId="0" fontId="5" fillId="0" borderId="0" xfId="0" applyFont="1">
      <alignment vertical="top" wrapText="1"/>
    </xf>
    <xf numFmtId="0" fontId="35" fillId="0" borderId="23" xfId="0" applyFont="1" applyBorder="1" applyAlignment="1" applyProtection="1">
      <protection locked="0"/>
    </xf>
    <xf numFmtId="0" fontId="7" fillId="0" borderId="0" xfId="0" applyFont="1" applyAlignment="1">
      <alignment vertical="top" wrapText="1"/>
    </xf>
    <xf numFmtId="0" fontId="0" fillId="6" borderId="24" xfId="0" applyFill="1" applyBorder="1" applyAlignment="1"/>
    <xf numFmtId="0" fontId="0" fillId="6" borderId="24" xfId="0" applyFill="1" applyBorder="1" applyAlignment="1" applyProtection="1">
      <protection locked="0"/>
    </xf>
    <xf numFmtId="0" fontId="0" fillId="6" borderId="23" xfId="0" applyFill="1" applyBorder="1" applyAlignment="1"/>
    <xf numFmtId="0" fontId="0" fillId="6" borderId="0" xfId="0" applyFont="1" applyFill="1" applyBorder="1" applyAlignment="1">
      <alignment vertical="top" wrapText="1"/>
    </xf>
    <xf numFmtId="0" fontId="7" fillId="0" borderId="24" xfId="0" applyFont="1" applyBorder="1" applyAlignment="1"/>
    <xf numFmtId="0" fontId="22" fillId="0" borderId="24" xfId="0" applyFont="1" applyBorder="1" applyAlignment="1"/>
    <xf numFmtId="0" fontId="0" fillId="6" borderId="0" xfId="0" applyFont="1" applyFill="1" applyAlignment="1">
      <alignment vertical="top" wrapText="1"/>
    </xf>
    <xf numFmtId="0" fontId="0" fillId="0" borderId="1" xfId="0" applyBorder="1" applyAlignment="1">
      <alignment horizontal="center" vertical="center"/>
    </xf>
    <xf numFmtId="0" fontId="7" fillId="0" borderId="1" xfId="0" applyFont="1" applyBorder="1" applyAlignment="1">
      <alignment horizontal="center" vertical="center"/>
    </xf>
    <xf numFmtId="0" fontId="21" fillId="0" borderId="1" xfId="0" applyFont="1" applyFill="1" applyBorder="1" applyAlignment="1">
      <alignment horizontal="center" vertical="center"/>
    </xf>
    <xf numFmtId="0" fontId="0" fillId="23" borderId="1" xfId="0" applyFill="1" applyBorder="1" applyAlignment="1">
      <alignment horizontal="center" vertical="center"/>
    </xf>
    <xf numFmtId="0" fontId="7" fillId="23" borderId="1" xfId="0" applyFont="1" applyFill="1" applyBorder="1" applyAlignment="1">
      <alignment horizontal="center" vertical="center"/>
    </xf>
    <xf numFmtId="0" fontId="6" fillId="24" borderId="4" xfId="0" applyNumberFormat="1" applyFont="1" applyFill="1" applyBorder="1" applyAlignment="1">
      <alignment horizontal="center" vertical="center" wrapText="1"/>
    </xf>
    <xf numFmtId="0" fontId="0" fillId="24" borderId="4" xfId="0" applyFont="1" applyFill="1" applyBorder="1" applyAlignment="1">
      <alignment horizontal="center" vertical="center"/>
    </xf>
    <xf numFmtId="0" fontId="4" fillId="0" borderId="12" xfId="0" applyFont="1" applyBorder="1" applyAlignment="1">
      <alignment horizontal="center" vertical="center" wrapText="1"/>
    </xf>
    <xf numFmtId="0" fontId="4" fillId="0" borderId="13" xfId="0" applyFont="1" applyBorder="1" applyAlignment="1">
      <alignment horizontal="center" vertical="center" wrapText="1"/>
    </xf>
    <xf numFmtId="176" fontId="6" fillId="0" borderId="11" xfId="0" applyNumberFormat="1" applyFont="1" applyBorder="1" applyAlignment="1">
      <alignment horizontal="center" vertical="center" wrapText="1"/>
    </xf>
    <xf numFmtId="176" fontId="6" fillId="0" borderId="13" xfId="0" applyNumberFormat="1" applyFont="1" applyBorder="1" applyAlignment="1">
      <alignment horizontal="center" vertical="center" wrapText="1"/>
    </xf>
    <xf numFmtId="0" fontId="36" fillId="0" borderId="13" xfId="0" applyFont="1" applyBorder="1" applyAlignment="1">
      <alignment horizontal="center" vertical="center" wrapText="1"/>
    </xf>
    <xf numFmtId="0" fontId="6" fillId="0" borderId="13" xfId="0" applyFont="1" applyBorder="1" applyAlignment="1">
      <alignment horizontal="center" vertical="center"/>
    </xf>
    <xf numFmtId="0" fontId="6" fillId="4" borderId="11" xfId="0" applyFont="1" applyFill="1" applyBorder="1" applyAlignment="1">
      <alignment horizontal="center" vertical="center" wrapText="1"/>
    </xf>
    <xf numFmtId="0" fontId="6" fillId="25" borderId="11" xfId="0" applyFont="1" applyFill="1" applyBorder="1" applyAlignment="1">
      <alignment horizontal="center" vertical="center" wrapText="1"/>
    </xf>
    <xf numFmtId="0" fontId="37" fillId="7" borderId="11" xfId="0" applyFont="1" applyFill="1" applyBorder="1" applyAlignment="1">
      <alignment horizontal="center" vertical="center" wrapText="1"/>
    </xf>
    <xf numFmtId="0" fontId="6" fillId="12" borderId="11" xfId="0" applyFont="1" applyFill="1" applyBorder="1" applyAlignment="1">
      <alignment horizontal="center" vertical="center" wrapText="1"/>
    </xf>
    <xf numFmtId="0" fontId="6" fillId="26" borderId="11" xfId="0" applyFont="1" applyFill="1" applyBorder="1" applyAlignment="1">
      <alignment horizontal="center" vertical="center" wrapText="1"/>
    </xf>
    <xf numFmtId="0" fontId="6" fillId="27" borderId="13" xfId="0" applyFont="1" applyFill="1" applyBorder="1" applyAlignment="1">
      <alignment horizontal="center" vertical="center" wrapText="1"/>
    </xf>
    <xf numFmtId="0" fontId="23" fillId="0" borderId="17" xfId="0" applyNumberFormat="1" applyFont="1" applyBorder="1" applyAlignment="1">
      <alignment horizontal="center" vertical="center" wrapText="1"/>
    </xf>
    <xf numFmtId="3" fontId="0" fillId="0" borderId="0" xfId="0" applyNumberFormat="1" applyFont="1" applyAlignment="1">
      <alignment vertical="top" wrapText="1"/>
    </xf>
    <xf numFmtId="0" fontId="23" fillId="0" borderId="6" xfId="0" applyNumberFormat="1" applyFont="1" applyBorder="1" applyAlignment="1">
      <alignment horizontal="center" vertical="center" wrapText="1"/>
    </xf>
    <xf numFmtId="0" fontId="38" fillId="0" borderId="6" xfId="0" applyNumberFormat="1" applyFont="1" applyBorder="1" applyAlignment="1">
      <alignment horizontal="left" vertical="center" wrapText="1"/>
    </xf>
    <xf numFmtId="0" fontId="39" fillId="0" borderId="6" xfId="0" applyNumberFormat="1" applyFont="1" applyFill="1" applyBorder="1" applyAlignment="1" applyProtection="1">
      <alignment horizontal="center" vertical="center" wrapText="1"/>
    </xf>
    <xf numFmtId="0" fontId="3" fillId="6" borderId="6" xfId="0" applyNumberFormat="1" applyFont="1" applyFill="1" applyBorder="1" applyAlignment="1" applyProtection="1">
      <alignment horizontal="center" vertical="center" wrapText="1"/>
    </xf>
    <xf numFmtId="0" fontId="3" fillId="28" borderId="6" xfId="0" applyNumberFormat="1" applyFont="1" applyFill="1" applyBorder="1" applyAlignment="1" applyProtection="1">
      <alignment horizontal="center" vertical="center" wrapText="1"/>
    </xf>
    <xf numFmtId="0" fontId="24" fillId="6" borderId="6" xfId="0" applyNumberFormat="1" applyFont="1" applyFill="1" applyBorder="1" applyAlignment="1" applyProtection="1">
      <alignment horizontal="center" vertical="center" wrapText="1"/>
    </xf>
    <xf numFmtId="0" fontId="24" fillId="28" borderId="6" xfId="0" applyNumberFormat="1" applyFont="1" applyFill="1" applyBorder="1" applyAlignment="1" applyProtection="1">
      <alignment horizontal="center" vertical="center" wrapText="1"/>
    </xf>
    <xf numFmtId="0" fontId="24" fillId="0" borderId="6" xfId="0" applyNumberFormat="1" applyFont="1" applyFill="1" applyBorder="1" applyAlignment="1" applyProtection="1">
      <alignment horizontal="center" vertical="center" wrapText="1"/>
    </xf>
    <xf numFmtId="0" fontId="3" fillId="6" borderId="6" xfId="4" applyNumberFormat="1" applyFont="1" applyFill="1" applyBorder="1" applyAlignment="1" applyProtection="1">
      <alignment horizontal="center" vertical="center" wrapText="1"/>
    </xf>
    <xf numFmtId="0" fontId="3" fillId="28" borderId="6" xfId="4" applyNumberFormat="1" applyFont="1" applyFill="1" applyBorder="1" applyAlignment="1" applyProtection="1">
      <alignment horizontal="center" vertical="center" wrapText="1"/>
    </xf>
    <xf numFmtId="0" fontId="3" fillId="0" borderId="6" xfId="4" applyNumberFormat="1" applyFont="1" applyFill="1" applyBorder="1" applyAlignment="1" applyProtection="1">
      <alignment horizontal="center" vertical="center" wrapText="1"/>
    </xf>
    <xf numFmtId="0" fontId="3" fillId="28" borderId="1" xfId="0" applyNumberFormat="1" applyFont="1" applyFill="1" applyBorder="1" applyAlignment="1" applyProtection="1">
      <alignment horizontal="center" vertical="center" wrapText="1"/>
    </xf>
    <xf numFmtId="0" fontId="3" fillId="28" borderId="17" xfId="0" applyNumberFormat="1" applyFont="1" applyFill="1" applyBorder="1" applyAlignment="1" applyProtection="1">
      <alignment horizontal="center" vertical="center" wrapText="1"/>
    </xf>
    <xf numFmtId="0" fontId="3" fillId="0" borderId="6" xfId="4" applyNumberFormat="1" applyFont="1" applyBorder="1" applyAlignment="1">
      <alignment horizontal="center" vertical="center" wrapText="1"/>
    </xf>
    <xf numFmtId="0" fontId="5" fillId="28" borderId="1" xfId="4" applyNumberFormat="1" applyFont="1" applyFill="1" applyBorder="1" applyAlignment="1" applyProtection="1">
      <alignment vertical="center"/>
    </xf>
    <xf numFmtId="0" fontId="5" fillId="28" borderId="1" xfId="0" applyNumberFormat="1" applyFont="1" applyFill="1" applyBorder="1" applyAlignment="1" applyProtection="1">
      <alignment vertical="center"/>
    </xf>
    <xf numFmtId="0" fontId="3" fillId="0" borderId="10" xfId="0" applyNumberFormat="1" applyFont="1" applyFill="1" applyBorder="1" applyAlignment="1" applyProtection="1">
      <alignment horizontal="center" vertical="center" wrapText="1"/>
    </xf>
    <xf numFmtId="0" fontId="3" fillId="0" borderId="17" xfId="0" applyNumberFormat="1" applyFont="1" applyFill="1" applyBorder="1" applyAlignment="1" applyProtection="1">
      <alignment horizontal="center" vertical="center" wrapText="1"/>
    </xf>
    <xf numFmtId="0" fontId="3" fillId="0" borderId="1" xfId="4" applyNumberFormat="1" applyFont="1" applyBorder="1" applyAlignment="1">
      <alignment horizontal="center" vertical="center" wrapText="1"/>
    </xf>
    <xf numFmtId="0" fontId="5" fillId="0" borderId="1" xfId="4" applyNumberFormat="1" applyFont="1" applyFill="1" applyBorder="1" applyAlignment="1" applyProtection="1">
      <alignment vertical="center"/>
    </xf>
    <xf numFmtId="0" fontId="5" fillId="0" borderId="1" xfId="0" applyNumberFormat="1" applyFont="1" applyFill="1" applyBorder="1" applyAlignment="1" applyProtection="1">
      <alignment vertical="center"/>
    </xf>
    <xf numFmtId="0" fontId="3" fillId="0" borderId="18" xfId="0" applyNumberFormat="1" applyFont="1" applyFill="1" applyBorder="1" applyAlignment="1" applyProtection="1">
      <alignment horizontal="center" vertical="center" wrapText="1"/>
    </xf>
    <xf numFmtId="177" fontId="0" fillId="0" borderId="0" xfId="0" applyNumberFormat="1" applyFont="1" applyAlignment="1">
      <alignment vertical="top" wrapText="1"/>
    </xf>
    <xf numFmtId="177" fontId="3" fillId="0" borderId="6" xfId="0" applyNumberFormat="1" applyFont="1" applyBorder="1" applyAlignment="1">
      <alignment horizontal="center" vertical="center" wrapText="1"/>
    </xf>
    <xf numFmtId="177" fontId="23" fillId="0" borderId="6" xfId="0" applyNumberFormat="1" applyFont="1" applyBorder="1" applyAlignment="1">
      <alignment horizontal="center" vertical="center" wrapText="1"/>
    </xf>
    <xf numFmtId="0" fontId="40" fillId="0" borderId="0" xfId="0" applyNumberFormat="1" applyFont="1" applyAlignment="1">
      <alignment vertical="top" wrapText="1"/>
    </xf>
    <xf numFmtId="1" fontId="3" fillId="0" borderId="6" xfId="0" applyNumberFormat="1" applyFont="1" applyBorder="1" applyAlignment="1">
      <alignment horizontal="center" vertical="center" wrapText="1"/>
    </xf>
    <xf numFmtId="0" fontId="3" fillId="0" borderId="6" xfId="0" applyNumberFormat="1" applyFont="1" applyBorder="1" applyAlignment="1">
      <alignment horizontal="center" vertical="center"/>
    </xf>
    <xf numFmtId="0" fontId="3" fillId="0" borderId="6" xfId="0" applyFont="1" applyBorder="1" applyAlignment="1">
      <alignment horizontal="center" vertical="center" wrapText="1"/>
    </xf>
    <xf numFmtId="0" fontId="3" fillId="6" borderId="6" xfId="0" applyNumberFormat="1" applyFont="1" applyFill="1" applyBorder="1" applyAlignment="1">
      <alignment horizontal="center" vertical="center" wrapText="1"/>
    </xf>
    <xf numFmtId="0" fontId="4" fillId="6" borderId="6" xfId="0" applyNumberFormat="1" applyFont="1" applyFill="1" applyBorder="1" applyAlignment="1">
      <alignment horizontal="center" vertical="center" wrapText="1"/>
    </xf>
    <xf numFmtId="0" fontId="0" fillId="0" borderId="0" xfId="0" applyNumberFormat="1" applyFont="1" applyAlignment="1">
      <alignment vertical="top" wrapText="1"/>
    </xf>
    <xf numFmtId="0" fontId="23" fillId="0" borderId="6" xfId="0" applyNumberFormat="1" applyFont="1" applyFill="1" applyBorder="1" applyAlignment="1" applyProtection="1">
      <alignment horizontal="center" vertical="center" wrapText="1"/>
    </xf>
    <xf numFmtId="0" fontId="0" fillId="0" borderId="0" xfId="0" applyAlignment="1"/>
    <xf numFmtId="0" fontId="23" fillId="0" borderId="6" xfId="0" applyNumberFormat="1" applyFont="1" applyFill="1" applyBorder="1" applyAlignment="1" applyProtection="1">
      <alignment horizontal="center" vertical="center"/>
    </xf>
    <xf numFmtId="0" fontId="3" fillId="0" borderId="26" xfId="0" applyNumberFormat="1" applyFont="1" applyFill="1" applyBorder="1" applyAlignment="1">
      <alignment horizontal="center" vertical="center" wrapText="1"/>
    </xf>
    <xf numFmtId="0" fontId="3" fillId="29" borderId="6" xfId="0" applyNumberFormat="1" applyFont="1" applyFill="1" applyBorder="1" applyAlignment="1">
      <alignment horizontal="center" vertical="center" wrapText="1"/>
    </xf>
    <xf numFmtId="0" fontId="12" fillId="0" borderId="6" xfId="0" applyNumberFormat="1" applyFont="1" applyBorder="1" applyAlignment="1">
      <alignment horizontal="center" vertical="center" wrapText="1"/>
    </xf>
    <xf numFmtId="0" fontId="3" fillId="29" borderId="1" xfId="0" applyNumberFormat="1" applyFont="1" applyFill="1" applyBorder="1" applyAlignment="1">
      <alignment horizontal="center" vertical="center" wrapText="1"/>
    </xf>
    <xf numFmtId="0" fontId="6" fillId="0" borderId="6" xfId="0" applyNumberFormat="1" applyFont="1" applyBorder="1" applyAlignment="1">
      <alignment horizontal="center" vertical="center" wrapText="1"/>
    </xf>
    <xf numFmtId="0" fontId="41" fillId="0" borderId="6" xfId="0" applyNumberFormat="1" applyFont="1" applyBorder="1" applyAlignment="1">
      <alignment horizontal="center" vertical="center" wrapText="1"/>
    </xf>
    <xf numFmtId="0" fontId="39" fillId="0" borderId="6" xfId="0" applyNumberFormat="1" applyFont="1" applyBorder="1" applyAlignment="1">
      <alignment horizontal="center" vertical="center" wrapText="1"/>
    </xf>
    <xf numFmtId="0" fontId="41" fillId="22" borderId="6" xfId="0" applyNumberFormat="1" applyFont="1" applyFill="1" applyBorder="1" applyAlignment="1">
      <alignment horizontal="center" vertical="center" wrapText="1"/>
    </xf>
    <xf numFmtId="0" fontId="24" fillId="22" borderId="6" xfId="0" applyNumberFormat="1" applyFont="1" applyFill="1" applyBorder="1" applyAlignment="1">
      <alignment horizontal="center" vertical="center" wrapText="1"/>
    </xf>
    <xf numFmtId="0" fontId="41" fillId="30" borderId="6" xfId="0" applyNumberFormat="1" applyFont="1" applyFill="1" applyBorder="1" applyAlignment="1">
      <alignment horizontal="center" vertical="center" wrapText="1"/>
    </xf>
    <xf numFmtId="0" fontId="24" fillId="30" borderId="6" xfId="0" applyNumberFormat="1" applyFont="1" applyFill="1" applyBorder="1" applyAlignment="1">
      <alignment horizontal="center" vertical="center" wrapText="1"/>
    </xf>
    <xf numFmtId="0" fontId="41" fillId="3" borderId="6" xfId="0" applyNumberFormat="1" applyFont="1" applyFill="1" applyBorder="1" applyAlignment="1">
      <alignment horizontal="center" vertical="center" wrapText="1"/>
    </xf>
    <xf numFmtId="0" fontId="24" fillId="3" borderId="6" xfId="0" applyNumberFormat="1" applyFont="1" applyFill="1" applyBorder="1" applyAlignment="1">
      <alignment horizontal="center" vertical="center" wrapText="1"/>
    </xf>
    <xf numFmtId="0" fontId="41" fillId="0" borderId="6" xfId="4" applyNumberFormat="1" applyFont="1" applyBorder="1" applyAlignment="1">
      <alignment horizontal="center" vertical="center" wrapText="1"/>
    </xf>
    <xf numFmtId="0" fontId="42" fillId="0" borderId="6" xfId="4" applyNumberFormat="1" applyFont="1" applyBorder="1" applyAlignment="1">
      <alignment horizontal="center" vertical="center" wrapText="1"/>
    </xf>
    <xf numFmtId="0" fontId="41" fillId="31" borderId="6" xfId="4" applyNumberFormat="1" applyFont="1" applyFill="1" applyBorder="1" applyAlignment="1">
      <alignment horizontal="center" vertical="center" wrapText="1"/>
    </xf>
    <xf numFmtId="0" fontId="41" fillId="0" borderId="1" xfId="51" applyNumberFormat="1" applyFont="1" applyBorder="1" applyAlignment="1">
      <alignment horizontal="center" vertical="center" wrapText="1"/>
    </xf>
    <xf numFmtId="0" fontId="36" fillId="0" borderId="1" xfId="51" applyNumberFormat="1" applyFont="1" applyBorder="1" applyAlignment="1">
      <alignment horizontal="center" vertical="center" wrapText="1"/>
    </xf>
    <xf numFmtId="0" fontId="5" fillId="0" borderId="0" xfId="0" applyNumberFormat="1" applyFont="1" applyFill="1" applyBorder="1" applyAlignment="1" applyProtection="1">
      <alignment horizontal="center"/>
    </xf>
    <xf numFmtId="0" fontId="0" fillId="0" borderId="0" xfId="0" applyFont="1" applyAlignment="1">
      <alignment horizontal="center" vertical="top" wrapText="1"/>
    </xf>
    <xf numFmtId="0" fontId="5" fillId="0" borderId="0" xfId="0" applyNumberFormat="1" applyFont="1" applyFill="1" applyAlignment="1" applyProtection="1">
      <alignment horizontal="center"/>
    </xf>
    <xf numFmtId="0" fontId="41" fillId="0" borderId="1" xfId="0" applyNumberFormat="1" applyFont="1" applyBorder="1" applyAlignment="1">
      <alignment horizontal="center" vertical="center" wrapText="1"/>
    </xf>
    <xf numFmtId="0" fontId="39" fillId="0" borderId="1" xfId="51" applyNumberFormat="1" applyFont="1" applyBorder="1" applyAlignment="1">
      <alignment horizontal="center" vertical="center" wrapText="1"/>
    </xf>
    <xf numFmtId="1" fontId="3" fillId="0" borderId="6" xfId="0" applyNumberFormat="1" applyFont="1" applyBorder="1" applyAlignment="1">
      <alignment horizontal="center" vertical="center"/>
    </xf>
    <xf numFmtId="0" fontId="24" fillId="8" borderId="10" xfId="10" applyNumberFormat="1" applyFont="1" applyFill="1" applyBorder="1" applyAlignment="1">
      <alignment horizontal="center" vertical="center" wrapText="1"/>
    </xf>
    <xf numFmtId="0" fontId="3" fillId="8" borderId="6" xfId="10" applyNumberFormat="1" applyFont="1" applyFill="1" applyBorder="1" applyAlignment="1">
      <alignment horizontal="center" vertical="center" wrapText="1"/>
    </xf>
    <xf numFmtId="0" fontId="0" fillId="0" borderId="0" xfId="0" applyNumberFormat="1" applyFont="1" applyAlignment="1">
      <alignment horizontal="center" vertical="top" wrapText="1"/>
    </xf>
    <xf numFmtId="0" fontId="4" fillId="0" borderId="6" xfId="10" applyNumberFormat="1" applyFont="1" applyBorder="1" applyAlignment="1">
      <alignment horizontal="center" vertical="center" wrapText="1"/>
    </xf>
    <xf numFmtId="0" fontId="23" fillId="0" borderId="6" xfId="10" applyNumberFormat="1" applyFont="1" applyBorder="1" applyAlignment="1">
      <alignment horizontal="center" vertical="center" wrapText="1"/>
    </xf>
    <xf numFmtId="0" fontId="3" fillId="0" borderId="10" xfId="10" applyNumberFormat="1" applyFont="1" applyFill="1" applyBorder="1" applyAlignment="1">
      <alignment horizontal="center" vertical="center" wrapText="1"/>
    </xf>
    <xf numFmtId="0" fontId="3" fillId="0" borderId="1" xfId="10" applyNumberFormat="1" applyFont="1" applyBorder="1" applyAlignment="1">
      <alignment horizontal="center" vertical="center" wrapText="1"/>
    </xf>
    <xf numFmtId="0" fontId="23" fillId="0" borderId="10" xfId="10" applyNumberFormat="1" applyFont="1" applyFill="1" applyBorder="1" applyAlignment="1">
      <alignment horizontal="center" vertical="center" wrapText="1"/>
    </xf>
    <xf numFmtId="0" fontId="23" fillId="0" borderId="1" xfId="10" applyNumberFormat="1" applyFont="1" applyBorder="1" applyAlignment="1">
      <alignment horizontal="center" vertical="center" wrapText="1"/>
    </xf>
    <xf numFmtId="0" fontId="3" fillId="0" borderId="1" xfId="10" applyNumberFormat="1" applyFont="1" applyFill="1" applyBorder="1" applyAlignment="1">
      <alignment horizontal="center" vertical="center" wrapText="1"/>
    </xf>
    <xf numFmtId="0" fontId="0" fillId="0" borderId="1" xfId="0" applyNumberFormat="1" applyFont="1" applyBorder="1" applyAlignment="1">
      <alignment horizontal="center" vertical="top" wrapText="1"/>
    </xf>
    <xf numFmtId="0" fontId="37" fillId="0" borderId="1" xfId="8" applyNumberFormat="1" applyFont="1" applyFill="1" applyBorder="1" applyAlignment="1">
      <alignment horizontal="center" vertical="center" wrapText="1"/>
    </xf>
    <xf numFmtId="0" fontId="43" fillId="0" borderId="1" xfId="8" applyNumberFormat="1" applyFont="1" applyFill="1" applyBorder="1" applyAlignment="1">
      <alignment horizontal="center" vertical="center" wrapText="1"/>
    </xf>
    <xf numFmtId="0" fontId="0" fillId="0" borderId="1" xfId="0" applyNumberFormat="1" applyFont="1" applyBorder="1" applyAlignment="1">
      <alignment vertical="top" wrapText="1"/>
    </xf>
    <xf numFmtId="0" fontId="37" fillId="0" borderId="1" xfId="35" applyNumberFormat="1" applyFont="1" applyFill="1" applyBorder="1" applyAlignment="1">
      <alignment horizontal="center" vertical="center" wrapText="1"/>
    </xf>
    <xf numFmtId="0" fontId="44" fillId="0" borderId="10" xfId="10" applyNumberFormat="1" applyFont="1" applyFill="1" applyBorder="1" applyAlignment="1">
      <alignment horizontal="center" vertical="center" wrapText="1"/>
    </xf>
    <xf numFmtId="0" fontId="9" fillId="0" borderId="1" xfId="0" applyFont="1" applyBorder="1" applyAlignment="1">
      <alignment vertical="top" wrapText="1"/>
    </xf>
    <xf numFmtId="0" fontId="9" fillId="0" borderId="0" xfId="0" applyFont="1" applyAlignment="1">
      <alignment vertical="top" wrapText="1"/>
    </xf>
    <xf numFmtId="0" fontId="24" fillId="0" borderId="6" xfId="10" applyNumberFormat="1" applyFont="1" applyBorder="1" applyAlignment="1">
      <alignment horizontal="center" vertical="center" wrapText="1"/>
    </xf>
    <xf numFmtId="0" fontId="3" fillId="0" borderId="6" xfId="10" applyNumberFormat="1" applyFont="1" applyFill="1" applyBorder="1" applyAlignment="1">
      <alignment horizontal="center" vertical="center" wrapText="1"/>
    </xf>
    <xf numFmtId="0" fontId="24" fillId="0" borderId="1" xfId="10" applyNumberFormat="1" applyFont="1" applyBorder="1" applyAlignment="1">
      <alignment horizontal="center" vertical="center" wrapText="1"/>
    </xf>
    <xf numFmtId="0" fontId="3" fillId="8" borderId="10" xfId="10" applyNumberFormat="1" applyFont="1" applyFill="1" applyBorder="1" applyAlignment="1">
      <alignment horizontal="center" vertical="center" wrapText="1"/>
    </xf>
    <xf numFmtId="0" fontId="3" fillId="8" borderId="1" xfId="10" applyNumberFormat="1" applyFont="1" applyFill="1" applyBorder="1" applyAlignment="1">
      <alignment horizontal="center" vertical="center" wrapText="1"/>
    </xf>
    <xf numFmtId="0" fontId="30" fillId="0" borderId="0" xfId="0" applyNumberFormat="1" applyFont="1" applyAlignment="1">
      <alignment vertical="top" wrapText="1"/>
    </xf>
    <xf numFmtId="0" fontId="30" fillId="0" borderId="0" xfId="0" applyFont="1" applyAlignment="1">
      <alignment vertical="top" wrapText="1"/>
    </xf>
    <xf numFmtId="0" fontId="19" fillId="0" borderId="27" xfId="0" applyNumberFormat="1" applyFont="1" applyBorder="1" applyAlignment="1">
      <alignment horizontal="center"/>
    </xf>
    <xf numFmtId="1" fontId="3" fillId="0" borderId="27" xfId="0" applyNumberFormat="1" applyFont="1" applyBorder="1" applyAlignment="1">
      <alignment horizontal="center"/>
    </xf>
  </cellXfs>
  <cellStyles count="74">
    <cellStyle name="常规" xfId="0" builtinId="0"/>
    <cellStyle name="常规 9 2 3" xfId="1"/>
    <cellStyle name="常规 9 2 2" xfId="2"/>
    <cellStyle name="常规 9 2" xfId="3"/>
    <cellStyle name="常规 6" xfId="4"/>
    <cellStyle name="常规 5 2" xfId="5"/>
    <cellStyle name="常规 5" xfId="6"/>
    <cellStyle name="常规 4 3 2 3" xfId="7"/>
    <cellStyle name="常规 4 3 2" xfId="8"/>
    <cellStyle name="常规 4 2" xfId="9"/>
    <cellStyle name="常规 4" xfId="10"/>
    <cellStyle name="常规 3 2" xfId="11"/>
    <cellStyle name="常规 13" xfId="12"/>
    <cellStyle name="常规 12" xfId="13"/>
    <cellStyle name="常规 11" xfId="14"/>
    <cellStyle name="常规 10 2 2 2 2 2" xfId="15"/>
    <cellStyle name="常规 10 2 2 2 2" xfId="16"/>
    <cellStyle name="常规 2 2 2 3" xfId="17"/>
    <cellStyle name="60% - 强调文字颜色 6" xfId="18" builtinId="52"/>
    <cellStyle name="20% - 强调文字颜色 4" xfId="19" builtinId="42"/>
    <cellStyle name="强调文字颜色 4" xfId="20" builtinId="41"/>
    <cellStyle name="输入" xfId="21" builtinId="20"/>
    <cellStyle name="40% - 强调文字颜色 3" xfId="22" builtinId="39"/>
    <cellStyle name="20% - 强调文字颜色 3" xfId="23" builtinId="38"/>
    <cellStyle name="货币" xfId="24" builtinId="4"/>
    <cellStyle name="强调文字颜色 3" xfId="25" builtinId="37"/>
    <cellStyle name="百分比" xfId="26" builtinId="5"/>
    <cellStyle name="60% - 强调文字颜色 2" xfId="27" builtinId="36"/>
    <cellStyle name="常规 2 2 2 2" xfId="28"/>
    <cellStyle name="60% - 强调文字颜色 5" xfId="29" builtinId="48"/>
    <cellStyle name="强调文字颜色 2" xfId="30" builtinId="33"/>
    <cellStyle name="60% - 强调文字颜色 1" xfId="31" builtinId="32"/>
    <cellStyle name="60% - 强调文字颜色 4" xfId="32" builtinId="44"/>
    <cellStyle name="计算" xfId="33" builtinId="22"/>
    <cellStyle name="强调文字颜色 1" xfId="34" builtinId="29"/>
    <cellStyle name="常规 4 3 2 2" xfId="35"/>
    <cellStyle name="适中" xfId="36" builtinId="28"/>
    <cellStyle name="20% - 强调文字颜色 5" xfId="37" builtinId="46"/>
    <cellStyle name="好" xfId="38" builtinId="26"/>
    <cellStyle name="20% - 强调文字颜色 1" xfId="39" builtinId="30"/>
    <cellStyle name="汇总" xfId="40" builtinId="25"/>
    <cellStyle name="差" xfId="41" builtinId="27"/>
    <cellStyle name="常规 9 2 2 2" xfId="42"/>
    <cellStyle name="检查单元格" xfId="43" builtinId="23"/>
    <cellStyle name="输出" xfId="44" builtinId="21"/>
    <cellStyle name="标题 1" xfId="45" builtinId="16"/>
    <cellStyle name="常规 2 2 2" xfId="46"/>
    <cellStyle name="解释性文本" xfId="47" builtinId="53"/>
    <cellStyle name="20% - 强调文字颜色 2" xfId="48" builtinId="34"/>
    <cellStyle name="标题 4" xfId="49" builtinId="19"/>
    <cellStyle name="货币[0]" xfId="50" builtinId="7"/>
    <cellStyle name="常规 2 2" xfId="51"/>
    <cellStyle name="40% - 强调文字颜色 4" xfId="52" builtinId="43"/>
    <cellStyle name="千位分隔" xfId="53" builtinId="3"/>
    <cellStyle name="常规 2 2 2 2 2" xfId="54"/>
    <cellStyle name="已访问的超链接" xfId="55" builtinId="9"/>
    <cellStyle name="标题" xfId="56" builtinId="15"/>
    <cellStyle name="40% - 强调文字颜色 2" xfId="57" builtinId="35"/>
    <cellStyle name="警告文本" xfId="58" builtinId="11"/>
    <cellStyle name="60% - 强调文字颜色 3" xfId="59" builtinId="40"/>
    <cellStyle name="注释" xfId="60" builtinId="10"/>
    <cellStyle name="20% - 强调文字颜色 6" xfId="61" builtinId="50"/>
    <cellStyle name="强调文字颜色 5" xfId="62" builtinId="45"/>
    <cellStyle name="40% - 强调文字颜色 6" xfId="63" builtinId="51"/>
    <cellStyle name="超链接" xfId="64" builtinId="8"/>
    <cellStyle name="千位分隔[0]" xfId="65" builtinId="6"/>
    <cellStyle name="标题 2" xfId="66" builtinId="17"/>
    <cellStyle name="40% - 强调文字颜色 5" xfId="67" builtinId="47"/>
    <cellStyle name="常规 4 3 2 2 2" xfId="68"/>
    <cellStyle name="标题 3" xfId="69" builtinId="18"/>
    <cellStyle name="强调文字颜色 6" xfId="70" builtinId="49"/>
    <cellStyle name="40% - 强调文字颜色 1" xfId="71" builtinId="31"/>
    <cellStyle name="常规 3" xfId="72"/>
    <cellStyle name="链接单元格" xfId="73" builtinId="24"/>
  </cellStyles>
  <dxfs count="6">
    <dxf>
      <fill>
        <patternFill patternType="solid">
          <bgColor theme="5" tint="0.396649067659536"/>
        </patternFill>
      </fill>
    </dxf>
    <dxf>
      <fill>
        <patternFill patternType="solid">
          <bgColor indexed="10"/>
        </patternFill>
      </fill>
    </dxf>
    <dxf>
      <font>
        <color rgb="FF9C0006"/>
      </font>
      <fill>
        <patternFill patternType="solid">
          <bgColor rgb="FFFFC7CE"/>
        </patternFill>
      </fill>
    </dxf>
    <dxf>
      <fill>
        <patternFill patternType="solid">
          <bgColor theme="9" tint="0.799340800195319"/>
        </patternFill>
      </fill>
    </dxf>
    <dxf>
      <fill>
        <patternFill patternType="solid">
          <bgColor theme="5"/>
        </patternFill>
      </fill>
    </dxf>
    <dxf>
      <fill>
        <patternFill patternType="solid">
          <bgColor theme="5" tint="-0.499984740745262"/>
        </patternFill>
      </fill>
    </dxf>
  </dxfs>
  <tableStyles count="0" defaultPivotStyle="PivotStyleMedium7"/>
  <colors>
    <indexedColors>
      <rgbColor rgb="00000000"/>
      <rgbColor rgb="00FFFFFF"/>
      <rgbColor rgb="00FF0000"/>
      <rgbColor rgb="0000FF00"/>
      <rgbColor rgb="000000FF"/>
      <rgbColor rgb="00FFFF00"/>
      <rgbColor rgb="00FF00FF"/>
      <rgbColor rgb="0000FFFF"/>
      <rgbColor rgb="00000000"/>
      <rgbColor rgb="00AAAAAA"/>
      <rgbColor rgb="00FF0000"/>
      <rgbColor rgb="00000000"/>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5" Type="http://schemas.openxmlformats.org/officeDocument/2006/relationships/sharedStrings" Target="sharedStrings.xml"/><Relationship Id="rId74" Type="http://schemas.openxmlformats.org/officeDocument/2006/relationships/styles" Target="styles.xml"/><Relationship Id="rId73" Type="http://schemas.openxmlformats.org/officeDocument/2006/relationships/theme" Target="theme/theme1.xml"/><Relationship Id="rId72" Type="http://schemas.openxmlformats.org/officeDocument/2006/relationships/worksheet" Target="worksheets/sheet72.xml"/><Relationship Id="rId71" Type="http://schemas.openxmlformats.org/officeDocument/2006/relationships/worksheet" Target="worksheets/sheet71.xml"/><Relationship Id="rId70" Type="http://schemas.openxmlformats.org/officeDocument/2006/relationships/worksheet" Target="worksheets/sheet70.xml"/><Relationship Id="rId7" Type="http://schemas.openxmlformats.org/officeDocument/2006/relationships/worksheet" Target="worksheets/sheet7.xml"/><Relationship Id="rId69" Type="http://schemas.openxmlformats.org/officeDocument/2006/relationships/worksheet" Target="worksheets/sheet69.xml"/><Relationship Id="rId68" Type="http://schemas.openxmlformats.org/officeDocument/2006/relationships/worksheet" Target="worksheets/sheet68.xml"/><Relationship Id="rId67" Type="http://schemas.openxmlformats.org/officeDocument/2006/relationships/worksheet" Target="worksheets/sheet67.xml"/><Relationship Id="rId66" Type="http://schemas.openxmlformats.org/officeDocument/2006/relationships/worksheet" Target="worksheets/sheet66.xml"/><Relationship Id="rId65" Type="http://schemas.openxmlformats.org/officeDocument/2006/relationships/worksheet" Target="worksheets/sheet65.xml"/><Relationship Id="rId64" Type="http://schemas.openxmlformats.org/officeDocument/2006/relationships/worksheet" Target="worksheets/sheet64.xml"/><Relationship Id="rId63" Type="http://schemas.openxmlformats.org/officeDocument/2006/relationships/worksheet" Target="worksheets/sheet63.xml"/><Relationship Id="rId62" Type="http://schemas.openxmlformats.org/officeDocument/2006/relationships/worksheet" Target="worksheets/sheet62.xml"/><Relationship Id="rId61" Type="http://schemas.openxmlformats.org/officeDocument/2006/relationships/worksheet" Target="worksheets/sheet61.xml"/><Relationship Id="rId60" Type="http://schemas.openxmlformats.org/officeDocument/2006/relationships/worksheet" Target="worksheets/sheet60.xml"/><Relationship Id="rId6" Type="http://schemas.openxmlformats.org/officeDocument/2006/relationships/worksheet" Target="worksheets/sheet6.xml"/><Relationship Id="rId59" Type="http://schemas.openxmlformats.org/officeDocument/2006/relationships/worksheet" Target="worksheets/sheet59.xml"/><Relationship Id="rId58" Type="http://schemas.openxmlformats.org/officeDocument/2006/relationships/worksheet" Target="worksheets/sheet58.xml"/><Relationship Id="rId57" Type="http://schemas.openxmlformats.org/officeDocument/2006/relationships/worksheet" Target="worksheets/sheet57.xml"/><Relationship Id="rId56" Type="http://schemas.openxmlformats.org/officeDocument/2006/relationships/worksheet" Target="worksheets/sheet56.xml"/><Relationship Id="rId55" Type="http://schemas.openxmlformats.org/officeDocument/2006/relationships/worksheet" Target="worksheets/sheet55.xml"/><Relationship Id="rId54" Type="http://schemas.openxmlformats.org/officeDocument/2006/relationships/worksheet" Target="worksheets/sheet54.xml"/><Relationship Id="rId53" Type="http://schemas.openxmlformats.org/officeDocument/2006/relationships/worksheet" Target="worksheets/sheet53.xml"/><Relationship Id="rId52" Type="http://schemas.openxmlformats.org/officeDocument/2006/relationships/worksheet" Target="worksheets/sheet52.xml"/><Relationship Id="rId51" Type="http://schemas.openxmlformats.org/officeDocument/2006/relationships/worksheet" Target="worksheets/sheet51.xml"/><Relationship Id="rId50" Type="http://schemas.openxmlformats.org/officeDocument/2006/relationships/worksheet" Target="worksheets/sheet50.xml"/><Relationship Id="rId5" Type="http://schemas.openxmlformats.org/officeDocument/2006/relationships/worksheet" Target="worksheets/sheet5.xml"/><Relationship Id="rId49" Type="http://schemas.openxmlformats.org/officeDocument/2006/relationships/worksheet" Target="worksheets/sheet49.xml"/><Relationship Id="rId48" Type="http://schemas.openxmlformats.org/officeDocument/2006/relationships/worksheet" Target="worksheets/sheet48.xml"/><Relationship Id="rId47" Type="http://schemas.openxmlformats.org/officeDocument/2006/relationships/worksheet" Target="worksheets/sheet47.xml"/><Relationship Id="rId46" Type="http://schemas.openxmlformats.org/officeDocument/2006/relationships/worksheet" Target="worksheets/sheet46.xml"/><Relationship Id="rId45" Type="http://schemas.openxmlformats.org/officeDocument/2006/relationships/worksheet" Target="worksheets/sheet45.xml"/><Relationship Id="rId44" Type="http://schemas.openxmlformats.org/officeDocument/2006/relationships/worksheet" Target="worksheets/sheet44.xml"/><Relationship Id="rId43" Type="http://schemas.openxmlformats.org/officeDocument/2006/relationships/worksheet" Target="worksheets/sheet43.xml"/><Relationship Id="rId42" Type="http://schemas.openxmlformats.org/officeDocument/2006/relationships/worksheet" Target="worksheets/sheet42.xml"/><Relationship Id="rId41" Type="http://schemas.openxmlformats.org/officeDocument/2006/relationships/worksheet" Target="worksheets/sheet41.xml"/><Relationship Id="rId40" Type="http://schemas.openxmlformats.org/officeDocument/2006/relationships/worksheet" Target="worksheets/sheet40.xml"/><Relationship Id="rId4" Type="http://schemas.openxmlformats.org/officeDocument/2006/relationships/worksheet" Target="worksheets/sheet4.xml"/><Relationship Id="rId39" Type="http://schemas.openxmlformats.org/officeDocument/2006/relationships/worksheet" Target="worksheets/sheet39.xml"/><Relationship Id="rId38" Type="http://schemas.openxmlformats.org/officeDocument/2006/relationships/worksheet" Target="worksheets/sheet38.xml"/><Relationship Id="rId37" Type="http://schemas.openxmlformats.org/officeDocument/2006/relationships/worksheet" Target="worksheets/sheet37.xml"/><Relationship Id="rId36" Type="http://schemas.openxmlformats.org/officeDocument/2006/relationships/worksheet" Target="worksheets/sheet36.xml"/><Relationship Id="rId35" Type="http://schemas.openxmlformats.org/officeDocument/2006/relationships/worksheet" Target="worksheets/sheet35.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oneCellAnchor>
    <xdr:from>
      <xdr:col>4</xdr:col>
      <xdr:colOff>0</xdr:colOff>
      <xdr:row>27</xdr:row>
      <xdr:rowOff>0</xdr:rowOff>
    </xdr:from>
    <xdr:ext cx="304800" cy="284480"/>
    <xdr:sp>
      <xdr:nvSpPr>
        <xdr:cNvPr id="2" name="AutoShape 1"/>
        <xdr:cNvSpPr>
          <a:spLocks noChangeAspect="1" noChangeArrowheads="1"/>
        </xdr:cNvSpPr>
      </xdr:nvSpPr>
      <xdr:spPr>
        <a:xfrm>
          <a:off x="4806315" y="7920990"/>
          <a:ext cx="304800" cy="284480"/>
        </a:xfrm>
        <a:prstGeom prst="rect">
          <a:avLst/>
        </a:prstGeom>
        <a:noFill/>
      </xdr:spPr>
    </xdr:sp>
    <xdr:clientData/>
  </xdr:oneCellAnchor>
  <xdr:oneCellAnchor>
    <xdr:from>
      <xdr:col>4</xdr:col>
      <xdr:colOff>0</xdr:colOff>
      <xdr:row>27</xdr:row>
      <xdr:rowOff>0</xdr:rowOff>
    </xdr:from>
    <xdr:ext cx="304800" cy="284480"/>
    <xdr:sp>
      <xdr:nvSpPr>
        <xdr:cNvPr id="3" name="AutoShape 1"/>
        <xdr:cNvSpPr>
          <a:spLocks noChangeAspect="1" noChangeArrowheads="1"/>
        </xdr:cNvSpPr>
      </xdr:nvSpPr>
      <xdr:spPr>
        <a:xfrm>
          <a:off x="4806315" y="7920990"/>
          <a:ext cx="304800" cy="284480"/>
        </a:xfrm>
        <a:prstGeom prst="rect">
          <a:avLst/>
        </a:prstGeom>
        <a:noFill/>
      </xdr:spPr>
    </xdr:sp>
    <xdr:clientData/>
  </xdr:oneCellAnchor>
</xdr:wsDr>
</file>

<file path=xl/theme/_rels/theme1.x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Blank">
  <a:themeElements>
    <a:clrScheme name="Blank">
      <a:dk1>
        <a:srgbClr val="000000"/>
      </a:dk1>
      <a:lt1>
        <a:srgbClr val="FFFFFF"/>
      </a:lt1>
      <a:dk2>
        <a:srgbClr val="404040"/>
      </a:dk2>
      <a:lt2>
        <a:srgbClr val="BFBFBF"/>
      </a:lt2>
      <a:accent1>
        <a:srgbClr val="499BC9"/>
      </a:accent1>
      <a:accent2>
        <a:srgbClr val="6EC038"/>
      </a:accent2>
      <a:accent3>
        <a:srgbClr val="F1D130"/>
      </a:accent3>
      <a:accent4>
        <a:srgbClr val="FFA93A"/>
      </a:accent4>
      <a:accent5>
        <a:srgbClr val="FF2D21"/>
      </a:accent5>
      <a:accent6>
        <a:srgbClr val="6C2085"/>
      </a:accent6>
      <a:hlink>
        <a:srgbClr val="0000FF"/>
      </a:hlink>
      <a:folHlink>
        <a:srgbClr val="FF00FF"/>
      </a:folHlink>
    </a:clrScheme>
    <a:fontScheme name="Blank">
      <a:majorFont>
        <a:latin typeface="Helvetica"/>
        <a:ea typeface="Helvetica"/>
        <a:cs typeface="Helvetica"/>
      </a:majorFont>
      <a:minorFont>
        <a:latin typeface="Helvetica"/>
        <a:ea typeface="Helvetica"/>
        <a:cs typeface="Helvetic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29999"/>
              </a:schemeClr>
            </a:gs>
            <a:gs pos="100000">
              <a:schemeClr val="phClr">
                <a:tint val="50000"/>
                <a:shade val="100000"/>
                <a:satMod val="350000"/>
              </a:schemeClr>
            </a:gs>
          </a:gsLst>
          <a:lin ang="16200000" scaled="0"/>
        </a:gradFill>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29999"/>
              </a:schemeClr>
            </a:gs>
            <a:gs pos="100000">
              <a:schemeClr val="phClr">
                <a:tint val="50000"/>
                <a:shade val="100000"/>
                <a:satMod val="350000"/>
              </a:schemeClr>
            </a:gs>
          </a:gsLst>
          <a:lin ang="16200000" scaled="0"/>
        </a:gradFill>
      </a:fillStyleLst>
      <a:lnStyleLst>
        <a:ln w="9525" cap="flat" cmpd="sng" algn="ctr">
          <a:solidFill>
            <a:schemeClr val="phClr">
              <a:shade val="95000"/>
              <a:satMod val="104999"/>
            </a:schemeClr>
          </a:solidFill>
          <a:prstDash val="solid"/>
        </a:ln>
        <a:ln w="25400" cap="flat" cmpd="sng" algn="ctr">
          <a:solidFill>
            <a:schemeClr val="phClr"/>
          </a:solidFill>
          <a:prstDash val="solid"/>
        </a:ln>
        <a:ln w="38100" cap="flat" cmpd="sng" algn="ctr">
          <a:solidFill>
            <a:schemeClr val="phClr"/>
          </a:solidFill>
          <a:prstDash val="solid"/>
        </a:ln>
        <a:ln w="9525" cap="flat" cmpd="sng" algn="ctr">
          <a:solidFill>
            <a:schemeClr val="phClr">
              <a:shade val="95000"/>
              <a:satMod val="104999"/>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38100" dist="25400" dir="5400000" rotWithShape="0">
              <a:srgbClr val="000000">
                <a:alpha val="50000"/>
              </a:srgbClr>
            </a:outerShdw>
          </a:effectLst>
        </a:effectStyle>
        <a:effectStyle>
          <a:effectLst>
            <a:outerShdw blurRad="38100" dist="25400" dir="5400000" rotWithShape="0">
              <a:srgbClr val="000000">
                <a:alpha val="50000"/>
              </a:srgbClr>
            </a:outerShdw>
          </a:effectLst>
        </a:effectStyle>
        <a:effectStyle>
          <a:effectLst>
            <a:outerShdw blurRad="38100" dist="25400" dir="5400000" rotWithShape="0">
              <a:srgbClr val="000000">
                <a:alpha val="50000"/>
              </a:srgbClr>
            </a:outerShdw>
          </a:effectLst>
        </a:effectStyle>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lipFill rotWithShape="1">
          <a:blip xmlns:r="http://schemas.openxmlformats.org/officeDocument/2006/relationships" r:embed="rId1"/>
          <a:srcRect/>
          <a:tile tx="0" ty="0" sx="100000" sy="100000" flip="none" algn="tl"/>
        </a:blipFill>
        <a:ln w="12700" cap="flat">
          <a:noFill/>
          <a:miter lim="400000"/>
        </a:ln>
        <a:effectLst>
          <a:outerShdw blurRad="38100" dist="25400" dir="5400000" rotWithShape="0">
            <a:srgbClr val="000000">
              <a:alpha val="50000"/>
            </a:srgbClr>
          </a:outerShdw>
        </a:effectLst>
      </a:spPr>
      <a:bodyPr rot="0" spcFirstLastPara="1" vertOverflow="overflow" horzOverflow="overflow" vert="horz" wrap="square" lIns="50800" tIns="50800" rIns="50800" bIns="50800" numCol="1" spcCol="38100" rtlCol="0" anchor="ctr">
        <a:spAutoFit/>
      </a:bodyPr>
      <a:lstStyle>
        <a:defPPr marL="0" marR="0" indent="0" algn="ctr" defTabSz="457200" rtl="0" fontAlgn="auto" latinLnBrk="1" hangingPunct="0">
          <a:lnSpc>
            <a:spcPct val="100000"/>
          </a:lnSpc>
          <a:spcBef>
            <a:spcPts val="0"/>
          </a:spcBef>
          <a:spcAft>
            <a:spcPts val="0"/>
          </a:spcAft>
          <a:buClrTx/>
          <a:buSzTx/>
          <a:buFontTx/>
          <a:buNone/>
          <a:defRPr kumimoji="0" sz="1200" b="0" i="0" u="none" strike="noStrike" cap="none" spc="0" normalizeH="0" baseline="0">
            <a:ln>
              <a:noFill/>
            </a:ln>
            <a:solidFill>
              <a:srgbClr val="FFFFFF"/>
            </a:solidFill>
            <a:effectLst>
              <a:outerShdw blurRad="25400" dist="23998" dir="2700000" rotWithShape="0">
                <a:srgbClr val="000000">
                  <a:alpha val="31034"/>
                </a:srgbClr>
              </a:outerShdw>
            </a:effectLst>
            <a:uFillTx/>
            <a:latin typeface="+mn-lt"/>
            <a:ea typeface="+mn-ea"/>
            <a:cs typeface="+mn-cs"/>
            <a:sym typeface="Helvetica"/>
          </a:defRPr>
        </a:defPPr>
        <a:lvl1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spDef>
    <a:lnDef>
      <a:spPr>
        <a:noFill/>
        <a:ln w="6350" cap="flat">
          <a:solidFill>
            <a:srgbClr val="000000"/>
          </a:solidFill>
          <a:prstDash val="solid"/>
          <a:miter lim="400000"/>
        </a:ln>
      </a:spPr>
      <a:bodyPr rot="0" spcFirstLastPara="1" vertOverflow="overflow" horzOverflow="overflow" vert="horz" wrap="square" lIns="91439" tIns="45719" rIns="91439" bIns="45719" numCol="1" spcCol="38100" rtlCol="0" anchor="t">
        <a:noAutofit/>
      </a:bodyPr>
      <a:lstStyle>
        <a:def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defPPr>
        <a:lvl1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lnDef>
    <a:txDef>
      <a:spPr>
        <a:noFill/>
        <a:ln w="12700" cap="flat">
          <a:noFill/>
          <a:miter lim="400000"/>
        </a:ln>
      </a:spPr>
      <a:bodyPr rot="0" spcFirstLastPara="1" vertOverflow="overflow" horzOverflow="overflow" vert="horz" wrap="square" lIns="50800" tIns="50800" rIns="50800" bIns="50800" numCol="1" spcCol="38100" rtlCol="0" anchor="t">
        <a:spAutoFit/>
      </a:bodyPr>
      <a:lstStyle>
        <a:defPPr marL="0" marR="0" indent="0" algn="l" defTabSz="457200" rtl="0" fontAlgn="auto" latinLnBrk="1" hangingPunct="0">
          <a:lnSpc>
            <a:spcPct val="100000"/>
          </a:lnSpc>
          <a:spcBef>
            <a:spcPts val="0"/>
          </a:spcBef>
          <a:spcAft>
            <a:spcPts val="0"/>
          </a:spcAft>
          <a:buClrTx/>
          <a:buSzTx/>
          <a:buFontTx/>
          <a:buNone/>
          <a:defRPr kumimoji="0" sz="1100" b="0" i="0" u="none" strike="noStrike" cap="none" spc="0" normalizeH="0" baseline="0">
            <a:ln>
              <a:noFill/>
            </a:ln>
            <a:solidFill>
              <a:srgbClr val="000000"/>
            </a:solidFill>
            <a:effectLst/>
            <a:uFillTx/>
            <a:latin typeface="+mn-lt"/>
            <a:ea typeface="+mn-ea"/>
            <a:cs typeface="+mn-cs"/>
            <a:sym typeface="Helvetica"/>
          </a:defRPr>
        </a:defPPr>
        <a:lvl1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txDef>
  </a:objectDefaults>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4.xml"/></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comments" Target="../comments5.xml"/></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comments" Target="../comments6.xml"/></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comments" Target="../comments7.xml"/></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comments" Target="../comments8.xml"/></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comments" Target="../comments9.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comments" Target="../comments10.xml"/></Relationships>
</file>

<file path=xl/worksheets/_rels/sheet37.xml.rels><?xml version="1.0" encoding="UTF-8" standalone="yes"?>
<Relationships xmlns="http://schemas.openxmlformats.org/package/2006/relationships"><Relationship Id="rId1" Type="http://schemas.openxmlformats.org/officeDocument/2006/relationships/hyperlink" Target="newfish%25252525252525E8%25252525252525AF%25252525252525B4%25252525252525E6%2525252525252598%252525252525258E%25252525252525E6%2525252525252596%2525252525252587%25252525252525E6%25252525252525A1%25252525252525A3.docx" TargetMode="External"/></Relationships>
</file>

<file path=xl/worksheets/_rels/sheet59.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13"/>
  <sheetViews>
    <sheetView showGridLines="0" workbookViewId="0">
      <selection activeCell="C6" sqref="C6"/>
    </sheetView>
  </sheetViews>
  <sheetFormatPr defaultColWidth="6.59868421052632" defaultRowHeight="23.1" customHeight="1" outlineLevelCol="7"/>
  <cols>
    <col min="1" max="1" width="9.59868421052632" style="287" customWidth="1"/>
    <col min="2" max="2" width="6.59868421052632" style="287" customWidth="1"/>
    <col min="3" max="3" width="9.59868421052632" style="287" customWidth="1"/>
    <col min="4" max="4" width="9.5" style="287" customWidth="1"/>
    <col min="5" max="6" width="6.59868421052632" style="287" customWidth="1"/>
    <col min="7" max="7" width="9.69736842105263" style="287" customWidth="1"/>
    <col min="8" max="256" width="6.59868421052632" style="287" customWidth="1"/>
    <col min="257" max="16384" width="6.59868421052632" style="288"/>
  </cols>
  <sheetData>
    <row r="1" customHeight="1" spans="1:8">
      <c r="A1" s="289" t="s">
        <v>0</v>
      </c>
      <c r="B1" s="290"/>
      <c r="C1" s="290"/>
      <c r="D1" s="290"/>
      <c r="E1" s="290"/>
      <c r="F1" s="290"/>
      <c r="G1" s="289" t="s">
        <v>1</v>
      </c>
      <c r="H1" s="290"/>
    </row>
    <row r="2" customHeight="1" spans="1:8">
      <c r="A2" s="290"/>
      <c r="B2" s="289" t="s">
        <v>2</v>
      </c>
      <c r="C2" s="289" t="s">
        <v>3</v>
      </c>
      <c r="D2" s="289" t="s">
        <v>4</v>
      </c>
      <c r="E2" s="289" t="s">
        <v>5</v>
      </c>
      <c r="F2" s="290"/>
      <c r="G2" s="289" t="s">
        <v>6</v>
      </c>
      <c r="H2" s="289">
        <v>101</v>
      </c>
    </row>
    <row r="3" customHeight="1" spans="1:8">
      <c r="A3" s="289" t="s">
        <v>7</v>
      </c>
      <c r="B3" s="289">
        <v>1</v>
      </c>
      <c r="C3" s="289" t="s">
        <v>8</v>
      </c>
      <c r="D3" s="289"/>
      <c r="E3" s="289" t="s">
        <v>9</v>
      </c>
      <c r="F3" s="290"/>
      <c r="G3" s="289" t="s">
        <v>10</v>
      </c>
      <c r="H3" s="289">
        <v>102</v>
      </c>
    </row>
    <row r="4" customHeight="1" spans="1:8">
      <c r="A4" s="289" t="s">
        <v>11</v>
      </c>
      <c r="B4" s="289">
        <v>2</v>
      </c>
      <c r="C4" s="289" t="s">
        <v>8</v>
      </c>
      <c r="D4" s="289"/>
      <c r="E4" s="289" t="s">
        <v>9</v>
      </c>
      <c r="F4" s="290"/>
      <c r="G4" s="289" t="s">
        <v>12</v>
      </c>
      <c r="H4" s="289">
        <v>103</v>
      </c>
    </row>
    <row r="5" customHeight="1" spans="1:8">
      <c r="A5" s="289" t="s">
        <v>13</v>
      </c>
      <c r="B5" s="289">
        <v>3</v>
      </c>
      <c r="C5" s="289" t="s">
        <v>14</v>
      </c>
      <c r="D5" s="289" t="s">
        <v>15</v>
      </c>
      <c r="E5" s="289" t="s">
        <v>9</v>
      </c>
      <c r="F5" s="290"/>
      <c r="G5" s="289"/>
      <c r="H5" s="289"/>
    </row>
    <row r="6" customHeight="1" spans="1:8">
      <c r="A6" s="289" t="s">
        <v>16</v>
      </c>
      <c r="B6" s="289">
        <v>4</v>
      </c>
      <c r="C6" s="289" t="s">
        <v>8</v>
      </c>
      <c r="D6" s="289"/>
      <c r="E6" s="289" t="s">
        <v>9</v>
      </c>
      <c r="F6" s="290"/>
      <c r="G6" s="289"/>
      <c r="H6" s="289"/>
    </row>
    <row r="7" customHeight="1" spans="1:8">
      <c r="A7" s="289" t="s">
        <v>17</v>
      </c>
      <c r="B7" s="289">
        <v>5</v>
      </c>
      <c r="C7" s="289" t="s">
        <v>8</v>
      </c>
      <c r="D7" s="289"/>
      <c r="E7" s="289" t="s">
        <v>9</v>
      </c>
      <c r="F7" s="290"/>
      <c r="G7" s="290"/>
      <c r="H7" s="290"/>
    </row>
    <row r="8" customHeight="1" spans="1:8">
      <c r="A8" s="289" t="s">
        <v>18</v>
      </c>
      <c r="B8" s="289">
        <v>6</v>
      </c>
      <c r="C8" s="289" t="s">
        <v>8</v>
      </c>
      <c r="D8" s="289" t="s">
        <v>19</v>
      </c>
      <c r="E8" s="289" t="s">
        <v>9</v>
      </c>
      <c r="F8" s="290"/>
      <c r="G8" s="290"/>
      <c r="H8" s="290"/>
    </row>
    <row r="9" customHeight="1" spans="1:8">
      <c r="A9" s="289" t="s">
        <v>20</v>
      </c>
      <c r="B9" s="289">
        <v>7</v>
      </c>
      <c r="C9" s="289" t="s">
        <v>8</v>
      </c>
      <c r="D9" s="289"/>
      <c r="E9" s="289" t="s">
        <v>9</v>
      </c>
      <c r="F9" s="290"/>
      <c r="G9" s="290"/>
      <c r="H9" s="290"/>
    </row>
    <row r="10" customHeight="1" spans="1:8">
      <c r="A10" s="289" t="s">
        <v>21</v>
      </c>
      <c r="B10" s="289">
        <v>8</v>
      </c>
      <c r="C10" s="289" t="s">
        <v>8</v>
      </c>
      <c r="D10" s="289"/>
      <c r="E10" s="289" t="s">
        <v>9</v>
      </c>
      <c r="F10" s="290"/>
      <c r="G10" s="290"/>
      <c r="H10" s="290"/>
    </row>
    <row r="11" customHeight="1" spans="1:8">
      <c r="A11" s="289" t="s">
        <v>22</v>
      </c>
      <c r="B11" s="289">
        <v>9</v>
      </c>
      <c r="C11" s="289"/>
      <c r="D11" s="289"/>
      <c r="E11" s="289" t="s">
        <v>9</v>
      </c>
      <c r="F11" s="290"/>
      <c r="G11" s="290"/>
      <c r="H11" s="290"/>
    </row>
    <row r="12" customHeight="1" spans="1:8">
      <c r="A12" s="289" t="s">
        <v>23</v>
      </c>
      <c r="B12" s="289">
        <v>10</v>
      </c>
      <c r="C12" s="289" t="s">
        <v>8</v>
      </c>
      <c r="D12" s="289"/>
      <c r="E12" s="289" t="s">
        <v>9</v>
      </c>
      <c r="F12" s="290"/>
      <c r="G12" s="290"/>
      <c r="H12" s="290"/>
    </row>
    <row r="13" customHeight="1" spans="1:8">
      <c r="A13" s="289" t="s">
        <v>24</v>
      </c>
      <c r="B13" s="289">
        <v>11</v>
      </c>
      <c r="C13" s="289" t="s">
        <v>8</v>
      </c>
      <c r="D13" s="289"/>
      <c r="E13" s="289" t="s">
        <v>9</v>
      </c>
      <c r="F13" s="290"/>
      <c r="G13" s="290"/>
      <c r="H13" s="290"/>
    </row>
  </sheetData>
  <pageMargins left="0.75" right="0.75" top="1" bottom="1" header="0.5" footer="0.5"/>
  <pageSetup paperSize="1" orientation="portrait"/>
  <headerFooter>
    <oddFooter>&amp;L&amp;"Helvetica,Regular"&amp;12&amp;K000000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U205"/>
  <sheetViews>
    <sheetView showGridLines="0" tabSelected="1" zoomScale="90" zoomScaleNormal="90" topLeftCell="J1" workbookViewId="0">
      <pane ySplit="3" topLeftCell="A4" activePane="bottomLeft" state="frozen"/>
      <selection/>
      <selection pane="bottomLeft" activeCell="S19" sqref="S19"/>
    </sheetView>
  </sheetViews>
  <sheetFormatPr defaultColWidth="6.59868421052632" defaultRowHeight="23.1" customHeight="1"/>
  <cols>
    <col min="1" max="1" width="13.6973684210526" style="236" customWidth="1"/>
    <col min="2" max="2" width="28.6973684210526" style="236" customWidth="1"/>
    <col min="3" max="3" width="26.5" style="236" customWidth="1"/>
    <col min="4" max="4" width="11.0986842105263" style="236" customWidth="1"/>
    <col min="5" max="5" width="12.0986842105263" style="236" customWidth="1"/>
    <col min="6" max="6" width="14.0986842105263" style="236" customWidth="1"/>
    <col min="7" max="7" width="9.5" style="236" customWidth="1"/>
    <col min="8" max="8" width="15.0986842105263" style="236" customWidth="1"/>
    <col min="9" max="9" width="15.9013157894737" style="236" customWidth="1"/>
    <col min="10" max="11" width="10" style="236" customWidth="1"/>
    <col min="12" max="12" width="26.5" style="236" customWidth="1"/>
    <col min="13" max="13" width="9.40131578947368" style="236" customWidth="1"/>
    <col min="14" max="14" width="12.6973684210526" style="266" customWidth="1"/>
    <col min="15" max="15" width="14.6973684210526" style="266" customWidth="1"/>
    <col min="16" max="255" width="6.59868421052632" style="236" customWidth="1"/>
  </cols>
  <sheetData>
    <row r="1" customHeight="1" spans="1:15">
      <c r="A1" s="114" t="s">
        <v>25</v>
      </c>
      <c r="B1" s="114" t="s">
        <v>26</v>
      </c>
      <c r="C1" s="114" t="s">
        <v>26</v>
      </c>
      <c r="D1" s="114" t="s">
        <v>27</v>
      </c>
      <c r="E1" s="114" t="s">
        <v>28</v>
      </c>
      <c r="F1" s="114" t="s">
        <v>29</v>
      </c>
      <c r="G1" s="114" t="s">
        <v>30</v>
      </c>
      <c r="H1" s="114" t="s">
        <v>31</v>
      </c>
      <c r="I1" s="114" t="s">
        <v>32</v>
      </c>
      <c r="J1" s="114" t="s">
        <v>33</v>
      </c>
      <c r="K1" s="269" t="s">
        <v>34</v>
      </c>
      <c r="L1" s="270" t="s">
        <v>35</v>
      </c>
      <c r="M1" s="273" t="s">
        <v>36</v>
      </c>
      <c r="N1" s="273" t="s">
        <v>37</v>
      </c>
      <c r="O1" s="273" t="s">
        <v>38</v>
      </c>
    </row>
    <row r="2" customHeight="1" spans="1:15">
      <c r="A2" s="114" t="s">
        <v>39</v>
      </c>
      <c r="B2" s="114" t="s">
        <v>40</v>
      </c>
      <c r="C2" s="114" t="s">
        <v>40</v>
      </c>
      <c r="D2" s="114" t="s">
        <v>39</v>
      </c>
      <c r="E2" s="114" t="s">
        <v>39</v>
      </c>
      <c r="F2" s="114" t="s">
        <v>39</v>
      </c>
      <c r="G2" s="114" t="s">
        <v>39</v>
      </c>
      <c r="H2" s="114" t="s">
        <v>41</v>
      </c>
      <c r="I2" s="114" t="s">
        <v>41</v>
      </c>
      <c r="J2" s="114" t="s">
        <v>39</v>
      </c>
      <c r="K2" s="269" t="s">
        <v>39</v>
      </c>
      <c r="L2" s="270" t="s">
        <v>40</v>
      </c>
      <c r="M2" s="273" t="s">
        <v>39</v>
      </c>
      <c r="N2" s="274" t="s">
        <v>39</v>
      </c>
      <c r="O2" s="274" t="s">
        <v>39</v>
      </c>
    </row>
    <row r="3" customHeight="1" spans="1:15">
      <c r="A3" s="114" t="s">
        <v>42</v>
      </c>
      <c r="B3" s="267" t="s">
        <v>43</v>
      </c>
      <c r="C3" s="114" t="s">
        <v>44</v>
      </c>
      <c r="D3" s="114" t="s">
        <v>45</v>
      </c>
      <c r="E3" s="114" t="s">
        <v>46</v>
      </c>
      <c r="F3" s="114" t="s">
        <v>47</v>
      </c>
      <c r="G3" s="114" t="s">
        <v>48</v>
      </c>
      <c r="H3" s="114" t="s">
        <v>49</v>
      </c>
      <c r="I3" s="114" t="s">
        <v>50</v>
      </c>
      <c r="J3" s="114" t="s">
        <v>51</v>
      </c>
      <c r="K3" s="271" t="s">
        <v>52</v>
      </c>
      <c r="L3" s="270" t="s">
        <v>53</v>
      </c>
      <c r="M3" s="273" t="s">
        <v>54</v>
      </c>
      <c r="N3" s="275" t="s">
        <v>55</v>
      </c>
      <c r="O3" s="276" t="s">
        <v>56</v>
      </c>
    </row>
    <row r="4" customHeight="1" spans="1:15">
      <c r="A4" s="114">
        <v>1</v>
      </c>
      <c r="B4" s="114" t="s">
        <v>57</v>
      </c>
      <c r="C4" s="114" t="s">
        <v>58</v>
      </c>
      <c r="D4" s="114">
        <v>11001</v>
      </c>
      <c r="E4" s="114">
        <v>1</v>
      </c>
      <c r="F4" s="114">
        <v>101</v>
      </c>
      <c r="G4" s="114">
        <v>4</v>
      </c>
      <c r="H4" s="114">
        <v>4</v>
      </c>
      <c r="I4" s="114">
        <v>4</v>
      </c>
      <c r="J4" s="114">
        <v>0</v>
      </c>
      <c r="K4" s="269">
        <v>4</v>
      </c>
      <c r="L4" s="270" t="s">
        <v>58</v>
      </c>
      <c r="M4" s="277"/>
      <c r="N4" s="278">
        <v>0</v>
      </c>
      <c r="O4" s="275">
        <v>0</v>
      </c>
    </row>
    <row r="5" customHeight="1" spans="1:15">
      <c r="A5" s="114">
        <v>2</v>
      </c>
      <c r="B5" s="114" t="s">
        <v>59</v>
      </c>
      <c r="C5" s="114" t="s">
        <v>60</v>
      </c>
      <c r="D5" s="114">
        <v>11002</v>
      </c>
      <c r="E5" s="114">
        <v>1</v>
      </c>
      <c r="F5" s="114">
        <v>101</v>
      </c>
      <c r="G5" s="114">
        <v>6</v>
      </c>
      <c r="H5" s="114">
        <v>6</v>
      </c>
      <c r="I5" s="114">
        <v>6</v>
      </c>
      <c r="J5" s="114">
        <v>0</v>
      </c>
      <c r="K5" s="269">
        <v>6</v>
      </c>
      <c r="L5" s="270" t="s">
        <v>60</v>
      </c>
      <c r="M5" s="277"/>
      <c r="N5" s="278">
        <v>0</v>
      </c>
      <c r="O5" s="275">
        <v>0</v>
      </c>
    </row>
    <row r="6" customHeight="1" spans="1:15">
      <c r="A6" s="114">
        <v>3</v>
      </c>
      <c r="B6" s="114" t="s">
        <v>61</v>
      </c>
      <c r="C6" s="114" t="s">
        <v>62</v>
      </c>
      <c r="D6" s="114">
        <v>11003</v>
      </c>
      <c r="E6" s="114">
        <v>1</v>
      </c>
      <c r="F6" s="114">
        <v>101</v>
      </c>
      <c r="G6" s="114">
        <v>8</v>
      </c>
      <c r="H6" s="114">
        <v>8</v>
      </c>
      <c r="I6" s="114">
        <v>8</v>
      </c>
      <c r="J6" s="114">
        <v>0</v>
      </c>
      <c r="K6" s="269">
        <v>8</v>
      </c>
      <c r="L6" s="270" t="s">
        <v>62</v>
      </c>
      <c r="M6" s="277"/>
      <c r="N6" s="278">
        <v>0</v>
      </c>
      <c r="O6" s="275">
        <v>0</v>
      </c>
    </row>
    <row r="7" customHeight="1" spans="1:15">
      <c r="A7" s="114">
        <v>4</v>
      </c>
      <c r="B7" s="114" t="s">
        <v>63</v>
      </c>
      <c r="C7" s="114" t="s">
        <v>64</v>
      </c>
      <c r="D7" s="114">
        <v>11004</v>
      </c>
      <c r="E7" s="114">
        <v>1</v>
      </c>
      <c r="F7" s="114">
        <v>101</v>
      </c>
      <c r="G7" s="114">
        <v>10</v>
      </c>
      <c r="H7" s="114">
        <v>10</v>
      </c>
      <c r="I7" s="114">
        <v>10</v>
      </c>
      <c r="J7" s="114">
        <v>0</v>
      </c>
      <c r="K7" s="269">
        <v>10</v>
      </c>
      <c r="L7" s="270" t="s">
        <v>64</v>
      </c>
      <c r="M7" s="277"/>
      <c r="N7" s="278">
        <v>0</v>
      </c>
      <c r="O7" s="275">
        <v>0</v>
      </c>
    </row>
    <row r="8" customHeight="1" spans="1:15">
      <c r="A8" s="114">
        <v>5</v>
      </c>
      <c r="B8" s="114" t="s">
        <v>65</v>
      </c>
      <c r="C8" s="114" t="s">
        <v>66</v>
      </c>
      <c r="D8" s="114">
        <v>11005</v>
      </c>
      <c r="E8" s="114">
        <v>1</v>
      </c>
      <c r="F8" s="114">
        <v>101</v>
      </c>
      <c r="G8" s="114">
        <v>15</v>
      </c>
      <c r="H8" s="114">
        <v>15</v>
      </c>
      <c r="I8" s="114">
        <v>15</v>
      </c>
      <c r="J8" s="114">
        <v>0</v>
      </c>
      <c r="K8" s="269">
        <v>15</v>
      </c>
      <c r="L8" s="270" t="s">
        <v>66</v>
      </c>
      <c r="M8" s="277"/>
      <c r="N8" s="278">
        <v>0</v>
      </c>
      <c r="O8" s="275">
        <v>0</v>
      </c>
    </row>
    <row r="9" customHeight="1" spans="1:15">
      <c r="A9" s="114">
        <v>6</v>
      </c>
      <c r="B9" s="114" t="s">
        <v>67</v>
      </c>
      <c r="C9" s="114" t="s">
        <v>68</v>
      </c>
      <c r="D9" s="114">
        <v>11006</v>
      </c>
      <c r="E9" s="114">
        <v>1</v>
      </c>
      <c r="F9" s="114">
        <v>101</v>
      </c>
      <c r="G9" s="114">
        <v>20</v>
      </c>
      <c r="H9" s="114">
        <v>20</v>
      </c>
      <c r="I9" s="114">
        <v>20</v>
      </c>
      <c r="J9" s="114">
        <v>0</v>
      </c>
      <c r="K9" s="269">
        <v>20</v>
      </c>
      <c r="L9" s="270" t="s">
        <v>68</v>
      </c>
      <c r="M9" s="277"/>
      <c r="N9" s="278">
        <v>0</v>
      </c>
      <c r="O9" s="275">
        <v>0</v>
      </c>
    </row>
    <row r="10" customHeight="1" spans="1:15">
      <c r="A10" s="114">
        <v>7</v>
      </c>
      <c r="B10" s="114" t="s">
        <v>69</v>
      </c>
      <c r="C10" s="114" t="s">
        <v>70</v>
      </c>
      <c r="D10" s="114">
        <v>11007</v>
      </c>
      <c r="E10" s="114">
        <v>1</v>
      </c>
      <c r="F10" s="114">
        <v>101</v>
      </c>
      <c r="G10" s="114">
        <v>30</v>
      </c>
      <c r="H10" s="114">
        <v>30</v>
      </c>
      <c r="I10" s="114">
        <v>30</v>
      </c>
      <c r="J10" s="114">
        <v>0</v>
      </c>
      <c r="K10" s="269">
        <v>31</v>
      </c>
      <c r="L10" s="270" t="s">
        <v>70</v>
      </c>
      <c r="M10" s="277"/>
      <c r="N10" s="278">
        <v>100</v>
      </c>
      <c r="O10" s="275">
        <v>100</v>
      </c>
    </row>
    <row r="11" customHeight="1" spans="1:15">
      <c r="A11" s="114">
        <v>8</v>
      </c>
      <c r="B11" s="114" t="s">
        <v>71</v>
      </c>
      <c r="C11" s="114" t="s">
        <v>72</v>
      </c>
      <c r="D11" s="114">
        <v>11008</v>
      </c>
      <c r="E11" s="114">
        <v>1</v>
      </c>
      <c r="F11" s="114">
        <v>101</v>
      </c>
      <c r="G11" s="114">
        <v>40</v>
      </c>
      <c r="H11" s="114">
        <v>40</v>
      </c>
      <c r="I11" s="114">
        <v>40</v>
      </c>
      <c r="J11" s="114">
        <v>0</v>
      </c>
      <c r="K11" s="269">
        <v>41</v>
      </c>
      <c r="L11" s="270" t="s">
        <v>72</v>
      </c>
      <c r="M11" s="277"/>
      <c r="N11" s="278">
        <v>100</v>
      </c>
      <c r="O11" s="275">
        <v>100</v>
      </c>
    </row>
    <row r="12" customHeight="1" spans="1:15">
      <c r="A12" s="114">
        <v>9</v>
      </c>
      <c r="B12" s="114" t="s">
        <v>73</v>
      </c>
      <c r="C12" s="114" t="s">
        <v>74</v>
      </c>
      <c r="D12" s="114">
        <v>11009</v>
      </c>
      <c r="E12" s="114">
        <v>1</v>
      </c>
      <c r="F12" s="114">
        <v>101</v>
      </c>
      <c r="G12" s="114">
        <v>60</v>
      </c>
      <c r="H12" s="114">
        <v>60</v>
      </c>
      <c r="I12" s="114">
        <v>60</v>
      </c>
      <c r="J12" s="114">
        <v>0</v>
      </c>
      <c r="K12" s="269">
        <v>61</v>
      </c>
      <c r="L12" s="270" t="s">
        <v>74</v>
      </c>
      <c r="M12" s="277"/>
      <c r="N12" s="278">
        <v>100</v>
      </c>
      <c r="O12" s="275">
        <v>100</v>
      </c>
    </row>
    <row r="13" customHeight="1" spans="1:15">
      <c r="A13" s="114">
        <v>10</v>
      </c>
      <c r="B13" s="114" t="s">
        <v>75</v>
      </c>
      <c r="C13" s="114" t="s">
        <v>76</v>
      </c>
      <c r="D13" s="114">
        <v>11085</v>
      </c>
      <c r="E13" s="114">
        <v>1</v>
      </c>
      <c r="F13" s="114">
        <v>101</v>
      </c>
      <c r="G13" s="114">
        <v>40</v>
      </c>
      <c r="H13" s="114">
        <v>40</v>
      </c>
      <c r="I13" s="114">
        <v>40</v>
      </c>
      <c r="J13" s="114">
        <v>0</v>
      </c>
      <c r="K13" s="269">
        <v>41</v>
      </c>
      <c r="L13" s="270" t="s">
        <v>76</v>
      </c>
      <c r="M13" s="277"/>
      <c r="N13" s="278">
        <v>100</v>
      </c>
      <c r="O13" s="275">
        <v>100</v>
      </c>
    </row>
    <row r="14" customHeight="1" spans="1:15">
      <c r="A14" s="114">
        <v>11</v>
      </c>
      <c r="B14" s="114" t="s">
        <v>77</v>
      </c>
      <c r="C14" s="114" t="s">
        <v>78</v>
      </c>
      <c r="D14" s="114">
        <v>11086</v>
      </c>
      <c r="E14" s="114">
        <v>1</v>
      </c>
      <c r="F14" s="114">
        <v>101</v>
      </c>
      <c r="G14" s="114">
        <v>60</v>
      </c>
      <c r="H14" s="114">
        <v>60</v>
      </c>
      <c r="I14" s="114">
        <v>60</v>
      </c>
      <c r="J14" s="114">
        <v>0</v>
      </c>
      <c r="K14" s="269">
        <v>61</v>
      </c>
      <c r="L14" s="270" t="s">
        <v>78</v>
      </c>
      <c r="M14" s="277"/>
      <c r="N14" s="278">
        <v>100</v>
      </c>
      <c r="O14" s="275">
        <v>100</v>
      </c>
    </row>
    <row r="15" customHeight="1" spans="1:15">
      <c r="A15" s="114">
        <v>12</v>
      </c>
      <c r="B15" s="114" t="s">
        <v>79</v>
      </c>
      <c r="C15" s="114" t="s">
        <v>80</v>
      </c>
      <c r="D15" s="114">
        <v>11010</v>
      </c>
      <c r="E15" s="114">
        <v>1</v>
      </c>
      <c r="F15" s="114">
        <v>101</v>
      </c>
      <c r="G15" s="114">
        <v>80</v>
      </c>
      <c r="H15" s="114">
        <v>80</v>
      </c>
      <c r="I15" s="114">
        <v>80</v>
      </c>
      <c r="J15" s="114">
        <v>0</v>
      </c>
      <c r="K15" s="269">
        <v>82</v>
      </c>
      <c r="L15" s="270" t="s">
        <v>80</v>
      </c>
      <c r="M15" s="277"/>
      <c r="N15" s="278">
        <v>100</v>
      </c>
      <c r="O15" s="275">
        <v>200</v>
      </c>
    </row>
    <row r="16" customHeight="1" spans="1:15">
      <c r="A16" s="114">
        <v>13</v>
      </c>
      <c r="B16" s="114" t="s">
        <v>81</v>
      </c>
      <c r="C16" s="114" t="s">
        <v>82</v>
      </c>
      <c r="D16" s="114">
        <v>11011</v>
      </c>
      <c r="E16" s="114">
        <v>1</v>
      </c>
      <c r="F16" s="114">
        <v>101</v>
      </c>
      <c r="G16" s="114">
        <v>100</v>
      </c>
      <c r="H16" s="114">
        <v>100</v>
      </c>
      <c r="I16" s="114">
        <v>100</v>
      </c>
      <c r="J16" s="114">
        <v>0</v>
      </c>
      <c r="K16" s="269">
        <v>102</v>
      </c>
      <c r="L16" s="270" t="s">
        <v>82</v>
      </c>
      <c r="M16" s="277"/>
      <c r="N16" s="278">
        <v>100</v>
      </c>
      <c r="O16" s="275">
        <v>200</v>
      </c>
    </row>
    <row r="17" customHeight="1" spans="1:15">
      <c r="A17" s="114">
        <v>14</v>
      </c>
      <c r="B17" s="114" t="s">
        <v>83</v>
      </c>
      <c r="C17" s="114" t="s">
        <v>84</v>
      </c>
      <c r="D17" s="114">
        <v>11012</v>
      </c>
      <c r="E17" s="114">
        <v>1</v>
      </c>
      <c r="F17" s="114">
        <v>101</v>
      </c>
      <c r="G17" s="114">
        <v>120</v>
      </c>
      <c r="H17" s="114">
        <v>120</v>
      </c>
      <c r="I17" s="114">
        <v>120</v>
      </c>
      <c r="J17" s="114">
        <v>0</v>
      </c>
      <c r="K17" s="269">
        <v>123</v>
      </c>
      <c r="L17" s="270" t="s">
        <v>84</v>
      </c>
      <c r="M17" s="277"/>
      <c r="N17" s="278">
        <v>100</v>
      </c>
      <c r="O17" s="275">
        <v>300</v>
      </c>
    </row>
    <row r="18" customHeight="1" spans="1:15">
      <c r="A18" s="114">
        <v>15</v>
      </c>
      <c r="B18" s="114" t="s">
        <v>85</v>
      </c>
      <c r="C18" s="114" t="s">
        <v>86</v>
      </c>
      <c r="D18" s="114">
        <v>11013</v>
      </c>
      <c r="E18" s="114">
        <v>1</v>
      </c>
      <c r="F18" s="114">
        <v>101</v>
      </c>
      <c r="G18" s="114">
        <v>140</v>
      </c>
      <c r="H18" s="114">
        <v>140</v>
      </c>
      <c r="I18" s="114">
        <v>140</v>
      </c>
      <c r="J18" s="114">
        <v>0</v>
      </c>
      <c r="K18" s="269">
        <v>143</v>
      </c>
      <c r="L18" s="270" t="s">
        <v>86</v>
      </c>
      <c r="M18" s="277"/>
      <c r="N18" s="278">
        <v>100</v>
      </c>
      <c r="O18" s="275">
        <v>300</v>
      </c>
    </row>
    <row r="19" customHeight="1" spans="1:15">
      <c r="A19" s="114">
        <v>16</v>
      </c>
      <c r="B19" s="114" t="s">
        <v>87</v>
      </c>
      <c r="C19" s="114" t="s">
        <v>88</v>
      </c>
      <c r="D19" s="114">
        <v>11014</v>
      </c>
      <c r="E19" s="114">
        <v>1</v>
      </c>
      <c r="F19" s="114">
        <v>101</v>
      </c>
      <c r="G19" s="114">
        <v>160</v>
      </c>
      <c r="H19" s="114">
        <v>160</v>
      </c>
      <c r="I19" s="114">
        <v>160</v>
      </c>
      <c r="J19" s="114">
        <v>0</v>
      </c>
      <c r="K19" s="269">
        <v>164</v>
      </c>
      <c r="L19" s="270" t="s">
        <v>88</v>
      </c>
      <c r="M19" s="277"/>
      <c r="N19" s="278">
        <v>100</v>
      </c>
      <c r="O19" s="275">
        <v>400</v>
      </c>
    </row>
    <row r="20" customHeight="1" spans="1:15">
      <c r="A20" s="114">
        <v>17</v>
      </c>
      <c r="B20" s="114" t="s">
        <v>89</v>
      </c>
      <c r="C20" s="114" t="s">
        <v>90</v>
      </c>
      <c r="D20" s="114">
        <v>11087</v>
      </c>
      <c r="E20" s="114">
        <v>1</v>
      </c>
      <c r="F20" s="114">
        <v>101</v>
      </c>
      <c r="G20" s="114">
        <v>180</v>
      </c>
      <c r="H20" s="114">
        <v>180</v>
      </c>
      <c r="I20" s="114">
        <v>180</v>
      </c>
      <c r="J20" s="114">
        <v>0</v>
      </c>
      <c r="K20" s="269">
        <v>184</v>
      </c>
      <c r="L20" s="270" t="s">
        <v>90</v>
      </c>
      <c r="M20" s="277"/>
      <c r="N20" s="278">
        <v>100</v>
      </c>
      <c r="O20" s="275">
        <v>400</v>
      </c>
    </row>
    <row r="21" customHeight="1" spans="1:15">
      <c r="A21" s="114">
        <v>18</v>
      </c>
      <c r="B21" s="114" t="s">
        <v>91</v>
      </c>
      <c r="C21" s="114" t="s">
        <v>92</v>
      </c>
      <c r="D21" s="114">
        <v>11015</v>
      </c>
      <c r="E21" s="114">
        <v>1</v>
      </c>
      <c r="F21" s="114">
        <v>101</v>
      </c>
      <c r="G21" s="114">
        <v>200</v>
      </c>
      <c r="H21" s="114">
        <v>200</v>
      </c>
      <c r="I21" s="114">
        <v>200</v>
      </c>
      <c r="J21" s="114">
        <v>0</v>
      </c>
      <c r="K21" s="269">
        <v>205</v>
      </c>
      <c r="L21" s="270" t="s">
        <v>92</v>
      </c>
      <c r="M21" s="277"/>
      <c r="N21" s="278">
        <v>100</v>
      </c>
      <c r="O21" s="275">
        <v>500</v>
      </c>
    </row>
    <row r="22" customHeight="1" spans="1:15">
      <c r="A22" s="114">
        <v>19</v>
      </c>
      <c r="B22" s="114" t="s">
        <v>93</v>
      </c>
      <c r="C22" s="114" t="s">
        <v>94</v>
      </c>
      <c r="D22" s="114">
        <v>11016</v>
      </c>
      <c r="E22" s="114">
        <v>1</v>
      </c>
      <c r="F22" s="114">
        <v>101</v>
      </c>
      <c r="G22" s="114">
        <v>240</v>
      </c>
      <c r="H22" s="114">
        <v>240</v>
      </c>
      <c r="I22" s="114">
        <v>240</v>
      </c>
      <c r="J22" s="114">
        <v>0</v>
      </c>
      <c r="K22" s="269">
        <v>246</v>
      </c>
      <c r="L22" s="270" t="s">
        <v>94</v>
      </c>
      <c r="M22" s="277"/>
      <c r="N22" s="278">
        <v>100</v>
      </c>
      <c r="O22" s="275">
        <v>600</v>
      </c>
    </row>
    <row r="23" customHeight="1" spans="1:15">
      <c r="A23" s="114">
        <v>20</v>
      </c>
      <c r="B23" s="114" t="s">
        <v>95</v>
      </c>
      <c r="C23" s="114" t="s">
        <v>96</v>
      </c>
      <c r="D23" s="114">
        <v>11017</v>
      </c>
      <c r="E23" s="114">
        <v>1</v>
      </c>
      <c r="F23" s="114">
        <v>101</v>
      </c>
      <c r="G23" s="114">
        <v>280</v>
      </c>
      <c r="H23" s="114">
        <v>280</v>
      </c>
      <c r="I23" s="114">
        <v>280</v>
      </c>
      <c r="J23" s="114">
        <v>0</v>
      </c>
      <c r="K23" s="269">
        <v>287</v>
      </c>
      <c r="L23" s="270" t="s">
        <v>96</v>
      </c>
      <c r="M23" s="277"/>
      <c r="N23" s="278">
        <v>100</v>
      </c>
      <c r="O23" s="275">
        <v>700</v>
      </c>
    </row>
    <row r="24" customHeight="1" spans="1:15">
      <c r="A24" s="114">
        <v>21</v>
      </c>
      <c r="B24" s="114" t="s">
        <v>97</v>
      </c>
      <c r="C24" s="114" t="s">
        <v>98</v>
      </c>
      <c r="D24" s="114">
        <v>11088</v>
      </c>
      <c r="E24" s="114">
        <v>1</v>
      </c>
      <c r="F24" s="114">
        <v>101</v>
      </c>
      <c r="G24" s="114">
        <v>320</v>
      </c>
      <c r="H24" s="114">
        <v>320</v>
      </c>
      <c r="I24" s="114">
        <v>320</v>
      </c>
      <c r="J24" s="114">
        <v>0</v>
      </c>
      <c r="K24" s="269">
        <v>328</v>
      </c>
      <c r="L24" s="270" t="s">
        <v>98</v>
      </c>
      <c r="M24" s="277"/>
      <c r="N24" s="278">
        <v>100</v>
      </c>
      <c r="O24" s="275">
        <v>800</v>
      </c>
    </row>
    <row r="25" customHeight="1" spans="1:15">
      <c r="A25" s="114">
        <v>22</v>
      </c>
      <c r="B25" s="114" t="s">
        <v>99</v>
      </c>
      <c r="C25" s="268" t="s">
        <v>100</v>
      </c>
      <c r="D25" s="114">
        <v>11019</v>
      </c>
      <c r="E25" s="114">
        <v>1</v>
      </c>
      <c r="F25" s="114">
        <v>101</v>
      </c>
      <c r="G25" s="114">
        <v>360</v>
      </c>
      <c r="H25" s="114">
        <v>360</v>
      </c>
      <c r="I25" s="114">
        <v>360</v>
      </c>
      <c r="J25" s="114">
        <v>0</v>
      </c>
      <c r="K25" s="269">
        <v>369</v>
      </c>
      <c r="L25" s="272" t="s">
        <v>100</v>
      </c>
      <c r="M25" s="277"/>
      <c r="N25" s="278">
        <v>100</v>
      </c>
      <c r="O25" s="275">
        <v>900</v>
      </c>
    </row>
    <row r="26" customHeight="1" spans="1:15">
      <c r="A26" s="114">
        <v>23</v>
      </c>
      <c r="B26" s="114" t="s">
        <v>101</v>
      </c>
      <c r="C26" s="114" t="s">
        <v>102</v>
      </c>
      <c r="D26" s="114">
        <v>11018</v>
      </c>
      <c r="E26" s="114">
        <v>1</v>
      </c>
      <c r="F26" s="114">
        <v>101</v>
      </c>
      <c r="G26" s="114">
        <v>400</v>
      </c>
      <c r="H26" s="114">
        <v>400</v>
      </c>
      <c r="I26" s="114">
        <v>400</v>
      </c>
      <c r="J26" s="114">
        <v>0</v>
      </c>
      <c r="K26" s="269">
        <v>410</v>
      </c>
      <c r="L26" s="270" t="s">
        <v>102</v>
      </c>
      <c r="M26" s="277"/>
      <c r="N26" s="278">
        <v>100</v>
      </c>
      <c r="O26" s="275">
        <v>1000</v>
      </c>
    </row>
    <row r="27" customHeight="1" spans="1:15">
      <c r="A27" s="114">
        <v>24</v>
      </c>
      <c r="B27" s="114" t="s">
        <v>103</v>
      </c>
      <c r="C27" s="114" t="s">
        <v>104</v>
      </c>
      <c r="D27" s="114">
        <v>11092</v>
      </c>
      <c r="E27" s="114">
        <v>1</v>
      </c>
      <c r="F27" s="114">
        <v>101</v>
      </c>
      <c r="G27" s="114">
        <v>450</v>
      </c>
      <c r="H27" s="114">
        <v>450</v>
      </c>
      <c r="I27" s="114">
        <v>450</v>
      </c>
      <c r="J27" s="114">
        <v>0</v>
      </c>
      <c r="K27" s="269">
        <v>461</v>
      </c>
      <c r="L27" s="270" t="s">
        <v>104</v>
      </c>
      <c r="M27" s="277"/>
      <c r="N27" s="278">
        <v>100</v>
      </c>
      <c r="O27" s="275">
        <v>1100</v>
      </c>
    </row>
    <row r="28" customHeight="1" spans="1:15">
      <c r="A28" s="114">
        <v>25</v>
      </c>
      <c r="B28" s="114" t="s">
        <v>105</v>
      </c>
      <c r="C28" s="114" t="s">
        <v>106</v>
      </c>
      <c r="D28" s="114">
        <v>11020</v>
      </c>
      <c r="E28" s="114">
        <v>1</v>
      </c>
      <c r="F28" s="114">
        <v>101</v>
      </c>
      <c r="G28" s="114">
        <v>500</v>
      </c>
      <c r="H28" s="114">
        <v>500</v>
      </c>
      <c r="I28" s="114">
        <v>500</v>
      </c>
      <c r="J28" s="114">
        <v>0</v>
      </c>
      <c r="K28" s="269">
        <v>512</v>
      </c>
      <c r="L28" s="270" t="s">
        <v>106</v>
      </c>
      <c r="M28" s="277"/>
      <c r="N28" s="278">
        <v>100</v>
      </c>
      <c r="O28" s="275">
        <v>1200</v>
      </c>
    </row>
    <row r="29" customHeight="1" spans="1:15">
      <c r="A29" s="114">
        <v>26</v>
      </c>
      <c r="B29" s="114" t="s">
        <v>107</v>
      </c>
      <c r="C29" s="268" t="s">
        <v>108</v>
      </c>
      <c r="D29" s="114">
        <v>11089</v>
      </c>
      <c r="E29" s="114">
        <v>1</v>
      </c>
      <c r="F29" s="114">
        <v>101</v>
      </c>
      <c r="G29" s="114">
        <v>550</v>
      </c>
      <c r="H29" s="114">
        <v>550</v>
      </c>
      <c r="I29" s="114">
        <v>550</v>
      </c>
      <c r="J29" s="114">
        <v>0</v>
      </c>
      <c r="K29" s="269">
        <v>563</v>
      </c>
      <c r="L29" s="272" t="s">
        <v>108</v>
      </c>
      <c r="M29" s="277"/>
      <c r="N29" s="278">
        <v>100</v>
      </c>
      <c r="O29" s="275">
        <v>1300</v>
      </c>
    </row>
    <row r="30" customHeight="1" spans="1:15">
      <c r="A30" s="114">
        <v>27</v>
      </c>
      <c r="B30" s="114" t="s">
        <v>109</v>
      </c>
      <c r="C30" s="114" t="s">
        <v>110</v>
      </c>
      <c r="D30" s="114">
        <v>11021</v>
      </c>
      <c r="E30" s="114">
        <v>1</v>
      </c>
      <c r="F30" s="114">
        <v>101</v>
      </c>
      <c r="G30" s="114">
        <v>600</v>
      </c>
      <c r="H30" s="114">
        <v>600</v>
      </c>
      <c r="I30" s="114">
        <v>600</v>
      </c>
      <c r="J30" s="114">
        <v>0</v>
      </c>
      <c r="K30" s="269">
        <v>615</v>
      </c>
      <c r="L30" s="270" t="s">
        <v>110</v>
      </c>
      <c r="M30" s="277"/>
      <c r="N30" s="278">
        <v>100</v>
      </c>
      <c r="O30" s="275">
        <v>1500</v>
      </c>
    </row>
    <row r="31" customHeight="1" spans="1:15">
      <c r="A31" s="114">
        <v>28</v>
      </c>
      <c r="B31" s="114" t="s">
        <v>111</v>
      </c>
      <c r="C31" s="268" t="s">
        <v>112</v>
      </c>
      <c r="D31" s="114">
        <v>11022</v>
      </c>
      <c r="E31" s="114">
        <v>1</v>
      </c>
      <c r="F31" s="114">
        <v>101</v>
      </c>
      <c r="G31" s="114">
        <v>650</v>
      </c>
      <c r="H31" s="114">
        <v>650</v>
      </c>
      <c r="I31" s="114">
        <v>650</v>
      </c>
      <c r="J31" s="114">
        <v>0</v>
      </c>
      <c r="K31" s="269">
        <v>666</v>
      </c>
      <c r="L31" s="272" t="s">
        <v>112</v>
      </c>
      <c r="M31" s="277"/>
      <c r="N31" s="278">
        <v>100</v>
      </c>
      <c r="O31" s="275">
        <v>1600</v>
      </c>
    </row>
    <row r="32" customHeight="1" spans="1:15">
      <c r="A32" s="114">
        <v>29</v>
      </c>
      <c r="B32" s="114" t="s">
        <v>113</v>
      </c>
      <c r="C32" s="114" t="s">
        <v>114</v>
      </c>
      <c r="D32" s="114">
        <v>11023</v>
      </c>
      <c r="E32" s="114">
        <v>1</v>
      </c>
      <c r="F32" s="114">
        <v>101</v>
      </c>
      <c r="G32" s="114">
        <v>700</v>
      </c>
      <c r="H32" s="114">
        <v>700</v>
      </c>
      <c r="I32" s="114">
        <v>700</v>
      </c>
      <c r="J32" s="114">
        <v>0</v>
      </c>
      <c r="K32" s="269">
        <v>717</v>
      </c>
      <c r="L32" s="270" t="s">
        <v>114</v>
      </c>
      <c r="M32" s="277"/>
      <c r="N32" s="278">
        <v>100</v>
      </c>
      <c r="O32" s="275">
        <v>1700</v>
      </c>
    </row>
    <row r="33" customHeight="1" spans="1:15">
      <c r="A33" s="114">
        <v>30</v>
      </c>
      <c r="B33" s="114" t="s">
        <v>115</v>
      </c>
      <c r="C33" s="114" t="s">
        <v>116</v>
      </c>
      <c r="D33" s="114">
        <v>11091</v>
      </c>
      <c r="E33" s="114">
        <v>1</v>
      </c>
      <c r="F33" s="114">
        <v>101</v>
      </c>
      <c r="G33" s="114">
        <v>800</v>
      </c>
      <c r="H33" s="114">
        <v>800</v>
      </c>
      <c r="I33" s="114">
        <v>800</v>
      </c>
      <c r="J33" s="114">
        <v>0</v>
      </c>
      <c r="K33" s="269">
        <v>820</v>
      </c>
      <c r="L33" s="270" t="s">
        <v>116</v>
      </c>
      <c r="M33" s="277"/>
      <c r="N33" s="278">
        <v>100</v>
      </c>
      <c r="O33" s="275">
        <v>2000</v>
      </c>
    </row>
    <row r="34" customHeight="1" spans="1:15">
      <c r="A34" s="114">
        <v>31</v>
      </c>
      <c r="B34" s="114" t="s">
        <v>117</v>
      </c>
      <c r="C34" s="114" t="s">
        <v>118</v>
      </c>
      <c r="D34" s="114">
        <v>11024</v>
      </c>
      <c r="E34" s="114">
        <v>1</v>
      </c>
      <c r="F34" s="114">
        <v>101</v>
      </c>
      <c r="G34" s="114">
        <v>1000</v>
      </c>
      <c r="H34" s="114">
        <v>1000</v>
      </c>
      <c r="I34" s="114">
        <v>1000</v>
      </c>
      <c r="J34" s="114">
        <v>0</v>
      </c>
      <c r="K34" s="269">
        <v>1025</v>
      </c>
      <c r="L34" s="270" t="s">
        <v>118</v>
      </c>
      <c r="M34" s="277"/>
      <c r="N34" s="278">
        <v>100</v>
      </c>
      <c r="O34" s="275">
        <v>2500</v>
      </c>
    </row>
    <row r="35" customHeight="1" spans="1:15">
      <c r="A35" s="114">
        <v>32</v>
      </c>
      <c r="B35" s="114" t="s">
        <v>119</v>
      </c>
      <c r="C35" s="114" t="s">
        <v>120</v>
      </c>
      <c r="D35" s="114">
        <v>11090</v>
      </c>
      <c r="E35" s="114">
        <v>1</v>
      </c>
      <c r="F35" s="114">
        <v>101</v>
      </c>
      <c r="G35" s="114">
        <v>900</v>
      </c>
      <c r="H35" s="114">
        <v>900</v>
      </c>
      <c r="I35" s="114">
        <v>900</v>
      </c>
      <c r="J35" s="114">
        <v>0</v>
      </c>
      <c r="K35" s="269">
        <v>922</v>
      </c>
      <c r="L35" s="270" t="s">
        <v>120</v>
      </c>
      <c r="M35" s="277"/>
      <c r="N35" s="278">
        <v>100</v>
      </c>
      <c r="O35" s="275">
        <v>2200</v>
      </c>
    </row>
    <row r="36" customHeight="1" spans="1:15">
      <c r="A36" s="114">
        <v>33</v>
      </c>
      <c r="B36" s="114" t="s">
        <v>121</v>
      </c>
      <c r="C36" s="114" t="s">
        <v>122</v>
      </c>
      <c r="D36" s="114">
        <v>11025</v>
      </c>
      <c r="E36" s="114">
        <v>1</v>
      </c>
      <c r="F36" s="114">
        <v>101</v>
      </c>
      <c r="G36" s="114">
        <v>1200</v>
      </c>
      <c r="H36" s="114">
        <v>1200</v>
      </c>
      <c r="I36" s="114">
        <v>1200</v>
      </c>
      <c r="J36" s="114">
        <v>0</v>
      </c>
      <c r="K36" s="269">
        <v>1230</v>
      </c>
      <c r="L36" s="270" t="s">
        <v>122</v>
      </c>
      <c r="M36" s="277"/>
      <c r="N36" s="278">
        <v>100</v>
      </c>
      <c r="O36" s="275">
        <v>3000</v>
      </c>
    </row>
    <row r="37" customHeight="1" spans="1:15">
      <c r="A37" s="114">
        <v>34</v>
      </c>
      <c r="B37" s="114" t="s">
        <v>123</v>
      </c>
      <c r="C37" s="114" t="s">
        <v>124</v>
      </c>
      <c r="D37" s="114">
        <v>11026</v>
      </c>
      <c r="E37" s="114">
        <v>1</v>
      </c>
      <c r="F37" s="114">
        <v>101</v>
      </c>
      <c r="G37" s="114">
        <v>1600</v>
      </c>
      <c r="H37" s="114">
        <v>1600</v>
      </c>
      <c r="I37" s="114">
        <v>1600</v>
      </c>
      <c r="J37" s="114">
        <v>0</v>
      </c>
      <c r="K37" s="269">
        <v>1640</v>
      </c>
      <c r="L37" s="270" t="s">
        <v>124</v>
      </c>
      <c r="M37" s="277"/>
      <c r="N37" s="278">
        <v>100</v>
      </c>
      <c r="O37" s="275">
        <v>4000</v>
      </c>
    </row>
    <row r="38" customHeight="1" spans="1:15">
      <c r="A38" s="114">
        <v>35</v>
      </c>
      <c r="B38" s="114" t="s">
        <v>125</v>
      </c>
      <c r="C38" s="114" t="s">
        <v>126</v>
      </c>
      <c r="D38" s="114">
        <v>11093</v>
      </c>
      <c r="E38" s="114">
        <v>1</v>
      </c>
      <c r="F38" s="114">
        <v>101</v>
      </c>
      <c r="G38" s="114">
        <v>55</v>
      </c>
      <c r="H38" s="114">
        <v>55</v>
      </c>
      <c r="I38" s="114">
        <v>55</v>
      </c>
      <c r="J38" s="114">
        <v>0</v>
      </c>
      <c r="K38" s="269">
        <f t="shared" ref="K38:K53" si="0">H38</f>
        <v>55</v>
      </c>
      <c r="L38" s="270" t="s">
        <v>126</v>
      </c>
      <c r="M38" s="277"/>
      <c r="N38" s="278">
        <v>0</v>
      </c>
      <c r="O38" s="275">
        <v>0</v>
      </c>
    </row>
    <row r="39" customHeight="1" spans="1:15">
      <c r="A39" s="114">
        <v>36</v>
      </c>
      <c r="B39" s="114" t="s">
        <v>127</v>
      </c>
      <c r="C39" s="114" t="s">
        <v>128</v>
      </c>
      <c r="D39" s="114">
        <v>11094</v>
      </c>
      <c r="E39" s="114">
        <v>1</v>
      </c>
      <c r="F39" s="114">
        <v>101</v>
      </c>
      <c r="G39" s="114">
        <v>80</v>
      </c>
      <c r="H39" s="114">
        <v>80</v>
      </c>
      <c r="I39" s="114">
        <v>80</v>
      </c>
      <c r="J39" s="114">
        <v>0</v>
      </c>
      <c r="K39" s="269">
        <f t="shared" si="0"/>
        <v>80</v>
      </c>
      <c r="L39" s="270" t="s">
        <v>128</v>
      </c>
      <c r="M39" s="277"/>
      <c r="N39" s="278">
        <v>0</v>
      </c>
      <c r="O39" s="275">
        <v>0</v>
      </c>
    </row>
    <row r="40" customHeight="1" spans="1:15">
      <c r="A40" s="114">
        <v>37</v>
      </c>
      <c r="B40" s="114" t="s">
        <v>129</v>
      </c>
      <c r="C40" s="114" t="s">
        <v>130</v>
      </c>
      <c r="D40" s="114">
        <v>11095</v>
      </c>
      <c r="E40" s="114">
        <v>1</v>
      </c>
      <c r="F40" s="114">
        <v>101</v>
      </c>
      <c r="G40" s="114">
        <v>220</v>
      </c>
      <c r="H40" s="114">
        <v>220</v>
      </c>
      <c r="I40" s="114">
        <v>220</v>
      </c>
      <c r="J40" s="114">
        <v>0</v>
      </c>
      <c r="K40" s="269">
        <f t="shared" si="0"/>
        <v>220</v>
      </c>
      <c r="L40" s="270" t="s">
        <v>130</v>
      </c>
      <c r="M40" s="277"/>
      <c r="N40" s="278">
        <v>0</v>
      </c>
      <c r="O40" s="275">
        <v>0</v>
      </c>
    </row>
    <row r="41" customHeight="1" spans="1:15">
      <c r="A41" s="114">
        <v>38</v>
      </c>
      <c r="B41" s="114" t="s">
        <v>131</v>
      </c>
      <c r="C41" s="114" t="s">
        <v>132</v>
      </c>
      <c r="D41" s="114">
        <v>11096</v>
      </c>
      <c r="E41" s="114">
        <v>1</v>
      </c>
      <c r="F41" s="114">
        <v>101</v>
      </c>
      <c r="G41" s="114">
        <v>350</v>
      </c>
      <c r="H41" s="114">
        <v>350</v>
      </c>
      <c r="I41" s="114">
        <v>350</v>
      </c>
      <c r="J41" s="114">
        <v>0</v>
      </c>
      <c r="K41" s="269">
        <f t="shared" si="0"/>
        <v>350</v>
      </c>
      <c r="L41" s="270" t="s">
        <v>132</v>
      </c>
      <c r="M41" s="277"/>
      <c r="N41" s="278">
        <v>0</v>
      </c>
      <c r="O41" s="275">
        <v>0</v>
      </c>
    </row>
    <row r="42" customHeight="1" spans="1:15">
      <c r="A42" s="114">
        <v>39</v>
      </c>
      <c r="B42" s="114" t="s">
        <v>133</v>
      </c>
      <c r="C42" s="268" t="s">
        <v>134</v>
      </c>
      <c r="D42" s="114">
        <v>11097</v>
      </c>
      <c r="E42" s="114">
        <v>1</v>
      </c>
      <c r="F42" s="114">
        <v>101</v>
      </c>
      <c r="G42" s="114">
        <v>550</v>
      </c>
      <c r="H42" s="114">
        <v>550</v>
      </c>
      <c r="I42" s="114">
        <v>550</v>
      </c>
      <c r="J42" s="114">
        <v>0</v>
      </c>
      <c r="K42" s="269">
        <f t="shared" si="0"/>
        <v>550</v>
      </c>
      <c r="L42" s="272" t="s">
        <v>134</v>
      </c>
      <c r="M42" s="277"/>
      <c r="N42" s="278">
        <v>0</v>
      </c>
      <c r="O42" s="275">
        <v>0</v>
      </c>
    </row>
    <row r="43" customHeight="1" spans="1:15">
      <c r="A43" s="114">
        <v>40</v>
      </c>
      <c r="B43" s="114" t="s">
        <v>135</v>
      </c>
      <c r="C43" s="114" t="s">
        <v>136</v>
      </c>
      <c r="D43" s="114">
        <v>11098</v>
      </c>
      <c r="E43" s="114">
        <v>1</v>
      </c>
      <c r="F43" s="114">
        <v>101</v>
      </c>
      <c r="G43" s="114">
        <v>900</v>
      </c>
      <c r="H43" s="114">
        <v>900</v>
      </c>
      <c r="I43" s="114">
        <v>900</v>
      </c>
      <c r="J43" s="114">
        <v>0</v>
      </c>
      <c r="K43" s="269">
        <f t="shared" si="0"/>
        <v>900</v>
      </c>
      <c r="L43" s="270" t="s">
        <v>136</v>
      </c>
      <c r="M43" s="277"/>
      <c r="N43" s="278">
        <v>0</v>
      </c>
      <c r="O43" s="275">
        <v>0</v>
      </c>
    </row>
    <row r="44" customHeight="1" spans="1:15">
      <c r="A44" s="114">
        <v>41</v>
      </c>
      <c r="B44" s="114" t="s">
        <v>137</v>
      </c>
      <c r="C44" s="114" t="s">
        <v>138</v>
      </c>
      <c r="D44" s="114">
        <v>11099</v>
      </c>
      <c r="E44" s="114">
        <v>1</v>
      </c>
      <c r="F44" s="114">
        <v>101</v>
      </c>
      <c r="G44" s="114">
        <v>800</v>
      </c>
      <c r="H44" s="114">
        <v>800</v>
      </c>
      <c r="I44" s="114">
        <v>800</v>
      </c>
      <c r="J44" s="114">
        <v>0</v>
      </c>
      <c r="K44" s="269">
        <f t="shared" si="0"/>
        <v>800</v>
      </c>
      <c r="L44" s="270" t="s">
        <v>138</v>
      </c>
      <c r="M44" s="277"/>
      <c r="N44" s="278">
        <v>0</v>
      </c>
      <c r="O44" s="275">
        <v>0</v>
      </c>
    </row>
    <row r="45" customHeight="1" spans="1:15">
      <c r="A45" s="114">
        <v>42</v>
      </c>
      <c r="B45" s="114" t="s">
        <v>139</v>
      </c>
      <c r="C45" s="114" t="s">
        <v>140</v>
      </c>
      <c r="D45" s="114">
        <v>12027</v>
      </c>
      <c r="E45" s="114">
        <v>2</v>
      </c>
      <c r="F45" s="114">
        <v>101</v>
      </c>
      <c r="G45" s="114">
        <v>1600</v>
      </c>
      <c r="H45" s="114">
        <v>1600</v>
      </c>
      <c r="I45" s="114">
        <v>1600</v>
      </c>
      <c r="J45" s="114">
        <v>1600</v>
      </c>
      <c r="K45" s="269">
        <f t="shared" si="0"/>
        <v>1600</v>
      </c>
      <c r="L45" s="270" t="s">
        <v>140</v>
      </c>
      <c r="M45" s="277"/>
      <c r="N45" s="278">
        <v>0</v>
      </c>
      <c r="O45" s="275">
        <v>0</v>
      </c>
    </row>
    <row r="46" customHeight="1" spans="1:15">
      <c r="A46" s="114">
        <v>43</v>
      </c>
      <c r="B46" s="114" t="s">
        <v>141</v>
      </c>
      <c r="C46" s="114" t="s">
        <v>142</v>
      </c>
      <c r="D46" s="114">
        <v>12028</v>
      </c>
      <c r="E46" s="114">
        <v>2</v>
      </c>
      <c r="F46" s="114">
        <v>101</v>
      </c>
      <c r="G46" s="114">
        <v>2500</v>
      </c>
      <c r="H46" s="114">
        <v>2500</v>
      </c>
      <c r="I46" s="114">
        <v>2500</v>
      </c>
      <c r="J46" s="114">
        <v>2500</v>
      </c>
      <c r="K46" s="269">
        <f t="shared" si="0"/>
        <v>2500</v>
      </c>
      <c r="L46" s="270" t="s">
        <v>142</v>
      </c>
      <c r="M46" s="277"/>
      <c r="N46" s="278">
        <v>0</v>
      </c>
      <c r="O46" s="275">
        <v>0</v>
      </c>
    </row>
    <row r="47" customHeight="1" spans="1:15">
      <c r="A47" s="114">
        <v>44</v>
      </c>
      <c r="B47" s="114" t="s">
        <v>143</v>
      </c>
      <c r="C47" s="114" t="s">
        <v>144</v>
      </c>
      <c r="D47" s="114">
        <v>12029</v>
      </c>
      <c r="E47" s="114">
        <v>2</v>
      </c>
      <c r="F47" s="114">
        <v>101</v>
      </c>
      <c r="G47" s="114">
        <v>3000</v>
      </c>
      <c r="H47" s="114">
        <v>3000</v>
      </c>
      <c r="I47" s="114">
        <v>3000</v>
      </c>
      <c r="J47" s="114">
        <v>3000</v>
      </c>
      <c r="K47" s="269">
        <f t="shared" si="0"/>
        <v>3000</v>
      </c>
      <c r="L47" s="270" t="s">
        <v>144</v>
      </c>
      <c r="M47" s="277"/>
      <c r="N47" s="278">
        <v>0</v>
      </c>
      <c r="O47" s="275">
        <v>0</v>
      </c>
    </row>
    <row r="48" customHeight="1" spans="1:15">
      <c r="A48" s="114">
        <v>45</v>
      </c>
      <c r="B48" s="114" t="s">
        <v>145</v>
      </c>
      <c r="C48" s="114" t="s">
        <v>146</v>
      </c>
      <c r="D48" s="114">
        <v>12030</v>
      </c>
      <c r="E48" s="114">
        <v>2</v>
      </c>
      <c r="F48" s="114">
        <v>101</v>
      </c>
      <c r="G48" s="114">
        <v>4000</v>
      </c>
      <c r="H48" s="114">
        <v>4000</v>
      </c>
      <c r="I48" s="114">
        <v>4000</v>
      </c>
      <c r="J48" s="114">
        <v>4000</v>
      </c>
      <c r="K48" s="269">
        <f t="shared" si="0"/>
        <v>4000</v>
      </c>
      <c r="L48" s="270" t="s">
        <v>146</v>
      </c>
      <c r="M48" s="277"/>
      <c r="N48" s="278">
        <v>0</v>
      </c>
      <c r="O48" s="275">
        <v>0</v>
      </c>
    </row>
    <row r="49" customHeight="1" spans="1:15">
      <c r="A49" s="114">
        <v>46</v>
      </c>
      <c r="B49" s="114" t="s">
        <v>147</v>
      </c>
      <c r="C49" s="114" t="s">
        <v>148</v>
      </c>
      <c r="D49" s="114">
        <v>12032</v>
      </c>
      <c r="E49" s="114">
        <v>2</v>
      </c>
      <c r="F49" s="114">
        <v>101</v>
      </c>
      <c r="G49" s="114">
        <v>5000</v>
      </c>
      <c r="H49" s="114">
        <v>5000</v>
      </c>
      <c r="I49" s="114">
        <v>5000</v>
      </c>
      <c r="J49" s="114">
        <v>5000</v>
      </c>
      <c r="K49" s="269">
        <f t="shared" si="0"/>
        <v>5000</v>
      </c>
      <c r="L49" s="270" t="s">
        <v>148</v>
      </c>
      <c r="M49" s="277"/>
      <c r="N49" s="278">
        <v>0</v>
      </c>
      <c r="O49" s="275">
        <v>0</v>
      </c>
    </row>
    <row r="50" customHeight="1" spans="1:15">
      <c r="A50" s="114">
        <v>47</v>
      </c>
      <c r="B50" s="114" t="s">
        <v>149</v>
      </c>
      <c r="C50" s="114" t="s">
        <v>150</v>
      </c>
      <c r="D50" s="114">
        <v>12031</v>
      </c>
      <c r="E50" s="114">
        <v>2</v>
      </c>
      <c r="F50" s="114">
        <v>101</v>
      </c>
      <c r="G50" s="114">
        <v>6000</v>
      </c>
      <c r="H50" s="114">
        <v>6000</v>
      </c>
      <c r="I50" s="114">
        <v>6000</v>
      </c>
      <c r="J50" s="114">
        <v>6000</v>
      </c>
      <c r="K50" s="269">
        <f t="shared" si="0"/>
        <v>6000</v>
      </c>
      <c r="L50" s="270" t="s">
        <v>150</v>
      </c>
      <c r="M50" s="277"/>
      <c r="N50" s="278">
        <v>0</v>
      </c>
      <c r="O50" s="275">
        <v>0</v>
      </c>
    </row>
    <row r="51" customHeight="1" spans="1:15">
      <c r="A51" s="114">
        <v>48</v>
      </c>
      <c r="B51" s="114" t="s">
        <v>143</v>
      </c>
      <c r="C51" s="114" t="s">
        <v>144</v>
      </c>
      <c r="D51" s="114">
        <v>13029</v>
      </c>
      <c r="E51" s="114">
        <v>2</v>
      </c>
      <c r="F51" s="114">
        <v>101</v>
      </c>
      <c r="G51" s="114">
        <v>6666</v>
      </c>
      <c r="H51" s="114">
        <v>6666</v>
      </c>
      <c r="I51" s="114">
        <v>6666</v>
      </c>
      <c r="J51" s="114">
        <v>6666</v>
      </c>
      <c r="K51" s="269">
        <f t="shared" si="0"/>
        <v>6666</v>
      </c>
      <c r="L51" s="270" t="s">
        <v>151</v>
      </c>
      <c r="M51" s="277"/>
      <c r="N51" s="278">
        <v>0</v>
      </c>
      <c r="O51" s="275">
        <v>0</v>
      </c>
    </row>
    <row r="52" customHeight="1" spans="1:15">
      <c r="A52" s="114">
        <v>49</v>
      </c>
      <c r="B52" s="114" t="s">
        <v>149</v>
      </c>
      <c r="C52" s="114" t="s">
        <v>150</v>
      </c>
      <c r="D52" s="114">
        <v>13031</v>
      </c>
      <c r="E52" s="114">
        <v>2</v>
      </c>
      <c r="F52" s="114">
        <v>101</v>
      </c>
      <c r="G52" s="114">
        <v>8888</v>
      </c>
      <c r="H52" s="114">
        <v>8888</v>
      </c>
      <c r="I52" s="114">
        <v>8888</v>
      </c>
      <c r="J52" s="114">
        <v>8888</v>
      </c>
      <c r="K52" s="269">
        <f t="shared" si="0"/>
        <v>8888</v>
      </c>
      <c r="L52" s="270" t="s">
        <v>152</v>
      </c>
      <c r="M52" s="277"/>
      <c r="N52" s="278">
        <v>0</v>
      </c>
      <c r="O52" s="275">
        <v>0</v>
      </c>
    </row>
    <row r="53" customHeight="1" spans="1:15">
      <c r="A53" s="114">
        <v>50</v>
      </c>
      <c r="B53" s="114" t="s">
        <v>147</v>
      </c>
      <c r="C53" s="114" t="s">
        <v>148</v>
      </c>
      <c r="D53" s="114">
        <v>13032</v>
      </c>
      <c r="E53" s="114">
        <v>2</v>
      </c>
      <c r="F53" s="114">
        <v>101</v>
      </c>
      <c r="G53" s="114">
        <v>9999</v>
      </c>
      <c r="H53" s="114">
        <v>9999</v>
      </c>
      <c r="I53" s="114">
        <v>9999</v>
      </c>
      <c r="J53" s="114">
        <v>9999</v>
      </c>
      <c r="K53" s="269">
        <f t="shared" si="0"/>
        <v>9999</v>
      </c>
      <c r="L53" s="270" t="s">
        <v>153</v>
      </c>
      <c r="M53" s="277"/>
      <c r="N53" s="278">
        <v>0</v>
      </c>
      <c r="O53" s="275">
        <v>0</v>
      </c>
    </row>
    <row r="54" customHeight="1" spans="1:15">
      <c r="A54" s="114">
        <v>51</v>
      </c>
      <c r="B54" s="114" t="s">
        <v>69</v>
      </c>
      <c r="C54" s="114" t="s">
        <v>70</v>
      </c>
      <c r="D54" s="114">
        <v>14007</v>
      </c>
      <c r="E54" s="114">
        <v>3</v>
      </c>
      <c r="F54" s="114">
        <v>101</v>
      </c>
      <c r="G54" s="114">
        <v>30</v>
      </c>
      <c r="H54" s="114">
        <f>G54*5</f>
        <v>150</v>
      </c>
      <c r="I54" s="114">
        <f>H54</f>
        <v>150</v>
      </c>
      <c r="J54" s="114">
        <v>0</v>
      </c>
      <c r="K54" s="269">
        <v>156</v>
      </c>
      <c r="L54" s="270" t="s">
        <v>154</v>
      </c>
      <c r="M54" s="277"/>
      <c r="N54" s="278">
        <v>50</v>
      </c>
      <c r="O54" s="275">
        <v>1000</v>
      </c>
    </row>
    <row r="55" customHeight="1" spans="1:15">
      <c r="A55" s="114">
        <v>52</v>
      </c>
      <c r="B55" s="114" t="s">
        <v>73</v>
      </c>
      <c r="C55" s="114" t="s">
        <v>74</v>
      </c>
      <c r="D55" s="114">
        <v>14009</v>
      </c>
      <c r="E55" s="114">
        <v>3</v>
      </c>
      <c r="F55" s="114">
        <v>101</v>
      </c>
      <c r="G55" s="114">
        <v>60</v>
      </c>
      <c r="H55" s="114">
        <f t="shared" ref="H55:H74" si="1">G55*5</f>
        <v>300</v>
      </c>
      <c r="I55" s="114">
        <f t="shared" ref="I55:I74" si="2">H55</f>
        <v>300</v>
      </c>
      <c r="J55" s="114">
        <v>0</v>
      </c>
      <c r="K55" s="269">
        <v>310</v>
      </c>
      <c r="L55" s="270" t="s">
        <v>155</v>
      </c>
      <c r="M55" s="277"/>
      <c r="N55" s="278">
        <v>90</v>
      </c>
      <c r="O55" s="275">
        <v>1000</v>
      </c>
    </row>
    <row r="56" customHeight="1" spans="1:15">
      <c r="A56" s="114">
        <v>53</v>
      </c>
      <c r="B56" s="114" t="s">
        <v>81</v>
      </c>
      <c r="C56" s="114" t="s">
        <v>82</v>
      </c>
      <c r="D56" s="114">
        <v>14011</v>
      </c>
      <c r="E56" s="114">
        <v>3</v>
      </c>
      <c r="F56" s="114">
        <v>101</v>
      </c>
      <c r="G56" s="114">
        <v>100</v>
      </c>
      <c r="H56" s="114">
        <f t="shared" si="1"/>
        <v>500</v>
      </c>
      <c r="I56" s="114">
        <f t="shared" si="2"/>
        <v>500</v>
      </c>
      <c r="J56" s="114">
        <v>0</v>
      </c>
      <c r="K56" s="269">
        <v>516</v>
      </c>
      <c r="L56" s="270" t="s">
        <v>156</v>
      </c>
      <c r="M56" s="277"/>
      <c r="N56" s="278">
        <v>150</v>
      </c>
      <c r="O56" s="275">
        <v>1000</v>
      </c>
    </row>
    <row r="57" customHeight="1" spans="1:15">
      <c r="A57" s="114">
        <v>54</v>
      </c>
      <c r="B57" s="114" t="s">
        <v>85</v>
      </c>
      <c r="C57" s="114" t="s">
        <v>86</v>
      </c>
      <c r="D57" s="114">
        <v>14013</v>
      </c>
      <c r="E57" s="114">
        <v>3</v>
      </c>
      <c r="F57" s="114">
        <v>101</v>
      </c>
      <c r="G57" s="114">
        <v>140</v>
      </c>
      <c r="H57" s="114">
        <f t="shared" si="1"/>
        <v>700</v>
      </c>
      <c r="I57" s="114">
        <f t="shared" si="2"/>
        <v>700</v>
      </c>
      <c r="J57" s="114">
        <v>0</v>
      </c>
      <c r="K57" s="269">
        <v>722</v>
      </c>
      <c r="L57" s="270" t="s">
        <v>157</v>
      </c>
      <c r="M57" s="277"/>
      <c r="N57" s="278">
        <v>210</v>
      </c>
      <c r="O57" s="275">
        <v>1000</v>
      </c>
    </row>
    <row r="58" customHeight="1" spans="1:15">
      <c r="A58" s="114">
        <v>55</v>
      </c>
      <c r="B58" s="114" t="s">
        <v>91</v>
      </c>
      <c r="C58" s="114" t="s">
        <v>92</v>
      </c>
      <c r="D58" s="114">
        <v>14015</v>
      </c>
      <c r="E58" s="114">
        <v>3</v>
      </c>
      <c r="F58" s="114">
        <v>101</v>
      </c>
      <c r="G58" s="114">
        <v>200</v>
      </c>
      <c r="H58" s="114">
        <f t="shared" si="1"/>
        <v>1000</v>
      </c>
      <c r="I58" s="114">
        <f t="shared" si="2"/>
        <v>1000</v>
      </c>
      <c r="J58" s="114">
        <v>0</v>
      </c>
      <c r="K58" s="269">
        <v>1031</v>
      </c>
      <c r="L58" s="270" t="s">
        <v>158</v>
      </c>
      <c r="M58" s="277"/>
      <c r="N58" s="278">
        <v>300</v>
      </c>
      <c r="O58" s="275">
        <v>1000</v>
      </c>
    </row>
    <row r="59" customHeight="1" spans="1:15">
      <c r="A59" s="114">
        <v>56</v>
      </c>
      <c r="B59" s="114" t="s">
        <v>93</v>
      </c>
      <c r="C59" s="114" t="s">
        <v>94</v>
      </c>
      <c r="D59" s="114">
        <v>14016</v>
      </c>
      <c r="E59" s="114">
        <v>3</v>
      </c>
      <c r="F59" s="114">
        <v>101</v>
      </c>
      <c r="G59" s="114">
        <v>240</v>
      </c>
      <c r="H59" s="114">
        <f t="shared" si="1"/>
        <v>1200</v>
      </c>
      <c r="I59" s="114">
        <f t="shared" si="2"/>
        <v>1200</v>
      </c>
      <c r="J59" s="114">
        <v>0</v>
      </c>
      <c r="K59" s="269">
        <v>1237</v>
      </c>
      <c r="L59" s="270" t="s">
        <v>159</v>
      </c>
      <c r="M59" s="277"/>
      <c r="N59" s="278">
        <v>180</v>
      </c>
      <c r="O59" s="275">
        <v>2000</v>
      </c>
    </row>
    <row r="60" customHeight="1" spans="1:15">
      <c r="A60" s="114">
        <v>57</v>
      </c>
      <c r="B60" s="114" t="s">
        <v>95</v>
      </c>
      <c r="C60" s="114" t="s">
        <v>96</v>
      </c>
      <c r="D60" s="114">
        <v>14017</v>
      </c>
      <c r="E60" s="114">
        <v>3</v>
      </c>
      <c r="F60" s="114">
        <v>101</v>
      </c>
      <c r="G60" s="114">
        <v>280</v>
      </c>
      <c r="H60" s="114">
        <f t="shared" si="1"/>
        <v>1400</v>
      </c>
      <c r="I60" s="114">
        <f t="shared" si="2"/>
        <v>1400</v>
      </c>
      <c r="J60" s="114">
        <v>0</v>
      </c>
      <c r="K60" s="269">
        <v>1443</v>
      </c>
      <c r="L60" s="270" t="s">
        <v>160</v>
      </c>
      <c r="M60" s="277"/>
      <c r="N60" s="278">
        <v>210</v>
      </c>
      <c r="O60" s="275">
        <v>2000</v>
      </c>
    </row>
    <row r="61" customHeight="1" spans="1:15">
      <c r="A61" s="114">
        <v>58</v>
      </c>
      <c r="B61" s="114" t="s">
        <v>99</v>
      </c>
      <c r="C61" s="268" t="s">
        <v>100</v>
      </c>
      <c r="D61" s="114">
        <v>14019</v>
      </c>
      <c r="E61" s="114">
        <v>3</v>
      </c>
      <c r="F61" s="114">
        <v>101</v>
      </c>
      <c r="G61" s="114">
        <v>360</v>
      </c>
      <c r="H61" s="114">
        <f t="shared" si="1"/>
        <v>1800</v>
      </c>
      <c r="I61" s="114">
        <f t="shared" si="2"/>
        <v>1800</v>
      </c>
      <c r="J61" s="114">
        <v>0</v>
      </c>
      <c r="K61" s="269">
        <v>1857</v>
      </c>
      <c r="L61" s="272" t="s">
        <v>161</v>
      </c>
      <c r="M61" s="277"/>
      <c r="N61" s="278">
        <v>180</v>
      </c>
      <c r="O61" s="275">
        <v>3000</v>
      </c>
    </row>
    <row r="62" customHeight="1" spans="1:15">
      <c r="A62" s="114">
        <v>59</v>
      </c>
      <c r="B62" s="114" t="s">
        <v>105</v>
      </c>
      <c r="C62" s="114" t="s">
        <v>106</v>
      </c>
      <c r="D62" s="114">
        <v>14020</v>
      </c>
      <c r="E62" s="114">
        <v>3</v>
      </c>
      <c r="F62" s="114">
        <v>101</v>
      </c>
      <c r="G62" s="114">
        <v>500</v>
      </c>
      <c r="H62" s="114">
        <f t="shared" si="1"/>
        <v>2500</v>
      </c>
      <c r="I62" s="114">
        <f t="shared" si="2"/>
        <v>2500</v>
      </c>
      <c r="J62" s="114">
        <v>0</v>
      </c>
      <c r="K62" s="269">
        <v>2579</v>
      </c>
      <c r="L62" s="270" t="s">
        <v>162</v>
      </c>
      <c r="M62" s="277"/>
      <c r="N62" s="278">
        <v>190</v>
      </c>
      <c r="O62" s="275">
        <v>4000</v>
      </c>
    </row>
    <row r="63" customHeight="1" spans="1:15">
      <c r="A63" s="114">
        <v>60</v>
      </c>
      <c r="B63" s="114" t="s">
        <v>109</v>
      </c>
      <c r="C63" s="114" t="s">
        <v>110</v>
      </c>
      <c r="D63" s="114">
        <v>14021</v>
      </c>
      <c r="E63" s="114">
        <v>3</v>
      </c>
      <c r="F63" s="114">
        <v>101</v>
      </c>
      <c r="G63" s="114">
        <v>600</v>
      </c>
      <c r="H63" s="114">
        <f t="shared" si="1"/>
        <v>3000</v>
      </c>
      <c r="I63" s="114">
        <f t="shared" si="2"/>
        <v>3000</v>
      </c>
      <c r="J63" s="114">
        <v>0</v>
      </c>
      <c r="K63" s="269">
        <v>3093</v>
      </c>
      <c r="L63" s="270" t="s">
        <v>163</v>
      </c>
      <c r="M63" s="277"/>
      <c r="N63" s="278">
        <v>200</v>
      </c>
      <c r="O63" s="275">
        <v>4500</v>
      </c>
    </row>
    <row r="64" customHeight="1" spans="1:15">
      <c r="A64" s="114">
        <v>61</v>
      </c>
      <c r="B64" s="114" t="s">
        <v>111</v>
      </c>
      <c r="C64" s="268" t="s">
        <v>112</v>
      </c>
      <c r="D64" s="114">
        <v>14022</v>
      </c>
      <c r="E64" s="114">
        <v>3</v>
      </c>
      <c r="F64" s="114">
        <v>101</v>
      </c>
      <c r="G64" s="114">
        <v>650</v>
      </c>
      <c r="H64" s="114">
        <f t="shared" si="1"/>
        <v>3250</v>
      </c>
      <c r="I64" s="114">
        <f t="shared" si="2"/>
        <v>3250</v>
      </c>
      <c r="J64" s="114">
        <v>0</v>
      </c>
      <c r="K64" s="269">
        <v>3353</v>
      </c>
      <c r="L64" s="272" t="s">
        <v>164</v>
      </c>
      <c r="M64" s="277"/>
      <c r="N64" s="278">
        <v>200</v>
      </c>
      <c r="O64" s="275">
        <v>5000</v>
      </c>
    </row>
    <row r="65" customHeight="1" spans="1:15">
      <c r="A65" s="114">
        <v>62</v>
      </c>
      <c r="B65" s="114" t="s">
        <v>113</v>
      </c>
      <c r="C65" s="114" t="s">
        <v>114</v>
      </c>
      <c r="D65" s="114">
        <v>14023</v>
      </c>
      <c r="E65" s="114">
        <v>3</v>
      </c>
      <c r="F65" s="114">
        <v>101</v>
      </c>
      <c r="G65" s="114">
        <v>700</v>
      </c>
      <c r="H65" s="114">
        <f t="shared" si="1"/>
        <v>3500</v>
      </c>
      <c r="I65" s="114">
        <f t="shared" si="2"/>
        <v>3500</v>
      </c>
      <c r="J65" s="114">
        <v>0</v>
      </c>
      <c r="K65" s="269">
        <v>3613</v>
      </c>
      <c r="L65" s="270" t="s">
        <v>165</v>
      </c>
      <c r="M65" s="277"/>
      <c r="N65" s="278">
        <v>200</v>
      </c>
      <c r="O65" s="275">
        <v>5500</v>
      </c>
    </row>
    <row r="66" customHeight="1" spans="1:15">
      <c r="A66" s="114">
        <v>63</v>
      </c>
      <c r="B66" s="114" t="s">
        <v>117</v>
      </c>
      <c r="C66" s="114" t="s">
        <v>118</v>
      </c>
      <c r="D66" s="114">
        <v>14024</v>
      </c>
      <c r="E66" s="114">
        <v>3</v>
      </c>
      <c r="F66" s="114">
        <v>101</v>
      </c>
      <c r="G66" s="114">
        <v>1000</v>
      </c>
      <c r="H66" s="114">
        <f t="shared" si="1"/>
        <v>5000</v>
      </c>
      <c r="I66" s="114">
        <f t="shared" si="2"/>
        <v>5000</v>
      </c>
      <c r="J66" s="114">
        <v>0</v>
      </c>
      <c r="K66" s="269">
        <v>5166</v>
      </c>
      <c r="L66" s="270" t="s">
        <v>166</v>
      </c>
      <c r="M66" s="277"/>
      <c r="N66" s="278">
        <v>200</v>
      </c>
      <c r="O66" s="275">
        <v>8000</v>
      </c>
    </row>
    <row r="67" customHeight="1" spans="1:15">
      <c r="A67" s="114">
        <v>64</v>
      </c>
      <c r="B67" s="114" t="s">
        <v>121</v>
      </c>
      <c r="C67" s="114" t="s">
        <v>122</v>
      </c>
      <c r="D67" s="114">
        <v>14025</v>
      </c>
      <c r="E67" s="114">
        <v>3</v>
      </c>
      <c r="F67" s="114">
        <v>101</v>
      </c>
      <c r="G67" s="114">
        <v>1200</v>
      </c>
      <c r="H67" s="114">
        <f t="shared" si="1"/>
        <v>6000</v>
      </c>
      <c r="I67" s="114">
        <f t="shared" si="2"/>
        <v>6000</v>
      </c>
      <c r="J67" s="114">
        <v>0</v>
      </c>
      <c r="K67" s="269">
        <v>6206</v>
      </c>
      <c r="L67" s="270" t="s">
        <v>167</v>
      </c>
      <c r="M67" s="277"/>
      <c r="N67" s="278">
        <v>200</v>
      </c>
      <c r="O67" s="275">
        <v>10000</v>
      </c>
    </row>
    <row r="68" customHeight="1" spans="1:15">
      <c r="A68" s="114">
        <v>65</v>
      </c>
      <c r="B68" s="114" t="s">
        <v>75</v>
      </c>
      <c r="C68" s="114" t="s">
        <v>76</v>
      </c>
      <c r="D68" s="114">
        <v>14085</v>
      </c>
      <c r="E68" s="114">
        <v>3</v>
      </c>
      <c r="F68" s="114">
        <v>101</v>
      </c>
      <c r="G68" s="114">
        <v>40</v>
      </c>
      <c r="H68" s="114">
        <f t="shared" si="1"/>
        <v>200</v>
      </c>
      <c r="I68" s="114">
        <f t="shared" si="2"/>
        <v>200</v>
      </c>
      <c r="J68" s="114">
        <v>0</v>
      </c>
      <c r="K68" s="269">
        <v>207</v>
      </c>
      <c r="L68" s="270" t="s">
        <v>168</v>
      </c>
      <c r="M68" s="277"/>
      <c r="N68" s="278">
        <v>200</v>
      </c>
      <c r="O68" s="275">
        <v>300</v>
      </c>
    </row>
    <row r="69" customHeight="1" spans="1:15">
      <c r="A69" s="114">
        <v>66</v>
      </c>
      <c r="B69" s="114" t="s">
        <v>77</v>
      </c>
      <c r="C69" s="114" t="s">
        <v>78</v>
      </c>
      <c r="D69" s="114">
        <v>14086</v>
      </c>
      <c r="E69" s="114">
        <v>3</v>
      </c>
      <c r="F69" s="114">
        <v>101</v>
      </c>
      <c r="G69" s="114">
        <v>60</v>
      </c>
      <c r="H69" s="114">
        <f t="shared" si="1"/>
        <v>300</v>
      </c>
      <c r="I69" s="114">
        <f t="shared" si="2"/>
        <v>300</v>
      </c>
      <c r="J69" s="114">
        <v>0</v>
      </c>
      <c r="K69" s="269">
        <v>310</v>
      </c>
      <c r="L69" s="270" t="s">
        <v>169</v>
      </c>
      <c r="M69" s="277"/>
      <c r="N69" s="278">
        <v>180</v>
      </c>
      <c r="O69" s="275">
        <v>500</v>
      </c>
    </row>
    <row r="70" customHeight="1" spans="1:15">
      <c r="A70" s="114">
        <v>67</v>
      </c>
      <c r="B70" s="114" t="s">
        <v>89</v>
      </c>
      <c r="C70" s="114" t="s">
        <v>90</v>
      </c>
      <c r="D70" s="114">
        <v>14087</v>
      </c>
      <c r="E70" s="114">
        <v>3</v>
      </c>
      <c r="F70" s="114">
        <v>101</v>
      </c>
      <c r="G70" s="114">
        <v>180</v>
      </c>
      <c r="H70" s="114">
        <f t="shared" si="1"/>
        <v>900</v>
      </c>
      <c r="I70" s="114">
        <f t="shared" si="2"/>
        <v>900</v>
      </c>
      <c r="J70" s="114">
        <v>0</v>
      </c>
      <c r="K70" s="269">
        <v>930</v>
      </c>
      <c r="L70" s="270" t="s">
        <v>170</v>
      </c>
      <c r="M70" s="277"/>
      <c r="N70" s="278">
        <v>180</v>
      </c>
      <c r="O70" s="275">
        <v>1500</v>
      </c>
    </row>
    <row r="71" customHeight="1" spans="1:15">
      <c r="A71" s="114">
        <v>68</v>
      </c>
      <c r="B71" s="114" t="s">
        <v>97</v>
      </c>
      <c r="C71" s="114" t="s">
        <v>98</v>
      </c>
      <c r="D71" s="114">
        <v>14088</v>
      </c>
      <c r="E71" s="114">
        <v>3</v>
      </c>
      <c r="F71" s="114">
        <v>101</v>
      </c>
      <c r="G71" s="114">
        <v>320</v>
      </c>
      <c r="H71" s="114">
        <f t="shared" si="1"/>
        <v>1600</v>
      </c>
      <c r="I71" s="114">
        <f t="shared" si="2"/>
        <v>1600</v>
      </c>
      <c r="J71" s="114">
        <v>0</v>
      </c>
      <c r="K71" s="269">
        <v>1656</v>
      </c>
      <c r="L71" s="270" t="s">
        <v>171</v>
      </c>
      <c r="M71" s="277"/>
      <c r="N71" s="278">
        <v>200</v>
      </c>
      <c r="O71" s="275">
        <v>2500</v>
      </c>
    </row>
    <row r="72" customHeight="1" spans="1:15">
      <c r="A72" s="114">
        <v>69</v>
      </c>
      <c r="B72" s="114" t="s">
        <v>107</v>
      </c>
      <c r="C72" s="268" t="s">
        <v>108</v>
      </c>
      <c r="D72" s="114">
        <v>14089</v>
      </c>
      <c r="E72" s="114">
        <v>3</v>
      </c>
      <c r="F72" s="114">
        <v>101</v>
      </c>
      <c r="G72" s="114">
        <v>550</v>
      </c>
      <c r="H72" s="114">
        <f t="shared" si="1"/>
        <v>2750</v>
      </c>
      <c r="I72" s="114">
        <f t="shared" si="2"/>
        <v>2750</v>
      </c>
      <c r="J72" s="114">
        <v>0</v>
      </c>
      <c r="K72" s="269">
        <v>2837</v>
      </c>
      <c r="L72" s="272" t="s">
        <v>172</v>
      </c>
      <c r="M72" s="277"/>
      <c r="N72" s="278">
        <v>180</v>
      </c>
      <c r="O72" s="275">
        <v>4500</v>
      </c>
    </row>
    <row r="73" customHeight="1" spans="1:15">
      <c r="A73" s="114">
        <v>70</v>
      </c>
      <c r="B73" s="114" t="s">
        <v>119</v>
      </c>
      <c r="C73" s="114" t="s">
        <v>120</v>
      </c>
      <c r="D73" s="114">
        <v>14090</v>
      </c>
      <c r="E73" s="114">
        <v>3</v>
      </c>
      <c r="F73" s="114">
        <v>101</v>
      </c>
      <c r="G73" s="114">
        <v>900</v>
      </c>
      <c r="H73" s="114">
        <f t="shared" si="1"/>
        <v>4500</v>
      </c>
      <c r="I73" s="114">
        <f t="shared" si="2"/>
        <v>4500</v>
      </c>
      <c r="J73" s="114">
        <v>0</v>
      </c>
      <c r="K73" s="269">
        <v>4650</v>
      </c>
      <c r="L73" s="270" t="s">
        <v>173</v>
      </c>
      <c r="M73" s="277"/>
      <c r="N73" s="278">
        <v>180</v>
      </c>
      <c r="O73" s="275">
        <v>8000</v>
      </c>
    </row>
    <row r="74" customHeight="1" spans="1:15">
      <c r="A74" s="114">
        <v>71</v>
      </c>
      <c r="B74" s="114" t="s">
        <v>115</v>
      </c>
      <c r="C74" s="114" t="s">
        <v>116</v>
      </c>
      <c r="D74" s="114">
        <v>14091</v>
      </c>
      <c r="E74" s="114">
        <v>3</v>
      </c>
      <c r="F74" s="114">
        <v>101</v>
      </c>
      <c r="G74" s="114">
        <v>800</v>
      </c>
      <c r="H74" s="114">
        <f t="shared" si="1"/>
        <v>4000</v>
      </c>
      <c r="I74" s="114">
        <f t="shared" si="2"/>
        <v>4000</v>
      </c>
      <c r="J74" s="114">
        <v>0</v>
      </c>
      <c r="K74" s="269">
        <v>4132</v>
      </c>
      <c r="L74" s="270" t="s">
        <v>174</v>
      </c>
      <c r="M74" s="277"/>
      <c r="N74" s="278">
        <v>180</v>
      </c>
      <c r="O74" s="275">
        <v>7000</v>
      </c>
    </row>
    <row r="75" customHeight="1" spans="1:15">
      <c r="A75" s="114">
        <v>72</v>
      </c>
      <c r="B75" s="114" t="s">
        <v>175</v>
      </c>
      <c r="C75" s="114" t="s">
        <v>176</v>
      </c>
      <c r="D75" s="114">
        <v>15033</v>
      </c>
      <c r="E75" s="114">
        <v>4</v>
      </c>
      <c r="F75" s="114">
        <v>103</v>
      </c>
      <c r="G75" s="114">
        <v>1</v>
      </c>
      <c r="H75" s="114">
        <v>350</v>
      </c>
      <c r="I75" s="114">
        <v>350</v>
      </c>
      <c r="J75" s="114">
        <v>0</v>
      </c>
      <c r="K75" s="279">
        <f t="shared" ref="K75:K87" si="3">H75</f>
        <v>350</v>
      </c>
      <c r="L75" s="270" t="s">
        <v>177</v>
      </c>
      <c r="M75" s="277"/>
      <c r="N75" s="278">
        <v>0</v>
      </c>
      <c r="O75" s="275">
        <v>0</v>
      </c>
    </row>
    <row r="76" customHeight="1" spans="1:15">
      <c r="A76" s="114">
        <v>73</v>
      </c>
      <c r="B76" s="114" t="s">
        <v>178</v>
      </c>
      <c r="C76" s="114" t="s">
        <v>179</v>
      </c>
      <c r="D76" s="114">
        <v>15034</v>
      </c>
      <c r="E76" s="114">
        <v>4</v>
      </c>
      <c r="F76" s="114">
        <v>103</v>
      </c>
      <c r="G76" s="114">
        <v>5</v>
      </c>
      <c r="H76" s="114">
        <v>2000</v>
      </c>
      <c r="I76" s="114">
        <v>2000</v>
      </c>
      <c r="J76" s="114">
        <v>0</v>
      </c>
      <c r="K76" s="279">
        <f t="shared" si="3"/>
        <v>2000</v>
      </c>
      <c r="L76" s="270" t="s">
        <v>180</v>
      </c>
      <c r="M76" s="277"/>
      <c r="N76" s="278">
        <v>0</v>
      </c>
      <c r="O76" s="275">
        <v>0</v>
      </c>
    </row>
    <row r="77" customHeight="1" spans="1:15">
      <c r="A77" s="114">
        <v>74</v>
      </c>
      <c r="B77" s="114" t="s">
        <v>181</v>
      </c>
      <c r="C77" s="114" t="s">
        <v>182</v>
      </c>
      <c r="D77" s="114">
        <v>15035</v>
      </c>
      <c r="E77" s="114">
        <v>4</v>
      </c>
      <c r="F77" s="114">
        <v>103</v>
      </c>
      <c r="G77" s="114">
        <v>10</v>
      </c>
      <c r="H77" s="114">
        <v>12000</v>
      </c>
      <c r="I77" s="114">
        <f>H77</f>
        <v>12000</v>
      </c>
      <c r="J77" s="114">
        <v>0</v>
      </c>
      <c r="K77" s="279">
        <f t="shared" si="3"/>
        <v>12000</v>
      </c>
      <c r="L77" s="270" t="s">
        <v>183</v>
      </c>
      <c r="M77" s="277"/>
      <c r="N77" s="278">
        <v>0</v>
      </c>
      <c r="O77" s="275">
        <v>0</v>
      </c>
    </row>
    <row r="78" customHeight="1" spans="1:15">
      <c r="A78" s="114">
        <v>75</v>
      </c>
      <c r="B78" s="114" t="s">
        <v>184</v>
      </c>
      <c r="C78" s="114" t="s">
        <v>185</v>
      </c>
      <c r="D78" s="114">
        <v>15036</v>
      </c>
      <c r="E78" s="114">
        <v>4</v>
      </c>
      <c r="F78" s="114">
        <v>103</v>
      </c>
      <c r="G78" s="114">
        <v>40</v>
      </c>
      <c r="H78" s="114">
        <v>48000</v>
      </c>
      <c r="I78" s="114">
        <f t="shared" ref="I78:I87" si="4">H78</f>
        <v>48000</v>
      </c>
      <c r="J78" s="114">
        <v>0</v>
      </c>
      <c r="K78" s="279">
        <f t="shared" si="3"/>
        <v>48000</v>
      </c>
      <c r="L78" s="270" t="s">
        <v>186</v>
      </c>
      <c r="M78" s="277"/>
      <c r="N78" s="278">
        <v>0</v>
      </c>
      <c r="O78" s="275">
        <v>0</v>
      </c>
    </row>
    <row r="79" customHeight="1" spans="1:15">
      <c r="A79" s="114">
        <v>76</v>
      </c>
      <c r="B79" s="114" t="s">
        <v>187</v>
      </c>
      <c r="C79" s="114" t="s">
        <v>188</v>
      </c>
      <c r="D79" s="114">
        <v>15037</v>
      </c>
      <c r="E79" s="114">
        <v>4</v>
      </c>
      <c r="F79" s="114">
        <v>103</v>
      </c>
      <c r="G79" s="114">
        <v>100</v>
      </c>
      <c r="H79" s="114">
        <v>120000</v>
      </c>
      <c r="I79" s="114">
        <f t="shared" si="4"/>
        <v>120000</v>
      </c>
      <c r="J79" s="114">
        <v>0</v>
      </c>
      <c r="K79" s="279">
        <f t="shared" si="3"/>
        <v>120000</v>
      </c>
      <c r="L79" s="270" t="s">
        <v>189</v>
      </c>
      <c r="M79" s="277"/>
      <c r="N79" s="278">
        <v>0</v>
      </c>
      <c r="O79" s="275">
        <v>0</v>
      </c>
    </row>
    <row r="80" customHeight="1" spans="1:15">
      <c r="A80" s="114">
        <v>77</v>
      </c>
      <c r="B80" s="114" t="s">
        <v>190</v>
      </c>
      <c r="C80" s="114" t="s">
        <v>191</v>
      </c>
      <c r="D80" s="114">
        <v>15038</v>
      </c>
      <c r="E80" s="114">
        <v>4</v>
      </c>
      <c r="F80" s="114">
        <v>103</v>
      </c>
      <c r="G80" s="114">
        <v>200</v>
      </c>
      <c r="H80" s="114">
        <v>240000</v>
      </c>
      <c r="I80" s="114">
        <f t="shared" si="4"/>
        <v>240000</v>
      </c>
      <c r="J80" s="114">
        <v>0</v>
      </c>
      <c r="K80" s="279">
        <f t="shared" si="3"/>
        <v>240000</v>
      </c>
      <c r="L80" s="270" t="s">
        <v>192</v>
      </c>
      <c r="M80" s="277"/>
      <c r="N80" s="278">
        <v>0</v>
      </c>
      <c r="O80" s="275">
        <v>0</v>
      </c>
    </row>
    <row r="81" customHeight="1" spans="1:15">
      <c r="A81" s="114">
        <v>78</v>
      </c>
      <c r="B81" s="114" t="s">
        <v>193</v>
      </c>
      <c r="C81" s="114" t="s">
        <v>194</v>
      </c>
      <c r="D81" s="114">
        <v>15039</v>
      </c>
      <c r="E81" s="114">
        <v>4</v>
      </c>
      <c r="F81" s="114">
        <v>103</v>
      </c>
      <c r="G81" s="114">
        <v>300</v>
      </c>
      <c r="H81" s="114">
        <v>360000</v>
      </c>
      <c r="I81" s="114">
        <f t="shared" si="4"/>
        <v>360000</v>
      </c>
      <c r="J81" s="114">
        <v>0</v>
      </c>
      <c r="K81" s="279">
        <f t="shared" si="3"/>
        <v>360000</v>
      </c>
      <c r="L81" s="270" t="s">
        <v>195</v>
      </c>
      <c r="M81" s="277"/>
      <c r="N81" s="278">
        <v>0</v>
      </c>
      <c r="O81" s="275">
        <v>0</v>
      </c>
    </row>
    <row r="82" customHeight="1" spans="1:15">
      <c r="A82" s="114">
        <v>79</v>
      </c>
      <c r="B82" s="114" t="s">
        <v>196</v>
      </c>
      <c r="C82" s="114" t="s">
        <v>197</v>
      </c>
      <c r="D82" s="114">
        <v>15055</v>
      </c>
      <c r="E82" s="114">
        <v>4</v>
      </c>
      <c r="F82" s="114">
        <v>103</v>
      </c>
      <c r="G82" s="114">
        <v>1000</v>
      </c>
      <c r="H82" s="114">
        <v>1200000</v>
      </c>
      <c r="I82" s="114">
        <f t="shared" si="4"/>
        <v>1200000</v>
      </c>
      <c r="J82" s="114">
        <v>0</v>
      </c>
      <c r="K82" s="279">
        <f t="shared" si="3"/>
        <v>1200000</v>
      </c>
      <c r="L82" s="270" t="s">
        <v>198</v>
      </c>
      <c r="M82" s="277"/>
      <c r="N82" s="278">
        <v>0</v>
      </c>
      <c r="O82" s="275">
        <v>0</v>
      </c>
    </row>
    <row r="83" customHeight="1" spans="1:15">
      <c r="A83" s="114">
        <v>80</v>
      </c>
      <c r="B83" s="114" t="s">
        <v>199</v>
      </c>
      <c r="C83" s="114" t="s">
        <v>200</v>
      </c>
      <c r="D83" s="114">
        <v>15056</v>
      </c>
      <c r="E83" s="114">
        <v>4</v>
      </c>
      <c r="F83" s="114">
        <v>103</v>
      </c>
      <c r="G83" s="114">
        <v>2000</v>
      </c>
      <c r="H83" s="114">
        <v>2400000</v>
      </c>
      <c r="I83" s="114">
        <f t="shared" si="4"/>
        <v>2400000</v>
      </c>
      <c r="J83" s="114">
        <v>0</v>
      </c>
      <c r="K83" s="279">
        <f t="shared" si="3"/>
        <v>2400000</v>
      </c>
      <c r="L83" s="270" t="s">
        <v>201</v>
      </c>
      <c r="M83" s="277"/>
      <c r="N83" s="278">
        <v>0</v>
      </c>
      <c r="O83" s="275">
        <v>0</v>
      </c>
    </row>
    <row r="84" customHeight="1" spans="1:15">
      <c r="A84" s="114">
        <v>81</v>
      </c>
      <c r="B84" s="114" t="s">
        <v>202</v>
      </c>
      <c r="C84" s="114" t="s">
        <v>203</v>
      </c>
      <c r="D84" s="114">
        <v>15057</v>
      </c>
      <c r="E84" s="114">
        <v>4</v>
      </c>
      <c r="F84" s="114">
        <v>103</v>
      </c>
      <c r="G84" s="114">
        <v>5000</v>
      </c>
      <c r="H84" s="114">
        <v>6000000</v>
      </c>
      <c r="I84" s="114">
        <f t="shared" si="4"/>
        <v>6000000</v>
      </c>
      <c r="J84" s="114">
        <v>0</v>
      </c>
      <c r="K84" s="279">
        <f t="shared" si="3"/>
        <v>6000000</v>
      </c>
      <c r="L84" s="270" t="s">
        <v>204</v>
      </c>
      <c r="M84" s="277"/>
      <c r="N84" s="278">
        <v>0</v>
      </c>
      <c r="O84" s="275">
        <v>0</v>
      </c>
    </row>
    <row r="85" customHeight="1" spans="1:15">
      <c r="A85" s="114">
        <v>82</v>
      </c>
      <c r="B85" s="114" t="s">
        <v>205</v>
      </c>
      <c r="C85" s="114" t="s">
        <v>206</v>
      </c>
      <c r="D85" s="114">
        <v>15058</v>
      </c>
      <c r="E85" s="114">
        <v>4</v>
      </c>
      <c r="F85" s="114">
        <v>103</v>
      </c>
      <c r="G85" s="114">
        <v>10000</v>
      </c>
      <c r="H85" s="114">
        <v>12000000</v>
      </c>
      <c r="I85" s="114">
        <f t="shared" si="4"/>
        <v>12000000</v>
      </c>
      <c r="J85" s="114">
        <v>0</v>
      </c>
      <c r="K85" s="279">
        <f t="shared" si="3"/>
        <v>12000000</v>
      </c>
      <c r="L85" s="270" t="s">
        <v>207</v>
      </c>
      <c r="M85" s="277"/>
      <c r="N85" s="278">
        <v>0</v>
      </c>
      <c r="O85" s="275">
        <v>0</v>
      </c>
    </row>
    <row r="86" customHeight="1" spans="1:15">
      <c r="A86" s="114">
        <v>83</v>
      </c>
      <c r="B86" s="114" t="s">
        <v>208</v>
      </c>
      <c r="C86" s="114" t="s">
        <v>209</v>
      </c>
      <c r="D86" s="114">
        <v>15081</v>
      </c>
      <c r="E86" s="114">
        <v>4</v>
      </c>
      <c r="F86" s="114">
        <v>103</v>
      </c>
      <c r="G86" s="114">
        <v>500</v>
      </c>
      <c r="H86" s="114">
        <v>600000</v>
      </c>
      <c r="I86" s="114">
        <f t="shared" si="4"/>
        <v>600000</v>
      </c>
      <c r="J86" s="114">
        <v>0</v>
      </c>
      <c r="K86" s="279">
        <f t="shared" si="3"/>
        <v>600000</v>
      </c>
      <c r="L86" s="270" t="s">
        <v>210</v>
      </c>
      <c r="M86" s="277"/>
      <c r="N86" s="278">
        <v>0</v>
      </c>
      <c r="O86" s="275">
        <v>0</v>
      </c>
    </row>
    <row r="87" customHeight="1" spans="1:15">
      <c r="A87" s="114">
        <v>84</v>
      </c>
      <c r="B87" s="114" t="s">
        <v>211</v>
      </c>
      <c r="C87" s="114" t="s">
        <v>212</v>
      </c>
      <c r="D87" s="114">
        <v>15082</v>
      </c>
      <c r="E87" s="114">
        <v>4</v>
      </c>
      <c r="F87" s="114">
        <v>103</v>
      </c>
      <c r="G87" s="114">
        <v>3000</v>
      </c>
      <c r="H87" s="114">
        <v>3600000</v>
      </c>
      <c r="I87" s="114">
        <f t="shared" si="4"/>
        <v>3600000</v>
      </c>
      <c r="J87" s="114">
        <v>0</v>
      </c>
      <c r="K87" s="279">
        <f t="shared" si="3"/>
        <v>3600000</v>
      </c>
      <c r="L87" s="270" t="s">
        <v>213</v>
      </c>
      <c r="M87" s="277"/>
      <c r="N87" s="278">
        <v>0</v>
      </c>
      <c r="O87" s="275">
        <v>0</v>
      </c>
    </row>
    <row r="88" customHeight="1" spans="1:15">
      <c r="A88" s="114">
        <v>85</v>
      </c>
      <c r="B88" s="114" t="s">
        <v>214</v>
      </c>
      <c r="C88" s="268" t="s">
        <v>215</v>
      </c>
      <c r="D88" s="114">
        <v>16040</v>
      </c>
      <c r="E88" s="114">
        <v>5</v>
      </c>
      <c r="F88" s="114">
        <v>0</v>
      </c>
      <c r="G88" s="114">
        <v>0</v>
      </c>
      <c r="H88" s="114">
        <v>100</v>
      </c>
      <c r="I88" s="114">
        <v>1000</v>
      </c>
      <c r="J88" s="265">
        <v>100</v>
      </c>
      <c r="K88" s="269">
        <v>0</v>
      </c>
      <c r="L88" s="270" t="s">
        <v>216</v>
      </c>
      <c r="M88" s="113">
        <v>2401</v>
      </c>
      <c r="N88" s="278">
        <v>0</v>
      </c>
      <c r="O88" s="275">
        <v>0</v>
      </c>
    </row>
    <row r="89" customHeight="1" spans="1:15">
      <c r="A89" s="114">
        <v>86</v>
      </c>
      <c r="B89" s="114" t="s">
        <v>214</v>
      </c>
      <c r="C89" s="268" t="s">
        <v>215</v>
      </c>
      <c r="D89" s="114">
        <v>17040</v>
      </c>
      <c r="E89" s="114">
        <v>5</v>
      </c>
      <c r="F89" s="114">
        <v>0</v>
      </c>
      <c r="G89" s="114">
        <v>0</v>
      </c>
      <c r="H89" s="114">
        <v>150</v>
      </c>
      <c r="I89" s="114">
        <v>1500</v>
      </c>
      <c r="J89" s="265">
        <v>120</v>
      </c>
      <c r="K89" s="269">
        <v>0</v>
      </c>
      <c r="L89" s="270" t="s">
        <v>217</v>
      </c>
      <c r="M89" s="113">
        <v>2402</v>
      </c>
      <c r="N89" s="278">
        <v>0</v>
      </c>
      <c r="O89" s="275">
        <v>0</v>
      </c>
    </row>
    <row r="90" customHeight="1" spans="1:15">
      <c r="A90" s="114">
        <v>87</v>
      </c>
      <c r="B90" s="114" t="s">
        <v>214</v>
      </c>
      <c r="C90" s="268" t="s">
        <v>215</v>
      </c>
      <c r="D90" s="114">
        <v>18040</v>
      </c>
      <c r="E90" s="114">
        <v>5</v>
      </c>
      <c r="F90" s="114">
        <v>0</v>
      </c>
      <c r="G90" s="114">
        <v>0</v>
      </c>
      <c r="H90" s="114">
        <v>200</v>
      </c>
      <c r="I90" s="114">
        <v>2000</v>
      </c>
      <c r="J90" s="265">
        <v>140</v>
      </c>
      <c r="K90" s="269">
        <v>0</v>
      </c>
      <c r="L90" s="270" t="s">
        <v>218</v>
      </c>
      <c r="M90" s="113">
        <v>2403</v>
      </c>
      <c r="N90" s="278">
        <v>0</v>
      </c>
      <c r="O90" s="275">
        <v>0</v>
      </c>
    </row>
    <row r="91" customHeight="1" spans="1:15">
      <c r="A91" s="114">
        <v>88</v>
      </c>
      <c r="B91" s="114" t="s">
        <v>214</v>
      </c>
      <c r="C91" s="268" t="s">
        <v>215</v>
      </c>
      <c r="D91" s="114">
        <v>19040</v>
      </c>
      <c r="E91" s="114">
        <v>5</v>
      </c>
      <c r="F91" s="114">
        <v>0</v>
      </c>
      <c r="G91" s="114">
        <v>0</v>
      </c>
      <c r="H91" s="114">
        <v>250</v>
      </c>
      <c r="I91" s="114">
        <v>2500</v>
      </c>
      <c r="J91" s="265">
        <v>160</v>
      </c>
      <c r="K91" s="269">
        <v>0</v>
      </c>
      <c r="L91" s="270" t="s">
        <v>219</v>
      </c>
      <c r="M91" s="113">
        <v>2404</v>
      </c>
      <c r="N91" s="278">
        <v>0</v>
      </c>
      <c r="O91" s="275">
        <v>0</v>
      </c>
    </row>
    <row r="92" customHeight="1" spans="1:15">
      <c r="A92" s="114">
        <v>89</v>
      </c>
      <c r="B92" s="114" t="s">
        <v>214</v>
      </c>
      <c r="C92" s="268" t="s">
        <v>215</v>
      </c>
      <c r="D92" s="114">
        <v>20040</v>
      </c>
      <c r="E92" s="114">
        <v>5</v>
      </c>
      <c r="F92" s="114">
        <v>0</v>
      </c>
      <c r="G92" s="114">
        <v>0</v>
      </c>
      <c r="H92" s="114">
        <v>300</v>
      </c>
      <c r="I92" s="114">
        <v>3000</v>
      </c>
      <c r="J92" s="265">
        <v>180</v>
      </c>
      <c r="K92" s="269">
        <v>0</v>
      </c>
      <c r="L92" s="270" t="s">
        <v>220</v>
      </c>
      <c r="M92" s="113">
        <v>2405</v>
      </c>
      <c r="N92" s="278">
        <v>0</v>
      </c>
      <c r="O92" s="275">
        <v>0</v>
      </c>
    </row>
    <row r="93" customHeight="1" spans="1:15">
      <c r="A93" s="114">
        <v>90</v>
      </c>
      <c r="B93" s="114" t="s">
        <v>214</v>
      </c>
      <c r="C93" s="268" t="s">
        <v>215</v>
      </c>
      <c r="D93" s="114">
        <v>21040</v>
      </c>
      <c r="E93" s="114">
        <v>5</v>
      </c>
      <c r="F93" s="114">
        <v>0</v>
      </c>
      <c r="G93" s="114">
        <v>0</v>
      </c>
      <c r="H93" s="114">
        <v>300</v>
      </c>
      <c r="I93" s="114">
        <v>3000</v>
      </c>
      <c r="J93" s="265">
        <v>200</v>
      </c>
      <c r="K93" s="269">
        <v>0</v>
      </c>
      <c r="L93" s="270" t="s">
        <v>221</v>
      </c>
      <c r="M93" s="113">
        <v>2406</v>
      </c>
      <c r="N93" s="278">
        <v>0</v>
      </c>
      <c r="O93" s="275">
        <v>0</v>
      </c>
    </row>
    <row r="94" customHeight="1" spans="1:15">
      <c r="A94" s="114">
        <v>91</v>
      </c>
      <c r="B94" s="114" t="s">
        <v>222</v>
      </c>
      <c r="C94" s="114" t="s">
        <v>223</v>
      </c>
      <c r="D94" s="114">
        <v>22041</v>
      </c>
      <c r="E94" s="114">
        <v>6</v>
      </c>
      <c r="F94" s="114">
        <v>0</v>
      </c>
      <c r="G94" s="114">
        <v>0</v>
      </c>
      <c r="H94" s="114">
        <v>0</v>
      </c>
      <c r="I94" s="114">
        <v>0</v>
      </c>
      <c r="J94" s="114">
        <v>1</v>
      </c>
      <c r="K94" s="269">
        <v>0</v>
      </c>
      <c r="L94" s="270" t="s">
        <v>223</v>
      </c>
      <c r="M94" s="277"/>
      <c r="N94" s="278">
        <v>0</v>
      </c>
      <c r="O94" s="275">
        <v>0</v>
      </c>
    </row>
    <row r="95" customHeight="1" spans="1:15">
      <c r="A95" s="114">
        <v>92</v>
      </c>
      <c r="B95" s="114" t="s">
        <v>224</v>
      </c>
      <c r="C95" s="114" t="s">
        <v>225</v>
      </c>
      <c r="D95" s="114">
        <v>23042</v>
      </c>
      <c r="E95" s="114">
        <v>7</v>
      </c>
      <c r="F95" s="114">
        <v>0</v>
      </c>
      <c r="G95" s="114">
        <v>0</v>
      </c>
      <c r="H95" s="114">
        <v>0</v>
      </c>
      <c r="I95" s="114">
        <v>0</v>
      </c>
      <c r="J95" s="114">
        <v>1</v>
      </c>
      <c r="K95" s="269">
        <v>0</v>
      </c>
      <c r="L95" s="270" t="s">
        <v>225</v>
      </c>
      <c r="M95" s="277"/>
      <c r="N95" s="278">
        <v>0</v>
      </c>
      <c r="O95" s="275">
        <v>0</v>
      </c>
    </row>
    <row r="96" customHeight="1" spans="1:15">
      <c r="A96" s="114">
        <v>93</v>
      </c>
      <c r="B96" s="114" t="s">
        <v>143</v>
      </c>
      <c r="C96" s="114" t="s">
        <v>144</v>
      </c>
      <c r="D96" s="114">
        <v>24029</v>
      </c>
      <c r="E96" s="114">
        <v>8</v>
      </c>
      <c r="F96" s="114">
        <v>1193</v>
      </c>
      <c r="G96" s="114">
        <v>2</v>
      </c>
      <c r="H96" s="114">
        <f>4000*1.03</f>
        <v>4120</v>
      </c>
      <c r="I96" s="114">
        <f>H96</f>
        <v>4120</v>
      </c>
      <c r="J96" s="114">
        <v>4000</v>
      </c>
      <c r="K96" s="269">
        <f>J96</f>
        <v>4000</v>
      </c>
      <c r="L96" s="270" t="s">
        <v>226</v>
      </c>
      <c r="M96" s="277"/>
      <c r="N96" s="278">
        <v>0</v>
      </c>
      <c r="O96" s="275">
        <v>0</v>
      </c>
    </row>
    <row r="97" customHeight="1" spans="1:15">
      <c r="A97" s="114">
        <v>94</v>
      </c>
      <c r="B97" s="114" t="s">
        <v>141</v>
      </c>
      <c r="C97" s="114" t="s">
        <v>142</v>
      </c>
      <c r="D97" s="114">
        <v>24028</v>
      </c>
      <c r="E97" s="114">
        <v>8</v>
      </c>
      <c r="F97" s="114">
        <v>1193</v>
      </c>
      <c r="G97" s="114">
        <v>1</v>
      </c>
      <c r="H97" s="114">
        <f>2000*1.03</f>
        <v>2060</v>
      </c>
      <c r="I97" s="114">
        <f t="shared" ref="I97:I102" si="5">H97</f>
        <v>2060</v>
      </c>
      <c r="J97" s="114">
        <v>2000</v>
      </c>
      <c r="K97" s="269">
        <f t="shared" ref="K97:K102" si="6">J97</f>
        <v>2000</v>
      </c>
      <c r="L97" s="270" t="s">
        <v>227</v>
      </c>
      <c r="M97" s="277"/>
      <c r="N97" s="278">
        <v>0</v>
      </c>
      <c r="O97" s="275">
        <v>0</v>
      </c>
    </row>
    <row r="98" customHeight="1" spans="1:15">
      <c r="A98" s="114">
        <v>95</v>
      </c>
      <c r="B98" s="114" t="s">
        <v>145</v>
      </c>
      <c r="C98" s="114" t="s">
        <v>146</v>
      </c>
      <c r="D98" s="114">
        <v>24030</v>
      </c>
      <c r="E98" s="114">
        <v>8</v>
      </c>
      <c r="F98" s="114">
        <v>1193</v>
      </c>
      <c r="G98" s="114">
        <v>3</v>
      </c>
      <c r="H98" s="114">
        <f>6000*1.03</f>
        <v>6180</v>
      </c>
      <c r="I98" s="114">
        <f t="shared" si="5"/>
        <v>6180</v>
      </c>
      <c r="J98" s="114">
        <v>6000</v>
      </c>
      <c r="K98" s="269">
        <f t="shared" si="6"/>
        <v>6000</v>
      </c>
      <c r="L98" s="270" t="s">
        <v>228</v>
      </c>
      <c r="M98" s="277"/>
      <c r="N98" s="278">
        <v>0</v>
      </c>
      <c r="O98" s="275">
        <v>0</v>
      </c>
    </row>
    <row r="99" customHeight="1" spans="1:15">
      <c r="A99" s="114">
        <v>96</v>
      </c>
      <c r="B99" s="114" t="s">
        <v>145</v>
      </c>
      <c r="C99" s="114" t="s">
        <v>146</v>
      </c>
      <c r="D99" s="114">
        <v>25030</v>
      </c>
      <c r="E99" s="114">
        <v>9</v>
      </c>
      <c r="F99" s="114">
        <v>1194</v>
      </c>
      <c r="G99" s="114">
        <v>1</v>
      </c>
      <c r="H99" s="114">
        <f>2500*1.03</f>
        <v>2575</v>
      </c>
      <c r="I99" s="114">
        <f t="shared" si="5"/>
        <v>2575</v>
      </c>
      <c r="J99" s="114">
        <v>2500</v>
      </c>
      <c r="K99" s="269">
        <f t="shared" si="6"/>
        <v>2500</v>
      </c>
      <c r="L99" s="270" t="s">
        <v>229</v>
      </c>
      <c r="M99" s="277"/>
      <c r="N99" s="278">
        <v>0</v>
      </c>
      <c r="O99" s="275">
        <v>0</v>
      </c>
    </row>
    <row r="100" customHeight="1" spans="1:15">
      <c r="A100" s="114">
        <v>97</v>
      </c>
      <c r="B100" s="114" t="s">
        <v>149</v>
      </c>
      <c r="C100" s="114" t="s">
        <v>150</v>
      </c>
      <c r="D100" s="114">
        <v>25031</v>
      </c>
      <c r="E100" s="114">
        <v>9</v>
      </c>
      <c r="F100" s="114">
        <v>1194</v>
      </c>
      <c r="G100" s="114">
        <v>2</v>
      </c>
      <c r="H100" s="114">
        <f>5000*1.03</f>
        <v>5150</v>
      </c>
      <c r="I100" s="114">
        <f t="shared" si="5"/>
        <v>5150</v>
      </c>
      <c r="J100" s="114">
        <v>5000</v>
      </c>
      <c r="K100" s="269">
        <f t="shared" si="6"/>
        <v>5000</v>
      </c>
      <c r="L100" s="272" t="s">
        <v>230</v>
      </c>
      <c r="M100" s="277"/>
      <c r="N100" s="278">
        <v>0</v>
      </c>
      <c r="O100" s="275">
        <v>0</v>
      </c>
    </row>
    <row r="101" customHeight="1" spans="1:15">
      <c r="A101" s="114">
        <v>98</v>
      </c>
      <c r="B101" s="114" t="s">
        <v>147</v>
      </c>
      <c r="C101" s="114" t="s">
        <v>148</v>
      </c>
      <c r="D101" s="114">
        <v>25032</v>
      </c>
      <c r="E101" s="114">
        <v>9</v>
      </c>
      <c r="F101" s="114">
        <v>1194</v>
      </c>
      <c r="G101" s="114">
        <v>3</v>
      </c>
      <c r="H101" s="114">
        <f>7500*1.03</f>
        <v>7725</v>
      </c>
      <c r="I101" s="114">
        <f t="shared" si="5"/>
        <v>7725</v>
      </c>
      <c r="J101" s="114">
        <v>7500</v>
      </c>
      <c r="K101" s="269">
        <f t="shared" si="6"/>
        <v>7500</v>
      </c>
      <c r="L101" s="270" t="s">
        <v>231</v>
      </c>
      <c r="M101" s="277"/>
      <c r="N101" s="278">
        <v>0</v>
      </c>
      <c r="O101" s="275">
        <v>0</v>
      </c>
    </row>
    <row r="102" customHeight="1" spans="1:15">
      <c r="A102" s="114">
        <v>99</v>
      </c>
      <c r="B102" s="114" t="s">
        <v>143</v>
      </c>
      <c r="C102" s="114" t="s">
        <v>144</v>
      </c>
      <c r="D102" s="114">
        <v>25029</v>
      </c>
      <c r="E102" s="114">
        <v>9</v>
      </c>
      <c r="F102" s="114">
        <v>1194</v>
      </c>
      <c r="G102" s="114">
        <v>3</v>
      </c>
      <c r="H102" s="114">
        <f>3000*1.03</f>
        <v>3090</v>
      </c>
      <c r="I102" s="114">
        <f t="shared" si="5"/>
        <v>3090</v>
      </c>
      <c r="J102" s="114">
        <v>3000</v>
      </c>
      <c r="K102" s="269">
        <f t="shared" si="6"/>
        <v>3000</v>
      </c>
      <c r="L102" s="272" t="s">
        <v>232</v>
      </c>
      <c r="M102" s="277"/>
      <c r="N102" s="278">
        <v>0</v>
      </c>
      <c r="O102" s="275">
        <v>0</v>
      </c>
    </row>
    <row r="103" customHeight="1" spans="1:15">
      <c r="A103" s="114">
        <v>100</v>
      </c>
      <c r="B103" s="114" t="s">
        <v>233</v>
      </c>
      <c r="C103" s="114" t="s">
        <v>234</v>
      </c>
      <c r="D103" s="114">
        <v>26043</v>
      </c>
      <c r="E103" s="114">
        <v>10</v>
      </c>
      <c r="F103" s="114">
        <v>101</v>
      </c>
      <c r="G103" s="114">
        <v>1</v>
      </c>
      <c r="H103" s="114">
        <v>600</v>
      </c>
      <c r="I103" s="114">
        <v>3600</v>
      </c>
      <c r="J103" s="114">
        <v>0</v>
      </c>
      <c r="K103" s="269">
        <v>0</v>
      </c>
      <c r="L103" s="270" t="s">
        <v>235</v>
      </c>
      <c r="M103" s="277"/>
      <c r="N103" s="278">
        <v>0</v>
      </c>
      <c r="O103" s="275">
        <v>0</v>
      </c>
    </row>
    <row r="104" customHeight="1" spans="1:15">
      <c r="A104" s="114">
        <v>101</v>
      </c>
      <c r="B104" s="114" t="s">
        <v>236</v>
      </c>
      <c r="C104" s="114" t="s">
        <v>237</v>
      </c>
      <c r="D104" s="114">
        <v>27044</v>
      </c>
      <c r="E104" s="114">
        <v>11</v>
      </c>
      <c r="F104" s="114">
        <v>2057</v>
      </c>
      <c r="G104" s="114">
        <v>1</v>
      </c>
      <c r="H104" s="114">
        <v>20600</v>
      </c>
      <c r="I104" s="114">
        <v>20600</v>
      </c>
      <c r="J104" s="114">
        <v>0</v>
      </c>
      <c r="K104" s="279">
        <f t="shared" ref="K104:K131" si="7">H104</f>
        <v>20600</v>
      </c>
      <c r="L104" s="270" t="s">
        <v>238</v>
      </c>
      <c r="M104" s="277"/>
      <c r="N104" s="278">
        <v>0</v>
      </c>
      <c r="O104" s="275">
        <v>0</v>
      </c>
    </row>
    <row r="105" customHeight="1" spans="1:15">
      <c r="A105" s="114">
        <v>102</v>
      </c>
      <c r="B105" s="114" t="s">
        <v>239</v>
      </c>
      <c r="C105" s="114" t="s">
        <v>240</v>
      </c>
      <c r="D105" s="114">
        <v>27045</v>
      </c>
      <c r="E105" s="114">
        <v>11</v>
      </c>
      <c r="F105" s="114">
        <v>2061</v>
      </c>
      <c r="G105" s="114">
        <v>1</v>
      </c>
      <c r="H105" s="114">
        <v>128750</v>
      </c>
      <c r="I105" s="114">
        <v>128750</v>
      </c>
      <c r="J105" s="114">
        <v>0</v>
      </c>
      <c r="K105" s="279">
        <f t="shared" si="7"/>
        <v>128750</v>
      </c>
      <c r="L105" s="270" t="s">
        <v>241</v>
      </c>
      <c r="M105" s="277"/>
      <c r="N105" s="278">
        <v>0</v>
      </c>
      <c r="O105" s="275">
        <v>0</v>
      </c>
    </row>
    <row r="106" customHeight="1" spans="1:15">
      <c r="A106" s="114">
        <v>103</v>
      </c>
      <c r="B106" s="114" t="s">
        <v>242</v>
      </c>
      <c r="C106" s="114" t="s">
        <v>243</v>
      </c>
      <c r="D106" s="114">
        <v>27046</v>
      </c>
      <c r="E106" s="114">
        <v>11</v>
      </c>
      <c r="F106" s="114">
        <v>2048</v>
      </c>
      <c r="G106" s="114">
        <v>1</v>
      </c>
      <c r="H106" s="114">
        <v>257500</v>
      </c>
      <c r="I106" s="114">
        <v>257500</v>
      </c>
      <c r="J106" s="114">
        <v>0</v>
      </c>
      <c r="K106" s="279">
        <f t="shared" si="7"/>
        <v>257500</v>
      </c>
      <c r="L106" s="270" t="s">
        <v>244</v>
      </c>
      <c r="M106" s="277"/>
      <c r="N106" s="278">
        <v>0</v>
      </c>
      <c r="O106" s="275">
        <v>0</v>
      </c>
    </row>
    <row r="107" customHeight="1" spans="1:15">
      <c r="A107" s="114">
        <v>104</v>
      </c>
      <c r="B107" s="114" t="s">
        <v>245</v>
      </c>
      <c r="C107" s="114" t="s">
        <v>246</v>
      </c>
      <c r="D107" s="114">
        <v>27047</v>
      </c>
      <c r="E107" s="114">
        <v>11</v>
      </c>
      <c r="F107" s="114">
        <v>2062</v>
      </c>
      <c r="G107" s="114">
        <v>1</v>
      </c>
      <c r="H107" s="114">
        <v>618000</v>
      </c>
      <c r="I107" s="114">
        <v>618000</v>
      </c>
      <c r="J107" s="114">
        <v>0</v>
      </c>
      <c r="K107" s="279">
        <f t="shared" si="7"/>
        <v>618000</v>
      </c>
      <c r="L107" s="270" t="s">
        <v>247</v>
      </c>
      <c r="M107" s="277"/>
      <c r="N107" s="278">
        <v>0</v>
      </c>
      <c r="O107" s="275">
        <v>0</v>
      </c>
    </row>
    <row r="108" customHeight="1" spans="1:15">
      <c r="A108" s="114">
        <v>105</v>
      </c>
      <c r="B108" s="114" t="s">
        <v>248</v>
      </c>
      <c r="C108" s="114" t="s">
        <v>249</v>
      </c>
      <c r="D108" s="114">
        <v>27048</v>
      </c>
      <c r="E108" s="114">
        <v>11</v>
      </c>
      <c r="F108" s="114">
        <v>2059</v>
      </c>
      <c r="G108" s="114">
        <v>1</v>
      </c>
      <c r="H108" s="114">
        <v>1545000</v>
      </c>
      <c r="I108" s="114">
        <v>1545000</v>
      </c>
      <c r="J108" s="114">
        <v>0</v>
      </c>
      <c r="K108" s="279">
        <f t="shared" si="7"/>
        <v>1545000</v>
      </c>
      <c r="L108" s="270" t="s">
        <v>250</v>
      </c>
      <c r="M108" s="277"/>
      <c r="N108" s="278">
        <v>0</v>
      </c>
      <c r="O108" s="275">
        <v>0</v>
      </c>
    </row>
    <row r="109" customHeight="1" spans="1:15">
      <c r="A109" s="114">
        <v>106</v>
      </c>
      <c r="B109" s="114" t="s">
        <v>251</v>
      </c>
      <c r="C109" s="114" t="s">
        <v>252</v>
      </c>
      <c r="D109" s="114">
        <v>27049</v>
      </c>
      <c r="E109" s="114">
        <v>11</v>
      </c>
      <c r="F109" s="114">
        <v>2050</v>
      </c>
      <c r="G109" s="114">
        <v>1</v>
      </c>
      <c r="H109" s="114">
        <v>3090000</v>
      </c>
      <c r="I109" s="114">
        <v>3090000</v>
      </c>
      <c r="J109" s="114">
        <v>0</v>
      </c>
      <c r="K109" s="279">
        <f t="shared" si="7"/>
        <v>3090000</v>
      </c>
      <c r="L109" s="270" t="s">
        <v>253</v>
      </c>
      <c r="M109" s="277"/>
      <c r="N109" s="278">
        <v>0</v>
      </c>
      <c r="O109" s="275">
        <v>0</v>
      </c>
    </row>
    <row r="110" customHeight="1" spans="1:15">
      <c r="A110" s="114">
        <v>107</v>
      </c>
      <c r="B110" s="114" t="s">
        <v>236</v>
      </c>
      <c r="C110" s="114" t="s">
        <v>237</v>
      </c>
      <c r="D110" s="114">
        <v>27079</v>
      </c>
      <c r="E110" s="114">
        <v>11</v>
      </c>
      <c r="F110" s="114">
        <v>2057</v>
      </c>
      <c r="G110" s="114">
        <v>1</v>
      </c>
      <c r="H110" s="114">
        <v>25750</v>
      </c>
      <c r="I110" s="114">
        <v>25750</v>
      </c>
      <c r="J110" s="114">
        <v>0</v>
      </c>
      <c r="K110" s="279">
        <f t="shared" si="7"/>
        <v>25750</v>
      </c>
      <c r="L110" s="270" t="s">
        <v>238</v>
      </c>
      <c r="M110" s="277"/>
      <c r="N110" s="278">
        <v>0</v>
      </c>
      <c r="O110" s="275">
        <v>0</v>
      </c>
    </row>
    <row r="111" customHeight="1" spans="1:15">
      <c r="A111" s="114">
        <v>108</v>
      </c>
      <c r="B111" s="114" t="s">
        <v>239</v>
      </c>
      <c r="C111" s="114" t="s">
        <v>240</v>
      </c>
      <c r="D111" s="114">
        <v>27080</v>
      </c>
      <c r="E111" s="114">
        <v>11</v>
      </c>
      <c r="F111" s="114">
        <v>2061</v>
      </c>
      <c r="G111" s="114">
        <v>1</v>
      </c>
      <c r="H111" s="114">
        <v>154500</v>
      </c>
      <c r="I111" s="114">
        <v>154500</v>
      </c>
      <c r="J111" s="114">
        <v>0</v>
      </c>
      <c r="K111" s="279">
        <f t="shared" si="7"/>
        <v>154500</v>
      </c>
      <c r="L111" s="270" t="s">
        <v>241</v>
      </c>
      <c r="M111" s="277"/>
      <c r="N111" s="278">
        <v>0</v>
      </c>
      <c r="O111" s="275">
        <v>0</v>
      </c>
    </row>
    <row r="112" customHeight="1" spans="1:255">
      <c r="A112" s="114">
        <v>109</v>
      </c>
      <c r="B112" s="114" t="s">
        <v>254</v>
      </c>
      <c r="C112" s="114" t="s">
        <v>255</v>
      </c>
      <c r="D112" s="114">
        <v>28050</v>
      </c>
      <c r="E112" s="114">
        <v>12</v>
      </c>
      <c r="F112" s="114">
        <v>1228</v>
      </c>
      <c r="G112" s="114">
        <v>1</v>
      </c>
      <c r="H112" s="114">
        <v>115</v>
      </c>
      <c r="I112" s="114">
        <v>115</v>
      </c>
      <c r="J112" s="114">
        <v>0</v>
      </c>
      <c r="K112" s="279">
        <f t="shared" si="7"/>
        <v>115</v>
      </c>
      <c r="L112" s="270" t="s">
        <v>255</v>
      </c>
      <c r="M112" s="280"/>
      <c r="N112" s="278">
        <v>0</v>
      </c>
      <c r="O112" s="275">
        <v>0</v>
      </c>
      <c r="P112" s="281"/>
      <c r="Q112" s="281"/>
      <c r="R112" s="281"/>
      <c r="S112" s="281"/>
      <c r="T112" s="281"/>
      <c r="U112" s="281"/>
      <c r="V112" s="281"/>
      <c r="W112" s="281"/>
      <c r="X112" s="281"/>
      <c r="Y112" s="281"/>
      <c r="Z112" s="281"/>
      <c r="AA112" s="281"/>
      <c r="AB112" s="281"/>
      <c r="AC112" s="281"/>
      <c r="AD112" s="281"/>
      <c r="AE112" s="281"/>
      <c r="AF112" s="281"/>
      <c r="AG112" s="281"/>
      <c r="AH112" s="281"/>
      <c r="AI112" s="281"/>
      <c r="AJ112" s="281"/>
      <c r="AK112" s="281"/>
      <c r="AL112" s="281"/>
      <c r="AM112" s="281"/>
      <c r="AN112" s="281"/>
      <c r="AO112" s="281"/>
      <c r="AP112" s="281"/>
      <c r="AQ112" s="281"/>
      <c r="AR112" s="281"/>
      <c r="AS112" s="281"/>
      <c r="AT112" s="281"/>
      <c r="AU112" s="281"/>
      <c r="AV112" s="281"/>
      <c r="AW112" s="281"/>
      <c r="AX112" s="281"/>
      <c r="AY112" s="281"/>
      <c r="AZ112" s="281"/>
      <c r="BA112" s="281"/>
      <c r="BB112" s="281"/>
      <c r="BC112" s="281"/>
      <c r="BD112" s="281"/>
      <c r="BE112" s="281"/>
      <c r="BF112" s="281"/>
      <c r="BG112" s="281"/>
      <c r="BH112" s="281"/>
      <c r="BI112" s="281"/>
      <c r="BJ112" s="281"/>
      <c r="BK112" s="281"/>
      <c r="BL112" s="281"/>
      <c r="BM112" s="281"/>
      <c r="BN112" s="281"/>
      <c r="BO112" s="281"/>
      <c r="BP112" s="281"/>
      <c r="BQ112" s="281"/>
      <c r="BR112" s="281"/>
      <c r="BS112" s="281"/>
      <c r="BT112" s="281"/>
      <c r="BU112" s="281"/>
      <c r="BV112" s="281"/>
      <c r="BW112" s="281"/>
      <c r="BX112" s="281"/>
      <c r="BY112" s="281"/>
      <c r="BZ112" s="281"/>
      <c r="CA112" s="281"/>
      <c r="CB112" s="281"/>
      <c r="CC112" s="281"/>
      <c r="CD112" s="281"/>
      <c r="CE112" s="281"/>
      <c r="CF112" s="281"/>
      <c r="CG112" s="281"/>
      <c r="CH112" s="281"/>
      <c r="CI112" s="281"/>
      <c r="CJ112" s="281"/>
      <c r="CK112" s="281"/>
      <c r="CL112" s="281"/>
      <c r="CM112" s="281"/>
      <c r="CN112" s="281"/>
      <c r="CO112" s="281"/>
      <c r="CP112" s="281"/>
      <c r="CQ112" s="281"/>
      <c r="CR112" s="281"/>
      <c r="CS112" s="281"/>
      <c r="CT112" s="281"/>
      <c r="CU112" s="281"/>
      <c r="CV112" s="281"/>
      <c r="CW112" s="281"/>
      <c r="CX112" s="281"/>
      <c r="CY112" s="281"/>
      <c r="CZ112" s="281"/>
      <c r="DA112" s="281"/>
      <c r="DB112" s="281"/>
      <c r="DC112" s="281"/>
      <c r="DD112" s="281"/>
      <c r="DE112" s="281"/>
      <c r="DF112" s="281"/>
      <c r="DG112" s="281"/>
      <c r="DH112" s="281"/>
      <c r="DI112" s="281"/>
      <c r="DJ112" s="281"/>
      <c r="DK112" s="281"/>
      <c r="DL112" s="281"/>
      <c r="DM112" s="281"/>
      <c r="DN112" s="281"/>
      <c r="DO112" s="281"/>
      <c r="DP112" s="281"/>
      <c r="DQ112" s="281"/>
      <c r="DR112" s="281"/>
      <c r="DS112" s="281"/>
      <c r="DT112" s="281"/>
      <c r="DU112" s="281"/>
      <c r="DV112" s="281"/>
      <c r="DW112" s="281"/>
      <c r="DX112" s="281"/>
      <c r="DY112" s="281"/>
      <c r="DZ112" s="281"/>
      <c r="EA112" s="281"/>
      <c r="EB112" s="281"/>
      <c r="EC112" s="281"/>
      <c r="ED112" s="281"/>
      <c r="EE112" s="281"/>
      <c r="EF112" s="281"/>
      <c r="EG112" s="281"/>
      <c r="EH112" s="281"/>
      <c r="EI112" s="281"/>
      <c r="EJ112" s="281"/>
      <c r="EK112" s="281"/>
      <c r="EL112" s="281"/>
      <c r="EM112" s="281"/>
      <c r="EN112" s="281"/>
      <c r="EO112" s="281"/>
      <c r="EP112" s="281"/>
      <c r="EQ112" s="281"/>
      <c r="ER112" s="281"/>
      <c r="ES112" s="281"/>
      <c r="ET112" s="281"/>
      <c r="EU112" s="281"/>
      <c r="EV112" s="281"/>
      <c r="EW112" s="281"/>
      <c r="EX112" s="281"/>
      <c r="EY112" s="281"/>
      <c r="EZ112" s="281"/>
      <c r="FA112" s="281"/>
      <c r="FB112" s="281"/>
      <c r="FC112" s="281"/>
      <c r="FD112" s="281"/>
      <c r="FE112" s="281"/>
      <c r="FF112" s="281"/>
      <c r="FG112" s="281"/>
      <c r="FH112" s="281"/>
      <c r="FI112" s="281"/>
      <c r="FJ112" s="281"/>
      <c r="FK112" s="281"/>
      <c r="FL112" s="281"/>
      <c r="FM112" s="281"/>
      <c r="FN112" s="281"/>
      <c r="FO112" s="281"/>
      <c r="FP112" s="281"/>
      <c r="FQ112" s="281"/>
      <c r="FR112" s="281"/>
      <c r="FS112" s="281"/>
      <c r="FT112" s="281"/>
      <c r="FU112" s="281"/>
      <c r="FV112" s="281"/>
      <c r="FW112" s="281"/>
      <c r="FX112" s="281"/>
      <c r="FY112" s="281"/>
      <c r="FZ112" s="281"/>
      <c r="GA112" s="281"/>
      <c r="GB112" s="281"/>
      <c r="GC112" s="281"/>
      <c r="GD112" s="281"/>
      <c r="GE112" s="281"/>
      <c r="GF112" s="281"/>
      <c r="GG112" s="281"/>
      <c r="GH112" s="281"/>
      <c r="GI112" s="281"/>
      <c r="GJ112" s="281"/>
      <c r="GK112" s="281"/>
      <c r="GL112" s="281"/>
      <c r="GM112" s="281"/>
      <c r="GN112" s="281"/>
      <c r="GO112" s="281"/>
      <c r="GP112" s="281"/>
      <c r="GQ112" s="281"/>
      <c r="GR112" s="281"/>
      <c r="GS112" s="281"/>
      <c r="GT112" s="281"/>
      <c r="GU112" s="281"/>
      <c r="GV112" s="281"/>
      <c r="GW112" s="281"/>
      <c r="GX112" s="281"/>
      <c r="GY112" s="281"/>
      <c r="GZ112" s="281"/>
      <c r="HA112" s="281"/>
      <c r="HB112" s="281"/>
      <c r="HC112" s="281"/>
      <c r="HD112" s="281"/>
      <c r="HE112" s="281"/>
      <c r="HF112" s="281"/>
      <c r="HG112" s="281"/>
      <c r="HH112" s="281"/>
      <c r="HI112" s="281"/>
      <c r="HJ112" s="281"/>
      <c r="HK112" s="281"/>
      <c r="HL112" s="281"/>
      <c r="HM112" s="281"/>
      <c r="HN112" s="281"/>
      <c r="HO112" s="281"/>
      <c r="HP112" s="281"/>
      <c r="HQ112" s="281"/>
      <c r="HR112" s="281"/>
      <c r="HS112" s="281"/>
      <c r="HT112" s="281"/>
      <c r="HU112" s="281"/>
      <c r="HV112" s="281"/>
      <c r="HW112" s="281"/>
      <c r="HX112" s="281"/>
      <c r="HY112" s="281"/>
      <c r="HZ112" s="281"/>
      <c r="IA112" s="281"/>
      <c r="IB112" s="281"/>
      <c r="IC112" s="281"/>
      <c r="ID112" s="281"/>
      <c r="IE112" s="281"/>
      <c r="IF112" s="281"/>
      <c r="IG112" s="281"/>
      <c r="IH112" s="281"/>
      <c r="II112" s="281"/>
      <c r="IJ112" s="281"/>
      <c r="IK112" s="281"/>
      <c r="IL112" s="281"/>
      <c r="IM112" s="281"/>
      <c r="IN112" s="281"/>
      <c r="IO112" s="281"/>
      <c r="IP112" s="281"/>
      <c r="IQ112" s="281"/>
      <c r="IR112" s="281"/>
      <c r="IS112" s="281"/>
      <c r="IT112" s="281"/>
      <c r="IU112" s="281"/>
    </row>
    <row r="113" customHeight="1" spans="1:255">
      <c r="A113" s="114">
        <v>110</v>
      </c>
      <c r="B113" s="114" t="s">
        <v>256</v>
      </c>
      <c r="C113" s="114" t="s">
        <v>257</v>
      </c>
      <c r="D113" s="114">
        <v>28051</v>
      </c>
      <c r="E113" s="114">
        <v>12</v>
      </c>
      <c r="F113" s="114">
        <v>1228</v>
      </c>
      <c r="G113" s="114">
        <v>3</v>
      </c>
      <c r="H113" s="114">
        <v>345</v>
      </c>
      <c r="I113" s="114">
        <v>345</v>
      </c>
      <c r="J113" s="114">
        <v>0</v>
      </c>
      <c r="K113" s="279">
        <f t="shared" si="7"/>
        <v>345</v>
      </c>
      <c r="L113" s="270" t="s">
        <v>257</v>
      </c>
      <c r="M113" s="280"/>
      <c r="N113" s="278">
        <v>0</v>
      </c>
      <c r="O113" s="275">
        <v>0</v>
      </c>
      <c r="P113" s="281"/>
      <c r="Q113" s="281"/>
      <c r="R113" s="281"/>
      <c r="S113" s="281"/>
      <c r="T113" s="281"/>
      <c r="U113" s="281"/>
      <c r="V113" s="281"/>
      <c r="W113" s="281"/>
      <c r="X113" s="281"/>
      <c r="Y113" s="281"/>
      <c r="Z113" s="281"/>
      <c r="AA113" s="281"/>
      <c r="AB113" s="281"/>
      <c r="AC113" s="281"/>
      <c r="AD113" s="281"/>
      <c r="AE113" s="281"/>
      <c r="AF113" s="281"/>
      <c r="AG113" s="281"/>
      <c r="AH113" s="281"/>
      <c r="AI113" s="281"/>
      <c r="AJ113" s="281"/>
      <c r="AK113" s="281"/>
      <c r="AL113" s="281"/>
      <c r="AM113" s="281"/>
      <c r="AN113" s="281"/>
      <c r="AO113" s="281"/>
      <c r="AP113" s="281"/>
      <c r="AQ113" s="281"/>
      <c r="AR113" s="281"/>
      <c r="AS113" s="281"/>
      <c r="AT113" s="281"/>
      <c r="AU113" s="281"/>
      <c r="AV113" s="281"/>
      <c r="AW113" s="281"/>
      <c r="AX113" s="281"/>
      <c r="AY113" s="281"/>
      <c r="AZ113" s="281"/>
      <c r="BA113" s="281"/>
      <c r="BB113" s="281"/>
      <c r="BC113" s="281"/>
      <c r="BD113" s="281"/>
      <c r="BE113" s="281"/>
      <c r="BF113" s="281"/>
      <c r="BG113" s="281"/>
      <c r="BH113" s="281"/>
      <c r="BI113" s="281"/>
      <c r="BJ113" s="281"/>
      <c r="BK113" s="281"/>
      <c r="BL113" s="281"/>
      <c r="BM113" s="281"/>
      <c r="BN113" s="281"/>
      <c r="BO113" s="281"/>
      <c r="BP113" s="281"/>
      <c r="BQ113" s="281"/>
      <c r="BR113" s="281"/>
      <c r="BS113" s="281"/>
      <c r="BT113" s="281"/>
      <c r="BU113" s="281"/>
      <c r="BV113" s="281"/>
      <c r="BW113" s="281"/>
      <c r="BX113" s="281"/>
      <c r="BY113" s="281"/>
      <c r="BZ113" s="281"/>
      <c r="CA113" s="281"/>
      <c r="CB113" s="281"/>
      <c r="CC113" s="281"/>
      <c r="CD113" s="281"/>
      <c r="CE113" s="281"/>
      <c r="CF113" s="281"/>
      <c r="CG113" s="281"/>
      <c r="CH113" s="281"/>
      <c r="CI113" s="281"/>
      <c r="CJ113" s="281"/>
      <c r="CK113" s="281"/>
      <c r="CL113" s="281"/>
      <c r="CM113" s="281"/>
      <c r="CN113" s="281"/>
      <c r="CO113" s="281"/>
      <c r="CP113" s="281"/>
      <c r="CQ113" s="281"/>
      <c r="CR113" s="281"/>
      <c r="CS113" s="281"/>
      <c r="CT113" s="281"/>
      <c r="CU113" s="281"/>
      <c r="CV113" s="281"/>
      <c r="CW113" s="281"/>
      <c r="CX113" s="281"/>
      <c r="CY113" s="281"/>
      <c r="CZ113" s="281"/>
      <c r="DA113" s="281"/>
      <c r="DB113" s="281"/>
      <c r="DC113" s="281"/>
      <c r="DD113" s="281"/>
      <c r="DE113" s="281"/>
      <c r="DF113" s="281"/>
      <c r="DG113" s="281"/>
      <c r="DH113" s="281"/>
      <c r="DI113" s="281"/>
      <c r="DJ113" s="281"/>
      <c r="DK113" s="281"/>
      <c r="DL113" s="281"/>
      <c r="DM113" s="281"/>
      <c r="DN113" s="281"/>
      <c r="DO113" s="281"/>
      <c r="DP113" s="281"/>
      <c r="DQ113" s="281"/>
      <c r="DR113" s="281"/>
      <c r="DS113" s="281"/>
      <c r="DT113" s="281"/>
      <c r="DU113" s="281"/>
      <c r="DV113" s="281"/>
      <c r="DW113" s="281"/>
      <c r="DX113" s="281"/>
      <c r="DY113" s="281"/>
      <c r="DZ113" s="281"/>
      <c r="EA113" s="281"/>
      <c r="EB113" s="281"/>
      <c r="EC113" s="281"/>
      <c r="ED113" s="281"/>
      <c r="EE113" s="281"/>
      <c r="EF113" s="281"/>
      <c r="EG113" s="281"/>
      <c r="EH113" s="281"/>
      <c r="EI113" s="281"/>
      <c r="EJ113" s="281"/>
      <c r="EK113" s="281"/>
      <c r="EL113" s="281"/>
      <c r="EM113" s="281"/>
      <c r="EN113" s="281"/>
      <c r="EO113" s="281"/>
      <c r="EP113" s="281"/>
      <c r="EQ113" s="281"/>
      <c r="ER113" s="281"/>
      <c r="ES113" s="281"/>
      <c r="ET113" s="281"/>
      <c r="EU113" s="281"/>
      <c r="EV113" s="281"/>
      <c r="EW113" s="281"/>
      <c r="EX113" s="281"/>
      <c r="EY113" s="281"/>
      <c r="EZ113" s="281"/>
      <c r="FA113" s="281"/>
      <c r="FB113" s="281"/>
      <c r="FC113" s="281"/>
      <c r="FD113" s="281"/>
      <c r="FE113" s="281"/>
      <c r="FF113" s="281"/>
      <c r="FG113" s="281"/>
      <c r="FH113" s="281"/>
      <c r="FI113" s="281"/>
      <c r="FJ113" s="281"/>
      <c r="FK113" s="281"/>
      <c r="FL113" s="281"/>
      <c r="FM113" s="281"/>
      <c r="FN113" s="281"/>
      <c r="FO113" s="281"/>
      <c r="FP113" s="281"/>
      <c r="FQ113" s="281"/>
      <c r="FR113" s="281"/>
      <c r="FS113" s="281"/>
      <c r="FT113" s="281"/>
      <c r="FU113" s="281"/>
      <c r="FV113" s="281"/>
      <c r="FW113" s="281"/>
      <c r="FX113" s="281"/>
      <c r="FY113" s="281"/>
      <c r="FZ113" s="281"/>
      <c r="GA113" s="281"/>
      <c r="GB113" s="281"/>
      <c r="GC113" s="281"/>
      <c r="GD113" s="281"/>
      <c r="GE113" s="281"/>
      <c r="GF113" s="281"/>
      <c r="GG113" s="281"/>
      <c r="GH113" s="281"/>
      <c r="GI113" s="281"/>
      <c r="GJ113" s="281"/>
      <c r="GK113" s="281"/>
      <c r="GL113" s="281"/>
      <c r="GM113" s="281"/>
      <c r="GN113" s="281"/>
      <c r="GO113" s="281"/>
      <c r="GP113" s="281"/>
      <c r="GQ113" s="281"/>
      <c r="GR113" s="281"/>
      <c r="GS113" s="281"/>
      <c r="GT113" s="281"/>
      <c r="GU113" s="281"/>
      <c r="GV113" s="281"/>
      <c r="GW113" s="281"/>
      <c r="GX113" s="281"/>
      <c r="GY113" s="281"/>
      <c r="GZ113" s="281"/>
      <c r="HA113" s="281"/>
      <c r="HB113" s="281"/>
      <c r="HC113" s="281"/>
      <c r="HD113" s="281"/>
      <c r="HE113" s="281"/>
      <c r="HF113" s="281"/>
      <c r="HG113" s="281"/>
      <c r="HH113" s="281"/>
      <c r="HI113" s="281"/>
      <c r="HJ113" s="281"/>
      <c r="HK113" s="281"/>
      <c r="HL113" s="281"/>
      <c r="HM113" s="281"/>
      <c r="HN113" s="281"/>
      <c r="HO113" s="281"/>
      <c r="HP113" s="281"/>
      <c r="HQ113" s="281"/>
      <c r="HR113" s="281"/>
      <c r="HS113" s="281"/>
      <c r="HT113" s="281"/>
      <c r="HU113" s="281"/>
      <c r="HV113" s="281"/>
      <c r="HW113" s="281"/>
      <c r="HX113" s="281"/>
      <c r="HY113" s="281"/>
      <c r="HZ113" s="281"/>
      <c r="IA113" s="281"/>
      <c r="IB113" s="281"/>
      <c r="IC113" s="281"/>
      <c r="ID113" s="281"/>
      <c r="IE113" s="281"/>
      <c r="IF113" s="281"/>
      <c r="IG113" s="281"/>
      <c r="IH113" s="281"/>
      <c r="II113" s="281"/>
      <c r="IJ113" s="281"/>
      <c r="IK113" s="281"/>
      <c r="IL113" s="281"/>
      <c r="IM113" s="281"/>
      <c r="IN113" s="281"/>
      <c r="IO113" s="281"/>
      <c r="IP113" s="281"/>
      <c r="IQ113" s="281"/>
      <c r="IR113" s="281"/>
      <c r="IS113" s="281"/>
      <c r="IT113" s="281"/>
      <c r="IU113" s="281"/>
    </row>
    <row r="114" customHeight="1" spans="1:15">
      <c r="A114" s="114">
        <v>111</v>
      </c>
      <c r="B114" s="114" t="s">
        <v>258</v>
      </c>
      <c r="C114" s="114" t="s">
        <v>259</v>
      </c>
      <c r="D114" s="114">
        <v>28052</v>
      </c>
      <c r="E114" s="114">
        <v>12</v>
      </c>
      <c r="F114" s="114">
        <v>1228</v>
      </c>
      <c r="G114" s="114">
        <v>10</v>
      </c>
      <c r="H114" s="114">
        <v>1150</v>
      </c>
      <c r="I114" s="114">
        <v>1150</v>
      </c>
      <c r="J114" s="114">
        <v>0</v>
      </c>
      <c r="K114" s="279">
        <f t="shared" si="7"/>
        <v>1150</v>
      </c>
      <c r="L114" s="270" t="s">
        <v>259</v>
      </c>
      <c r="M114" s="277"/>
      <c r="N114" s="278">
        <v>0</v>
      </c>
      <c r="O114" s="275">
        <v>0</v>
      </c>
    </row>
    <row r="115" customHeight="1" spans="1:15">
      <c r="A115" s="114">
        <v>112</v>
      </c>
      <c r="B115" s="114" t="s">
        <v>260</v>
      </c>
      <c r="C115" s="114" t="s">
        <v>261</v>
      </c>
      <c r="D115" s="114">
        <v>28053</v>
      </c>
      <c r="E115" s="114">
        <v>12</v>
      </c>
      <c r="F115" s="114">
        <v>1228</v>
      </c>
      <c r="G115" s="114">
        <v>30</v>
      </c>
      <c r="H115" s="114">
        <v>3450</v>
      </c>
      <c r="I115" s="114">
        <v>3450</v>
      </c>
      <c r="J115" s="114">
        <v>0</v>
      </c>
      <c r="K115" s="279">
        <f t="shared" si="7"/>
        <v>3450</v>
      </c>
      <c r="L115" s="270" t="s">
        <v>261</v>
      </c>
      <c r="M115" s="277"/>
      <c r="N115" s="278">
        <v>0</v>
      </c>
      <c r="O115" s="275">
        <v>0</v>
      </c>
    </row>
    <row r="116" customHeight="1" spans="1:15">
      <c r="A116" s="114">
        <v>113</v>
      </c>
      <c r="B116" s="114" t="s">
        <v>262</v>
      </c>
      <c r="C116" s="114" t="s">
        <v>263</v>
      </c>
      <c r="D116" s="114">
        <v>28070</v>
      </c>
      <c r="E116" s="114">
        <v>12</v>
      </c>
      <c r="F116" s="114">
        <v>1228</v>
      </c>
      <c r="G116" s="114">
        <v>100</v>
      </c>
      <c r="H116" s="114">
        <v>11500</v>
      </c>
      <c r="I116" s="114">
        <v>11500</v>
      </c>
      <c r="J116" s="114">
        <v>0</v>
      </c>
      <c r="K116" s="279">
        <f t="shared" si="7"/>
        <v>11500</v>
      </c>
      <c r="L116" s="270" t="s">
        <v>263</v>
      </c>
      <c r="M116" s="277"/>
      <c r="N116" s="278">
        <v>0</v>
      </c>
      <c r="O116" s="275">
        <v>0</v>
      </c>
    </row>
    <row r="117" customHeight="1" spans="1:15">
      <c r="A117" s="114">
        <v>114</v>
      </c>
      <c r="B117" s="114" t="s">
        <v>264</v>
      </c>
      <c r="C117" s="114" t="s">
        <v>265</v>
      </c>
      <c r="D117" s="114">
        <v>28071</v>
      </c>
      <c r="E117" s="114">
        <v>12</v>
      </c>
      <c r="F117" s="114">
        <v>1228</v>
      </c>
      <c r="G117" s="114">
        <v>300</v>
      </c>
      <c r="H117" s="114">
        <v>34500</v>
      </c>
      <c r="I117" s="114">
        <v>34500</v>
      </c>
      <c r="J117" s="114">
        <v>0</v>
      </c>
      <c r="K117" s="279">
        <f t="shared" si="7"/>
        <v>34500</v>
      </c>
      <c r="L117" s="270" t="s">
        <v>265</v>
      </c>
      <c r="M117" s="277"/>
      <c r="N117" s="278">
        <v>0</v>
      </c>
      <c r="O117" s="275">
        <v>0</v>
      </c>
    </row>
    <row r="118" customHeight="1" spans="1:15">
      <c r="A118" s="114">
        <v>115</v>
      </c>
      <c r="B118" s="114" t="s">
        <v>266</v>
      </c>
      <c r="C118" s="114" t="s">
        <v>267</v>
      </c>
      <c r="D118" s="114">
        <v>28072</v>
      </c>
      <c r="E118" s="114">
        <v>12</v>
      </c>
      <c r="F118" s="114">
        <v>1228</v>
      </c>
      <c r="G118" s="114">
        <v>400</v>
      </c>
      <c r="H118" s="114">
        <v>46000</v>
      </c>
      <c r="I118" s="114">
        <v>46000</v>
      </c>
      <c r="J118" s="114">
        <v>0</v>
      </c>
      <c r="K118" s="279">
        <f t="shared" si="7"/>
        <v>46000</v>
      </c>
      <c r="L118" s="270" t="s">
        <v>267</v>
      </c>
      <c r="M118" s="277"/>
      <c r="N118" s="278">
        <v>0</v>
      </c>
      <c r="O118" s="275">
        <v>0</v>
      </c>
    </row>
    <row r="119" customHeight="1" spans="1:15">
      <c r="A119" s="114">
        <v>116</v>
      </c>
      <c r="B119" s="114" t="s">
        <v>268</v>
      </c>
      <c r="C119" s="114" t="s">
        <v>269</v>
      </c>
      <c r="D119" s="114">
        <v>28073</v>
      </c>
      <c r="E119" s="114">
        <v>12</v>
      </c>
      <c r="F119" s="114">
        <v>1228</v>
      </c>
      <c r="G119" s="114">
        <v>1000</v>
      </c>
      <c r="H119" s="114">
        <v>115000</v>
      </c>
      <c r="I119" s="114">
        <v>115000</v>
      </c>
      <c r="J119" s="114">
        <v>0</v>
      </c>
      <c r="K119" s="279">
        <f t="shared" si="7"/>
        <v>115000</v>
      </c>
      <c r="L119" s="270" t="s">
        <v>269</v>
      </c>
      <c r="M119" s="277"/>
      <c r="N119" s="278">
        <v>0</v>
      </c>
      <c r="O119" s="275">
        <v>0</v>
      </c>
    </row>
    <row r="120" customHeight="1" spans="1:15">
      <c r="A120" s="114">
        <v>117</v>
      </c>
      <c r="B120" s="114" t="s">
        <v>270</v>
      </c>
      <c r="C120" s="114" t="s">
        <v>271</v>
      </c>
      <c r="D120" s="114">
        <v>29054</v>
      </c>
      <c r="E120" s="114">
        <v>13</v>
      </c>
      <c r="F120" s="114">
        <v>46001</v>
      </c>
      <c r="G120" s="114">
        <v>1</v>
      </c>
      <c r="H120" s="114">
        <v>350</v>
      </c>
      <c r="I120" s="114">
        <v>350</v>
      </c>
      <c r="J120" s="114">
        <v>0</v>
      </c>
      <c r="K120" s="279">
        <f t="shared" si="7"/>
        <v>350</v>
      </c>
      <c r="L120" s="270" t="s">
        <v>272</v>
      </c>
      <c r="M120" s="277"/>
      <c r="N120" s="278">
        <v>0</v>
      </c>
      <c r="O120" s="275">
        <v>0</v>
      </c>
    </row>
    <row r="121" customHeight="1" spans="1:15">
      <c r="A121" s="114">
        <v>118</v>
      </c>
      <c r="B121" s="114" t="s">
        <v>270</v>
      </c>
      <c r="C121" s="114" t="s">
        <v>271</v>
      </c>
      <c r="D121" s="114">
        <v>29067</v>
      </c>
      <c r="E121" s="114">
        <v>13</v>
      </c>
      <c r="F121" s="114">
        <v>46002</v>
      </c>
      <c r="G121" s="114">
        <v>1</v>
      </c>
      <c r="H121" s="114">
        <v>15000</v>
      </c>
      <c r="I121" s="114">
        <v>15000</v>
      </c>
      <c r="J121" s="114">
        <v>0</v>
      </c>
      <c r="K121" s="279">
        <f t="shared" si="7"/>
        <v>15000</v>
      </c>
      <c r="L121" s="270" t="s">
        <v>273</v>
      </c>
      <c r="M121" s="277"/>
      <c r="N121" s="278">
        <v>0</v>
      </c>
      <c r="O121" s="275">
        <v>0</v>
      </c>
    </row>
    <row r="122" customHeight="1" spans="1:15">
      <c r="A122" s="114">
        <v>119</v>
      </c>
      <c r="B122" s="114" t="s">
        <v>270</v>
      </c>
      <c r="C122" s="114" t="s">
        <v>271</v>
      </c>
      <c r="D122" s="114">
        <v>29068</v>
      </c>
      <c r="E122" s="114">
        <v>13</v>
      </c>
      <c r="F122" s="114">
        <v>46003</v>
      </c>
      <c r="G122" s="114">
        <v>1</v>
      </c>
      <c r="H122" s="114">
        <v>160000</v>
      </c>
      <c r="I122" s="114">
        <v>160000</v>
      </c>
      <c r="J122" s="114">
        <v>0</v>
      </c>
      <c r="K122" s="279">
        <f t="shared" si="7"/>
        <v>160000</v>
      </c>
      <c r="L122" s="270" t="s">
        <v>274</v>
      </c>
      <c r="M122" s="277"/>
      <c r="N122" s="278">
        <v>0</v>
      </c>
      <c r="O122" s="275">
        <v>0</v>
      </c>
    </row>
    <row r="123" customHeight="1" spans="1:15">
      <c r="A123" s="114">
        <v>120</v>
      </c>
      <c r="B123" s="114" t="s">
        <v>270</v>
      </c>
      <c r="C123" s="114" t="s">
        <v>271</v>
      </c>
      <c r="D123" s="114">
        <v>29069</v>
      </c>
      <c r="E123" s="114">
        <v>13</v>
      </c>
      <c r="F123" s="114">
        <v>46004</v>
      </c>
      <c r="G123" s="114">
        <v>1</v>
      </c>
      <c r="H123" s="114">
        <v>1000000</v>
      </c>
      <c r="I123" s="114">
        <v>1000000</v>
      </c>
      <c r="J123" s="114">
        <v>0</v>
      </c>
      <c r="K123" s="279">
        <f t="shared" si="7"/>
        <v>1000000</v>
      </c>
      <c r="L123" s="270" t="s">
        <v>275</v>
      </c>
      <c r="M123" s="277"/>
      <c r="N123" s="278">
        <v>0</v>
      </c>
      <c r="O123" s="275">
        <v>0</v>
      </c>
    </row>
    <row r="124" customHeight="1" spans="1:15">
      <c r="A124" s="114">
        <v>121</v>
      </c>
      <c r="B124" s="114" t="s">
        <v>276</v>
      </c>
      <c r="C124" s="114" t="s">
        <v>277</v>
      </c>
      <c r="D124" s="114">
        <v>30059</v>
      </c>
      <c r="E124" s="114">
        <v>14</v>
      </c>
      <c r="F124" s="114">
        <v>4141</v>
      </c>
      <c r="G124" s="114">
        <v>1</v>
      </c>
      <c r="H124" s="114">
        <v>1200000</v>
      </c>
      <c r="I124" s="114">
        <f>H124</f>
        <v>1200000</v>
      </c>
      <c r="J124" s="114">
        <v>0</v>
      </c>
      <c r="K124" s="279">
        <f t="shared" si="7"/>
        <v>1200000</v>
      </c>
      <c r="L124" s="270" t="s">
        <v>278</v>
      </c>
      <c r="M124" s="277"/>
      <c r="N124" s="278">
        <v>0</v>
      </c>
      <c r="O124" s="275">
        <v>0</v>
      </c>
    </row>
    <row r="125" customHeight="1" spans="1:15">
      <c r="A125" s="114">
        <v>122</v>
      </c>
      <c r="B125" s="114" t="s">
        <v>279</v>
      </c>
      <c r="C125" s="114" t="s">
        <v>280</v>
      </c>
      <c r="D125" s="114">
        <v>30060</v>
      </c>
      <c r="E125" s="114">
        <v>14</v>
      </c>
      <c r="F125" s="114">
        <v>4142</v>
      </c>
      <c r="G125" s="114">
        <v>1</v>
      </c>
      <c r="H125" s="114">
        <v>3600000</v>
      </c>
      <c r="I125" s="114">
        <f t="shared" ref="I125:I127" si="8">H125</f>
        <v>3600000</v>
      </c>
      <c r="J125" s="114">
        <v>0</v>
      </c>
      <c r="K125" s="279">
        <f t="shared" si="7"/>
        <v>3600000</v>
      </c>
      <c r="L125" s="270" t="s">
        <v>281</v>
      </c>
      <c r="M125" s="277"/>
      <c r="N125" s="278">
        <v>0</v>
      </c>
      <c r="O125" s="275">
        <v>0</v>
      </c>
    </row>
    <row r="126" customHeight="1" spans="1:15">
      <c r="A126" s="114">
        <v>123</v>
      </c>
      <c r="B126" s="114" t="s">
        <v>282</v>
      </c>
      <c r="C126" s="114" t="s">
        <v>283</v>
      </c>
      <c r="D126" s="114">
        <v>30061</v>
      </c>
      <c r="E126" s="114">
        <v>14</v>
      </c>
      <c r="F126" s="114">
        <v>4144</v>
      </c>
      <c r="G126" s="114">
        <v>1</v>
      </c>
      <c r="H126" s="114">
        <v>12000000</v>
      </c>
      <c r="I126" s="114">
        <f t="shared" si="8"/>
        <v>12000000</v>
      </c>
      <c r="J126" s="114">
        <v>0</v>
      </c>
      <c r="K126" s="279">
        <f t="shared" si="7"/>
        <v>12000000</v>
      </c>
      <c r="L126" s="270" t="s">
        <v>284</v>
      </c>
      <c r="M126" s="277"/>
      <c r="N126" s="278">
        <v>0</v>
      </c>
      <c r="O126" s="275">
        <v>0</v>
      </c>
    </row>
    <row r="127" customHeight="1" spans="1:15">
      <c r="A127" s="114">
        <v>124</v>
      </c>
      <c r="B127" s="114" t="s">
        <v>285</v>
      </c>
      <c r="C127" s="114" t="s">
        <v>286</v>
      </c>
      <c r="D127" s="114">
        <v>31062</v>
      </c>
      <c r="E127" s="114">
        <v>15</v>
      </c>
      <c r="F127" s="114">
        <v>4233</v>
      </c>
      <c r="G127" s="114">
        <v>1</v>
      </c>
      <c r="H127" s="114">
        <v>12000000</v>
      </c>
      <c r="I127" s="114">
        <f t="shared" si="8"/>
        <v>12000000</v>
      </c>
      <c r="J127" s="114">
        <v>0</v>
      </c>
      <c r="K127" s="279">
        <f t="shared" si="7"/>
        <v>12000000</v>
      </c>
      <c r="L127" s="270" t="s">
        <v>287</v>
      </c>
      <c r="M127" s="277"/>
      <c r="N127" s="278">
        <v>0</v>
      </c>
      <c r="O127" s="275">
        <v>0</v>
      </c>
    </row>
    <row r="128" customHeight="1" spans="1:15">
      <c r="A128" s="114">
        <v>125</v>
      </c>
      <c r="B128" s="114" t="s">
        <v>288</v>
      </c>
      <c r="C128" s="114" t="s">
        <v>289</v>
      </c>
      <c r="D128" s="114">
        <v>32063</v>
      </c>
      <c r="E128" s="114">
        <v>16</v>
      </c>
      <c r="F128" s="114">
        <v>3106</v>
      </c>
      <c r="G128" s="114">
        <v>1</v>
      </c>
      <c r="H128" s="114">
        <v>300</v>
      </c>
      <c r="I128" s="114">
        <v>300</v>
      </c>
      <c r="J128" s="114">
        <v>0</v>
      </c>
      <c r="K128" s="279">
        <f t="shared" si="7"/>
        <v>300</v>
      </c>
      <c r="L128" s="270" t="s">
        <v>289</v>
      </c>
      <c r="M128" s="277"/>
      <c r="N128" s="278">
        <v>0</v>
      </c>
      <c r="O128" s="275">
        <v>0</v>
      </c>
    </row>
    <row r="129" customHeight="1" spans="1:15">
      <c r="A129" s="114">
        <v>126</v>
      </c>
      <c r="B129" s="114" t="s">
        <v>290</v>
      </c>
      <c r="C129" s="114" t="s">
        <v>291</v>
      </c>
      <c r="D129" s="114">
        <v>32064</v>
      </c>
      <c r="E129" s="114">
        <v>16</v>
      </c>
      <c r="F129" s="114">
        <v>3106</v>
      </c>
      <c r="G129" s="114">
        <v>5</v>
      </c>
      <c r="H129" s="114">
        <v>7500</v>
      </c>
      <c r="I129" s="114">
        <v>7500</v>
      </c>
      <c r="J129" s="114">
        <v>0</v>
      </c>
      <c r="K129" s="279">
        <f t="shared" si="7"/>
        <v>7500</v>
      </c>
      <c r="L129" s="270" t="s">
        <v>291</v>
      </c>
      <c r="M129" s="277"/>
      <c r="N129" s="278">
        <v>0</v>
      </c>
      <c r="O129" s="275">
        <v>0</v>
      </c>
    </row>
    <row r="130" customHeight="1" spans="1:15">
      <c r="A130" s="114">
        <v>127</v>
      </c>
      <c r="B130" s="114" t="s">
        <v>292</v>
      </c>
      <c r="C130" s="114" t="s">
        <v>293</v>
      </c>
      <c r="D130" s="114">
        <v>32065</v>
      </c>
      <c r="E130" s="114">
        <v>16</v>
      </c>
      <c r="F130" s="114">
        <v>3106</v>
      </c>
      <c r="G130" s="114">
        <v>20</v>
      </c>
      <c r="H130" s="114">
        <v>30000</v>
      </c>
      <c r="I130" s="114">
        <v>30000</v>
      </c>
      <c r="J130" s="114">
        <v>0</v>
      </c>
      <c r="K130" s="279">
        <f t="shared" si="7"/>
        <v>30000</v>
      </c>
      <c r="L130" s="270" t="s">
        <v>293</v>
      </c>
      <c r="M130" s="277"/>
      <c r="N130" s="278">
        <v>0</v>
      </c>
      <c r="O130" s="275">
        <v>0</v>
      </c>
    </row>
    <row r="131" customHeight="1" spans="1:15">
      <c r="A131" s="114">
        <v>128</v>
      </c>
      <c r="B131" s="114" t="s">
        <v>294</v>
      </c>
      <c r="C131" s="114" t="s">
        <v>295</v>
      </c>
      <c r="D131" s="114">
        <v>32066</v>
      </c>
      <c r="E131" s="114">
        <v>16</v>
      </c>
      <c r="F131" s="114">
        <v>3106</v>
      </c>
      <c r="G131" s="114">
        <v>50</v>
      </c>
      <c r="H131" s="114">
        <v>100000</v>
      </c>
      <c r="I131" s="114">
        <v>100000</v>
      </c>
      <c r="J131" s="114">
        <v>0</v>
      </c>
      <c r="K131" s="279">
        <f t="shared" si="7"/>
        <v>100000</v>
      </c>
      <c r="L131" s="270" t="s">
        <v>295</v>
      </c>
      <c r="M131" s="277"/>
      <c r="N131" s="278">
        <v>0</v>
      </c>
      <c r="O131" s="275">
        <v>0</v>
      </c>
    </row>
    <row r="132" customHeight="1" spans="1:15">
      <c r="A132" s="114">
        <v>129</v>
      </c>
      <c r="B132" s="114" t="s">
        <v>296</v>
      </c>
      <c r="C132" s="114" t="s">
        <v>297</v>
      </c>
      <c r="D132" s="114">
        <v>33074</v>
      </c>
      <c r="E132" s="114">
        <v>17</v>
      </c>
      <c r="F132" s="114">
        <v>0</v>
      </c>
      <c r="G132" s="114">
        <v>2</v>
      </c>
      <c r="H132" s="114">
        <v>4800</v>
      </c>
      <c r="I132" s="114">
        <v>4800</v>
      </c>
      <c r="J132" s="114">
        <v>0</v>
      </c>
      <c r="K132" s="269">
        <v>0</v>
      </c>
      <c r="L132" s="270" t="s">
        <v>298</v>
      </c>
      <c r="M132" s="277"/>
      <c r="N132" s="278">
        <v>0</v>
      </c>
      <c r="O132" s="275">
        <v>0</v>
      </c>
    </row>
    <row r="133" customHeight="1" spans="1:15">
      <c r="A133" s="114">
        <v>130</v>
      </c>
      <c r="B133" s="114" t="s">
        <v>299</v>
      </c>
      <c r="C133" s="114" t="s">
        <v>300</v>
      </c>
      <c r="D133" s="114">
        <v>33075</v>
      </c>
      <c r="E133" s="114">
        <v>17</v>
      </c>
      <c r="F133" s="114">
        <v>0</v>
      </c>
      <c r="G133" s="114">
        <v>3</v>
      </c>
      <c r="H133" s="114">
        <v>3200</v>
      </c>
      <c r="I133" s="114">
        <v>3200</v>
      </c>
      <c r="J133" s="114">
        <v>0</v>
      </c>
      <c r="K133" s="269">
        <v>0</v>
      </c>
      <c r="L133" s="270" t="s">
        <v>301</v>
      </c>
      <c r="M133" s="277"/>
      <c r="N133" s="278">
        <v>0</v>
      </c>
      <c r="O133" s="275">
        <v>0</v>
      </c>
    </row>
    <row r="134" customHeight="1" spans="1:15">
      <c r="A134" s="114">
        <v>131</v>
      </c>
      <c r="B134" s="114" t="s">
        <v>302</v>
      </c>
      <c r="C134" s="114" t="s">
        <v>303</v>
      </c>
      <c r="D134" s="114">
        <v>33076</v>
      </c>
      <c r="E134" s="114">
        <v>17</v>
      </c>
      <c r="F134" s="114">
        <v>0</v>
      </c>
      <c r="G134" s="114">
        <v>4</v>
      </c>
      <c r="H134" s="114">
        <v>2400</v>
      </c>
      <c r="I134" s="114">
        <v>2400</v>
      </c>
      <c r="J134" s="114">
        <v>0</v>
      </c>
      <c r="K134" s="269">
        <v>0</v>
      </c>
      <c r="L134" s="270" t="s">
        <v>304</v>
      </c>
      <c r="M134" s="277"/>
      <c r="N134" s="278">
        <v>0</v>
      </c>
      <c r="O134" s="275">
        <v>0</v>
      </c>
    </row>
    <row r="135" customHeight="1" spans="1:15">
      <c r="A135" s="114">
        <v>132</v>
      </c>
      <c r="B135" s="114" t="s">
        <v>305</v>
      </c>
      <c r="C135" s="114" t="s">
        <v>306</v>
      </c>
      <c r="D135" s="114">
        <v>34077</v>
      </c>
      <c r="E135" s="114">
        <v>18</v>
      </c>
      <c r="F135" s="114">
        <v>0</v>
      </c>
      <c r="G135" s="114">
        <v>1</v>
      </c>
      <c r="H135" s="114">
        <v>2000</v>
      </c>
      <c r="I135" s="114">
        <v>2000</v>
      </c>
      <c r="J135" s="114">
        <v>0</v>
      </c>
      <c r="K135" s="269">
        <v>0</v>
      </c>
      <c r="L135" s="270" t="s">
        <v>307</v>
      </c>
      <c r="M135" s="277"/>
      <c r="N135" s="278">
        <v>0</v>
      </c>
      <c r="O135" s="275">
        <v>0</v>
      </c>
    </row>
    <row r="136" customHeight="1" spans="1:15">
      <c r="A136" s="114">
        <v>133</v>
      </c>
      <c r="B136" s="114" t="s">
        <v>308</v>
      </c>
      <c r="C136" s="114" t="s">
        <v>140</v>
      </c>
      <c r="D136" s="114">
        <v>35027</v>
      </c>
      <c r="E136" s="114">
        <v>19</v>
      </c>
      <c r="F136" s="114">
        <v>1301</v>
      </c>
      <c r="G136" s="114">
        <v>2</v>
      </c>
      <c r="H136" s="114">
        <f>2000*1.03</f>
        <v>2060</v>
      </c>
      <c r="I136" s="114">
        <f>H136</f>
        <v>2060</v>
      </c>
      <c r="J136" s="114">
        <v>2000</v>
      </c>
      <c r="K136" s="269">
        <f>J136</f>
        <v>2000</v>
      </c>
      <c r="L136" s="270" t="s">
        <v>309</v>
      </c>
      <c r="M136" s="277"/>
      <c r="N136" s="278">
        <v>0</v>
      </c>
      <c r="O136" s="275">
        <v>0</v>
      </c>
    </row>
    <row r="137" customHeight="1" spans="1:15">
      <c r="A137" s="114">
        <v>134</v>
      </c>
      <c r="B137" s="114" t="s">
        <v>145</v>
      </c>
      <c r="C137" s="114" t="s">
        <v>146</v>
      </c>
      <c r="D137" s="114">
        <v>35030</v>
      </c>
      <c r="E137" s="114">
        <v>19</v>
      </c>
      <c r="F137" s="114">
        <v>1301</v>
      </c>
      <c r="G137" s="114">
        <v>4</v>
      </c>
      <c r="H137" s="114">
        <f>4000*1.03</f>
        <v>4120</v>
      </c>
      <c r="I137" s="114">
        <f t="shared" ref="I137:I138" si="9">H137</f>
        <v>4120</v>
      </c>
      <c r="J137" s="114">
        <v>4000</v>
      </c>
      <c r="K137" s="269">
        <f t="shared" ref="K137:K138" si="10">J137</f>
        <v>4000</v>
      </c>
      <c r="L137" s="270" t="s">
        <v>310</v>
      </c>
      <c r="M137" s="277"/>
      <c r="N137" s="278">
        <v>0</v>
      </c>
      <c r="O137" s="275">
        <v>0</v>
      </c>
    </row>
    <row r="138" customHeight="1" spans="1:15">
      <c r="A138" s="114">
        <v>135</v>
      </c>
      <c r="B138" s="114" t="s">
        <v>149</v>
      </c>
      <c r="C138" s="114" t="s">
        <v>150</v>
      </c>
      <c r="D138" s="114">
        <v>35031</v>
      </c>
      <c r="E138" s="114">
        <v>19</v>
      </c>
      <c r="F138" s="114">
        <v>1301</v>
      </c>
      <c r="G138" s="114">
        <v>6</v>
      </c>
      <c r="H138" s="114">
        <f>6000*1.03</f>
        <v>6180</v>
      </c>
      <c r="I138" s="114">
        <f t="shared" si="9"/>
        <v>6180</v>
      </c>
      <c r="J138" s="114">
        <v>6000</v>
      </c>
      <c r="K138" s="269">
        <f t="shared" si="10"/>
        <v>6000</v>
      </c>
      <c r="L138" s="270" t="s">
        <v>311</v>
      </c>
      <c r="M138" s="277"/>
      <c r="N138" s="278">
        <v>0</v>
      </c>
      <c r="O138" s="275">
        <v>0</v>
      </c>
    </row>
    <row r="139" customHeight="1" spans="1:15">
      <c r="A139" s="114">
        <v>136</v>
      </c>
      <c r="B139" s="114" t="s">
        <v>149</v>
      </c>
      <c r="C139" s="114" t="s">
        <v>150</v>
      </c>
      <c r="D139" s="114">
        <v>36031</v>
      </c>
      <c r="E139" s="114">
        <v>20</v>
      </c>
      <c r="F139" s="114">
        <v>0</v>
      </c>
      <c r="G139" s="114">
        <v>10</v>
      </c>
      <c r="H139" s="114">
        <v>880</v>
      </c>
      <c r="I139" s="114">
        <v>880</v>
      </c>
      <c r="J139" s="114">
        <v>0</v>
      </c>
      <c r="K139" s="269">
        <v>0</v>
      </c>
      <c r="L139" s="270" t="s">
        <v>312</v>
      </c>
      <c r="M139" s="277"/>
      <c r="N139" s="278">
        <v>0</v>
      </c>
      <c r="O139" s="275">
        <v>0</v>
      </c>
    </row>
    <row r="140" customHeight="1" spans="1:15">
      <c r="A140" s="114">
        <v>137</v>
      </c>
      <c r="B140" s="114" t="s">
        <v>313</v>
      </c>
      <c r="C140" s="114" t="s">
        <v>314</v>
      </c>
      <c r="D140" s="114">
        <v>36078</v>
      </c>
      <c r="E140" s="114">
        <v>20</v>
      </c>
      <c r="F140" s="114">
        <v>0</v>
      </c>
      <c r="G140" s="114">
        <v>20</v>
      </c>
      <c r="H140" s="114">
        <v>400</v>
      </c>
      <c r="I140" s="114">
        <v>400</v>
      </c>
      <c r="J140" s="114">
        <v>0</v>
      </c>
      <c r="K140" s="269">
        <v>0</v>
      </c>
      <c r="L140" s="270" t="s">
        <v>315</v>
      </c>
      <c r="M140" s="277"/>
      <c r="N140" s="278">
        <v>0</v>
      </c>
      <c r="O140" s="275">
        <v>0</v>
      </c>
    </row>
    <row r="141" customHeight="1" spans="1:15">
      <c r="A141" s="114">
        <v>138</v>
      </c>
      <c r="B141" s="114" t="s">
        <v>316</v>
      </c>
      <c r="C141" s="114" t="s">
        <v>317</v>
      </c>
      <c r="D141" s="114">
        <v>37083</v>
      </c>
      <c r="E141" s="114">
        <v>21</v>
      </c>
      <c r="F141" s="114" t="s">
        <v>318</v>
      </c>
      <c r="G141" s="114">
        <v>0</v>
      </c>
      <c r="H141" s="114">
        <v>40</v>
      </c>
      <c r="I141" s="114">
        <v>40</v>
      </c>
      <c r="J141" s="114">
        <v>0</v>
      </c>
      <c r="K141" s="269">
        <v>0</v>
      </c>
      <c r="L141" s="270" t="s">
        <v>317</v>
      </c>
      <c r="M141" s="277"/>
      <c r="N141" s="278">
        <v>0</v>
      </c>
      <c r="O141" s="275">
        <v>0</v>
      </c>
    </row>
    <row r="142" customHeight="1" spans="1:15">
      <c r="A142" s="114">
        <v>139</v>
      </c>
      <c r="B142" s="114" t="s">
        <v>316</v>
      </c>
      <c r="C142" s="114" t="s">
        <v>317</v>
      </c>
      <c r="D142" s="114">
        <v>37084</v>
      </c>
      <c r="E142" s="114">
        <v>21</v>
      </c>
      <c r="F142" s="114" t="s">
        <v>319</v>
      </c>
      <c r="G142" s="114">
        <v>0</v>
      </c>
      <c r="H142" s="114">
        <v>100</v>
      </c>
      <c r="I142" s="114">
        <v>100</v>
      </c>
      <c r="J142" s="114">
        <v>0</v>
      </c>
      <c r="K142" s="269">
        <v>0</v>
      </c>
      <c r="L142" s="270" t="s">
        <v>317</v>
      </c>
      <c r="M142" s="277"/>
      <c r="N142" s="278">
        <v>0</v>
      </c>
      <c r="O142" s="275">
        <v>0</v>
      </c>
    </row>
    <row r="143" customHeight="1" spans="1:15">
      <c r="A143" s="114">
        <v>140</v>
      </c>
      <c r="B143" s="114" t="s">
        <v>115</v>
      </c>
      <c r="C143" s="114" t="s">
        <v>116</v>
      </c>
      <c r="D143" s="114">
        <v>40099</v>
      </c>
      <c r="E143" s="114">
        <v>22</v>
      </c>
      <c r="F143" s="80">
        <v>48001</v>
      </c>
      <c r="G143" s="114">
        <v>0</v>
      </c>
      <c r="H143" s="114">
        <v>200</v>
      </c>
      <c r="I143" s="114">
        <v>200</v>
      </c>
      <c r="J143" s="114">
        <v>0</v>
      </c>
      <c r="K143" s="269">
        <f t="shared" ref="K143:K147" si="11">H143</f>
        <v>200</v>
      </c>
      <c r="L143" s="270" t="s">
        <v>320</v>
      </c>
      <c r="M143" s="277"/>
      <c r="N143" s="278">
        <v>0</v>
      </c>
      <c r="O143" s="275">
        <v>0</v>
      </c>
    </row>
    <row r="144" customHeight="1" spans="1:15">
      <c r="A144" s="114">
        <v>141</v>
      </c>
      <c r="B144" s="114" t="s">
        <v>115</v>
      </c>
      <c r="C144" s="114" t="s">
        <v>116</v>
      </c>
      <c r="D144" s="114">
        <v>41099</v>
      </c>
      <c r="E144" s="114">
        <v>22</v>
      </c>
      <c r="F144" s="80">
        <v>48002</v>
      </c>
      <c r="G144" s="114">
        <v>0</v>
      </c>
      <c r="H144" s="114">
        <v>300</v>
      </c>
      <c r="I144" s="114">
        <v>300</v>
      </c>
      <c r="J144" s="114">
        <v>0</v>
      </c>
      <c r="K144" s="269">
        <f t="shared" si="11"/>
        <v>300</v>
      </c>
      <c r="L144" s="270" t="s">
        <v>320</v>
      </c>
      <c r="M144" s="277"/>
      <c r="N144" s="278">
        <v>0</v>
      </c>
      <c r="O144" s="275">
        <v>0</v>
      </c>
    </row>
    <row r="145" customHeight="1" spans="1:15">
      <c r="A145" s="114">
        <v>142</v>
      </c>
      <c r="B145" s="114" t="s">
        <v>115</v>
      </c>
      <c r="C145" s="114" t="s">
        <v>116</v>
      </c>
      <c r="D145" s="114">
        <v>42099</v>
      </c>
      <c r="E145" s="114">
        <v>22</v>
      </c>
      <c r="F145" s="80">
        <v>48003</v>
      </c>
      <c r="G145" s="114">
        <v>0</v>
      </c>
      <c r="H145" s="114">
        <v>600</v>
      </c>
      <c r="I145" s="114">
        <v>600</v>
      </c>
      <c r="J145" s="114">
        <v>0</v>
      </c>
      <c r="K145" s="269">
        <f t="shared" si="11"/>
        <v>600</v>
      </c>
      <c r="L145" s="270" t="s">
        <v>320</v>
      </c>
      <c r="M145" s="277"/>
      <c r="N145" s="278">
        <v>0</v>
      </c>
      <c r="O145" s="275">
        <v>0</v>
      </c>
    </row>
    <row r="146" customHeight="1" spans="1:15">
      <c r="A146" s="114">
        <v>143</v>
      </c>
      <c r="B146" s="114" t="s">
        <v>115</v>
      </c>
      <c r="C146" s="114" t="s">
        <v>116</v>
      </c>
      <c r="D146" s="114">
        <v>43099</v>
      </c>
      <c r="E146" s="114">
        <v>22</v>
      </c>
      <c r="F146" s="80">
        <v>48004</v>
      </c>
      <c r="G146" s="114">
        <v>0</v>
      </c>
      <c r="H146" s="114">
        <v>750</v>
      </c>
      <c r="I146" s="114">
        <v>750</v>
      </c>
      <c r="J146" s="114">
        <v>0</v>
      </c>
      <c r="K146" s="269">
        <f t="shared" si="11"/>
        <v>750</v>
      </c>
      <c r="L146" s="270" t="s">
        <v>320</v>
      </c>
      <c r="M146" s="277"/>
      <c r="N146" s="278">
        <v>0</v>
      </c>
      <c r="O146" s="275">
        <v>0</v>
      </c>
    </row>
    <row r="147" customHeight="1" spans="1:15">
      <c r="A147" s="114">
        <v>144</v>
      </c>
      <c r="B147" s="114" t="s">
        <v>115</v>
      </c>
      <c r="C147" s="114" t="s">
        <v>116</v>
      </c>
      <c r="D147" s="114">
        <v>44099</v>
      </c>
      <c r="E147" s="114">
        <v>22</v>
      </c>
      <c r="F147" s="80">
        <v>48005</v>
      </c>
      <c r="G147" s="114">
        <v>0</v>
      </c>
      <c r="H147" s="114">
        <v>600</v>
      </c>
      <c r="I147" s="114">
        <v>600</v>
      </c>
      <c r="J147" s="114">
        <v>0</v>
      </c>
      <c r="K147" s="269">
        <f t="shared" si="11"/>
        <v>600</v>
      </c>
      <c r="L147" s="270" t="s">
        <v>320</v>
      </c>
      <c r="M147" s="277"/>
      <c r="N147" s="278">
        <v>0</v>
      </c>
      <c r="O147" s="275">
        <v>0</v>
      </c>
    </row>
    <row r="148" customHeight="1" spans="1:15">
      <c r="A148" s="114">
        <v>145</v>
      </c>
      <c r="B148" s="114" t="s">
        <v>149</v>
      </c>
      <c r="C148" s="114" t="s">
        <v>150</v>
      </c>
      <c r="D148" s="114">
        <v>45031</v>
      </c>
      <c r="E148" s="114">
        <v>9</v>
      </c>
      <c r="F148" s="114">
        <v>1194</v>
      </c>
      <c r="G148" s="114">
        <v>6</v>
      </c>
      <c r="H148" s="283">
        <f>6000*1.03</f>
        <v>6180</v>
      </c>
      <c r="I148" s="283">
        <f>H148</f>
        <v>6180</v>
      </c>
      <c r="J148" s="283">
        <v>6000</v>
      </c>
      <c r="K148" s="269">
        <v>6000</v>
      </c>
      <c r="L148" s="270" t="s">
        <v>321</v>
      </c>
      <c r="M148" s="277"/>
      <c r="N148" s="278">
        <v>0</v>
      </c>
      <c r="O148" s="275">
        <v>0</v>
      </c>
    </row>
    <row r="149" customHeight="1" spans="1:15">
      <c r="A149" s="114">
        <v>146</v>
      </c>
      <c r="B149" s="114" t="s">
        <v>147</v>
      </c>
      <c r="C149" s="114" t="s">
        <v>148</v>
      </c>
      <c r="D149" s="114">
        <v>45032</v>
      </c>
      <c r="E149" s="114">
        <v>9</v>
      </c>
      <c r="F149" s="114">
        <v>1194</v>
      </c>
      <c r="G149" s="114">
        <v>9</v>
      </c>
      <c r="H149" s="283">
        <f>9000*1.03</f>
        <v>9270</v>
      </c>
      <c r="I149" s="283">
        <f>H149</f>
        <v>9270</v>
      </c>
      <c r="J149" s="283">
        <v>9000</v>
      </c>
      <c r="K149" s="269">
        <v>9000</v>
      </c>
      <c r="L149" s="270" t="s">
        <v>322</v>
      </c>
      <c r="M149" s="277"/>
      <c r="N149" s="278">
        <v>0</v>
      </c>
      <c r="O149" s="275">
        <v>0</v>
      </c>
    </row>
    <row r="150" customHeight="1" spans="1:15">
      <c r="A150" s="114">
        <v>147</v>
      </c>
      <c r="B150" s="114" t="s">
        <v>270</v>
      </c>
      <c r="C150" s="114" t="s">
        <v>271</v>
      </c>
      <c r="D150" s="114">
        <v>29100</v>
      </c>
      <c r="E150" s="114">
        <v>13</v>
      </c>
      <c r="F150" s="114">
        <v>46005</v>
      </c>
      <c r="G150" s="114">
        <v>1</v>
      </c>
      <c r="H150" s="283">
        <v>3000000</v>
      </c>
      <c r="I150" s="283">
        <v>3000000</v>
      </c>
      <c r="J150" s="283">
        <v>0</v>
      </c>
      <c r="K150" s="279">
        <f t="shared" ref="K150:K155" si="12">H150</f>
        <v>3000000</v>
      </c>
      <c r="L150" s="270" t="s">
        <v>323</v>
      </c>
      <c r="M150" s="277"/>
      <c r="N150" s="278">
        <v>0</v>
      </c>
      <c r="O150" s="275">
        <v>0</v>
      </c>
    </row>
    <row r="151" customHeight="1" spans="1:15">
      <c r="A151" s="114">
        <v>148</v>
      </c>
      <c r="B151" s="114" t="s">
        <v>324</v>
      </c>
      <c r="C151" s="268" t="s">
        <v>325</v>
      </c>
      <c r="D151" s="114">
        <v>50101</v>
      </c>
      <c r="E151" s="114">
        <v>25</v>
      </c>
      <c r="F151" s="114">
        <v>0</v>
      </c>
      <c r="G151" s="114">
        <v>0</v>
      </c>
      <c r="H151" s="114">
        <v>60</v>
      </c>
      <c r="I151" s="114">
        <v>60</v>
      </c>
      <c r="J151" s="114">
        <v>0</v>
      </c>
      <c r="K151" s="269">
        <f t="shared" si="12"/>
        <v>60</v>
      </c>
      <c r="L151" s="270" t="s">
        <v>325</v>
      </c>
      <c r="M151" s="277"/>
      <c r="N151" s="278">
        <v>0</v>
      </c>
      <c r="O151" s="275">
        <v>0</v>
      </c>
    </row>
    <row r="152" customHeight="1" spans="1:15">
      <c r="A152" s="114">
        <v>149</v>
      </c>
      <c r="B152" s="114" t="s">
        <v>324</v>
      </c>
      <c r="C152" s="114" t="s">
        <v>325</v>
      </c>
      <c r="D152" s="114">
        <v>51101</v>
      </c>
      <c r="E152" s="114">
        <v>25</v>
      </c>
      <c r="F152" s="114">
        <v>0</v>
      </c>
      <c r="G152" s="114">
        <v>0</v>
      </c>
      <c r="H152" s="114">
        <v>72</v>
      </c>
      <c r="I152" s="114">
        <v>72</v>
      </c>
      <c r="J152" s="114">
        <v>0</v>
      </c>
      <c r="K152" s="269">
        <f t="shared" si="12"/>
        <v>72</v>
      </c>
      <c r="L152" s="270" t="s">
        <v>325</v>
      </c>
      <c r="M152" s="277"/>
      <c r="N152" s="278">
        <v>0</v>
      </c>
      <c r="O152" s="275">
        <v>0</v>
      </c>
    </row>
    <row r="153" customHeight="1" spans="1:15">
      <c r="A153" s="114">
        <v>150</v>
      </c>
      <c r="B153" s="114" t="s">
        <v>324</v>
      </c>
      <c r="C153" s="114" t="s">
        <v>325</v>
      </c>
      <c r="D153" s="114">
        <v>52101</v>
      </c>
      <c r="E153" s="114">
        <v>25</v>
      </c>
      <c r="F153" s="114">
        <v>0</v>
      </c>
      <c r="G153" s="114">
        <v>0</v>
      </c>
      <c r="H153" s="114">
        <v>90</v>
      </c>
      <c r="I153" s="114">
        <v>90</v>
      </c>
      <c r="J153" s="114">
        <v>0</v>
      </c>
      <c r="K153" s="269">
        <f t="shared" si="12"/>
        <v>90</v>
      </c>
      <c r="L153" s="270" t="s">
        <v>325</v>
      </c>
      <c r="M153" s="277"/>
      <c r="N153" s="278">
        <v>0</v>
      </c>
      <c r="O153" s="275">
        <v>0</v>
      </c>
    </row>
    <row r="154" customHeight="1" spans="1:15">
      <c r="A154" s="114">
        <v>151</v>
      </c>
      <c r="B154" s="114" t="s">
        <v>324</v>
      </c>
      <c r="C154" s="114" t="s">
        <v>325</v>
      </c>
      <c r="D154" s="114">
        <v>53101</v>
      </c>
      <c r="E154" s="114">
        <v>25</v>
      </c>
      <c r="F154" s="114">
        <v>0</v>
      </c>
      <c r="G154" s="114">
        <v>0</v>
      </c>
      <c r="H154" s="114">
        <v>120</v>
      </c>
      <c r="I154" s="114">
        <v>120</v>
      </c>
      <c r="J154" s="114">
        <v>0</v>
      </c>
      <c r="K154" s="269">
        <f t="shared" si="12"/>
        <v>120</v>
      </c>
      <c r="L154" s="270" t="s">
        <v>325</v>
      </c>
      <c r="M154" s="277"/>
      <c r="N154" s="278">
        <v>0</v>
      </c>
      <c r="O154" s="275">
        <v>0</v>
      </c>
    </row>
    <row r="155" customHeight="1" spans="1:15">
      <c r="A155" s="114">
        <v>152</v>
      </c>
      <c r="B155" s="114" t="s">
        <v>324</v>
      </c>
      <c r="C155" s="114" t="s">
        <v>325</v>
      </c>
      <c r="D155" s="114">
        <v>54101</v>
      </c>
      <c r="E155" s="114">
        <v>25</v>
      </c>
      <c r="F155" s="114">
        <v>0</v>
      </c>
      <c r="G155" s="114">
        <v>0</v>
      </c>
      <c r="H155" s="114">
        <v>120</v>
      </c>
      <c r="I155" s="114">
        <v>120</v>
      </c>
      <c r="J155" s="114">
        <v>0</v>
      </c>
      <c r="K155" s="269">
        <f t="shared" si="12"/>
        <v>120</v>
      </c>
      <c r="L155" s="270" t="s">
        <v>325</v>
      </c>
      <c r="M155" s="277"/>
      <c r="N155" s="278">
        <v>0</v>
      </c>
      <c r="O155" s="275">
        <v>0</v>
      </c>
    </row>
    <row r="156" customHeight="1" spans="1:15">
      <c r="A156" s="114">
        <v>153</v>
      </c>
      <c r="B156" s="114" t="s">
        <v>326</v>
      </c>
      <c r="C156" s="114" t="s">
        <v>327</v>
      </c>
      <c r="D156" s="114">
        <v>55102</v>
      </c>
      <c r="E156" s="114">
        <v>26</v>
      </c>
      <c r="F156" s="114">
        <v>101</v>
      </c>
      <c r="G156" s="114">
        <v>20</v>
      </c>
      <c r="H156" s="114">
        <v>10</v>
      </c>
      <c r="I156" s="114">
        <v>40</v>
      </c>
      <c r="J156" s="114">
        <v>10</v>
      </c>
      <c r="K156" s="269">
        <v>40</v>
      </c>
      <c r="L156" s="284" t="s">
        <v>328</v>
      </c>
      <c r="M156" s="277"/>
      <c r="N156" s="278">
        <v>20</v>
      </c>
      <c r="O156" s="275">
        <v>10000</v>
      </c>
    </row>
    <row r="157" customHeight="1" spans="1:15">
      <c r="A157" s="114">
        <v>154</v>
      </c>
      <c r="B157" s="114" t="s">
        <v>326</v>
      </c>
      <c r="C157" s="114" t="s">
        <v>327</v>
      </c>
      <c r="D157" s="114">
        <v>56102</v>
      </c>
      <c r="E157" s="114">
        <v>26</v>
      </c>
      <c r="F157" s="114">
        <v>101</v>
      </c>
      <c r="G157" s="114">
        <v>20</v>
      </c>
      <c r="H157" s="114">
        <v>20</v>
      </c>
      <c r="I157" s="114">
        <v>40</v>
      </c>
      <c r="J157" s="114">
        <v>10</v>
      </c>
      <c r="K157" s="269">
        <v>40</v>
      </c>
      <c r="L157" s="284" t="s">
        <v>329</v>
      </c>
      <c r="M157" s="277"/>
      <c r="N157" s="278">
        <v>20</v>
      </c>
      <c r="O157" s="275">
        <v>10000</v>
      </c>
    </row>
    <row r="158" customHeight="1" spans="1:15">
      <c r="A158" s="114">
        <v>155</v>
      </c>
      <c r="B158" s="114" t="s">
        <v>330</v>
      </c>
      <c r="C158" s="282" t="s">
        <v>331</v>
      </c>
      <c r="D158" s="114">
        <v>55103</v>
      </c>
      <c r="E158" s="114">
        <v>26</v>
      </c>
      <c r="F158" s="114">
        <v>101</v>
      </c>
      <c r="G158" s="114">
        <v>50</v>
      </c>
      <c r="H158" s="114">
        <v>25</v>
      </c>
      <c r="I158" s="114">
        <v>100</v>
      </c>
      <c r="J158" s="114">
        <v>25</v>
      </c>
      <c r="K158" s="269">
        <v>100</v>
      </c>
      <c r="L158" s="284" t="s">
        <v>332</v>
      </c>
      <c r="M158" s="277"/>
      <c r="N158" s="278">
        <v>50</v>
      </c>
      <c r="O158" s="275">
        <v>10000</v>
      </c>
    </row>
    <row r="159" customHeight="1" spans="1:15">
      <c r="A159" s="114">
        <v>156</v>
      </c>
      <c r="B159" s="114" t="s">
        <v>330</v>
      </c>
      <c r="C159" s="114" t="s">
        <v>331</v>
      </c>
      <c r="D159" s="114">
        <v>56103</v>
      </c>
      <c r="E159" s="114">
        <v>26</v>
      </c>
      <c r="F159" s="114">
        <v>101</v>
      </c>
      <c r="G159" s="114">
        <v>50</v>
      </c>
      <c r="H159" s="114">
        <v>50</v>
      </c>
      <c r="I159" s="114">
        <v>100</v>
      </c>
      <c r="J159" s="114">
        <v>25</v>
      </c>
      <c r="K159" s="269">
        <v>100</v>
      </c>
      <c r="L159" s="284" t="s">
        <v>333</v>
      </c>
      <c r="M159" s="277"/>
      <c r="N159" s="278">
        <v>50</v>
      </c>
      <c r="O159" s="275">
        <v>10000</v>
      </c>
    </row>
    <row r="160" customHeight="1" spans="1:15">
      <c r="A160" s="114">
        <v>157</v>
      </c>
      <c r="B160" s="114" t="s">
        <v>334</v>
      </c>
      <c r="C160" s="114" t="s">
        <v>335</v>
      </c>
      <c r="D160" s="114">
        <v>55104</v>
      </c>
      <c r="E160" s="114">
        <v>26</v>
      </c>
      <c r="F160" s="114">
        <v>101</v>
      </c>
      <c r="G160" s="114">
        <v>90</v>
      </c>
      <c r="H160" s="114">
        <v>45</v>
      </c>
      <c r="I160" s="114">
        <v>180</v>
      </c>
      <c r="J160" s="114">
        <v>45</v>
      </c>
      <c r="K160" s="269">
        <v>180</v>
      </c>
      <c r="L160" s="284" t="s">
        <v>336</v>
      </c>
      <c r="M160" s="277"/>
      <c r="N160" s="278">
        <v>90</v>
      </c>
      <c r="O160" s="275">
        <v>10000</v>
      </c>
    </row>
    <row r="161" customHeight="1" spans="1:15">
      <c r="A161" s="114">
        <v>158</v>
      </c>
      <c r="B161" s="114" t="s">
        <v>334</v>
      </c>
      <c r="C161" s="114" t="s">
        <v>335</v>
      </c>
      <c r="D161" s="114">
        <v>56104</v>
      </c>
      <c r="E161" s="114">
        <v>26</v>
      </c>
      <c r="F161" s="114">
        <v>101</v>
      </c>
      <c r="G161" s="114">
        <v>90</v>
      </c>
      <c r="H161" s="114">
        <v>90</v>
      </c>
      <c r="I161" s="114">
        <v>180</v>
      </c>
      <c r="J161" s="114">
        <v>45</v>
      </c>
      <c r="K161" s="269">
        <v>180</v>
      </c>
      <c r="L161" s="284" t="s">
        <v>337</v>
      </c>
      <c r="M161" s="277"/>
      <c r="N161" s="278">
        <v>90</v>
      </c>
      <c r="O161" s="275">
        <v>10000</v>
      </c>
    </row>
    <row r="162" customHeight="1" spans="1:15">
      <c r="A162" s="114">
        <v>159</v>
      </c>
      <c r="B162" s="114" t="s">
        <v>338</v>
      </c>
      <c r="C162" s="282" t="s">
        <v>339</v>
      </c>
      <c r="D162" s="114">
        <v>55105</v>
      </c>
      <c r="E162" s="114">
        <v>26</v>
      </c>
      <c r="F162" s="114">
        <v>101</v>
      </c>
      <c r="G162" s="114">
        <v>150</v>
      </c>
      <c r="H162" s="114">
        <v>75</v>
      </c>
      <c r="I162" s="114">
        <v>300</v>
      </c>
      <c r="J162" s="114">
        <v>75</v>
      </c>
      <c r="K162" s="269">
        <v>300</v>
      </c>
      <c r="L162" s="284" t="s">
        <v>340</v>
      </c>
      <c r="M162" s="277"/>
      <c r="N162" s="278">
        <v>150</v>
      </c>
      <c r="O162" s="275">
        <v>10000</v>
      </c>
    </row>
    <row r="163" customHeight="1" spans="1:15">
      <c r="A163" s="114">
        <v>160</v>
      </c>
      <c r="B163" s="114" t="s">
        <v>338</v>
      </c>
      <c r="C163" s="282" t="s">
        <v>339</v>
      </c>
      <c r="D163" s="114">
        <v>56105</v>
      </c>
      <c r="E163" s="114">
        <v>26</v>
      </c>
      <c r="F163" s="114">
        <v>101</v>
      </c>
      <c r="G163" s="114">
        <v>150</v>
      </c>
      <c r="H163" s="114">
        <v>150</v>
      </c>
      <c r="I163" s="114">
        <v>300</v>
      </c>
      <c r="J163" s="114">
        <v>75</v>
      </c>
      <c r="K163" s="269">
        <v>300</v>
      </c>
      <c r="L163" s="284" t="s">
        <v>341</v>
      </c>
      <c r="M163" s="277"/>
      <c r="N163" s="278">
        <v>150</v>
      </c>
      <c r="O163" s="275">
        <v>10000</v>
      </c>
    </row>
    <row r="164" customHeight="1" spans="1:15">
      <c r="A164" s="114">
        <v>161</v>
      </c>
      <c r="B164" s="114" t="s">
        <v>342</v>
      </c>
      <c r="C164" s="282" t="s">
        <v>343</v>
      </c>
      <c r="D164" s="114">
        <v>55106</v>
      </c>
      <c r="E164" s="114">
        <v>26</v>
      </c>
      <c r="F164" s="114">
        <v>101</v>
      </c>
      <c r="G164" s="114">
        <v>400</v>
      </c>
      <c r="H164" s="114">
        <v>200</v>
      </c>
      <c r="I164" s="114">
        <v>800</v>
      </c>
      <c r="J164" s="114">
        <v>200</v>
      </c>
      <c r="K164" s="269">
        <v>800</v>
      </c>
      <c r="L164" s="284" t="s">
        <v>344</v>
      </c>
      <c r="M164" s="277"/>
      <c r="N164" s="278">
        <v>400</v>
      </c>
      <c r="O164" s="275">
        <v>10000</v>
      </c>
    </row>
    <row r="165" customHeight="1" spans="1:15">
      <c r="A165" s="114">
        <v>162</v>
      </c>
      <c r="B165" s="114" t="s">
        <v>342</v>
      </c>
      <c r="C165" s="282" t="s">
        <v>343</v>
      </c>
      <c r="D165" s="114">
        <v>56106</v>
      </c>
      <c r="E165" s="114">
        <v>26</v>
      </c>
      <c r="F165" s="114">
        <v>101</v>
      </c>
      <c r="G165" s="114">
        <v>400</v>
      </c>
      <c r="H165" s="114">
        <v>400</v>
      </c>
      <c r="I165" s="114">
        <v>800</v>
      </c>
      <c r="J165" s="114">
        <v>200</v>
      </c>
      <c r="K165" s="269">
        <v>800</v>
      </c>
      <c r="L165" s="284" t="s">
        <v>345</v>
      </c>
      <c r="M165" s="277"/>
      <c r="N165" s="278">
        <v>400</v>
      </c>
      <c r="O165" s="275">
        <v>10000</v>
      </c>
    </row>
    <row r="166" customHeight="1" spans="1:15">
      <c r="A166" s="114">
        <v>163</v>
      </c>
      <c r="B166" s="114" t="s">
        <v>346</v>
      </c>
      <c r="C166" s="282" t="s">
        <v>347</v>
      </c>
      <c r="D166" s="114">
        <v>55107</v>
      </c>
      <c r="E166" s="114">
        <v>26</v>
      </c>
      <c r="F166" s="114">
        <v>101</v>
      </c>
      <c r="G166" s="114">
        <v>1000</v>
      </c>
      <c r="H166" s="114">
        <v>500</v>
      </c>
      <c r="I166" s="114">
        <v>2000</v>
      </c>
      <c r="J166" s="114">
        <v>500</v>
      </c>
      <c r="K166" s="269">
        <v>2000</v>
      </c>
      <c r="L166" s="284" t="s">
        <v>348</v>
      </c>
      <c r="M166" s="277"/>
      <c r="N166" s="278">
        <v>1000</v>
      </c>
      <c r="O166" s="275">
        <v>10000</v>
      </c>
    </row>
    <row r="167" customHeight="1" spans="1:15">
      <c r="A167" s="114">
        <v>164</v>
      </c>
      <c r="B167" s="114" t="s">
        <v>346</v>
      </c>
      <c r="C167" s="282" t="s">
        <v>347</v>
      </c>
      <c r="D167" s="114">
        <v>56107</v>
      </c>
      <c r="E167" s="114">
        <v>26</v>
      </c>
      <c r="F167" s="114">
        <v>101</v>
      </c>
      <c r="G167" s="114">
        <v>1000</v>
      </c>
      <c r="H167" s="114">
        <v>1000</v>
      </c>
      <c r="I167" s="114">
        <v>2000</v>
      </c>
      <c r="J167" s="114">
        <v>500</v>
      </c>
      <c r="K167" s="269">
        <v>2000</v>
      </c>
      <c r="L167" s="284" t="s">
        <v>349</v>
      </c>
      <c r="M167" s="277"/>
      <c r="N167" s="278">
        <v>1000</v>
      </c>
      <c r="O167" s="275">
        <v>10000</v>
      </c>
    </row>
    <row r="168" customHeight="1" spans="1:15">
      <c r="A168" s="114">
        <v>165</v>
      </c>
      <c r="B168" s="114" t="s">
        <v>350</v>
      </c>
      <c r="C168" s="282" t="s">
        <v>351</v>
      </c>
      <c r="D168" s="114">
        <v>55108</v>
      </c>
      <c r="E168" s="114">
        <v>26</v>
      </c>
      <c r="F168" s="114">
        <v>101</v>
      </c>
      <c r="G168" s="114">
        <v>1500</v>
      </c>
      <c r="H168" s="114">
        <v>750</v>
      </c>
      <c r="I168" s="114">
        <v>3000</v>
      </c>
      <c r="J168" s="114">
        <v>750</v>
      </c>
      <c r="K168" s="269">
        <v>3000</v>
      </c>
      <c r="L168" s="284" t="s">
        <v>352</v>
      </c>
      <c r="M168" s="277"/>
      <c r="N168" s="278">
        <v>1500</v>
      </c>
      <c r="O168" s="275">
        <v>10000</v>
      </c>
    </row>
    <row r="169" customHeight="1" spans="1:15">
      <c r="A169" s="114">
        <v>166</v>
      </c>
      <c r="B169" s="114" t="s">
        <v>350</v>
      </c>
      <c r="C169" s="282" t="s">
        <v>351</v>
      </c>
      <c r="D169" s="114">
        <v>56108</v>
      </c>
      <c r="E169" s="114">
        <v>26</v>
      </c>
      <c r="F169" s="114">
        <v>101</v>
      </c>
      <c r="G169" s="114">
        <v>1500</v>
      </c>
      <c r="H169" s="114">
        <v>1500</v>
      </c>
      <c r="I169" s="114">
        <v>3000</v>
      </c>
      <c r="J169" s="114">
        <v>750</v>
      </c>
      <c r="K169" s="269">
        <v>3000</v>
      </c>
      <c r="L169" s="284" t="s">
        <v>353</v>
      </c>
      <c r="M169" s="277"/>
      <c r="N169" s="278">
        <v>1500</v>
      </c>
      <c r="O169" s="275">
        <v>10000</v>
      </c>
    </row>
    <row r="170" customHeight="1" spans="1:15">
      <c r="A170" s="114">
        <v>167</v>
      </c>
      <c r="B170" s="114" t="s">
        <v>147</v>
      </c>
      <c r="C170" s="114" t="s">
        <v>148</v>
      </c>
      <c r="D170" s="114">
        <v>57032</v>
      </c>
      <c r="E170" s="114">
        <v>2</v>
      </c>
      <c r="F170" s="114">
        <v>101</v>
      </c>
      <c r="G170" s="114">
        <v>5000</v>
      </c>
      <c r="H170" s="114">
        <v>5000</v>
      </c>
      <c r="I170" s="114">
        <v>60</v>
      </c>
      <c r="J170" s="114">
        <v>0</v>
      </c>
      <c r="K170" s="269">
        <v>0</v>
      </c>
      <c r="L170" s="284" t="s">
        <v>354</v>
      </c>
      <c r="M170" s="277"/>
      <c r="N170" s="278">
        <v>0</v>
      </c>
      <c r="O170" s="275">
        <v>0</v>
      </c>
    </row>
    <row r="171" customHeight="1" spans="1:15">
      <c r="A171" s="114">
        <v>168</v>
      </c>
      <c r="B171" s="114" t="s">
        <v>355</v>
      </c>
      <c r="C171" s="268" t="s">
        <v>356</v>
      </c>
      <c r="D171" s="114">
        <v>58109</v>
      </c>
      <c r="E171" s="114">
        <v>25</v>
      </c>
      <c r="F171" s="114">
        <v>0</v>
      </c>
      <c r="G171" s="114">
        <v>0</v>
      </c>
      <c r="H171" s="114">
        <v>100</v>
      </c>
      <c r="I171" s="114">
        <v>100</v>
      </c>
      <c r="J171" s="114">
        <v>0</v>
      </c>
      <c r="K171" s="269">
        <v>0</v>
      </c>
      <c r="L171" s="284" t="s">
        <v>357</v>
      </c>
      <c r="M171" s="277"/>
      <c r="N171" s="278">
        <v>0</v>
      </c>
      <c r="O171" s="275">
        <v>0</v>
      </c>
    </row>
    <row r="172" customHeight="1" spans="1:15">
      <c r="A172" s="114">
        <v>169</v>
      </c>
      <c r="B172" s="114" t="s">
        <v>355</v>
      </c>
      <c r="C172" s="268" t="s">
        <v>356</v>
      </c>
      <c r="D172" s="114">
        <v>58110</v>
      </c>
      <c r="E172" s="114">
        <v>25</v>
      </c>
      <c r="F172" s="114">
        <v>0</v>
      </c>
      <c r="G172" s="114">
        <v>0</v>
      </c>
      <c r="H172" s="114">
        <v>100</v>
      </c>
      <c r="I172" s="114">
        <v>100</v>
      </c>
      <c r="J172" s="114">
        <v>0</v>
      </c>
      <c r="K172" s="269">
        <v>0</v>
      </c>
      <c r="L172" s="284" t="s">
        <v>358</v>
      </c>
      <c r="M172" s="277"/>
      <c r="N172" s="278">
        <v>0</v>
      </c>
      <c r="O172" s="275">
        <v>0</v>
      </c>
    </row>
    <row r="173" customHeight="1" spans="1:15">
      <c r="A173" s="114">
        <v>170</v>
      </c>
      <c r="B173" s="114" t="s">
        <v>355</v>
      </c>
      <c r="C173" s="268" t="s">
        <v>356</v>
      </c>
      <c r="D173" s="114">
        <v>58111</v>
      </c>
      <c r="E173" s="114">
        <v>25</v>
      </c>
      <c r="F173" s="114">
        <v>0</v>
      </c>
      <c r="G173" s="114">
        <v>0</v>
      </c>
      <c r="H173" s="114">
        <v>100</v>
      </c>
      <c r="I173" s="114">
        <v>100</v>
      </c>
      <c r="J173" s="114">
        <v>0</v>
      </c>
      <c r="K173" s="269">
        <v>0</v>
      </c>
      <c r="L173" s="284" t="s">
        <v>359</v>
      </c>
      <c r="M173" s="277"/>
      <c r="N173" s="278">
        <v>0</v>
      </c>
      <c r="O173" s="275">
        <v>0</v>
      </c>
    </row>
    <row r="174" customHeight="1" spans="1:15">
      <c r="A174" s="114">
        <v>171</v>
      </c>
      <c r="B174" s="114" t="s">
        <v>355</v>
      </c>
      <c r="C174" s="268" t="s">
        <v>356</v>
      </c>
      <c r="D174" s="114">
        <v>58112</v>
      </c>
      <c r="E174" s="114">
        <v>25</v>
      </c>
      <c r="F174" s="114">
        <v>0</v>
      </c>
      <c r="G174" s="114">
        <v>0</v>
      </c>
      <c r="H174" s="114">
        <v>100</v>
      </c>
      <c r="I174" s="114">
        <v>100</v>
      </c>
      <c r="J174" s="114">
        <v>0</v>
      </c>
      <c r="K174" s="269">
        <v>0</v>
      </c>
      <c r="L174" s="284" t="s">
        <v>360</v>
      </c>
      <c r="M174" s="277"/>
      <c r="N174" s="278">
        <v>0</v>
      </c>
      <c r="O174" s="275">
        <v>0</v>
      </c>
    </row>
    <row r="175" customHeight="1" spans="1:15">
      <c r="A175" s="114">
        <v>172</v>
      </c>
      <c r="B175" s="114" t="s">
        <v>355</v>
      </c>
      <c r="C175" s="268" t="s">
        <v>356</v>
      </c>
      <c r="D175" s="114">
        <v>58113</v>
      </c>
      <c r="E175" s="114">
        <v>25</v>
      </c>
      <c r="F175" s="114">
        <v>0</v>
      </c>
      <c r="G175" s="114">
        <v>0</v>
      </c>
      <c r="H175" s="114">
        <v>100</v>
      </c>
      <c r="I175" s="114">
        <v>100</v>
      </c>
      <c r="J175" s="114">
        <v>0</v>
      </c>
      <c r="K175" s="269">
        <v>0</v>
      </c>
      <c r="L175" s="284" t="s">
        <v>361</v>
      </c>
      <c r="M175" s="277"/>
      <c r="N175" s="278">
        <v>0</v>
      </c>
      <c r="O175" s="275">
        <v>0</v>
      </c>
    </row>
    <row r="176" customHeight="1" spans="1:15">
      <c r="A176" s="114">
        <v>173</v>
      </c>
      <c r="B176" s="114" t="s">
        <v>355</v>
      </c>
      <c r="C176" s="268" t="s">
        <v>362</v>
      </c>
      <c r="D176" s="114">
        <v>59114</v>
      </c>
      <c r="E176" s="114">
        <v>27</v>
      </c>
      <c r="F176" s="114">
        <v>0</v>
      </c>
      <c r="G176" s="114">
        <v>0</v>
      </c>
      <c r="H176" s="114">
        <v>100</v>
      </c>
      <c r="I176" s="114">
        <v>6000</v>
      </c>
      <c r="J176" s="114">
        <v>0</v>
      </c>
      <c r="K176" s="269">
        <v>0</v>
      </c>
      <c r="L176" s="284" t="s">
        <v>363</v>
      </c>
      <c r="M176" s="277"/>
      <c r="N176" s="278">
        <v>0</v>
      </c>
      <c r="O176" s="275">
        <v>0</v>
      </c>
    </row>
    <row r="177" customHeight="1" spans="1:15">
      <c r="A177" s="114">
        <v>174</v>
      </c>
      <c r="B177" s="114" t="s">
        <v>364</v>
      </c>
      <c r="C177" s="114" t="s">
        <v>365</v>
      </c>
      <c r="D177" s="114">
        <v>15115</v>
      </c>
      <c r="E177" s="114">
        <v>4</v>
      </c>
      <c r="F177" s="114">
        <v>103</v>
      </c>
      <c r="G177" s="114">
        <v>20</v>
      </c>
      <c r="H177" s="114">
        <v>12000</v>
      </c>
      <c r="I177" s="114">
        <v>12000</v>
      </c>
      <c r="J177" s="114">
        <v>0</v>
      </c>
      <c r="K177" s="279">
        <f t="shared" ref="K177:K179" si="13">H177</f>
        <v>12000</v>
      </c>
      <c r="L177" s="284" t="s">
        <v>366</v>
      </c>
      <c r="M177" s="277"/>
      <c r="N177" s="278">
        <v>0</v>
      </c>
      <c r="O177" s="275">
        <v>0</v>
      </c>
    </row>
    <row r="178" customHeight="1" spans="1:15">
      <c r="A178" s="114">
        <v>175</v>
      </c>
      <c r="B178" s="114" t="s">
        <v>367</v>
      </c>
      <c r="C178" s="114" t="s">
        <v>368</v>
      </c>
      <c r="D178" s="114">
        <v>28116</v>
      </c>
      <c r="E178" s="114">
        <v>12</v>
      </c>
      <c r="F178" s="114">
        <v>1228</v>
      </c>
      <c r="G178" s="114">
        <v>800</v>
      </c>
      <c r="H178" s="114">
        <v>92000</v>
      </c>
      <c r="I178" s="114">
        <v>92000</v>
      </c>
      <c r="J178" s="114">
        <v>0</v>
      </c>
      <c r="K178" s="279">
        <f t="shared" si="13"/>
        <v>92000</v>
      </c>
      <c r="L178" s="284" t="s">
        <v>368</v>
      </c>
      <c r="M178" s="277"/>
      <c r="N178" s="278">
        <v>0</v>
      </c>
      <c r="O178" s="275">
        <v>0</v>
      </c>
    </row>
    <row r="179" customHeight="1" spans="1:15">
      <c r="A179" s="114">
        <v>176</v>
      </c>
      <c r="B179" s="114" t="s">
        <v>369</v>
      </c>
      <c r="C179" s="114" t="s">
        <v>370</v>
      </c>
      <c r="D179" s="114">
        <v>28117</v>
      </c>
      <c r="E179" s="114">
        <v>12</v>
      </c>
      <c r="F179" s="114">
        <v>1228</v>
      </c>
      <c r="G179" s="114">
        <v>3000</v>
      </c>
      <c r="H179" s="114">
        <v>345000</v>
      </c>
      <c r="I179" s="114">
        <v>345000</v>
      </c>
      <c r="J179" s="114">
        <v>0</v>
      </c>
      <c r="K179" s="279">
        <f t="shared" si="13"/>
        <v>345000</v>
      </c>
      <c r="L179" s="284" t="s">
        <v>370</v>
      </c>
      <c r="M179" s="277"/>
      <c r="N179" s="278">
        <v>0</v>
      </c>
      <c r="O179" s="275">
        <v>0</v>
      </c>
    </row>
    <row r="180" customHeight="1" spans="1:15">
      <c r="A180" s="114">
        <v>177</v>
      </c>
      <c r="B180" s="114" t="s">
        <v>371</v>
      </c>
      <c r="C180" s="114" t="s">
        <v>372</v>
      </c>
      <c r="D180" s="114">
        <v>60118</v>
      </c>
      <c r="E180" s="114">
        <v>28</v>
      </c>
      <c r="F180" s="114">
        <v>0</v>
      </c>
      <c r="G180" s="114">
        <v>0</v>
      </c>
      <c r="H180" s="265">
        <v>100</v>
      </c>
      <c r="I180" s="265">
        <v>600</v>
      </c>
      <c r="J180" s="265">
        <v>100</v>
      </c>
      <c r="K180" s="285">
        <v>0</v>
      </c>
      <c r="L180" s="284" t="s">
        <v>373</v>
      </c>
      <c r="M180" s="286">
        <v>2701</v>
      </c>
      <c r="N180" s="278">
        <v>0</v>
      </c>
      <c r="O180" s="275">
        <v>0</v>
      </c>
    </row>
    <row r="181" customHeight="1" spans="1:15">
      <c r="A181" s="114">
        <v>178</v>
      </c>
      <c r="B181" s="114" t="s">
        <v>371</v>
      </c>
      <c r="C181" s="114" t="s">
        <v>372</v>
      </c>
      <c r="D181" s="114">
        <v>61118</v>
      </c>
      <c r="E181" s="114">
        <v>28</v>
      </c>
      <c r="F181" s="114">
        <v>0</v>
      </c>
      <c r="G181" s="114">
        <v>0</v>
      </c>
      <c r="H181" s="265">
        <v>150</v>
      </c>
      <c r="I181" s="265">
        <v>900</v>
      </c>
      <c r="J181" s="265">
        <v>120</v>
      </c>
      <c r="K181" s="285">
        <v>0</v>
      </c>
      <c r="L181" s="284" t="s">
        <v>374</v>
      </c>
      <c r="M181" s="286">
        <v>2702</v>
      </c>
      <c r="N181" s="278">
        <v>0</v>
      </c>
      <c r="O181" s="275">
        <v>0</v>
      </c>
    </row>
    <row r="182" customHeight="1" spans="1:15">
      <c r="A182" s="114">
        <v>179</v>
      </c>
      <c r="B182" s="114" t="s">
        <v>371</v>
      </c>
      <c r="C182" s="114" t="s">
        <v>372</v>
      </c>
      <c r="D182" s="114">
        <v>62118</v>
      </c>
      <c r="E182" s="114">
        <v>28</v>
      </c>
      <c r="F182" s="114">
        <v>0</v>
      </c>
      <c r="G182" s="114">
        <v>0</v>
      </c>
      <c r="H182" s="265">
        <v>180</v>
      </c>
      <c r="I182" s="265">
        <v>1200</v>
      </c>
      <c r="J182" s="265">
        <v>140</v>
      </c>
      <c r="K182" s="285">
        <v>0</v>
      </c>
      <c r="L182" s="284" t="s">
        <v>375</v>
      </c>
      <c r="M182" s="286">
        <v>2703</v>
      </c>
      <c r="N182" s="278">
        <v>0</v>
      </c>
      <c r="O182" s="275">
        <v>0</v>
      </c>
    </row>
    <row r="183" customHeight="1" spans="1:15">
      <c r="A183" s="114">
        <v>180</v>
      </c>
      <c r="B183" s="114" t="s">
        <v>371</v>
      </c>
      <c r="C183" s="114" t="s">
        <v>372</v>
      </c>
      <c r="D183" s="114">
        <v>63118</v>
      </c>
      <c r="E183" s="114">
        <v>28</v>
      </c>
      <c r="F183" s="114">
        <v>0</v>
      </c>
      <c r="G183" s="114">
        <v>0</v>
      </c>
      <c r="H183" s="114">
        <v>200</v>
      </c>
      <c r="I183" s="114">
        <v>1500</v>
      </c>
      <c r="J183" s="265">
        <v>160</v>
      </c>
      <c r="K183" s="285">
        <v>0</v>
      </c>
      <c r="L183" s="284" t="s">
        <v>376</v>
      </c>
      <c r="M183" s="286">
        <v>2704</v>
      </c>
      <c r="N183" s="278">
        <v>0</v>
      </c>
      <c r="O183" s="275">
        <v>0</v>
      </c>
    </row>
    <row r="184" customHeight="1" spans="1:15">
      <c r="A184" s="114">
        <v>181</v>
      </c>
      <c r="B184" s="114" t="s">
        <v>371</v>
      </c>
      <c r="C184" s="114" t="s">
        <v>372</v>
      </c>
      <c r="D184" s="114">
        <v>64118</v>
      </c>
      <c r="E184" s="114">
        <v>28</v>
      </c>
      <c r="F184" s="114">
        <v>0</v>
      </c>
      <c r="G184" s="114">
        <v>0</v>
      </c>
      <c r="H184" s="114">
        <v>250</v>
      </c>
      <c r="I184" s="114">
        <v>1800</v>
      </c>
      <c r="J184" s="265">
        <v>180</v>
      </c>
      <c r="K184" s="285">
        <v>0</v>
      </c>
      <c r="L184" s="284" t="s">
        <v>377</v>
      </c>
      <c r="M184" s="286">
        <v>2705</v>
      </c>
      <c r="N184" s="278">
        <v>0</v>
      </c>
      <c r="O184" s="275">
        <v>0</v>
      </c>
    </row>
    <row r="185" customHeight="1" spans="1:15">
      <c r="A185" s="114">
        <v>182</v>
      </c>
      <c r="B185" s="114" t="s">
        <v>378</v>
      </c>
      <c r="C185" s="268" t="s">
        <v>379</v>
      </c>
      <c r="D185" s="114">
        <v>65119</v>
      </c>
      <c r="E185" s="265">
        <v>29</v>
      </c>
      <c r="F185" s="114">
        <v>0</v>
      </c>
      <c r="G185" s="114">
        <v>0</v>
      </c>
      <c r="H185" s="265">
        <v>280</v>
      </c>
      <c r="I185" s="265">
        <v>2800</v>
      </c>
      <c r="J185" s="265">
        <v>100</v>
      </c>
      <c r="K185" s="285">
        <v>0</v>
      </c>
      <c r="L185" s="284" t="s">
        <v>380</v>
      </c>
      <c r="M185" s="286">
        <v>2801</v>
      </c>
      <c r="N185" s="278">
        <v>0</v>
      </c>
      <c r="O185" s="275">
        <v>0</v>
      </c>
    </row>
    <row r="186" customHeight="1" spans="1:15">
      <c r="A186" s="114">
        <v>183</v>
      </c>
      <c r="B186" s="114" t="s">
        <v>378</v>
      </c>
      <c r="C186" s="268" t="s">
        <v>379</v>
      </c>
      <c r="D186" s="114">
        <v>66119</v>
      </c>
      <c r="E186" s="265">
        <v>29</v>
      </c>
      <c r="F186" s="114">
        <v>0</v>
      </c>
      <c r="G186" s="114">
        <v>0</v>
      </c>
      <c r="H186" s="265">
        <v>280</v>
      </c>
      <c r="I186" s="265">
        <v>2800</v>
      </c>
      <c r="J186" s="265">
        <v>120</v>
      </c>
      <c r="K186" s="285">
        <v>0</v>
      </c>
      <c r="L186" s="265" t="s">
        <v>381</v>
      </c>
      <c r="M186" s="265">
        <v>2802</v>
      </c>
      <c r="N186" s="265">
        <v>0</v>
      </c>
      <c r="O186" s="265">
        <v>0</v>
      </c>
    </row>
    <row r="187" customHeight="1" spans="1:15">
      <c r="A187" s="114">
        <v>184</v>
      </c>
      <c r="B187" s="114" t="s">
        <v>378</v>
      </c>
      <c r="C187" s="268" t="s">
        <v>379</v>
      </c>
      <c r="D187" s="114">
        <v>67119</v>
      </c>
      <c r="E187" s="265">
        <v>29</v>
      </c>
      <c r="F187" s="114">
        <v>0</v>
      </c>
      <c r="G187" s="114">
        <v>0</v>
      </c>
      <c r="H187" s="265">
        <v>280</v>
      </c>
      <c r="I187" s="265">
        <v>2800</v>
      </c>
      <c r="J187" s="265">
        <v>160</v>
      </c>
      <c r="K187" s="285">
        <v>0</v>
      </c>
      <c r="L187" s="265" t="s">
        <v>382</v>
      </c>
      <c r="M187" s="265">
        <v>2803</v>
      </c>
      <c r="N187" s="265">
        <v>0</v>
      </c>
      <c r="O187" s="265">
        <v>0</v>
      </c>
    </row>
    <row r="188" customHeight="1" spans="1:15">
      <c r="A188" s="114">
        <v>185</v>
      </c>
      <c r="B188" s="114" t="s">
        <v>378</v>
      </c>
      <c r="C188" s="268" t="s">
        <v>379</v>
      </c>
      <c r="D188" s="114">
        <v>68119</v>
      </c>
      <c r="E188" s="265">
        <v>29</v>
      </c>
      <c r="F188" s="114">
        <v>0</v>
      </c>
      <c r="G188" s="114">
        <v>0</v>
      </c>
      <c r="H188" s="114">
        <v>350</v>
      </c>
      <c r="I188" s="114">
        <v>3500</v>
      </c>
      <c r="J188" s="265">
        <v>200</v>
      </c>
      <c r="K188" s="285">
        <v>0</v>
      </c>
      <c r="L188" s="265" t="s">
        <v>383</v>
      </c>
      <c r="M188" s="265">
        <v>2804</v>
      </c>
      <c r="N188" s="265">
        <v>0</v>
      </c>
      <c r="O188" s="265">
        <v>0</v>
      </c>
    </row>
    <row r="189" customHeight="1" spans="1:15">
      <c r="A189" s="114">
        <v>186</v>
      </c>
      <c r="B189" s="114" t="s">
        <v>378</v>
      </c>
      <c r="C189" s="268" t="s">
        <v>379</v>
      </c>
      <c r="D189" s="114">
        <v>69119</v>
      </c>
      <c r="E189" s="265">
        <v>29</v>
      </c>
      <c r="F189" s="114">
        <v>0</v>
      </c>
      <c r="G189" s="114">
        <v>0</v>
      </c>
      <c r="H189" s="114">
        <v>420</v>
      </c>
      <c r="I189" s="114">
        <v>4200</v>
      </c>
      <c r="J189" s="265">
        <v>250</v>
      </c>
      <c r="K189" s="285">
        <v>0</v>
      </c>
      <c r="L189" s="265" t="s">
        <v>384</v>
      </c>
      <c r="M189" s="265">
        <v>2805</v>
      </c>
      <c r="N189" s="265">
        <v>0</v>
      </c>
      <c r="O189" s="265">
        <v>0</v>
      </c>
    </row>
    <row r="190" customHeight="1" spans="1:15">
      <c r="A190" s="114">
        <v>187</v>
      </c>
      <c r="B190" s="114" t="s">
        <v>141</v>
      </c>
      <c r="C190" s="114" t="s">
        <v>142</v>
      </c>
      <c r="D190" s="114">
        <v>35028</v>
      </c>
      <c r="E190" s="114">
        <v>19</v>
      </c>
      <c r="F190" s="114">
        <v>1301</v>
      </c>
      <c r="G190" s="114">
        <v>3</v>
      </c>
      <c r="H190" s="114">
        <f>3000*103%</f>
        <v>3090</v>
      </c>
      <c r="I190" s="114">
        <f>H190</f>
        <v>3090</v>
      </c>
      <c r="J190" s="114">
        <v>3000</v>
      </c>
      <c r="K190" s="269">
        <v>3000</v>
      </c>
      <c r="L190" s="265" t="s">
        <v>385</v>
      </c>
      <c r="M190" s="265"/>
      <c r="N190" s="265">
        <v>0</v>
      </c>
      <c r="O190" s="265">
        <v>0</v>
      </c>
    </row>
    <row r="191" customHeight="1" spans="1:15">
      <c r="A191" s="114">
        <v>188</v>
      </c>
      <c r="B191" s="114" t="s">
        <v>386</v>
      </c>
      <c r="C191" s="269" t="s">
        <v>387</v>
      </c>
      <c r="D191" s="269">
        <v>55120</v>
      </c>
      <c r="E191" s="269">
        <v>26</v>
      </c>
      <c r="F191" s="269">
        <v>101</v>
      </c>
      <c r="G191" s="269">
        <v>50</v>
      </c>
      <c r="H191" s="269">
        <v>25</v>
      </c>
      <c r="I191" s="269">
        <v>100</v>
      </c>
      <c r="J191" s="269">
        <v>25</v>
      </c>
      <c r="K191" s="269">
        <v>100</v>
      </c>
      <c r="L191" s="265" t="s">
        <v>388</v>
      </c>
      <c r="M191" s="265"/>
      <c r="N191" s="265">
        <v>50</v>
      </c>
      <c r="O191" s="265">
        <v>10000</v>
      </c>
    </row>
    <row r="192" customHeight="1" spans="1:15">
      <c r="A192" s="114">
        <v>189</v>
      </c>
      <c r="B192" s="114" t="s">
        <v>386</v>
      </c>
      <c r="C192" s="269" t="s">
        <v>387</v>
      </c>
      <c r="D192" s="269">
        <v>56120</v>
      </c>
      <c r="E192" s="269">
        <v>26</v>
      </c>
      <c r="F192" s="269">
        <v>101</v>
      </c>
      <c r="G192" s="269">
        <v>50</v>
      </c>
      <c r="H192" s="269">
        <v>50</v>
      </c>
      <c r="I192" s="269">
        <v>100</v>
      </c>
      <c r="J192" s="269">
        <v>25</v>
      </c>
      <c r="K192" s="269">
        <v>100</v>
      </c>
      <c r="L192" s="265" t="s">
        <v>389</v>
      </c>
      <c r="M192" s="265"/>
      <c r="N192" s="265">
        <v>50</v>
      </c>
      <c r="O192" s="265">
        <v>10000</v>
      </c>
    </row>
    <row r="193" customHeight="1" spans="1:15">
      <c r="A193" s="114">
        <v>190</v>
      </c>
      <c r="B193" s="114" t="s">
        <v>390</v>
      </c>
      <c r="C193" s="269" t="s">
        <v>391</v>
      </c>
      <c r="D193" s="269">
        <v>55121</v>
      </c>
      <c r="E193" s="269">
        <v>26</v>
      </c>
      <c r="F193" s="269">
        <v>101</v>
      </c>
      <c r="G193" s="269">
        <v>90</v>
      </c>
      <c r="H193" s="269">
        <v>45</v>
      </c>
      <c r="I193" s="269">
        <v>180</v>
      </c>
      <c r="J193" s="269">
        <v>45</v>
      </c>
      <c r="K193" s="269">
        <v>180</v>
      </c>
      <c r="L193" s="265" t="s">
        <v>392</v>
      </c>
      <c r="M193" s="265"/>
      <c r="N193" s="265">
        <v>90</v>
      </c>
      <c r="O193" s="265">
        <v>10000</v>
      </c>
    </row>
    <row r="194" customHeight="1" spans="1:15">
      <c r="A194" s="114">
        <v>191</v>
      </c>
      <c r="B194" s="114" t="s">
        <v>390</v>
      </c>
      <c r="C194" s="269" t="s">
        <v>391</v>
      </c>
      <c r="D194" s="269">
        <v>56121</v>
      </c>
      <c r="E194" s="269">
        <v>26</v>
      </c>
      <c r="F194" s="269">
        <v>101</v>
      </c>
      <c r="G194" s="269">
        <v>90</v>
      </c>
      <c r="H194" s="269">
        <v>90</v>
      </c>
      <c r="I194" s="269">
        <v>180</v>
      </c>
      <c r="J194" s="269">
        <v>45</v>
      </c>
      <c r="K194" s="269">
        <v>180</v>
      </c>
      <c r="L194" s="265" t="s">
        <v>393</v>
      </c>
      <c r="M194" s="265"/>
      <c r="N194" s="265">
        <v>90</v>
      </c>
      <c r="O194" s="265">
        <v>10000</v>
      </c>
    </row>
    <row r="195" customHeight="1" spans="1:15">
      <c r="A195" s="114">
        <v>192</v>
      </c>
      <c r="B195" s="114" t="s">
        <v>394</v>
      </c>
      <c r="C195" s="269" t="s">
        <v>395</v>
      </c>
      <c r="D195" s="269">
        <v>70122</v>
      </c>
      <c r="E195" s="269">
        <v>30</v>
      </c>
      <c r="F195" s="269">
        <v>0</v>
      </c>
      <c r="G195" s="269">
        <v>0</v>
      </c>
      <c r="H195" s="269">
        <v>0</v>
      </c>
      <c r="I195" s="269">
        <v>0</v>
      </c>
      <c r="J195" s="269">
        <v>0</v>
      </c>
      <c r="K195" s="269">
        <v>0</v>
      </c>
      <c r="L195" s="265" t="s">
        <v>396</v>
      </c>
      <c r="M195" s="265"/>
      <c r="N195" s="265">
        <v>0</v>
      </c>
      <c r="O195" s="265">
        <v>0</v>
      </c>
    </row>
    <row r="196" customHeight="1" spans="1:15">
      <c r="A196" s="114">
        <v>193</v>
      </c>
      <c r="B196" s="114" t="s">
        <v>121</v>
      </c>
      <c r="C196" s="269" t="s">
        <v>122</v>
      </c>
      <c r="D196" s="269">
        <v>72025</v>
      </c>
      <c r="E196" s="269">
        <v>1</v>
      </c>
      <c r="F196" s="269">
        <v>101</v>
      </c>
      <c r="G196" s="269">
        <v>1200</v>
      </c>
      <c r="H196" s="269">
        <v>2</v>
      </c>
      <c r="I196" s="269">
        <v>1200</v>
      </c>
      <c r="J196" s="269">
        <v>60</v>
      </c>
      <c r="K196" s="269">
        <v>1230</v>
      </c>
      <c r="L196" s="265" t="s">
        <v>122</v>
      </c>
      <c r="M196" s="265"/>
      <c r="N196" s="265">
        <v>100</v>
      </c>
      <c r="O196" s="265">
        <v>3000</v>
      </c>
    </row>
    <row r="197" customHeight="1" spans="1:15">
      <c r="A197" s="114">
        <v>194</v>
      </c>
      <c r="B197" s="114" t="s">
        <v>178</v>
      </c>
      <c r="C197" s="269" t="s">
        <v>397</v>
      </c>
      <c r="D197" s="269">
        <v>15123</v>
      </c>
      <c r="E197" s="269">
        <v>4</v>
      </c>
      <c r="F197" s="269">
        <v>103</v>
      </c>
      <c r="G197" s="269">
        <v>5</v>
      </c>
      <c r="H197" s="269">
        <v>50</v>
      </c>
      <c r="I197" s="269">
        <v>50</v>
      </c>
      <c r="J197" s="269">
        <v>0</v>
      </c>
      <c r="K197" s="269">
        <f>0.05*6*10000</f>
        <v>3000</v>
      </c>
      <c r="L197" s="265" t="s">
        <v>398</v>
      </c>
      <c r="M197" s="265"/>
      <c r="N197" s="265">
        <v>0</v>
      </c>
      <c r="O197" s="265">
        <v>0</v>
      </c>
    </row>
    <row r="198" customHeight="1" spans="1:15">
      <c r="A198" s="114">
        <v>195</v>
      </c>
      <c r="B198" s="114" t="s">
        <v>181</v>
      </c>
      <c r="C198" s="269" t="s">
        <v>399</v>
      </c>
      <c r="D198" s="269">
        <v>15124</v>
      </c>
      <c r="E198" s="269">
        <v>4</v>
      </c>
      <c r="F198" s="269">
        <v>103</v>
      </c>
      <c r="G198" s="269">
        <v>10</v>
      </c>
      <c r="H198" s="269">
        <v>2000</v>
      </c>
      <c r="I198" s="269">
        <v>2000</v>
      </c>
      <c r="J198" s="269">
        <v>0</v>
      </c>
      <c r="K198" s="269">
        <f>0.1*6*10000</f>
        <v>6000</v>
      </c>
      <c r="L198" s="265" t="s">
        <v>400</v>
      </c>
      <c r="M198" s="265"/>
      <c r="N198" s="265">
        <v>0</v>
      </c>
      <c r="O198" s="265">
        <v>0</v>
      </c>
    </row>
    <row r="199" customHeight="1" spans="1:15">
      <c r="A199" s="114">
        <v>196</v>
      </c>
      <c r="B199" s="114" t="s">
        <v>181</v>
      </c>
      <c r="C199" s="269" t="s">
        <v>399</v>
      </c>
      <c r="D199" s="269">
        <v>15125</v>
      </c>
      <c r="E199" s="269">
        <v>4</v>
      </c>
      <c r="F199" s="269">
        <v>103</v>
      </c>
      <c r="G199" s="269">
        <v>10</v>
      </c>
      <c r="H199" s="269">
        <v>3000</v>
      </c>
      <c r="I199" s="269">
        <v>3000</v>
      </c>
      <c r="J199" s="269">
        <v>0</v>
      </c>
      <c r="K199" s="269">
        <f>0.1*6*10000</f>
        <v>6000</v>
      </c>
      <c r="L199" s="265" t="s">
        <v>400</v>
      </c>
      <c r="M199" s="265"/>
      <c r="N199" s="265">
        <v>0</v>
      </c>
      <c r="O199" s="265">
        <v>0</v>
      </c>
    </row>
    <row r="200" customHeight="1" spans="1:15">
      <c r="A200" s="114">
        <v>197</v>
      </c>
      <c r="B200" s="114" t="s">
        <v>184</v>
      </c>
      <c r="C200" s="269" t="s">
        <v>401</v>
      </c>
      <c r="D200" s="269">
        <v>15126</v>
      </c>
      <c r="E200" s="269">
        <v>4</v>
      </c>
      <c r="F200" s="269">
        <v>103</v>
      </c>
      <c r="G200" s="269">
        <v>40</v>
      </c>
      <c r="H200" s="269">
        <v>16000</v>
      </c>
      <c r="I200" s="269">
        <v>16000</v>
      </c>
      <c r="J200" s="269">
        <v>0</v>
      </c>
      <c r="K200" s="269">
        <f>0.4*6*10000</f>
        <v>24000</v>
      </c>
      <c r="L200" s="265" t="s">
        <v>402</v>
      </c>
      <c r="M200" s="265"/>
      <c r="N200" s="265">
        <v>0</v>
      </c>
      <c r="O200" s="265">
        <v>0</v>
      </c>
    </row>
    <row r="201" customHeight="1" spans="1:15">
      <c r="A201" s="114">
        <v>198</v>
      </c>
      <c r="B201" s="114" t="s">
        <v>184</v>
      </c>
      <c r="C201" s="269" t="s">
        <v>401</v>
      </c>
      <c r="D201" s="269">
        <v>15127</v>
      </c>
      <c r="E201" s="269">
        <v>4</v>
      </c>
      <c r="F201" s="269">
        <v>103</v>
      </c>
      <c r="G201" s="269">
        <v>40</v>
      </c>
      <c r="H201" s="269">
        <v>20000</v>
      </c>
      <c r="I201" s="269">
        <v>20000</v>
      </c>
      <c r="J201" s="269">
        <v>0</v>
      </c>
      <c r="K201" s="269">
        <f>0.4*6*10000</f>
        <v>24000</v>
      </c>
      <c r="L201" s="265" t="s">
        <v>402</v>
      </c>
      <c r="M201" s="265"/>
      <c r="N201" s="265">
        <v>0</v>
      </c>
      <c r="O201" s="265">
        <v>0</v>
      </c>
    </row>
    <row r="202" customHeight="1" spans="1:15">
      <c r="A202" s="114">
        <v>199</v>
      </c>
      <c r="B202" s="114" t="s">
        <v>187</v>
      </c>
      <c r="C202" s="269" t="s">
        <v>403</v>
      </c>
      <c r="D202" s="269">
        <v>15128</v>
      </c>
      <c r="E202" s="269">
        <v>4</v>
      </c>
      <c r="F202" s="269">
        <v>103</v>
      </c>
      <c r="G202" s="269">
        <v>100</v>
      </c>
      <c r="H202" s="269">
        <v>50000</v>
      </c>
      <c r="I202" s="269">
        <v>50000</v>
      </c>
      <c r="J202" s="269">
        <v>0</v>
      </c>
      <c r="K202" s="269">
        <f>1*6*10000</f>
        <v>60000</v>
      </c>
      <c r="L202" s="265" t="s">
        <v>404</v>
      </c>
      <c r="M202" s="265"/>
      <c r="N202" s="265">
        <v>0</v>
      </c>
      <c r="O202" s="265">
        <v>0</v>
      </c>
    </row>
    <row r="203" customHeight="1" spans="1:15">
      <c r="A203" s="114">
        <v>200</v>
      </c>
      <c r="B203" s="114" t="s">
        <v>187</v>
      </c>
      <c r="C203" s="269" t="s">
        <v>403</v>
      </c>
      <c r="D203" s="269">
        <v>15129</v>
      </c>
      <c r="E203" s="269">
        <v>4</v>
      </c>
      <c r="F203" s="269">
        <v>103</v>
      </c>
      <c r="G203" s="269">
        <v>100</v>
      </c>
      <c r="H203" s="269">
        <v>60000</v>
      </c>
      <c r="I203" s="269">
        <v>60000</v>
      </c>
      <c r="J203" s="269">
        <v>0</v>
      </c>
      <c r="K203" s="269">
        <f>1*6*10000</f>
        <v>60000</v>
      </c>
      <c r="L203" s="265" t="s">
        <v>404</v>
      </c>
      <c r="M203" s="265"/>
      <c r="N203" s="265">
        <v>0</v>
      </c>
      <c r="O203" s="265">
        <v>0</v>
      </c>
    </row>
    <row r="204" customHeight="1" spans="1:15">
      <c r="A204" s="114">
        <v>201</v>
      </c>
      <c r="B204" s="114" t="s">
        <v>147</v>
      </c>
      <c r="C204" s="269" t="s">
        <v>148</v>
      </c>
      <c r="D204" s="269">
        <v>46032</v>
      </c>
      <c r="E204" s="269">
        <v>23</v>
      </c>
      <c r="F204" s="269">
        <v>1193</v>
      </c>
      <c r="G204" s="269">
        <v>5</v>
      </c>
      <c r="H204" s="269">
        <v>180</v>
      </c>
      <c r="I204" s="269">
        <v>0</v>
      </c>
      <c r="J204" s="269">
        <v>540</v>
      </c>
      <c r="K204" s="269">
        <f>H204</f>
        <v>180</v>
      </c>
      <c r="L204" s="265" t="s">
        <v>405</v>
      </c>
      <c r="M204" s="265"/>
      <c r="N204" s="265">
        <v>0</v>
      </c>
      <c r="O204" s="265">
        <v>0</v>
      </c>
    </row>
    <row r="205" customHeight="1" spans="1:15">
      <c r="A205" s="114">
        <v>202</v>
      </c>
      <c r="B205" s="114" t="s">
        <v>143</v>
      </c>
      <c r="C205" s="269" t="s">
        <v>144</v>
      </c>
      <c r="D205" s="269">
        <v>47029</v>
      </c>
      <c r="E205" s="269">
        <v>24</v>
      </c>
      <c r="F205" s="269">
        <v>1194</v>
      </c>
      <c r="G205" s="269">
        <v>4</v>
      </c>
      <c r="H205" s="269">
        <v>200</v>
      </c>
      <c r="I205" s="269">
        <v>0</v>
      </c>
      <c r="J205" s="269">
        <v>600</v>
      </c>
      <c r="K205" s="269">
        <f>H205</f>
        <v>200</v>
      </c>
      <c r="L205" s="265" t="s">
        <v>406</v>
      </c>
      <c r="M205" s="265"/>
      <c r="N205" s="265">
        <v>0</v>
      </c>
      <c r="O205" s="265">
        <v>0</v>
      </c>
    </row>
  </sheetData>
  <conditionalFormatting sqref="N3:O3">
    <cfRule type="expression" dxfId="0" priority="31">
      <formula>N3&lt;&gt;AB3</formula>
    </cfRule>
  </conditionalFormatting>
  <conditionalFormatting sqref="O5">
    <cfRule type="expression" dxfId="0" priority="26">
      <formula>O5&lt;&gt;AC5</formula>
    </cfRule>
  </conditionalFormatting>
  <conditionalFormatting sqref="O7">
    <cfRule type="expression" dxfId="0" priority="25">
      <formula>O7&lt;&gt;AC7</formula>
    </cfRule>
  </conditionalFormatting>
  <conditionalFormatting sqref="N4:N185">
    <cfRule type="expression" dxfId="0" priority="29">
      <formula>N4&lt;&gt;AB4</formula>
    </cfRule>
  </conditionalFormatting>
  <conditionalFormatting sqref="O4:O7">
    <cfRule type="expression" dxfId="0" priority="27">
      <formula>O4&lt;&gt;AC4</formula>
    </cfRule>
  </conditionalFormatting>
  <conditionalFormatting sqref="O4:O185">
    <cfRule type="expression" dxfId="0" priority="30">
      <formula>O4&lt;&gt;AC4</formula>
    </cfRule>
  </conditionalFormatting>
  <conditionalFormatting sqref="O9 O11 O13 O15 O17 O19 O23 O21 O25 O27 O29 O31 O33 O35 O37">
    <cfRule type="expression" dxfId="0" priority="28">
      <formula>O9&lt;&gt;AC9</formula>
    </cfRule>
  </conditionalFormatting>
  <pageMargins left="0.75" right="0.75" top="1" bottom="1" header="0.5" footer="0.5"/>
  <pageSetup paperSize="1" orientation="portrait"/>
  <headerFooter>
    <oddFooter>&amp;L&amp;"Helvetica,Regular"&amp;12&amp;K000000	&amp;P</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V84"/>
  <sheetViews>
    <sheetView showGridLines="0" workbookViewId="0">
      <pane ySplit="3" topLeftCell="A41" activePane="bottomLeft" state="frozen"/>
      <selection/>
      <selection pane="bottomLeft" activeCell="H77" sqref="H77"/>
    </sheetView>
  </sheetViews>
  <sheetFormatPr defaultColWidth="6.59868421052632" defaultRowHeight="16.5" customHeight="1"/>
  <cols>
    <col min="1" max="1" width="9.5" style="236" customWidth="1"/>
    <col min="2" max="2" width="19" style="236" customWidth="1"/>
    <col min="3" max="3" width="11.0986842105263" style="236" customWidth="1"/>
    <col min="4" max="4" width="14" style="236" customWidth="1"/>
    <col min="5" max="5" width="15.0986842105263" style="236" customWidth="1"/>
    <col min="6" max="6" width="18.0986842105263" style="236" customWidth="1"/>
    <col min="7" max="7" width="11.5" style="236" customWidth="1"/>
    <col min="8" max="8" width="13.0986842105263" style="236" customWidth="1"/>
    <col min="9" max="9" width="10.9013157894737" style="236" customWidth="1"/>
    <col min="10" max="10" width="13.4013157894737" style="236" customWidth="1"/>
    <col min="11" max="11" width="16.4013157894737" style="236" customWidth="1"/>
    <col min="12" max="13" width="19" style="236" customWidth="1"/>
    <col min="14" max="256" width="6.59868421052632" style="236" customWidth="1"/>
  </cols>
  <sheetData>
    <row r="1" ht="21" customHeight="1" spans="1:13">
      <c r="A1" s="80" t="s">
        <v>25</v>
      </c>
      <c r="B1" s="80" t="s">
        <v>407</v>
      </c>
      <c r="C1" s="80" t="s">
        <v>408</v>
      </c>
      <c r="D1" s="80" t="s">
        <v>409</v>
      </c>
      <c r="E1" s="80" t="s">
        <v>410</v>
      </c>
      <c r="F1" s="80" t="s">
        <v>411</v>
      </c>
      <c r="G1" s="80" t="s">
        <v>412</v>
      </c>
      <c r="H1" s="80" t="s">
        <v>413</v>
      </c>
      <c r="I1" s="80" t="s">
        <v>414</v>
      </c>
      <c r="J1" s="80" t="s">
        <v>415</v>
      </c>
      <c r="K1" s="80" t="s">
        <v>416</v>
      </c>
      <c r="L1" s="80" t="s">
        <v>417</v>
      </c>
      <c r="M1" s="80" t="s">
        <v>418</v>
      </c>
    </row>
    <row r="2" ht="21" customHeight="1" spans="1:13">
      <c r="A2" s="80" t="s">
        <v>39</v>
      </c>
      <c r="B2" s="80" t="s">
        <v>40</v>
      </c>
      <c r="C2" s="80" t="s">
        <v>39</v>
      </c>
      <c r="D2" s="80" t="s">
        <v>39</v>
      </c>
      <c r="E2" s="80" t="s">
        <v>39</v>
      </c>
      <c r="F2" s="80" t="s">
        <v>41</v>
      </c>
      <c r="G2" s="80" t="s">
        <v>41</v>
      </c>
      <c r="H2" s="80" t="s">
        <v>39</v>
      </c>
      <c r="I2" s="80" t="s">
        <v>39</v>
      </c>
      <c r="J2" s="80" t="s">
        <v>40</v>
      </c>
      <c r="K2" s="80" t="s">
        <v>40</v>
      </c>
      <c r="L2" s="80" t="s">
        <v>40</v>
      </c>
      <c r="M2" s="80" t="s">
        <v>41</v>
      </c>
    </row>
    <row r="3" ht="21" customHeight="1" spans="1:13">
      <c r="A3" s="80" t="s">
        <v>419</v>
      </c>
      <c r="B3" s="80" t="s">
        <v>420</v>
      </c>
      <c r="C3" s="80" t="s">
        <v>421</v>
      </c>
      <c r="D3" s="80" t="s">
        <v>422</v>
      </c>
      <c r="E3" s="80" t="s">
        <v>423</v>
      </c>
      <c r="F3" s="205" t="s">
        <v>424</v>
      </c>
      <c r="G3" s="80" t="s">
        <v>425</v>
      </c>
      <c r="H3" s="80" t="s">
        <v>426</v>
      </c>
      <c r="I3" s="80" t="s">
        <v>427</v>
      </c>
      <c r="J3" s="80" t="s">
        <v>428</v>
      </c>
      <c r="K3" s="80" t="s">
        <v>429</v>
      </c>
      <c r="L3" s="80" t="s">
        <v>430</v>
      </c>
      <c r="M3" s="80" t="s">
        <v>431</v>
      </c>
    </row>
    <row r="4" ht="21" customHeight="1" spans="1:13">
      <c r="A4" s="80">
        <v>0</v>
      </c>
      <c r="B4" s="80" t="s">
        <v>432</v>
      </c>
      <c r="C4" s="80">
        <v>2101</v>
      </c>
      <c r="D4" s="232">
        <v>1</v>
      </c>
      <c r="E4" s="263">
        <v>1</v>
      </c>
      <c r="F4" s="263">
        <v>0</v>
      </c>
      <c r="G4" s="80">
        <v>0.5</v>
      </c>
      <c r="H4" s="80">
        <v>600</v>
      </c>
      <c r="I4" s="80">
        <v>100</v>
      </c>
      <c r="J4" s="231">
        <v>0</v>
      </c>
      <c r="K4" s="80" t="s">
        <v>433</v>
      </c>
      <c r="L4" s="80">
        <v>0</v>
      </c>
      <c r="M4" s="80">
        <v>1</v>
      </c>
    </row>
    <row r="5" ht="21" customHeight="1" spans="1:13">
      <c r="A5" s="80">
        <v>1</v>
      </c>
      <c r="B5" s="80" t="s">
        <v>434</v>
      </c>
      <c r="C5" s="80">
        <v>2102</v>
      </c>
      <c r="D5" s="232">
        <v>2</v>
      </c>
      <c r="E5" s="263">
        <v>2</v>
      </c>
      <c r="F5" s="263">
        <v>0</v>
      </c>
      <c r="G5" s="80">
        <v>0.5</v>
      </c>
      <c r="H5" s="80">
        <v>600</v>
      </c>
      <c r="I5" s="80">
        <v>100</v>
      </c>
      <c r="J5" s="80">
        <v>0</v>
      </c>
      <c r="K5" s="80" t="s">
        <v>433</v>
      </c>
      <c r="L5" s="80">
        <v>0</v>
      </c>
      <c r="M5" s="80">
        <v>1</v>
      </c>
    </row>
    <row r="6" ht="21" customHeight="1" spans="1:13">
      <c r="A6" s="80">
        <v>2</v>
      </c>
      <c r="B6" s="80" t="s">
        <v>435</v>
      </c>
      <c r="C6" s="80">
        <v>2103</v>
      </c>
      <c r="D6" s="232">
        <v>3</v>
      </c>
      <c r="E6" s="232">
        <v>3</v>
      </c>
      <c r="F6" s="263">
        <v>0</v>
      </c>
      <c r="G6" s="80">
        <v>0.5</v>
      </c>
      <c r="H6" s="80">
        <v>600</v>
      </c>
      <c r="I6" s="80">
        <v>100</v>
      </c>
      <c r="J6" s="80">
        <v>0</v>
      </c>
      <c r="K6" s="80" t="s">
        <v>433</v>
      </c>
      <c r="L6" s="80">
        <v>0</v>
      </c>
      <c r="M6" s="80">
        <v>1</v>
      </c>
    </row>
    <row r="7" ht="21" customHeight="1" spans="1:13">
      <c r="A7" s="80">
        <v>3</v>
      </c>
      <c r="B7" s="80" t="s">
        <v>436</v>
      </c>
      <c r="C7" s="80">
        <v>2104</v>
      </c>
      <c r="D7" s="232">
        <v>4</v>
      </c>
      <c r="E7" s="232">
        <v>4</v>
      </c>
      <c r="F7" s="263">
        <v>0</v>
      </c>
      <c r="G7" s="80">
        <v>0.5</v>
      </c>
      <c r="H7" s="80">
        <v>600</v>
      </c>
      <c r="I7" s="80">
        <v>100</v>
      </c>
      <c r="J7" s="80">
        <v>0</v>
      </c>
      <c r="K7" s="80" t="s">
        <v>433</v>
      </c>
      <c r="L7" s="80">
        <v>0</v>
      </c>
      <c r="M7" s="80">
        <v>1</v>
      </c>
    </row>
    <row r="8" ht="21" customHeight="1" spans="1:13">
      <c r="A8" s="80">
        <v>4</v>
      </c>
      <c r="B8" s="80" t="s">
        <v>437</v>
      </c>
      <c r="C8" s="80">
        <v>2105</v>
      </c>
      <c r="D8" s="232">
        <v>5</v>
      </c>
      <c r="E8" s="232">
        <v>5</v>
      </c>
      <c r="F8" s="263">
        <v>0</v>
      </c>
      <c r="G8" s="80">
        <v>0.5</v>
      </c>
      <c r="H8" s="80">
        <v>600</v>
      </c>
      <c r="I8" s="80">
        <v>100</v>
      </c>
      <c r="J8" s="80">
        <v>0</v>
      </c>
      <c r="K8" s="80" t="s">
        <v>433</v>
      </c>
      <c r="L8" s="80">
        <v>0</v>
      </c>
      <c r="M8" s="80">
        <v>1</v>
      </c>
    </row>
    <row r="9" ht="21" customHeight="1" spans="1:13">
      <c r="A9" s="80">
        <v>5</v>
      </c>
      <c r="B9" s="80" t="s">
        <v>438</v>
      </c>
      <c r="C9" s="80">
        <v>2106</v>
      </c>
      <c r="D9" s="232">
        <v>6</v>
      </c>
      <c r="E9" s="232">
        <v>6</v>
      </c>
      <c r="F9" s="263">
        <v>0</v>
      </c>
      <c r="G9" s="80">
        <v>0.5</v>
      </c>
      <c r="H9" s="80">
        <v>600</v>
      </c>
      <c r="I9" s="80">
        <v>100</v>
      </c>
      <c r="J9" s="231">
        <v>0</v>
      </c>
      <c r="K9" s="80" t="s">
        <v>433</v>
      </c>
      <c r="L9" s="80">
        <v>0</v>
      </c>
      <c r="M9" s="80">
        <v>1</v>
      </c>
    </row>
    <row r="10" ht="21" customHeight="1" spans="1:13">
      <c r="A10" s="80">
        <v>6</v>
      </c>
      <c r="B10" s="80" t="s">
        <v>439</v>
      </c>
      <c r="C10" s="80">
        <v>2107</v>
      </c>
      <c r="D10" s="232">
        <v>7</v>
      </c>
      <c r="E10" s="263">
        <v>7</v>
      </c>
      <c r="F10" s="263">
        <v>0</v>
      </c>
      <c r="G10" s="80">
        <v>0.5</v>
      </c>
      <c r="H10" s="80">
        <v>600</v>
      </c>
      <c r="I10" s="80">
        <v>100</v>
      </c>
      <c r="J10" s="231">
        <v>0</v>
      </c>
      <c r="K10" s="80" t="s">
        <v>433</v>
      </c>
      <c r="L10" s="80">
        <v>0</v>
      </c>
      <c r="M10" s="80">
        <v>1</v>
      </c>
    </row>
    <row r="11" ht="21" customHeight="1" spans="1:13">
      <c r="A11" s="80">
        <v>7</v>
      </c>
      <c r="B11" s="80" t="s">
        <v>440</v>
      </c>
      <c r="C11" s="80">
        <v>2108</v>
      </c>
      <c r="D11" s="232">
        <v>8</v>
      </c>
      <c r="E11" s="263">
        <v>8</v>
      </c>
      <c r="F11" s="263">
        <v>0</v>
      </c>
      <c r="G11" s="80">
        <v>0.5</v>
      </c>
      <c r="H11" s="80">
        <v>600</v>
      </c>
      <c r="I11" s="80">
        <v>100</v>
      </c>
      <c r="J11" s="80">
        <v>0</v>
      </c>
      <c r="K11" s="80" t="s">
        <v>433</v>
      </c>
      <c r="L11" s="80">
        <v>0</v>
      </c>
      <c r="M11" s="80">
        <v>1</v>
      </c>
    </row>
    <row r="12" ht="21" customHeight="1" spans="1:13">
      <c r="A12" s="80">
        <v>8</v>
      </c>
      <c r="B12" s="80" t="s">
        <v>441</v>
      </c>
      <c r="C12" s="80">
        <v>2109</v>
      </c>
      <c r="D12" s="232">
        <v>9</v>
      </c>
      <c r="E12" s="232">
        <v>9</v>
      </c>
      <c r="F12" s="263">
        <v>0</v>
      </c>
      <c r="G12" s="80">
        <v>0.5</v>
      </c>
      <c r="H12" s="80">
        <v>600</v>
      </c>
      <c r="I12" s="80">
        <v>100</v>
      </c>
      <c r="J12" s="80">
        <v>0</v>
      </c>
      <c r="K12" s="80" t="s">
        <v>433</v>
      </c>
      <c r="L12" s="80">
        <v>0</v>
      </c>
      <c r="M12" s="80">
        <v>1</v>
      </c>
    </row>
    <row r="13" ht="21" customHeight="1" spans="1:13">
      <c r="A13" s="80">
        <v>9</v>
      </c>
      <c r="B13" s="80" t="s">
        <v>442</v>
      </c>
      <c r="C13" s="80">
        <v>2110</v>
      </c>
      <c r="D13" s="232">
        <v>10</v>
      </c>
      <c r="E13" s="232">
        <v>10</v>
      </c>
      <c r="F13" s="263">
        <v>0</v>
      </c>
      <c r="G13" s="80">
        <v>0.5</v>
      </c>
      <c r="H13" s="80">
        <v>600</v>
      </c>
      <c r="I13" s="80">
        <v>100</v>
      </c>
      <c r="J13" s="80">
        <v>0</v>
      </c>
      <c r="K13" s="80" t="s">
        <v>433</v>
      </c>
      <c r="L13" s="80">
        <v>0</v>
      </c>
      <c r="M13" s="80">
        <v>1</v>
      </c>
    </row>
    <row r="14" ht="21" customHeight="1" spans="1:13">
      <c r="A14" s="80">
        <v>10</v>
      </c>
      <c r="B14" s="80" t="s">
        <v>443</v>
      </c>
      <c r="C14" s="80">
        <v>2111</v>
      </c>
      <c r="D14" s="232">
        <v>11</v>
      </c>
      <c r="E14" s="232">
        <v>11</v>
      </c>
      <c r="F14" s="263">
        <v>0</v>
      </c>
      <c r="G14" s="80">
        <v>0.5</v>
      </c>
      <c r="H14" s="80">
        <v>600</v>
      </c>
      <c r="I14" s="80">
        <v>100</v>
      </c>
      <c r="J14" s="231">
        <v>0</v>
      </c>
      <c r="K14" s="80" t="s">
        <v>433</v>
      </c>
      <c r="L14" s="80">
        <v>0</v>
      </c>
      <c r="M14" s="80">
        <v>1</v>
      </c>
    </row>
    <row r="15" ht="21" customHeight="1" spans="1:13">
      <c r="A15" s="80">
        <v>11</v>
      </c>
      <c r="B15" s="80" t="s">
        <v>444</v>
      </c>
      <c r="C15" s="80">
        <v>2112</v>
      </c>
      <c r="D15" s="232">
        <v>12</v>
      </c>
      <c r="E15" s="232">
        <v>12</v>
      </c>
      <c r="F15" s="263">
        <v>0</v>
      </c>
      <c r="G15" s="80">
        <v>0.5</v>
      </c>
      <c r="H15" s="80">
        <v>600</v>
      </c>
      <c r="I15" s="80">
        <v>100</v>
      </c>
      <c r="J15" s="80">
        <v>0</v>
      </c>
      <c r="K15" s="80" t="s">
        <v>433</v>
      </c>
      <c r="L15" s="80">
        <v>0</v>
      </c>
      <c r="M15" s="80">
        <v>1</v>
      </c>
    </row>
    <row r="16" ht="21" customHeight="1" spans="1:13">
      <c r="A16" s="80">
        <v>12</v>
      </c>
      <c r="B16" s="80" t="s">
        <v>445</v>
      </c>
      <c r="C16" s="80">
        <v>2113</v>
      </c>
      <c r="D16" s="232">
        <v>13</v>
      </c>
      <c r="E16" s="263">
        <v>13</v>
      </c>
      <c r="F16" s="263">
        <v>0</v>
      </c>
      <c r="G16" s="80">
        <v>0.5</v>
      </c>
      <c r="H16" s="80">
        <v>600</v>
      </c>
      <c r="I16" s="80">
        <v>100</v>
      </c>
      <c r="J16" s="231">
        <v>0</v>
      </c>
      <c r="K16" s="80" t="s">
        <v>433</v>
      </c>
      <c r="L16" s="80">
        <v>0</v>
      </c>
      <c r="M16" s="80">
        <v>1</v>
      </c>
    </row>
    <row r="17" ht="21" customHeight="1" spans="1:13">
      <c r="A17" s="80">
        <v>13</v>
      </c>
      <c r="B17" s="80" t="s">
        <v>446</v>
      </c>
      <c r="C17" s="80">
        <v>2114</v>
      </c>
      <c r="D17" s="232">
        <v>14</v>
      </c>
      <c r="E17" s="263">
        <v>14</v>
      </c>
      <c r="F17" s="263">
        <v>0</v>
      </c>
      <c r="G17" s="80">
        <v>0.5</v>
      </c>
      <c r="H17" s="80">
        <v>600</v>
      </c>
      <c r="I17" s="80">
        <v>100</v>
      </c>
      <c r="J17" s="80">
        <v>0</v>
      </c>
      <c r="K17" s="80" t="s">
        <v>433</v>
      </c>
      <c r="L17" s="80">
        <v>0</v>
      </c>
      <c r="M17" s="80">
        <v>1</v>
      </c>
    </row>
    <row r="18" ht="21" customHeight="1" spans="1:13">
      <c r="A18" s="80">
        <v>14</v>
      </c>
      <c r="B18" s="80" t="s">
        <v>447</v>
      </c>
      <c r="C18" s="80">
        <v>2115</v>
      </c>
      <c r="D18" s="232">
        <v>15</v>
      </c>
      <c r="E18" s="232">
        <v>15</v>
      </c>
      <c r="F18" s="263">
        <v>0</v>
      </c>
      <c r="G18" s="80">
        <v>0.5</v>
      </c>
      <c r="H18" s="80">
        <v>600</v>
      </c>
      <c r="I18" s="80">
        <v>105</v>
      </c>
      <c r="J18" s="80">
        <v>0</v>
      </c>
      <c r="K18" s="80" t="s">
        <v>433</v>
      </c>
      <c r="L18" s="80">
        <v>0</v>
      </c>
      <c r="M18" s="80">
        <v>1</v>
      </c>
    </row>
    <row r="19" ht="21" customHeight="1" spans="1:13">
      <c r="A19" s="80">
        <v>15</v>
      </c>
      <c r="B19" s="80" t="s">
        <v>448</v>
      </c>
      <c r="C19" s="80">
        <v>2116</v>
      </c>
      <c r="D19" s="232">
        <v>16</v>
      </c>
      <c r="E19" s="232">
        <v>16</v>
      </c>
      <c r="F19" s="263">
        <v>0</v>
      </c>
      <c r="G19" s="80">
        <v>0.5</v>
      </c>
      <c r="H19" s="80">
        <v>600</v>
      </c>
      <c r="I19" s="80">
        <v>105</v>
      </c>
      <c r="J19" s="80">
        <v>0</v>
      </c>
      <c r="K19" s="80" t="s">
        <v>433</v>
      </c>
      <c r="L19" s="80">
        <v>0</v>
      </c>
      <c r="M19" s="80">
        <v>1</v>
      </c>
    </row>
    <row r="20" ht="21" customHeight="1" spans="1:13">
      <c r="A20" s="80">
        <v>16</v>
      </c>
      <c r="B20" s="80" t="s">
        <v>449</v>
      </c>
      <c r="C20" s="80">
        <v>2117</v>
      </c>
      <c r="D20" s="232">
        <v>17</v>
      </c>
      <c r="E20" s="232">
        <v>17</v>
      </c>
      <c r="F20" s="263">
        <v>0</v>
      </c>
      <c r="G20" s="80">
        <v>0.5</v>
      </c>
      <c r="H20" s="80">
        <v>600</v>
      </c>
      <c r="I20" s="80">
        <v>105</v>
      </c>
      <c r="J20" s="231">
        <v>0</v>
      </c>
      <c r="K20" s="80" t="s">
        <v>433</v>
      </c>
      <c r="L20" s="80">
        <v>0</v>
      </c>
      <c r="M20" s="80">
        <v>1</v>
      </c>
    </row>
    <row r="21" ht="21" customHeight="1" spans="1:13">
      <c r="A21" s="80">
        <v>17</v>
      </c>
      <c r="B21" s="80" t="s">
        <v>450</v>
      </c>
      <c r="C21" s="80">
        <v>2118</v>
      </c>
      <c r="D21" s="232">
        <v>18</v>
      </c>
      <c r="E21" s="232">
        <v>18</v>
      </c>
      <c r="F21" s="263">
        <v>0</v>
      </c>
      <c r="G21" s="80">
        <v>0.5</v>
      </c>
      <c r="H21" s="80">
        <v>600</v>
      </c>
      <c r="I21" s="80">
        <v>105</v>
      </c>
      <c r="J21" s="80">
        <v>0</v>
      </c>
      <c r="K21" s="80" t="s">
        <v>433</v>
      </c>
      <c r="L21" s="80">
        <v>0</v>
      </c>
      <c r="M21" s="80">
        <v>1</v>
      </c>
    </row>
    <row r="22" ht="21" customHeight="1" spans="1:13">
      <c r="A22" s="80">
        <v>18</v>
      </c>
      <c r="B22" s="80" t="s">
        <v>451</v>
      </c>
      <c r="C22" s="80">
        <v>2119</v>
      </c>
      <c r="D22" s="232">
        <v>19</v>
      </c>
      <c r="E22" s="263">
        <v>19</v>
      </c>
      <c r="F22" s="263">
        <v>0</v>
      </c>
      <c r="G22" s="80">
        <v>0.5</v>
      </c>
      <c r="H22" s="80">
        <v>600</v>
      </c>
      <c r="I22" s="80">
        <v>105</v>
      </c>
      <c r="J22" s="231">
        <v>0</v>
      </c>
      <c r="K22" s="80" t="s">
        <v>433</v>
      </c>
      <c r="L22" s="80">
        <v>0</v>
      </c>
      <c r="M22" s="80">
        <v>1</v>
      </c>
    </row>
    <row r="23" ht="21" customHeight="1" spans="1:13">
      <c r="A23" s="80">
        <v>19</v>
      </c>
      <c r="B23" s="80" t="s">
        <v>452</v>
      </c>
      <c r="C23" s="80">
        <v>2120</v>
      </c>
      <c r="D23" s="232">
        <v>20</v>
      </c>
      <c r="E23" s="263">
        <v>20</v>
      </c>
      <c r="F23" s="263">
        <v>0</v>
      </c>
      <c r="G23" s="80">
        <v>0.5</v>
      </c>
      <c r="H23" s="80">
        <v>600</v>
      </c>
      <c r="I23" s="80">
        <v>105</v>
      </c>
      <c r="J23" s="80">
        <v>0</v>
      </c>
      <c r="K23" s="80" t="s">
        <v>433</v>
      </c>
      <c r="L23" s="80">
        <v>0</v>
      </c>
      <c r="M23" s="80">
        <v>1</v>
      </c>
    </row>
    <row r="24" ht="21" customHeight="1" spans="1:13">
      <c r="A24" s="80">
        <v>20</v>
      </c>
      <c r="B24" s="80" t="s">
        <v>453</v>
      </c>
      <c r="C24" s="80">
        <v>2121</v>
      </c>
      <c r="D24" s="232">
        <v>21</v>
      </c>
      <c r="E24" s="232">
        <v>21</v>
      </c>
      <c r="F24" s="263">
        <v>0</v>
      </c>
      <c r="G24" s="80">
        <v>0.5</v>
      </c>
      <c r="H24" s="80">
        <v>600</v>
      </c>
      <c r="I24" s="80">
        <v>105</v>
      </c>
      <c r="J24" s="80">
        <v>0</v>
      </c>
      <c r="K24" s="80" t="s">
        <v>433</v>
      </c>
      <c r="L24" s="80">
        <v>0</v>
      </c>
      <c r="M24" s="80">
        <v>1</v>
      </c>
    </row>
    <row r="25" ht="21" customHeight="1" spans="1:13">
      <c r="A25" s="80">
        <v>21</v>
      </c>
      <c r="B25" s="80" t="s">
        <v>454</v>
      </c>
      <c r="C25" s="80">
        <v>2122</v>
      </c>
      <c r="D25" s="232">
        <v>22</v>
      </c>
      <c r="E25" s="232">
        <v>22</v>
      </c>
      <c r="F25" s="263">
        <v>0</v>
      </c>
      <c r="G25" s="80">
        <v>0.5</v>
      </c>
      <c r="H25" s="80">
        <v>600</v>
      </c>
      <c r="I25" s="80">
        <v>105</v>
      </c>
      <c r="J25" s="80">
        <v>0</v>
      </c>
      <c r="K25" s="80" t="s">
        <v>433</v>
      </c>
      <c r="L25" s="80">
        <v>0</v>
      </c>
      <c r="M25" s="80">
        <v>1</v>
      </c>
    </row>
    <row r="26" ht="21" customHeight="1" spans="1:13">
      <c r="A26" s="80">
        <v>22</v>
      </c>
      <c r="B26" s="80" t="s">
        <v>455</v>
      </c>
      <c r="C26" s="80">
        <v>2123</v>
      </c>
      <c r="D26" s="232">
        <v>23</v>
      </c>
      <c r="E26" s="232">
        <v>23</v>
      </c>
      <c r="F26" s="263">
        <v>0</v>
      </c>
      <c r="G26" s="80">
        <v>0.5</v>
      </c>
      <c r="H26" s="80">
        <v>600</v>
      </c>
      <c r="I26" s="80">
        <v>105</v>
      </c>
      <c r="J26" s="231">
        <v>0</v>
      </c>
      <c r="K26" s="80" t="s">
        <v>433</v>
      </c>
      <c r="L26" s="80">
        <v>0</v>
      </c>
      <c r="M26" s="80">
        <v>1</v>
      </c>
    </row>
    <row r="27" ht="21" customHeight="1" spans="1:13">
      <c r="A27" s="80">
        <v>23</v>
      </c>
      <c r="B27" s="80" t="s">
        <v>456</v>
      </c>
      <c r="C27" s="80">
        <v>2124</v>
      </c>
      <c r="D27" s="232">
        <v>24</v>
      </c>
      <c r="E27" s="232">
        <v>24</v>
      </c>
      <c r="F27" s="263">
        <v>0</v>
      </c>
      <c r="G27" s="80">
        <v>0.5</v>
      </c>
      <c r="H27" s="80">
        <v>600</v>
      </c>
      <c r="I27" s="80">
        <v>105</v>
      </c>
      <c r="J27" s="80">
        <v>0</v>
      </c>
      <c r="K27" s="80" t="s">
        <v>433</v>
      </c>
      <c r="L27" s="80">
        <v>0</v>
      </c>
      <c r="M27" s="80">
        <v>1</v>
      </c>
    </row>
    <row r="28" ht="21" customHeight="1" spans="1:13">
      <c r="A28" s="80">
        <v>24</v>
      </c>
      <c r="B28" s="80" t="s">
        <v>457</v>
      </c>
      <c r="C28" s="80">
        <v>2125</v>
      </c>
      <c r="D28" s="232">
        <v>25</v>
      </c>
      <c r="E28" s="263">
        <v>25</v>
      </c>
      <c r="F28" s="263">
        <v>0</v>
      </c>
      <c r="G28" s="80">
        <v>0.5</v>
      </c>
      <c r="H28" s="80">
        <v>600</v>
      </c>
      <c r="I28" s="80">
        <v>110</v>
      </c>
      <c r="J28" s="231">
        <v>0</v>
      </c>
      <c r="K28" s="80" t="s">
        <v>433</v>
      </c>
      <c r="L28" s="80">
        <v>0</v>
      </c>
      <c r="M28" s="80">
        <v>1</v>
      </c>
    </row>
    <row r="29" ht="21" customHeight="1" spans="1:13">
      <c r="A29" s="80">
        <v>25</v>
      </c>
      <c r="B29" s="80" t="s">
        <v>458</v>
      </c>
      <c r="C29" s="80">
        <v>2126</v>
      </c>
      <c r="D29" s="232">
        <v>26</v>
      </c>
      <c r="E29" s="263">
        <v>26</v>
      </c>
      <c r="F29" s="232">
        <v>0.005</v>
      </c>
      <c r="G29" s="80">
        <v>0.5</v>
      </c>
      <c r="H29" s="80">
        <v>600</v>
      </c>
      <c r="I29" s="80">
        <v>110</v>
      </c>
      <c r="J29" s="80">
        <v>0</v>
      </c>
      <c r="K29" s="80" t="s">
        <v>433</v>
      </c>
      <c r="L29" s="80">
        <v>0</v>
      </c>
      <c r="M29" s="80">
        <v>1</v>
      </c>
    </row>
    <row r="30" ht="21" customHeight="1" spans="1:13">
      <c r="A30" s="80">
        <v>26</v>
      </c>
      <c r="B30" s="80" t="s">
        <v>459</v>
      </c>
      <c r="C30" s="80">
        <v>2127</v>
      </c>
      <c r="D30" s="232">
        <v>27</v>
      </c>
      <c r="E30" s="232">
        <v>27</v>
      </c>
      <c r="F30" s="232">
        <v>0.006</v>
      </c>
      <c r="G30" s="80">
        <v>0.5</v>
      </c>
      <c r="H30" s="80">
        <v>600</v>
      </c>
      <c r="I30" s="80">
        <v>110</v>
      </c>
      <c r="J30" s="80">
        <v>0</v>
      </c>
      <c r="K30" s="80" t="s">
        <v>433</v>
      </c>
      <c r="L30" s="80">
        <v>0</v>
      </c>
      <c r="M30" s="80">
        <v>1</v>
      </c>
    </row>
    <row r="31" ht="21" customHeight="1" spans="1:13">
      <c r="A31" s="80">
        <v>27</v>
      </c>
      <c r="B31" s="80" t="s">
        <v>460</v>
      </c>
      <c r="C31" s="80">
        <v>2128</v>
      </c>
      <c r="D31" s="232">
        <v>28</v>
      </c>
      <c r="E31" s="232">
        <v>28</v>
      </c>
      <c r="F31" s="232">
        <v>0.007</v>
      </c>
      <c r="G31" s="80">
        <v>0.5</v>
      </c>
      <c r="H31" s="80">
        <v>600</v>
      </c>
      <c r="I31" s="80">
        <v>110</v>
      </c>
      <c r="J31" s="80">
        <v>0</v>
      </c>
      <c r="K31" s="80" t="s">
        <v>433</v>
      </c>
      <c r="L31" s="80">
        <v>0</v>
      </c>
      <c r="M31" s="80">
        <v>1</v>
      </c>
    </row>
    <row r="32" ht="21" customHeight="1" spans="1:13">
      <c r="A32" s="80">
        <v>28</v>
      </c>
      <c r="B32" s="80" t="s">
        <v>461</v>
      </c>
      <c r="C32" s="80">
        <v>2129</v>
      </c>
      <c r="D32" s="232">
        <v>29</v>
      </c>
      <c r="E32" s="232">
        <v>29</v>
      </c>
      <c r="F32" s="232">
        <v>0.008</v>
      </c>
      <c r="G32" s="80">
        <v>0.5</v>
      </c>
      <c r="H32" s="80">
        <v>600</v>
      </c>
      <c r="I32" s="80">
        <v>110</v>
      </c>
      <c r="J32" s="231">
        <v>0</v>
      </c>
      <c r="K32" s="80" t="s">
        <v>433</v>
      </c>
      <c r="L32" s="80">
        <v>0</v>
      </c>
      <c r="M32" s="80">
        <v>1</v>
      </c>
    </row>
    <row r="33" ht="21" customHeight="1" spans="1:13">
      <c r="A33" s="80">
        <v>29</v>
      </c>
      <c r="B33" s="80" t="s">
        <v>462</v>
      </c>
      <c r="C33" s="80">
        <v>2130</v>
      </c>
      <c r="D33" s="232">
        <v>30</v>
      </c>
      <c r="E33" s="232">
        <v>30</v>
      </c>
      <c r="F33" s="232">
        <v>0.01</v>
      </c>
      <c r="G33" s="80">
        <v>0.5</v>
      </c>
      <c r="H33" s="80">
        <v>600</v>
      </c>
      <c r="I33" s="80">
        <v>110</v>
      </c>
      <c r="J33" s="80">
        <v>0</v>
      </c>
      <c r="K33" s="80" t="s">
        <v>433</v>
      </c>
      <c r="L33" s="80">
        <v>0</v>
      </c>
      <c r="M33" s="80">
        <v>1</v>
      </c>
    </row>
    <row r="34" ht="21" customHeight="1" spans="1:13">
      <c r="A34" s="80">
        <v>30</v>
      </c>
      <c r="B34" s="80" t="s">
        <v>463</v>
      </c>
      <c r="C34" s="80">
        <v>2131</v>
      </c>
      <c r="D34" s="232">
        <v>31</v>
      </c>
      <c r="E34" s="263">
        <v>31</v>
      </c>
      <c r="F34" s="232">
        <v>0.0125</v>
      </c>
      <c r="G34" s="80">
        <v>0.5</v>
      </c>
      <c r="H34" s="80">
        <v>600</v>
      </c>
      <c r="I34" s="80">
        <v>110</v>
      </c>
      <c r="J34" s="231">
        <v>0</v>
      </c>
      <c r="K34" s="80" t="s">
        <v>433</v>
      </c>
      <c r="L34" s="80">
        <v>0</v>
      </c>
      <c r="M34" s="80">
        <v>1</v>
      </c>
    </row>
    <row r="35" ht="21" customHeight="1" spans="1:13">
      <c r="A35" s="80">
        <v>31</v>
      </c>
      <c r="B35" s="80" t="s">
        <v>464</v>
      </c>
      <c r="C35" s="80">
        <v>2132</v>
      </c>
      <c r="D35" s="232">
        <v>32</v>
      </c>
      <c r="E35" s="263">
        <v>32</v>
      </c>
      <c r="F35" s="232">
        <v>0.015</v>
      </c>
      <c r="G35" s="80">
        <v>0.5</v>
      </c>
      <c r="H35" s="80">
        <v>600</v>
      </c>
      <c r="I35" s="80">
        <v>110</v>
      </c>
      <c r="J35" s="80">
        <v>0</v>
      </c>
      <c r="K35" s="80" t="s">
        <v>433</v>
      </c>
      <c r="L35" s="80">
        <v>0</v>
      </c>
      <c r="M35" s="80">
        <v>1</v>
      </c>
    </row>
    <row r="36" ht="21" customHeight="1" spans="1:13">
      <c r="A36" s="80">
        <v>32</v>
      </c>
      <c r="B36" s="80" t="s">
        <v>465</v>
      </c>
      <c r="C36" s="80">
        <v>2133</v>
      </c>
      <c r="D36" s="232">
        <v>33</v>
      </c>
      <c r="E36" s="232">
        <v>33</v>
      </c>
      <c r="F36" s="232">
        <v>0.0175</v>
      </c>
      <c r="G36" s="80">
        <v>0.5</v>
      </c>
      <c r="H36" s="80">
        <v>600</v>
      </c>
      <c r="I36" s="80">
        <v>110</v>
      </c>
      <c r="J36" s="80">
        <v>0</v>
      </c>
      <c r="K36" s="80" t="s">
        <v>433</v>
      </c>
      <c r="L36" s="80">
        <v>0</v>
      </c>
      <c r="M36" s="80">
        <v>1</v>
      </c>
    </row>
    <row r="37" ht="21" customHeight="1" spans="1:13">
      <c r="A37" s="80">
        <v>33</v>
      </c>
      <c r="B37" s="80" t="s">
        <v>466</v>
      </c>
      <c r="C37" s="80">
        <v>2134</v>
      </c>
      <c r="D37" s="232">
        <v>34</v>
      </c>
      <c r="E37" s="232">
        <v>34</v>
      </c>
      <c r="F37" s="232">
        <v>0.02</v>
      </c>
      <c r="G37" s="80">
        <v>0.5</v>
      </c>
      <c r="H37" s="80">
        <v>600</v>
      </c>
      <c r="I37" s="80">
        <v>110</v>
      </c>
      <c r="J37" s="80">
        <v>0</v>
      </c>
      <c r="K37" s="80" t="s">
        <v>433</v>
      </c>
      <c r="L37" s="80">
        <v>0</v>
      </c>
      <c r="M37" s="80">
        <v>1</v>
      </c>
    </row>
    <row r="38" ht="21" customHeight="1" spans="1:13">
      <c r="A38" s="80">
        <v>34</v>
      </c>
      <c r="B38" s="80" t="s">
        <v>467</v>
      </c>
      <c r="C38" s="80">
        <v>2135</v>
      </c>
      <c r="D38" s="232">
        <v>35</v>
      </c>
      <c r="E38" s="232">
        <v>35</v>
      </c>
      <c r="F38" s="232">
        <v>0.025</v>
      </c>
      <c r="G38" s="80">
        <v>0.5</v>
      </c>
      <c r="H38" s="80">
        <v>600</v>
      </c>
      <c r="I38" s="80">
        <v>115</v>
      </c>
      <c r="J38" s="231">
        <v>0</v>
      </c>
      <c r="K38" s="80" t="s">
        <v>433</v>
      </c>
      <c r="L38" s="80">
        <v>0</v>
      </c>
      <c r="M38" s="80">
        <v>1</v>
      </c>
    </row>
    <row r="39" ht="21" customHeight="1" spans="1:13">
      <c r="A39" s="80">
        <v>35</v>
      </c>
      <c r="B39" s="80" t="s">
        <v>468</v>
      </c>
      <c r="C39" s="80">
        <v>2136</v>
      </c>
      <c r="D39" s="232">
        <v>36</v>
      </c>
      <c r="E39" s="232">
        <v>36</v>
      </c>
      <c r="F39" s="232">
        <v>0.03</v>
      </c>
      <c r="G39" s="80">
        <v>0.5</v>
      </c>
      <c r="H39" s="80">
        <v>600</v>
      </c>
      <c r="I39" s="80">
        <v>115</v>
      </c>
      <c r="J39" s="80">
        <v>0</v>
      </c>
      <c r="K39" s="80" t="s">
        <v>433</v>
      </c>
      <c r="L39" s="80">
        <v>0</v>
      </c>
      <c r="M39" s="80">
        <v>1</v>
      </c>
    </row>
    <row r="40" ht="21" customHeight="1" spans="1:13">
      <c r="A40" s="80">
        <v>36</v>
      </c>
      <c r="B40" s="80" t="s">
        <v>469</v>
      </c>
      <c r="C40" s="80">
        <v>2137</v>
      </c>
      <c r="D40" s="80">
        <v>37</v>
      </c>
      <c r="E40" s="80">
        <v>37</v>
      </c>
      <c r="F40" s="232">
        <v>0.035</v>
      </c>
      <c r="G40" s="80">
        <v>0.5</v>
      </c>
      <c r="H40" s="80">
        <v>600</v>
      </c>
      <c r="I40" s="80">
        <v>115</v>
      </c>
      <c r="J40" s="80">
        <v>0</v>
      </c>
      <c r="K40" s="80" t="s">
        <v>433</v>
      </c>
      <c r="L40" s="80">
        <v>0</v>
      </c>
      <c r="M40" s="80">
        <v>1</v>
      </c>
    </row>
    <row r="41" ht="21" customHeight="1" spans="1:13">
      <c r="A41" s="80">
        <v>37</v>
      </c>
      <c r="B41" s="80" t="s">
        <v>470</v>
      </c>
      <c r="C41" s="80">
        <v>2138</v>
      </c>
      <c r="D41" s="80">
        <v>38</v>
      </c>
      <c r="E41" s="80">
        <v>38</v>
      </c>
      <c r="F41" s="232">
        <v>0.04</v>
      </c>
      <c r="G41" s="80">
        <v>0.5</v>
      </c>
      <c r="H41" s="80">
        <v>600</v>
      </c>
      <c r="I41" s="80">
        <v>115</v>
      </c>
      <c r="J41" s="80">
        <v>0</v>
      </c>
      <c r="K41" s="80" t="s">
        <v>433</v>
      </c>
      <c r="L41" s="80">
        <v>0</v>
      </c>
      <c r="M41" s="80">
        <v>1</v>
      </c>
    </row>
    <row r="42" ht="21" customHeight="1" spans="1:13">
      <c r="A42" s="80">
        <v>38</v>
      </c>
      <c r="B42" s="80" t="s">
        <v>471</v>
      </c>
      <c r="C42" s="80">
        <v>2139</v>
      </c>
      <c r="D42" s="80">
        <v>39</v>
      </c>
      <c r="E42" s="80">
        <v>39</v>
      </c>
      <c r="F42" s="232">
        <v>0.045</v>
      </c>
      <c r="G42" s="80">
        <v>0.5</v>
      </c>
      <c r="H42" s="80">
        <v>600</v>
      </c>
      <c r="I42" s="80">
        <v>115</v>
      </c>
      <c r="J42" s="80">
        <v>0</v>
      </c>
      <c r="K42" s="80" t="s">
        <v>433</v>
      </c>
      <c r="L42" s="80">
        <v>0</v>
      </c>
      <c r="M42" s="80">
        <v>1</v>
      </c>
    </row>
    <row r="43" ht="21" customHeight="1" spans="1:13">
      <c r="A43" s="80">
        <v>39</v>
      </c>
      <c r="B43" s="80" t="s">
        <v>472</v>
      </c>
      <c r="C43" s="80">
        <v>2140</v>
      </c>
      <c r="D43" s="232">
        <v>40</v>
      </c>
      <c r="E43" s="263">
        <v>40</v>
      </c>
      <c r="F43" s="232">
        <v>0.05</v>
      </c>
      <c r="G43" s="80">
        <v>0.5</v>
      </c>
      <c r="H43" s="80">
        <v>600</v>
      </c>
      <c r="I43" s="80">
        <v>115</v>
      </c>
      <c r="J43" s="231">
        <v>0</v>
      </c>
      <c r="K43" s="80" t="s">
        <v>433</v>
      </c>
      <c r="L43" s="80">
        <v>0</v>
      </c>
      <c r="M43" s="80">
        <v>1</v>
      </c>
    </row>
    <row r="44" ht="21" customHeight="1" spans="1:13">
      <c r="A44" s="80">
        <v>40</v>
      </c>
      <c r="B44" s="80" t="s">
        <v>473</v>
      </c>
      <c r="C44" s="80">
        <v>2201</v>
      </c>
      <c r="D44" s="232">
        <v>0</v>
      </c>
      <c r="E44" s="232">
        <v>0</v>
      </c>
      <c r="F44" s="263">
        <v>0</v>
      </c>
      <c r="G44" s="232">
        <v>0</v>
      </c>
      <c r="H44" s="232">
        <v>0</v>
      </c>
      <c r="I44" s="232">
        <v>0</v>
      </c>
      <c r="J44" s="232">
        <v>0</v>
      </c>
      <c r="K44" s="232">
        <v>0</v>
      </c>
      <c r="L44" s="232">
        <v>0</v>
      </c>
      <c r="M44" s="80">
        <v>1</v>
      </c>
    </row>
    <row r="45" ht="21" customHeight="1" spans="1:13">
      <c r="A45" s="80">
        <v>41</v>
      </c>
      <c r="B45" s="80" t="s">
        <v>474</v>
      </c>
      <c r="C45" s="80">
        <v>2202</v>
      </c>
      <c r="D45" s="232">
        <v>0</v>
      </c>
      <c r="E45" s="232">
        <v>0</v>
      </c>
      <c r="F45" s="263">
        <v>0</v>
      </c>
      <c r="G45" s="232">
        <v>0</v>
      </c>
      <c r="H45" s="232">
        <v>0</v>
      </c>
      <c r="I45" s="232">
        <v>0</v>
      </c>
      <c r="J45" s="232">
        <v>0</v>
      </c>
      <c r="K45" s="232">
        <v>0</v>
      </c>
      <c r="L45" s="232">
        <v>0</v>
      </c>
      <c r="M45" s="80">
        <v>1</v>
      </c>
    </row>
    <row r="46" ht="21" customHeight="1" spans="1:13">
      <c r="A46" s="80">
        <v>42</v>
      </c>
      <c r="B46" s="80" t="s">
        <v>475</v>
      </c>
      <c r="C46" s="80">
        <v>2203</v>
      </c>
      <c r="D46" s="232">
        <v>0</v>
      </c>
      <c r="E46" s="232">
        <v>0</v>
      </c>
      <c r="F46" s="263">
        <v>0</v>
      </c>
      <c r="G46" s="232">
        <v>0</v>
      </c>
      <c r="H46" s="232">
        <v>0</v>
      </c>
      <c r="I46" s="232">
        <v>0</v>
      </c>
      <c r="J46" s="232">
        <v>0</v>
      </c>
      <c r="K46" s="232">
        <v>0</v>
      </c>
      <c r="L46" s="232">
        <v>0</v>
      </c>
      <c r="M46" s="80">
        <v>1</v>
      </c>
    </row>
    <row r="47" ht="21" customHeight="1" spans="1:13">
      <c r="A47" s="80">
        <v>43</v>
      </c>
      <c r="B47" s="80" t="s">
        <v>476</v>
      </c>
      <c r="C47" s="80">
        <v>2204</v>
      </c>
      <c r="D47" s="232">
        <v>0</v>
      </c>
      <c r="E47" s="232">
        <v>0</v>
      </c>
      <c r="F47" s="263">
        <v>0</v>
      </c>
      <c r="G47" s="232">
        <v>0</v>
      </c>
      <c r="H47" s="232">
        <v>0</v>
      </c>
      <c r="I47" s="232">
        <v>0</v>
      </c>
      <c r="J47" s="232">
        <v>0</v>
      </c>
      <c r="K47" s="232">
        <v>0</v>
      </c>
      <c r="L47" s="232">
        <v>0</v>
      </c>
      <c r="M47" s="80">
        <v>1</v>
      </c>
    </row>
    <row r="48" ht="21" customHeight="1" spans="1:13">
      <c r="A48" s="80">
        <v>44</v>
      </c>
      <c r="B48" s="80" t="s">
        <v>477</v>
      </c>
      <c r="C48" s="80">
        <v>2205</v>
      </c>
      <c r="D48" s="232">
        <v>0</v>
      </c>
      <c r="E48" s="232">
        <v>0</v>
      </c>
      <c r="F48" s="263">
        <v>0</v>
      </c>
      <c r="G48" s="232">
        <v>0</v>
      </c>
      <c r="H48" s="232">
        <v>0</v>
      </c>
      <c r="I48" s="232">
        <v>0</v>
      </c>
      <c r="J48" s="232">
        <v>0</v>
      </c>
      <c r="K48" s="232">
        <v>0</v>
      </c>
      <c r="L48" s="232">
        <v>0</v>
      </c>
      <c r="M48" s="80">
        <v>1</v>
      </c>
    </row>
    <row r="49" ht="21" customHeight="1" spans="1:13">
      <c r="A49" s="80">
        <v>45</v>
      </c>
      <c r="B49" s="80" t="s">
        <v>478</v>
      </c>
      <c r="C49" s="80">
        <v>2206</v>
      </c>
      <c r="D49" s="232">
        <v>0</v>
      </c>
      <c r="E49" s="232">
        <v>0</v>
      </c>
      <c r="F49" s="263">
        <v>0</v>
      </c>
      <c r="G49" s="232">
        <v>0</v>
      </c>
      <c r="H49" s="232">
        <v>0</v>
      </c>
      <c r="I49" s="232">
        <v>0</v>
      </c>
      <c r="J49" s="232">
        <v>0</v>
      </c>
      <c r="K49" s="232">
        <v>0</v>
      </c>
      <c r="L49" s="232">
        <v>0</v>
      </c>
      <c r="M49" s="80">
        <v>1</v>
      </c>
    </row>
    <row r="50" ht="21" customHeight="1" spans="1:13">
      <c r="A50" s="80">
        <v>46</v>
      </c>
      <c r="B50" s="80" t="s">
        <v>479</v>
      </c>
      <c r="C50" s="80">
        <v>2207</v>
      </c>
      <c r="D50" s="232">
        <v>0</v>
      </c>
      <c r="E50" s="232">
        <v>0</v>
      </c>
      <c r="F50" s="263">
        <v>0</v>
      </c>
      <c r="G50" s="232">
        <v>0</v>
      </c>
      <c r="H50" s="232">
        <v>0</v>
      </c>
      <c r="I50" s="232">
        <v>0</v>
      </c>
      <c r="J50" s="232">
        <v>0</v>
      </c>
      <c r="K50" s="232">
        <v>0</v>
      </c>
      <c r="L50" s="232">
        <v>0</v>
      </c>
      <c r="M50" s="80">
        <v>1</v>
      </c>
    </row>
    <row r="51" ht="21" customHeight="1" spans="1:13">
      <c r="A51" s="80">
        <v>47</v>
      </c>
      <c r="B51" s="80" t="s">
        <v>480</v>
      </c>
      <c r="C51" s="80">
        <v>2208</v>
      </c>
      <c r="D51" s="232">
        <v>0</v>
      </c>
      <c r="E51" s="232">
        <v>0</v>
      </c>
      <c r="F51" s="263">
        <v>0</v>
      </c>
      <c r="G51" s="232">
        <v>0</v>
      </c>
      <c r="H51" s="232">
        <v>0</v>
      </c>
      <c r="I51" s="232">
        <v>0</v>
      </c>
      <c r="J51" s="232">
        <v>0</v>
      </c>
      <c r="K51" s="232">
        <v>0</v>
      </c>
      <c r="L51" s="232">
        <v>0</v>
      </c>
      <c r="M51" s="80">
        <v>1</v>
      </c>
    </row>
    <row r="52" ht="21" customHeight="1" spans="1:13">
      <c r="A52" s="80">
        <v>48</v>
      </c>
      <c r="B52" s="80" t="s">
        <v>481</v>
      </c>
      <c r="C52" s="80">
        <v>2209</v>
      </c>
      <c r="D52" s="232">
        <v>0</v>
      </c>
      <c r="E52" s="232">
        <v>0</v>
      </c>
      <c r="F52" s="263">
        <v>0</v>
      </c>
      <c r="G52" s="232">
        <v>0</v>
      </c>
      <c r="H52" s="232">
        <v>0</v>
      </c>
      <c r="I52" s="232">
        <v>0</v>
      </c>
      <c r="J52" s="232">
        <v>0</v>
      </c>
      <c r="K52" s="232">
        <v>0</v>
      </c>
      <c r="L52" s="232">
        <v>0</v>
      </c>
      <c r="M52" s="80">
        <v>1</v>
      </c>
    </row>
    <row r="53" ht="21" customHeight="1" spans="1:13">
      <c r="A53" s="80">
        <v>49</v>
      </c>
      <c r="B53" s="80" t="s">
        <v>482</v>
      </c>
      <c r="C53" s="80">
        <v>2210</v>
      </c>
      <c r="D53" s="232">
        <v>0</v>
      </c>
      <c r="E53" s="232">
        <v>0</v>
      </c>
      <c r="F53" s="263">
        <v>0</v>
      </c>
      <c r="G53" s="232">
        <v>0</v>
      </c>
      <c r="H53" s="232">
        <v>0</v>
      </c>
      <c r="I53" s="232">
        <v>0</v>
      </c>
      <c r="J53" s="232">
        <v>0</v>
      </c>
      <c r="K53" s="232">
        <v>0</v>
      </c>
      <c r="L53" s="232">
        <v>0</v>
      </c>
      <c r="M53" s="80">
        <v>1</v>
      </c>
    </row>
    <row r="54" ht="21" customHeight="1" spans="1:13">
      <c r="A54" s="80">
        <v>50</v>
      </c>
      <c r="B54" s="80" t="s">
        <v>225</v>
      </c>
      <c r="C54" s="80">
        <v>2301</v>
      </c>
      <c r="D54" s="232">
        <v>0</v>
      </c>
      <c r="E54" s="232">
        <v>0</v>
      </c>
      <c r="F54" s="263">
        <v>0</v>
      </c>
      <c r="G54" s="232">
        <v>0</v>
      </c>
      <c r="H54" s="232">
        <v>0</v>
      </c>
      <c r="I54" s="232">
        <v>0</v>
      </c>
      <c r="J54" s="232">
        <v>0</v>
      </c>
      <c r="K54" s="232">
        <v>0</v>
      </c>
      <c r="L54" s="232">
        <v>0</v>
      </c>
      <c r="M54" s="80">
        <v>1</v>
      </c>
    </row>
    <row r="55" ht="21" customHeight="1" spans="1:13">
      <c r="A55" s="80">
        <v>51</v>
      </c>
      <c r="B55" s="80" t="s">
        <v>483</v>
      </c>
      <c r="C55" s="80">
        <v>2302</v>
      </c>
      <c r="D55" s="232">
        <v>0</v>
      </c>
      <c r="E55" s="232">
        <v>0</v>
      </c>
      <c r="F55" s="263">
        <v>0</v>
      </c>
      <c r="G55" s="232">
        <v>0</v>
      </c>
      <c r="H55" s="232">
        <v>0</v>
      </c>
      <c r="I55" s="232">
        <v>0</v>
      </c>
      <c r="J55" s="232">
        <v>0</v>
      </c>
      <c r="K55" s="232">
        <v>0</v>
      </c>
      <c r="L55" s="232">
        <v>0</v>
      </c>
      <c r="M55" s="80">
        <v>1</v>
      </c>
    </row>
    <row r="56" ht="21" customHeight="1" spans="1:13">
      <c r="A56" s="80">
        <v>52</v>
      </c>
      <c r="B56" s="80" t="s">
        <v>216</v>
      </c>
      <c r="C56" s="80">
        <v>2401</v>
      </c>
      <c r="D56" s="232">
        <v>0</v>
      </c>
      <c r="E56" s="114">
        <v>1000</v>
      </c>
      <c r="F56" s="263">
        <v>0</v>
      </c>
      <c r="G56" s="232">
        <v>0</v>
      </c>
      <c r="H56" s="232">
        <v>0</v>
      </c>
      <c r="I56" s="232">
        <v>400</v>
      </c>
      <c r="J56" s="232">
        <v>0</v>
      </c>
      <c r="K56" s="232">
        <v>0</v>
      </c>
      <c r="L56" s="232">
        <v>0</v>
      </c>
      <c r="M56" s="80">
        <v>1</v>
      </c>
    </row>
    <row r="57" ht="21" customHeight="1" spans="1:13">
      <c r="A57" s="80">
        <v>53</v>
      </c>
      <c r="B57" s="80" t="s">
        <v>217</v>
      </c>
      <c r="C57" s="80">
        <v>2402</v>
      </c>
      <c r="D57" s="232">
        <v>0</v>
      </c>
      <c r="E57" s="114">
        <v>1500</v>
      </c>
      <c r="F57" s="263">
        <v>0</v>
      </c>
      <c r="G57" s="232">
        <v>0</v>
      </c>
      <c r="H57" s="232">
        <v>0</v>
      </c>
      <c r="I57" s="232">
        <v>400</v>
      </c>
      <c r="J57" s="232">
        <v>0</v>
      </c>
      <c r="K57" s="232">
        <v>0</v>
      </c>
      <c r="L57" s="232">
        <v>0</v>
      </c>
      <c r="M57" s="80">
        <v>1</v>
      </c>
    </row>
    <row r="58" ht="21" customHeight="1" spans="1:13">
      <c r="A58" s="80">
        <v>54</v>
      </c>
      <c r="B58" s="80" t="s">
        <v>218</v>
      </c>
      <c r="C58" s="80">
        <v>2403</v>
      </c>
      <c r="D58" s="232">
        <v>0</v>
      </c>
      <c r="E58" s="114">
        <v>2000</v>
      </c>
      <c r="F58" s="263">
        <v>0</v>
      </c>
      <c r="G58" s="232">
        <v>0</v>
      </c>
      <c r="H58" s="232">
        <v>0</v>
      </c>
      <c r="I58" s="232">
        <v>400</v>
      </c>
      <c r="J58" s="232">
        <v>0</v>
      </c>
      <c r="K58" s="232">
        <v>0</v>
      </c>
      <c r="L58" s="232">
        <v>0</v>
      </c>
      <c r="M58" s="80">
        <v>1</v>
      </c>
    </row>
    <row r="59" ht="21" customHeight="1" spans="1:13">
      <c r="A59" s="80">
        <v>55</v>
      </c>
      <c r="B59" s="80" t="s">
        <v>219</v>
      </c>
      <c r="C59" s="80">
        <v>2404</v>
      </c>
      <c r="D59" s="232">
        <v>0</v>
      </c>
      <c r="E59" s="114">
        <v>2500</v>
      </c>
      <c r="F59" s="263">
        <v>0</v>
      </c>
      <c r="G59" s="232">
        <v>0</v>
      </c>
      <c r="H59" s="232">
        <v>0</v>
      </c>
      <c r="I59" s="232">
        <v>400</v>
      </c>
      <c r="J59" s="232">
        <v>0</v>
      </c>
      <c r="K59" s="232">
        <v>0</v>
      </c>
      <c r="L59" s="232">
        <v>0</v>
      </c>
      <c r="M59" s="80">
        <v>1</v>
      </c>
    </row>
    <row r="60" ht="21" customHeight="1" spans="1:13">
      <c r="A60" s="80">
        <v>56</v>
      </c>
      <c r="B60" s="80" t="s">
        <v>220</v>
      </c>
      <c r="C60" s="80">
        <v>2405</v>
      </c>
      <c r="D60" s="232">
        <v>0</v>
      </c>
      <c r="E60" s="114">
        <v>3000</v>
      </c>
      <c r="F60" s="263">
        <v>0</v>
      </c>
      <c r="G60" s="232">
        <v>0</v>
      </c>
      <c r="H60" s="232">
        <v>0</v>
      </c>
      <c r="I60" s="232">
        <v>400</v>
      </c>
      <c r="J60" s="232">
        <v>0</v>
      </c>
      <c r="K60" s="232">
        <v>0</v>
      </c>
      <c r="L60" s="232">
        <v>0</v>
      </c>
      <c r="M60" s="80">
        <v>1</v>
      </c>
    </row>
    <row r="61" ht="21" customHeight="1" spans="1:13">
      <c r="A61" s="80">
        <v>57</v>
      </c>
      <c r="B61" s="80" t="s">
        <v>221</v>
      </c>
      <c r="C61" s="80">
        <v>2406</v>
      </c>
      <c r="D61" s="232">
        <v>0</v>
      </c>
      <c r="E61" s="114">
        <v>3000</v>
      </c>
      <c r="F61" s="263">
        <v>0</v>
      </c>
      <c r="G61" s="232">
        <v>0</v>
      </c>
      <c r="H61" s="232">
        <v>0</v>
      </c>
      <c r="I61" s="232">
        <v>400</v>
      </c>
      <c r="J61" s="232">
        <v>0</v>
      </c>
      <c r="K61" s="232">
        <v>0</v>
      </c>
      <c r="L61" s="232">
        <v>0</v>
      </c>
      <c r="M61" s="80">
        <v>1</v>
      </c>
    </row>
    <row r="62" ht="21" customHeight="1" spans="1:13">
      <c r="A62" s="80">
        <v>58</v>
      </c>
      <c r="B62" s="80" t="s">
        <v>484</v>
      </c>
      <c r="C62" s="80">
        <v>2501</v>
      </c>
      <c r="D62" s="232">
        <v>1</v>
      </c>
      <c r="E62" s="232">
        <v>1</v>
      </c>
      <c r="F62" s="263">
        <v>0</v>
      </c>
      <c r="G62" s="232">
        <v>0</v>
      </c>
      <c r="H62" s="232">
        <v>0</v>
      </c>
      <c r="I62" s="232">
        <v>0</v>
      </c>
      <c r="J62" s="232">
        <v>0</v>
      </c>
      <c r="K62" s="232">
        <v>0</v>
      </c>
      <c r="L62" s="232">
        <v>0</v>
      </c>
      <c r="M62" s="80">
        <v>1</v>
      </c>
    </row>
    <row r="63" ht="21" customHeight="1" spans="1:13">
      <c r="A63" s="80">
        <v>59</v>
      </c>
      <c r="B63" s="80" t="s">
        <v>485</v>
      </c>
      <c r="C63" s="80">
        <v>2502</v>
      </c>
      <c r="D63" s="232">
        <v>2</v>
      </c>
      <c r="E63" s="232">
        <v>1</v>
      </c>
      <c r="F63" s="263">
        <v>0</v>
      </c>
      <c r="G63" s="232">
        <v>0</v>
      </c>
      <c r="H63" s="232">
        <v>0</v>
      </c>
      <c r="I63" s="232">
        <v>0</v>
      </c>
      <c r="J63" s="232">
        <v>0</v>
      </c>
      <c r="K63" s="232">
        <v>0</v>
      </c>
      <c r="L63" s="232">
        <v>0</v>
      </c>
      <c r="M63" s="80">
        <v>1</v>
      </c>
    </row>
    <row r="64" ht="21" customHeight="1" spans="1:13">
      <c r="A64" s="80">
        <v>60</v>
      </c>
      <c r="B64" s="80" t="s">
        <v>486</v>
      </c>
      <c r="C64" s="80">
        <v>2503</v>
      </c>
      <c r="D64" s="232">
        <v>3</v>
      </c>
      <c r="E64" s="232">
        <v>1</v>
      </c>
      <c r="F64" s="263">
        <v>0</v>
      </c>
      <c r="G64" s="232">
        <v>0</v>
      </c>
      <c r="H64" s="232">
        <v>0</v>
      </c>
      <c r="I64" s="232">
        <v>0</v>
      </c>
      <c r="J64" s="232">
        <v>0</v>
      </c>
      <c r="K64" s="232">
        <v>0</v>
      </c>
      <c r="L64" s="232">
        <v>0</v>
      </c>
      <c r="M64" s="232">
        <v>1</v>
      </c>
    </row>
    <row r="65" ht="21" customHeight="1" spans="1:13">
      <c r="A65" s="80">
        <v>61</v>
      </c>
      <c r="B65" s="80" t="s">
        <v>487</v>
      </c>
      <c r="C65" s="80">
        <v>2504</v>
      </c>
      <c r="D65" s="232">
        <v>4</v>
      </c>
      <c r="E65" s="232">
        <v>1</v>
      </c>
      <c r="F65" s="263">
        <v>0</v>
      </c>
      <c r="G65" s="232">
        <v>0</v>
      </c>
      <c r="H65" s="232">
        <v>0</v>
      </c>
      <c r="I65" s="232">
        <v>0</v>
      </c>
      <c r="J65" s="232">
        <v>0</v>
      </c>
      <c r="K65" s="232">
        <v>0</v>
      </c>
      <c r="L65" s="232">
        <v>0</v>
      </c>
      <c r="M65" s="232">
        <v>1</v>
      </c>
    </row>
    <row r="66" ht="21" customHeight="1" spans="1:13">
      <c r="A66" s="80">
        <v>62</v>
      </c>
      <c r="B66" s="80" t="s">
        <v>488</v>
      </c>
      <c r="C66" s="80">
        <v>2505</v>
      </c>
      <c r="D66" s="232">
        <v>5</v>
      </c>
      <c r="E66" s="232">
        <v>1</v>
      </c>
      <c r="F66" s="263">
        <v>0</v>
      </c>
      <c r="G66" s="232">
        <v>0</v>
      </c>
      <c r="H66" s="232">
        <v>0</v>
      </c>
      <c r="I66" s="232">
        <v>0</v>
      </c>
      <c r="J66" s="232">
        <v>0</v>
      </c>
      <c r="K66" s="232">
        <v>0</v>
      </c>
      <c r="L66" s="232">
        <v>0</v>
      </c>
      <c r="M66" s="232">
        <v>1</v>
      </c>
    </row>
    <row r="67" ht="21" customHeight="1" spans="1:13">
      <c r="A67" s="80">
        <v>63</v>
      </c>
      <c r="B67" s="80" t="s">
        <v>489</v>
      </c>
      <c r="C67" s="80">
        <v>2506</v>
      </c>
      <c r="D67" s="232">
        <v>6</v>
      </c>
      <c r="E67" s="232">
        <v>1</v>
      </c>
      <c r="F67" s="263">
        <v>0</v>
      </c>
      <c r="G67" s="232">
        <v>0</v>
      </c>
      <c r="H67" s="232">
        <v>0</v>
      </c>
      <c r="I67" s="232">
        <v>0</v>
      </c>
      <c r="J67" s="232">
        <v>0</v>
      </c>
      <c r="K67" s="232">
        <v>0</v>
      </c>
      <c r="L67" s="232">
        <v>0</v>
      </c>
      <c r="M67" s="232">
        <v>1</v>
      </c>
    </row>
    <row r="68" ht="21" customHeight="1" spans="1:13">
      <c r="A68" s="80">
        <v>64</v>
      </c>
      <c r="B68" s="80" t="s">
        <v>490</v>
      </c>
      <c r="C68" s="80">
        <v>2507</v>
      </c>
      <c r="D68" s="232">
        <v>7</v>
      </c>
      <c r="E68" s="232">
        <v>1</v>
      </c>
      <c r="F68" s="263">
        <v>0</v>
      </c>
      <c r="G68" s="232">
        <v>0</v>
      </c>
      <c r="H68" s="232">
        <v>0</v>
      </c>
      <c r="I68" s="232">
        <v>0</v>
      </c>
      <c r="J68" s="232">
        <v>0</v>
      </c>
      <c r="K68" s="232">
        <v>0</v>
      </c>
      <c r="L68" s="232">
        <v>0</v>
      </c>
      <c r="M68" s="232">
        <v>1</v>
      </c>
    </row>
    <row r="69" ht="21" customHeight="1" spans="1:13">
      <c r="A69" s="80">
        <v>65</v>
      </c>
      <c r="B69" s="80" t="s">
        <v>491</v>
      </c>
      <c r="C69" s="80">
        <v>2508</v>
      </c>
      <c r="D69" s="232">
        <v>8</v>
      </c>
      <c r="E69" s="232">
        <v>1</v>
      </c>
      <c r="F69" s="263">
        <v>0</v>
      </c>
      <c r="G69" s="232">
        <v>0</v>
      </c>
      <c r="H69" s="232">
        <v>0</v>
      </c>
      <c r="I69" s="232">
        <v>0</v>
      </c>
      <c r="J69" s="232">
        <v>0</v>
      </c>
      <c r="K69" s="232">
        <v>0</v>
      </c>
      <c r="L69" s="232">
        <v>0</v>
      </c>
      <c r="M69" s="232">
        <v>1</v>
      </c>
    </row>
    <row r="70" ht="21" customHeight="1" spans="1:13">
      <c r="A70" s="80">
        <v>66</v>
      </c>
      <c r="B70" s="80" t="s">
        <v>492</v>
      </c>
      <c r="C70" s="80">
        <v>2509</v>
      </c>
      <c r="D70" s="232">
        <v>9</v>
      </c>
      <c r="E70" s="232">
        <v>1</v>
      </c>
      <c r="F70" s="263">
        <v>0</v>
      </c>
      <c r="G70" s="232">
        <v>0</v>
      </c>
      <c r="H70" s="232">
        <v>0</v>
      </c>
      <c r="I70" s="232">
        <v>0</v>
      </c>
      <c r="J70" s="232">
        <v>0</v>
      </c>
      <c r="K70" s="232">
        <v>0</v>
      </c>
      <c r="L70" s="232">
        <v>0</v>
      </c>
      <c r="M70" s="232">
        <v>1</v>
      </c>
    </row>
    <row r="71" ht="21" customHeight="1" spans="1:256">
      <c r="A71" s="80">
        <v>67</v>
      </c>
      <c r="B71" s="80" t="s">
        <v>493</v>
      </c>
      <c r="C71" s="80">
        <v>2510</v>
      </c>
      <c r="D71" s="232">
        <v>10</v>
      </c>
      <c r="E71" s="232">
        <v>1</v>
      </c>
      <c r="F71" s="263">
        <v>0</v>
      </c>
      <c r="G71" s="232">
        <v>0</v>
      </c>
      <c r="H71" s="232">
        <v>0</v>
      </c>
      <c r="I71" s="232">
        <v>0</v>
      </c>
      <c r="J71" s="232">
        <v>0</v>
      </c>
      <c r="K71" s="232">
        <v>0</v>
      </c>
      <c r="L71" s="232">
        <v>0</v>
      </c>
      <c r="M71" s="232">
        <v>1</v>
      </c>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row>
    <row r="72" ht="21" customHeight="1" spans="1:256">
      <c r="A72" s="80">
        <v>68</v>
      </c>
      <c r="B72" s="80" t="s">
        <v>494</v>
      </c>
      <c r="C72" s="80">
        <v>2701</v>
      </c>
      <c r="D72" s="232">
        <v>0</v>
      </c>
      <c r="E72" s="265">
        <v>600</v>
      </c>
      <c r="F72" s="263">
        <v>0</v>
      </c>
      <c r="G72" s="232">
        <v>0</v>
      </c>
      <c r="H72" s="232">
        <v>0</v>
      </c>
      <c r="I72" s="232">
        <v>0</v>
      </c>
      <c r="J72" s="232">
        <v>0</v>
      </c>
      <c r="K72" s="232">
        <v>0</v>
      </c>
      <c r="L72" s="232">
        <v>0</v>
      </c>
      <c r="M72" s="232">
        <v>1</v>
      </c>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row>
    <row r="73" ht="21" customHeight="1" spans="1:256">
      <c r="A73" s="80">
        <v>69</v>
      </c>
      <c r="B73" s="80" t="s">
        <v>495</v>
      </c>
      <c r="C73" s="80">
        <v>2702</v>
      </c>
      <c r="D73" s="232">
        <v>0</v>
      </c>
      <c r="E73" s="265">
        <v>900</v>
      </c>
      <c r="F73" s="263">
        <v>0</v>
      </c>
      <c r="G73" s="232">
        <v>0</v>
      </c>
      <c r="H73" s="232">
        <v>0</v>
      </c>
      <c r="I73" s="232">
        <v>0</v>
      </c>
      <c r="J73" s="232">
        <v>0</v>
      </c>
      <c r="K73" s="232">
        <v>0</v>
      </c>
      <c r="L73" s="232">
        <v>0</v>
      </c>
      <c r="M73" s="232">
        <v>1</v>
      </c>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row>
    <row r="74" ht="21" customHeight="1" spans="1:256">
      <c r="A74" s="80">
        <v>70</v>
      </c>
      <c r="B74" s="80" t="s">
        <v>496</v>
      </c>
      <c r="C74" s="80">
        <v>2703</v>
      </c>
      <c r="D74" s="232">
        <v>0</v>
      </c>
      <c r="E74" s="265">
        <v>1200</v>
      </c>
      <c r="F74" s="263">
        <v>0</v>
      </c>
      <c r="G74" s="232">
        <v>0</v>
      </c>
      <c r="H74" s="232">
        <v>0</v>
      </c>
      <c r="I74" s="232">
        <v>0</v>
      </c>
      <c r="J74" s="232">
        <v>0</v>
      </c>
      <c r="K74" s="232">
        <v>0</v>
      </c>
      <c r="L74" s="232">
        <v>0</v>
      </c>
      <c r="M74" s="232">
        <v>1</v>
      </c>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row>
    <row r="75" ht="21" customHeight="1" spans="1:256">
      <c r="A75" s="80">
        <v>71</v>
      </c>
      <c r="B75" s="80" t="s">
        <v>497</v>
      </c>
      <c r="C75" s="80">
        <v>2704</v>
      </c>
      <c r="D75" s="232">
        <v>0</v>
      </c>
      <c r="E75" s="114">
        <v>1500</v>
      </c>
      <c r="F75" s="263">
        <v>0</v>
      </c>
      <c r="G75" s="232">
        <v>0</v>
      </c>
      <c r="H75" s="232">
        <v>0</v>
      </c>
      <c r="I75" s="232">
        <v>0</v>
      </c>
      <c r="J75" s="232">
        <v>0</v>
      </c>
      <c r="K75" s="232">
        <v>0</v>
      </c>
      <c r="L75" s="232">
        <v>0</v>
      </c>
      <c r="M75" s="232">
        <v>1</v>
      </c>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row>
    <row r="76" ht="21" customHeight="1" spans="1:256">
      <c r="A76" s="80">
        <v>72</v>
      </c>
      <c r="B76" s="80" t="s">
        <v>498</v>
      </c>
      <c r="C76" s="80">
        <v>2705</v>
      </c>
      <c r="D76" s="232">
        <v>0</v>
      </c>
      <c r="E76" s="114">
        <v>1800</v>
      </c>
      <c r="F76" s="263">
        <v>0</v>
      </c>
      <c r="G76" s="232">
        <v>0</v>
      </c>
      <c r="H76" s="232">
        <v>0</v>
      </c>
      <c r="I76" s="232">
        <v>0</v>
      </c>
      <c r="J76" s="232">
        <v>0</v>
      </c>
      <c r="K76" s="232">
        <v>0</v>
      </c>
      <c r="L76" s="232">
        <v>0</v>
      </c>
      <c r="M76" s="232">
        <v>1</v>
      </c>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row>
    <row r="77" ht="21" customHeight="1" spans="1:256">
      <c r="A77" s="80">
        <v>73</v>
      </c>
      <c r="B77" s="264" t="s">
        <v>499</v>
      </c>
      <c r="C77" s="80">
        <v>2801</v>
      </c>
      <c r="D77" s="232">
        <v>0</v>
      </c>
      <c r="E77" s="265">
        <v>2800</v>
      </c>
      <c r="F77" s="263">
        <v>0</v>
      </c>
      <c r="G77" s="232">
        <v>0</v>
      </c>
      <c r="H77" s="232">
        <v>0</v>
      </c>
      <c r="I77" s="232">
        <v>0</v>
      </c>
      <c r="J77" s="232">
        <v>0</v>
      </c>
      <c r="K77" s="232">
        <v>0</v>
      </c>
      <c r="L77" s="232">
        <v>0</v>
      </c>
      <c r="M77" s="232">
        <v>0.2</v>
      </c>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row>
    <row r="78" ht="21" customHeight="1" spans="1:256">
      <c r="A78" s="80">
        <v>74</v>
      </c>
      <c r="B78" s="264" t="s">
        <v>500</v>
      </c>
      <c r="C78" s="80">
        <v>2802</v>
      </c>
      <c r="D78" s="232">
        <v>0</v>
      </c>
      <c r="E78" s="265">
        <v>2800</v>
      </c>
      <c r="F78" s="263">
        <v>0</v>
      </c>
      <c r="G78" s="232">
        <v>0</v>
      </c>
      <c r="H78" s="232">
        <v>0</v>
      </c>
      <c r="I78" s="232">
        <v>0</v>
      </c>
      <c r="J78" s="232">
        <v>0</v>
      </c>
      <c r="K78" s="232">
        <v>0</v>
      </c>
      <c r="L78" s="232">
        <v>0</v>
      </c>
      <c r="M78" s="232">
        <v>0.2</v>
      </c>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row>
    <row r="79" ht="21" customHeight="1" spans="1:256">
      <c r="A79" s="80">
        <v>75</v>
      </c>
      <c r="B79" s="264" t="s">
        <v>501</v>
      </c>
      <c r="C79" s="80">
        <v>2803</v>
      </c>
      <c r="D79" s="232">
        <v>0</v>
      </c>
      <c r="E79" s="265">
        <v>2800</v>
      </c>
      <c r="F79" s="263">
        <v>0</v>
      </c>
      <c r="G79" s="232">
        <v>0</v>
      </c>
      <c r="H79" s="232">
        <v>0</v>
      </c>
      <c r="I79" s="232">
        <v>0</v>
      </c>
      <c r="J79" s="232">
        <v>0</v>
      </c>
      <c r="K79" s="232">
        <v>0</v>
      </c>
      <c r="L79" s="232">
        <v>0</v>
      </c>
      <c r="M79" s="232">
        <v>0.2</v>
      </c>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row>
    <row r="80" ht="21" customHeight="1" spans="1:256">
      <c r="A80" s="80">
        <v>76</v>
      </c>
      <c r="B80" s="264" t="s">
        <v>502</v>
      </c>
      <c r="C80" s="80">
        <v>2804</v>
      </c>
      <c r="D80" s="232">
        <v>0</v>
      </c>
      <c r="E80" s="114">
        <v>3500</v>
      </c>
      <c r="F80" s="263">
        <v>0</v>
      </c>
      <c r="G80" s="232">
        <v>0</v>
      </c>
      <c r="H80" s="232">
        <v>0</v>
      </c>
      <c r="I80" s="232">
        <v>0</v>
      </c>
      <c r="J80" s="232">
        <v>0</v>
      </c>
      <c r="K80" s="232">
        <v>0</v>
      </c>
      <c r="L80" s="232">
        <v>0</v>
      </c>
      <c r="M80" s="232">
        <v>0.2</v>
      </c>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row>
    <row r="81" ht="21" customHeight="1" spans="1:256">
      <c r="A81" s="80">
        <v>77</v>
      </c>
      <c r="B81" s="264" t="s">
        <v>503</v>
      </c>
      <c r="C81" s="80">
        <v>2805</v>
      </c>
      <c r="D81" s="232">
        <v>0</v>
      </c>
      <c r="E81" s="114">
        <v>4200</v>
      </c>
      <c r="F81" s="263">
        <v>0</v>
      </c>
      <c r="G81" s="232">
        <v>0</v>
      </c>
      <c r="H81" s="232">
        <v>0</v>
      </c>
      <c r="I81" s="232">
        <v>0</v>
      </c>
      <c r="J81" s="232">
        <v>0</v>
      </c>
      <c r="K81" s="232">
        <v>0</v>
      </c>
      <c r="L81" s="232">
        <v>0</v>
      </c>
      <c r="M81" s="232">
        <v>0.2</v>
      </c>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row>
    <row r="82" ht="21" customHeight="1" spans="1:13">
      <c r="A82" s="80">
        <v>78</v>
      </c>
      <c r="B82" s="264" t="s">
        <v>504</v>
      </c>
      <c r="C82" s="80">
        <v>2901</v>
      </c>
      <c r="D82" s="232">
        <v>0</v>
      </c>
      <c r="E82" s="114">
        <v>90</v>
      </c>
      <c r="F82" s="263">
        <v>0</v>
      </c>
      <c r="G82" s="232">
        <v>0</v>
      </c>
      <c r="H82" s="232">
        <v>0</v>
      </c>
      <c r="I82" s="232">
        <v>0</v>
      </c>
      <c r="J82" s="232">
        <v>0</v>
      </c>
      <c r="K82" s="232">
        <v>0</v>
      </c>
      <c r="L82" s="232">
        <v>0</v>
      </c>
      <c r="M82" s="232">
        <v>1</v>
      </c>
    </row>
    <row r="83" ht="21" customHeight="1" spans="1:256">
      <c r="A83" s="80">
        <v>79</v>
      </c>
      <c r="B83" s="264" t="s">
        <v>505</v>
      </c>
      <c r="C83" s="80">
        <v>2902</v>
      </c>
      <c r="D83" s="232">
        <v>0</v>
      </c>
      <c r="E83" s="114">
        <v>120</v>
      </c>
      <c r="F83" s="263">
        <v>0</v>
      </c>
      <c r="G83" s="232">
        <v>0</v>
      </c>
      <c r="H83" s="232">
        <v>0</v>
      </c>
      <c r="I83" s="232">
        <v>0</v>
      </c>
      <c r="J83" s="232">
        <v>0</v>
      </c>
      <c r="K83" s="232">
        <v>0</v>
      </c>
      <c r="L83" s="232">
        <v>0</v>
      </c>
      <c r="M83" s="232">
        <v>1</v>
      </c>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row>
    <row r="84" ht="21" customHeight="1" spans="1:256">
      <c r="A84" s="80">
        <v>80</v>
      </c>
      <c r="B84" s="264" t="s">
        <v>506</v>
      </c>
      <c r="C84" s="80">
        <v>2903</v>
      </c>
      <c r="D84" s="232">
        <v>0</v>
      </c>
      <c r="E84" s="114">
        <v>200</v>
      </c>
      <c r="F84" s="263">
        <v>0</v>
      </c>
      <c r="G84" s="232">
        <v>0</v>
      </c>
      <c r="H84" s="232">
        <v>0</v>
      </c>
      <c r="I84" s="232">
        <v>0</v>
      </c>
      <c r="J84" s="232">
        <v>0</v>
      </c>
      <c r="K84" s="232">
        <v>0</v>
      </c>
      <c r="L84" s="232">
        <v>0</v>
      </c>
      <c r="M84" s="232">
        <v>1</v>
      </c>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row>
  </sheetData>
  <pageMargins left="0.75" right="0.75" top="1" bottom="1" header="0.5" footer="0.5"/>
  <pageSetup paperSize="1" orientation="portrait"/>
  <headerFooter>
    <oddFooter>&amp;L&amp;"Helvetica,Regular"&amp;12&amp;K000000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19"/>
  <sheetViews>
    <sheetView workbookViewId="0">
      <selection activeCell="A9" sqref="A9"/>
    </sheetView>
  </sheetViews>
  <sheetFormatPr defaultColWidth="11.0986842105263" defaultRowHeight="15.2"/>
  <sheetData>
    <row r="1" ht="23.1" customHeight="1" spans="1:14">
      <c r="A1" s="261" t="s">
        <v>507</v>
      </c>
      <c r="B1" s="256" t="s">
        <v>508</v>
      </c>
      <c r="C1" s="261" t="s">
        <v>509</v>
      </c>
      <c r="D1" s="261" t="s">
        <v>510</v>
      </c>
      <c r="E1" s="261" t="s">
        <v>509</v>
      </c>
      <c r="F1" s="261" t="s">
        <v>510</v>
      </c>
      <c r="G1" s="261" t="s">
        <v>509</v>
      </c>
      <c r="H1" s="261" t="s">
        <v>510</v>
      </c>
      <c r="I1" s="261" t="s">
        <v>509</v>
      </c>
      <c r="J1" s="261" t="s">
        <v>510</v>
      </c>
      <c r="K1" s="261" t="s">
        <v>509</v>
      </c>
      <c r="L1" s="261" t="s">
        <v>510</v>
      </c>
      <c r="M1" s="261" t="s">
        <v>509</v>
      </c>
      <c r="N1" s="261" t="s">
        <v>510</v>
      </c>
    </row>
    <row r="2" ht="23.1" customHeight="1" spans="1:14">
      <c r="A2" s="261" t="s">
        <v>421</v>
      </c>
      <c r="B2" s="262" t="s">
        <v>511</v>
      </c>
      <c r="C2" s="261" t="s">
        <v>512</v>
      </c>
      <c r="D2" s="261" t="s">
        <v>513</v>
      </c>
      <c r="E2" s="261" t="s">
        <v>512</v>
      </c>
      <c r="F2" s="261" t="s">
        <v>513</v>
      </c>
      <c r="G2" s="261" t="s">
        <v>512</v>
      </c>
      <c r="H2" s="261" t="s">
        <v>513</v>
      </c>
      <c r="I2" s="261" t="s">
        <v>512</v>
      </c>
      <c r="J2" s="261" t="s">
        <v>513</v>
      </c>
      <c r="K2" s="261" t="s">
        <v>512</v>
      </c>
      <c r="L2" s="261" t="s">
        <v>513</v>
      </c>
      <c r="M2" s="261" t="s">
        <v>512</v>
      </c>
      <c r="N2" s="261" t="s">
        <v>513</v>
      </c>
    </row>
    <row r="3" ht="23.1" customHeight="1" spans="1:14">
      <c r="A3" s="261" t="s">
        <v>39</v>
      </c>
      <c r="B3" s="261" t="s">
        <v>514</v>
      </c>
      <c r="C3" s="261" t="s">
        <v>41</v>
      </c>
      <c r="D3" s="261" t="s">
        <v>39</v>
      </c>
      <c r="E3" s="261" t="s">
        <v>41</v>
      </c>
      <c r="F3" s="261" t="s">
        <v>39</v>
      </c>
      <c r="G3" s="261" t="s">
        <v>39</v>
      </c>
      <c r="H3" s="261" t="s">
        <v>41</v>
      </c>
      <c r="I3" s="261"/>
      <c r="J3" s="261"/>
      <c r="K3" s="261"/>
      <c r="L3" s="261"/>
      <c r="M3" s="261"/>
      <c r="N3" s="261"/>
    </row>
    <row r="4" ht="23.1" customHeight="1" spans="1:14">
      <c r="A4" s="261">
        <v>2401</v>
      </c>
      <c r="B4" s="261" t="s">
        <v>215</v>
      </c>
      <c r="C4" s="261" t="s">
        <v>515</v>
      </c>
      <c r="D4" s="261">
        <v>1600</v>
      </c>
      <c r="E4" s="261" t="s">
        <v>516</v>
      </c>
      <c r="F4" s="261">
        <v>6400</v>
      </c>
      <c r="G4" s="261" t="s">
        <v>517</v>
      </c>
      <c r="H4" s="261">
        <v>2000</v>
      </c>
      <c r="I4" s="261"/>
      <c r="J4" s="261"/>
      <c r="K4" s="261"/>
      <c r="L4" s="261"/>
      <c r="M4" s="261"/>
      <c r="N4" s="261"/>
    </row>
    <row r="5" ht="23.1" customHeight="1" spans="1:14">
      <c r="A5" s="261">
        <v>2402</v>
      </c>
      <c r="B5" s="261" t="s">
        <v>215</v>
      </c>
      <c r="C5" s="261" t="s">
        <v>515</v>
      </c>
      <c r="D5" s="261">
        <v>1600</v>
      </c>
      <c r="E5" s="261" t="s">
        <v>516</v>
      </c>
      <c r="F5" s="261">
        <v>6400</v>
      </c>
      <c r="G5" s="261" t="s">
        <v>517</v>
      </c>
      <c r="H5" s="261">
        <v>2000</v>
      </c>
      <c r="I5" s="261"/>
      <c r="J5" s="261"/>
      <c r="K5" s="261"/>
      <c r="L5" s="261"/>
      <c r="M5" s="261"/>
      <c r="N5" s="261"/>
    </row>
    <row r="6" ht="23.1" customHeight="1" spans="1:14">
      <c r="A6" s="261">
        <v>2403</v>
      </c>
      <c r="B6" s="261" t="s">
        <v>215</v>
      </c>
      <c r="C6" s="261" t="s">
        <v>515</v>
      </c>
      <c r="D6" s="261">
        <v>1600</v>
      </c>
      <c r="E6" s="261" t="s">
        <v>516</v>
      </c>
      <c r="F6" s="261">
        <v>6400</v>
      </c>
      <c r="G6" s="261" t="s">
        <v>517</v>
      </c>
      <c r="H6" s="261">
        <v>2000</v>
      </c>
      <c r="I6" s="261"/>
      <c r="J6" s="261"/>
      <c r="K6" s="261"/>
      <c r="L6" s="261"/>
      <c r="M6" s="261"/>
      <c r="N6" s="261"/>
    </row>
    <row r="7" ht="23.1" customHeight="1" spans="1:14">
      <c r="A7" s="261">
        <v>2404</v>
      </c>
      <c r="B7" s="261" t="s">
        <v>215</v>
      </c>
      <c r="C7" s="261" t="s">
        <v>515</v>
      </c>
      <c r="D7" s="261">
        <v>1600</v>
      </c>
      <c r="E7" s="261" t="s">
        <v>516</v>
      </c>
      <c r="F7" s="261">
        <v>6400</v>
      </c>
      <c r="G7" s="261" t="s">
        <v>517</v>
      </c>
      <c r="H7" s="261">
        <v>2000</v>
      </c>
      <c r="I7" s="261"/>
      <c r="J7" s="261"/>
      <c r="K7" s="261"/>
      <c r="L7" s="261"/>
      <c r="M7" s="261"/>
      <c r="N7" s="261"/>
    </row>
    <row r="8" ht="23.1" customHeight="1" spans="1:14">
      <c r="A8" s="261">
        <v>2405</v>
      </c>
      <c r="B8" s="261" t="s">
        <v>215</v>
      </c>
      <c r="C8" s="261" t="s">
        <v>515</v>
      </c>
      <c r="D8" s="261">
        <v>1600</v>
      </c>
      <c r="E8" s="261" t="s">
        <v>516</v>
      </c>
      <c r="F8" s="261">
        <v>6400</v>
      </c>
      <c r="G8" s="261" t="s">
        <v>517</v>
      </c>
      <c r="H8" s="261">
        <v>2000</v>
      </c>
      <c r="I8" s="261"/>
      <c r="J8" s="261"/>
      <c r="K8" s="261"/>
      <c r="L8" s="261"/>
      <c r="M8" s="261"/>
      <c r="N8" s="261"/>
    </row>
    <row r="9" ht="23.1" customHeight="1" spans="1:14">
      <c r="A9" s="261">
        <v>2406</v>
      </c>
      <c r="B9" s="261" t="s">
        <v>215</v>
      </c>
      <c r="C9" s="261" t="s">
        <v>515</v>
      </c>
      <c r="D9" s="261">
        <v>1600</v>
      </c>
      <c r="E9" s="261" t="s">
        <v>516</v>
      </c>
      <c r="F9" s="261">
        <v>6400</v>
      </c>
      <c r="G9" s="261" t="s">
        <v>517</v>
      </c>
      <c r="H9" s="261">
        <v>2000</v>
      </c>
      <c r="I9" s="261"/>
      <c r="J9" s="261"/>
      <c r="K9" s="261"/>
      <c r="L9" s="261"/>
      <c r="M9" s="261"/>
      <c r="N9" s="261"/>
    </row>
    <row r="10" ht="23.1" customHeight="1" spans="1:14">
      <c r="A10" s="261">
        <v>2701</v>
      </c>
      <c r="B10" s="261" t="s">
        <v>372</v>
      </c>
      <c r="C10" s="261" t="s">
        <v>518</v>
      </c>
      <c r="D10" s="261">
        <v>2700</v>
      </c>
      <c r="E10" s="261" t="s">
        <v>519</v>
      </c>
      <c r="F10" s="261">
        <v>2500</v>
      </c>
      <c r="G10" s="261" t="s">
        <v>520</v>
      </c>
      <c r="H10" s="261">
        <v>2400</v>
      </c>
      <c r="I10" s="261" t="s">
        <v>521</v>
      </c>
      <c r="J10" s="261">
        <v>1500</v>
      </c>
      <c r="K10" s="261" t="s">
        <v>522</v>
      </c>
      <c r="L10" s="261">
        <v>600</v>
      </c>
      <c r="M10" s="261" t="s">
        <v>523</v>
      </c>
      <c r="N10" s="261">
        <v>300</v>
      </c>
    </row>
    <row r="11" ht="23.1" customHeight="1" spans="1:14">
      <c r="A11" s="261">
        <v>2702</v>
      </c>
      <c r="B11" s="261" t="s">
        <v>372</v>
      </c>
      <c r="C11" s="261" t="s">
        <v>518</v>
      </c>
      <c r="D11" s="261">
        <v>2700</v>
      </c>
      <c r="E11" s="261" t="s">
        <v>519</v>
      </c>
      <c r="F11" s="261">
        <v>2500</v>
      </c>
      <c r="G11" s="261" t="s">
        <v>520</v>
      </c>
      <c r="H11" s="261">
        <v>2400</v>
      </c>
      <c r="I11" s="261" t="s">
        <v>521</v>
      </c>
      <c r="J11" s="261">
        <v>1500</v>
      </c>
      <c r="K11" s="261" t="s">
        <v>522</v>
      </c>
      <c r="L11" s="261">
        <v>600</v>
      </c>
      <c r="M11" s="261" t="s">
        <v>523</v>
      </c>
      <c r="N11" s="261">
        <v>300</v>
      </c>
    </row>
    <row r="12" ht="23.1" customHeight="1" spans="1:14">
      <c r="A12" s="261">
        <v>2703</v>
      </c>
      <c r="B12" s="261" t="s">
        <v>372</v>
      </c>
      <c r="C12" s="261" t="s">
        <v>518</v>
      </c>
      <c r="D12" s="261">
        <v>2700</v>
      </c>
      <c r="E12" s="261" t="s">
        <v>519</v>
      </c>
      <c r="F12" s="261">
        <v>2500</v>
      </c>
      <c r="G12" s="261" t="s">
        <v>520</v>
      </c>
      <c r="H12" s="261">
        <v>2400</v>
      </c>
      <c r="I12" s="261" t="s">
        <v>521</v>
      </c>
      <c r="J12" s="261">
        <v>1500</v>
      </c>
      <c r="K12" s="261" t="s">
        <v>522</v>
      </c>
      <c r="L12" s="261">
        <v>600</v>
      </c>
      <c r="M12" s="261" t="s">
        <v>523</v>
      </c>
      <c r="N12" s="261">
        <v>300</v>
      </c>
    </row>
    <row r="13" ht="23.1" customHeight="1" spans="1:14">
      <c r="A13" s="261">
        <v>2704</v>
      </c>
      <c r="B13" s="261" t="s">
        <v>372</v>
      </c>
      <c r="C13" s="261" t="s">
        <v>518</v>
      </c>
      <c r="D13" s="261">
        <v>2700</v>
      </c>
      <c r="E13" s="261" t="s">
        <v>519</v>
      </c>
      <c r="F13" s="261">
        <v>2500</v>
      </c>
      <c r="G13" s="261" t="s">
        <v>520</v>
      </c>
      <c r="H13" s="261">
        <v>2400</v>
      </c>
      <c r="I13" s="261" t="s">
        <v>521</v>
      </c>
      <c r="J13" s="261">
        <v>1500</v>
      </c>
      <c r="K13" s="261" t="s">
        <v>522</v>
      </c>
      <c r="L13" s="261">
        <v>600</v>
      </c>
      <c r="M13" s="261" t="s">
        <v>523</v>
      </c>
      <c r="N13" s="261">
        <v>300</v>
      </c>
    </row>
    <row r="14" ht="23.1" customHeight="1" spans="1:14">
      <c r="A14" s="261">
        <v>2705</v>
      </c>
      <c r="B14" s="261" t="s">
        <v>372</v>
      </c>
      <c r="C14" s="261" t="s">
        <v>518</v>
      </c>
      <c r="D14" s="261">
        <v>2700</v>
      </c>
      <c r="E14" s="261" t="s">
        <v>519</v>
      </c>
      <c r="F14" s="261">
        <v>2500</v>
      </c>
      <c r="G14" s="261" t="s">
        <v>520</v>
      </c>
      <c r="H14" s="261">
        <v>2400</v>
      </c>
      <c r="I14" s="261" t="s">
        <v>521</v>
      </c>
      <c r="J14" s="261">
        <v>1500</v>
      </c>
      <c r="K14" s="261" t="s">
        <v>522</v>
      </c>
      <c r="L14" s="261">
        <v>600</v>
      </c>
      <c r="M14" s="261" t="s">
        <v>523</v>
      </c>
      <c r="N14" s="261">
        <v>300</v>
      </c>
    </row>
    <row r="15" ht="23.1" customHeight="1" spans="1:14">
      <c r="A15" s="261">
        <v>2801</v>
      </c>
      <c r="B15" s="261" t="s">
        <v>379</v>
      </c>
      <c r="C15" s="261" t="s">
        <v>524</v>
      </c>
      <c r="D15" s="261">
        <v>2500</v>
      </c>
      <c r="E15" s="261" t="s">
        <v>525</v>
      </c>
      <c r="F15" s="261">
        <v>3000</v>
      </c>
      <c r="G15" s="261" t="s">
        <v>526</v>
      </c>
      <c r="H15" s="261">
        <v>2500</v>
      </c>
      <c r="I15" s="261" t="s">
        <v>527</v>
      </c>
      <c r="J15" s="261">
        <v>1500</v>
      </c>
      <c r="K15" s="261" t="s">
        <v>528</v>
      </c>
      <c r="L15" s="261">
        <v>500</v>
      </c>
      <c r="M15" s="261"/>
      <c r="N15" s="261"/>
    </row>
    <row r="16" ht="23.1" customHeight="1" spans="1:14">
      <c r="A16" s="261">
        <v>2802</v>
      </c>
      <c r="B16" s="261" t="s">
        <v>379</v>
      </c>
      <c r="C16" s="261" t="s">
        <v>524</v>
      </c>
      <c r="D16" s="261">
        <v>2500</v>
      </c>
      <c r="E16" s="261" t="s">
        <v>525</v>
      </c>
      <c r="F16" s="261">
        <v>3000</v>
      </c>
      <c r="G16" s="261" t="s">
        <v>526</v>
      </c>
      <c r="H16" s="261">
        <v>2500</v>
      </c>
      <c r="I16" s="261" t="s">
        <v>527</v>
      </c>
      <c r="J16" s="261">
        <v>1500</v>
      </c>
      <c r="K16" s="261" t="s">
        <v>528</v>
      </c>
      <c r="L16" s="261">
        <v>500</v>
      </c>
      <c r="M16" s="261"/>
      <c r="N16" s="261"/>
    </row>
    <row r="17" ht="23.1" customHeight="1" spans="1:14">
      <c r="A17" s="261">
        <v>2803</v>
      </c>
      <c r="B17" s="261" t="s">
        <v>379</v>
      </c>
      <c r="C17" s="261" t="s">
        <v>524</v>
      </c>
      <c r="D17" s="261">
        <v>2500</v>
      </c>
      <c r="E17" s="261" t="s">
        <v>525</v>
      </c>
      <c r="F17" s="261">
        <v>3000</v>
      </c>
      <c r="G17" s="261" t="s">
        <v>526</v>
      </c>
      <c r="H17" s="261">
        <v>2500</v>
      </c>
      <c r="I17" s="261" t="s">
        <v>527</v>
      </c>
      <c r="J17" s="261">
        <v>1500</v>
      </c>
      <c r="K17" s="261" t="s">
        <v>528</v>
      </c>
      <c r="L17" s="261">
        <v>500</v>
      </c>
      <c r="M17" s="261"/>
      <c r="N17" s="261"/>
    </row>
    <row r="18" ht="23.1" customHeight="1" spans="1:14">
      <c r="A18" s="261">
        <v>2804</v>
      </c>
      <c r="B18" s="261" t="s">
        <v>379</v>
      </c>
      <c r="C18" s="261" t="s">
        <v>524</v>
      </c>
      <c r="D18" s="261">
        <v>2500</v>
      </c>
      <c r="E18" s="261" t="s">
        <v>525</v>
      </c>
      <c r="F18" s="261">
        <v>3000</v>
      </c>
      <c r="G18" s="261" t="s">
        <v>526</v>
      </c>
      <c r="H18" s="261">
        <v>2500</v>
      </c>
      <c r="I18" s="261" t="s">
        <v>527</v>
      </c>
      <c r="J18" s="261">
        <v>1500</v>
      </c>
      <c r="K18" s="261" t="s">
        <v>528</v>
      </c>
      <c r="L18" s="261">
        <v>500</v>
      </c>
      <c r="M18" s="261"/>
      <c r="N18" s="261"/>
    </row>
    <row r="19" ht="23.1" customHeight="1" spans="1:14">
      <c r="A19" s="261">
        <v>2805</v>
      </c>
      <c r="B19" s="261" t="s">
        <v>379</v>
      </c>
      <c r="C19" s="261" t="s">
        <v>524</v>
      </c>
      <c r="D19" s="261">
        <v>2500</v>
      </c>
      <c r="E19" s="261" t="s">
        <v>525</v>
      </c>
      <c r="F19" s="261">
        <v>3000</v>
      </c>
      <c r="G19" s="261" t="s">
        <v>526</v>
      </c>
      <c r="H19" s="261">
        <v>2500</v>
      </c>
      <c r="I19" s="261" t="s">
        <v>527</v>
      </c>
      <c r="J19" s="261">
        <v>1500</v>
      </c>
      <c r="K19" s="261" t="s">
        <v>528</v>
      </c>
      <c r="L19" s="261">
        <v>500</v>
      </c>
      <c r="M19" s="261"/>
      <c r="N19" s="261"/>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T19"/>
  <sheetViews>
    <sheetView workbookViewId="0">
      <selection activeCell="J21" sqref="J21"/>
    </sheetView>
  </sheetViews>
  <sheetFormatPr defaultColWidth="8.69736842105263" defaultRowHeight="21.95" customHeight="1"/>
  <cols>
    <col min="1" max="1" width="23.6973684210526" customWidth="1"/>
    <col min="2" max="2" width="18" customWidth="1"/>
    <col min="3" max="3" width="10.6973684210526" customWidth="1"/>
    <col min="4" max="4" width="12.9013157894737" customWidth="1"/>
  </cols>
  <sheetData>
    <row r="1" customHeight="1" spans="1:20">
      <c r="A1" s="256" t="s">
        <v>36</v>
      </c>
      <c r="B1" s="256" t="s">
        <v>508</v>
      </c>
      <c r="C1" s="257" t="s">
        <v>529</v>
      </c>
      <c r="D1" s="257" t="s">
        <v>530</v>
      </c>
      <c r="E1" s="257" t="s">
        <v>531</v>
      </c>
      <c r="F1" s="257" t="s">
        <v>532</v>
      </c>
      <c r="G1" s="257" t="s">
        <v>533</v>
      </c>
      <c r="H1" s="257" t="s">
        <v>534</v>
      </c>
      <c r="I1" s="258"/>
      <c r="J1" s="259"/>
      <c r="K1" s="259"/>
      <c r="L1" s="259"/>
      <c r="M1" s="259"/>
      <c r="N1" s="259"/>
      <c r="O1" s="259"/>
      <c r="P1" s="259"/>
      <c r="Q1" s="259"/>
      <c r="R1" s="259"/>
      <c r="S1" s="259"/>
      <c r="T1" s="259"/>
    </row>
    <row r="2" customHeight="1" spans="1:20">
      <c r="A2" s="256" t="s">
        <v>421</v>
      </c>
      <c r="B2" s="256" t="s">
        <v>511</v>
      </c>
      <c r="C2" s="256" t="s">
        <v>39</v>
      </c>
      <c r="D2" s="256" t="s">
        <v>39</v>
      </c>
      <c r="E2" s="256" t="s">
        <v>39</v>
      </c>
      <c r="F2" s="256" t="s">
        <v>39</v>
      </c>
      <c r="G2" s="256" t="s">
        <v>39</v>
      </c>
      <c r="H2" s="256" t="s">
        <v>39</v>
      </c>
      <c r="I2" s="258"/>
      <c r="J2" s="259"/>
      <c r="K2" s="259"/>
      <c r="L2" s="259"/>
      <c r="M2" s="259"/>
      <c r="N2" s="259"/>
      <c r="O2" s="259"/>
      <c r="P2" s="259"/>
      <c r="Q2" s="259"/>
      <c r="R2" s="259"/>
      <c r="S2" s="259"/>
      <c r="T2" s="259"/>
    </row>
    <row r="3" customHeight="1" spans="1:20">
      <c r="A3" s="256" t="s">
        <v>39</v>
      </c>
      <c r="B3" s="256" t="s">
        <v>514</v>
      </c>
      <c r="C3" s="256" t="s">
        <v>535</v>
      </c>
      <c r="D3" s="256" t="s">
        <v>535</v>
      </c>
      <c r="E3" s="256" t="s">
        <v>535</v>
      </c>
      <c r="F3" s="256" t="s">
        <v>535</v>
      </c>
      <c r="G3" s="256" t="s">
        <v>535</v>
      </c>
      <c r="H3" s="256" t="s">
        <v>535</v>
      </c>
      <c r="I3" s="258"/>
      <c r="J3" s="259"/>
      <c r="K3" s="259"/>
      <c r="L3" s="259"/>
      <c r="M3" s="259"/>
      <c r="N3" s="259"/>
      <c r="O3" s="259"/>
      <c r="P3" s="259"/>
      <c r="Q3" s="259"/>
      <c r="R3" s="259"/>
      <c r="S3" s="259"/>
      <c r="T3" s="259"/>
    </row>
    <row r="4" customHeight="1" spans="1:20">
      <c r="A4" s="256">
        <v>2401</v>
      </c>
      <c r="B4" s="256" t="s">
        <v>215</v>
      </c>
      <c r="C4" s="256">
        <v>10000</v>
      </c>
      <c r="D4" s="256">
        <v>0</v>
      </c>
      <c r="E4" s="256">
        <v>0</v>
      </c>
      <c r="F4" s="256">
        <v>0</v>
      </c>
      <c r="G4" s="256">
        <v>0</v>
      </c>
      <c r="H4" s="256">
        <v>0</v>
      </c>
      <c r="I4" s="260"/>
      <c r="J4" s="259"/>
      <c r="K4" s="259"/>
      <c r="L4" s="259"/>
      <c r="M4" s="259"/>
      <c r="N4" s="259"/>
      <c r="O4" s="259"/>
      <c r="P4" s="259"/>
      <c r="Q4" s="259"/>
      <c r="R4" s="259"/>
      <c r="S4" s="259"/>
      <c r="T4" s="259"/>
    </row>
    <row r="5" customHeight="1" spans="1:20">
      <c r="A5" s="256">
        <v>2402</v>
      </c>
      <c r="B5" s="256" t="s">
        <v>215</v>
      </c>
      <c r="C5" s="256">
        <v>10000</v>
      </c>
      <c r="D5" s="256">
        <v>0</v>
      </c>
      <c r="E5" s="256">
        <v>0</v>
      </c>
      <c r="F5" s="256">
        <v>0</v>
      </c>
      <c r="G5" s="256">
        <v>0</v>
      </c>
      <c r="H5" s="256">
        <v>0</v>
      </c>
      <c r="I5" s="260"/>
      <c r="J5" s="259"/>
      <c r="K5" s="259"/>
      <c r="L5" s="259"/>
      <c r="M5" s="259"/>
      <c r="N5" s="259"/>
      <c r="O5" s="259"/>
      <c r="P5" s="259"/>
      <c r="Q5" s="259"/>
      <c r="R5" s="259"/>
      <c r="S5" s="259"/>
      <c r="T5" s="259"/>
    </row>
    <row r="6" customHeight="1" spans="1:20">
      <c r="A6" s="256">
        <v>2403</v>
      </c>
      <c r="B6" s="256" t="s">
        <v>215</v>
      </c>
      <c r="C6" s="256">
        <v>10000</v>
      </c>
      <c r="D6" s="256">
        <v>0</v>
      </c>
      <c r="E6" s="256">
        <v>0</v>
      </c>
      <c r="F6" s="256">
        <v>0</v>
      </c>
      <c r="G6" s="256">
        <v>0</v>
      </c>
      <c r="H6" s="256">
        <v>0</v>
      </c>
      <c r="I6" s="260"/>
      <c r="J6" s="259"/>
      <c r="K6" s="259"/>
      <c r="L6" s="259"/>
      <c r="M6" s="259"/>
      <c r="N6" s="259"/>
      <c r="O6" s="259"/>
      <c r="P6" s="259"/>
      <c r="Q6" s="259"/>
      <c r="R6" s="259"/>
      <c r="S6" s="259"/>
      <c r="T6" s="259"/>
    </row>
    <row r="7" customHeight="1" spans="1:20">
      <c r="A7" s="256">
        <v>2404</v>
      </c>
      <c r="B7" s="256" t="s">
        <v>215</v>
      </c>
      <c r="C7" s="256">
        <v>10000</v>
      </c>
      <c r="D7" s="256">
        <v>0</v>
      </c>
      <c r="E7" s="256">
        <v>0</v>
      </c>
      <c r="F7" s="256">
        <v>0</v>
      </c>
      <c r="G7" s="256">
        <v>0</v>
      </c>
      <c r="H7" s="256">
        <v>0</v>
      </c>
      <c r="I7" s="260"/>
      <c r="J7" s="259"/>
      <c r="K7" s="259"/>
      <c r="L7" s="259"/>
      <c r="M7" s="259"/>
      <c r="N7" s="259"/>
      <c r="O7" s="259"/>
      <c r="P7" s="259"/>
      <c r="Q7" s="259"/>
      <c r="R7" s="259"/>
      <c r="S7" s="259"/>
      <c r="T7" s="259"/>
    </row>
    <row r="8" customHeight="1" spans="1:20">
      <c r="A8" s="256">
        <v>2405</v>
      </c>
      <c r="B8" s="256" t="s">
        <v>215</v>
      </c>
      <c r="C8" s="256">
        <v>10000</v>
      </c>
      <c r="D8" s="256">
        <v>0</v>
      </c>
      <c r="E8" s="256">
        <v>0</v>
      </c>
      <c r="F8" s="256">
        <v>0</v>
      </c>
      <c r="G8" s="256">
        <v>0</v>
      </c>
      <c r="H8" s="256">
        <v>0</v>
      </c>
      <c r="I8" s="260"/>
      <c r="J8" s="259"/>
      <c r="K8" s="259"/>
      <c r="L8" s="259"/>
      <c r="M8" s="259"/>
      <c r="N8" s="259"/>
      <c r="O8" s="259"/>
      <c r="P8" s="259"/>
      <c r="Q8" s="259"/>
      <c r="R8" s="259"/>
      <c r="S8" s="259"/>
      <c r="T8" s="259"/>
    </row>
    <row r="9" customHeight="1" spans="1:20">
      <c r="A9" s="256">
        <v>2406</v>
      </c>
      <c r="B9" s="256" t="s">
        <v>215</v>
      </c>
      <c r="C9" s="256">
        <v>10000</v>
      </c>
      <c r="D9" s="256">
        <v>0</v>
      </c>
      <c r="E9" s="256">
        <v>0</v>
      </c>
      <c r="F9" s="256">
        <v>0</v>
      </c>
      <c r="G9" s="256">
        <v>0</v>
      </c>
      <c r="H9" s="256">
        <v>0</v>
      </c>
      <c r="I9" s="260"/>
      <c r="J9" s="259"/>
      <c r="K9" s="259"/>
      <c r="L9" s="259"/>
      <c r="M9" s="259"/>
      <c r="N9" s="259"/>
      <c r="O9" s="259"/>
      <c r="P9" s="259"/>
      <c r="Q9" s="259"/>
      <c r="R9" s="259"/>
      <c r="S9" s="259"/>
      <c r="T9" s="259"/>
    </row>
    <row r="10" customHeight="1" spans="1:20">
      <c r="A10" s="256">
        <v>2701</v>
      </c>
      <c r="B10" s="256" t="s">
        <v>372</v>
      </c>
      <c r="C10" s="256">
        <v>10000</v>
      </c>
      <c r="D10" s="256">
        <v>0</v>
      </c>
      <c r="E10" s="256">
        <v>0</v>
      </c>
      <c r="F10" s="256">
        <v>0</v>
      </c>
      <c r="G10" s="256">
        <v>0</v>
      </c>
      <c r="H10" s="256">
        <v>0</v>
      </c>
      <c r="I10" s="260"/>
      <c r="J10" s="259"/>
      <c r="K10" s="259"/>
      <c r="L10" s="259"/>
      <c r="M10" s="259"/>
      <c r="N10" s="259"/>
      <c r="O10" s="259"/>
      <c r="P10" s="259"/>
      <c r="Q10" s="259"/>
      <c r="R10" s="259"/>
      <c r="S10" s="259"/>
      <c r="T10" s="259"/>
    </row>
    <row r="11" customHeight="1" spans="1:20">
      <c r="A11" s="256">
        <v>2702</v>
      </c>
      <c r="B11" s="256" t="s">
        <v>372</v>
      </c>
      <c r="C11" s="256">
        <v>10000</v>
      </c>
      <c r="D11" s="256">
        <v>0</v>
      </c>
      <c r="E11" s="256">
        <v>0</v>
      </c>
      <c r="F11" s="256">
        <v>0</v>
      </c>
      <c r="G11" s="256">
        <v>0</v>
      </c>
      <c r="H11" s="256">
        <v>0</v>
      </c>
      <c r="I11" s="260"/>
      <c r="J11" s="259"/>
      <c r="K11" s="259"/>
      <c r="L11" s="259"/>
      <c r="M11" s="259"/>
      <c r="N11" s="259"/>
      <c r="O11" s="259"/>
      <c r="P11" s="259"/>
      <c r="Q11" s="259"/>
      <c r="R11" s="259"/>
      <c r="S11" s="259"/>
      <c r="T11" s="259"/>
    </row>
    <row r="12" customHeight="1" spans="1:20">
      <c r="A12" s="256">
        <v>2703</v>
      </c>
      <c r="B12" s="256" t="s">
        <v>372</v>
      </c>
      <c r="C12" s="256">
        <v>10000</v>
      </c>
      <c r="D12" s="256">
        <v>0</v>
      </c>
      <c r="E12" s="256">
        <v>0</v>
      </c>
      <c r="F12" s="256">
        <v>0</v>
      </c>
      <c r="G12" s="256">
        <v>0</v>
      </c>
      <c r="H12" s="256">
        <v>0</v>
      </c>
      <c r="I12" s="260"/>
      <c r="J12" s="259"/>
      <c r="K12" s="259"/>
      <c r="L12" s="259"/>
      <c r="M12" s="259"/>
      <c r="N12" s="259"/>
      <c r="O12" s="259"/>
      <c r="P12" s="259"/>
      <c r="Q12" s="259"/>
      <c r="R12" s="259"/>
      <c r="S12" s="259"/>
      <c r="T12" s="259"/>
    </row>
    <row r="13" customHeight="1" spans="1:20">
      <c r="A13" s="256">
        <v>2704</v>
      </c>
      <c r="B13" s="256" t="s">
        <v>372</v>
      </c>
      <c r="C13" s="256">
        <v>10000</v>
      </c>
      <c r="D13" s="256">
        <v>0</v>
      </c>
      <c r="E13" s="256">
        <v>0</v>
      </c>
      <c r="F13" s="256">
        <v>0</v>
      </c>
      <c r="G13" s="256">
        <v>0</v>
      </c>
      <c r="H13" s="256">
        <v>0</v>
      </c>
      <c r="I13" s="260"/>
      <c r="J13" s="259"/>
      <c r="K13" s="259"/>
      <c r="L13" s="259"/>
      <c r="M13" s="259"/>
      <c r="N13" s="259"/>
      <c r="O13" s="259"/>
      <c r="P13" s="259"/>
      <c r="Q13" s="259"/>
      <c r="R13" s="259"/>
      <c r="S13" s="259"/>
      <c r="T13" s="259"/>
    </row>
    <row r="14" customHeight="1" spans="1:20">
      <c r="A14" s="256">
        <v>2705</v>
      </c>
      <c r="B14" s="256" t="s">
        <v>372</v>
      </c>
      <c r="C14" s="256">
        <v>10000</v>
      </c>
      <c r="D14" s="256">
        <v>0</v>
      </c>
      <c r="E14" s="256">
        <v>0</v>
      </c>
      <c r="F14" s="256">
        <v>0</v>
      </c>
      <c r="G14" s="256">
        <v>0</v>
      </c>
      <c r="H14" s="256">
        <v>0</v>
      </c>
      <c r="I14" s="260"/>
      <c r="J14" s="259"/>
      <c r="K14" s="259"/>
      <c r="L14" s="259"/>
      <c r="M14" s="259"/>
      <c r="N14" s="259"/>
      <c r="O14" s="259"/>
      <c r="P14" s="259"/>
      <c r="Q14" s="259"/>
      <c r="R14" s="259"/>
      <c r="S14" s="259"/>
      <c r="T14" s="259"/>
    </row>
    <row r="15" customHeight="1" spans="1:20">
      <c r="A15" s="256">
        <v>2801</v>
      </c>
      <c r="B15" s="256" t="s">
        <v>379</v>
      </c>
      <c r="C15" s="256">
        <v>10000</v>
      </c>
      <c r="D15" s="256">
        <v>0</v>
      </c>
      <c r="E15" s="256">
        <v>0</v>
      </c>
      <c r="F15" s="256">
        <v>0</v>
      </c>
      <c r="G15" s="256">
        <v>0</v>
      </c>
      <c r="H15" s="256">
        <v>0</v>
      </c>
      <c r="I15" s="260"/>
      <c r="J15" s="259"/>
      <c r="K15" s="259"/>
      <c r="L15" s="259"/>
      <c r="M15" s="259"/>
      <c r="N15" s="259"/>
      <c r="O15" s="259"/>
      <c r="P15" s="259"/>
      <c r="Q15" s="259"/>
      <c r="R15" s="259"/>
      <c r="S15" s="259"/>
      <c r="T15" s="259"/>
    </row>
    <row r="16" customHeight="1" spans="1:8">
      <c r="A16" s="256">
        <v>2802</v>
      </c>
      <c r="B16" s="256" t="s">
        <v>379</v>
      </c>
      <c r="C16" s="256">
        <v>10000</v>
      </c>
      <c r="D16" s="256">
        <v>0</v>
      </c>
      <c r="E16" s="256">
        <v>0</v>
      </c>
      <c r="F16" s="256">
        <v>0</v>
      </c>
      <c r="G16" s="256">
        <v>0</v>
      </c>
      <c r="H16" s="256">
        <v>0</v>
      </c>
    </row>
    <row r="17" customHeight="1" spans="1:8">
      <c r="A17" s="256">
        <v>2803</v>
      </c>
      <c r="B17" s="256" t="s">
        <v>379</v>
      </c>
      <c r="C17" s="256">
        <v>10000</v>
      </c>
      <c r="D17" s="256">
        <v>0</v>
      </c>
      <c r="E17" s="256">
        <v>0</v>
      </c>
      <c r="F17" s="256">
        <v>0</v>
      </c>
      <c r="G17" s="256">
        <v>0</v>
      </c>
      <c r="H17" s="256">
        <v>0</v>
      </c>
    </row>
    <row r="18" customHeight="1" spans="1:8">
      <c r="A18" s="256">
        <v>2804</v>
      </c>
      <c r="B18" s="256" t="s">
        <v>379</v>
      </c>
      <c r="C18" s="256">
        <v>10000</v>
      </c>
      <c r="D18" s="256">
        <v>0</v>
      </c>
      <c r="E18" s="256">
        <v>0</v>
      </c>
      <c r="F18" s="256">
        <v>0</v>
      </c>
      <c r="G18" s="256">
        <v>0</v>
      </c>
      <c r="H18" s="256">
        <v>0</v>
      </c>
    </row>
    <row r="19" customHeight="1" spans="1:8">
      <c r="A19" s="256">
        <v>2805</v>
      </c>
      <c r="B19" s="256" t="s">
        <v>379</v>
      </c>
      <c r="C19" s="256">
        <v>10000</v>
      </c>
      <c r="D19" s="256">
        <v>0</v>
      </c>
      <c r="E19" s="256">
        <v>0</v>
      </c>
      <c r="F19" s="256">
        <v>0</v>
      </c>
      <c r="G19" s="256">
        <v>0</v>
      </c>
      <c r="H19" s="256">
        <v>0</v>
      </c>
    </row>
  </sheetData>
  <pageMargins left="0.75" right="0.75" top="1" bottom="1" header="0.511805555555556" footer="0.511805555555556"/>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D43"/>
  <sheetViews>
    <sheetView showGridLines="0" workbookViewId="0">
      <pane ySplit="3" topLeftCell="A4" activePane="bottomLeft" state="frozen"/>
      <selection/>
      <selection pane="bottomLeft" activeCell="C13" sqref="C13"/>
    </sheetView>
  </sheetViews>
  <sheetFormatPr defaultColWidth="7.59868421052632" defaultRowHeight="18" customHeight="1" outlineLevelCol="3"/>
  <cols>
    <col min="1" max="211" width="7.59868421052632" style="236"/>
  </cols>
  <sheetData>
    <row r="1" ht="23.1" customHeight="1" spans="1:4">
      <c r="A1" s="245" t="s">
        <v>536</v>
      </c>
      <c r="B1" s="253" t="s">
        <v>537</v>
      </c>
      <c r="C1" s="253" t="s">
        <v>537</v>
      </c>
      <c r="D1" s="253" t="s">
        <v>537</v>
      </c>
    </row>
    <row r="2" ht="23.1" customHeight="1" spans="1:4">
      <c r="A2" s="245" t="s">
        <v>39</v>
      </c>
      <c r="B2" s="253" t="s">
        <v>39</v>
      </c>
      <c r="C2" s="253" t="s">
        <v>39</v>
      </c>
      <c r="D2" s="253" t="s">
        <v>39</v>
      </c>
    </row>
    <row r="3" ht="23.1" customHeight="1" spans="1:4">
      <c r="A3" s="245" t="s">
        <v>538</v>
      </c>
      <c r="B3" s="254" t="s">
        <v>539</v>
      </c>
      <c r="C3" s="254" t="s">
        <v>540</v>
      </c>
      <c r="D3" s="254" t="s">
        <v>541</v>
      </c>
    </row>
    <row r="4" ht="23.1" customHeight="1" spans="1:4">
      <c r="A4" s="245">
        <v>1</v>
      </c>
      <c r="B4" s="255">
        <v>1</v>
      </c>
      <c r="C4" s="255">
        <v>1</v>
      </c>
      <c r="D4" s="255">
        <v>1</v>
      </c>
    </row>
    <row r="5" ht="23.1" customHeight="1" spans="1:4">
      <c r="A5" s="245">
        <v>2</v>
      </c>
      <c r="B5" s="255">
        <v>1</v>
      </c>
      <c r="C5" s="255">
        <v>1</v>
      </c>
      <c r="D5" s="255">
        <v>1</v>
      </c>
    </row>
    <row r="6" ht="23.1" customHeight="1" spans="1:4">
      <c r="A6" s="245">
        <v>3</v>
      </c>
      <c r="B6" s="255">
        <v>1</v>
      </c>
      <c r="C6" s="255">
        <v>1</v>
      </c>
      <c r="D6" s="255">
        <v>1</v>
      </c>
    </row>
    <row r="7" ht="23.1" customHeight="1" spans="1:4">
      <c r="A7" s="245">
        <v>4</v>
      </c>
      <c r="B7" s="255">
        <v>1</v>
      </c>
      <c r="C7" s="255">
        <v>1</v>
      </c>
      <c r="D7" s="255">
        <v>1</v>
      </c>
    </row>
    <row r="8" ht="23.1" customHeight="1" spans="1:4">
      <c r="A8" s="245">
        <v>5</v>
      </c>
      <c r="B8" s="255">
        <v>1</v>
      </c>
      <c r="C8" s="255">
        <v>1</v>
      </c>
      <c r="D8" s="255">
        <v>1</v>
      </c>
    </row>
    <row r="9" ht="23.1" customHeight="1" spans="1:4">
      <c r="A9" s="245">
        <v>6</v>
      </c>
      <c r="B9" s="255">
        <v>1</v>
      </c>
      <c r="C9" s="255">
        <v>1</v>
      </c>
      <c r="D9" s="255">
        <v>1</v>
      </c>
    </row>
    <row r="10" ht="23.1" customHeight="1" spans="1:4">
      <c r="A10" s="245">
        <v>7</v>
      </c>
      <c r="B10" s="255">
        <v>1</v>
      </c>
      <c r="C10" s="255">
        <v>1</v>
      </c>
      <c r="D10" s="255">
        <v>1</v>
      </c>
    </row>
    <row r="11" ht="23.1" customHeight="1" spans="1:4">
      <c r="A11" s="245">
        <v>8</v>
      </c>
      <c r="B11" s="255">
        <v>1</v>
      </c>
      <c r="C11" s="255">
        <v>1</v>
      </c>
      <c r="D11" s="255">
        <v>1</v>
      </c>
    </row>
    <row r="12" ht="23.1" customHeight="1" spans="1:4">
      <c r="A12" s="245">
        <v>9</v>
      </c>
      <c r="B12" s="255">
        <v>1</v>
      </c>
      <c r="C12" s="255">
        <v>1</v>
      </c>
      <c r="D12" s="255">
        <v>1</v>
      </c>
    </row>
    <row r="13" ht="23.1" customHeight="1" spans="1:4">
      <c r="A13" s="245">
        <v>10</v>
      </c>
      <c r="B13" s="255">
        <v>1</v>
      </c>
      <c r="C13" s="255">
        <v>1</v>
      </c>
      <c r="D13" s="255">
        <v>1</v>
      </c>
    </row>
    <row r="14" ht="23.1" customHeight="1" spans="1:4">
      <c r="A14" s="245">
        <v>11</v>
      </c>
      <c r="B14" s="255">
        <v>1</v>
      </c>
      <c r="C14" s="255">
        <v>1</v>
      </c>
      <c r="D14" s="255">
        <v>1</v>
      </c>
    </row>
    <row r="15" ht="23.1" customHeight="1" spans="1:4">
      <c r="A15" s="245">
        <v>12</v>
      </c>
      <c r="B15" s="255">
        <v>1</v>
      </c>
      <c r="C15" s="255">
        <v>1</v>
      </c>
      <c r="D15" s="255">
        <v>1</v>
      </c>
    </row>
    <row r="16" ht="23.1" customHeight="1" spans="1:4">
      <c r="A16" s="245">
        <v>13</v>
      </c>
      <c r="B16" s="255">
        <v>1</v>
      </c>
      <c r="C16" s="255">
        <v>1</v>
      </c>
      <c r="D16" s="255">
        <v>1</v>
      </c>
    </row>
    <row r="17" ht="23.1" customHeight="1" spans="1:4">
      <c r="A17" s="245">
        <v>14</v>
      </c>
      <c r="B17" s="255">
        <v>1</v>
      </c>
      <c r="C17" s="255">
        <v>1</v>
      </c>
      <c r="D17" s="255">
        <v>1</v>
      </c>
    </row>
    <row r="18" ht="23.1" customHeight="1" spans="1:4">
      <c r="A18" s="245">
        <v>15</v>
      </c>
      <c r="B18" s="253">
        <v>2.5</v>
      </c>
      <c r="C18" s="255">
        <v>1</v>
      </c>
      <c r="D18" s="255">
        <v>1</v>
      </c>
    </row>
    <row r="19" ht="23.1" customHeight="1" spans="1:4">
      <c r="A19" s="245">
        <v>16</v>
      </c>
      <c r="B19" s="253">
        <v>1.66</v>
      </c>
      <c r="C19" s="255">
        <v>1</v>
      </c>
      <c r="D19" s="255">
        <v>1</v>
      </c>
    </row>
    <row r="20" ht="23.1" customHeight="1" spans="1:4">
      <c r="A20" s="245">
        <v>17</v>
      </c>
      <c r="B20" s="253">
        <v>1.25</v>
      </c>
      <c r="C20" s="255">
        <v>1</v>
      </c>
      <c r="D20" s="255">
        <v>1</v>
      </c>
    </row>
    <row r="21" ht="23.1" customHeight="1" spans="1:4">
      <c r="A21" s="245">
        <v>18</v>
      </c>
      <c r="B21" s="253">
        <v>0.8</v>
      </c>
      <c r="C21" s="255">
        <v>1</v>
      </c>
      <c r="D21" s="255">
        <v>1</v>
      </c>
    </row>
    <row r="22" ht="23.1" customHeight="1" spans="1:4">
      <c r="A22" s="245">
        <v>19</v>
      </c>
      <c r="B22" s="253">
        <v>0.75</v>
      </c>
      <c r="C22" s="255">
        <v>1</v>
      </c>
      <c r="D22" s="255">
        <v>1</v>
      </c>
    </row>
    <row r="23" ht="23.1" customHeight="1" spans="1:4">
      <c r="A23" s="245">
        <v>20</v>
      </c>
      <c r="B23" s="253">
        <v>0.62</v>
      </c>
      <c r="C23" s="255">
        <v>1</v>
      </c>
      <c r="D23" s="255">
        <v>1</v>
      </c>
    </row>
    <row r="24" ht="23.1" customHeight="1" spans="1:4">
      <c r="A24" s="245">
        <v>21</v>
      </c>
      <c r="B24" s="253">
        <v>0.62</v>
      </c>
      <c r="C24" s="255">
        <v>1</v>
      </c>
      <c r="D24" s="255">
        <v>1</v>
      </c>
    </row>
    <row r="25" ht="23.1" customHeight="1" spans="1:4">
      <c r="A25" s="245">
        <v>22</v>
      </c>
      <c r="B25" s="253">
        <v>0.5</v>
      </c>
      <c r="C25" s="255">
        <v>1</v>
      </c>
      <c r="D25" s="255">
        <v>1</v>
      </c>
    </row>
    <row r="26" ht="23.1" customHeight="1" spans="1:4">
      <c r="A26" s="245">
        <v>23</v>
      </c>
      <c r="B26" s="253">
        <v>0.5</v>
      </c>
      <c r="C26" s="255">
        <v>1</v>
      </c>
      <c r="D26" s="255">
        <v>1</v>
      </c>
    </row>
    <row r="27" ht="23.1" customHeight="1" spans="1:4">
      <c r="A27" s="245">
        <v>24</v>
      </c>
      <c r="B27" s="253">
        <v>0.41</v>
      </c>
      <c r="C27" s="255">
        <v>1</v>
      </c>
      <c r="D27" s="255">
        <v>1</v>
      </c>
    </row>
    <row r="28" ht="23.1" customHeight="1" spans="1:4">
      <c r="A28" s="245">
        <v>25</v>
      </c>
      <c r="B28" s="253">
        <v>0.37</v>
      </c>
      <c r="C28" s="253">
        <v>1.5</v>
      </c>
      <c r="D28" s="255">
        <v>1</v>
      </c>
    </row>
    <row r="29" ht="23.1" customHeight="1" spans="1:4">
      <c r="A29" s="245">
        <v>26</v>
      </c>
      <c r="B29" s="253">
        <v>0.37</v>
      </c>
      <c r="C29" s="253">
        <v>1.5</v>
      </c>
      <c r="D29" s="255">
        <v>1</v>
      </c>
    </row>
    <row r="30" ht="23.1" customHeight="1" spans="1:4">
      <c r="A30" s="245">
        <v>27</v>
      </c>
      <c r="B30" s="253">
        <v>0.25</v>
      </c>
      <c r="C30" s="253">
        <v>1</v>
      </c>
      <c r="D30" s="255">
        <v>1</v>
      </c>
    </row>
    <row r="31" ht="23.1" customHeight="1" spans="1:4">
      <c r="A31" s="245">
        <v>28</v>
      </c>
      <c r="B31" s="253">
        <v>0.25</v>
      </c>
      <c r="C31" s="253">
        <v>1</v>
      </c>
      <c r="D31" s="255">
        <v>1</v>
      </c>
    </row>
    <row r="32" ht="23.1" customHeight="1" spans="1:4">
      <c r="A32" s="245">
        <v>29</v>
      </c>
      <c r="B32" s="253">
        <v>0.18</v>
      </c>
      <c r="C32" s="253">
        <v>1</v>
      </c>
      <c r="D32" s="255">
        <v>1</v>
      </c>
    </row>
    <row r="33" ht="23.1" customHeight="1" spans="1:4">
      <c r="A33" s="245">
        <v>30</v>
      </c>
      <c r="B33" s="253">
        <v>0.15</v>
      </c>
      <c r="C33" s="253">
        <v>1</v>
      </c>
      <c r="D33" s="253">
        <v>1.5</v>
      </c>
    </row>
    <row r="34" ht="23.1" customHeight="1" spans="1:4">
      <c r="A34" s="245">
        <v>31</v>
      </c>
      <c r="B34" s="253">
        <v>0.15</v>
      </c>
      <c r="C34" s="253">
        <v>1</v>
      </c>
      <c r="D34" s="253">
        <v>1.5</v>
      </c>
    </row>
    <row r="35" ht="23.1" customHeight="1" spans="1:4">
      <c r="A35" s="245">
        <v>32</v>
      </c>
      <c r="B35" s="253">
        <v>0.12</v>
      </c>
      <c r="C35" s="253">
        <v>1</v>
      </c>
      <c r="D35" s="253">
        <v>1.25</v>
      </c>
    </row>
    <row r="36" ht="23.1" customHeight="1" spans="1:4">
      <c r="A36" s="245">
        <v>33</v>
      </c>
      <c r="B36" s="253">
        <v>0.12</v>
      </c>
      <c r="C36" s="253">
        <v>1</v>
      </c>
      <c r="D36" s="253">
        <v>1.25</v>
      </c>
    </row>
    <row r="37" ht="23.1" customHeight="1" spans="1:4">
      <c r="A37" s="245">
        <v>34</v>
      </c>
      <c r="B37" s="253">
        <v>0.12</v>
      </c>
      <c r="C37" s="253">
        <v>1</v>
      </c>
      <c r="D37" s="253">
        <v>1.25</v>
      </c>
    </row>
    <row r="38" ht="23.1" customHeight="1" spans="1:4">
      <c r="A38" s="245">
        <v>35</v>
      </c>
      <c r="B38" s="253">
        <v>0.12</v>
      </c>
      <c r="C38" s="253">
        <v>1</v>
      </c>
      <c r="D38" s="253">
        <v>1.25</v>
      </c>
    </row>
    <row r="39" ht="23.1" customHeight="1" spans="1:4">
      <c r="A39" s="245">
        <v>36</v>
      </c>
      <c r="B39" s="253">
        <v>0.09</v>
      </c>
      <c r="C39" s="253">
        <v>1</v>
      </c>
      <c r="D39" s="253">
        <v>1</v>
      </c>
    </row>
    <row r="40" ht="23.1" customHeight="1" spans="1:4">
      <c r="A40" s="245">
        <v>37</v>
      </c>
      <c r="B40" s="253">
        <v>0.09</v>
      </c>
      <c r="C40" s="253">
        <v>1</v>
      </c>
      <c r="D40" s="253">
        <v>1</v>
      </c>
    </row>
    <row r="41" ht="23.1" customHeight="1" spans="1:4">
      <c r="A41" s="245">
        <v>38</v>
      </c>
      <c r="B41" s="253">
        <v>0.09</v>
      </c>
      <c r="C41" s="253">
        <v>1</v>
      </c>
      <c r="D41" s="253">
        <v>1</v>
      </c>
    </row>
    <row r="42" ht="23.1" customHeight="1" spans="1:4">
      <c r="A42" s="245">
        <v>39</v>
      </c>
      <c r="B42" s="253">
        <v>0.09</v>
      </c>
      <c r="C42" s="253">
        <v>1</v>
      </c>
      <c r="D42" s="253">
        <v>1</v>
      </c>
    </row>
    <row r="43" ht="23.1" customHeight="1" spans="1:4">
      <c r="A43" s="245">
        <v>40</v>
      </c>
      <c r="B43" s="253">
        <v>0.07</v>
      </c>
      <c r="C43" s="253">
        <v>1</v>
      </c>
      <c r="D43" s="253">
        <v>1</v>
      </c>
    </row>
  </sheetData>
  <pageMargins left="0.75" right="0.75" top="1" bottom="1" header="0.5" footer="0.5"/>
  <pageSetup paperSize="1" orientation="portrait"/>
  <headerFooter>
    <oddFooter>&amp;L&amp;"Helvetica,Regular"&amp;12&amp;K000000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V43"/>
  <sheetViews>
    <sheetView showGridLines="0" workbookViewId="0">
      <pane xSplit="1" topLeftCell="B1" activePane="topRight" state="frozen"/>
      <selection/>
      <selection pane="topRight" activeCell="W38" sqref="W38"/>
    </sheetView>
  </sheetViews>
  <sheetFormatPr defaultColWidth="9" defaultRowHeight="15.2"/>
  <cols>
    <col min="1" max="1" width="7.90131578947368" customWidth="1"/>
    <col min="2" max="2" width="9.40131578947368" customWidth="1"/>
    <col min="3" max="3" width="7.59868421052632" customWidth="1"/>
    <col min="4" max="4" width="14.9013157894737" customWidth="1"/>
    <col min="5" max="5" width="10.1973684210526" customWidth="1"/>
    <col min="6" max="6" width="17.1973684210526" customWidth="1"/>
    <col min="7" max="7" width="9.29605263157895" customWidth="1"/>
    <col min="8" max="8" width="11.0986842105263" customWidth="1"/>
    <col min="9" max="9" width="22.0986842105263" customWidth="1"/>
    <col min="10" max="10" width="7.59868421052632" customWidth="1"/>
    <col min="11" max="11" width="16.4013157894737" customWidth="1"/>
    <col min="12" max="12" width="7.59868421052632" customWidth="1"/>
    <col min="13" max="13" width="5.69736842105263" customWidth="1"/>
    <col min="14" max="14" width="16.4013157894737" customWidth="1"/>
    <col min="15" max="15" width="7.59868421052632" customWidth="1"/>
    <col min="16" max="16" width="5.69736842105263" customWidth="1"/>
    <col min="17" max="17" width="16.4013157894737" customWidth="1"/>
    <col min="18" max="18" width="7.59868421052632" customWidth="1"/>
    <col min="19" max="19" width="5.69736842105263" customWidth="1"/>
    <col min="20" max="20" width="9.29605263157895"/>
    <col min="21" max="21" width="16.0986842105263" customWidth="1"/>
  </cols>
  <sheetData>
    <row r="1" ht="23.1" customHeight="1" spans="1:22">
      <c r="A1" s="245" t="s">
        <v>542</v>
      </c>
      <c r="B1" s="245" t="s">
        <v>543</v>
      </c>
      <c r="C1" s="245" t="s">
        <v>544</v>
      </c>
      <c r="D1" s="245" t="s">
        <v>543</v>
      </c>
      <c r="E1" s="245" t="s">
        <v>544</v>
      </c>
      <c r="F1" s="245" t="s">
        <v>543</v>
      </c>
      <c r="G1" s="245" t="s">
        <v>544</v>
      </c>
      <c r="H1" s="245" t="s">
        <v>545</v>
      </c>
      <c r="I1" s="245" t="s">
        <v>543</v>
      </c>
      <c r="J1" s="245" t="s">
        <v>544</v>
      </c>
      <c r="K1" s="247" t="s">
        <v>543</v>
      </c>
      <c r="L1" s="245" t="s">
        <v>544</v>
      </c>
      <c r="M1" s="245" t="s">
        <v>546</v>
      </c>
      <c r="N1" s="249" t="s">
        <v>543</v>
      </c>
      <c r="O1" s="245" t="s">
        <v>544</v>
      </c>
      <c r="P1" s="245" t="s">
        <v>546</v>
      </c>
      <c r="Q1" s="251" t="s">
        <v>543</v>
      </c>
      <c r="R1" s="245" t="s">
        <v>544</v>
      </c>
      <c r="S1" s="245" t="s">
        <v>546</v>
      </c>
      <c r="T1" s="245" t="s">
        <v>547</v>
      </c>
      <c r="U1" s="245" t="s">
        <v>548</v>
      </c>
      <c r="V1" s="245" t="s">
        <v>549</v>
      </c>
    </row>
    <row r="2" ht="35.1" customHeight="1" spans="1:22">
      <c r="A2" s="245" t="s">
        <v>39</v>
      </c>
      <c r="B2" s="245" t="s">
        <v>39</v>
      </c>
      <c r="C2" s="245" t="s">
        <v>39</v>
      </c>
      <c r="D2" s="245" t="s">
        <v>39</v>
      </c>
      <c r="E2" s="245" t="s">
        <v>39</v>
      </c>
      <c r="F2" s="245" t="s">
        <v>39</v>
      </c>
      <c r="G2" s="245" t="s">
        <v>39</v>
      </c>
      <c r="H2" s="245" t="s">
        <v>39</v>
      </c>
      <c r="I2" s="245" t="s">
        <v>39</v>
      </c>
      <c r="J2" s="245" t="s">
        <v>39</v>
      </c>
      <c r="K2" s="247" t="s">
        <v>39</v>
      </c>
      <c r="L2" s="245" t="s">
        <v>39</v>
      </c>
      <c r="M2" s="245" t="s">
        <v>39</v>
      </c>
      <c r="N2" s="249" t="s">
        <v>39</v>
      </c>
      <c r="O2" s="245" t="s">
        <v>39</v>
      </c>
      <c r="P2" s="245" t="s">
        <v>39</v>
      </c>
      <c r="Q2" s="251" t="s">
        <v>39</v>
      </c>
      <c r="R2" s="245" t="s">
        <v>39</v>
      </c>
      <c r="S2" s="245" t="s">
        <v>39</v>
      </c>
      <c r="T2" s="245" t="s">
        <v>41</v>
      </c>
      <c r="U2" s="245" t="s">
        <v>41</v>
      </c>
      <c r="V2" s="245" t="s">
        <v>39</v>
      </c>
    </row>
    <row r="3" ht="33.95" customHeight="1" spans="1:22">
      <c r="A3" s="245" t="s">
        <v>550</v>
      </c>
      <c r="B3" s="245" t="s">
        <v>551</v>
      </c>
      <c r="C3" s="245" t="s">
        <v>552</v>
      </c>
      <c r="D3" s="246" t="s">
        <v>553</v>
      </c>
      <c r="E3" s="245" t="s">
        <v>552</v>
      </c>
      <c r="F3" s="245" t="s">
        <v>554</v>
      </c>
      <c r="G3" s="245" t="s">
        <v>552</v>
      </c>
      <c r="H3" s="112" t="s">
        <v>555</v>
      </c>
      <c r="I3" s="112" t="s">
        <v>556</v>
      </c>
      <c r="J3" s="245" t="s">
        <v>552</v>
      </c>
      <c r="K3" s="248" t="s">
        <v>557</v>
      </c>
      <c r="L3" s="112" t="s">
        <v>558</v>
      </c>
      <c r="M3" s="112" t="s">
        <v>535</v>
      </c>
      <c r="N3" s="250" t="s">
        <v>557</v>
      </c>
      <c r="O3" s="112" t="s">
        <v>558</v>
      </c>
      <c r="P3" s="112" t="s">
        <v>535</v>
      </c>
      <c r="Q3" s="252" t="s">
        <v>557</v>
      </c>
      <c r="R3" s="112" t="s">
        <v>558</v>
      </c>
      <c r="S3" s="112" t="s">
        <v>535</v>
      </c>
      <c r="T3" s="245" t="s">
        <v>559</v>
      </c>
      <c r="U3" s="245" t="s">
        <v>560</v>
      </c>
      <c r="V3" s="245" t="s">
        <v>561</v>
      </c>
    </row>
    <row r="4" ht="23.1" customHeight="1" spans="1:22">
      <c r="A4" s="245">
        <v>2101</v>
      </c>
      <c r="B4" s="245">
        <v>0</v>
      </c>
      <c r="C4" s="245">
        <v>0</v>
      </c>
      <c r="D4" s="245">
        <v>0</v>
      </c>
      <c r="E4" s="245">
        <v>0</v>
      </c>
      <c r="F4" s="245">
        <v>0</v>
      </c>
      <c r="G4" s="245">
        <v>0</v>
      </c>
      <c r="H4" s="245">
        <v>10000</v>
      </c>
      <c r="I4" s="245">
        <v>0</v>
      </c>
      <c r="J4" s="245">
        <v>0</v>
      </c>
      <c r="K4" s="247">
        <v>0</v>
      </c>
      <c r="L4" s="245">
        <v>0</v>
      </c>
      <c r="M4" s="245">
        <v>0</v>
      </c>
      <c r="N4" s="249">
        <v>0</v>
      </c>
      <c r="O4" s="245">
        <v>0</v>
      </c>
      <c r="P4" s="245">
        <v>0</v>
      </c>
      <c r="Q4" s="251">
        <v>0</v>
      </c>
      <c r="R4" s="245">
        <v>0</v>
      </c>
      <c r="S4" s="245">
        <v>0</v>
      </c>
      <c r="T4" s="245">
        <v>0.22</v>
      </c>
      <c r="U4" s="245">
        <v>0</v>
      </c>
      <c r="V4" s="245">
        <v>1</v>
      </c>
    </row>
    <row r="5" ht="23.1" customHeight="1" spans="1:22">
      <c r="A5" s="245">
        <v>2102</v>
      </c>
      <c r="B5" s="245">
        <v>1137</v>
      </c>
      <c r="C5" s="245">
        <v>2</v>
      </c>
      <c r="D5" s="245">
        <v>0</v>
      </c>
      <c r="E5" s="245">
        <v>0</v>
      </c>
      <c r="F5" s="245">
        <v>0</v>
      </c>
      <c r="G5" s="245">
        <v>0</v>
      </c>
      <c r="H5" s="245">
        <v>10000</v>
      </c>
      <c r="I5" s="245">
        <v>0</v>
      </c>
      <c r="J5" s="245">
        <v>0</v>
      </c>
      <c r="K5" s="247">
        <v>0</v>
      </c>
      <c r="L5" s="245">
        <v>0</v>
      </c>
      <c r="M5" s="245">
        <v>0</v>
      </c>
      <c r="N5" s="249">
        <v>0</v>
      </c>
      <c r="O5" s="245">
        <v>0</v>
      </c>
      <c r="P5" s="245">
        <v>0</v>
      </c>
      <c r="Q5" s="251">
        <v>0</v>
      </c>
      <c r="R5" s="245">
        <v>0</v>
      </c>
      <c r="S5" s="245">
        <v>0</v>
      </c>
      <c r="T5" s="245">
        <v>0.25</v>
      </c>
      <c r="U5" s="245">
        <v>0</v>
      </c>
      <c r="V5" s="245">
        <v>2</v>
      </c>
    </row>
    <row r="6" ht="23.1" customHeight="1" spans="1:22">
      <c r="A6" s="245">
        <v>2103</v>
      </c>
      <c r="B6" s="245">
        <v>1137</v>
      </c>
      <c r="C6" s="245">
        <v>3</v>
      </c>
      <c r="D6" s="245">
        <v>0</v>
      </c>
      <c r="E6" s="245">
        <v>0</v>
      </c>
      <c r="F6" s="245">
        <v>0</v>
      </c>
      <c r="G6" s="245">
        <v>0</v>
      </c>
      <c r="H6" s="245">
        <v>10000</v>
      </c>
      <c r="I6" s="245">
        <v>0</v>
      </c>
      <c r="J6" s="245">
        <v>0</v>
      </c>
      <c r="K6" s="247">
        <v>0</v>
      </c>
      <c r="L6" s="245">
        <v>0</v>
      </c>
      <c r="M6" s="245">
        <v>0</v>
      </c>
      <c r="N6" s="249">
        <v>0</v>
      </c>
      <c r="O6" s="245">
        <v>0</v>
      </c>
      <c r="P6" s="245">
        <v>0</v>
      </c>
      <c r="Q6" s="251">
        <v>0</v>
      </c>
      <c r="R6" s="245">
        <v>0</v>
      </c>
      <c r="S6" s="245">
        <v>0</v>
      </c>
      <c r="T6" s="245">
        <v>0.28</v>
      </c>
      <c r="U6" s="245">
        <v>0</v>
      </c>
      <c r="V6" s="245">
        <v>3</v>
      </c>
    </row>
    <row r="7" ht="23.1" customHeight="1" spans="1:22">
      <c r="A7" s="245">
        <v>2104</v>
      </c>
      <c r="B7" s="245">
        <v>1137</v>
      </c>
      <c r="C7" s="245">
        <v>4</v>
      </c>
      <c r="D7" s="245">
        <v>0</v>
      </c>
      <c r="E7" s="245">
        <v>0</v>
      </c>
      <c r="F7" s="245">
        <v>0</v>
      </c>
      <c r="G7" s="245">
        <v>0</v>
      </c>
      <c r="H7" s="245">
        <v>10000</v>
      </c>
      <c r="I7" s="245">
        <v>0</v>
      </c>
      <c r="J7" s="245">
        <v>0</v>
      </c>
      <c r="K7" s="247">
        <v>0</v>
      </c>
      <c r="L7" s="245">
        <v>0</v>
      </c>
      <c r="M7" s="245">
        <v>0</v>
      </c>
      <c r="N7" s="249">
        <v>0</v>
      </c>
      <c r="O7" s="245">
        <v>0</v>
      </c>
      <c r="P7" s="245">
        <v>0</v>
      </c>
      <c r="Q7" s="251">
        <v>0</v>
      </c>
      <c r="R7" s="245">
        <v>0</v>
      </c>
      <c r="S7" s="245">
        <v>0</v>
      </c>
      <c r="T7" s="245">
        <v>0.31</v>
      </c>
      <c r="U7" s="245">
        <v>0</v>
      </c>
      <c r="V7" s="245">
        <v>4</v>
      </c>
    </row>
    <row r="8" ht="23.1" customHeight="1" spans="1:22">
      <c r="A8" s="245">
        <v>2105</v>
      </c>
      <c r="B8" s="245">
        <v>1137</v>
      </c>
      <c r="C8" s="245">
        <v>4</v>
      </c>
      <c r="D8" s="245">
        <v>0</v>
      </c>
      <c r="E8" s="245">
        <v>0</v>
      </c>
      <c r="F8" s="245">
        <v>0</v>
      </c>
      <c r="G8" s="245">
        <v>0</v>
      </c>
      <c r="H8" s="245">
        <v>10000</v>
      </c>
      <c r="I8" s="245">
        <v>0</v>
      </c>
      <c r="J8" s="245">
        <v>0</v>
      </c>
      <c r="K8" s="247">
        <v>0</v>
      </c>
      <c r="L8" s="245">
        <v>0</v>
      </c>
      <c r="M8" s="245">
        <v>0</v>
      </c>
      <c r="N8" s="249">
        <v>0</v>
      </c>
      <c r="O8" s="245">
        <v>0</v>
      </c>
      <c r="P8" s="245">
        <v>0</v>
      </c>
      <c r="Q8" s="251">
        <v>0</v>
      </c>
      <c r="R8" s="245">
        <v>0</v>
      </c>
      <c r="S8" s="245">
        <v>0</v>
      </c>
      <c r="T8" s="245">
        <v>0.333334</v>
      </c>
      <c r="U8" s="245">
        <v>0</v>
      </c>
      <c r="V8" s="245">
        <v>5</v>
      </c>
    </row>
    <row r="9" ht="23.1" customHeight="1" spans="1:22">
      <c r="A9" s="245">
        <v>2106</v>
      </c>
      <c r="B9" s="245">
        <v>1137</v>
      </c>
      <c r="C9" s="245">
        <v>4</v>
      </c>
      <c r="D9" s="245">
        <v>0</v>
      </c>
      <c r="E9" s="245">
        <v>0</v>
      </c>
      <c r="F9" s="245">
        <v>0</v>
      </c>
      <c r="G9" s="245">
        <v>0</v>
      </c>
      <c r="H9" s="245">
        <v>10000</v>
      </c>
      <c r="I9" s="245">
        <v>0</v>
      </c>
      <c r="J9" s="245">
        <v>0</v>
      </c>
      <c r="K9" s="247">
        <v>0</v>
      </c>
      <c r="L9" s="245">
        <v>0</v>
      </c>
      <c r="M9" s="245">
        <v>0</v>
      </c>
      <c r="N9" s="249">
        <v>0</v>
      </c>
      <c r="O9" s="245">
        <v>0</v>
      </c>
      <c r="P9" s="245">
        <v>0</v>
      </c>
      <c r="Q9" s="251">
        <v>0</v>
      </c>
      <c r="R9" s="245">
        <v>0</v>
      </c>
      <c r="S9" s="245">
        <v>0</v>
      </c>
      <c r="T9" s="245">
        <v>0.333334</v>
      </c>
      <c r="U9" s="245">
        <v>0</v>
      </c>
      <c r="V9" s="245">
        <v>6</v>
      </c>
    </row>
    <row r="10" ht="23.1" customHeight="1" spans="1:22">
      <c r="A10" s="245">
        <v>2107</v>
      </c>
      <c r="B10" s="245">
        <v>1137</v>
      </c>
      <c r="C10" s="245">
        <v>5</v>
      </c>
      <c r="D10" s="245">
        <v>0</v>
      </c>
      <c r="E10" s="245">
        <v>0</v>
      </c>
      <c r="F10" s="245">
        <v>0</v>
      </c>
      <c r="G10" s="245">
        <v>0</v>
      </c>
      <c r="H10" s="245">
        <v>10000</v>
      </c>
      <c r="I10" s="245">
        <v>0</v>
      </c>
      <c r="J10" s="245">
        <v>0</v>
      </c>
      <c r="K10" s="247">
        <v>0</v>
      </c>
      <c r="L10" s="245">
        <v>0</v>
      </c>
      <c r="M10" s="245">
        <v>0</v>
      </c>
      <c r="N10" s="249">
        <v>0</v>
      </c>
      <c r="O10" s="245">
        <v>0</v>
      </c>
      <c r="P10" s="245">
        <v>0</v>
      </c>
      <c r="Q10" s="251">
        <v>0</v>
      </c>
      <c r="R10" s="245">
        <v>0</v>
      </c>
      <c r="S10" s="245">
        <v>0</v>
      </c>
      <c r="T10" s="245">
        <v>0.333334</v>
      </c>
      <c r="U10" s="245">
        <v>0</v>
      </c>
      <c r="V10" s="245">
        <v>7</v>
      </c>
    </row>
    <row r="11" ht="23.1" customHeight="1" spans="1:22">
      <c r="A11" s="245">
        <v>2108</v>
      </c>
      <c r="B11" s="245">
        <v>1137</v>
      </c>
      <c r="C11" s="245">
        <v>6</v>
      </c>
      <c r="D11" s="245">
        <v>0</v>
      </c>
      <c r="E11" s="245">
        <v>0</v>
      </c>
      <c r="F11" s="245">
        <v>0</v>
      </c>
      <c r="G11" s="245">
        <v>0</v>
      </c>
      <c r="H11" s="245">
        <v>10000</v>
      </c>
      <c r="I11" s="245">
        <v>0</v>
      </c>
      <c r="J11" s="245">
        <v>0</v>
      </c>
      <c r="K11" s="247">
        <v>0</v>
      </c>
      <c r="L11" s="245">
        <v>0</v>
      </c>
      <c r="M11" s="245">
        <v>0</v>
      </c>
      <c r="N11" s="249">
        <v>0</v>
      </c>
      <c r="O11" s="245">
        <v>0</v>
      </c>
      <c r="P11" s="245">
        <v>0</v>
      </c>
      <c r="Q11" s="251">
        <v>0</v>
      </c>
      <c r="R11" s="245">
        <v>0</v>
      </c>
      <c r="S11" s="245">
        <v>0</v>
      </c>
      <c r="T11" s="245">
        <v>0.333334</v>
      </c>
      <c r="U11" s="245">
        <v>0</v>
      </c>
      <c r="V11" s="245">
        <v>8</v>
      </c>
    </row>
    <row r="12" ht="23.1" customHeight="1" spans="1:22">
      <c r="A12" s="245">
        <v>2109</v>
      </c>
      <c r="B12" s="245">
        <v>1137</v>
      </c>
      <c r="C12" s="245">
        <v>8</v>
      </c>
      <c r="D12" s="245">
        <v>0</v>
      </c>
      <c r="E12" s="245">
        <v>0</v>
      </c>
      <c r="F12" s="245">
        <v>0</v>
      </c>
      <c r="G12" s="245">
        <v>0</v>
      </c>
      <c r="H12" s="245">
        <v>10000</v>
      </c>
      <c r="I12" s="245">
        <v>0</v>
      </c>
      <c r="J12" s="245">
        <v>0</v>
      </c>
      <c r="K12" s="247">
        <v>0</v>
      </c>
      <c r="L12" s="245">
        <v>0</v>
      </c>
      <c r="M12" s="245">
        <v>0</v>
      </c>
      <c r="N12" s="249">
        <v>0</v>
      </c>
      <c r="O12" s="245">
        <v>0</v>
      </c>
      <c r="P12" s="245">
        <v>0</v>
      </c>
      <c r="Q12" s="251">
        <v>0</v>
      </c>
      <c r="R12" s="245">
        <v>0</v>
      </c>
      <c r="S12" s="245">
        <v>0</v>
      </c>
      <c r="T12" s="245">
        <v>0.333334</v>
      </c>
      <c r="U12" s="245">
        <v>0</v>
      </c>
      <c r="V12" s="245">
        <v>9</v>
      </c>
    </row>
    <row r="13" ht="23.1" customHeight="1" spans="1:22">
      <c r="A13" s="245">
        <v>2110</v>
      </c>
      <c r="B13" s="245">
        <v>1137</v>
      </c>
      <c r="C13" s="245">
        <v>10</v>
      </c>
      <c r="D13" s="245">
        <v>0</v>
      </c>
      <c r="E13" s="245">
        <v>0</v>
      </c>
      <c r="F13" s="245">
        <v>0</v>
      </c>
      <c r="G13" s="245">
        <v>0</v>
      </c>
      <c r="H13" s="245">
        <v>10000</v>
      </c>
      <c r="I13" s="245">
        <v>0</v>
      </c>
      <c r="J13" s="245">
        <v>0</v>
      </c>
      <c r="K13" s="247">
        <v>0</v>
      </c>
      <c r="L13" s="245">
        <v>0</v>
      </c>
      <c r="M13" s="245">
        <v>0</v>
      </c>
      <c r="N13" s="249">
        <v>0</v>
      </c>
      <c r="O13" s="245">
        <v>0</v>
      </c>
      <c r="P13" s="245">
        <v>0</v>
      </c>
      <c r="Q13" s="251">
        <v>0</v>
      </c>
      <c r="R13" s="245">
        <v>0</v>
      </c>
      <c r="S13" s="245">
        <v>0</v>
      </c>
      <c r="T13" s="245">
        <v>0.333334</v>
      </c>
      <c r="U13" s="245">
        <v>0</v>
      </c>
      <c r="V13" s="245">
        <v>10</v>
      </c>
    </row>
    <row r="14" ht="23.1" customHeight="1" spans="1:22">
      <c r="A14" s="245">
        <v>2111</v>
      </c>
      <c r="B14" s="245">
        <v>1137</v>
      </c>
      <c r="C14" s="245">
        <v>10</v>
      </c>
      <c r="D14" s="245">
        <v>0</v>
      </c>
      <c r="E14" s="245">
        <v>0</v>
      </c>
      <c r="F14" s="245">
        <v>0</v>
      </c>
      <c r="G14" s="245">
        <v>0</v>
      </c>
      <c r="H14" s="245">
        <v>10000</v>
      </c>
      <c r="I14" s="245">
        <v>0</v>
      </c>
      <c r="J14" s="245">
        <v>0</v>
      </c>
      <c r="K14" s="247">
        <v>0</v>
      </c>
      <c r="L14" s="245">
        <v>0</v>
      </c>
      <c r="M14" s="245">
        <v>0</v>
      </c>
      <c r="N14" s="249">
        <v>0</v>
      </c>
      <c r="O14" s="245">
        <v>0</v>
      </c>
      <c r="P14" s="245">
        <v>0</v>
      </c>
      <c r="Q14" s="251">
        <v>0</v>
      </c>
      <c r="R14" s="245">
        <v>0</v>
      </c>
      <c r="S14" s="245">
        <v>0</v>
      </c>
      <c r="T14" s="245">
        <v>0.333334</v>
      </c>
      <c r="U14" s="245">
        <v>0</v>
      </c>
      <c r="V14" s="245">
        <v>11</v>
      </c>
    </row>
    <row r="15" ht="23.1" customHeight="1" spans="1:22">
      <c r="A15" s="245">
        <v>2112</v>
      </c>
      <c r="B15" s="245">
        <v>1137</v>
      </c>
      <c r="C15" s="245">
        <v>14</v>
      </c>
      <c r="D15" s="245">
        <v>0</v>
      </c>
      <c r="E15" s="245">
        <v>0</v>
      </c>
      <c r="F15" s="245">
        <v>0</v>
      </c>
      <c r="G15" s="245">
        <v>0</v>
      </c>
      <c r="H15" s="245">
        <v>10000</v>
      </c>
      <c r="I15" s="245">
        <v>0</v>
      </c>
      <c r="J15" s="245">
        <v>0</v>
      </c>
      <c r="K15" s="247">
        <v>0</v>
      </c>
      <c r="L15" s="245">
        <v>0</v>
      </c>
      <c r="M15" s="245">
        <v>0</v>
      </c>
      <c r="N15" s="249">
        <v>0</v>
      </c>
      <c r="O15" s="245">
        <v>0</v>
      </c>
      <c r="P15" s="245">
        <v>0</v>
      </c>
      <c r="Q15" s="251">
        <v>0</v>
      </c>
      <c r="R15" s="245">
        <v>0</v>
      </c>
      <c r="S15" s="245">
        <v>0</v>
      </c>
      <c r="T15" s="245">
        <v>0.333334</v>
      </c>
      <c r="U15" s="245">
        <v>0</v>
      </c>
      <c r="V15" s="245">
        <v>12</v>
      </c>
    </row>
    <row r="16" ht="23.1" customHeight="1" spans="1:22">
      <c r="A16" s="245">
        <v>2113</v>
      </c>
      <c r="B16" s="245">
        <v>1137</v>
      </c>
      <c r="C16" s="245">
        <v>16</v>
      </c>
      <c r="D16" s="245">
        <v>0</v>
      </c>
      <c r="E16" s="245">
        <v>0</v>
      </c>
      <c r="F16" s="245">
        <v>0</v>
      </c>
      <c r="G16" s="245">
        <v>0</v>
      </c>
      <c r="H16" s="245">
        <v>10000</v>
      </c>
      <c r="I16" s="245">
        <v>0</v>
      </c>
      <c r="J16" s="245">
        <v>0</v>
      </c>
      <c r="K16" s="247">
        <v>0</v>
      </c>
      <c r="L16" s="245">
        <v>0</v>
      </c>
      <c r="M16" s="245">
        <v>0</v>
      </c>
      <c r="N16" s="249">
        <v>0</v>
      </c>
      <c r="O16" s="245">
        <v>0</v>
      </c>
      <c r="P16" s="245">
        <v>0</v>
      </c>
      <c r="Q16" s="251">
        <v>0</v>
      </c>
      <c r="R16" s="245">
        <v>0</v>
      </c>
      <c r="S16" s="245">
        <v>0</v>
      </c>
      <c r="T16" s="245">
        <v>0.333334</v>
      </c>
      <c r="U16" s="245">
        <v>0</v>
      </c>
      <c r="V16" s="245">
        <v>13</v>
      </c>
    </row>
    <row r="17" ht="23.1" customHeight="1" spans="1:22">
      <c r="A17" s="245">
        <v>2114</v>
      </c>
      <c r="B17" s="245">
        <v>1137</v>
      </c>
      <c r="C17" s="245">
        <v>20</v>
      </c>
      <c r="D17" s="245">
        <v>0</v>
      </c>
      <c r="E17" s="245">
        <v>0</v>
      </c>
      <c r="F17" s="245">
        <v>0</v>
      </c>
      <c r="G17" s="245">
        <v>0</v>
      </c>
      <c r="H17" s="245">
        <v>10000</v>
      </c>
      <c r="I17" s="245">
        <v>0</v>
      </c>
      <c r="J17" s="245">
        <v>0</v>
      </c>
      <c r="K17" s="247">
        <v>0</v>
      </c>
      <c r="L17" s="245">
        <v>0</v>
      </c>
      <c r="M17" s="245">
        <v>0</v>
      </c>
      <c r="N17" s="249">
        <v>0</v>
      </c>
      <c r="O17" s="245">
        <v>0</v>
      </c>
      <c r="P17" s="245">
        <v>0</v>
      </c>
      <c r="Q17" s="251">
        <v>0</v>
      </c>
      <c r="R17" s="245">
        <v>0</v>
      </c>
      <c r="S17" s="245">
        <v>0</v>
      </c>
      <c r="T17" s="245">
        <v>0.333334</v>
      </c>
      <c r="U17" s="245">
        <v>0</v>
      </c>
      <c r="V17" s="245">
        <v>14</v>
      </c>
    </row>
    <row r="18" ht="23.1" customHeight="1" spans="1:22">
      <c r="A18" s="245">
        <v>2115</v>
      </c>
      <c r="B18" s="245">
        <v>1137</v>
      </c>
      <c r="C18" s="245">
        <v>24</v>
      </c>
      <c r="D18" s="245">
        <v>0</v>
      </c>
      <c r="E18" s="245">
        <v>0</v>
      </c>
      <c r="F18" s="245">
        <v>0</v>
      </c>
      <c r="G18" s="245">
        <v>0</v>
      </c>
      <c r="H18" s="245">
        <v>10000</v>
      </c>
      <c r="I18" s="245">
        <v>0</v>
      </c>
      <c r="J18" s="245">
        <v>0</v>
      </c>
      <c r="K18" s="247">
        <v>0</v>
      </c>
      <c r="L18" s="245">
        <v>0</v>
      </c>
      <c r="M18" s="245">
        <v>0</v>
      </c>
      <c r="N18" s="249">
        <v>0</v>
      </c>
      <c r="O18" s="245">
        <v>0</v>
      </c>
      <c r="P18" s="245">
        <v>0</v>
      </c>
      <c r="Q18" s="251">
        <v>0</v>
      </c>
      <c r="R18" s="245">
        <v>0</v>
      </c>
      <c r="S18" s="245">
        <v>0</v>
      </c>
      <c r="T18" s="245">
        <v>0.333334</v>
      </c>
      <c r="U18" s="245">
        <v>0</v>
      </c>
      <c r="V18" s="245">
        <v>15</v>
      </c>
    </row>
    <row r="19" ht="23.1" customHeight="1" spans="1:22">
      <c r="A19" s="245">
        <v>2116</v>
      </c>
      <c r="B19" s="245">
        <v>1137</v>
      </c>
      <c r="C19" s="245">
        <v>30</v>
      </c>
      <c r="D19" s="245">
        <v>0</v>
      </c>
      <c r="E19" s="245">
        <v>0</v>
      </c>
      <c r="F19" s="245">
        <v>0</v>
      </c>
      <c r="G19" s="245">
        <v>0</v>
      </c>
      <c r="H19" s="245">
        <v>10000</v>
      </c>
      <c r="I19" s="245">
        <v>0</v>
      </c>
      <c r="J19" s="245">
        <v>0</v>
      </c>
      <c r="K19" s="247">
        <v>0</v>
      </c>
      <c r="L19" s="245">
        <v>0</v>
      </c>
      <c r="M19" s="245">
        <v>0</v>
      </c>
      <c r="N19" s="249">
        <v>0</v>
      </c>
      <c r="O19" s="245">
        <v>0</v>
      </c>
      <c r="P19" s="245">
        <v>0</v>
      </c>
      <c r="Q19" s="251">
        <v>0</v>
      </c>
      <c r="R19" s="245">
        <v>0</v>
      </c>
      <c r="S19" s="245">
        <v>0</v>
      </c>
      <c r="T19" s="245">
        <v>0.333334</v>
      </c>
      <c r="U19" s="245">
        <v>0</v>
      </c>
      <c r="V19" s="245">
        <v>16</v>
      </c>
    </row>
    <row r="20" ht="23.1" customHeight="1" spans="1:22">
      <c r="A20" s="245">
        <v>2117</v>
      </c>
      <c r="B20" s="245">
        <v>1137</v>
      </c>
      <c r="C20" s="245">
        <v>40</v>
      </c>
      <c r="D20" s="245">
        <v>0</v>
      </c>
      <c r="E20" s="245">
        <v>0</v>
      </c>
      <c r="F20" s="245">
        <v>0</v>
      </c>
      <c r="G20" s="245">
        <v>0</v>
      </c>
      <c r="H20" s="245">
        <v>10000</v>
      </c>
      <c r="I20" s="245">
        <v>0</v>
      </c>
      <c r="J20" s="245">
        <v>0</v>
      </c>
      <c r="K20" s="247">
        <v>0</v>
      </c>
      <c r="L20" s="245">
        <v>0</v>
      </c>
      <c r="M20" s="245">
        <v>0</v>
      </c>
      <c r="N20" s="249">
        <v>0</v>
      </c>
      <c r="O20" s="245">
        <v>0</v>
      </c>
      <c r="P20" s="245">
        <v>0</v>
      </c>
      <c r="Q20" s="251">
        <v>0</v>
      </c>
      <c r="R20" s="245">
        <v>0</v>
      </c>
      <c r="S20" s="245">
        <v>0</v>
      </c>
      <c r="T20" s="245">
        <v>0.333334</v>
      </c>
      <c r="U20" s="245">
        <v>0</v>
      </c>
      <c r="V20" s="245">
        <v>17</v>
      </c>
    </row>
    <row r="21" ht="23.1" customHeight="1" spans="1:22">
      <c r="A21" s="245">
        <v>2118</v>
      </c>
      <c r="B21" s="245">
        <v>1137</v>
      </c>
      <c r="C21" s="245">
        <v>50</v>
      </c>
      <c r="D21" s="245">
        <v>0</v>
      </c>
      <c r="E21" s="245">
        <v>0</v>
      </c>
      <c r="F21" s="245">
        <v>0</v>
      </c>
      <c r="G21" s="245">
        <v>0</v>
      </c>
      <c r="H21" s="245">
        <v>10000</v>
      </c>
      <c r="I21" s="245">
        <v>0</v>
      </c>
      <c r="J21" s="245">
        <v>0</v>
      </c>
      <c r="K21" s="247">
        <v>0</v>
      </c>
      <c r="L21" s="245">
        <v>0</v>
      </c>
      <c r="M21" s="245">
        <v>0</v>
      </c>
      <c r="N21" s="249">
        <v>0</v>
      </c>
      <c r="O21" s="245">
        <v>0</v>
      </c>
      <c r="P21" s="245">
        <v>0</v>
      </c>
      <c r="Q21" s="251">
        <v>0</v>
      </c>
      <c r="R21" s="245">
        <v>0</v>
      </c>
      <c r="S21" s="245">
        <v>0</v>
      </c>
      <c r="T21" s="245">
        <v>0.333334</v>
      </c>
      <c r="U21" s="245">
        <v>0</v>
      </c>
      <c r="V21" s="245">
        <v>18</v>
      </c>
    </row>
    <row r="22" ht="23.1" customHeight="1" spans="1:22">
      <c r="A22" s="245">
        <v>2119</v>
      </c>
      <c r="B22" s="245">
        <v>1137</v>
      </c>
      <c r="C22" s="245">
        <v>60</v>
      </c>
      <c r="D22" s="245">
        <v>0</v>
      </c>
      <c r="E22" s="245">
        <v>0</v>
      </c>
      <c r="F22" s="245">
        <v>0</v>
      </c>
      <c r="G22" s="245">
        <v>0</v>
      </c>
      <c r="H22" s="245">
        <v>10000</v>
      </c>
      <c r="I22" s="245">
        <v>0</v>
      </c>
      <c r="J22" s="245">
        <v>0</v>
      </c>
      <c r="K22" s="247">
        <v>0</v>
      </c>
      <c r="L22" s="245">
        <v>0</v>
      </c>
      <c r="M22" s="245">
        <v>0</v>
      </c>
      <c r="N22" s="249">
        <v>0</v>
      </c>
      <c r="O22" s="245">
        <v>0</v>
      </c>
      <c r="P22" s="245">
        <v>0</v>
      </c>
      <c r="Q22" s="251">
        <v>0</v>
      </c>
      <c r="R22" s="245">
        <v>0</v>
      </c>
      <c r="S22" s="245">
        <v>0</v>
      </c>
      <c r="T22" s="245">
        <v>0.333334</v>
      </c>
      <c r="U22" s="245">
        <v>0</v>
      </c>
      <c r="V22" s="245">
        <v>19</v>
      </c>
    </row>
    <row r="23" ht="23.1" customHeight="1" spans="1:22">
      <c r="A23" s="245">
        <v>2120</v>
      </c>
      <c r="B23" s="245">
        <v>1137</v>
      </c>
      <c r="C23" s="245">
        <v>80</v>
      </c>
      <c r="D23" s="245">
        <v>0</v>
      </c>
      <c r="E23" s="245">
        <v>0</v>
      </c>
      <c r="F23" s="245">
        <v>0</v>
      </c>
      <c r="G23" s="245">
        <v>0</v>
      </c>
      <c r="H23" s="245">
        <v>10000</v>
      </c>
      <c r="I23" s="245">
        <v>0</v>
      </c>
      <c r="J23" s="245">
        <v>0</v>
      </c>
      <c r="K23" s="247">
        <v>0</v>
      </c>
      <c r="L23" s="245">
        <v>0</v>
      </c>
      <c r="M23" s="245">
        <v>0</v>
      </c>
      <c r="N23" s="249">
        <v>0</v>
      </c>
      <c r="O23" s="245">
        <v>0</v>
      </c>
      <c r="P23" s="245">
        <v>0</v>
      </c>
      <c r="Q23" s="251">
        <v>0</v>
      </c>
      <c r="R23" s="245">
        <v>0</v>
      </c>
      <c r="S23" s="245">
        <v>0</v>
      </c>
      <c r="T23" s="245">
        <v>0.333334</v>
      </c>
      <c r="U23" s="245">
        <v>0.01</v>
      </c>
      <c r="V23" s="245">
        <v>20</v>
      </c>
    </row>
    <row r="24" ht="23.1" customHeight="1" spans="1:22">
      <c r="A24" s="245">
        <v>2121</v>
      </c>
      <c r="B24" s="245">
        <v>1137</v>
      </c>
      <c r="C24" s="245">
        <v>100</v>
      </c>
      <c r="D24" s="245">
        <v>0</v>
      </c>
      <c r="E24" s="245">
        <v>0</v>
      </c>
      <c r="F24" s="245">
        <v>0</v>
      </c>
      <c r="G24" s="245">
        <v>0</v>
      </c>
      <c r="H24" s="245">
        <v>10000</v>
      </c>
      <c r="I24" s="245">
        <v>0</v>
      </c>
      <c r="J24" s="245">
        <v>0</v>
      </c>
      <c r="K24" s="247">
        <v>0</v>
      </c>
      <c r="L24" s="245">
        <v>0</v>
      </c>
      <c r="M24" s="245">
        <v>0</v>
      </c>
      <c r="N24" s="249">
        <v>0</v>
      </c>
      <c r="O24" s="245">
        <v>0</v>
      </c>
      <c r="P24" s="245">
        <v>0</v>
      </c>
      <c r="Q24" s="251">
        <v>0</v>
      </c>
      <c r="R24" s="245">
        <v>0</v>
      </c>
      <c r="S24" s="245">
        <v>0</v>
      </c>
      <c r="T24" s="245">
        <v>0.333334</v>
      </c>
      <c r="U24" s="245">
        <v>0.01</v>
      </c>
      <c r="V24" s="245">
        <v>21</v>
      </c>
    </row>
    <row r="25" ht="23.1" customHeight="1" spans="1:22">
      <c r="A25" s="245">
        <v>2122</v>
      </c>
      <c r="B25" s="245">
        <v>1137</v>
      </c>
      <c r="C25" s="245">
        <v>120</v>
      </c>
      <c r="D25" s="245">
        <v>0</v>
      </c>
      <c r="E25" s="245">
        <v>0</v>
      </c>
      <c r="F25" s="245">
        <v>0</v>
      </c>
      <c r="G25" s="245">
        <v>0</v>
      </c>
      <c r="H25" s="245">
        <v>10000</v>
      </c>
      <c r="I25" s="245">
        <v>0</v>
      </c>
      <c r="J25" s="245">
        <v>0</v>
      </c>
      <c r="K25" s="247">
        <v>0</v>
      </c>
      <c r="L25" s="245">
        <v>0</v>
      </c>
      <c r="M25" s="245">
        <v>0</v>
      </c>
      <c r="N25" s="249">
        <v>0</v>
      </c>
      <c r="O25" s="245">
        <v>0</v>
      </c>
      <c r="P25" s="245">
        <v>0</v>
      </c>
      <c r="Q25" s="251">
        <v>0</v>
      </c>
      <c r="R25" s="245">
        <v>0</v>
      </c>
      <c r="S25" s="245">
        <v>0</v>
      </c>
      <c r="T25" s="245">
        <v>0.333334</v>
      </c>
      <c r="U25" s="245">
        <v>0.01</v>
      </c>
      <c r="V25" s="245">
        <v>22</v>
      </c>
    </row>
    <row r="26" ht="23.1" customHeight="1" spans="1:22">
      <c r="A26" s="245">
        <v>2123</v>
      </c>
      <c r="B26" s="245">
        <v>1137</v>
      </c>
      <c r="C26" s="245">
        <v>140</v>
      </c>
      <c r="D26" s="245">
        <v>0</v>
      </c>
      <c r="E26" s="245">
        <v>0</v>
      </c>
      <c r="F26" s="245">
        <v>0</v>
      </c>
      <c r="G26" s="245">
        <v>0</v>
      </c>
      <c r="H26" s="245">
        <v>10000</v>
      </c>
      <c r="I26" s="245">
        <v>0</v>
      </c>
      <c r="J26" s="245">
        <v>0</v>
      </c>
      <c r="K26" s="247">
        <v>0</v>
      </c>
      <c r="L26" s="245">
        <v>0</v>
      </c>
      <c r="M26" s="245">
        <v>0</v>
      </c>
      <c r="N26" s="249">
        <v>0</v>
      </c>
      <c r="O26" s="245">
        <v>0</v>
      </c>
      <c r="P26" s="245">
        <v>0</v>
      </c>
      <c r="Q26" s="251">
        <v>0</v>
      </c>
      <c r="R26" s="245">
        <v>0</v>
      </c>
      <c r="S26" s="245">
        <v>0</v>
      </c>
      <c r="T26" s="245">
        <v>0.333334</v>
      </c>
      <c r="U26" s="245">
        <v>0.01</v>
      </c>
      <c r="V26" s="245">
        <v>23</v>
      </c>
    </row>
    <row r="27" ht="23.1" customHeight="1" spans="1:22">
      <c r="A27" s="245">
        <v>2124</v>
      </c>
      <c r="B27" s="245">
        <v>1137</v>
      </c>
      <c r="C27" s="245">
        <v>160</v>
      </c>
      <c r="D27" s="245">
        <v>0</v>
      </c>
      <c r="E27" s="245">
        <v>0</v>
      </c>
      <c r="F27" s="245">
        <v>0</v>
      </c>
      <c r="G27" s="245">
        <v>0</v>
      </c>
      <c r="H27" s="245">
        <v>10000</v>
      </c>
      <c r="I27" s="245">
        <v>0</v>
      </c>
      <c r="J27" s="245">
        <v>0</v>
      </c>
      <c r="K27" s="247">
        <v>0</v>
      </c>
      <c r="L27" s="245">
        <v>0</v>
      </c>
      <c r="M27" s="245">
        <v>0</v>
      </c>
      <c r="N27" s="249">
        <v>0</v>
      </c>
      <c r="O27" s="245">
        <v>0</v>
      </c>
      <c r="P27" s="245">
        <v>0</v>
      </c>
      <c r="Q27" s="251">
        <v>0</v>
      </c>
      <c r="R27" s="245">
        <v>0</v>
      </c>
      <c r="S27" s="245">
        <v>0</v>
      </c>
      <c r="T27" s="245">
        <v>0.333334</v>
      </c>
      <c r="U27" s="245">
        <v>0.01</v>
      </c>
      <c r="V27" s="245">
        <v>24</v>
      </c>
    </row>
    <row r="28" ht="23.1" customHeight="1" spans="1:22">
      <c r="A28" s="245">
        <v>2125</v>
      </c>
      <c r="B28" s="245">
        <v>1137</v>
      </c>
      <c r="C28" s="245">
        <v>180</v>
      </c>
      <c r="D28" s="245">
        <v>0</v>
      </c>
      <c r="E28" s="245">
        <v>0</v>
      </c>
      <c r="F28" s="245">
        <v>0</v>
      </c>
      <c r="G28" s="245">
        <v>0</v>
      </c>
      <c r="H28" s="245">
        <v>10000</v>
      </c>
      <c r="I28" s="245">
        <v>0</v>
      </c>
      <c r="J28" s="245">
        <v>0</v>
      </c>
      <c r="K28" s="247">
        <v>0</v>
      </c>
      <c r="L28" s="245">
        <v>0</v>
      </c>
      <c r="M28" s="245">
        <v>0</v>
      </c>
      <c r="N28" s="249">
        <v>0</v>
      </c>
      <c r="O28" s="245">
        <v>0</v>
      </c>
      <c r="P28" s="245">
        <v>0</v>
      </c>
      <c r="Q28" s="251">
        <v>0</v>
      </c>
      <c r="R28" s="245">
        <v>0</v>
      </c>
      <c r="S28" s="245">
        <v>0</v>
      </c>
      <c r="T28" s="245">
        <v>0.333334</v>
      </c>
      <c r="U28" s="245">
        <v>0.02</v>
      </c>
      <c r="V28" s="245">
        <v>25</v>
      </c>
    </row>
    <row r="29" ht="23.1" customHeight="1" spans="1:22">
      <c r="A29" s="245">
        <v>2126</v>
      </c>
      <c r="B29" s="245">
        <v>1137</v>
      </c>
      <c r="C29" s="245">
        <v>10</v>
      </c>
      <c r="D29" s="245">
        <v>1429</v>
      </c>
      <c r="E29" s="245">
        <v>0</v>
      </c>
      <c r="F29" s="245">
        <v>1430</v>
      </c>
      <c r="G29" s="245">
        <v>10</v>
      </c>
      <c r="H29" s="245">
        <v>9000</v>
      </c>
      <c r="I29" s="245">
        <v>1431</v>
      </c>
      <c r="J29" s="245">
        <v>2</v>
      </c>
      <c r="K29" s="247">
        <v>1431</v>
      </c>
      <c r="L29" s="245">
        <v>1</v>
      </c>
      <c r="M29" s="245">
        <v>3000</v>
      </c>
      <c r="N29" s="249">
        <v>1431</v>
      </c>
      <c r="O29" s="245">
        <v>2</v>
      </c>
      <c r="P29" s="245">
        <v>4000</v>
      </c>
      <c r="Q29" s="251">
        <v>1431</v>
      </c>
      <c r="R29" s="245">
        <v>2</v>
      </c>
      <c r="S29" s="245">
        <v>3000</v>
      </c>
      <c r="T29" s="245">
        <v>0.333334</v>
      </c>
      <c r="U29" s="245">
        <v>0.02</v>
      </c>
      <c r="V29" s="245">
        <v>26</v>
      </c>
    </row>
    <row r="30" ht="23.1" customHeight="1" spans="1:22">
      <c r="A30" s="245">
        <v>2127</v>
      </c>
      <c r="B30" s="245">
        <v>1137</v>
      </c>
      <c r="C30" s="245">
        <v>20</v>
      </c>
      <c r="D30" s="245">
        <v>1429</v>
      </c>
      <c r="E30" s="245">
        <v>10</v>
      </c>
      <c r="F30" s="245">
        <v>1430</v>
      </c>
      <c r="G30" s="245">
        <v>10</v>
      </c>
      <c r="H30" s="245">
        <v>8000</v>
      </c>
      <c r="I30" s="245">
        <v>1431</v>
      </c>
      <c r="J30" s="245">
        <v>3</v>
      </c>
      <c r="K30" s="247">
        <v>1431</v>
      </c>
      <c r="L30" s="245">
        <v>1</v>
      </c>
      <c r="M30" s="245">
        <v>3000</v>
      </c>
      <c r="N30" s="249">
        <v>1431</v>
      </c>
      <c r="O30" s="245">
        <v>2</v>
      </c>
      <c r="P30" s="245">
        <v>4000</v>
      </c>
      <c r="Q30" s="251">
        <v>1431</v>
      </c>
      <c r="R30" s="245">
        <v>3</v>
      </c>
      <c r="S30" s="245">
        <v>3000</v>
      </c>
      <c r="T30" s="245">
        <v>0.333334</v>
      </c>
      <c r="U30" s="245">
        <v>0.02</v>
      </c>
      <c r="V30" s="245">
        <v>27</v>
      </c>
    </row>
    <row r="31" ht="23.1" customHeight="1" spans="1:22">
      <c r="A31" s="245">
        <v>2128</v>
      </c>
      <c r="B31" s="245">
        <v>1137</v>
      </c>
      <c r="C31" s="245">
        <v>30</v>
      </c>
      <c r="D31" s="245">
        <v>1429</v>
      </c>
      <c r="E31" s="245">
        <v>10</v>
      </c>
      <c r="F31" s="245">
        <v>1430</v>
      </c>
      <c r="G31" s="245">
        <v>10</v>
      </c>
      <c r="H31" s="245">
        <v>6000</v>
      </c>
      <c r="I31" s="245">
        <v>1431</v>
      </c>
      <c r="J31" s="245">
        <v>4</v>
      </c>
      <c r="K31" s="247">
        <v>1431</v>
      </c>
      <c r="L31" s="245">
        <v>1</v>
      </c>
      <c r="M31" s="245">
        <v>3000</v>
      </c>
      <c r="N31" s="249">
        <v>1431</v>
      </c>
      <c r="O31" s="245">
        <v>2</v>
      </c>
      <c r="P31" s="245">
        <v>4000</v>
      </c>
      <c r="Q31" s="251">
        <v>1431</v>
      </c>
      <c r="R31" s="245">
        <v>3</v>
      </c>
      <c r="S31" s="245">
        <v>3000</v>
      </c>
      <c r="T31" s="245">
        <v>0.333334</v>
      </c>
      <c r="U31" s="245">
        <v>0.02</v>
      </c>
      <c r="V31" s="245">
        <v>28</v>
      </c>
    </row>
    <row r="32" ht="23.1" customHeight="1" spans="1:22">
      <c r="A32" s="245">
        <v>2129</v>
      </c>
      <c r="B32" s="245">
        <v>1137</v>
      </c>
      <c r="C32" s="245">
        <v>100</v>
      </c>
      <c r="D32" s="245">
        <v>1429</v>
      </c>
      <c r="E32" s="245">
        <v>10</v>
      </c>
      <c r="F32" s="245">
        <v>1430</v>
      </c>
      <c r="G32" s="245">
        <v>10</v>
      </c>
      <c r="H32" s="245">
        <v>4000</v>
      </c>
      <c r="I32" s="245">
        <v>1431</v>
      </c>
      <c r="J32" s="245">
        <v>5</v>
      </c>
      <c r="K32" s="247">
        <v>1431</v>
      </c>
      <c r="L32" s="245">
        <v>1</v>
      </c>
      <c r="M32" s="245">
        <v>3000</v>
      </c>
      <c r="N32" s="249">
        <v>1431</v>
      </c>
      <c r="O32" s="245">
        <v>2</v>
      </c>
      <c r="P32" s="245">
        <v>4000</v>
      </c>
      <c r="Q32" s="251">
        <v>1431</v>
      </c>
      <c r="R32" s="245">
        <v>3</v>
      </c>
      <c r="S32" s="245">
        <v>3000</v>
      </c>
      <c r="T32" s="245">
        <v>0.333334</v>
      </c>
      <c r="U32" s="245">
        <v>0.02</v>
      </c>
      <c r="V32" s="245">
        <v>29</v>
      </c>
    </row>
    <row r="33" ht="23.1" customHeight="1" spans="1:22">
      <c r="A33" s="245">
        <v>2130</v>
      </c>
      <c r="B33" s="245">
        <v>1137</v>
      </c>
      <c r="C33" s="245">
        <v>200</v>
      </c>
      <c r="D33" s="245">
        <v>1429</v>
      </c>
      <c r="E33" s="245">
        <v>15</v>
      </c>
      <c r="F33" s="245">
        <v>1430</v>
      </c>
      <c r="G33" s="245">
        <v>15</v>
      </c>
      <c r="H33" s="245">
        <v>2500</v>
      </c>
      <c r="I33" s="245">
        <v>1431</v>
      </c>
      <c r="J33" s="245">
        <v>10</v>
      </c>
      <c r="K33" s="247">
        <v>1431</v>
      </c>
      <c r="L33" s="245">
        <v>2</v>
      </c>
      <c r="M33" s="245">
        <v>3000</v>
      </c>
      <c r="N33" s="249">
        <v>1431</v>
      </c>
      <c r="O33" s="245">
        <v>3</v>
      </c>
      <c r="P33" s="245">
        <v>4000</v>
      </c>
      <c r="Q33" s="251">
        <v>1431</v>
      </c>
      <c r="R33" s="245">
        <v>4</v>
      </c>
      <c r="S33" s="245">
        <v>3000</v>
      </c>
      <c r="T33" s="245">
        <v>0.333334</v>
      </c>
      <c r="U33" s="245">
        <v>0.05</v>
      </c>
      <c r="V33" s="245">
        <v>30</v>
      </c>
    </row>
    <row r="34" ht="23.1" customHeight="1" spans="1:22">
      <c r="A34" s="245">
        <v>2131</v>
      </c>
      <c r="B34" s="245">
        <v>1137</v>
      </c>
      <c r="C34" s="245">
        <v>300</v>
      </c>
      <c r="D34" s="245">
        <v>1429</v>
      </c>
      <c r="E34" s="245">
        <v>15</v>
      </c>
      <c r="F34" s="245">
        <v>1430</v>
      </c>
      <c r="G34" s="245">
        <v>15</v>
      </c>
      <c r="H34" s="245">
        <v>2000</v>
      </c>
      <c r="I34" s="245">
        <v>1431</v>
      </c>
      <c r="J34" s="245">
        <v>15</v>
      </c>
      <c r="K34" s="247">
        <v>1431</v>
      </c>
      <c r="L34" s="245">
        <v>2</v>
      </c>
      <c r="M34" s="245">
        <v>3000</v>
      </c>
      <c r="N34" s="249">
        <v>1431</v>
      </c>
      <c r="O34" s="245">
        <v>3</v>
      </c>
      <c r="P34" s="245">
        <v>4000</v>
      </c>
      <c r="Q34" s="251">
        <v>1431</v>
      </c>
      <c r="R34" s="245">
        <v>4</v>
      </c>
      <c r="S34" s="245">
        <v>3000</v>
      </c>
      <c r="T34" s="245">
        <v>0.333334</v>
      </c>
      <c r="U34" s="245">
        <v>0.05</v>
      </c>
      <c r="V34" s="245">
        <v>31</v>
      </c>
    </row>
    <row r="35" ht="23.1" customHeight="1" spans="1:22">
      <c r="A35" s="245">
        <v>2132</v>
      </c>
      <c r="B35" s="245">
        <v>1137</v>
      </c>
      <c r="C35" s="245">
        <v>300</v>
      </c>
      <c r="D35" s="245">
        <v>1429</v>
      </c>
      <c r="E35" s="245">
        <v>15</v>
      </c>
      <c r="F35" s="245">
        <v>1430</v>
      </c>
      <c r="G35" s="245">
        <v>15</v>
      </c>
      <c r="H35" s="245">
        <v>1500</v>
      </c>
      <c r="I35" s="245">
        <v>1431</v>
      </c>
      <c r="J35" s="245">
        <v>20</v>
      </c>
      <c r="K35" s="247">
        <v>1431</v>
      </c>
      <c r="L35" s="245">
        <v>2</v>
      </c>
      <c r="M35" s="245">
        <v>3000</v>
      </c>
      <c r="N35" s="249">
        <v>1431</v>
      </c>
      <c r="O35" s="245">
        <v>3</v>
      </c>
      <c r="P35" s="245">
        <v>4000</v>
      </c>
      <c r="Q35" s="251">
        <v>1431</v>
      </c>
      <c r="R35" s="245">
        <v>4</v>
      </c>
      <c r="S35" s="245">
        <v>3000</v>
      </c>
      <c r="T35" s="245">
        <v>0.333334</v>
      </c>
      <c r="U35" s="245">
        <v>0.05</v>
      </c>
      <c r="V35" s="245">
        <v>32</v>
      </c>
    </row>
    <row r="36" ht="23.1" customHeight="1" spans="1:22">
      <c r="A36" s="245">
        <v>2133</v>
      </c>
      <c r="B36" s="245">
        <v>1137</v>
      </c>
      <c r="C36" s="245">
        <v>350</v>
      </c>
      <c r="D36" s="245">
        <v>1429</v>
      </c>
      <c r="E36" s="245">
        <v>15</v>
      </c>
      <c r="F36" s="245">
        <v>1430</v>
      </c>
      <c r="G36" s="245">
        <v>15</v>
      </c>
      <c r="H36" s="245">
        <v>1000</v>
      </c>
      <c r="I36" s="245">
        <v>1431</v>
      </c>
      <c r="J36" s="245">
        <v>30</v>
      </c>
      <c r="K36" s="247">
        <v>1431</v>
      </c>
      <c r="L36" s="245">
        <v>2</v>
      </c>
      <c r="M36" s="245">
        <v>3000</v>
      </c>
      <c r="N36" s="249">
        <v>1431</v>
      </c>
      <c r="O36" s="245">
        <v>3</v>
      </c>
      <c r="P36" s="245">
        <v>4000</v>
      </c>
      <c r="Q36" s="251">
        <v>1431</v>
      </c>
      <c r="R36" s="245">
        <v>4</v>
      </c>
      <c r="S36" s="245">
        <v>3000</v>
      </c>
      <c r="T36" s="245">
        <v>0.333334</v>
      </c>
      <c r="U36" s="245">
        <v>0.05</v>
      </c>
      <c r="V36" s="245">
        <v>33</v>
      </c>
    </row>
    <row r="37" ht="23.1" customHeight="1" spans="1:22">
      <c r="A37" s="245">
        <v>2134</v>
      </c>
      <c r="B37" s="245">
        <v>1137</v>
      </c>
      <c r="C37" s="245">
        <v>350</v>
      </c>
      <c r="D37" s="245">
        <v>1429</v>
      </c>
      <c r="E37" s="245">
        <v>15</v>
      </c>
      <c r="F37" s="245">
        <v>1430</v>
      </c>
      <c r="G37" s="245">
        <v>15</v>
      </c>
      <c r="H37" s="245">
        <v>800</v>
      </c>
      <c r="I37" s="245">
        <v>1431</v>
      </c>
      <c r="J37" s="245">
        <v>40</v>
      </c>
      <c r="K37" s="247">
        <v>1431</v>
      </c>
      <c r="L37" s="245">
        <v>2</v>
      </c>
      <c r="M37" s="245">
        <v>3000</v>
      </c>
      <c r="N37" s="249">
        <v>1431</v>
      </c>
      <c r="O37" s="245">
        <v>3</v>
      </c>
      <c r="P37" s="245">
        <v>4000</v>
      </c>
      <c r="Q37" s="251">
        <v>1431</v>
      </c>
      <c r="R37" s="245">
        <v>4</v>
      </c>
      <c r="S37" s="245">
        <v>3000</v>
      </c>
      <c r="T37" s="245">
        <v>0.333334</v>
      </c>
      <c r="U37" s="245">
        <v>0.05</v>
      </c>
      <c r="V37" s="245">
        <v>34</v>
      </c>
    </row>
    <row r="38" ht="23.1" customHeight="1" spans="1:22">
      <c r="A38" s="245">
        <v>2135</v>
      </c>
      <c r="B38" s="245">
        <v>1137</v>
      </c>
      <c r="C38" s="245">
        <v>400</v>
      </c>
      <c r="D38" s="245">
        <v>1429</v>
      </c>
      <c r="E38" s="245">
        <v>20</v>
      </c>
      <c r="F38" s="245">
        <v>1430</v>
      </c>
      <c r="G38" s="245">
        <v>20</v>
      </c>
      <c r="H38" s="245">
        <v>600</v>
      </c>
      <c r="I38" s="245">
        <v>1431</v>
      </c>
      <c r="J38" s="245">
        <v>60</v>
      </c>
      <c r="K38" s="247">
        <v>1431</v>
      </c>
      <c r="L38" s="245">
        <v>3</v>
      </c>
      <c r="M38" s="245">
        <v>3000</v>
      </c>
      <c r="N38" s="249">
        <v>1431</v>
      </c>
      <c r="O38" s="245">
        <v>4</v>
      </c>
      <c r="P38" s="245">
        <v>4000</v>
      </c>
      <c r="Q38" s="251">
        <v>1431</v>
      </c>
      <c r="R38" s="245">
        <v>5</v>
      </c>
      <c r="S38" s="245">
        <v>3000</v>
      </c>
      <c r="T38" s="245">
        <v>0.333334</v>
      </c>
      <c r="U38" s="245">
        <v>0.05</v>
      </c>
      <c r="V38" s="245">
        <v>35</v>
      </c>
    </row>
    <row r="39" ht="23.1" customHeight="1" spans="1:22">
      <c r="A39" s="245">
        <v>2136</v>
      </c>
      <c r="B39" s="245">
        <v>1137</v>
      </c>
      <c r="C39" s="245">
        <v>450</v>
      </c>
      <c r="D39" s="245">
        <v>1429</v>
      </c>
      <c r="E39" s="245">
        <v>20</v>
      </c>
      <c r="F39" s="245">
        <v>1430</v>
      </c>
      <c r="G39" s="245">
        <v>20</v>
      </c>
      <c r="H39" s="245">
        <v>500</v>
      </c>
      <c r="I39" s="245">
        <v>1431</v>
      </c>
      <c r="J39" s="245">
        <v>80</v>
      </c>
      <c r="K39" s="247">
        <v>1431</v>
      </c>
      <c r="L39" s="245">
        <v>3</v>
      </c>
      <c r="M39" s="245">
        <v>3000</v>
      </c>
      <c r="N39" s="249">
        <v>1431</v>
      </c>
      <c r="O39" s="245">
        <v>4</v>
      </c>
      <c r="P39" s="245">
        <v>4000</v>
      </c>
      <c r="Q39" s="251">
        <v>1431</v>
      </c>
      <c r="R39" s="245">
        <v>5</v>
      </c>
      <c r="S39" s="245">
        <v>3000</v>
      </c>
      <c r="T39" s="245">
        <v>0.333334</v>
      </c>
      <c r="U39" s="245">
        <v>0.05</v>
      </c>
      <c r="V39" s="245">
        <v>36</v>
      </c>
    </row>
    <row r="40" ht="23.1" customHeight="1" spans="1:22">
      <c r="A40" s="245">
        <v>2137</v>
      </c>
      <c r="B40" s="245">
        <v>1137</v>
      </c>
      <c r="C40" s="245">
        <v>450</v>
      </c>
      <c r="D40" s="245">
        <v>1429</v>
      </c>
      <c r="E40" s="245">
        <v>20</v>
      </c>
      <c r="F40" s="245">
        <v>1430</v>
      </c>
      <c r="G40" s="245">
        <v>20</v>
      </c>
      <c r="H40" s="245">
        <v>400</v>
      </c>
      <c r="I40" s="245">
        <v>1431</v>
      </c>
      <c r="J40" s="245">
        <v>100</v>
      </c>
      <c r="K40" s="247">
        <v>1431</v>
      </c>
      <c r="L40" s="245">
        <v>3</v>
      </c>
      <c r="M40" s="245">
        <v>3000</v>
      </c>
      <c r="N40" s="249">
        <v>1431</v>
      </c>
      <c r="O40" s="245">
        <v>4</v>
      </c>
      <c r="P40" s="245">
        <v>4000</v>
      </c>
      <c r="Q40" s="251">
        <v>1431</v>
      </c>
      <c r="R40" s="245">
        <v>5</v>
      </c>
      <c r="S40" s="245">
        <v>3000</v>
      </c>
      <c r="T40" s="245">
        <v>0.333334</v>
      </c>
      <c r="U40" s="245">
        <v>0.05</v>
      </c>
      <c r="V40" s="245">
        <v>37</v>
      </c>
    </row>
    <row r="41" ht="23.1" customHeight="1" spans="1:22">
      <c r="A41" s="245">
        <v>2138</v>
      </c>
      <c r="B41" s="245">
        <v>1137</v>
      </c>
      <c r="C41" s="245">
        <v>450</v>
      </c>
      <c r="D41" s="245">
        <v>1429</v>
      </c>
      <c r="E41" s="245">
        <v>20</v>
      </c>
      <c r="F41" s="245">
        <v>1430</v>
      </c>
      <c r="G41" s="245">
        <v>20</v>
      </c>
      <c r="H41" s="245">
        <v>300</v>
      </c>
      <c r="I41" s="245">
        <v>1431</v>
      </c>
      <c r="J41" s="245">
        <v>150</v>
      </c>
      <c r="K41" s="247">
        <v>1431</v>
      </c>
      <c r="L41" s="245">
        <v>3</v>
      </c>
      <c r="M41" s="245">
        <v>3000</v>
      </c>
      <c r="N41" s="249">
        <v>1431</v>
      </c>
      <c r="O41" s="245">
        <v>4</v>
      </c>
      <c r="P41" s="245">
        <v>4000</v>
      </c>
      <c r="Q41" s="251">
        <v>1431</v>
      </c>
      <c r="R41" s="245">
        <v>5</v>
      </c>
      <c r="S41" s="245">
        <v>3000</v>
      </c>
      <c r="T41" s="245">
        <v>0.333334</v>
      </c>
      <c r="U41" s="245">
        <v>0.05</v>
      </c>
      <c r="V41" s="245">
        <v>38</v>
      </c>
    </row>
    <row r="42" ht="23.1" customHeight="1" spans="1:22">
      <c r="A42" s="245">
        <v>2139</v>
      </c>
      <c r="B42" s="245">
        <v>1137</v>
      </c>
      <c r="C42" s="245">
        <v>450</v>
      </c>
      <c r="D42" s="245">
        <v>1429</v>
      </c>
      <c r="E42" s="245">
        <v>20</v>
      </c>
      <c r="F42" s="245">
        <v>1430</v>
      </c>
      <c r="G42" s="245">
        <v>20</v>
      </c>
      <c r="H42" s="245">
        <v>200</v>
      </c>
      <c r="I42" s="245">
        <v>1431</v>
      </c>
      <c r="J42" s="245">
        <v>200</v>
      </c>
      <c r="K42" s="247">
        <v>1431</v>
      </c>
      <c r="L42" s="245">
        <v>3</v>
      </c>
      <c r="M42" s="245">
        <v>3000</v>
      </c>
      <c r="N42" s="249">
        <v>1431</v>
      </c>
      <c r="O42" s="245">
        <v>4</v>
      </c>
      <c r="P42" s="245">
        <v>4000</v>
      </c>
      <c r="Q42" s="251">
        <v>1431</v>
      </c>
      <c r="R42" s="245">
        <v>5</v>
      </c>
      <c r="S42" s="245">
        <v>3000</v>
      </c>
      <c r="T42" s="245">
        <v>0.333334</v>
      </c>
      <c r="U42" s="245">
        <v>0.05</v>
      </c>
      <c r="V42" s="245">
        <v>39</v>
      </c>
    </row>
    <row r="43" ht="23.1" customHeight="1" spans="1:22">
      <c r="A43" s="245">
        <v>2140</v>
      </c>
      <c r="B43" s="245">
        <v>1137</v>
      </c>
      <c r="C43" s="245">
        <v>500</v>
      </c>
      <c r="D43" s="245">
        <v>1429</v>
      </c>
      <c r="E43" s="245">
        <v>25</v>
      </c>
      <c r="F43" s="245">
        <v>1430</v>
      </c>
      <c r="G43" s="245">
        <v>25</v>
      </c>
      <c r="H43" s="245">
        <v>100</v>
      </c>
      <c r="I43" s="245">
        <v>1431</v>
      </c>
      <c r="J43" s="245">
        <v>500</v>
      </c>
      <c r="K43" s="247">
        <v>1431</v>
      </c>
      <c r="L43" s="245">
        <v>4</v>
      </c>
      <c r="M43" s="245">
        <v>3000</v>
      </c>
      <c r="N43" s="249">
        <v>1431</v>
      </c>
      <c r="O43" s="245">
        <v>5</v>
      </c>
      <c r="P43" s="245">
        <v>4000</v>
      </c>
      <c r="Q43" s="251">
        <v>1431</v>
      </c>
      <c r="R43" s="245">
        <v>6</v>
      </c>
      <c r="S43" s="245">
        <v>3000</v>
      </c>
      <c r="T43" s="245">
        <v>0.333334</v>
      </c>
      <c r="U43" s="245">
        <v>0.05</v>
      </c>
      <c r="V43" s="245">
        <v>40</v>
      </c>
    </row>
  </sheetData>
  <pageMargins left="0.699305555555556" right="0.699305555555556"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228"/>
  <sheetViews>
    <sheetView showGridLines="0" workbookViewId="0">
      <pane xSplit="3" ySplit="3" topLeftCell="D214" activePane="bottomRight" state="frozen"/>
      <selection/>
      <selection pane="topRight"/>
      <selection pane="bottomLeft"/>
      <selection pane="bottomRight" activeCell="F12" sqref="F12"/>
    </sheetView>
  </sheetViews>
  <sheetFormatPr defaultColWidth="6.59868421052632" defaultRowHeight="18" customHeight="1"/>
  <cols>
    <col min="1" max="1" width="23.6973684210526" style="236" customWidth="1"/>
    <col min="2" max="2" width="10.6973684210526" style="236" customWidth="1"/>
    <col min="3" max="3" width="11.0986842105263" style="236" customWidth="1"/>
    <col min="4" max="4" width="9.40131578947368" style="236" customWidth="1"/>
    <col min="5" max="5" width="10.4013157894737" style="236" customWidth="1"/>
    <col min="6" max="6" width="7.59868421052632" style="236" customWidth="1"/>
    <col min="7" max="7" width="10.4013157894737" style="236" customWidth="1"/>
    <col min="8" max="8" width="12.0986842105263" style="236" customWidth="1"/>
    <col min="9" max="9" width="14" style="236" customWidth="1"/>
    <col min="10" max="11" width="12.0986842105263" style="236" customWidth="1"/>
    <col min="12" max="12" width="12.5" style="236" customWidth="1"/>
    <col min="13" max="13" width="14.6973684210526" style="236" customWidth="1"/>
    <col min="14" max="14" width="16.5" style="236" customWidth="1"/>
  </cols>
  <sheetData>
    <row r="1" ht="23.1" customHeight="1" spans="1:14">
      <c r="A1" s="80" t="s">
        <v>562</v>
      </c>
      <c r="B1" s="80" t="s">
        <v>563</v>
      </c>
      <c r="C1" s="80" t="s">
        <v>564</v>
      </c>
      <c r="D1" s="80" t="s">
        <v>565</v>
      </c>
      <c r="E1" s="80" t="s">
        <v>566</v>
      </c>
      <c r="F1" s="80" t="s">
        <v>33</v>
      </c>
      <c r="G1" s="80" t="s">
        <v>567</v>
      </c>
      <c r="H1" s="80" t="s">
        <v>568</v>
      </c>
      <c r="I1" s="80" t="s">
        <v>569</v>
      </c>
      <c r="J1" s="80" t="s">
        <v>570</v>
      </c>
      <c r="K1" s="80" t="s">
        <v>571</v>
      </c>
      <c r="L1" s="80" t="s">
        <v>408</v>
      </c>
      <c r="M1" s="80" t="s">
        <v>572</v>
      </c>
      <c r="N1" s="80" t="s">
        <v>573</v>
      </c>
    </row>
    <row r="2" ht="23.1" customHeight="1" spans="1:14">
      <c r="A2" s="80" t="s">
        <v>40</v>
      </c>
      <c r="B2" s="80" t="s">
        <v>39</v>
      </c>
      <c r="C2" s="80" t="s">
        <v>39</v>
      </c>
      <c r="D2" s="80" t="s">
        <v>39</v>
      </c>
      <c r="E2" s="80" t="s">
        <v>39</v>
      </c>
      <c r="F2" s="80" t="s">
        <v>39</v>
      </c>
      <c r="G2" s="80" t="s">
        <v>39</v>
      </c>
      <c r="H2" s="80" t="s">
        <v>39</v>
      </c>
      <c r="I2" s="80" t="s">
        <v>41</v>
      </c>
      <c r="J2" s="80" t="s">
        <v>41</v>
      </c>
      <c r="K2" s="80" t="s">
        <v>39</v>
      </c>
      <c r="L2" s="80" t="s">
        <v>39</v>
      </c>
      <c r="M2" s="80" t="s">
        <v>39</v>
      </c>
      <c r="N2" s="80" t="s">
        <v>39</v>
      </c>
    </row>
    <row r="3" ht="23.1" customHeight="1" spans="1:14">
      <c r="A3" s="80" t="s">
        <v>574</v>
      </c>
      <c r="B3" s="80" t="s">
        <v>575</v>
      </c>
      <c r="C3" s="80" t="s">
        <v>576</v>
      </c>
      <c r="D3" s="80" t="s">
        <v>422</v>
      </c>
      <c r="E3" s="80" t="s">
        <v>577</v>
      </c>
      <c r="F3" s="80" t="s">
        <v>33</v>
      </c>
      <c r="G3" s="80" t="s">
        <v>578</v>
      </c>
      <c r="H3" s="80" t="s">
        <v>579</v>
      </c>
      <c r="I3" s="80" t="s">
        <v>580</v>
      </c>
      <c r="J3" s="80" t="s">
        <v>581</v>
      </c>
      <c r="K3" s="80" t="s">
        <v>582</v>
      </c>
      <c r="L3" s="80" t="s">
        <v>583</v>
      </c>
      <c r="M3" s="80" t="s">
        <v>584</v>
      </c>
      <c r="N3" s="81" t="s">
        <v>585</v>
      </c>
    </row>
    <row r="4" ht="23.1" customHeight="1" spans="1:14">
      <c r="A4" s="244" t="s">
        <v>586</v>
      </c>
      <c r="B4" s="80">
        <v>5101</v>
      </c>
      <c r="C4" s="80">
        <v>1</v>
      </c>
      <c r="D4" s="80">
        <v>200</v>
      </c>
      <c r="E4" s="80">
        <v>200</v>
      </c>
      <c r="F4" s="80">
        <v>0</v>
      </c>
      <c r="G4" s="80">
        <v>0</v>
      </c>
      <c r="H4" s="80">
        <v>1</v>
      </c>
      <c r="I4" s="80">
        <v>1.2</v>
      </c>
      <c r="J4" s="80">
        <v>0</v>
      </c>
      <c r="K4" s="80">
        <v>60</v>
      </c>
      <c r="L4" s="80">
        <v>2201</v>
      </c>
      <c r="M4" s="80" t="s">
        <v>587</v>
      </c>
      <c r="N4" s="80">
        <v>0</v>
      </c>
    </row>
    <row r="5" ht="23.1" customHeight="1" spans="1:14">
      <c r="A5" s="244" t="s">
        <v>586</v>
      </c>
      <c r="B5" s="80">
        <v>5101</v>
      </c>
      <c r="C5" s="80">
        <v>2</v>
      </c>
      <c r="D5" s="80">
        <v>260</v>
      </c>
      <c r="E5" s="80">
        <v>260</v>
      </c>
      <c r="F5" s="80">
        <v>0</v>
      </c>
      <c r="G5" s="80">
        <v>0</v>
      </c>
      <c r="H5" s="80">
        <v>1</v>
      </c>
      <c r="I5" s="80">
        <v>1.2</v>
      </c>
      <c r="J5" s="80">
        <v>0</v>
      </c>
      <c r="K5" s="80">
        <v>60</v>
      </c>
      <c r="L5" s="80">
        <v>2201</v>
      </c>
      <c r="M5" s="80" t="s">
        <v>587</v>
      </c>
      <c r="N5" s="80">
        <v>0</v>
      </c>
    </row>
    <row r="6" ht="23.1" customHeight="1" spans="1:14">
      <c r="A6" s="244" t="s">
        <v>586</v>
      </c>
      <c r="B6" s="80">
        <v>5101</v>
      </c>
      <c r="C6" s="80">
        <v>3</v>
      </c>
      <c r="D6" s="80">
        <v>320</v>
      </c>
      <c r="E6" s="80">
        <v>320</v>
      </c>
      <c r="F6" s="80">
        <v>0</v>
      </c>
      <c r="G6" s="80">
        <v>0</v>
      </c>
      <c r="H6" s="80">
        <v>1</v>
      </c>
      <c r="I6" s="80">
        <v>1.2</v>
      </c>
      <c r="J6" s="80">
        <v>0</v>
      </c>
      <c r="K6" s="80">
        <v>60</v>
      </c>
      <c r="L6" s="80">
        <v>2201</v>
      </c>
      <c r="M6" s="80" t="s">
        <v>587</v>
      </c>
      <c r="N6" s="80">
        <v>0</v>
      </c>
    </row>
    <row r="7" ht="23.1" customHeight="1" spans="1:14">
      <c r="A7" s="244" t="s">
        <v>586</v>
      </c>
      <c r="B7" s="80">
        <v>5101</v>
      </c>
      <c r="C7" s="80">
        <v>4</v>
      </c>
      <c r="D7" s="80">
        <v>360</v>
      </c>
      <c r="E7" s="80">
        <v>360</v>
      </c>
      <c r="F7" s="80">
        <v>0</v>
      </c>
      <c r="G7" s="80">
        <v>0</v>
      </c>
      <c r="H7" s="80">
        <v>1</v>
      </c>
      <c r="I7" s="80">
        <v>1.2</v>
      </c>
      <c r="J7" s="80">
        <v>0</v>
      </c>
      <c r="K7" s="80">
        <v>60</v>
      </c>
      <c r="L7" s="80">
        <v>2201</v>
      </c>
      <c r="M7" s="80" t="s">
        <v>587</v>
      </c>
      <c r="N7" s="80">
        <v>0</v>
      </c>
    </row>
    <row r="8" ht="23.1" customHeight="1" spans="1:14">
      <c r="A8" s="244" t="s">
        <v>586</v>
      </c>
      <c r="B8" s="80">
        <v>5101</v>
      </c>
      <c r="C8" s="80">
        <v>5</v>
      </c>
      <c r="D8" s="80">
        <v>400</v>
      </c>
      <c r="E8" s="80">
        <v>400</v>
      </c>
      <c r="F8" s="80">
        <v>0</v>
      </c>
      <c r="G8" s="80">
        <v>0</v>
      </c>
      <c r="H8" s="80">
        <v>1</v>
      </c>
      <c r="I8" s="80">
        <v>1.2</v>
      </c>
      <c r="J8" s="80">
        <v>0</v>
      </c>
      <c r="K8" s="80">
        <v>60</v>
      </c>
      <c r="L8" s="80">
        <v>2201</v>
      </c>
      <c r="M8" s="80" t="s">
        <v>587</v>
      </c>
      <c r="N8" s="80">
        <v>0</v>
      </c>
    </row>
    <row r="9" ht="23.1" customHeight="1" spans="1:14">
      <c r="A9" s="244" t="s">
        <v>586</v>
      </c>
      <c r="B9" s="80">
        <v>5101</v>
      </c>
      <c r="C9" s="80">
        <v>6</v>
      </c>
      <c r="D9" s="80">
        <v>440</v>
      </c>
      <c r="E9" s="80">
        <v>440</v>
      </c>
      <c r="F9" s="80">
        <v>0</v>
      </c>
      <c r="G9" s="80">
        <v>0</v>
      </c>
      <c r="H9" s="80">
        <v>1</v>
      </c>
      <c r="I9" s="80">
        <v>1.2</v>
      </c>
      <c r="J9" s="80">
        <v>0</v>
      </c>
      <c r="K9" s="80">
        <v>60</v>
      </c>
      <c r="L9" s="80">
        <v>2201</v>
      </c>
      <c r="M9" s="80" t="s">
        <v>587</v>
      </c>
      <c r="N9" s="80">
        <v>0</v>
      </c>
    </row>
    <row r="10" ht="23.1" customHeight="1" spans="1:14">
      <c r="A10" s="244" t="s">
        <v>586</v>
      </c>
      <c r="B10" s="80">
        <v>5101</v>
      </c>
      <c r="C10" s="80">
        <v>7</v>
      </c>
      <c r="D10" s="80">
        <v>480</v>
      </c>
      <c r="E10" s="80">
        <v>480</v>
      </c>
      <c r="F10" s="80">
        <v>0</v>
      </c>
      <c r="G10" s="80">
        <v>0</v>
      </c>
      <c r="H10" s="80">
        <v>1</v>
      </c>
      <c r="I10" s="80">
        <v>1.2</v>
      </c>
      <c r="J10" s="80">
        <v>0</v>
      </c>
      <c r="K10" s="80">
        <v>60</v>
      </c>
      <c r="L10" s="80">
        <v>2201</v>
      </c>
      <c r="M10" s="80" t="s">
        <v>587</v>
      </c>
      <c r="N10" s="80">
        <v>0</v>
      </c>
    </row>
    <row r="11" ht="23.1" customHeight="1" spans="1:14">
      <c r="A11" s="244" t="s">
        <v>586</v>
      </c>
      <c r="B11" s="80">
        <v>5101</v>
      </c>
      <c r="C11" s="80">
        <v>8</v>
      </c>
      <c r="D11" s="80">
        <v>520</v>
      </c>
      <c r="E11" s="80">
        <v>520</v>
      </c>
      <c r="F11" s="80">
        <v>0</v>
      </c>
      <c r="G11" s="80">
        <v>0</v>
      </c>
      <c r="H11" s="80">
        <v>1</v>
      </c>
      <c r="I11" s="80">
        <v>1.2</v>
      </c>
      <c r="J11" s="80">
        <v>0</v>
      </c>
      <c r="K11" s="80">
        <v>60</v>
      </c>
      <c r="L11" s="80">
        <v>2201</v>
      </c>
      <c r="M11" s="80" t="s">
        <v>587</v>
      </c>
      <c r="N11" s="80">
        <v>0</v>
      </c>
    </row>
    <row r="12" ht="23.1" customHeight="1" spans="1:14">
      <c r="A12" s="244" t="s">
        <v>586</v>
      </c>
      <c r="B12" s="80">
        <v>5101</v>
      </c>
      <c r="C12" s="80">
        <v>9</v>
      </c>
      <c r="D12" s="80">
        <v>560</v>
      </c>
      <c r="E12" s="80">
        <v>560</v>
      </c>
      <c r="F12" s="80">
        <v>0</v>
      </c>
      <c r="G12" s="80">
        <v>0</v>
      </c>
      <c r="H12" s="80">
        <v>1</v>
      </c>
      <c r="I12" s="80">
        <v>1.2</v>
      </c>
      <c r="J12" s="80">
        <v>0</v>
      </c>
      <c r="K12" s="80">
        <v>60</v>
      </c>
      <c r="L12" s="80">
        <v>2201</v>
      </c>
      <c r="M12" s="80" t="s">
        <v>587</v>
      </c>
      <c r="N12" s="80">
        <v>0</v>
      </c>
    </row>
    <row r="13" ht="23.1" customHeight="1" spans="1:14">
      <c r="A13" s="244" t="s">
        <v>586</v>
      </c>
      <c r="B13" s="80">
        <v>5101</v>
      </c>
      <c r="C13" s="80">
        <v>10</v>
      </c>
      <c r="D13" s="80">
        <v>600</v>
      </c>
      <c r="E13" s="80">
        <v>600</v>
      </c>
      <c r="F13" s="80">
        <v>0</v>
      </c>
      <c r="G13" s="80">
        <v>0</v>
      </c>
      <c r="H13" s="80">
        <v>1</v>
      </c>
      <c r="I13" s="80">
        <v>1.2</v>
      </c>
      <c r="J13" s="80">
        <v>0</v>
      </c>
      <c r="K13" s="80">
        <v>60</v>
      </c>
      <c r="L13" s="80">
        <v>2201</v>
      </c>
      <c r="M13" s="80" t="s">
        <v>587</v>
      </c>
      <c r="N13" s="80">
        <v>0</v>
      </c>
    </row>
    <row r="14" ht="23.1" customHeight="1" spans="1:14">
      <c r="A14" s="244" t="s">
        <v>586</v>
      </c>
      <c r="B14" s="80">
        <v>5101</v>
      </c>
      <c r="C14" s="80">
        <v>11</v>
      </c>
      <c r="D14" s="80">
        <v>640</v>
      </c>
      <c r="E14" s="80">
        <v>640</v>
      </c>
      <c r="F14" s="80">
        <v>0</v>
      </c>
      <c r="G14" s="80">
        <v>0</v>
      </c>
      <c r="H14" s="80">
        <v>1</v>
      </c>
      <c r="I14" s="80">
        <v>1.2</v>
      </c>
      <c r="J14" s="80">
        <v>0</v>
      </c>
      <c r="K14" s="80">
        <v>60</v>
      </c>
      <c r="L14" s="80">
        <v>2201</v>
      </c>
      <c r="M14" s="80" t="s">
        <v>587</v>
      </c>
      <c r="N14" s="80">
        <v>0</v>
      </c>
    </row>
    <row r="15" ht="23.1" customHeight="1" spans="1:14">
      <c r="A15" s="244" t="s">
        <v>586</v>
      </c>
      <c r="B15" s="80">
        <v>5101</v>
      </c>
      <c r="C15" s="80">
        <v>12</v>
      </c>
      <c r="D15" s="80">
        <v>680</v>
      </c>
      <c r="E15" s="80">
        <v>680</v>
      </c>
      <c r="F15" s="80">
        <v>0</v>
      </c>
      <c r="G15" s="80">
        <v>0</v>
      </c>
      <c r="H15" s="80">
        <v>1</v>
      </c>
      <c r="I15" s="80">
        <v>1.2</v>
      </c>
      <c r="J15" s="80">
        <v>0</v>
      </c>
      <c r="K15" s="80">
        <v>60</v>
      </c>
      <c r="L15" s="80">
        <v>2201</v>
      </c>
      <c r="M15" s="80" t="s">
        <v>587</v>
      </c>
      <c r="N15" s="80">
        <v>0</v>
      </c>
    </row>
    <row r="16" ht="23.1" customHeight="1" spans="1:14">
      <c r="A16" s="244" t="s">
        <v>586</v>
      </c>
      <c r="B16" s="80">
        <v>5101</v>
      </c>
      <c r="C16" s="80">
        <v>13</v>
      </c>
      <c r="D16" s="80">
        <v>720</v>
      </c>
      <c r="E16" s="80">
        <v>720</v>
      </c>
      <c r="F16" s="80">
        <v>0</v>
      </c>
      <c r="G16" s="80">
        <v>0</v>
      </c>
      <c r="H16" s="80">
        <v>1</v>
      </c>
      <c r="I16" s="80">
        <v>1.2</v>
      </c>
      <c r="J16" s="80">
        <v>0</v>
      </c>
      <c r="K16" s="80">
        <v>60</v>
      </c>
      <c r="L16" s="80">
        <v>2201</v>
      </c>
      <c r="M16" s="80" t="s">
        <v>587</v>
      </c>
      <c r="N16" s="80">
        <v>0</v>
      </c>
    </row>
    <row r="17" ht="23.1" customHeight="1" spans="1:14">
      <c r="A17" s="244" t="s">
        <v>586</v>
      </c>
      <c r="B17" s="80">
        <v>5101</v>
      </c>
      <c r="C17" s="80">
        <v>14</v>
      </c>
      <c r="D17" s="80">
        <v>760</v>
      </c>
      <c r="E17" s="80">
        <v>760</v>
      </c>
      <c r="F17" s="80">
        <v>0</v>
      </c>
      <c r="G17" s="80">
        <v>0</v>
      </c>
      <c r="H17" s="80">
        <v>1</v>
      </c>
      <c r="I17" s="80">
        <v>1.2</v>
      </c>
      <c r="J17" s="80">
        <v>0</v>
      </c>
      <c r="K17" s="80">
        <v>60</v>
      </c>
      <c r="L17" s="80">
        <v>2201</v>
      </c>
      <c r="M17" s="80" t="s">
        <v>587</v>
      </c>
      <c r="N17" s="80">
        <v>0</v>
      </c>
    </row>
    <row r="18" ht="23.1" customHeight="1" spans="1:14">
      <c r="A18" s="244" t="s">
        <v>586</v>
      </c>
      <c r="B18" s="80">
        <v>5101</v>
      </c>
      <c r="C18" s="80">
        <v>15</v>
      </c>
      <c r="D18" s="80">
        <v>800</v>
      </c>
      <c r="E18" s="80">
        <v>800</v>
      </c>
      <c r="F18" s="80">
        <v>0</v>
      </c>
      <c r="G18" s="80">
        <v>0</v>
      </c>
      <c r="H18" s="80">
        <v>1</v>
      </c>
      <c r="I18" s="80">
        <v>1.2</v>
      </c>
      <c r="J18" s="80">
        <v>0</v>
      </c>
      <c r="K18" s="80">
        <v>60</v>
      </c>
      <c r="L18" s="80">
        <v>2201</v>
      </c>
      <c r="M18" s="80" t="s">
        <v>587</v>
      </c>
      <c r="N18" s="80">
        <v>0</v>
      </c>
    </row>
    <row r="19" ht="23.1" customHeight="1" spans="1:14">
      <c r="A19" s="244" t="s">
        <v>586</v>
      </c>
      <c r="B19" s="80">
        <v>5101</v>
      </c>
      <c r="C19" s="80">
        <v>16</v>
      </c>
      <c r="D19" s="80">
        <v>840</v>
      </c>
      <c r="E19" s="80">
        <v>840</v>
      </c>
      <c r="F19" s="80">
        <v>0</v>
      </c>
      <c r="G19" s="80">
        <v>0</v>
      </c>
      <c r="H19" s="80">
        <v>1</v>
      </c>
      <c r="I19" s="80">
        <v>1.2</v>
      </c>
      <c r="J19" s="80">
        <v>0</v>
      </c>
      <c r="K19" s="80">
        <v>60</v>
      </c>
      <c r="L19" s="80">
        <v>2201</v>
      </c>
      <c r="M19" s="80" t="s">
        <v>587</v>
      </c>
      <c r="N19" s="80">
        <v>0</v>
      </c>
    </row>
    <row r="20" ht="23.1" customHeight="1" spans="1:14">
      <c r="A20" s="244" t="s">
        <v>586</v>
      </c>
      <c r="B20" s="80">
        <v>5101</v>
      </c>
      <c r="C20" s="80">
        <v>17</v>
      </c>
      <c r="D20" s="80">
        <v>880</v>
      </c>
      <c r="E20" s="80">
        <v>880</v>
      </c>
      <c r="F20" s="80">
        <v>0</v>
      </c>
      <c r="G20" s="80">
        <v>0</v>
      </c>
      <c r="H20" s="80">
        <v>1</v>
      </c>
      <c r="I20" s="80">
        <v>1.2</v>
      </c>
      <c r="J20" s="80">
        <v>0</v>
      </c>
      <c r="K20" s="80">
        <v>60</v>
      </c>
      <c r="L20" s="80">
        <v>2201</v>
      </c>
      <c r="M20" s="80" t="s">
        <v>587</v>
      </c>
      <c r="N20" s="80">
        <v>0</v>
      </c>
    </row>
    <row r="21" ht="23.1" customHeight="1" spans="1:14">
      <c r="A21" s="244" t="s">
        <v>586</v>
      </c>
      <c r="B21" s="80">
        <v>5101</v>
      </c>
      <c r="C21" s="80">
        <v>18</v>
      </c>
      <c r="D21" s="80">
        <v>920</v>
      </c>
      <c r="E21" s="80">
        <v>920</v>
      </c>
      <c r="F21" s="80">
        <v>0</v>
      </c>
      <c r="G21" s="80">
        <v>0</v>
      </c>
      <c r="H21" s="80">
        <v>1</v>
      </c>
      <c r="I21" s="80">
        <v>1.2</v>
      </c>
      <c r="J21" s="80">
        <v>0</v>
      </c>
      <c r="K21" s="80">
        <v>60</v>
      </c>
      <c r="L21" s="80">
        <v>2201</v>
      </c>
      <c r="M21" s="80" t="s">
        <v>587</v>
      </c>
      <c r="N21" s="80">
        <v>0</v>
      </c>
    </row>
    <row r="22" ht="23.1" customHeight="1" spans="1:14">
      <c r="A22" s="244" t="s">
        <v>586</v>
      </c>
      <c r="B22" s="80">
        <v>5101</v>
      </c>
      <c r="C22" s="80">
        <v>19</v>
      </c>
      <c r="D22" s="80">
        <v>960</v>
      </c>
      <c r="E22" s="80">
        <v>960</v>
      </c>
      <c r="F22" s="80">
        <v>0</v>
      </c>
      <c r="G22" s="80">
        <v>0</v>
      </c>
      <c r="H22" s="80">
        <v>1</v>
      </c>
      <c r="I22" s="80">
        <v>1.2</v>
      </c>
      <c r="J22" s="80">
        <v>0</v>
      </c>
      <c r="K22" s="80">
        <v>60</v>
      </c>
      <c r="L22" s="80">
        <v>2201</v>
      </c>
      <c r="M22" s="80" t="s">
        <v>587</v>
      </c>
      <c r="N22" s="80">
        <v>0</v>
      </c>
    </row>
    <row r="23" ht="23.1" customHeight="1" spans="1:14">
      <c r="A23" s="244" t="s">
        <v>586</v>
      </c>
      <c r="B23" s="80">
        <v>5101</v>
      </c>
      <c r="C23" s="80">
        <v>20</v>
      </c>
      <c r="D23" s="80">
        <v>1000</v>
      </c>
      <c r="E23" s="80">
        <v>1000</v>
      </c>
      <c r="F23" s="80">
        <v>0</v>
      </c>
      <c r="G23" s="80">
        <v>0</v>
      </c>
      <c r="H23" s="80">
        <v>1</v>
      </c>
      <c r="I23" s="80">
        <v>1.2</v>
      </c>
      <c r="J23" s="80">
        <v>0</v>
      </c>
      <c r="K23" s="80">
        <v>60</v>
      </c>
      <c r="L23" s="80">
        <v>2201</v>
      </c>
      <c r="M23" s="80" t="s">
        <v>587</v>
      </c>
      <c r="N23" s="80">
        <v>0</v>
      </c>
    </row>
    <row r="24" ht="23.1" customHeight="1" spans="1:14">
      <c r="A24" s="244" t="s">
        <v>586</v>
      </c>
      <c r="B24" s="80">
        <v>5101</v>
      </c>
      <c r="C24" s="80">
        <v>21</v>
      </c>
      <c r="D24" s="80">
        <v>1040</v>
      </c>
      <c r="E24" s="80">
        <v>1040</v>
      </c>
      <c r="F24" s="80">
        <v>0</v>
      </c>
      <c r="G24" s="80">
        <v>0</v>
      </c>
      <c r="H24" s="80">
        <v>1</v>
      </c>
      <c r="I24" s="80">
        <v>1.2</v>
      </c>
      <c r="J24" s="80">
        <v>0</v>
      </c>
      <c r="K24" s="80">
        <v>60</v>
      </c>
      <c r="L24" s="80">
        <v>2201</v>
      </c>
      <c r="M24" s="80" t="s">
        <v>587</v>
      </c>
      <c r="N24" s="80">
        <v>0</v>
      </c>
    </row>
    <row r="25" ht="23.1" customHeight="1" spans="1:14">
      <c r="A25" s="244" t="s">
        <v>586</v>
      </c>
      <c r="B25" s="80">
        <v>5101</v>
      </c>
      <c r="C25" s="80">
        <v>22</v>
      </c>
      <c r="D25" s="80">
        <v>1080</v>
      </c>
      <c r="E25" s="80">
        <v>1080</v>
      </c>
      <c r="F25" s="80">
        <v>0</v>
      </c>
      <c r="G25" s="80">
        <v>0</v>
      </c>
      <c r="H25" s="80">
        <v>1</v>
      </c>
      <c r="I25" s="80">
        <v>1.2</v>
      </c>
      <c r="J25" s="80">
        <v>0</v>
      </c>
      <c r="K25" s="80">
        <v>60</v>
      </c>
      <c r="L25" s="80">
        <v>2201</v>
      </c>
      <c r="M25" s="80" t="s">
        <v>587</v>
      </c>
      <c r="N25" s="80">
        <v>0</v>
      </c>
    </row>
    <row r="26" ht="23.1" customHeight="1" spans="1:14">
      <c r="A26" s="244" t="s">
        <v>586</v>
      </c>
      <c r="B26" s="80">
        <v>5101</v>
      </c>
      <c r="C26" s="80">
        <v>23</v>
      </c>
      <c r="D26" s="80">
        <v>1120</v>
      </c>
      <c r="E26" s="80">
        <v>1120</v>
      </c>
      <c r="F26" s="80">
        <v>0</v>
      </c>
      <c r="G26" s="80">
        <v>0</v>
      </c>
      <c r="H26" s="80">
        <v>1</v>
      </c>
      <c r="I26" s="80">
        <v>1.2</v>
      </c>
      <c r="J26" s="80">
        <v>0</v>
      </c>
      <c r="K26" s="80">
        <v>60</v>
      </c>
      <c r="L26" s="80">
        <v>2201</v>
      </c>
      <c r="M26" s="80" t="s">
        <v>587</v>
      </c>
      <c r="N26" s="80">
        <v>0</v>
      </c>
    </row>
    <row r="27" ht="23.1" customHeight="1" spans="1:14">
      <c r="A27" s="244" t="s">
        <v>586</v>
      </c>
      <c r="B27" s="80">
        <v>5101</v>
      </c>
      <c r="C27" s="80">
        <v>24</v>
      </c>
      <c r="D27" s="80">
        <v>1160</v>
      </c>
      <c r="E27" s="80">
        <v>1160</v>
      </c>
      <c r="F27" s="80">
        <v>0</v>
      </c>
      <c r="G27" s="80">
        <v>0</v>
      </c>
      <c r="H27" s="80">
        <v>1</v>
      </c>
      <c r="I27" s="80">
        <v>1.2</v>
      </c>
      <c r="J27" s="80">
        <v>0</v>
      </c>
      <c r="K27" s="80">
        <v>60</v>
      </c>
      <c r="L27" s="80">
        <v>2201</v>
      </c>
      <c r="M27" s="80" t="s">
        <v>587</v>
      </c>
      <c r="N27" s="80">
        <v>0</v>
      </c>
    </row>
    <row r="28" ht="23.1" customHeight="1" spans="1:14">
      <c r="A28" s="244" t="s">
        <v>586</v>
      </c>
      <c r="B28" s="80">
        <v>5101</v>
      </c>
      <c r="C28" s="80">
        <v>25</v>
      </c>
      <c r="D28" s="80">
        <v>1200</v>
      </c>
      <c r="E28" s="80">
        <v>1200</v>
      </c>
      <c r="F28" s="80">
        <v>0</v>
      </c>
      <c r="G28" s="80">
        <v>0</v>
      </c>
      <c r="H28" s="80">
        <v>1</v>
      </c>
      <c r="I28" s="80">
        <v>1.2</v>
      </c>
      <c r="J28" s="80">
        <v>0</v>
      </c>
      <c r="K28" s="80">
        <v>60</v>
      </c>
      <c r="L28" s="80">
        <v>2201</v>
      </c>
      <c r="M28" s="80" t="s">
        <v>587</v>
      </c>
      <c r="N28" s="80">
        <v>0</v>
      </c>
    </row>
    <row r="29" ht="23.1" customHeight="1" spans="1:14">
      <c r="A29" s="81" t="s">
        <v>588</v>
      </c>
      <c r="B29" s="80">
        <v>5102</v>
      </c>
      <c r="C29" s="80">
        <v>1</v>
      </c>
      <c r="D29" s="232">
        <v>60</v>
      </c>
      <c r="E29" s="232">
        <v>1</v>
      </c>
      <c r="F29" s="232">
        <v>0</v>
      </c>
      <c r="G29" s="232">
        <v>0</v>
      </c>
      <c r="H29" s="232">
        <v>1</v>
      </c>
      <c r="I29" s="232">
        <v>1</v>
      </c>
      <c r="J29" s="232">
        <v>3</v>
      </c>
      <c r="K29" s="80">
        <v>60</v>
      </c>
      <c r="L29" s="232">
        <v>2202</v>
      </c>
      <c r="M29" s="232" t="s">
        <v>589</v>
      </c>
      <c r="N29" s="80">
        <v>0</v>
      </c>
    </row>
    <row r="30" ht="23.1" customHeight="1" spans="1:14">
      <c r="A30" s="81" t="s">
        <v>588</v>
      </c>
      <c r="B30" s="80">
        <v>5102</v>
      </c>
      <c r="C30" s="80">
        <v>2</v>
      </c>
      <c r="D30" s="232">
        <v>61</v>
      </c>
      <c r="E30" s="232">
        <v>2</v>
      </c>
      <c r="F30" s="232">
        <v>0</v>
      </c>
      <c r="G30" s="232">
        <v>0</v>
      </c>
      <c r="H30" s="232">
        <v>1</v>
      </c>
      <c r="I30" s="232">
        <v>1</v>
      </c>
      <c r="J30" s="232">
        <v>3</v>
      </c>
      <c r="K30" s="80">
        <v>60</v>
      </c>
      <c r="L30" s="232">
        <v>2202</v>
      </c>
      <c r="M30" s="232" t="s">
        <v>589</v>
      </c>
      <c r="N30" s="80">
        <v>0</v>
      </c>
    </row>
    <row r="31" ht="23.1" customHeight="1" spans="1:14">
      <c r="A31" s="81" t="s">
        <v>588</v>
      </c>
      <c r="B31" s="80">
        <v>5102</v>
      </c>
      <c r="C31" s="80">
        <v>3</v>
      </c>
      <c r="D31" s="232">
        <v>62</v>
      </c>
      <c r="E31" s="232">
        <v>3</v>
      </c>
      <c r="F31" s="232">
        <v>0</v>
      </c>
      <c r="G31" s="232">
        <v>0</v>
      </c>
      <c r="H31" s="232">
        <v>1</v>
      </c>
      <c r="I31" s="232">
        <v>1</v>
      </c>
      <c r="J31" s="232">
        <v>3</v>
      </c>
      <c r="K31" s="80">
        <v>60</v>
      </c>
      <c r="L31" s="232">
        <v>2202</v>
      </c>
      <c r="M31" s="232" t="s">
        <v>589</v>
      </c>
      <c r="N31" s="80">
        <v>0</v>
      </c>
    </row>
    <row r="32" ht="23.1" customHeight="1" spans="1:14">
      <c r="A32" s="81" t="s">
        <v>588</v>
      </c>
      <c r="B32" s="80">
        <v>5102</v>
      </c>
      <c r="C32" s="80">
        <v>4</v>
      </c>
      <c r="D32" s="232">
        <v>63</v>
      </c>
      <c r="E32" s="232">
        <v>4</v>
      </c>
      <c r="F32" s="232">
        <v>0</v>
      </c>
      <c r="G32" s="232">
        <v>0</v>
      </c>
      <c r="H32" s="232">
        <v>1</v>
      </c>
      <c r="I32" s="232">
        <v>1</v>
      </c>
      <c r="J32" s="232">
        <v>3</v>
      </c>
      <c r="K32" s="80">
        <v>60</v>
      </c>
      <c r="L32" s="232">
        <v>2202</v>
      </c>
      <c r="M32" s="232" t="s">
        <v>589</v>
      </c>
      <c r="N32" s="80">
        <v>0</v>
      </c>
    </row>
    <row r="33" ht="23.1" customHeight="1" spans="1:14">
      <c r="A33" s="81" t="s">
        <v>588</v>
      </c>
      <c r="B33" s="80">
        <v>5102</v>
      </c>
      <c r="C33" s="80">
        <v>5</v>
      </c>
      <c r="D33" s="232">
        <v>65</v>
      </c>
      <c r="E33" s="232">
        <v>5</v>
      </c>
      <c r="F33" s="232">
        <v>0</v>
      </c>
      <c r="G33" s="232">
        <v>0</v>
      </c>
      <c r="H33" s="232">
        <v>1</v>
      </c>
      <c r="I33" s="232">
        <v>1</v>
      </c>
      <c r="J33" s="232">
        <v>3</v>
      </c>
      <c r="K33" s="80">
        <v>60</v>
      </c>
      <c r="L33" s="232">
        <v>2202</v>
      </c>
      <c r="M33" s="232" t="s">
        <v>589</v>
      </c>
      <c r="N33" s="80">
        <v>0</v>
      </c>
    </row>
    <row r="34" ht="23.1" customHeight="1" spans="1:14">
      <c r="A34" s="81" t="s">
        <v>588</v>
      </c>
      <c r="B34" s="80">
        <v>5102</v>
      </c>
      <c r="C34" s="80">
        <v>6</v>
      </c>
      <c r="D34" s="232">
        <v>66</v>
      </c>
      <c r="E34" s="232">
        <v>6</v>
      </c>
      <c r="F34" s="232">
        <v>0</v>
      </c>
      <c r="G34" s="232">
        <v>0</v>
      </c>
      <c r="H34" s="232">
        <v>1</v>
      </c>
      <c r="I34" s="232">
        <v>1</v>
      </c>
      <c r="J34" s="232">
        <v>3</v>
      </c>
      <c r="K34" s="80">
        <v>60</v>
      </c>
      <c r="L34" s="232">
        <v>2202</v>
      </c>
      <c r="M34" s="232" t="s">
        <v>589</v>
      </c>
      <c r="N34" s="80">
        <v>0</v>
      </c>
    </row>
    <row r="35" ht="23.1" customHeight="1" spans="1:14">
      <c r="A35" s="81" t="s">
        <v>588</v>
      </c>
      <c r="B35" s="80">
        <v>5102</v>
      </c>
      <c r="C35" s="80">
        <v>7</v>
      </c>
      <c r="D35" s="232">
        <v>67</v>
      </c>
      <c r="E35" s="232">
        <v>7</v>
      </c>
      <c r="F35" s="232">
        <v>0</v>
      </c>
      <c r="G35" s="232">
        <v>0</v>
      </c>
      <c r="H35" s="232">
        <v>1</v>
      </c>
      <c r="I35" s="232">
        <v>1</v>
      </c>
      <c r="J35" s="232">
        <v>3</v>
      </c>
      <c r="K35" s="80">
        <v>60</v>
      </c>
      <c r="L35" s="232">
        <v>2202</v>
      </c>
      <c r="M35" s="232" t="s">
        <v>589</v>
      </c>
      <c r="N35" s="80">
        <v>0</v>
      </c>
    </row>
    <row r="36" ht="23.1" customHeight="1" spans="1:14">
      <c r="A36" s="81" t="s">
        <v>588</v>
      </c>
      <c r="B36" s="80">
        <v>5102</v>
      </c>
      <c r="C36" s="80">
        <v>8</v>
      </c>
      <c r="D36" s="232">
        <v>68</v>
      </c>
      <c r="E36" s="232">
        <v>8</v>
      </c>
      <c r="F36" s="232">
        <v>0</v>
      </c>
      <c r="G36" s="232">
        <v>0</v>
      </c>
      <c r="H36" s="232">
        <v>1</v>
      </c>
      <c r="I36" s="232">
        <v>1</v>
      </c>
      <c r="J36" s="232">
        <v>3</v>
      </c>
      <c r="K36" s="80">
        <v>60</v>
      </c>
      <c r="L36" s="232">
        <v>2202</v>
      </c>
      <c r="M36" s="232" t="s">
        <v>589</v>
      </c>
      <c r="N36" s="80">
        <v>0</v>
      </c>
    </row>
    <row r="37" ht="23.1" customHeight="1" spans="1:14">
      <c r="A37" s="81" t="s">
        <v>588</v>
      </c>
      <c r="B37" s="80">
        <v>5102</v>
      </c>
      <c r="C37" s="80">
        <v>9</v>
      </c>
      <c r="D37" s="232">
        <v>69</v>
      </c>
      <c r="E37" s="232">
        <v>9</v>
      </c>
      <c r="F37" s="232">
        <v>0</v>
      </c>
      <c r="G37" s="232">
        <v>0</v>
      </c>
      <c r="H37" s="232">
        <v>1</v>
      </c>
      <c r="I37" s="232">
        <v>1</v>
      </c>
      <c r="J37" s="232">
        <v>3</v>
      </c>
      <c r="K37" s="80">
        <v>60</v>
      </c>
      <c r="L37" s="232">
        <v>2202</v>
      </c>
      <c r="M37" s="232" t="s">
        <v>589</v>
      </c>
      <c r="N37" s="80">
        <v>0</v>
      </c>
    </row>
    <row r="38" ht="23.1" customHeight="1" spans="1:14">
      <c r="A38" s="81" t="s">
        <v>588</v>
      </c>
      <c r="B38" s="80">
        <v>5102</v>
      </c>
      <c r="C38" s="80">
        <v>10</v>
      </c>
      <c r="D38" s="232">
        <v>70</v>
      </c>
      <c r="E38" s="232">
        <v>10</v>
      </c>
      <c r="F38" s="232">
        <v>0</v>
      </c>
      <c r="G38" s="232">
        <v>0</v>
      </c>
      <c r="H38" s="232">
        <v>1</v>
      </c>
      <c r="I38" s="232">
        <v>1</v>
      </c>
      <c r="J38" s="232">
        <v>3</v>
      </c>
      <c r="K38" s="80">
        <v>60</v>
      </c>
      <c r="L38" s="232">
        <v>2202</v>
      </c>
      <c r="M38" s="232" t="s">
        <v>589</v>
      </c>
      <c r="N38" s="80">
        <v>0</v>
      </c>
    </row>
    <row r="39" ht="23.1" customHeight="1" spans="1:14">
      <c r="A39" s="81" t="s">
        <v>588</v>
      </c>
      <c r="B39" s="80">
        <v>5102</v>
      </c>
      <c r="C39" s="80">
        <v>11</v>
      </c>
      <c r="D39" s="232">
        <v>71</v>
      </c>
      <c r="E39" s="232">
        <v>11</v>
      </c>
      <c r="F39" s="232">
        <v>0</v>
      </c>
      <c r="G39" s="232">
        <v>0</v>
      </c>
      <c r="H39" s="232">
        <v>1</v>
      </c>
      <c r="I39" s="232">
        <v>1</v>
      </c>
      <c r="J39" s="232">
        <v>3</v>
      </c>
      <c r="K39" s="80">
        <v>60</v>
      </c>
      <c r="L39" s="232">
        <v>2202</v>
      </c>
      <c r="M39" s="232" t="s">
        <v>589</v>
      </c>
      <c r="N39" s="80">
        <v>0</v>
      </c>
    </row>
    <row r="40" ht="23.1" customHeight="1" spans="1:14">
      <c r="A40" s="81" t="s">
        <v>588</v>
      </c>
      <c r="B40" s="80">
        <v>5102</v>
      </c>
      <c r="C40" s="80">
        <v>12</v>
      </c>
      <c r="D40" s="232">
        <v>72</v>
      </c>
      <c r="E40" s="232">
        <v>12</v>
      </c>
      <c r="F40" s="232">
        <v>0</v>
      </c>
      <c r="G40" s="232">
        <v>0</v>
      </c>
      <c r="H40" s="232">
        <v>1</v>
      </c>
      <c r="I40" s="232">
        <v>1</v>
      </c>
      <c r="J40" s="232">
        <v>3</v>
      </c>
      <c r="K40" s="80">
        <v>60</v>
      </c>
      <c r="L40" s="232">
        <v>2202</v>
      </c>
      <c r="M40" s="232" t="s">
        <v>589</v>
      </c>
      <c r="N40" s="80">
        <v>0</v>
      </c>
    </row>
    <row r="41" ht="23.1" customHeight="1" spans="1:14">
      <c r="A41" s="81" t="s">
        <v>588</v>
      </c>
      <c r="B41" s="80">
        <v>5102</v>
      </c>
      <c r="C41" s="80">
        <v>13</v>
      </c>
      <c r="D41" s="232">
        <v>73</v>
      </c>
      <c r="E41" s="232">
        <v>13</v>
      </c>
      <c r="F41" s="232">
        <v>0</v>
      </c>
      <c r="G41" s="232">
        <v>0</v>
      </c>
      <c r="H41" s="232">
        <v>1</v>
      </c>
      <c r="I41" s="232">
        <v>1</v>
      </c>
      <c r="J41" s="232">
        <v>3</v>
      </c>
      <c r="K41" s="80">
        <v>60</v>
      </c>
      <c r="L41" s="232">
        <v>2202</v>
      </c>
      <c r="M41" s="232" t="s">
        <v>589</v>
      </c>
      <c r="N41" s="80">
        <v>0</v>
      </c>
    </row>
    <row r="42" ht="23.1" customHeight="1" spans="1:14">
      <c r="A42" s="81" t="s">
        <v>588</v>
      </c>
      <c r="B42" s="80">
        <v>5102</v>
      </c>
      <c r="C42" s="80">
        <v>14</v>
      </c>
      <c r="D42" s="232">
        <v>74</v>
      </c>
      <c r="E42" s="232">
        <v>14</v>
      </c>
      <c r="F42" s="232">
        <v>0</v>
      </c>
      <c r="G42" s="232">
        <v>0</v>
      </c>
      <c r="H42" s="232">
        <v>1</v>
      </c>
      <c r="I42" s="232">
        <v>1</v>
      </c>
      <c r="J42" s="232">
        <v>3</v>
      </c>
      <c r="K42" s="80">
        <v>60</v>
      </c>
      <c r="L42" s="232">
        <v>2202</v>
      </c>
      <c r="M42" s="232" t="s">
        <v>589</v>
      </c>
      <c r="N42" s="80">
        <v>0</v>
      </c>
    </row>
    <row r="43" ht="23.1" customHeight="1" spans="1:14">
      <c r="A43" s="81" t="s">
        <v>588</v>
      </c>
      <c r="B43" s="80">
        <v>5102</v>
      </c>
      <c r="C43" s="80">
        <v>15</v>
      </c>
      <c r="D43" s="232">
        <v>75</v>
      </c>
      <c r="E43" s="232">
        <v>15</v>
      </c>
      <c r="F43" s="232">
        <v>0</v>
      </c>
      <c r="G43" s="232">
        <v>0</v>
      </c>
      <c r="H43" s="232">
        <v>1</v>
      </c>
      <c r="I43" s="232">
        <v>1</v>
      </c>
      <c r="J43" s="232">
        <v>3</v>
      </c>
      <c r="K43" s="80">
        <v>60</v>
      </c>
      <c r="L43" s="232">
        <v>2202</v>
      </c>
      <c r="M43" s="232" t="s">
        <v>589</v>
      </c>
      <c r="N43" s="80">
        <v>0</v>
      </c>
    </row>
    <row r="44" ht="23.1" customHeight="1" spans="1:14">
      <c r="A44" s="81" t="s">
        <v>588</v>
      </c>
      <c r="B44" s="80">
        <v>5102</v>
      </c>
      <c r="C44" s="80">
        <v>16</v>
      </c>
      <c r="D44" s="232">
        <v>76</v>
      </c>
      <c r="E44" s="232">
        <v>16</v>
      </c>
      <c r="F44" s="232">
        <v>0</v>
      </c>
      <c r="G44" s="232">
        <v>0</v>
      </c>
      <c r="H44" s="232">
        <v>1</v>
      </c>
      <c r="I44" s="232">
        <v>1</v>
      </c>
      <c r="J44" s="232">
        <v>3</v>
      </c>
      <c r="K44" s="80">
        <v>60</v>
      </c>
      <c r="L44" s="232">
        <v>2202</v>
      </c>
      <c r="M44" s="232" t="s">
        <v>589</v>
      </c>
      <c r="N44" s="80">
        <v>0</v>
      </c>
    </row>
    <row r="45" ht="23.1" customHeight="1" spans="1:14">
      <c r="A45" s="81" t="s">
        <v>588</v>
      </c>
      <c r="B45" s="80">
        <v>5102</v>
      </c>
      <c r="C45" s="80">
        <v>17</v>
      </c>
      <c r="D45" s="232">
        <v>77</v>
      </c>
      <c r="E45" s="232">
        <v>17</v>
      </c>
      <c r="F45" s="232">
        <v>0</v>
      </c>
      <c r="G45" s="232">
        <v>0</v>
      </c>
      <c r="H45" s="232">
        <v>1</v>
      </c>
      <c r="I45" s="232">
        <v>1</v>
      </c>
      <c r="J45" s="232">
        <v>3</v>
      </c>
      <c r="K45" s="80">
        <v>60</v>
      </c>
      <c r="L45" s="232">
        <v>2202</v>
      </c>
      <c r="M45" s="232" t="s">
        <v>589</v>
      </c>
      <c r="N45" s="80">
        <v>0</v>
      </c>
    </row>
    <row r="46" ht="23.1" customHeight="1" spans="1:14">
      <c r="A46" s="81" t="s">
        <v>588</v>
      </c>
      <c r="B46" s="80">
        <v>5102</v>
      </c>
      <c r="C46" s="80">
        <v>18</v>
      </c>
      <c r="D46" s="232">
        <v>78</v>
      </c>
      <c r="E46" s="232">
        <v>18</v>
      </c>
      <c r="F46" s="232">
        <v>0</v>
      </c>
      <c r="G46" s="232">
        <v>0</v>
      </c>
      <c r="H46" s="232">
        <v>1</v>
      </c>
      <c r="I46" s="232">
        <v>1</v>
      </c>
      <c r="J46" s="232">
        <v>3</v>
      </c>
      <c r="K46" s="80">
        <v>60</v>
      </c>
      <c r="L46" s="232">
        <v>2202</v>
      </c>
      <c r="M46" s="232" t="s">
        <v>589</v>
      </c>
      <c r="N46" s="80">
        <v>0</v>
      </c>
    </row>
    <row r="47" ht="23.1" customHeight="1" spans="1:14">
      <c r="A47" s="81" t="s">
        <v>588</v>
      </c>
      <c r="B47" s="80">
        <v>5102</v>
      </c>
      <c r="C47" s="80">
        <v>19</v>
      </c>
      <c r="D47" s="232">
        <v>79</v>
      </c>
      <c r="E47" s="232">
        <v>19</v>
      </c>
      <c r="F47" s="232">
        <v>0</v>
      </c>
      <c r="G47" s="232">
        <v>0</v>
      </c>
      <c r="H47" s="232">
        <v>1</v>
      </c>
      <c r="I47" s="232">
        <v>1</v>
      </c>
      <c r="J47" s="232">
        <v>3</v>
      </c>
      <c r="K47" s="80">
        <v>60</v>
      </c>
      <c r="L47" s="232">
        <v>2202</v>
      </c>
      <c r="M47" s="232" t="s">
        <v>589</v>
      </c>
      <c r="N47" s="80">
        <v>0</v>
      </c>
    </row>
    <row r="48" ht="23.1" customHeight="1" spans="1:14">
      <c r="A48" s="81" t="s">
        <v>588</v>
      </c>
      <c r="B48" s="80">
        <v>5102</v>
      </c>
      <c r="C48" s="80">
        <v>20</v>
      </c>
      <c r="D48" s="232">
        <v>80</v>
      </c>
      <c r="E48" s="232">
        <v>20</v>
      </c>
      <c r="F48" s="232">
        <v>0</v>
      </c>
      <c r="G48" s="232">
        <v>0</v>
      </c>
      <c r="H48" s="232">
        <v>1</v>
      </c>
      <c r="I48" s="232">
        <v>1</v>
      </c>
      <c r="J48" s="232">
        <v>3</v>
      </c>
      <c r="K48" s="80">
        <v>60</v>
      </c>
      <c r="L48" s="232">
        <v>2202</v>
      </c>
      <c r="M48" s="232" t="s">
        <v>589</v>
      </c>
      <c r="N48" s="80">
        <v>0</v>
      </c>
    </row>
    <row r="49" ht="23.1" customHeight="1" spans="1:14">
      <c r="A49" s="81" t="s">
        <v>588</v>
      </c>
      <c r="B49" s="80">
        <v>5102</v>
      </c>
      <c r="C49" s="80">
        <v>21</v>
      </c>
      <c r="D49" s="232">
        <v>81</v>
      </c>
      <c r="E49" s="232">
        <v>21</v>
      </c>
      <c r="F49" s="232">
        <v>0</v>
      </c>
      <c r="G49" s="232">
        <v>0</v>
      </c>
      <c r="H49" s="232">
        <v>1</v>
      </c>
      <c r="I49" s="232">
        <v>1</v>
      </c>
      <c r="J49" s="232">
        <v>3</v>
      </c>
      <c r="K49" s="80">
        <v>60</v>
      </c>
      <c r="L49" s="232">
        <v>2202</v>
      </c>
      <c r="M49" s="232" t="s">
        <v>589</v>
      </c>
      <c r="N49" s="80">
        <v>0</v>
      </c>
    </row>
    <row r="50" ht="23.1" customHeight="1" spans="1:14">
      <c r="A50" s="81" t="s">
        <v>588</v>
      </c>
      <c r="B50" s="80">
        <v>5102</v>
      </c>
      <c r="C50" s="80">
        <v>22</v>
      </c>
      <c r="D50" s="232">
        <v>82</v>
      </c>
      <c r="E50" s="232">
        <v>22</v>
      </c>
      <c r="F50" s="232">
        <v>0</v>
      </c>
      <c r="G50" s="232">
        <v>0</v>
      </c>
      <c r="H50" s="232">
        <v>1</v>
      </c>
      <c r="I50" s="232">
        <v>1</v>
      </c>
      <c r="J50" s="232">
        <v>3</v>
      </c>
      <c r="K50" s="80">
        <v>60</v>
      </c>
      <c r="L50" s="232">
        <v>2202</v>
      </c>
      <c r="M50" s="232" t="s">
        <v>589</v>
      </c>
      <c r="N50" s="80">
        <v>0</v>
      </c>
    </row>
    <row r="51" ht="23.1" customHeight="1" spans="1:14">
      <c r="A51" s="81" t="s">
        <v>588</v>
      </c>
      <c r="B51" s="80">
        <v>5102</v>
      </c>
      <c r="C51" s="80">
        <v>23</v>
      </c>
      <c r="D51" s="232">
        <v>83</v>
      </c>
      <c r="E51" s="232">
        <v>23</v>
      </c>
      <c r="F51" s="232">
        <v>0</v>
      </c>
      <c r="G51" s="232">
        <v>0</v>
      </c>
      <c r="H51" s="232">
        <v>1</v>
      </c>
      <c r="I51" s="232">
        <v>1</v>
      </c>
      <c r="J51" s="232">
        <v>3</v>
      </c>
      <c r="K51" s="80">
        <v>60</v>
      </c>
      <c r="L51" s="232">
        <v>2202</v>
      </c>
      <c r="M51" s="232" t="s">
        <v>589</v>
      </c>
      <c r="N51" s="80">
        <v>0</v>
      </c>
    </row>
    <row r="52" ht="23.1" customHeight="1" spans="1:14">
      <c r="A52" s="81" t="s">
        <v>588</v>
      </c>
      <c r="B52" s="80">
        <v>5102</v>
      </c>
      <c r="C52" s="80">
        <v>24</v>
      </c>
      <c r="D52" s="232">
        <v>84</v>
      </c>
      <c r="E52" s="232">
        <v>24</v>
      </c>
      <c r="F52" s="232">
        <v>0</v>
      </c>
      <c r="G52" s="232">
        <v>0</v>
      </c>
      <c r="H52" s="232">
        <v>1</v>
      </c>
      <c r="I52" s="232">
        <v>1</v>
      </c>
      <c r="J52" s="232">
        <v>3</v>
      </c>
      <c r="K52" s="80">
        <v>60</v>
      </c>
      <c r="L52" s="232">
        <v>2202</v>
      </c>
      <c r="M52" s="232" t="s">
        <v>589</v>
      </c>
      <c r="N52" s="80">
        <v>0</v>
      </c>
    </row>
    <row r="53" ht="23.1" customHeight="1" spans="1:14">
      <c r="A53" s="81" t="s">
        <v>588</v>
      </c>
      <c r="B53" s="80">
        <v>5102</v>
      </c>
      <c r="C53" s="80">
        <v>25</v>
      </c>
      <c r="D53" s="232">
        <v>85</v>
      </c>
      <c r="E53" s="232">
        <v>25</v>
      </c>
      <c r="F53" s="232">
        <v>0</v>
      </c>
      <c r="G53" s="232">
        <v>0</v>
      </c>
      <c r="H53" s="232">
        <v>1</v>
      </c>
      <c r="I53" s="232">
        <v>1</v>
      </c>
      <c r="J53" s="232">
        <v>3</v>
      </c>
      <c r="K53" s="80">
        <v>60</v>
      </c>
      <c r="L53" s="232">
        <v>2202</v>
      </c>
      <c r="M53" s="232" t="s">
        <v>589</v>
      </c>
      <c r="N53" s="80">
        <v>0</v>
      </c>
    </row>
    <row r="54" ht="23.1" customHeight="1" spans="1:14">
      <c r="A54" s="244" t="s">
        <v>590</v>
      </c>
      <c r="B54" s="80">
        <v>5103</v>
      </c>
      <c r="C54" s="80">
        <v>1</v>
      </c>
      <c r="D54" s="232">
        <v>200</v>
      </c>
      <c r="E54" s="232">
        <v>0</v>
      </c>
      <c r="F54" s="232">
        <v>0</v>
      </c>
      <c r="G54" s="232">
        <v>20</v>
      </c>
      <c r="H54" s="232">
        <v>10</v>
      </c>
      <c r="I54" s="232">
        <v>0.3</v>
      </c>
      <c r="J54" s="232">
        <v>0</v>
      </c>
      <c r="K54" s="80">
        <v>60</v>
      </c>
      <c r="L54" s="232">
        <v>2203</v>
      </c>
      <c r="M54" s="80" t="s">
        <v>587</v>
      </c>
      <c r="N54" s="80">
        <v>0</v>
      </c>
    </row>
    <row r="55" ht="23.1" customHeight="1" spans="1:14">
      <c r="A55" s="244" t="s">
        <v>590</v>
      </c>
      <c r="B55" s="80">
        <v>5103</v>
      </c>
      <c r="C55" s="80">
        <v>2</v>
      </c>
      <c r="D55" s="232">
        <v>260</v>
      </c>
      <c r="E55" s="232">
        <v>0</v>
      </c>
      <c r="F55" s="232">
        <v>0</v>
      </c>
      <c r="G55" s="232">
        <v>26</v>
      </c>
      <c r="H55" s="232">
        <v>10</v>
      </c>
      <c r="I55" s="232">
        <v>0.3</v>
      </c>
      <c r="J55" s="232">
        <v>0</v>
      </c>
      <c r="K55" s="80">
        <v>60</v>
      </c>
      <c r="L55" s="232">
        <v>2203</v>
      </c>
      <c r="M55" s="80" t="s">
        <v>587</v>
      </c>
      <c r="N55" s="80">
        <v>0</v>
      </c>
    </row>
    <row r="56" ht="23.1" customHeight="1" spans="1:14">
      <c r="A56" s="244" t="s">
        <v>590</v>
      </c>
      <c r="B56" s="80">
        <v>5103</v>
      </c>
      <c r="C56" s="80">
        <v>3</v>
      </c>
      <c r="D56" s="232">
        <v>320</v>
      </c>
      <c r="E56" s="232">
        <v>0</v>
      </c>
      <c r="F56" s="232">
        <v>0</v>
      </c>
      <c r="G56" s="232">
        <v>32</v>
      </c>
      <c r="H56" s="232">
        <v>10</v>
      </c>
      <c r="I56" s="232">
        <v>0.3</v>
      </c>
      <c r="J56" s="232">
        <v>0</v>
      </c>
      <c r="K56" s="80">
        <v>60</v>
      </c>
      <c r="L56" s="232">
        <v>2203</v>
      </c>
      <c r="M56" s="80" t="s">
        <v>587</v>
      </c>
      <c r="N56" s="80">
        <v>0</v>
      </c>
    </row>
    <row r="57" ht="23.1" customHeight="1" spans="1:14">
      <c r="A57" s="244" t="s">
        <v>590</v>
      </c>
      <c r="B57" s="80">
        <v>5103</v>
      </c>
      <c r="C57" s="80">
        <v>4</v>
      </c>
      <c r="D57" s="232">
        <v>360</v>
      </c>
      <c r="E57" s="232">
        <v>0</v>
      </c>
      <c r="F57" s="232">
        <v>0</v>
      </c>
      <c r="G57" s="232">
        <v>36</v>
      </c>
      <c r="H57" s="232">
        <v>10</v>
      </c>
      <c r="I57" s="232">
        <v>0.3</v>
      </c>
      <c r="J57" s="232">
        <v>0</v>
      </c>
      <c r="K57" s="80">
        <v>60</v>
      </c>
      <c r="L57" s="232">
        <v>2203</v>
      </c>
      <c r="M57" s="80" t="s">
        <v>587</v>
      </c>
      <c r="N57" s="80">
        <v>0</v>
      </c>
    </row>
    <row r="58" ht="23.1" customHeight="1" spans="1:14">
      <c r="A58" s="244" t="s">
        <v>590</v>
      </c>
      <c r="B58" s="80">
        <v>5103</v>
      </c>
      <c r="C58" s="80">
        <v>5</v>
      </c>
      <c r="D58" s="232">
        <v>400</v>
      </c>
      <c r="E58" s="232">
        <v>0</v>
      </c>
      <c r="F58" s="232">
        <v>0</v>
      </c>
      <c r="G58" s="232">
        <v>40</v>
      </c>
      <c r="H58" s="232">
        <v>10</v>
      </c>
      <c r="I58" s="232">
        <v>0.3</v>
      </c>
      <c r="J58" s="232">
        <v>0</v>
      </c>
      <c r="K58" s="80">
        <v>60</v>
      </c>
      <c r="L58" s="232">
        <v>2203</v>
      </c>
      <c r="M58" s="80" t="s">
        <v>587</v>
      </c>
      <c r="N58" s="80">
        <v>0</v>
      </c>
    </row>
    <row r="59" ht="23.1" customHeight="1" spans="1:14">
      <c r="A59" s="244" t="s">
        <v>590</v>
      </c>
      <c r="B59" s="80">
        <v>5103</v>
      </c>
      <c r="C59" s="80">
        <v>6</v>
      </c>
      <c r="D59" s="232">
        <v>440</v>
      </c>
      <c r="E59" s="232">
        <v>0</v>
      </c>
      <c r="F59" s="232">
        <v>0</v>
      </c>
      <c r="G59" s="232">
        <v>44</v>
      </c>
      <c r="H59" s="232">
        <v>10</v>
      </c>
      <c r="I59" s="232">
        <v>0.3</v>
      </c>
      <c r="J59" s="232">
        <v>0</v>
      </c>
      <c r="K59" s="80">
        <v>60</v>
      </c>
      <c r="L59" s="232">
        <v>2203</v>
      </c>
      <c r="M59" s="80" t="s">
        <v>587</v>
      </c>
      <c r="N59" s="80">
        <v>0</v>
      </c>
    </row>
    <row r="60" ht="23.1" customHeight="1" spans="1:14">
      <c r="A60" s="244" t="s">
        <v>590</v>
      </c>
      <c r="B60" s="80">
        <v>5103</v>
      </c>
      <c r="C60" s="80">
        <v>7</v>
      </c>
      <c r="D60" s="232">
        <v>480</v>
      </c>
      <c r="E60" s="232">
        <v>0</v>
      </c>
      <c r="F60" s="232">
        <v>0</v>
      </c>
      <c r="G60" s="232">
        <v>48</v>
      </c>
      <c r="H60" s="232">
        <v>10</v>
      </c>
      <c r="I60" s="232">
        <v>0.3</v>
      </c>
      <c r="J60" s="232">
        <v>0</v>
      </c>
      <c r="K60" s="80">
        <v>60</v>
      </c>
      <c r="L60" s="232">
        <v>2203</v>
      </c>
      <c r="M60" s="80" t="s">
        <v>587</v>
      </c>
      <c r="N60" s="80">
        <v>0</v>
      </c>
    </row>
    <row r="61" ht="23.1" customHeight="1" spans="1:14">
      <c r="A61" s="244" t="s">
        <v>590</v>
      </c>
      <c r="B61" s="80">
        <v>5103</v>
      </c>
      <c r="C61" s="80">
        <v>8</v>
      </c>
      <c r="D61" s="232">
        <v>520</v>
      </c>
      <c r="E61" s="232">
        <v>0</v>
      </c>
      <c r="F61" s="232">
        <v>0</v>
      </c>
      <c r="G61" s="232">
        <v>52</v>
      </c>
      <c r="H61" s="232">
        <v>10</v>
      </c>
      <c r="I61" s="232">
        <v>0.3</v>
      </c>
      <c r="J61" s="232">
        <v>0</v>
      </c>
      <c r="K61" s="80">
        <v>60</v>
      </c>
      <c r="L61" s="232">
        <v>2203</v>
      </c>
      <c r="M61" s="80" t="s">
        <v>587</v>
      </c>
      <c r="N61" s="80">
        <v>0</v>
      </c>
    </row>
    <row r="62" ht="23.1" customHeight="1" spans="1:14">
      <c r="A62" s="244" t="s">
        <v>590</v>
      </c>
      <c r="B62" s="80">
        <v>5103</v>
      </c>
      <c r="C62" s="80">
        <v>9</v>
      </c>
      <c r="D62" s="232">
        <v>560</v>
      </c>
      <c r="E62" s="232">
        <v>0</v>
      </c>
      <c r="F62" s="232">
        <v>0</v>
      </c>
      <c r="G62" s="232">
        <v>56</v>
      </c>
      <c r="H62" s="232">
        <v>10</v>
      </c>
      <c r="I62" s="232">
        <v>0.3</v>
      </c>
      <c r="J62" s="232">
        <v>0</v>
      </c>
      <c r="K62" s="80">
        <v>60</v>
      </c>
      <c r="L62" s="232">
        <v>2203</v>
      </c>
      <c r="M62" s="80" t="s">
        <v>587</v>
      </c>
      <c r="N62" s="80">
        <v>0</v>
      </c>
    </row>
    <row r="63" ht="23.1" customHeight="1" spans="1:14">
      <c r="A63" s="244" t="s">
        <v>590</v>
      </c>
      <c r="B63" s="80">
        <v>5103</v>
      </c>
      <c r="C63" s="80">
        <v>10</v>
      </c>
      <c r="D63" s="232">
        <v>600</v>
      </c>
      <c r="E63" s="232">
        <v>0</v>
      </c>
      <c r="F63" s="232">
        <v>0</v>
      </c>
      <c r="G63" s="232">
        <v>60</v>
      </c>
      <c r="H63" s="232">
        <v>10</v>
      </c>
      <c r="I63" s="232">
        <v>0.3</v>
      </c>
      <c r="J63" s="232">
        <v>0</v>
      </c>
      <c r="K63" s="80">
        <v>60</v>
      </c>
      <c r="L63" s="232">
        <v>2203</v>
      </c>
      <c r="M63" s="80" t="s">
        <v>587</v>
      </c>
      <c r="N63" s="80">
        <v>0</v>
      </c>
    </row>
    <row r="64" ht="23.1" customHeight="1" spans="1:14">
      <c r="A64" s="244" t="s">
        <v>590</v>
      </c>
      <c r="B64" s="80">
        <v>5103</v>
      </c>
      <c r="C64" s="80">
        <v>11</v>
      </c>
      <c r="D64" s="232">
        <v>640</v>
      </c>
      <c r="E64" s="232">
        <v>0</v>
      </c>
      <c r="F64" s="232">
        <v>0</v>
      </c>
      <c r="G64" s="232">
        <v>64</v>
      </c>
      <c r="H64" s="232">
        <v>10</v>
      </c>
      <c r="I64" s="232">
        <v>0.3</v>
      </c>
      <c r="J64" s="232">
        <v>0</v>
      </c>
      <c r="K64" s="80">
        <v>60</v>
      </c>
      <c r="L64" s="232">
        <v>2203</v>
      </c>
      <c r="M64" s="80" t="s">
        <v>587</v>
      </c>
      <c r="N64" s="80">
        <v>0</v>
      </c>
    </row>
    <row r="65" ht="23.1" customHeight="1" spans="1:14">
      <c r="A65" s="244" t="s">
        <v>590</v>
      </c>
      <c r="B65" s="80">
        <v>5103</v>
      </c>
      <c r="C65" s="80">
        <v>12</v>
      </c>
      <c r="D65" s="232">
        <v>680</v>
      </c>
      <c r="E65" s="232">
        <v>0</v>
      </c>
      <c r="F65" s="232">
        <v>0</v>
      </c>
      <c r="G65" s="232">
        <v>68</v>
      </c>
      <c r="H65" s="232">
        <v>10</v>
      </c>
      <c r="I65" s="232">
        <v>0.3</v>
      </c>
      <c r="J65" s="232">
        <v>0</v>
      </c>
      <c r="K65" s="80">
        <v>60</v>
      </c>
      <c r="L65" s="232">
        <v>2203</v>
      </c>
      <c r="M65" s="80" t="s">
        <v>587</v>
      </c>
      <c r="N65" s="80">
        <v>0</v>
      </c>
    </row>
    <row r="66" ht="23.1" customHeight="1" spans="1:14">
      <c r="A66" s="244" t="s">
        <v>590</v>
      </c>
      <c r="B66" s="80">
        <v>5103</v>
      </c>
      <c r="C66" s="80">
        <v>13</v>
      </c>
      <c r="D66" s="232">
        <v>720</v>
      </c>
      <c r="E66" s="232">
        <v>0</v>
      </c>
      <c r="F66" s="232">
        <v>0</v>
      </c>
      <c r="G66" s="232">
        <v>72</v>
      </c>
      <c r="H66" s="232">
        <v>10</v>
      </c>
      <c r="I66" s="232">
        <v>0.3</v>
      </c>
      <c r="J66" s="232">
        <v>0</v>
      </c>
      <c r="K66" s="80">
        <v>60</v>
      </c>
      <c r="L66" s="232">
        <v>2203</v>
      </c>
      <c r="M66" s="80" t="s">
        <v>587</v>
      </c>
      <c r="N66" s="80">
        <v>0</v>
      </c>
    </row>
    <row r="67" ht="23.1" customHeight="1" spans="1:14">
      <c r="A67" s="244" t="s">
        <v>590</v>
      </c>
      <c r="B67" s="80">
        <v>5103</v>
      </c>
      <c r="C67" s="80">
        <v>14</v>
      </c>
      <c r="D67" s="232">
        <v>760</v>
      </c>
      <c r="E67" s="232">
        <v>0</v>
      </c>
      <c r="F67" s="232">
        <v>0</v>
      </c>
      <c r="G67" s="232">
        <v>76</v>
      </c>
      <c r="H67" s="232">
        <v>10</v>
      </c>
      <c r="I67" s="232">
        <v>0.3</v>
      </c>
      <c r="J67" s="232">
        <v>0</v>
      </c>
      <c r="K67" s="80">
        <v>60</v>
      </c>
      <c r="L67" s="232">
        <v>2203</v>
      </c>
      <c r="M67" s="80" t="s">
        <v>587</v>
      </c>
      <c r="N67" s="80">
        <v>0</v>
      </c>
    </row>
    <row r="68" ht="23.1" customHeight="1" spans="1:14">
      <c r="A68" s="244" t="s">
        <v>590</v>
      </c>
      <c r="B68" s="80">
        <v>5103</v>
      </c>
      <c r="C68" s="80">
        <v>15</v>
      </c>
      <c r="D68" s="232">
        <v>800</v>
      </c>
      <c r="E68" s="232">
        <v>0</v>
      </c>
      <c r="F68" s="232">
        <v>0</v>
      </c>
      <c r="G68" s="232">
        <v>80</v>
      </c>
      <c r="H68" s="232">
        <v>10</v>
      </c>
      <c r="I68" s="232">
        <v>0.3</v>
      </c>
      <c r="J68" s="232">
        <v>0</v>
      </c>
      <c r="K68" s="80">
        <v>60</v>
      </c>
      <c r="L68" s="232">
        <v>2203</v>
      </c>
      <c r="M68" s="80" t="s">
        <v>587</v>
      </c>
      <c r="N68" s="80">
        <v>0</v>
      </c>
    </row>
    <row r="69" ht="23.1" customHeight="1" spans="1:14">
      <c r="A69" s="244" t="s">
        <v>590</v>
      </c>
      <c r="B69" s="80">
        <v>5103</v>
      </c>
      <c r="C69" s="80">
        <v>16</v>
      </c>
      <c r="D69" s="232">
        <v>840</v>
      </c>
      <c r="E69" s="232">
        <v>0</v>
      </c>
      <c r="F69" s="232">
        <v>0</v>
      </c>
      <c r="G69" s="232">
        <v>84</v>
      </c>
      <c r="H69" s="232">
        <v>10</v>
      </c>
      <c r="I69" s="232">
        <v>0.3</v>
      </c>
      <c r="J69" s="232">
        <v>0</v>
      </c>
      <c r="K69" s="80">
        <v>60</v>
      </c>
      <c r="L69" s="232">
        <v>2203</v>
      </c>
      <c r="M69" s="80" t="s">
        <v>587</v>
      </c>
      <c r="N69" s="80">
        <v>0</v>
      </c>
    </row>
    <row r="70" ht="23.1" customHeight="1" spans="1:14">
      <c r="A70" s="244" t="s">
        <v>590</v>
      </c>
      <c r="B70" s="80">
        <v>5103</v>
      </c>
      <c r="C70" s="80">
        <v>17</v>
      </c>
      <c r="D70" s="232">
        <v>880</v>
      </c>
      <c r="E70" s="232">
        <v>0</v>
      </c>
      <c r="F70" s="232">
        <v>0</v>
      </c>
      <c r="G70" s="232">
        <v>88</v>
      </c>
      <c r="H70" s="232">
        <v>10</v>
      </c>
      <c r="I70" s="232">
        <v>0.3</v>
      </c>
      <c r="J70" s="232">
        <v>0</v>
      </c>
      <c r="K70" s="80">
        <v>60</v>
      </c>
      <c r="L70" s="232">
        <v>2203</v>
      </c>
      <c r="M70" s="80" t="s">
        <v>587</v>
      </c>
      <c r="N70" s="80">
        <v>0</v>
      </c>
    </row>
    <row r="71" ht="23.1" customHeight="1" spans="1:14">
      <c r="A71" s="244" t="s">
        <v>590</v>
      </c>
      <c r="B71" s="80">
        <v>5103</v>
      </c>
      <c r="C71" s="80">
        <v>18</v>
      </c>
      <c r="D71" s="232">
        <v>920</v>
      </c>
      <c r="E71" s="232">
        <v>0</v>
      </c>
      <c r="F71" s="232">
        <v>0</v>
      </c>
      <c r="G71" s="232">
        <v>92</v>
      </c>
      <c r="H71" s="232">
        <v>10</v>
      </c>
      <c r="I71" s="232">
        <v>0.3</v>
      </c>
      <c r="J71" s="232">
        <v>0</v>
      </c>
      <c r="K71" s="80">
        <v>60</v>
      </c>
      <c r="L71" s="232">
        <v>2203</v>
      </c>
      <c r="M71" s="80" t="s">
        <v>587</v>
      </c>
      <c r="N71" s="80">
        <v>0</v>
      </c>
    </row>
    <row r="72" ht="23.1" customHeight="1" spans="1:14">
      <c r="A72" s="244" t="s">
        <v>590</v>
      </c>
      <c r="B72" s="80">
        <v>5103</v>
      </c>
      <c r="C72" s="80">
        <v>19</v>
      </c>
      <c r="D72" s="232">
        <v>960</v>
      </c>
      <c r="E72" s="232">
        <v>0</v>
      </c>
      <c r="F72" s="232">
        <v>0</v>
      </c>
      <c r="G72" s="232">
        <v>96</v>
      </c>
      <c r="H72" s="232">
        <v>10</v>
      </c>
      <c r="I72" s="232">
        <v>0.3</v>
      </c>
      <c r="J72" s="232">
        <v>0</v>
      </c>
      <c r="K72" s="80">
        <v>60</v>
      </c>
      <c r="L72" s="232">
        <v>2203</v>
      </c>
      <c r="M72" s="80" t="s">
        <v>587</v>
      </c>
      <c r="N72" s="80">
        <v>0</v>
      </c>
    </row>
    <row r="73" ht="23.1" customHeight="1" spans="1:14">
      <c r="A73" s="244" t="s">
        <v>590</v>
      </c>
      <c r="B73" s="80">
        <v>5103</v>
      </c>
      <c r="C73" s="80">
        <v>20</v>
      </c>
      <c r="D73" s="232">
        <v>1000</v>
      </c>
      <c r="E73" s="232">
        <v>0</v>
      </c>
      <c r="F73" s="232">
        <v>0</v>
      </c>
      <c r="G73" s="232">
        <v>100</v>
      </c>
      <c r="H73" s="232">
        <v>10</v>
      </c>
      <c r="I73" s="232">
        <v>0.3</v>
      </c>
      <c r="J73" s="232">
        <v>0</v>
      </c>
      <c r="K73" s="80">
        <v>60</v>
      </c>
      <c r="L73" s="232">
        <v>2203</v>
      </c>
      <c r="M73" s="80" t="s">
        <v>587</v>
      </c>
      <c r="N73" s="80">
        <v>0</v>
      </c>
    </row>
    <row r="74" ht="23.1" customHeight="1" spans="1:14">
      <c r="A74" s="244" t="s">
        <v>590</v>
      </c>
      <c r="B74" s="80">
        <v>5103</v>
      </c>
      <c r="C74" s="80">
        <v>21</v>
      </c>
      <c r="D74" s="232">
        <v>1040</v>
      </c>
      <c r="E74" s="232">
        <v>0</v>
      </c>
      <c r="F74" s="232">
        <v>0</v>
      </c>
      <c r="G74" s="232">
        <v>104</v>
      </c>
      <c r="H74" s="232">
        <v>10</v>
      </c>
      <c r="I74" s="232">
        <v>0.3</v>
      </c>
      <c r="J74" s="232">
        <v>0</v>
      </c>
      <c r="K74" s="80">
        <v>60</v>
      </c>
      <c r="L74" s="232">
        <v>2203</v>
      </c>
      <c r="M74" s="80" t="s">
        <v>587</v>
      </c>
      <c r="N74" s="80">
        <v>0</v>
      </c>
    </row>
    <row r="75" ht="23.1" customHeight="1" spans="1:14">
      <c r="A75" s="244" t="s">
        <v>590</v>
      </c>
      <c r="B75" s="80">
        <v>5103</v>
      </c>
      <c r="C75" s="80">
        <v>22</v>
      </c>
      <c r="D75" s="232">
        <v>1080</v>
      </c>
      <c r="E75" s="232">
        <v>0</v>
      </c>
      <c r="F75" s="232">
        <v>0</v>
      </c>
      <c r="G75" s="232">
        <v>108</v>
      </c>
      <c r="H75" s="232">
        <v>10</v>
      </c>
      <c r="I75" s="232">
        <v>0.3</v>
      </c>
      <c r="J75" s="232">
        <v>0</v>
      </c>
      <c r="K75" s="80">
        <v>60</v>
      </c>
      <c r="L75" s="232">
        <v>2203</v>
      </c>
      <c r="M75" s="80" t="s">
        <v>587</v>
      </c>
      <c r="N75" s="80">
        <v>0</v>
      </c>
    </row>
    <row r="76" ht="23.1" customHeight="1" spans="1:14">
      <c r="A76" s="244" t="s">
        <v>590</v>
      </c>
      <c r="B76" s="80">
        <v>5103</v>
      </c>
      <c r="C76" s="80">
        <v>23</v>
      </c>
      <c r="D76" s="232">
        <v>1120</v>
      </c>
      <c r="E76" s="232">
        <v>0</v>
      </c>
      <c r="F76" s="232">
        <v>0</v>
      </c>
      <c r="G76" s="232">
        <v>112</v>
      </c>
      <c r="H76" s="232">
        <v>10</v>
      </c>
      <c r="I76" s="232">
        <v>0.3</v>
      </c>
      <c r="J76" s="232">
        <v>0</v>
      </c>
      <c r="K76" s="80">
        <v>60</v>
      </c>
      <c r="L76" s="232">
        <v>2203</v>
      </c>
      <c r="M76" s="80" t="s">
        <v>587</v>
      </c>
      <c r="N76" s="80">
        <v>0</v>
      </c>
    </row>
    <row r="77" ht="23.1" customHeight="1" spans="1:14">
      <c r="A77" s="244" t="s">
        <v>590</v>
      </c>
      <c r="B77" s="80">
        <v>5103</v>
      </c>
      <c r="C77" s="80">
        <v>24</v>
      </c>
      <c r="D77" s="232">
        <v>1160</v>
      </c>
      <c r="E77" s="232">
        <v>0</v>
      </c>
      <c r="F77" s="232">
        <v>0</v>
      </c>
      <c r="G77" s="232">
        <v>116</v>
      </c>
      <c r="H77" s="232">
        <v>10</v>
      </c>
      <c r="I77" s="232">
        <v>0.3</v>
      </c>
      <c r="J77" s="232">
        <v>0</v>
      </c>
      <c r="K77" s="80">
        <v>60</v>
      </c>
      <c r="L77" s="232">
        <v>2203</v>
      </c>
      <c r="M77" s="80" t="s">
        <v>587</v>
      </c>
      <c r="N77" s="80">
        <v>0</v>
      </c>
    </row>
    <row r="78" ht="23.1" customHeight="1" spans="1:14">
      <c r="A78" s="244" t="s">
        <v>590</v>
      </c>
      <c r="B78" s="80">
        <v>5103</v>
      </c>
      <c r="C78" s="80">
        <v>25</v>
      </c>
      <c r="D78" s="232">
        <v>1200</v>
      </c>
      <c r="E78" s="232">
        <v>0</v>
      </c>
      <c r="F78" s="232">
        <v>0</v>
      </c>
      <c r="G78" s="232">
        <v>120</v>
      </c>
      <c r="H78" s="232">
        <v>10</v>
      </c>
      <c r="I78" s="232">
        <v>0.3</v>
      </c>
      <c r="J78" s="232">
        <v>0</v>
      </c>
      <c r="K78" s="80">
        <v>60</v>
      </c>
      <c r="L78" s="232">
        <v>2203</v>
      </c>
      <c r="M78" s="80" t="s">
        <v>587</v>
      </c>
      <c r="N78" s="80">
        <v>0</v>
      </c>
    </row>
    <row r="79" ht="23.1" customHeight="1" spans="1:14">
      <c r="A79" s="81" t="s">
        <v>591</v>
      </c>
      <c r="B79" s="80">
        <v>5104</v>
      </c>
      <c r="C79" s="80">
        <v>1</v>
      </c>
      <c r="D79" s="232">
        <v>80</v>
      </c>
      <c r="E79" s="232">
        <v>0</v>
      </c>
      <c r="F79" s="232">
        <v>50</v>
      </c>
      <c r="G79" s="232">
        <v>0</v>
      </c>
      <c r="H79" s="232">
        <v>1</v>
      </c>
      <c r="I79" s="232">
        <v>1</v>
      </c>
      <c r="J79" s="232">
        <v>10</v>
      </c>
      <c r="K79" s="80">
        <v>60</v>
      </c>
      <c r="L79" s="232">
        <v>2204</v>
      </c>
      <c r="M79" s="232" t="s">
        <v>589</v>
      </c>
      <c r="N79" s="80">
        <v>0</v>
      </c>
    </row>
    <row r="80" ht="23.1" customHeight="1" spans="1:14">
      <c r="A80" s="81" t="s">
        <v>591</v>
      </c>
      <c r="B80" s="80">
        <v>5104</v>
      </c>
      <c r="C80" s="80">
        <v>2</v>
      </c>
      <c r="D80" s="232">
        <v>81</v>
      </c>
      <c r="E80" s="232">
        <v>0</v>
      </c>
      <c r="F80" s="232">
        <v>70</v>
      </c>
      <c r="G80" s="232">
        <v>0</v>
      </c>
      <c r="H80" s="232">
        <v>1</v>
      </c>
      <c r="I80" s="232">
        <v>1</v>
      </c>
      <c r="J80" s="232">
        <v>10.5</v>
      </c>
      <c r="K80" s="80">
        <v>60</v>
      </c>
      <c r="L80" s="232">
        <v>2204</v>
      </c>
      <c r="M80" s="232" t="s">
        <v>589</v>
      </c>
      <c r="N80" s="80">
        <v>0</v>
      </c>
    </row>
    <row r="81" ht="23.1" customHeight="1" spans="1:14">
      <c r="A81" s="81" t="s">
        <v>591</v>
      </c>
      <c r="B81" s="80">
        <v>5104</v>
      </c>
      <c r="C81" s="80">
        <v>3</v>
      </c>
      <c r="D81" s="232">
        <v>82</v>
      </c>
      <c r="E81" s="232">
        <v>0</v>
      </c>
      <c r="F81" s="232">
        <v>90</v>
      </c>
      <c r="G81" s="232">
        <v>0</v>
      </c>
      <c r="H81" s="232">
        <v>1</v>
      </c>
      <c r="I81" s="232">
        <v>1</v>
      </c>
      <c r="J81" s="232">
        <v>11</v>
      </c>
      <c r="K81" s="80">
        <v>60</v>
      </c>
      <c r="L81" s="232">
        <v>2204</v>
      </c>
      <c r="M81" s="232" t="s">
        <v>589</v>
      </c>
      <c r="N81" s="80">
        <v>0</v>
      </c>
    </row>
    <row r="82" ht="23.1" customHeight="1" spans="1:14">
      <c r="A82" s="81" t="s">
        <v>591</v>
      </c>
      <c r="B82" s="80">
        <v>5104</v>
      </c>
      <c r="C82" s="80">
        <v>4</v>
      </c>
      <c r="D82" s="232">
        <v>82</v>
      </c>
      <c r="E82" s="232">
        <v>0</v>
      </c>
      <c r="F82" s="232">
        <v>115</v>
      </c>
      <c r="G82" s="232">
        <v>0</v>
      </c>
      <c r="H82" s="232">
        <v>1</v>
      </c>
      <c r="I82" s="232">
        <v>1</v>
      </c>
      <c r="J82" s="232">
        <v>11.5</v>
      </c>
      <c r="K82" s="80">
        <v>60</v>
      </c>
      <c r="L82" s="232">
        <v>2204</v>
      </c>
      <c r="M82" s="232" t="s">
        <v>589</v>
      </c>
      <c r="N82" s="80">
        <v>0</v>
      </c>
    </row>
    <row r="83" ht="23.1" customHeight="1" spans="1:14">
      <c r="A83" s="81" t="s">
        <v>591</v>
      </c>
      <c r="B83" s="80">
        <v>5104</v>
      </c>
      <c r="C83" s="80">
        <v>5</v>
      </c>
      <c r="D83" s="232">
        <v>83</v>
      </c>
      <c r="E83" s="232">
        <v>0</v>
      </c>
      <c r="F83" s="232">
        <v>140</v>
      </c>
      <c r="G83" s="232">
        <v>0</v>
      </c>
      <c r="H83" s="232">
        <v>1</v>
      </c>
      <c r="I83" s="232">
        <v>1</v>
      </c>
      <c r="J83" s="232">
        <v>12</v>
      </c>
      <c r="K83" s="80">
        <v>60</v>
      </c>
      <c r="L83" s="232">
        <v>2204</v>
      </c>
      <c r="M83" s="232" t="s">
        <v>589</v>
      </c>
      <c r="N83" s="80">
        <v>0</v>
      </c>
    </row>
    <row r="84" ht="23.1" customHeight="1" spans="1:14">
      <c r="A84" s="81" t="s">
        <v>591</v>
      </c>
      <c r="B84" s="80">
        <v>5104</v>
      </c>
      <c r="C84" s="80">
        <v>6</v>
      </c>
      <c r="D84" s="232">
        <v>83</v>
      </c>
      <c r="E84" s="232">
        <v>0</v>
      </c>
      <c r="F84" s="232">
        <v>160</v>
      </c>
      <c r="G84" s="232">
        <v>0</v>
      </c>
      <c r="H84" s="232">
        <v>1</v>
      </c>
      <c r="I84" s="232">
        <v>1</v>
      </c>
      <c r="J84" s="232">
        <v>12.5</v>
      </c>
      <c r="K84" s="80">
        <v>60</v>
      </c>
      <c r="L84" s="232">
        <v>2204</v>
      </c>
      <c r="M84" s="232" t="s">
        <v>589</v>
      </c>
      <c r="N84" s="80">
        <v>0</v>
      </c>
    </row>
    <row r="85" ht="23.1" customHeight="1" spans="1:14">
      <c r="A85" s="81" t="s">
        <v>591</v>
      </c>
      <c r="B85" s="80">
        <v>5104</v>
      </c>
      <c r="C85" s="80">
        <v>7</v>
      </c>
      <c r="D85" s="232">
        <v>84</v>
      </c>
      <c r="E85" s="232">
        <v>0</v>
      </c>
      <c r="F85" s="232">
        <v>180</v>
      </c>
      <c r="G85" s="232">
        <v>0</v>
      </c>
      <c r="H85" s="232">
        <v>1</v>
      </c>
      <c r="I85" s="232">
        <v>1</v>
      </c>
      <c r="J85" s="232">
        <v>13</v>
      </c>
      <c r="K85" s="80">
        <v>60</v>
      </c>
      <c r="L85" s="232">
        <v>2204</v>
      </c>
      <c r="M85" s="232" t="s">
        <v>589</v>
      </c>
      <c r="N85" s="80">
        <v>0</v>
      </c>
    </row>
    <row r="86" ht="23.1" customHeight="1" spans="1:14">
      <c r="A86" s="81" t="s">
        <v>591</v>
      </c>
      <c r="B86" s="80">
        <v>5104</v>
      </c>
      <c r="C86" s="80">
        <v>8</v>
      </c>
      <c r="D86" s="232">
        <v>84</v>
      </c>
      <c r="E86" s="232">
        <v>0</v>
      </c>
      <c r="F86" s="232">
        <v>200</v>
      </c>
      <c r="G86" s="232">
        <v>0</v>
      </c>
      <c r="H86" s="232">
        <v>1</v>
      </c>
      <c r="I86" s="232">
        <v>1</v>
      </c>
      <c r="J86" s="232">
        <v>13.5</v>
      </c>
      <c r="K86" s="80">
        <v>60</v>
      </c>
      <c r="L86" s="232">
        <v>2204</v>
      </c>
      <c r="M86" s="232" t="s">
        <v>589</v>
      </c>
      <c r="N86" s="80">
        <v>0</v>
      </c>
    </row>
    <row r="87" ht="23.1" customHeight="1" spans="1:14">
      <c r="A87" s="81" t="s">
        <v>591</v>
      </c>
      <c r="B87" s="80">
        <v>5104</v>
      </c>
      <c r="C87" s="80">
        <v>9</v>
      </c>
      <c r="D87" s="232">
        <v>85</v>
      </c>
      <c r="E87" s="232">
        <v>0</v>
      </c>
      <c r="F87" s="232">
        <v>220</v>
      </c>
      <c r="G87" s="232">
        <v>0</v>
      </c>
      <c r="H87" s="232">
        <v>1</v>
      </c>
      <c r="I87" s="232">
        <v>1</v>
      </c>
      <c r="J87" s="232">
        <v>14</v>
      </c>
      <c r="K87" s="80">
        <v>60</v>
      </c>
      <c r="L87" s="232">
        <v>2204</v>
      </c>
      <c r="M87" s="232" t="s">
        <v>589</v>
      </c>
      <c r="N87" s="80">
        <v>0</v>
      </c>
    </row>
    <row r="88" ht="23.1" customHeight="1" spans="1:14">
      <c r="A88" s="81" t="s">
        <v>591</v>
      </c>
      <c r="B88" s="80">
        <v>5104</v>
      </c>
      <c r="C88" s="80">
        <v>10</v>
      </c>
      <c r="D88" s="232">
        <v>85</v>
      </c>
      <c r="E88" s="232">
        <v>0</v>
      </c>
      <c r="F88" s="232">
        <v>240</v>
      </c>
      <c r="G88" s="232">
        <v>0</v>
      </c>
      <c r="H88" s="232">
        <v>1</v>
      </c>
      <c r="I88" s="232">
        <v>1</v>
      </c>
      <c r="J88" s="232">
        <v>14.5</v>
      </c>
      <c r="K88" s="80">
        <v>60</v>
      </c>
      <c r="L88" s="232">
        <v>2204</v>
      </c>
      <c r="M88" s="232" t="s">
        <v>589</v>
      </c>
      <c r="N88" s="80">
        <v>0</v>
      </c>
    </row>
    <row r="89" ht="23.1" customHeight="1" spans="1:14">
      <c r="A89" s="81" t="s">
        <v>591</v>
      </c>
      <c r="B89" s="80">
        <v>5104</v>
      </c>
      <c r="C89" s="80">
        <v>11</v>
      </c>
      <c r="D89" s="232">
        <v>86</v>
      </c>
      <c r="E89" s="232">
        <v>0</v>
      </c>
      <c r="F89" s="232">
        <v>260</v>
      </c>
      <c r="G89" s="232">
        <v>0</v>
      </c>
      <c r="H89" s="232">
        <v>1</v>
      </c>
      <c r="I89" s="232">
        <v>1</v>
      </c>
      <c r="J89" s="232">
        <v>15</v>
      </c>
      <c r="K89" s="80">
        <v>60</v>
      </c>
      <c r="L89" s="232">
        <v>2204</v>
      </c>
      <c r="M89" s="232" t="s">
        <v>589</v>
      </c>
      <c r="N89" s="80">
        <v>0</v>
      </c>
    </row>
    <row r="90" ht="23.1" customHeight="1" spans="1:14">
      <c r="A90" s="81" t="s">
        <v>591</v>
      </c>
      <c r="B90" s="80">
        <v>5104</v>
      </c>
      <c r="C90" s="80">
        <v>12</v>
      </c>
      <c r="D90" s="232">
        <v>86</v>
      </c>
      <c r="E90" s="232">
        <v>0</v>
      </c>
      <c r="F90" s="232">
        <v>280</v>
      </c>
      <c r="G90" s="232">
        <v>0</v>
      </c>
      <c r="H90" s="232">
        <v>1</v>
      </c>
      <c r="I90" s="232">
        <v>1</v>
      </c>
      <c r="J90" s="232">
        <v>15.5</v>
      </c>
      <c r="K90" s="80">
        <v>60</v>
      </c>
      <c r="L90" s="232">
        <v>2204</v>
      </c>
      <c r="M90" s="232" t="s">
        <v>589</v>
      </c>
      <c r="N90" s="80">
        <v>0</v>
      </c>
    </row>
    <row r="91" ht="23.1" customHeight="1" spans="1:14">
      <c r="A91" s="81" t="s">
        <v>591</v>
      </c>
      <c r="B91" s="80">
        <v>5104</v>
      </c>
      <c r="C91" s="80">
        <v>13</v>
      </c>
      <c r="D91" s="232">
        <v>87</v>
      </c>
      <c r="E91" s="232">
        <v>0</v>
      </c>
      <c r="F91" s="232">
        <v>300</v>
      </c>
      <c r="G91" s="232">
        <v>0</v>
      </c>
      <c r="H91" s="232">
        <v>1</v>
      </c>
      <c r="I91" s="232">
        <v>1</v>
      </c>
      <c r="J91" s="232">
        <v>16</v>
      </c>
      <c r="K91" s="80">
        <v>60</v>
      </c>
      <c r="L91" s="232">
        <v>2204</v>
      </c>
      <c r="M91" s="232" t="s">
        <v>589</v>
      </c>
      <c r="N91" s="80">
        <v>0</v>
      </c>
    </row>
    <row r="92" ht="23.1" customHeight="1" spans="1:14">
      <c r="A92" s="81" t="s">
        <v>591</v>
      </c>
      <c r="B92" s="80">
        <v>5104</v>
      </c>
      <c r="C92" s="80">
        <v>14</v>
      </c>
      <c r="D92" s="232">
        <v>87</v>
      </c>
      <c r="E92" s="232">
        <v>0</v>
      </c>
      <c r="F92" s="232">
        <v>320</v>
      </c>
      <c r="G92" s="232">
        <v>0</v>
      </c>
      <c r="H92" s="232">
        <v>1</v>
      </c>
      <c r="I92" s="232">
        <v>1</v>
      </c>
      <c r="J92" s="232">
        <v>16.5</v>
      </c>
      <c r="K92" s="80">
        <v>60</v>
      </c>
      <c r="L92" s="232">
        <v>2204</v>
      </c>
      <c r="M92" s="232" t="s">
        <v>589</v>
      </c>
      <c r="N92" s="80">
        <v>0</v>
      </c>
    </row>
    <row r="93" ht="23.1" customHeight="1" spans="1:14">
      <c r="A93" s="81" t="s">
        <v>591</v>
      </c>
      <c r="B93" s="80">
        <v>5104</v>
      </c>
      <c r="C93" s="80">
        <v>15</v>
      </c>
      <c r="D93" s="232">
        <v>88</v>
      </c>
      <c r="E93" s="232">
        <v>0</v>
      </c>
      <c r="F93" s="232">
        <v>340</v>
      </c>
      <c r="G93" s="232">
        <v>0</v>
      </c>
      <c r="H93" s="232">
        <v>1</v>
      </c>
      <c r="I93" s="232">
        <v>1</v>
      </c>
      <c r="J93" s="232">
        <v>17</v>
      </c>
      <c r="K93" s="80">
        <v>60</v>
      </c>
      <c r="L93" s="232">
        <v>2204</v>
      </c>
      <c r="M93" s="232" t="s">
        <v>589</v>
      </c>
      <c r="N93" s="80">
        <v>0</v>
      </c>
    </row>
    <row r="94" ht="23.1" customHeight="1" spans="1:14">
      <c r="A94" s="81" t="s">
        <v>591</v>
      </c>
      <c r="B94" s="80">
        <v>5104</v>
      </c>
      <c r="C94" s="80">
        <v>16</v>
      </c>
      <c r="D94" s="232">
        <v>88</v>
      </c>
      <c r="E94" s="232">
        <v>0</v>
      </c>
      <c r="F94" s="232">
        <v>360</v>
      </c>
      <c r="G94" s="232">
        <v>0</v>
      </c>
      <c r="H94" s="232">
        <v>1</v>
      </c>
      <c r="I94" s="232">
        <v>1</v>
      </c>
      <c r="J94" s="232">
        <v>17.5</v>
      </c>
      <c r="K94" s="80">
        <v>60</v>
      </c>
      <c r="L94" s="232">
        <v>2204</v>
      </c>
      <c r="M94" s="232" t="s">
        <v>589</v>
      </c>
      <c r="N94" s="80">
        <v>0</v>
      </c>
    </row>
    <row r="95" ht="23.1" customHeight="1" spans="1:14">
      <c r="A95" s="81" t="s">
        <v>591</v>
      </c>
      <c r="B95" s="80">
        <v>5104</v>
      </c>
      <c r="C95" s="80">
        <v>17</v>
      </c>
      <c r="D95" s="232">
        <v>89</v>
      </c>
      <c r="E95" s="232">
        <v>0</v>
      </c>
      <c r="F95" s="232">
        <v>380</v>
      </c>
      <c r="G95" s="232">
        <v>0</v>
      </c>
      <c r="H95" s="232">
        <v>1</v>
      </c>
      <c r="I95" s="232">
        <v>1</v>
      </c>
      <c r="J95" s="232">
        <v>18</v>
      </c>
      <c r="K95" s="80">
        <v>60</v>
      </c>
      <c r="L95" s="232">
        <v>2204</v>
      </c>
      <c r="M95" s="232" t="s">
        <v>589</v>
      </c>
      <c r="N95" s="80">
        <v>0</v>
      </c>
    </row>
    <row r="96" ht="23.1" customHeight="1" spans="1:14">
      <c r="A96" s="81" t="s">
        <v>591</v>
      </c>
      <c r="B96" s="80">
        <v>5104</v>
      </c>
      <c r="C96" s="80">
        <v>18</v>
      </c>
      <c r="D96" s="232">
        <v>89</v>
      </c>
      <c r="E96" s="232">
        <v>0</v>
      </c>
      <c r="F96" s="232">
        <v>400</v>
      </c>
      <c r="G96" s="232">
        <v>0</v>
      </c>
      <c r="H96" s="232">
        <v>1</v>
      </c>
      <c r="I96" s="232">
        <v>1</v>
      </c>
      <c r="J96" s="232">
        <v>18.5</v>
      </c>
      <c r="K96" s="80">
        <v>60</v>
      </c>
      <c r="L96" s="232">
        <v>2204</v>
      </c>
      <c r="M96" s="232" t="s">
        <v>589</v>
      </c>
      <c r="N96" s="80">
        <v>0</v>
      </c>
    </row>
    <row r="97" ht="23.1" customHeight="1" spans="1:14">
      <c r="A97" s="81" t="s">
        <v>591</v>
      </c>
      <c r="B97" s="80">
        <v>5104</v>
      </c>
      <c r="C97" s="80">
        <v>19</v>
      </c>
      <c r="D97" s="232">
        <v>90</v>
      </c>
      <c r="E97" s="232">
        <v>0</v>
      </c>
      <c r="F97" s="232">
        <v>420</v>
      </c>
      <c r="G97" s="232">
        <v>0</v>
      </c>
      <c r="H97" s="232">
        <v>1</v>
      </c>
      <c r="I97" s="232">
        <v>1</v>
      </c>
      <c r="J97" s="232">
        <v>19</v>
      </c>
      <c r="K97" s="80">
        <v>60</v>
      </c>
      <c r="L97" s="232">
        <v>2204</v>
      </c>
      <c r="M97" s="232" t="s">
        <v>589</v>
      </c>
      <c r="N97" s="80">
        <v>0</v>
      </c>
    </row>
    <row r="98" ht="23.1" customHeight="1" spans="1:14">
      <c r="A98" s="81" t="s">
        <v>591</v>
      </c>
      <c r="B98" s="80">
        <v>5104</v>
      </c>
      <c r="C98" s="80">
        <v>20</v>
      </c>
      <c r="D98" s="232">
        <v>90</v>
      </c>
      <c r="E98" s="232">
        <v>0</v>
      </c>
      <c r="F98" s="232">
        <v>450</v>
      </c>
      <c r="G98" s="232">
        <v>0</v>
      </c>
      <c r="H98" s="232">
        <v>1</v>
      </c>
      <c r="I98" s="232">
        <v>1</v>
      </c>
      <c r="J98" s="232">
        <v>20</v>
      </c>
      <c r="K98" s="80">
        <v>60</v>
      </c>
      <c r="L98" s="232">
        <v>2204</v>
      </c>
      <c r="M98" s="232" t="s">
        <v>589</v>
      </c>
      <c r="N98" s="80">
        <v>0</v>
      </c>
    </row>
    <row r="99" ht="23.1" customHeight="1" spans="1:14">
      <c r="A99" s="81" t="s">
        <v>591</v>
      </c>
      <c r="B99" s="80">
        <v>5104</v>
      </c>
      <c r="C99" s="80">
        <v>21</v>
      </c>
      <c r="D99" s="232">
        <v>91</v>
      </c>
      <c r="E99" s="232">
        <v>0</v>
      </c>
      <c r="F99" s="232">
        <v>450</v>
      </c>
      <c r="G99" s="232">
        <v>0</v>
      </c>
      <c r="H99" s="232">
        <v>1</v>
      </c>
      <c r="I99" s="232">
        <v>1</v>
      </c>
      <c r="J99" s="232">
        <v>21</v>
      </c>
      <c r="K99" s="80">
        <v>60</v>
      </c>
      <c r="L99" s="232">
        <v>2204</v>
      </c>
      <c r="M99" s="232" t="s">
        <v>589</v>
      </c>
      <c r="N99" s="80">
        <v>0</v>
      </c>
    </row>
    <row r="100" ht="23.1" customHeight="1" spans="1:14">
      <c r="A100" s="81" t="s">
        <v>591</v>
      </c>
      <c r="B100" s="80">
        <v>5104</v>
      </c>
      <c r="C100" s="80">
        <v>22</v>
      </c>
      <c r="D100" s="232">
        <v>92</v>
      </c>
      <c r="E100" s="232">
        <v>0</v>
      </c>
      <c r="F100" s="232">
        <v>450</v>
      </c>
      <c r="G100" s="232">
        <v>0</v>
      </c>
      <c r="H100" s="232">
        <v>1</v>
      </c>
      <c r="I100" s="232">
        <v>1</v>
      </c>
      <c r="J100" s="232">
        <v>22</v>
      </c>
      <c r="K100" s="80">
        <v>60</v>
      </c>
      <c r="L100" s="232">
        <v>2204</v>
      </c>
      <c r="M100" s="232" t="s">
        <v>589</v>
      </c>
      <c r="N100" s="80">
        <v>0</v>
      </c>
    </row>
    <row r="101" ht="23.1" customHeight="1" spans="1:14">
      <c r="A101" s="81" t="s">
        <v>591</v>
      </c>
      <c r="B101" s="80">
        <v>5104</v>
      </c>
      <c r="C101" s="80">
        <v>23</v>
      </c>
      <c r="D101" s="232">
        <v>93</v>
      </c>
      <c r="E101" s="232">
        <v>0</v>
      </c>
      <c r="F101" s="232">
        <v>450</v>
      </c>
      <c r="G101" s="232">
        <v>0</v>
      </c>
      <c r="H101" s="232">
        <v>1</v>
      </c>
      <c r="I101" s="232">
        <v>1</v>
      </c>
      <c r="J101" s="232">
        <v>23</v>
      </c>
      <c r="K101" s="80">
        <v>60</v>
      </c>
      <c r="L101" s="232">
        <v>2204</v>
      </c>
      <c r="M101" s="232" t="s">
        <v>589</v>
      </c>
      <c r="N101" s="80">
        <v>0</v>
      </c>
    </row>
    <row r="102" ht="23.1" customHeight="1" spans="1:14">
      <c r="A102" s="81" t="s">
        <v>591</v>
      </c>
      <c r="B102" s="80">
        <v>5104</v>
      </c>
      <c r="C102" s="80">
        <v>24</v>
      </c>
      <c r="D102" s="232">
        <v>94</v>
      </c>
      <c r="E102" s="232">
        <v>0</v>
      </c>
      <c r="F102" s="232">
        <v>450</v>
      </c>
      <c r="G102" s="232">
        <v>0</v>
      </c>
      <c r="H102" s="232">
        <v>1</v>
      </c>
      <c r="I102" s="232">
        <v>1</v>
      </c>
      <c r="J102" s="232">
        <v>24</v>
      </c>
      <c r="K102" s="80">
        <v>60</v>
      </c>
      <c r="L102" s="232">
        <v>2204</v>
      </c>
      <c r="M102" s="232" t="s">
        <v>589</v>
      </c>
      <c r="N102" s="80">
        <v>0</v>
      </c>
    </row>
    <row r="103" ht="23.1" customHeight="1" spans="1:14">
      <c r="A103" s="81" t="s">
        <v>591</v>
      </c>
      <c r="B103" s="80">
        <v>5104</v>
      </c>
      <c r="C103" s="80">
        <v>25</v>
      </c>
      <c r="D103" s="232">
        <v>95</v>
      </c>
      <c r="E103" s="232">
        <v>0</v>
      </c>
      <c r="F103" s="232">
        <v>450</v>
      </c>
      <c r="G103" s="232">
        <v>0</v>
      </c>
      <c r="H103" s="232">
        <v>1</v>
      </c>
      <c r="I103" s="232">
        <v>1</v>
      </c>
      <c r="J103" s="232">
        <v>25</v>
      </c>
      <c r="K103" s="80">
        <v>60</v>
      </c>
      <c r="L103" s="232">
        <v>2204</v>
      </c>
      <c r="M103" s="232" t="s">
        <v>589</v>
      </c>
      <c r="N103" s="80">
        <v>0</v>
      </c>
    </row>
    <row r="104" ht="23.1" customHeight="1" spans="1:14">
      <c r="A104" s="244" t="s">
        <v>592</v>
      </c>
      <c r="B104" s="80">
        <v>5105</v>
      </c>
      <c r="C104" s="80">
        <v>1</v>
      </c>
      <c r="D104" s="232">
        <v>200</v>
      </c>
      <c r="E104" s="232">
        <v>10</v>
      </c>
      <c r="F104" s="232">
        <v>0</v>
      </c>
      <c r="G104" s="232">
        <v>0</v>
      </c>
      <c r="H104" s="232">
        <v>20</v>
      </c>
      <c r="I104" s="232">
        <v>0.33</v>
      </c>
      <c r="J104" s="232">
        <v>0</v>
      </c>
      <c r="K104" s="80">
        <v>60</v>
      </c>
      <c r="L104" s="232">
        <v>2205</v>
      </c>
      <c r="M104" s="80" t="s">
        <v>587</v>
      </c>
      <c r="N104" s="80">
        <v>1</v>
      </c>
    </row>
    <row r="105" ht="23.1" customHeight="1" spans="1:14">
      <c r="A105" s="244" t="s">
        <v>592</v>
      </c>
      <c r="B105" s="80">
        <v>5105</v>
      </c>
      <c r="C105" s="80">
        <v>2</v>
      </c>
      <c r="D105" s="232">
        <v>260</v>
      </c>
      <c r="E105" s="232">
        <v>13</v>
      </c>
      <c r="F105" s="232">
        <v>0</v>
      </c>
      <c r="G105" s="232">
        <v>0</v>
      </c>
      <c r="H105" s="232">
        <v>20</v>
      </c>
      <c r="I105" s="232">
        <v>0.33</v>
      </c>
      <c r="J105" s="232">
        <v>0</v>
      </c>
      <c r="K105" s="80">
        <v>60</v>
      </c>
      <c r="L105" s="232">
        <v>2205</v>
      </c>
      <c r="M105" s="80" t="s">
        <v>587</v>
      </c>
      <c r="N105" s="80">
        <v>1</v>
      </c>
    </row>
    <row r="106" ht="23.1" customHeight="1" spans="1:14">
      <c r="A106" s="244" t="s">
        <v>592</v>
      </c>
      <c r="B106" s="80">
        <v>5105</v>
      </c>
      <c r="C106" s="80">
        <v>3</v>
      </c>
      <c r="D106" s="232">
        <v>320</v>
      </c>
      <c r="E106" s="232">
        <v>16</v>
      </c>
      <c r="F106" s="232">
        <v>0</v>
      </c>
      <c r="G106" s="232">
        <v>0</v>
      </c>
      <c r="H106" s="232">
        <v>20</v>
      </c>
      <c r="I106" s="232">
        <v>0.33</v>
      </c>
      <c r="J106" s="232">
        <v>0</v>
      </c>
      <c r="K106" s="80">
        <v>60</v>
      </c>
      <c r="L106" s="232">
        <v>2205</v>
      </c>
      <c r="M106" s="80" t="s">
        <v>587</v>
      </c>
      <c r="N106" s="80">
        <v>1</v>
      </c>
    </row>
    <row r="107" ht="23.1" customHeight="1" spans="1:14">
      <c r="A107" s="244" t="s">
        <v>592</v>
      </c>
      <c r="B107" s="80">
        <v>5105</v>
      </c>
      <c r="C107" s="80">
        <v>4</v>
      </c>
      <c r="D107" s="232">
        <v>360</v>
      </c>
      <c r="E107" s="232">
        <v>18</v>
      </c>
      <c r="F107" s="232">
        <v>0</v>
      </c>
      <c r="G107" s="232">
        <v>0</v>
      </c>
      <c r="H107" s="232">
        <v>20</v>
      </c>
      <c r="I107" s="232">
        <v>0.33</v>
      </c>
      <c r="J107" s="232">
        <v>0</v>
      </c>
      <c r="K107" s="80">
        <v>60</v>
      </c>
      <c r="L107" s="232">
        <v>2205</v>
      </c>
      <c r="M107" s="80" t="s">
        <v>587</v>
      </c>
      <c r="N107" s="80">
        <v>1</v>
      </c>
    </row>
    <row r="108" ht="23.1" customHeight="1" spans="1:14">
      <c r="A108" s="244" t="s">
        <v>592</v>
      </c>
      <c r="B108" s="80">
        <v>5105</v>
      </c>
      <c r="C108" s="80">
        <v>5</v>
      </c>
      <c r="D108" s="232">
        <v>400</v>
      </c>
      <c r="E108" s="232">
        <v>20</v>
      </c>
      <c r="F108" s="232">
        <v>0</v>
      </c>
      <c r="G108" s="232">
        <v>0</v>
      </c>
      <c r="H108" s="232">
        <v>20</v>
      </c>
      <c r="I108" s="232">
        <v>0.33</v>
      </c>
      <c r="J108" s="232">
        <v>0</v>
      </c>
      <c r="K108" s="80">
        <v>60</v>
      </c>
      <c r="L108" s="232">
        <v>2205</v>
      </c>
      <c r="M108" s="80" t="s">
        <v>587</v>
      </c>
      <c r="N108" s="80">
        <v>1</v>
      </c>
    </row>
    <row r="109" ht="23.1" customHeight="1" spans="1:14">
      <c r="A109" s="244" t="s">
        <v>592</v>
      </c>
      <c r="B109" s="80">
        <v>5105</v>
      </c>
      <c r="C109" s="80">
        <v>6</v>
      </c>
      <c r="D109" s="232">
        <v>440</v>
      </c>
      <c r="E109" s="232">
        <v>22</v>
      </c>
      <c r="F109" s="232">
        <v>0</v>
      </c>
      <c r="G109" s="232">
        <v>0</v>
      </c>
      <c r="H109" s="232">
        <v>20</v>
      </c>
      <c r="I109" s="232">
        <v>0.33</v>
      </c>
      <c r="J109" s="232">
        <v>0</v>
      </c>
      <c r="K109" s="80">
        <v>60</v>
      </c>
      <c r="L109" s="232">
        <v>2205</v>
      </c>
      <c r="M109" s="80" t="s">
        <v>587</v>
      </c>
      <c r="N109" s="80">
        <v>1</v>
      </c>
    </row>
    <row r="110" ht="23.1" customHeight="1" spans="1:14">
      <c r="A110" s="244" t="s">
        <v>592</v>
      </c>
      <c r="B110" s="80">
        <v>5105</v>
      </c>
      <c r="C110" s="80">
        <v>7</v>
      </c>
      <c r="D110" s="232">
        <v>480</v>
      </c>
      <c r="E110" s="232">
        <v>24</v>
      </c>
      <c r="F110" s="232">
        <v>0</v>
      </c>
      <c r="G110" s="232">
        <v>0</v>
      </c>
      <c r="H110" s="232">
        <v>20</v>
      </c>
      <c r="I110" s="232">
        <v>0.33</v>
      </c>
      <c r="J110" s="232">
        <v>0</v>
      </c>
      <c r="K110" s="80">
        <v>60</v>
      </c>
      <c r="L110" s="232">
        <v>2205</v>
      </c>
      <c r="M110" s="80" t="s">
        <v>587</v>
      </c>
      <c r="N110" s="80">
        <v>1</v>
      </c>
    </row>
    <row r="111" ht="23.1" customHeight="1" spans="1:14">
      <c r="A111" s="244" t="s">
        <v>592</v>
      </c>
      <c r="B111" s="80">
        <v>5105</v>
      </c>
      <c r="C111" s="80">
        <v>8</v>
      </c>
      <c r="D111" s="232">
        <v>520</v>
      </c>
      <c r="E111" s="232">
        <v>26</v>
      </c>
      <c r="F111" s="232">
        <v>0</v>
      </c>
      <c r="G111" s="232">
        <v>0</v>
      </c>
      <c r="H111" s="232">
        <v>20</v>
      </c>
      <c r="I111" s="232">
        <v>0.33</v>
      </c>
      <c r="J111" s="232">
        <v>0</v>
      </c>
      <c r="K111" s="80">
        <v>60</v>
      </c>
      <c r="L111" s="232">
        <v>2205</v>
      </c>
      <c r="M111" s="80" t="s">
        <v>587</v>
      </c>
      <c r="N111" s="80">
        <v>1</v>
      </c>
    </row>
    <row r="112" ht="23.1" customHeight="1" spans="1:14">
      <c r="A112" s="244" t="s">
        <v>592</v>
      </c>
      <c r="B112" s="80">
        <v>5105</v>
      </c>
      <c r="C112" s="80">
        <v>9</v>
      </c>
      <c r="D112" s="232">
        <v>560</v>
      </c>
      <c r="E112" s="232">
        <v>28</v>
      </c>
      <c r="F112" s="232">
        <v>0</v>
      </c>
      <c r="G112" s="232">
        <v>0</v>
      </c>
      <c r="H112" s="232">
        <v>20</v>
      </c>
      <c r="I112" s="232">
        <v>0.33</v>
      </c>
      <c r="J112" s="232">
        <v>0</v>
      </c>
      <c r="K112" s="80">
        <v>60</v>
      </c>
      <c r="L112" s="232">
        <v>2205</v>
      </c>
      <c r="M112" s="80" t="s">
        <v>587</v>
      </c>
      <c r="N112" s="80">
        <v>1</v>
      </c>
    </row>
    <row r="113" ht="23.1" customHeight="1" spans="1:14">
      <c r="A113" s="244" t="s">
        <v>592</v>
      </c>
      <c r="B113" s="80">
        <v>5105</v>
      </c>
      <c r="C113" s="80">
        <v>10</v>
      </c>
      <c r="D113" s="232">
        <v>600</v>
      </c>
      <c r="E113" s="232">
        <v>30</v>
      </c>
      <c r="F113" s="232">
        <v>0</v>
      </c>
      <c r="G113" s="232">
        <v>0</v>
      </c>
      <c r="H113" s="232">
        <v>20</v>
      </c>
      <c r="I113" s="232">
        <v>0.33</v>
      </c>
      <c r="J113" s="232">
        <v>0</v>
      </c>
      <c r="K113" s="80">
        <v>60</v>
      </c>
      <c r="L113" s="232">
        <v>2205</v>
      </c>
      <c r="M113" s="80" t="s">
        <v>587</v>
      </c>
      <c r="N113" s="80">
        <v>1</v>
      </c>
    </row>
    <row r="114" ht="23.1" customHeight="1" spans="1:14">
      <c r="A114" s="244" t="s">
        <v>592</v>
      </c>
      <c r="B114" s="80">
        <v>5105</v>
      </c>
      <c r="C114" s="80">
        <v>11</v>
      </c>
      <c r="D114" s="232">
        <v>640</v>
      </c>
      <c r="E114" s="232">
        <v>32</v>
      </c>
      <c r="F114" s="232">
        <v>0</v>
      </c>
      <c r="G114" s="232">
        <v>0</v>
      </c>
      <c r="H114" s="232">
        <v>20</v>
      </c>
      <c r="I114" s="232">
        <v>0.33</v>
      </c>
      <c r="J114" s="232">
        <v>0</v>
      </c>
      <c r="K114" s="80">
        <v>60</v>
      </c>
      <c r="L114" s="232">
        <v>2205</v>
      </c>
      <c r="M114" s="80" t="s">
        <v>587</v>
      </c>
      <c r="N114" s="80">
        <v>1</v>
      </c>
    </row>
    <row r="115" ht="23.1" customHeight="1" spans="1:14">
      <c r="A115" s="244" t="s">
        <v>592</v>
      </c>
      <c r="B115" s="80">
        <v>5105</v>
      </c>
      <c r="C115" s="80">
        <v>12</v>
      </c>
      <c r="D115" s="232">
        <v>680</v>
      </c>
      <c r="E115" s="232">
        <v>34</v>
      </c>
      <c r="F115" s="232">
        <v>0</v>
      </c>
      <c r="G115" s="232">
        <v>0</v>
      </c>
      <c r="H115" s="232">
        <v>20</v>
      </c>
      <c r="I115" s="232">
        <v>0.33</v>
      </c>
      <c r="J115" s="232">
        <v>0</v>
      </c>
      <c r="K115" s="80">
        <v>60</v>
      </c>
      <c r="L115" s="232">
        <v>2205</v>
      </c>
      <c r="M115" s="80" t="s">
        <v>587</v>
      </c>
      <c r="N115" s="80">
        <v>1</v>
      </c>
    </row>
    <row r="116" ht="23.1" customHeight="1" spans="1:14">
      <c r="A116" s="244" t="s">
        <v>592</v>
      </c>
      <c r="B116" s="80">
        <v>5105</v>
      </c>
      <c r="C116" s="80">
        <v>13</v>
      </c>
      <c r="D116" s="232">
        <v>720</v>
      </c>
      <c r="E116" s="232">
        <v>36</v>
      </c>
      <c r="F116" s="232">
        <v>0</v>
      </c>
      <c r="G116" s="232">
        <v>0</v>
      </c>
      <c r="H116" s="232">
        <v>20</v>
      </c>
      <c r="I116" s="232">
        <v>0.33</v>
      </c>
      <c r="J116" s="232">
        <v>0</v>
      </c>
      <c r="K116" s="80">
        <v>60</v>
      </c>
      <c r="L116" s="232">
        <v>2205</v>
      </c>
      <c r="M116" s="80" t="s">
        <v>587</v>
      </c>
      <c r="N116" s="80">
        <v>1</v>
      </c>
    </row>
    <row r="117" ht="23.1" customHeight="1" spans="1:14">
      <c r="A117" s="244" t="s">
        <v>592</v>
      </c>
      <c r="B117" s="80">
        <v>5105</v>
      </c>
      <c r="C117" s="80">
        <v>14</v>
      </c>
      <c r="D117" s="232">
        <v>760</v>
      </c>
      <c r="E117" s="232">
        <v>38</v>
      </c>
      <c r="F117" s="232">
        <v>0</v>
      </c>
      <c r="G117" s="232">
        <v>0</v>
      </c>
      <c r="H117" s="232">
        <v>20</v>
      </c>
      <c r="I117" s="232">
        <v>0.33</v>
      </c>
      <c r="J117" s="232">
        <v>0</v>
      </c>
      <c r="K117" s="80">
        <v>60</v>
      </c>
      <c r="L117" s="232">
        <v>2205</v>
      </c>
      <c r="M117" s="80" t="s">
        <v>587</v>
      </c>
      <c r="N117" s="80">
        <v>1</v>
      </c>
    </row>
    <row r="118" ht="23.1" customHeight="1" spans="1:14">
      <c r="A118" s="244" t="s">
        <v>592</v>
      </c>
      <c r="B118" s="80">
        <v>5105</v>
      </c>
      <c r="C118" s="80">
        <v>15</v>
      </c>
      <c r="D118" s="232">
        <v>800</v>
      </c>
      <c r="E118" s="232">
        <v>40</v>
      </c>
      <c r="F118" s="232">
        <v>0</v>
      </c>
      <c r="G118" s="232">
        <v>0</v>
      </c>
      <c r="H118" s="232">
        <v>20</v>
      </c>
      <c r="I118" s="232">
        <v>0.33</v>
      </c>
      <c r="J118" s="232">
        <v>0</v>
      </c>
      <c r="K118" s="80">
        <v>60</v>
      </c>
      <c r="L118" s="232">
        <v>2205</v>
      </c>
      <c r="M118" s="80" t="s">
        <v>587</v>
      </c>
      <c r="N118" s="80">
        <v>1</v>
      </c>
    </row>
    <row r="119" ht="23.1" customHeight="1" spans="1:14">
      <c r="A119" s="244" t="s">
        <v>592</v>
      </c>
      <c r="B119" s="80">
        <v>5105</v>
      </c>
      <c r="C119" s="80">
        <v>16</v>
      </c>
      <c r="D119" s="232">
        <v>840</v>
      </c>
      <c r="E119" s="232">
        <v>42</v>
      </c>
      <c r="F119" s="232">
        <v>0</v>
      </c>
      <c r="G119" s="232">
        <v>0</v>
      </c>
      <c r="H119" s="232">
        <v>20</v>
      </c>
      <c r="I119" s="232">
        <v>0.33</v>
      </c>
      <c r="J119" s="232">
        <v>0</v>
      </c>
      <c r="K119" s="80">
        <v>60</v>
      </c>
      <c r="L119" s="232">
        <v>2205</v>
      </c>
      <c r="M119" s="80" t="s">
        <v>587</v>
      </c>
      <c r="N119" s="80">
        <v>1</v>
      </c>
    </row>
    <row r="120" ht="23.1" customHeight="1" spans="1:14">
      <c r="A120" s="244" t="s">
        <v>592</v>
      </c>
      <c r="B120" s="80">
        <v>5105</v>
      </c>
      <c r="C120" s="80">
        <v>17</v>
      </c>
      <c r="D120" s="232">
        <v>880</v>
      </c>
      <c r="E120" s="232">
        <v>44</v>
      </c>
      <c r="F120" s="232">
        <v>0</v>
      </c>
      <c r="G120" s="232">
        <v>0</v>
      </c>
      <c r="H120" s="232">
        <v>20</v>
      </c>
      <c r="I120" s="232">
        <v>0.33</v>
      </c>
      <c r="J120" s="232">
        <v>0</v>
      </c>
      <c r="K120" s="80">
        <v>60</v>
      </c>
      <c r="L120" s="232">
        <v>2205</v>
      </c>
      <c r="M120" s="80" t="s">
        <v>587</v>
      </c>
      <c r="N120" s="80">
        <v>1</v>
      </c>
    </row>
    <row r="121" ht="23.1" customHeight="1" spans="1:14">
      <c r="A121" s="244" t="s">
        <v>592</v>
      </c>
      <c r="B121" s="80">
        <v>5105</v>
      </c>
      <c r="C121" s="80">
        <v>18</v>
      </c>
      <c r="D121" s="232">
        <v>920</v>
      </c>
      <c r="E121" s="232">
        <v>46</v>
      </c>
      <c r="F121" s="232">
        <v>0</v>
      </c>
      <c r="G121" s="232">
        <v>0</v>
      </c>
      <c r="H121" s="232">
        <v>20</v>
      </c>
      <c r="I121" s="232">
        <v>0.33</v>
      </c>
      <c r="J121" s="232">
        <v>0</v>
      </c>
      <c r="K121" s="80">
        <v>60</v>
      </c>
      <c r="L121" s="232">
        <v>2205</v>
      </c>
      <c r="M121" s="80" t="s">
        <v>587</v>
      </c>
      <c r="N121" s="80">
        <v>1</v>
      </c>
    </row>
    <row r="122" ht="23.1" customHeight="1" spans="1:14">
      <c r="A122" s="244" t="s">
        <v>592</v>
      </c>
      <c r="B122" s="80">
        <v>5105</v>
      </c>
      <c r="C122" s="80">
        <v>19</v>
      </c>
      <c r="D122" s="232">
        <v>960</v>
      </c>
      <c r="E122" s="232">
        <v>48</v>
      </c>
      <c r="F122" s="232">
        <v>0</v>
      </c>
      <c r="G122" s="232">
        <v>0</v>
      </c>
      <c r="H122" s="232">
        <v>20</v>
      </c>
      <c r="I122" s="232">
        <v>0.33</v>
      </c>
      <c r="J122" s="232">
        <v>0</v>
      </c>
      <c r="K122" s="80">
        <v>60</v>
      </c>
      <c r="L122" s="232">
        <v>2205</v>
      </c>
      <c r="M122" s="80" t="s">
        <v>587</v>
      </c>
      <c r="N122" s="80">
        <v>1</v>
      </c>
    </row>
    <row r="123" ht="23.1" customHeight="1" spans="1:14">
      <c r="A123" s="244" t="s">
        <v>592</v>
      </c>
      <c r="B123" s="80">
        <v>5105</v>
      </c>
      <c r="C123" s="80">
        <v>20</v>
      </c>
      <c r="D123" s="232">
        <v>1000</v>
      </c>
      <c r="E123" s="232">
        <v>50</v>
      </c>
      <c r="F123" s="232">
        <v>0</v>
      </c>
      <c r="G123" s="232">
        <v>0</v>
      </c>
      <c r="H123" s="232">
        <v>20</v>
      </c>
      <c r="I123" s="232">
        <v>0.33</v>
      </c>
      <c r="J123" s="232">
        <v>0</v>
      </c>
      <c r="K123" s="80">
        <v>60</v>
      </c>
      <c r="L123" s="232">
        <v>2205</v>
      </c>
      <c r="M123" s="80" t="s">
        <v>587</v>
      </c>
      <c r="N123" s="80">
        <v>1</v>
      </c>
    </row>
    <row r="124" ht="23.1" customHeight="1" spans="1:14">
      <c r="A124" s="244" t="s">
        <v>592</v>
      </c>
      <c r="B124" s="80">
        <v>5105</v>
      </c>
      <c r="C124" s="80">
        <v>21</v>
      </c>
      <c r="D124" s="232">
        <v>1040</v>
      </c>
      <c r="E124" s="232">
        <v>52</v>
      </c>
      <c r="F124" s="232">
        <v>0</v>
      </c>
      <c r="G124" s="232">
        <v>0</v>
      </c>
      <c r="H124" s="232">
        <v>20</v>
      </c>
      <c r="I124" s="232">
        <v>0.33</v>
      </c>
      <c r="J124" s="232">
        <v>0</v>
      </c>
      <c r="K124" s="80">
        <v>60</v>
      </c>
      <c r="L124" s="232">
        <v>2205</v>
      </c>
      <c r="M124" s="80" t="s">
        <v>587</v>
      </c>
      <c r="N124" s="80">
        <v>1</v>
      </c>
    </row>
    <row r="125" ht="23.1" customHeight="1" spans="1:14">
      <c r="A125" s="244" t="s">
        <v>592</v>
      </c>
      <c r="B125" s="80">
        <v>5105</v>
      </c>
      <c r="C125" s="80">
        <v>22</v>
      </c>
      <c r="D125" s="232">
        <v>1080</v>
      </c>
      <c r="E125" s="232">
        <v>54</v>
      </c>
      <c r="F125" s="232">
        <v>0</v>
      </c>
      <c r="G125" s="232">
        <v>0</v>
      </c>
      <c r="H125" s="232">
        <v>20</v>
      </c>
      <c r="I125" s="232">
        <v>0.33</v>
      </c>
      <c r="J125" s="232">
        <v>0</v>
      </c>
      <c r="K125" s="80">
        <v>60</v>
      </c>
      <c r="L125" s="232">
        <v>2205</v>
      </c>
      <c r="M125" s="80" t="s">
        <v>587</v>
      </c>
      <c r="N125" s="80">
        <v>1</v>
      </c>
    </row>
    <row r="126" ht="23.1" customHeight="1" spans="1:14">
      <c r="A126" s="244" t="s">
        <v>592</v>
      </c>
      <c r="B126" s="80">
        <v>5105</v>
      </c>
      <c r="C126" s="80">
        <v>23</v>
      </c>
      <c r="D126" s="232">
        <v>1120</v>
      </c>
      <c r="E126" s="232">
        <v>56</v>
      </c>
      <c r="F126" s="232">
        <v>0</v>
      </c>
      <c r="G126" s="232">
        <v>0</v>
      </c>
      <c r="H126" s="232">
        <v>20</v>
      </c>
      <c r="I126" s="232">
        <v>0.33</v>
      </c>
      <c r="J126" s="232">
        <v>0</v>
      </c>
      <c r="K126" s="80">
        <v>60</v>
      </c>
      <c r="L126" s="232">
        <v>2205</v>
      </c>
      <c r="M126" s="80" t="s">
        <v>587</v>
      </c>
      <c r="N126" s="80">
        <v>1</v>
      </c>
    </row>
    <row r="127" ht="23.1" customHeight="1" spans="1:14">
      <c r="A127" s="244" t="s">
        <v>592</v>
      </c>
      <c r="B127" s="80">
        <v>5105</v>
      </c>
      <c r="C127" s="80">
        <v>24</v>
      </c>
      <c r="D127" s="232">
        <v>1160</v>
      </c>
      <c r="E127" s="232">
        <v>58</v>
      </c>
      <c r="F127" s="232">
        <v>0</v>
      </c>
      <c r="G127" s="232">
        <v>0</v>
      </c>
      <c r="H127" s="232">
        <v>20</v>
      </c>
      <c r="I127" s="232">
        <v>0.33</v>
      </c>
      <c r="J127" s="232">
        <v>0</v>
      </c>
      <c r="K127" s="80">
        <v>60</v>
      </c>
      <c r="L127" s="232">
        <v>2205</v>
      </c>
      <c r="M127" s="80" t="s">
        <v>587</v>
      </c>
      <c r="N127" s="80">
        <v>1</v>
      </c>
    </row>
    <row r="128" ht="23.1" customHeight="1" spans="1:14">
      <c r="A128" s="244" t="s">
        <v>592</v>
      </c>
      <c r="B128" s="80">
        <v>5105</v>
      </c>
      <c r="C128" s="80">
        <v>25</v>
      </c>
      <c r="D128" s="232">
        <v>1200</v>
      </c>
      <c r="E128" s="232">
        <v>60</v>
      </c>
      <c r="F128" s="232">
        <v>0</v>
      </c>
      <c r="G128" s="232">
        <v>0</v>
      </c>
      <c r="H128" s="232">
        <v>20</v>
      </c>
      <c r="I128" s="232">
        <v>0.33</v>
      </c>
      <c r="J128" s="232">
        <v>0</v>
      </c>
      <c r="K128" s="80">
        <v>60</v>
      </c>
      <c r="L128" s="232">
        <v>2205</v>
      </c>
      <c r="M128" s="80" t="s">
        <v>587</v>
      </c>
      <c r="N128" s="80">
        <v>1</v>
      </c>
    </row>
    <row r="129" ht="23.1" customHeight="1" spans="1:14">
      <c r="A129" s="244" t="s">
        <v>593</v>
      </c>
      <c r="B129" s="80">
        <v>5106</v>
      </c>
      <c r="C129" s="80">
        <v>1</v>
      </c>
      <c r="D129" s="232">
        <v>300</v>
      </c>
      <c r="E129" s="232">
        <v>100</v>
      </c>
      <c r="F129" s="232">
        <v>0</v>
      </c>
      <c r="G129" s="232">
        <v>50</v>
      </c>
      <c r="H129" s="232">
        <v>2</v>
      </c>
      <c r="I129" s="232">
        <v>1</v>
      </c>
      <c r="J129" s="232">
        <v>0</v>
      </c>
      <c r="K129" s="80">
        <v>70</v>
      </c>
      <c r="L129" s="232">
        <v>2206</v>
      </c>
      <c r="M129" s="80" t="s">
        <v>587</v>
      </c>
      <c r="N129" s="80">
        <v>0</v>
      </c>
    </row>
    <row r="130" ht="23.1" customHeight="1" spans="1:14">
      <c r="A130" s="244" t="s">
        <v>593</v>
      </c>
      <c r="B130" s="80">
        <v>5106</v>
      </c>
      <c r="C130" s="80">
        <v>2</v>
      </c>
      <c r="D130" s="232">
        <v>350</v>
      </c>
      <c r="E130" s="232">
        <v>113</v>
      </c>
      <c r="F130" s="232">
        <v>0</v>
      </c>
      <c r="G130" s="232">
        <v>62</v>
      </c>
      <c r="H130" s="232">
        <v>2</v>
      </c>
      <c r="I130" s="232">
        <v>1</v>
      </c>
      <c r="J130" s="232">
        <v>0</v>
      </c>
      <c r="K130" s="80">
        <v>70</v>
      </c>
      <c r="L130" s="232">
        <v>2206</v>
      </c>
      <c r="M130" s="80" t="s">
        <v>587</v>
      </c>
      <c r="N130" s="80">
        <v>0</v>
      </c>
    </row>
    <row r="131" ht="23.1" customHeight="1" spans="1:14">
      <c r="A131" s="244" t="s">
        <v>593</v>
      </c>
      <c r="B131" s="80">
        <v>5106</v>
      </c>
      <c r="C131" s="80">
        <v>3</v>
      </c>
      <c r="D131" s="232">
        <v>400</v>
      </c>
      <c r="E131" s="232">
        <v>126</v>
      </c>
      <c r="F131" s="232">
        <v>0</v>
      </c>
      <c r="G131" s="232">
        <v>74</v>
      </c>
      <c r="H131" s="232">
        <v>2</v>
      </c>
      <c r="I131" s="232">
        <v>1</v>
      </c>
      <c r="J131" s="232">
        <v>0</v>
      </c>
      <c r="K131" s="80">
        <v>70</v>
      </c>
      <c r="L131" s="232">
        <v>2206</v>
      </c>
      <c r="M131" s="80" t="s">
        <v>587</v>
      </c>
      <c r="N131" s="80">
        <v>0</v>
      </c>
    </row>
    <row r="132" ht="23.1" customHeight="1" spans="1:14">
      <c r="A132" s="244" t="s">
        <v>593</v>
      </c>
      <c r="B132" s="80">
        <v>5106</v>
      </c>
      <c r="C132" s="80">
        <v>4</v>
      </c>
      <c r="D132" s="232">
        <v>450</v>
      </c>
      <c r="E132" s="232">
        <v>139</v>
      </c>
      <c r="F132" s="232">
        <v>0</v>
      </c>
      <c r="G132" s="232">
        <v>86</v>
      </c>
      <c r="H132" s="232">
        <v>2</v>
      </c>
      <c r="I132" s="232">
        <v>1</v>
      </c>
      <c r="J132" s="232">
        <v>0</v>
      </c>
      <c r="K132" s="80">
        <v>70</v>
      </c>
      <c r="L132" s="232">
        <v>2206</v>
      </c>
      <c r="M132" s="80" t="s">
        <v>587</v>
      </c>
      <c r="N132" s="80">
        <v>0</v>
      </c>
    </row>
    <row r="133" ht="23.1" customHeight="1" spans="1:14">
      <c r="A133" s="244" t="s">
        <v>593</v>
      </c>
      <c r="B133" s="80">
        <v>5106</v>
      </c>
      <c r="C133" s="80">
        <v>5</v>
      </c>
      <c r="D133" s="232">
        <v>500</v>
      </c>
      <c r="E133" s="232">
        <v>152</v>
      </c>
      <c r="F133" s="232">
        <v>0</v>
      </c>
      <c r="G133" s="232">
        <v>98</v>
      </c>
      <c r="H133" s="232">
        <v>2</v>
      </c>
      <c r="I133" s="232">
        <v>1</v>
      </c>
      <c r="J133" s="232">
        <v>0</v>
      </c>
      <c r="K133" s="80">
        <v>70</v>
      </c>
      <c r="L133" s="232">
        <v>2206</v>
      </c>
      <c r="M133" s="80" t="s">
        <v>587</v>
      </c>
      <c r="N133" s="80">
        <v>0</v>
      </c>
    </row>
    <row r="134" ht="23.1" customHeight="1" spans="1:14">
      <c r="A134" s="244" t="s">
        <v>593</v>
      </c>
      <c r="B134" s="80">
        <v>5106</v>
      </c>
      <c r="C134" s="80">
        <v>6</v>
      </c>
      <c r="D134" s="232">
        <v>550</v>
      </c>
      <c r="E134" s="232">
        <v>165</v>
      </c>
      <c r="F134" s="232">
        <v>0</v>
      </c>
      <c r="G134" s="232">
        <v>110</v>
      </c>
      <c r="H134" s="232">
        <v>2</v>
      </c>
      <c r="I134" s="232">
        <v>1</v>
      </c>
      <c r="J134" s="232">
        <v>0</v>
      </c>
      <c r="K134" s="80">
        <v>70</v>
      </c>
      <c r="L134" s="232">
        <v>2206</v>
      </c>
      <c r="M134" s="80" t="s">
        <v>587</v>
      </c>
      <c r="N134" s="80">
        <v>0</v>
      </c>
    </row>
    <row r="135" ht="23.1" customHeight="1" spans="1:14">
      <c r="A135" s="244" t="s">
        <v>593</v>
      </c>
      <c r="B135" s="80">
        <v>5106</v>
      </c>
      <c r="C135" s="80">
        <v>7</v>
      </c>
      <c r="D135" s="232">
        <v>600</v>
      </c>
      <c r="E135" s="232">
        <v>178</v>
      </c>
      <c r="F135" s="232">
        <v>0</v>
      </c>
      <c r="G135" s="232">
        <v>122</v>
      </c>
      <c r="H135" s="232">
        <v>2</v>
      </c>
      <c r="I135" s="232">
        <v>1</v>
      </c>
      <c r="J135" s="232">
        <v>0</v>
      </c>
      <c r="K135" s="80">
        <v>70</v>
      </c>
      <c r="L135" s="232">
        <v>2206</v>
      </c>
      <c r="M135" s="80" t="s">
        <v>587</v>
      </c>
      <c r="N135" s="80">
        <v>0</v>
      </c>
    </row>
    <row r="136" ht="23.1" customHeight="1" spans="1:14">
      <c r="A136" s="244" t="s">
        <v>593</v>
      </c>
      <c r="B136" s="80">
        <v>5106</v>
      </c>
      <c r="C136" s="80">
        <v>8</v>
      </c>
      <c r="D136" s="232">
        <v>650</v>
      </c>
      <c r="E136" s="232">
        <v>191</v>
      </c>
      <c r="F136" s="232">
        <v>0</v>
      </c>
      <c r="G136" s="232">
        <v>134</v>
      </c>
      <c r="H136" s="232">
        <v>2</v>
      </c>
      <c r="I136" s="232">
        <v>1</v>
      </c>
      <c r="J136" s="232">
        <v>0</v>
      </c>
      <c r="K136" s="80">
        <v>70</v>
      </c>
      <c r="L136" s="232">
        <v>2206</v>
      </c>
      <c r="M136" s="80" t="s">
        <v>587</v>
      </c>
      <c r="N136" s="80">
        <v>0</v>
      </c>
    </row>
    <row r="137" ht="23.1" customHeight="1" spans="1:14">
      <c r="A137" s="244" t="s">
        <v>593</v>
      </c>
      <c r="B137" s="80">
        <v>5106</v>
      </c>
      <c r="C137" s="80">
        <v>9</v>
      </c>
      <c r="D137" s="232">
        <v>700</v>
      </c>
      <c r="E137" s="232">
        <v>204</v>
      </c>
      <c r="F137" s="232">
        <v>0</v>
      </c>
      <c r="G137" s="232">
        <v>146</v>
      </c>
      <c r="H137" s="232">
        <v>2</v>
      </c>
      <c r="I137" s="232">
        <v>1</v>
      </c>
      <c r="J137" s="232">
        <v>0</v>
      </c>
      <c r="K137" s="80">
        <v>70</v>
      </c>
      <c r="L137" s="232">
        <v>2206</v>
      </c>
      <c r="M137" s="80" t="s">
        <v>587</v>
      </c>
      <c r="N137" s="80">
        <v>0</v>
      </c>
    </row>
    <row r="138" ht="23.1" customHeight="1" spans="1:14">
      <c r="A138" s="244" t="s">
        <v>593</v>
      </c>
      <c r="B138" s="80">
        <v>5106</v>
      </c>
      <c r="C138" s="80">
        <v>10</v>
      </c>
      <c r="D138" s="232">
        <v>750</v>
      </c>
      <c r="E138" s="232">
        <v>217</v>
      </c>
      <c r="F138" s="232">
        <v>0</v>
      </c>
      <c r="G138" s="232">
        <v>158</v>
      </c>
      <c r="H138" s="232">
        <v>2</v>
      </c>
      <c r="I138" s="232">
        <v>1</v>
      </c>
      <c r="J138" s="232">
        <v>0</v>
      </c>
      <c r="K138" s="80">
        <v>70</v>
      </c>
      <c r="L138" s="232">
        <v>2206</v>
      </c>
      <c r="M138" s="80" t="s">
        <v>587</v>
      </c>
      <c r="N138" s="80">
        <v>0</v>
      </c>
    </row>
    <row r="139" ht="23.1" customHeight="1" spans="1:14">
      <c r="A139" s="244" t="s">
        <v>593</v>
      </c>
      <c r="B139" s="80">
        <v>5106</v>
      </c>
      <c r="C139" s="80">
        <v>11</v>
      </c>
      <c r="D139" s="232">
        <v>800</v>
      </c>
      <c r="E139" s="232">
        <v>230</v>
      </c>
      <c r="F139" s="232">
        <v>0</v>
      </c>
      <c r="G139" s="232">
        <v>170</v>
      </c>
      <c r="H139" s="232">
        <v>2</v>
      </c>
      <c r="I139" s="232">
        <v>1</v>
      </c>
      <c r="J139" s="232">
        <v>0</v>
      </c>
      <c r="K139" s="80">
        <v>70</v>
      </c>
      <c r="L139" s="232">
        <v>2206</v>
      </c>
      <c r="M139" s="80" t="s">
        <v>587</v>
      </c>
      <c r="N139" s="80">
        <v>0</v>
      </c>
    </row>
    <row r="140" ht="23.1" customHeight="1" spans="1:14">
      <c r="A140" s="244" t="s">
        <v>593</v>
      </c>
      <c r="B140" s="80">
        <v>5106</v>
      </c>
      <c r="C140" s="80">
        <v>12</v>
      </c>
      <c r="D140" s="232">
        <v>850</v>
      </c>
      <c r="E140" s="232">
        <v>243</v>
      </c>
      <c r="F140" s="232">
        <v>0</v>
      </c>
      <c r="G140" s="232">
        <v>182</v>
      </c>
      <c r="H140" s="232">
        <v>2</v>
      </c>
      <c r="I140" s="232">
        <v>1</v>
      </c>
      <c r="J140" s="232">
        <v>0</v>
      </c>
      <c r="K140" s="80">
        <v>70</v>
      </c>
      <c r="L140" s="232">
        <v>2206</v>
      </c>
      <c r="M140" s="80" t="s">
        <v>587</v>
      </c>
      <c r="N140" s="80">
        <v>0</v>
      </c>
    </row>
    <row r="141" ht="23.1" customHeight="1" spans="1:14">
      <c r="A141" s="244" t="s">
        <v>593</v>
      </c>
      <c r="B141" s="80">
        <v>5106</v>
      </c>
      <c r="C141" s="80">
        <v>13</v>
      </c>
      <c r="D141" s="232">
        <v>900</v>
      </c>
      <c r="E141" s="232">
        <v>256</v>
      </c>
      <c r="F141" s="232">
        <v>0</v>
      </c>
      <c r="G141" s="232">
        <v>194</v>
      </c>
      <c r="H141" s="232">
        <v>2</v>
      </c>
      <c r="I141" s="232">
        <v>1</v>
      </c>
      <c r="J141" s="232">
        <v>0</v>
      </c>
      <c r="K141" s="80">
        <v>70</v>
      </c>
      <c r="L141" s="232">
        <v>2206</v>
      </c>
      <c r="M141" s="80" t="s">
        <v>587</v>
      </c>
      <c r="N141" s="80">
        <v>0</v>
      </c>
    </row>
    <row r="142" ht="23.1" customHeight="1" spans="1:14">
      <c r="A142" s="244" t="s">
        <v>593</v>
      </c>
      <c r="B142" s="80">
        <v>5106</v>
      </c>
      <c r="C142" s="80">
        <v>14</v>
      </c>
      <c r="D142" s="232">
        <v>950</v>
      </c>
      <c r="E142" s="232">
        <v>269</v>
      </c>
      <c r="F142" s="232">
        <v>0</v>
      </c>
      <c r="G142" s="232">
        <v>206</v>
      </c>
      <c r="H142" s="232">
        <v>2</v>
      </c>
      <c r="I142" s="232">
        <v>1</v>
      </c>
      <c r="J142" s="232">
        <v>0</v>
      </c>
      <c r="K142" s="80">
        <v>70</v>
      </c>
      <c r="L142" s="232">
        <v>2206</v>
      </c>
      <c r="M142" s="80" t="s">
        <v>587</v>
      </c>
      <c r="N142" s="80">
        <v>0</v>
      </c>
    </row>
    <row r="143" ht="23.1" customHeight="1" spans="1:14">
      <c r="A143" s="244" t="s">
        <v>593</v>
      </c>
      <c r="B143" s="80">
        <v>5106</v>
      </c>
      <c r="C143" s="80">
        <v>15</v>
      </c>
      <c r="D143" s="232">
        <v>1000</v>
      </c>
      <c r="E143" s="232">
        <v>282</v>
      </c>
      <c r="F143" s="232">
        <v>0</v>
      </c>
      <c r="G143" s="232">
        <v>218</v>
      </c>
      <c r="H143" s="232">
        <v>2</v>
      </c>
      <c r="I143" s="232">
        <v>1</v>
      </c>
      <c r="J143" s="232">
        <v>0</v>
      </c>
      <c r="K143" s="80">
        <v>70</v>
      </c>
      <c r="L143" s="232">
        <v>2206</v>
      </c>
      <c r="M143" s="80" t="s">
        <v>587</v>
      </c>
      <c r="N143" s="80">
        <v>0</v>
      </c>
    </row>
    <row r="144" ht="23.1" customHeight="1" spans="1:14">
      <c r="A144" s="244" t="s">
        <v>593</v>
      </c>
      <c r="B144" s="80">
        <v>5106</v>
      </c>
      <c r="C144" s="80">
        <v>16</v>
      </c>
      <c r="D144" s="232">
        <v>1050</v>
      </c>
      <c r="E144" s="232">
        <v>295</v>
      </c>
      <c r="F144" s="232">
        <v>0</v>
      </c>
      <c r="G144" s="232">
        <v>230</v>
      </c>
      <c r="H144" s="232">
        <v>2</v>
      </c>
      <c r="I144" s="232">
        <v>1</v>
      </c>
      <c r="J144" s="232">
        <v>0</v>
      </c>
      <c r="K144" s="80">
        <v>70</v>
      </c>
      <c r="L144" s="232">
        <v>2206</v>
      </c>
      <c r="M144" s="80" t="s">
        <v>587</v>
      </c>
      <c r="N144" s="80">
        <v>0</v>
      </c>
    </row>
    <row r="145" ht="23.1" customHeight="1" spans="1:14">
      <c r="A145" s="244" t="s">
        <v>593</v>
      </c>
      <c r="B145" s="80">
        <v>5106</v>
      </c>
      <c r="C145" s="80">
        <v>17</v>
      </c>
      <c r="D145" s="232">
        <v>1100</v>
      </c>
      <c r="E145" s="232">
        <v>308</v>
      </c>
      <c r="F145" s="232">
        <v>0</v>
      </c>
      <c r="G145" s="232">
        <v>242</v>
      </c>
      <c r="H145" s="232">
        <v>2</v>
      </c>
      <c r="I145" s="232">
        <v>1</v>
      </c>
      <c r="J145" s="232">
        <v>0</v>
      </c>
      <c r="K145" s="80">
        <v>70</v>
      </c>
      <c r="L145" s="232">
        <v>2206</v>
      </c>
      <c r="M145" s="80" t="s">
        <v>587</v>
      </c>
      <c r="N145" s="80">
        <v>0</v>
      </c>
    </row>
    <row r="146" ht="23.1" customHeight="1" spans="1:14">
      <c r="A146" s="244" t="s">
        <v>593</v>
      </c>
      <c r="B146" s="80">
        <v>5106</v>
      </c>
      <c r="C146" s="80">
        <v>18</v>
      </c>
      <c r="D146" s="232">
        <v>1150</v>
      </c>
      <c r="E146" s="232">
        <v>321</v>
      </c>
      <c r="F146" s="232">
        <v>0</v>
      </c>
      <c r="G146" s="232">
        <v>254</v>
      </c>
      <c r="H146" s="232">
        <v>2</v>
      </c>
      <c r="I146" s="232">
        <v>1</v>
      </c>
      <c r="J146" s="232">
        <v>0</v>
      </c>
      <c r="K146" s="80">
        <v>70</v>
      </c>
      <c r="L146" s="232">
        <v>2206</v>
      </c>
      <c r="M146" s="80" t="s">
        <v>587</v>
      </c>
      <c r="N146" s="80">
        <v>0</v>
      </c>
    </row>
    <row r="147" ht="23.1" customHeight="1" spans="1:14">
      <c r="A147" s="244" t="s">
        <v>593</v>
      </c>
      <c r="B147" s="80">
        <v>5106</v>
      </c>
      <c r="C147" s="80">
        <v>19</v>
      </c>
      <c r="D147" s="232">
        <v>1200</v>
      </c>
      <c r="E147" s="232">
        <v>334</v>
      </c>
      <c r="F147" s="232">
        <v>0</v>
      </c>
      <c r="G147" s="232">
        <v>266</v>
      </c>
      <c r="H147" s="232">
        <v>2</v>
      </c>
      <c r="I147" s="232">
        <v>1</v>
      </c>
      <c r="J147" s="232">
        <v>0</v>
      </c>
      <c r="K147" s="80">
        <v>70</v>
      </c>
      <c r="L147" s="232">
        <v>2206</v>
      </c>
      <c r="M147" s="80" t="s">
        <v>587</v>
      </c>
      <c r="N147" s="80">
        <v>0</v>
      </c>
    </row>
    <row r="148" ht="23.1" customHeight="1" spans="1:14">
      <c r="A148" s="244" t="s">
        <v>593</v>
      </c>
      <c r="B148" s="80">
        <v>5106</v>
      </c>
      <c r="C148" s="80">
        <v>20</v>
      </c>
      <c r="D148" s="232">
        <v>1250</v>
      </c>
      <c r="E148" s="232">
        <v>347</v>
      </c>
      <c r="F148" s="232">
        <v>0</v>
      </c>
      <c r="G148" s="232">
        <v>278</v>
      </c>
      <c r="H148" s="232">
        <v>2</v>
      </c>
      <c r="I148" s="232">
        <v>1</v>
      </c>
      <c r="J148" s="232">
        <v>0</v>
      </c>
      <c r="K148" s="80">
        <v>70</v>
      </c>
      <c r="L148" s="232">
        <v>2206</v>
      </c>
      <c r="M148" s="80" t="s">
        <v>587</v>
      </c>
      <c r="N148" s="80">
        <v>0</v>
      </c>
    </row>
    <row r="149" ht="23.1" customHeight="1" spans="1:14">
      <c r="A149" s="244" t="s">
        <v>593</v>
      </c>
      <c r="B149" s="80">
        <v>5106</v>
      </c>
      <c r="C149" s="80">
        <v>21</v>
      </c>
      <c r="D149" s="232">
        <v>1300</v>
      </c>
      <c r="E149" s="232">
        <v>360</v>
      </c>
      <c r="F149" s="232">
        <v>0</v>
      </c>
      <c r="G149" s="232">
        <v>290</v>
      </c>
      <c r="H149" s="232">
        <v>2</v>
      </c>
      <c r="I149" s="232">
        <v>1</v>
      </c>
      <c r="J149" s="232">
        <v>0</v>
      </c>
      <c r="K149" s="80">
        <v>70</v>
      </c>
      <c r="L149" s="232">
        <v>2206</v>
      </c>
      <c r="M149" s="80" t="s">
        <v>587</v>
      </c>
      <c r="N149" s="80">
        <v>0</v>
      </c>
    </row>
    <row r="150" ht="23.1" customHeight="1" spans="1:14">
      <c r="A150" s="244" t="s">
        <v>593</v>
      </c>
      <c r="B150" s="80">
        <v>5106</v>
      </c>
      <c r="C150" s="80">
        <v>22</v>
      </c>
      <c r="D150" s="232">
        <v>1350</v>
      </c>
      <c r="E150" s="232">
        <v>373</v>
      </c>
      <c r="F150" s="232">
        <v>0</v>
      </c>
      <c r="G150" s="232">
        <v>302</v>
      </c>
      <c r="H150" s="232">
        <v>2</v>
      </c>
      <c r="I150" s="232">
        <v>1</v>
      </c>
      <c r="J150" s="232">
        <v>0</v>
      </c>
      <c r="K150" s="80">
        <v>70</v>
      </c>
      <c r="L150" s="232">
        <v>2206</v>
      </c>
      <c r="M150" s="80" t="s">
        <v>587</v>
      </c>
      <c r="N150" s="80">
        <v>0</v>
      </c>
    </row>
    <row r="151" ht="23.1" customHeight="1" spans="1:14">
      <c r="A151" s="244" t="s">
        <v>593</v>
      </c>
      <c r="B151" s="80">
        <v>5106</v>
      </c>
      <c r="C151" s="80">
        <v>23</v>
      </c>
      <c r="D151" s="232">
        <v>1400</v>
      </c>
      <c r="E151" s="232">
        <v>386</v>
      </c>
      <c r="F151" s="232">
        <v>0</v>
      </c>
      <c r="G151" s="232">
        <v>314</v>
      </c>
      <c r="H151" s="232">
        <v>2</v>
      </c>
      <c r="I151" s="232">
        <v>1</v>
      </c>
      <c r="J151" s="232">
        <v>0</v>
      </c>
      <c r="K151" s="80">
        <v>70</v>
      </c>
      <c r="L151" s="232">
        <v>2206</v>
      </c>
      <c r="M151" s="80" t="s">
        <v>587</v>
      </c>
      <c r="N151" s="80">
        <v>0</v>
      </c>
    </row>
    <row r="152" ht="23.1" customHeight="1" spans="1:14">
      <c r="A152" s="244" t="s">
        <v>593</v>
      </c>
      <c r="B152" s="80">
        <v>5106</v>
      </c>
      <c r="C152" s="80">
        <v>24</v>
      </c>
      <c r="D152" s="232">
        <v>1450</v>
      </c>
      <c r="E152" s="232">
        <v>399</v>
      </c>
      <c r="F152" s="232">
        <v>0</v>
      </c>
      <c r="G152" s="232">
        <v>326</v>
      </c>
      <c r="H152" s="232">
        <v>2</v>
      </c>
      <c r="I152" s="232">
        <v>1</v>
      </c>
      <c r="J152" s="232">
        <v>0</v>
      </c>
      <c r="K152" s="80">
        <v>70</v>
      </c>
      <c r="L152" s="232">
        <v>2206</v>
      </c>
      <c r="M152" s="80" t="s">
        <v>587</v>
      </c>
      <c r="N152" s="80">
        <v>0</v>
      </c>
    </row>
    <row r="153" ht="23.1" customHeight="1" spans="1:14">
      <c r="A153" s="244" t="s">
        <v>593</v>
      </c>
      <c r="B153" s="80">
        <v>5106</v>
      </c>
      <c r="C153" s="80">
        <v>25</v>
      </c>
      <c r="D153" s="232">
        <v>1500</v>
      </c>
      <c r="E153" s="232">
        <v>412</v>
      </c>
      <c r="F153" s="232">
        <v>0</v>
      </c>
      <c r="G153" s="232">
        <v>338</v>
      </c>
      <c r="H153" s="232">
        <v>2</v>
      </c>
      <c r="I153" s="232">
        <v>1</v>
      </c>
      <c r="J153" s="232">
        <v>0</v>
      </c>
      <c r="K153" s="80">
        <v>70</v>
      </c>
      <c r="L153" s="232">
        <v>2206</v>
      </c>
      <c r="M153" s="80" t="s">
        <v>587</v>
      </c>
      <c r="N153" s="80">
        <v>0</v>
      </c>
    </row>
    <row r="154" ht="23.1" customHeight="1" spans="1:14">
      <c r="A154" s="244" t="s">
        <v>594</v>
      </c>
      <c r="B154" s="80">
        <v>5108</v>
      </c>
      <c r="C154" s="80">
        <v>1</v>
      </c>
      <c r="D154" s="232">
        <v>300</v>
      </c>
      <c r="E154" s="232">
        <v>300</v>
      </c>
      <c r="F154" s="232">
        <v>0</v>
      </c>
      <c r="G154" s="232">
        <v>0</v>
      </c>
      <c r="H154" s="232">
        <v>1</v>
      </c>
      <c r="I154" s="232">
        <v>3.6</v>
      </c>
      <c r="J154" s="232">
        <v>0</v>
      </c>
      <c r="K154" s="80">
        <v>60</v>
      </c>
      <c r="L154" s="232">
        <v>2208</v>
      </c>
      <c r="M154" s="80" t="s">
        <v>587</v>
      </c>
      <c r="N154" s="80">
        <v>0</v>
      </c>
    </row>
    <row r="155" ht="23.1" customHeight="1" spans="1:14">
      <c r="A155" s="244" t="s">
        <v>594</v>
      </c>
      <c r="B155" s="80">
        <v>5108</v>
      </c>
      <c r="C155" s="80">
        <v>2</v>
      </c>
      <c r="D155" s="232">
        <v>350</v>
      </c>
      <c r="E155" s="232">
        <v>350</v>
      </c>
      <c r="F155" s="232">
        <v>0</v>
      </c>
      <c r="G155" s="232">
        <v>0</v>
      </c>
      <c r="H155" s="232">
        <v>1</v>
      </c>
      <c r="I155" s="232">
        <v>3.6</v>
      </c>
      <c r="J155" s="232">
        <v>0</v>
      </c>
      <c r="K155" s="80">
        <v>60</v>
      </c>
      <c r="L155" s="232">
        <v>2208</v>
      </c>
      <c r="M155" s="80" t="s">
        <v>587</v>
      </c>
      <c r="N155" s="80">
        <v>0</v>
      </c>
    </row>
    <row r="156" ht="23.1" customHeight="1" spans="1:14">
      <c r="A156" s="244" t="s">
        <v>594</v>
      </c>
      <c r="B156" s="80">
        <v>5108</v>
      </c>
      <c r="C156" s="80">
        <v>3</v>
      </c>
      <c r="D156" s="232">
        <v>400</v>
      </c>
      <c r="E156" s="232">
        <v>400</v>
      </c>
      <c r="F156" s="232">
        <v>0</v>
      </c>
      <c r="G156" s="232">
        <v>0</v>
      </c>
      <c r="H156" s="232">
        <v>1</v>
      </c>
      <c r="I156" s="232">
        <v>3.6</v>
      </c>
      <c r="J156" s="232">
        <v>0</v>
      </c>
      <c r="K156" s="80">
        <v>60</v>
      </c>
      <c r="L156" s="232">
        <v>2208</v>
      </c>
      <c r="M156" s="80" t="s">
        <v>587</v>
      </c>
      <c r="N156" s="80">
        <v>0</v>
      </c>
    </row>
    <row r="157" ht="23.1" customHeight="1" spans="1:14">
      <c r="A157" s="244" t="s">
        <v>594</v>
      </c>
      <c r="B157" s="80">
        <v>5108</v>
      </c>
      <c r="C157" s="80">
        <v>4</v>
      </c>
      <c r="D157" s="232">
        <v>450</v>
      </c>
      <c r="E157" s="232">
        <v>450</v>
      </c>
      <c r="F157" s="232">
        <v>0</v>
      </c>
      <c r="G157" s="232">
        <v>0</v>
      </c>
      <c r="H157" s="232">
        <v>1</v>
      </c>
      <c r="I157" s="232">
        <v>3.6</v>
      </c>
      <c r="J157" s="232">
        <v>0</v>
      </c>
      <c r="K157" s="80">
        <v>60</v>
      </c>
      <c r="L157" s="232">
        <v>2208</v>
      </c>
      <c r="M157" s="80" t="s">
        <v>587</v>
      </c>
      <c r="N157" s="80">
        <v>0</v>
      </c>
    </row>
    <row r="158" ht="23.1" customHeight="1" spans="1:14">
      <c r="A158" s="244" t="s">
        <v>594</v>
      </c>
      <c r="B158" s="80">
        <v>5108</v>
      </c>
      <c r="C158" s="80">
        <v>5</v>
      </c>
      <c r="D158" s="232">
        <v>500</v>
      </c>
      <c r="E158" s="232">
        <v>500</v>
      </c>
      <c r="F158" s="232">
        <v>0</v>
      </c>
      <c r="G158" s="232">
        <v>0</v>
      </c>
      <c r="H158" s="232">
        <v>1</v>
      </c>
      <c r="I158" s="232">
        <v>3.6</v>
      </c>
      <c r="J158" s="232">
        <v>0</v>
      </c>
      <c r="K158" s="80">
        <v>60</v>
      </c>
      <c r="L158" s="232">
        <v>2208</v>
      </c>
      <c r="M158" s="80" t="s">
        <v>587</v>
      </c>
      <c r="N158" s="80">
        <v>0</v>
      </c>
    </row>
    <row r="159" ht="23.1" customHeight="1" spans="1:14">
      <c r="A159" s="244" t="s">
        <v>594</v>
      </c>
      <c r="B159" s="80">
        <v>5108</v>
      </c>
      <c r="C159" s="80">
        <v>6</v>
      </c>
      <c r="D159" s="232">
        <v>550</v>
      </c>
      <c r="E159" s="232">
        <v>550</v>
      </c>
      <c r="F159" s="232">
        <v>0</v>
      </c>
      <c r="G159" s="232">
        <v>0</v>
      </c>
      <c r="H159" s="232">
        <v>1</v>
      </c>
      <c r="I159" s="232">
        <v>3.6</v>
      </c>
      <c r="J159" s="232">
        <v>0</v>
      </c>
      <c r="K159" s="80">
        <v>60</v>
      </c>
      <c r="L159" s="232">
        <v>2208</v>
      </c>
      <c r="M159" s="80" t="s">
        <v>587</v>
      </c>
      <c r="N159" s="80">
        <v>0</v>
      </c>
    </row>
    <row r="160" ht="23.1" customHeight="1" spans="1:14">
      <c r="A160" s="244" t="s">
        <v>594</v>
      </c>
      <c r="B160" s="80">
        <v>5108</v>
      </c>
      <c r="C160" s="80">
        <v>7</v>
      </c>
      <c r="D160" s="232">
        <v>600</v>
      </c>
      <c r="E160" s="232">
        <v>600</v>
      </c>
      <c r="F160" s="232">
        <v>0</v>
      </c>
      <c r="G160" s="232">
        <v>0</v>
      </c>
      <c r="H160" s="232">
        <v>1</v>
      </c>
      <c r="I160" s="232">
        <v>3.6</v>
      </c>
      <c r="J160" s="232">
        <v>0</v>
      </c>
      <c r="K160" s="80">
        <v>60</v>
      </c>
      <c r="L160" s="232">
        <v>2208</v>
      </c>
      <c r="M160" s="80" t="s">
        <v>587</v>
      </c>
      <c r="N160" s="80">
        <v>0</v>
      </c>
    </row>
    <row r="161" ht="23.1" customHeight="1" spans="1:14">
      <c r="A161" s="244" t="s">
        <v>594</v>
      </c>
      <c r="B161" s="80">
        <v>5108</v>
      </c>
      <c r="C161" s="80">
        <v>8</v>
      </c>
      <c r="D161" s="232">
        <v>650</v>
      </c>
      <c r="E161" s="232">
        <v>650</v>
      </c>
      <c r="F161" s="232">
        <v>0</v>
      </c>
      <c r="G161" s="232">
        <v>0</v>
      </c>
      <c r="H161" s="232">
        <v>1</v>
      </c>
      <c r="I161" s="232">
        <v>3.6</v>
      </c>
      <c r="J161" s="232">
        <v>0</v>
      </c>
      <c r="K161" s="80">
        <v>60</v>
      </c>
      <c r="L161" s="232">
        <v>2208</v>
      </c>
      <c r="M161" s="80" t="s">
        <v>587</v>
      </c>
      <c r="N161" s="80">
        <v>0</v>
      </c>
    </row>
    <row r="162" ht="23.1" customHeight="1" spans="1:14">
      <c r="A162" s="244" t="s">
        <v>594</v>
      </c>
      <c r="B162" s="80">
        <v>5108</v>
      </c>
      <c r="C162" s="80">
        <v>9</v>
      </c>
      <c r="D162" s="232">
        <v>700</v>
      </c>
      <c r="E162" s="232">
        <v>700</v>
      </c>
      <c r="F162" s="232">
        <v>0</v>
      </c>
      <c r="G162" s="232">
        <v>0</v>
      </c>
      <c r="H162" s="232">
        <v>1</v>
      </c>
      <c r="I162" s="232">
        <v>3.6</v>
      </c>
      <c r="J162" s="232">
        <v>0</v>
      </c>
      <c r="K162" s="80">
        <v>60</v>
      </c>
      <c r="L162" s="232">
        <v>2208</v>
      </c>
      <c r="M162" s="80" t="s">
        <v>587</v>
      </c>
      <c r="N162" s="80">
        <v>0</v>
      </c>
    </row>
    <row r="163" ht="23.1" customHeight="1" spans="1:14">
      <c r="A163" s="244" t="s">
        <v>594</v>
      </c>
      <c r="B163" s="80">
        <v>5108</v>
      </c>
      <c r="C163" s="80">
        <v>10</v>
      </c>
      <c r="D163" s="232">
        <v>750</v>
      </c>
      <c r="E163" s="232">
        <v>750</v>
      </c>
      <c r="F163" s="232">
        <v>0</v>
      </c>
      <c r="G163" s="232">
        <v>0</v>
      </c>
      <c r="H163" s="232">
        <v>1</v>
      </c>
      <c r="I163" s="232">
        <v>3.6</v>
      </c>
      <c r="J163" s="232">
        <v>0</v>
      </c>
      <c r="K163" s="80">
        <v>60</v>
      </c>
      <c r="L163" s="232">
        <v>2208</v>
      </c>
      <c r="M163" s="80" t="s">
        <v>587</v>
      </c>
      <c r="N163" s="80">
        <v>0</v>
      </c>
    </row>
    <row r="164" ht="23.1" customHeight="1" spans="1:14">
      <c r="A164" s="244" t="s">
        <v>594</v>
      </c>
      <c r="B164" s="80">
        <v>5108</v>
      </c>
      <c r="C164" s="80">
        <v>11</v>
      </c>
      <c r="D164" s="232">
        <v>800</v>
      </c>
      <c r="E164" s="232">
        <v>800</v>
      </c>
      <c r="F164" s="232">
        <v>0</v>
      </c>
      <c r="G164" s="232">
        <v>0</v>
      </c>
      <c r="H164" s="232">
        <v>1</v>
      </c>
      <c r="I164" s="232">
        <v>3.6</v>
      </c>
      <c r="J164" s="232">
        <v>0</v>
      </c>
      <c r="K164" s="80">
        <v>60</v>
      </c>
      <c r="L164" s="232">
        <v>2208</v>
      </c>
      <c r="M164" s="80" t="s">
        <v>587</v>
      </c>
      <c r="N164" s="80">
        <v>0</v>
      </c>
    </row>
    <row r="165" ht="23.1" customHeight="1" spans="1:14">
      <c r="A165" s="244" t="s">
        <v>594</v>
      </c>
      <c r="B165" s="80">
        <v>5108</v>
      </c>
      <c r="C165" s="80">
        <v>12</v>
      </c>
      <c r="D165" s="232">
        <v>850</v>
      </c>
      <c r="E165" s="232">
        <v>850</v>
      </c>
      <c r="F165" s="232">
        <v>0</v>
      </c>
      <c r="G165" s="232">
        <v>0</v>
      </c>
      <c r="H165" s="232">
        <v>1</v>
      </c>
      <c r="I165" s="232">
        <v>3.6</v>
      </c>
      <c r="J165" s="232">
        <v>0</v>
      </c>
      <c r="K165" s="80">
        <v>60</v>
      </c>
      <c r="L165" s="232">
        <v>2208</v>
      </c>
      <c r="M165" s="80" t="s">
        <v>587</v>
      </c>
      <c r="N165" s="80">
        <v>0</v>
      </c>
    </row>
    <row r="166" ht="23.1" customHeight="1" spans="1:14">
      <c r="A166" s="244" t="s">
        <v>594</v>
      </c>
      <c r="B166" s="80">
        <v>5108</v>
      </c>
      <c r="C166" s="80">
        <v>13</v>
      </c>
      <c r="D166" s="232">
        <v>900</v>
      </c>
      <c r="E166" s="232">
        <v>900</v>
      </c>
      <c r="F166" s="232">
        <v>0</v>
      </c>
      <c r="G166" s="232">
        <v>0</v>
      </c>
      <c r="H166" s="232">
        <v>1</v>
      </c>
      <c r="I166" s="232">
        <v>3.6</v>
      </c>
      <c r="J166" s="232">
        <v>0</v>
      </c>
      <c r="K166" s="80">
        <v>60</v>
      </c>
      <c r="L166" s="232">
        <v>2208</v>
      </c>
      <c r="M166" s="80" t="s">
        <v>587</v>
      </c>
      <c r="N166" s="80">
        <v>0</v>
      </c>
    </row>
    <row r="167" ht="23.1" customHeight="1" spans="1:14">
      <c r="A167" s="244" t="s">
        <v>594</v>
      </c>
      <c r="B167" s="80">
        <v>5108</v>
      </c>
      <c r="C167" s="80">
        <v>14</v>
      </c>
      <c r="D167" s="232">
        <v>950</v>
      </c>
      <c r="E167" s="232">
        <v>950</v>
      </c>
      <c r="F167" s="232">
        <v>0</v>
      </c>
      <c r="G167" s="232">
        <v>0</v>
      </c>
      <c r="H167" s="232">
        <v>1</v>
      </c>
      <c r="I167" s="232">
        <v>3.6</v>
      </c>
      <c r="J167" s="232">
        <v>0</v>
      </c>
      <c r="K167" s="80">
        <v>60</v>
      </c>
      <c r="L167" s="232">
        <v>2208</v>
      </c>
      <c r="M167" s="80" t="s">
        <v>587</v>
      </c>
      <c r="N167" s="80">
        <v>0</v>
      </c>
    </row>
    <row r="168" ht="23.1" customHeight="1" spans="1:14">
      <c r="A168" s="244" t="s">
        <v>594</v>
      </c>
      <c r="B168" s="80">
        <v>5108</v>
      </c>
      <c r="C168" s="80">
        <v>15</v>
      </c>
      <c r="D168" s="232">
        <v>1000</v>
      </c>
      <c r="E168" s="232">
        <v>1000</v>
      </c>
      <c r="F168" s="232">
        <v>0</v>
      </c>
      <c r="G168" s="232">
        <v>0</v>
      </c>
      <c r="H168" s="232">
        <v>1</v>
      </c>
      <c r="I168" s="232">
        <v>3.6</v>
      </c>
      <c r="J168" s="232">
        <v>0</v>
      </c>
      <c r="K168" s="80">
        <v>60</v>
      </c>
      <c r="L168" s="232">
        <v>2208</v>
      </c>
      <c r="M168" s="80" t="s">
        <v>587</v>
      </c>
      <c r="N168" s="80">
        <v>0</v>
      </c>
    </row>
    <row r="169" ht="23.1" customHeight="1" spans="1:14">
      <c r="A169" s="244" t="s">
        <v>594</v>
      </c>
      <c r="B169" s="80">
        <v>5108</v>
      </c>
      <c r="C169" s="80">
        <v>16</v>
      </c>
      <c r="D169" s="232">
        <v>1050</v>
      </c>
      <c r="E169" s="232">
        <v>1050</v>
      </c>
      <c r="F169" s="232">
        <v>0</v>
      </c>
      <c r="G169" s="232">
        <v>0</v>
      </c>
      <c r="H169" s="232">
        <v>1</v>
      </c>
      <c r="I169" s="232">
        <v>3.6</v>
      </c>
      <c r="J169" s="232">
        <v>0</v>
      </c>
      <c r="K169" s="80">
        <v>60</v>
      </c>
      <c r="L169" s="232">
        <v>2208</v>
      </c>
      <c r="M169" s="80" t="s">
        <v>587</v>
      </c>
      <c r="N169" s="80">
        <v>0</v>
      </c>
    </row>
    <row r="170" ht="23.1" customHeight="1" spans="1:14">
      <c r="A170" s="244" t="s">
        <v>594</v>
      </c>
      <c r="B170" s="80">
        <v>5108</v>
      </c>
      <c r="C170" s="80">
        <v>17</v>
      </c>
      <c r="D170" s="232">
        <v>1100</v>
      </c>
      <c r="E170" s="232">
        <v>1100</v>
      </c>
      <c r="F170" s="232">
        <v>0</v>
      </c>
      <c r="G170" s="232">
        <v>0</v>
      </c>
      <c r="H170" s="232">
        <v>1</v>
      </c>
      <c r="I170" s="232">
        <v>3.6</v>
      </c>
      <c r="J170" s="232">
        <v>0</v>
      </c>
      <c r="K170" s="80">
        <v>60</v>
      </c>
      <c r="L170" s="232">
        <v>2208</v>
      </c>
      <c r="M170" s="80" t="s">
        <v>587</v>
      </c>
      <c r="N170" s="80">
        <v>0</v>
      </c>
    </row>
    <row r="171" ht="23.1" customHeight="1" spans="1:14">
      <c r="A171" s="244" t="s">
        <v>594</v>
      </c>
      <c r="B171" s="80">
        <v>5108</v>
      </c>
      <c r="C171" s="80">
        <v>18</v>
      </c>
      <c r="D171" s="232">
        <v>1150</v>
      </c>
      <c r="E171" s="232">
        <v>1150</v>
      </c>
      <c r="F171" s="232">
        <v>0</v>
      </c>
      <c r="G171" s="232">
        <v>0</v>
      </c>
      <c r="H171" s="232">
        <v>1</v>
      </c>
      <c r="I171" s="232">
        <v>3.6</v>
      </c>
      <c r="J171" s="232">
        <v>0</v>
      </c>
      <c r="K171" s="80">
        <v>60</v>
      </c>
      <c r="L171" s="232">
        <v>2208</v>
      </c>
      <c r="M171" s="80" t="s">
        <v>587</v>
      </c>
      <c r="N171" s="80">
        <v>0</v>
      </c>
    </row>
    <row r="172" ht="23.1" customHeight="1" spans="1:14">
      <c r="A172" s="244" t="s">
        <v>594</v>
      </c>
      <c r="B172" s="80">
        <v>5108</v>
      </c>
      <c r="C172" s="80">
        <v>19</v>
      </c>
      <c r="D172" s="232">
        <v>1200</v>
      </c>
      <c r="E172" s="232">
        <v>1200</v>
      </c>
      <c r="F172" s="232">
        <v>0</v>
      </c>
      <c r="G172" s="232">
        <v>0</v>
      </c>
      <c r="H172" s="232">
        <v>1</v>
      </c>
      <c r="I172" s="232">
        <v>3.6</v>
      </c>
      <c r="J172" s="232">
        <v>0</v>
      </c>
      <c r="K172" s="80">
        <v>60</v>
      </c>
      <c r="L172" s="232">
        <v>2208</v>
      </c>
      <c r="M172" s="80" t="s">
        <v>587</v>
      </c>
      <c r="N172" s="80">
        <v>0</v>
      </c>
    </row>
    <row r="173" ht="23.1" customHeight="1" spans="1:14">
      <c r="A173" s="244" t="s">
        <v>594</v>
      </c>
      <c r="B173" s="80">
        <v>5108</v>
      </c>
      <c r="C173" s="80">
        <v>20</v>
      </c>
      <c r="D173" s="232">
        <v>1250</v>
      </c>
      <c r="E173" s="232">
        <v>1250</v>
      </c>
      <c r="F173" s="232">
        <v>0</v>
      </c>
      <c r="G173" s="232">
        <v>0</v>
      </c>
      <c r="H173" s="232">
        <v>1</v>
      </c>
      <c r="I173" s="232">
        <v>3.6</v>
      </c>
      <c r="J173" s="232">
        <v>0</v>
      </c>
      <c r="K173" s="80">
        <v>60</v>
      </c>
      <c r="L173" s="232">
        <v>2208</v>
      </c>
      <c r="M173" s="80" t="s">
        <v>587</v>
      </c>
      <c r="N173" s="80">
        <v>0</v>
      </c>
    </row>
    <row r="174" ht="23.1" customHeight="1" spans="1:14">
      <c r="A174" s="244" t="s">
        <v>594</v>
      </c>
      <c r="B174" s="80">
        <v>5108</v>
      </c>
      <c r="C174" s="80">
        <v>21</v>
      </c>
      <c r="D174" s="232">
        <v>1300</v>
      </c>
      <c r="E174" s="232">
        <v>1300</v>
      </c>
      <c r="F174" s="232">
        <v>0</v>
      </c>
      <c r="G174" s="232">
        <v>0</v>
      </c>
      <c r="H174" s="232">
        <v>1</v>
      </c>
      <c r="I174" s="232">
        <v>3.6</v>
      </c>
      <c r="J174" s="232">
        <v>0</v>
      </c>
      <c r="K174" s="80">
        <v>60</v>
      </c>
      <c r="L174" s="232">
        <v>2208</v>
      </c>
      <c r="M174" s="80" t="s">
        <v>587</v>
      </c>
      <c r="N174" s="80">
        <v>0</v>
      </c>
    </row>
    <row r="175" ht="23.1" customHeight="1" spans="1:14">
      <c r="A175" s="244" t="s">
        <v>594</v>
      </c>
      <c r="B175" s="80">
        <v>5108</v>
      </c>
      <c r="C175" s="80">
        <v>22</v>
      </c>
      <c r="D175" s="232">
        <v>1350</v>
      </c>
      <c r="E175" s="232">
        <v>1350</v>
      </c>
      <c r="F175" s="232">
        <v>0</v>
      </c>
      <c r="G175" s="232">
        <v>0</v>
      </c>
      <c r="H175" s="232">
        <v>1</v>
      </c>
      <c r="I175" s="232">
        <v>3.6</v>
      </c>
      <c r="J175" s="232">
        <v>0</v>
      </c>
      <c r="K175" s="80">
        <v>60</v>
      </c>
      <c r="L175" s="232">
        <v>2208</v>
      </c>
      <c r="M175" s="80" t="s">
        <v>587</v>
      </c>
      <c r="N175" s="80">
        <v>0</v>
      </c>
    </row>
    <row r="176" ht="23.1" customHeight="1" spans="1:14">
      <c r="A176" s="244" t="s">
        <v>594</v>
      </c>
      <c r="B176" s="80">
        <v>5108</v>
      </c>
      <c r="C176" s="80">
        <v>23</v>
      </c>
      <c r="D176" s="232">
        <v>1400</v>
      </c>
      <c r="E176" s="232">
        <v>1400</v>
      </c>
      <c r="F176" s="232">
        <v>0</v>
      </c>
      <c r="G176" s="232">
        <v>0</v>
      </c>
      <c r="H176" s="232">
        <v>1</v>
      </c>
      <c r="I176" s="232">
        <v>3.6</v>
      </c>
      <c r="J176" s="232">
        <v>0</v>
      </c>
      <c r="K176" s="80">
        <v>60</v>
      </c>
      <c r="L176" s="232">
        <v>2208</v>
      </c>
      <c r="M176" s="80" t="s">
        <v>587</v>
      </c>
      <c r="N176" s="80">
        <v>0</v>
      </c>
    </row>
    <row r="177" ht="23.1" customHeight="1" spans="1:14">
      <c r="A177" s="244" t="s">
        <v>594</v>
      </c>
      <c r="B177" s="80">
        <v>5108</v>
      </c>
      <c r="C177" s="80">
        <v>24</v>
      </c>
      <c r="D177" s="232">
        <v>1450</v>
      </c>
      <c r="E177" s="232">
        <v>1450</v>
      </c>
      <c r="F177" s="232">
        <v>0</v>
      </c>
      <c r="G177" s="232">
        <v>0</v>
      </c>
      <c r="H177" s="232">
        <v>1</v>
      </c>
      <c r="I177" s="232">
        <v>3.6</v>
      </c>
      <c r="J177" s="232">
        <v>0</v>
      </c>
      <c r="K177" s="80">
        <v>60</v>
      </c>
      <c r="L177" s="232">
        <v>2208</v>
      </c>
      <c r="M177" s="80" t="s">
        <v>587</v>
      </c>
      <c r="N177" s="80">
        <v>0</v>
      </c>
    </row>
    <row r="178" ht="23.1" customHeight="1" spans="1:14">
      <c r="A178" s="244" t="s">
        <v>594</v>
      </c>
      <c r="B178" s="80">
        <v>5108</v>
      </c>
      <c r="C178" s="80">
        <v>25</v>
      </c>
      <c r="D178" s="232">
        <v>1500</v>
      </c>
      <c r="E178" s="232">
        <v>1500</v>
      </c>
      <c r="F178" s="232">
        <v>0</v>
      </c>
      <c r="G178" s="232">
        <v>0</v>
      </c>
      <c r="H178" s="232">
        <v>1</v>
      </c>
      <c r="I178" s="232">
        <v>3.6</v>
      </c>
      <c r="J178" s="232">
        <v>0</v>
      </c>
      <c r="K178" s="80">
        <v>60</v>
      </c>
      <c r="L178" s="232">
        <v>2208</v>
      </c>
      <c r="M178" s="80" t="s">
        <v>587</v>
      </c>
      <c r="N178" s="80">
        <v>0</v>
      </c>
    </row>
    <row r="179" ht="23.1" customHeight="1" spans="1:14">
      <c r="A179" s="244" t="s">
        <v>595</v>
      </c>
      <c r="B179" s="80">
        <v>5109</v>
      </c>
      <c r="C179" s="80">
        <v>1</v>
      </c>
      <c r="D179" s="232">
        <v>360</v>
      </c>
      <c r="E179" s="232">
        <v>12</v>
      </c>
      <c r="F179" s="232">
        <v>180</v>
      </c>
      <c r="G179" s="232">
        <v>0</v>
      </c>
      <c r="H179" s="232">
        <v>1</v>
      </c>
      <c r="I179" s="232">
        <v>0.333</v>
      </c>
      <c r="J179" s="232">
        <v>10</v>
      </c>
      <c r="K179" s="232">
        <v>60</v>
      </c>
      <c r="L179" s="232">
        <v>2209</v>
      </c>
      <c r="M179" s="80" t="s">
        <v>587</v>
      </c>
      <c r="N179" s="80">
        <v>0</v>
      </c>
    </row>
    <row r="180" ht="23.1" customHeight="1" spans="1:14">
      <c r="A180" s="244" t="s">
        <v>595</v>
      </c>
      <c r="B180" s="80">
        <v>5109</v>
      </c>
      <c r="C180" s="80">
        <v>2</v>
      </c>
      <c r="D180" s="232">
        <v>420</v>
      </c>
      <c r="E180" s="232">
        <v>14</v>
      </c>
      <c r="F180" s="232">
        <v>205</v>
      </c>
      <c r="G180" s="232">
        <v>0</v>
      </c>
      <c r="H180" s="232">
        <v>1</v>
      </c>
      <c r="I180" s="232">
        <v>0.333</v>
      </c>
      <c r="J180" s="232">
        <v>10</v>
      </c>
      <c r="K180" s="232">
        <v>60</v>
      </c>
      <c r="L180" s="232">
        <v>2209</v>
      </c>
      <c r="M180" s="80" t="s">
        <v>587</v>
      </c>
      <c r="N180" s="80">
        <v>0</v>
      </c>
    </row>
    <row r="181" ht="23.1" customHeight="1" spans="1:14">
      <c r="A181" s="244" t="s">
        <v>595</v>
      </c>
      <c r="B181" s="80">
        <v>5109</v>
      </c>
      <c r="C181" s="80">
        <v>3</v>
      </c>
      <c r="D181" s="232">
        <v>480</v>
      </c>
      <c r="E181" s="232">
        <v>16</v>
      </c>
      <c r="F181" s="232">
        <v>230</v>
      </c>
      <c r="G181" s="232">
        <v>0</v>
      </c>
      <c r="H181" s="232">
        <v>1</v>
      </c>
      <c r="I181" s="232">
        <v>0.333</v>
      </c>
      <c r="J181" s="232">
        <v>10</v>
      </c>
      <c r="K181" s="232">
        <v>60</v>
      </c>
      <c r="L181" s="232">
        <v>2209</v>
      </c>
      <c r="M181" s="80" t="s">
        <v>587</v>
      </c>
      <c r="N181" s="80">
        <v>0</v>
      </c>
    </row>
    <row r="182" ht="23.1" customHeight="1" spans="1:14">
      <c r="A182" s="244" t="s">
        <v>595</v>
      </c>
      <c r="B182" s="80">
        <v>5109</v>
      </c>
      <c r="C182" s="80">
        <v>4</v>
      </c>
      <c r="D182" s="232">
        <v>540</v>
      </c>
      <c r="E182" s="232">
        <v>18</v>
      </c>
      <c r="F182" s="232">
        <v>260</v>
      </c>
      <c r="G182" s="232">
        <v>0</v>
      </c>
      <c r="H182" s="232">
        <v>1</v>
      </c>
      <c r="I182" s="232">
        <v>0.333</v>
      </c>
      <c r="J182" s="232">
        <v>10</v>
      </c>
      <c r="K182" s="232">
        <v>60</v>
      </c>
      <c r="L182" s="232">
        <v>2209</v>
      </c>
      <c r="M182" s="80" t="s">
        <v>587</v>
      </c>
      <c r="N182" s="80">
        <v>0</v>
      </c>
    </row>
    <row r="183" ht="23.1" customHeight="1" spans="1:14">
      <c r="A183" s="244" t="s">
        <v>595</v>
      </c>
      <c r="B183" s="80">
        <v>5109</v>
      </c>
      <c r="C183" s="80">
        <v>5</v>
      </c>
      <c r="D183" s="232">
        <v>600</v>
      </c>
      <c r="E183" s="232">
        <v>20</v>
      </c>
      <c r="F183" s="232">
        <v>310</v>
      </c>
      <c r="G183" s="232">
        <v>0</v>
      </c>
      <c r="H183" s="232">
        <v>1</v>
      </c>
      <c r="I183" s="232">
        <v>0.333</v>
      </c>
      <c r="J183" s="232">
        <v>10</v>
      </c>
      <c r="K183" s="232">
        <v>60</v>
      </c>
      <c r="L183" s="232">
        <v>2209</v>
      </c>
      <c r="M183" s="80" t="s">
        <v>587</v>
      </c>
      <c r="N183" s="80">
        <v>0</v>
      </c>
    </row>
    <row r="184" ht="23.1" customHeight="1" spans="1:14">
      <c r="A184" s="244" t="s">
        <v>595</v>
      </c>
      <c r="B184" s="80">
        <v>5109</v>
      </c>
      <c r="C184" s="80">
        <v>6</v>
      </c>
      <c r="D184" s="232">
        <v>660</v>
      </c>
      <c r="E184" s="232">
        <v>22</v>
      </c>
      <c r="F184" s="232">
        <v>340</v>
      </c>
      <c r="G184" s="232">
        <v>0</v>
      </c>
      <c r="H184" s="232">
        <v>1</v>
      </c>
      <c r="I184" s="232">
        <v>0.333</v>
      </c>
      <c r="J184" s="232">
        <v>10</v>
      </c>
      <c r="K184" s="232">
        <v>60</v>
      </c>
      <c r="L184" s="232">
        <v>2209</v>
      </c>
      <c r="M184" s="80" t="s">
        <v>587</v>
      </c>
      <c r="N184" s="80">
        <v>0</v>
      </c>
    </row>
    <row r="185" ht="23.1" customHeight="1" spans="1:14">
      <c r="A185" s="244" t="s">
        <v>595</v>
      </c>
      <c r="B185" s="80">
        <v>5109</v>
      </c>
      <c r="C185" s="80">
        <v>7</v>
      </c>
      <c r="D185" s="232">
        <v>720</v>
      </c>
      <c r="E185" s="232">
        <v>24</v>
      </c>
      <c r="F185" s="232">
        <v>370</v>
      </c>
      <c r="G185" s="232">
        <v>0</v>
      </c>
      <c r="H185" s="232">
        <v>1</v>
      </c>
      <c r="I185" s="232">
        <v>0.333</v>
      </c>
      <c r="J185" s="232">
        <v>10</v>
      </c>
      <c r="K185" s="232">
        <v>60</v>
      </c>
      <c r="L185" s="232">
        <v>2209</v>
      </c>
      <c r="M185" s="80" t="s">
        <v>587</v>
      </c>
      <c r="N185" s="80">
        <v>0</v>
      </c>
    </row>
    <row r="186" ht="23.1" customHeight="1" spans="1:14">
      <c r="A186" s="244" t="s">
        <v>595</v>
      </c>
      <c r="B186" s="80">
        <v>5109</v>
      </c>
      <c r="C186" s="80">
        <v>8</v>
      </c>
      <c r="D186" s="232">
        <v>780</v>
      </c>
      <c r="E186" s="232">
        <v>26</v>
      </c>
      <c r="F186" s="232">
        <v>400</v>
      </c>
      <c r="G186" s="232">
        <v>0</v>
      </c>
      <c r="H186" s="232">
        <v>1</v>
      </c>
      <c r="I186" s="232">
        <v>0.333</v>
      </c>
      <c r="J186" s="232">
        <v>10</v>
      </c>
      <c r="K186" s="232">
        <v>60</v>
      </c>
      <c r="L186" s="232">
        <v>2209</v>
      </c>
      <c r="M186" s="80" t="s">
        <v>587</v>
      </c>
      <c r="N186" s="80">
        <v>0</v>
      </c>
    </row>
    <row r="187" ht="23.1" customHeight="1" spans="1:14">
      <c r="A187" s="244" t="s">
        <v>595</v>
      </c>
      <c r="B187" s="80">
        <v>5109</v>
      </c>
      <c r="C187" s="80">
        <v>9</v>
      </c>
      <c r="D187" s="232">
        <v>840</v>
      </c>
      <c r="E187" s="232">
        <v>28</v>
      </c>
      <c r="F187" s="232">
        <v>470</v>
      </c>
      <c r="G187" s="232">
        <v>0</v>
      </c>
      <c r="H187" s="232">
        <v>1</v>
      </c>
      <c r="I187" s="232">
        <v>0.333</v>
      </c>
      <c r="J187" s="232">
        <v>10</v>
      </c>
      <c r="K187" s="232">
        <v>60</v>
      </c>
      <c r="L187" s="232">
        <v>2209</v>
      </c>
      <c r="M187" s="80" t="s">
        <v>587</v>
      </c>
      <c r="N187" s="80">
        <v>0</v>
      </c>
    </row>
    <row r="188" ht="23.1" customHeight="1" spans="1:14">
      <c r="A188" s="244" t="s">
        <v>595</v>
      </c>
      <c r="B188" s="80">
        <v>5109</v>
      </c>
      <c r="C188" s="80">
        <v>10</v>
      </c>
      <c r="D188" s="232">
        <v>900</v>
      </c>
      <c r="E188" s="232">
        <v>30</v>
      </c>
      <c r="F188" s="232">
        <v>500</v>
      </c>
      <c r="G188" s="232">
        <v>0</v>
      </c>
      <c r="H188" s="232">
        <v>1</v>
      </c>
      <c r="I188" s="232">
        <v>0.333</v>
      </c>
      <c r="J188" s="232">
        <v>10</v>
      </c>
      <c r="K188" s="232">
        <v>60</v>
      </c>
      <c r="L188" s="232">
        <v>2209</v>
      </c>
      <c r="M188" s="80" t="s">
        <v>587</v>
      </c>
      <c r="N188" s="80">
        <v>0</v>
      </c>
    </row>
    <row r="189" ht="23.1" customHeight="1" spans="1:14">
      <c r="A189" s="244" t="s">
        <v>595</v>
      </c>
      <c r="B189" s="80">
        <v>5109</v>
      </c>
      <c r="C189" s="80">
        <v>11</v>
      </c>
      <c r="D189" s="232">
        <v>960</v>
      </c>
      <c r="E189" s="232">
        <v>32</v>
      </c>
      <c r="F189" s="232">
        <v>530</v>
      </c>
      <c r="G189" s="232">
        <v>0</v>
      </c>
      <c r="H189" s="232">
        <v>1</v>
      </c>
      <c r="I189" s="232">
        <v>0.333</v>
      </c>
      <c r="J189" s="232">
        <v>10</v>
      </c>
      <c r="K189" s="232">
        <v>60</v>
      </c>
      <c r="L189" s="232">
        <v>2209</v>
      </c>
      <c r="M189" s="80" t="s">
        <v>587</v>
      </c>
      <c r="N189" s="80">
        <v>0</v>
      </c>
    </row>
    <row r="190" ht="23.1" customHeight="1" spans="1:14">
      <c r="A190" s="244" t="s">
        <v>595</v>
      </c>
      <c r="B190" s="80">
        <v>5109</v>
      </c>
      <c r="C190" s="80">
        <v>12</v>
      </c>
      <c r="D190" s="232">
        <v>1020</v>
      </c>
      <c r="E190" s="232">
        <v>34</v>
      </c>
      <c r="F190" s="232">
        <v>560</v>
      </c>
      <c r="G190" s="232">
        <v>0</v>
      </c>
      <c r="H190" s="232">
        <v>1</v>
      </c>
      <c r="I190" s="232">
        <v>0.333</v>
      </c>
      <c r="J190" s="232">
        <v>10</v>
      </c>
      <c r="K190" s="232">
        <v>60</v>
      </c>
      <c r="L190" s="232">
        <v>2209</v>
      </c>
      <c r="M190" s="80" t="s">
        <v>587</v>
      </c>
      <c r="N190" s="80">
        <v>0</v>
      </c>
    </row>
    <row r="191" ht="23.1" customHeight="1" spans="1:14">
      <c r="A191" s="244" t="s">
        <v>595</v>
      </c>
      <c r="B191" s="80">
        <v>5109</v>
      </c>
      <c r="C191" s="80">
        <v>13</v>
      </c>
      <c r="D191" s="232">
        <v>1080</v>
      </c>
      <c r="E191" s="232">
        <v>36</v>
      </c>
      <c r="F191" s="232">
        <v>640</v>
      </c>
      <c r="G191" s="232">
        <v>0</v>
      </c>
      <c r="H191" s="232">
        <v>1</v>
      </c>
      <c r="I191" s="232">
        <v>0.333</v>
      </c>
      <c r="J191" s="232">
        <v>10</v>
      </c>
      <c r="K191" s="232">
        <v>60</v>
      </c>
      <c r="L191" s="232">
        <v>2209</v>
      </c>
      <c r="M191" s="80" t="s">
        <v>587</v>
      </c>
      <c r="N191" s="80">
        <v>0</v>
      </c>
    </row>
    <row r="192" ht="23.1" customHeight="1" spans="1:14">
      <c r="A192" s="244" t="s">
        <v>595</v>
      </c>
      <c r="B192" s="80">
        <v>5109</v>
      </c>
      <c r="C192" s="80">
        <v>14</v>
      </c>
      <c r="D192" s="232">
        <v>1140</v>
      </c>
      <c r="E192" s="232">
        <v>38</v>
      </c>
      <c r="F192" s="232">
        <v>680</v>
      </c>
      <c r="G192" s="232">
        <v>0</v>
      </c>
      <c r="H192" s="232">
        <v>1</v>
      </c>
      <c r="I192" s="232">
        <v>0.333</v>
      </c>
      <c r="J192" s="232">
        <v>10</v>
      </c>
      <c r="K192" s="232">
        <v>60</v>
      </c>
      <c r="L192" s="232">
        <v>2209</v>
      </c>
      <c r="M192" s="80" t="s">
        <v>587</v>
      </c>
      <c r="N192" s="80">
        <v>0</v>
      </c>
    </row>
    <row r="193" ht="23.1" customHeight="1" spans="1:14">
      <c r="A193" s="244" t="s">
        <v>595</v>
      </c>
      <c r="B193" s="80">
        <v>5109</v>
      </c>
      <c r="C193" s="80">
        <v>15</v>
      </c>
      <c r="D193" s="232">
        <v>1200</v>
      </c>
      <c r="E193" s="232">
        <v>40</v>
      </c>
      <c r="F193" s="232">
        <v>720</v>
      </c>
      <c r="G193" s="232">
        <v>0</v>
      </c>
      <c r="H193" s="232">
        <v>1</v>
      </c>
      <c r="I193" s="232">
        <v>0.333</v>
      </c>
      <c r="J193" s="232">
        <v>10</v>
      </c>
      <c r="K193" s="232">
        <v>60</v>
      </c>
      <c r="L193" s="232">
        <v>2209</v>
      </c>
      <c r="M193" s="80" t="s">
        <v>587</v>
      </c>
      <c r="N193" s="80">
        <v>0</v>
      </c>
    </row>
    <row r="194" ht="23.1" customHeight="1" spans="1:14">
      <c r="A194" s="244" t="s">
        <v>595</v>
      </c>
      <c r="B194" s="80">
        <v>5109</v>
      </c>
      <c r="C194" s="80">
        <v>16</v>
      </c>
      <c r="D194" s="232">
        <v>1260</v>
      </c>
      <c r="E194" s="232">
        <v>42</v>
      </c>
      <c r="F194" s="232">
        <v>760</v>
      </c>
      <c r="G194" s="232">
        <v>0</v>
      </c>
      <c r="H194" s="232">
        <v>1</v>
      </c>
      <c r="I194" s="232">
        <v>0.333</v>
      </c>
      <c r="J194" s="232">
        <v>10</v>
      </c>
      <c r="K194" s="232">
        <v>60</v>
      </c>
      <c r="L194" s="232">
        <v>2209</v>
      </c>
      <c r="M194" s="80" t="s">
        <v>587</v>
      </c>
      <c r="N194" s="80">
        <v>0</v>
      </c>
    </row>
    <row r="195" ht="23.1" customHeight="1" spans="1:14">
      <c r="A195" s="244" t="s">
        <v>595</v>
      </c>
      <c r="B195" s="80">
        <v>5109</v>
      </c>
      <c r="C195" s="80">
        <v>17</v>
      </c>
      <c r="D195" s="232">
        <v>1320</v>
      </c>
      <c r="E195" s="232">
        <v>44</v>
      </c>
      <c r="F195" s="232">
        <v>850</v>
      </c>
      <c r="G195" s="232">
        <v>0</v>
      </c>
      <c r="H195" s="232">
        <v>1</v>
      </c>
      <c r="I195" s="232">
        <v>0.333</v>
      </c>
      <c r="J195" s="232">
        <v>10</v>
      </c>
      <c r="K195" s="232">
        <v>60</v>
      </c>
      <c r="L195" s="232">
        <v>2209</v>
      </c>
      <c r="M195" s="80" t="s">
        <v>587</v>
      </c>
      <c r="N195" s="80">
        <v>0</v>
      </c>
    </row>
    <row r="196" ht="23.1" customHeight="1" spans="1:14">
      <c r="A196" s="244" t="s">
        <v>595</v>
      </c>
      <c r="B196" s="80">
        <v>5109</v>
      </c>
      <c r="C196" s="80">
        <v>18</v>
      </c>
      <c r="D196" s="232">
        <v>1380</v>
      </c>
      <c r="E196" s="232">
        <v>46</v>
      </c>
      <c r="F196" s="232">
        <v>900</v>
      </c>
      <c r="G196" s="232">
        <v>0</v>
      </c>
      <c r="H196" s="232">
        <v>1</v>
      </c>
      <c r="I196" s="232">
        <v>0.333</v>
      </c>
      <c r="J196" s="232">
        <v>10</v>
      </c>
      <c r="K196" s="232">
        <v>60</v>
      </c>
      <c r="L196" s="232">
        <v>2209</v>
      </c>
      <c r="M196" s="80" t="s">
        <v>587</v>
      </c>
      <c r="N196" s="80">
        <v>0</v>
      </c>
    </row>
    <row r="197" ht="23.1" customHeight="1" spans="1:14">
      <c r="A197" s="244" t="s">
        <v>595</v>
      </c>
      <c r="B197" s="80">
        <v>5109</v>
      </c>
      <c r="C197" s="80">
        <v>19</v>
      </c>
      <c r="D197" s="232">
        <v>1440</v>
      </c>
      <c r="E197" s="232">
        <v>48</v>
      </c>
      <c r="F197" s="232">
        <v>950</v>
      </c>
      <c r="G197" s="232">
        <v>0</v>
      </c>
      <c r="H197" s="232">
        <v>1</v>
      </c>
      <c r="I197" s="232">
        <v>0.333</v>
      </c>
      <c r="J197" s="232">
        <v>10</v>
      </c>
      <c r="K197" s="232">
        <v>60</v>
      </c>
      <c r="L197" s="232">
        <v>2209</v>
      </c>
      <c r="M197" s="80" t="s">
        <v>587</v>
      </c>
      <c r="N197" s="80">
        <v>0</v>
      </c>
    </row>
    <row r="198" ht="23.1" customHeight="1" spans="1:14">
      <c r="A198" s="244" t="s">
        <v>595</v>
      </c>
      <c r="B198" s="80">
        <v>5109</v>
      </c>
      <c r="C198" s="80">
        <v>20</v>
      </c>
      <c r="D198" s="232">
        <v>1500</v>
      </c>
      <c r="E198" s="232">
        <v>50</v>
      </c>
      <c r="F198" s="232">
        <v>1000</v>
      </c>
      <c r="G198" s="232">
        <v>0</v>
      </c>
      <c r="H198" s="232">
        <v>1</v>
      </c>
      <c r="I198" s="232">
        <v>0.333</v>
      </c>
      <c r="J198" s="232">
        <v>10</v>
      </c>
      <c r="K198" s="232">
        <v>60</v>
      </c>
      <c r="L198" s="232">
        <v>2209</v>
      </c>
      <c r="M198" s="80" t="s">
        <v>587</v>
      </c>
      <c r="N198" s="80">
        <v>0</v>
      </c>
    </row>
    <row r="199" ht="23.1" customHeight="1" spans="1:14">
      <c r="A199" s="244" t="s">
        <v>595</v>
      </c>
      <c r="B199" s="80">
        <v>5109</v>
      </c>
      <c r="C199" s="80">
        <v>21</v>
      </c>
      <c r="D199" s="232">
        <v>1560</v>
      </c>
      <c r="E199" s="232">
        <v>52</v>
      </c>
      <c r="F199" s="232">
        <v>1080</v>
      </c>
      <c r="G199" s="232">
        <v>0</v>
      </c>
      <c r="H199" s="232">
        <v>1</v>
      </c>
      <c r="I199" s="232">
        <v>0.333</v>
      </c>
      <c r="J199" s="232">
        <v>10</v>
      </c>
      <c r="K199" s="232">
        <v>60</v>
      </c>
      <c r="L199" s="232">
        <v>2209</v>
      </c>
      <c r="M199" s="80" t="s">
        <v>587</v>
      </c>
      <c r="N199" s="80">
        <v>0</v>
      </c>
    </row>
    <row r="200" ht="23.1" customHeight="1" spans="1:14">
      <c r="A200" s="244" t="s">
        <v>595</v>
      </c>
      <c r="B200" s="80">
        <v>5109</v>
      </c>
      <c r="C200" s="80">
        <v>22</v>
      </c>
      <c r="D200" s="232">
        <v>1620</v>
      </c>
      <c r="E200" s="232">
        <v>54</v>
      </c>
      <c r="F200" s="232">
        <v>1180</v>
      </c>
      <c r="G200" s="232">
        <v>0</v>
      </c>
      <c r="H200" s="232">
        <v>1</v>
      </c>
      <c r="I200" s="232">
        <v>0.333</v>
      </c>
      <c r="J200" s="232">
        <v>10</v>
      </c>
      <c r="K200" s="232">
        <v>60</v>
      </c>
      <c r="L200" s="232">
        <v>2209</v>
      </c>
      <c r="M200" s="80" t="s">
        <v>587</v>
      </c>
      <c r="N200" s="80">
        <v>0</v>
      </c>
    </row>
    <row r="201" ht="23.1" customHeight="1" spans="1:14">
      <c r="A201" s="244" t="s">
        <v>595</v>
      </c>
      <c r="B201" s="80">
        <v>5109</v>
      </c>
      <c r="C201" s="80">
        <v>23</v>
      </c>
      <c r="D201" s="232">
        <v>1680</v>
      </c>
      <c r="E201" s="232">
        <v>56</v>
      </c>
      <c r="F201" s="232">
        <v>1280</v>
      </c>
      <c r="G201" s="232">
        <v>0</v>
      </c>
      <c r="H201" s="232">
        <v>1</v>
      </c>
      <c r="I201" s="232">
        <v>0.333</v>
      </c>
      <c r="J201" s="232">
        <v>10</v>
      </c>
      <c r="K201" s="232">
        <v>60</v>
      </c>
      <c r="L201" s="232">
        <v>2209</v>
      </c>
      <c r="M201" s="80" t="s">
        <v>587</v>
      </c>
      <c r="N201" s="80">
        <v>0</v>
      </c>
    </row>
    <row r="202" ht="23.1" customHeight="1" spans="1:14">
      <c r="A202" s="244" t="s">
        <v>595</v>
      </c>
      <c r="B202" s="80">
        <v>5109</v>
      </c>
      <c r="C202" s="80">
        <v>24</v>
      </c>
      <c r="D202" s="232">
        <v>1740</v>
      </c>
      <c r="E202" s="232">
        <v>58</v>
      </c>
      <c r="F202" s="232">
        <v>1380</v>
      </c>
      <c r="G202" s="232">
        <v>0</v>
      </c>
      <c r="H202" s="232">
        <v>1</v>
      </c>
      <c r="I202" s="232">
        <v>0.333</v>
      </c>
      <c r="J202" s="232">
        <v>10</v>
      </c>
      <c r="K202" s="232">
        <v>60</v>
      </c>
      <c r="L202" s="232">
        <v>2209</v>
      </c>
      <c r="M202" s="80" t="s">
        <v>587</v>
      </c>
      <c r="N202" s="80">
        <v>0</v>
      </c>
    </row>
    <row r="203" ht="23.1" customHeight="1" spans="1:14">
      <c r="A203" s="244" t="s">
        <v>595</v>
      </c>
      <c r="B203" s="80">
        <v>5109</v>
      </c>
      <c r="C203" s="80">
        <v>25</v>
      </c>
      <c r="D203" s="232">
        <v>1800</v>
      </c>
      <c r="E203" s="232">
        <v>60</v>
      </c>
      <c r="F203" s="232">
        <v>1480</v>
      </c>
      <c r="G203" s="232">
        <v>0</v>
      </c>
      <c r="H203" s="232">
        <v>1</v>
      </c>
      <c r="I203" s="232">
        <v>0.333</v>
      </c>
      <c r="J203" s="232">
        <v>10</v>
      </c>
      <c r="K203" s="232">
        <v>60</v>
      </c>
      <c r="L203" s="232">
        <v>2209</v>
      </c>
      <c r="M203" s="80" t="s">
        <v>587</v>
      </c>
      <c r="N203" s="80">
        <v>0</v>
      </c>
    </row>
    <row r="204" ht="23.1" customHeight="1" spans="1:14">
      <c r="A204" s="244" t="s">
        <v>596</v>
      </c>
      <c r="B204" s="80">
        <v>5110</v>
      </c>
      <c r="C204" s="80">
        <v>1</v>
      </c>
      <c r="D204" s="80">
        <v>720</v>
      </c>
      <c r="E204" s="80">
        <v>9</v>
      </c>
      <c r="F204" s="80">
        <v>0</v>
      </c>
      <c r="G204" s="80">
        <v>0</v>
      </c>
      <c r="H204" s="80">
        <v>40</v>
      </c>
      <c r="I204" s="80">
        <v>0.15</v>
      </c>
      <c r="J204" s="80">
        <v>0</v>
      </c>
      <c r="K204" s="80">
        <v>60</v>
      </c>
      <c r="L204" s="80">
        <v>2210</v>
      </c>
      <c r="M204" s="80" t="s">
        <v>587</v>
      </c>
      <c r="N204" s="80">
        <v>0</v>
      </c>
    </row>
    <row r="205" ht="23.1" customHeight="1" spans="1:14">
      <c r="A205" s="244" t="s">
        <v>596</v>
      </c>
      <c r="B205" s="80">
        <v>5110</v>
      </c>
      <c r="C205" s="80">
        <v>2</v>
      </c>
      <c r="D205" s="80">
        <v>880</v>
      </c>
      <c r="E205" s="80">
        <v>11</v>
      </c>
      <c r="F205" s="80">
        <v>0</v>
      </c>
      <c r="G205" s="80">
        <v>0</v>
      </c>
      <c r="H205" s="80">
        <v>40</v>
      </c>
      <c r="I205" s="80">
        <v>0.15</v>
      </c>
      <c r="J205" s="80">
        <v>0</v>
      </c>
      <c r="K205" s="80">
        <v>60</v>
      </c>
      <c r="L205" s="80">
        <v>2210</v>
      </c>
      <c r="M205" s="80" t="s">
        <v>587</v>
      </c>
      <c r="N205" s="80">
        <v>0</v>
      </c>
    </row>
    <row r="206" ht="23.1" customHeight="1" spans="1:14">
      <c r="A206" s="244" t="s">
        <v>596</v>
      </c>
      <c r="B206" s="80">
        <v>5110</v>
      </c>
      <c r="C206" s="80">
        <v>3</v>
      </c>
      <c r="D206" s="80">
        <v>1040</v>
      </c>
      <c r="E206" s="80">
        <v>13</v>
      </c>
      <c r="F206" s="80">
        <v>0</v>
      </c>
      <c r="G206" s="80">
        <v>0</v>
      </c>
      <c r="H206" s="80">
        <v>40</v>
      </c>
      <c r="I206" s="80">
        <v>0.15</v>
      </c>
      <c r="J206" s="80">
        <v>0</v>
      </c>
      <c r="K206" s="80">
        <v>60</v>
      </c>
      <c r="L206" s="80">
        <v>2210</v>
      </c>
      <c r="M206" s="80" t="s">
        <v>587</v>
      </c>
      <c r="N206" s="80">
        <v>0</v>
      </c>
    </row>
    <row r="207" ht="23.1" customHeight="1" spans="1:14">
      <c r="A207" s="244" t="s">
        <v>596</v>
      </c>
      <c r="B207" s="80">
        <v>5110</v>
      </c>
      <c r="C207" s="80">
        <v>4</v>
      </c>
      <c r="D207" s="80">
        <v>1200</v>
      </c>
      <c r="E207" s="80">
        <v>15</v>
      </c>
      <c r="F207" s="80">
        <v>0</v>
      </c>
      <c r="G207" s="80">
        <v>0</v>
      </c>
      <c r="H207" s="80">
        <v>40</v>
      </c>
      <c r="I207" s="80">
        <v>0.15</v>
      </c>
      <c r="J207" s="80">
        <v>0</v>
      </c>
      <c r="K207" s="80">
        <v>60</v>
      </c>
      <c r="L207" s="80">
        <v>2210</v>
      </c>
      <c r="M207" s="80" t="s">
        <v>587</v>
      </c>
      <c r="N207" s="80">
        <v>0</v>
      </c>
    </row>
    <row r="208" ht="23.1" customHeight="1" spans="1:14">
      <c r="A208" s="244" t="s">
        <v>596</v>
      </c>
      <c r="B208" s="80">
        <v>5110</v>
      </c>
      <c r="C208" s="80">
        <v>5</v>
      </c>
      <c r="D208" s="80">
        <v>1360</v>
      </c>
      <c r="E208" s="80">
        <v>17</v>
      </c>
      <c r="F208" s="80">
        <v>0</v>
      </c>
      <c r="G208" s="80">
        <v>0</v>
      </c>
      <c r="H208" s="80">
        <v>40</v>
      </c>
      <c r="I208" s="80">
        <v>0.15</v>
      </c>
      <c r="J208" s="80">
        <v>0</v>
      </c>
      <c r="K208" s="80">
        <v>60</v>
      </c>
      <c r="L208" s="80">
        <v>2210</v>
      </c>
      <c r="M208" s="80" t="s">
        <v>587</v>
      </c>
      <c r="N208" s="80">
        <v>0</v>
      </c>
    </row>
    <row r="209" ht="23.1" customHeight="1" spans="1:14">
      <c r="A209" s="244" t="s">
        <v>596</v>
      </c>
      <c r="B209" s="80">
        <v>5110</v>
      </c>
      <c r="C209" s="80">
        <v>6</v>
      </c>
      <c r="D209" s="80">
        <v>1520</v>
      </c>
      <c r="E209" s="80">
        <v>19</v>
      </c>
      <c r="F209" s="80">
        <v>0</v>
      </c>
      <c r="G209" s="80">
        <v>0</v>
      </c>
      <c r="H209" s="80">
        <v>40</v>
      </c>
      <c r="I209" s="80">
        <v>0.15</v>
      </c>
      <c r="J209" s="80">
        <v>0</v>
      </c>
      <c r="K209" s="80">
        <v>60</v>
      </c>
      <c r="L209" s="80">
        <v>2210</v>
      </c>
      <c r="M209" s="80" t="s">
        <v>587</v>
      </c>
      <c r="N209" s="80">
        <v>0</v>
      </c>
    </row>
    <row r="210" ht="23.1" customHeight="1" spans="1:14">
      <c r="A210" s="244" t="s">
        <v>596</v>
      </c>
      <c r="B210" s="80">
        <v>5110</v>
      </c>
      <c r="C210" s="80">
        <v>7</v>
      </c>
      <c r="D210" s="80">
        <v>1680</v>
      </c>
      <c r="E210" s="80">
        <v>21</v>
      </c>
      <c r="F210" s="80">
        <v>0</v>
      </c>
      <c r="G210" s="80">
        <v>0</v>
      </c>
      <c r="H210" s="80">
        <v>40</v>
      </c>
      <c r="I210" s="80">
        <v>0.15</v>
      </c>
      <c r="J210" s="80">
        <v>0</v>
      </c>
      <c r="K210" s="80">
        <v>60</v>
      </c>
      <c r="L210" s="80">
        <v>2210</v>
      </c>
      <c r="M210" s="80" t="s">
        <v>587</v>
      </c>
      <c r="N210" s="80">
        <v>0</v>
      </c>
    </row>
    <row r="211" ht="23.1" customHeight="1" spans="1:14">
      <c r="A211" s="244" t="s">
        <v>596</v>
      </c>
      <c r="B211" s="80">
        <v>5110</v>
      </c>
      <c r="C211" s="80">
        <v>8</v>
      </c>
      <c r="D211" s="80">
        <v>1840</v>
      </c>
      <c r="E211" s="80">
        <v>23</v>
      </c>
      <c r="F211" s="80">
        <v>0</v>
      </c>
      <c r="G211" s="80">
        <v>0</v>
      </c>
      <c r="H211" s="80">
        <v>40</v>
      </c>
      <c r="I211" s="80">
        <v>0.15</v>
      </c>
      <c r="J211" s="80">
        <v>0</v>
      </c>
      <c r="K211" s="80">
        <v>60</v>
      </c>
      <c r="L211" s="80">
        <v>2210</v>
      </c>
      <c r="M211" s="80" t="s">
        <v>587</v>
      </c>
      <c r="N211" s="80">
        <v>0</v>
      </c>
    </row>
    <row r="212" ht="23.1" customHeight="1" spans="1:14">
      <c r="A212" s="244" t="s">
        <v>596</v>
      </c>
      <c r="B212" s="80">
        <v>5110</v>
      </c>
      <c r="C212" s="80">
        <v>9</v>
      </c>
      <c r="D212" s="80">
        <v>2000</v>
      </c>
      <c r="E212" s="80">
        <v>25</v>
      </c>
      <c r="F212" s="80">
        <v>0</v>
      </c>
      <c r="G212" s="80">
        <v>0</v>
      </c>
      <c r="H212" s="80">
        <v>40</v>
      </c>
      <c r="I212" s="80">
        <v>0.15</v>
      </c>
      <c r="J212" s="80">
        <v>0</v>
      </c>
      <c r="K212" s="80">
        <v>60</v>
      </c>
      <c r="L212" s="80">
        <v>2210</v>
      </c>
      <c r="M212" s="80" t="s">
        <v>587</v>
      </c>
      <c r="N212" s="80">
        <v>0</v>
      </c>
    </row>
    <row r="213" ht="23.1" customHeight="1" spans="1:14">
      <c r="A213" s="244" t="s">
        <v>596</v>
      </c>
      <c r="B213" s="80">
        <v>5110</v>
      </c>
      <c r="C213" s="80">
        <v>10</v>
      </c>
      <c r="D213" s="80">
        <v>2160</v>
      </c>
      <c r="E213" s="80">
        <v>27</v>
      </c>
      <c r="F213" s="80">
        <v>0</v>
      </c>
      <c r="G213" s="80">
        <v>0</v>
      </c>
      <c r="H213" s="80">
        <v>40</v>
      </c>
      <c r="I213" s="80">
        <v>0.15</v>
      </c>
      <c r="J213" s="80">
        <v>0</v>
      </c>
      <c r="K213" s="80">
        <v>60</v>
      </c>
      <c r="L213" s="80">
        <v>2210</v>
      </c>
      <c r="M213" s="80" t="s">
        <v>587</v>
      </c>
      <c r="N213" s="80">
        <v>0</v>
      </c>
    </row>
    <row r="214" ht="23.1" customHeight="1" spans="1:14">
      <c r="A214" s="244" t="s">
        <v>596</v>
      </c>
      <c r="B214" s="80">
        <v>5110</v>
      </c>
      <c r="C214" s="80">
        <v>11</v>
      </c>
      <c r="D214" s="80">
        <v>2320</v>
      </c>
      <c r="E214" s="80">
        <v>29</v>
      </c>
      <c r="F214" s="80">
        <v>0</v>
      </c>
      <c r="G214" s="80">
        <v>0</v>
      </c>
      <c r="H214" s="80">
        <v>40</v>
      </c>
      <c r="I214" s="80">
        <v>0.15</v>
      </c>
      <c r="J214" s="80">
        <v>0</v>
      </c>
      <c r="K214" s="80">
        <v>60</v>
      </c>
      <c r="L214" s="80">
        <v>2210</v>
      </c>
      <c r="M214" s="80" t="s">
        <v>587</v>
      </c>
      <c r="N214" s="80">
        <v>0</v>
      </c>
    </row>
    <row r="215" ht="23.1" customHeight="1" spans="1:14">
      <c r="A215" s="244" t="s">
        <v>596</v>
      </c>
      <c r="B215" s="80">
        <v>5110</v>
      </c>
      <c r="C215" s="80">
        <v>12</v>
      </c>
      <c r="D215" s="80">
        <v>2480</v>
      </c>
      <c r="E215" s="80">
        <v>31</v>
      </c>
      <c r="F215" s="80">
        <v>0</v>
      </c>
      <c r="G215" s="80">
        <v>0</v>
      </c>
      <c r="H215" s="80">
        <v>40</v>
      </c>
      <c r="I215" s="80">
        <v>0.15</v>
      </c>
      <c r="J215" s="80">
        <v>0</v>
      </c>
      <c r="K215" s="80">
        <v>60</v>
      </c>
      <c r="L215" s="80">
        <v>2210</v>
      </c>
      <c r="M215" s="80" t="s">
        <v>587</v>
      </c>
      <c r="N215" s="80">
        <v>0</v>
      </c>
    </row>
    <row r="216" ht="23.1" customHeight="1" spans="1:14">
      <c r="A216" s="244" t="s">
        <v>596</v>
      </c>
      <c r="B216" s="80">
        <v>5110</v>
      </c>
      <c r="C216" s="80">
        <v>13</v>
      </c>
      <c r="D216" s="80">
        <v>2640</v>
      </c>
      <c r="E216" s="80">
        <v>33</v>
      </c>
      <c r="F216" s="80">
        <v>0</v>
      </c>
      <c r="G216" s="80">
        <v>0</v>
      </c>
      <c r="H216" s="80">
        <v>40</v>
      </c>
      <c r="I216" s="80">
        <v>0.15</v>
      </c>
      <c r="J216" s="80">
        <v>0</v>
      </c>
      <c r="K216" s="80">
        <v>60</v>
      </c>
      <c r="L216" s="80">
        <v>2210</v>
      </c>
      <c r="M216" s="80" t="s">
        <v>587</v>
      </c>
      <c r="N216" s="80">
        <v>0</v>
      </c>
    </row>
    <row r="217" ht="23.1" customHeight="1" spans="1:14">
      <c r="A217" s="244" t="s">
        <v>596</v>
      </c>
      <c r="B217" s="80">
        <v>5110</v>
      </c>
      <c r="C217" s="80">
        <v>14</v>
      </c>
      <c r="D217" s="80">
        <v>2720</v>
      </c>
      <c r="E217" s="80">
        <v>34</v>
      </c>
      <c r="F217" s="80">
        <v>0</v>
      </c>
      <c r="G217" s="80">
        <v>0</v>
      </c>
      <c r="H217" s="80">
        <v>40</v>
      </c>
      <c r="I217" s="80">
        <v>0.15</v>
      </c>
      <c r="J217" s="80">
        <v>0</v>
      </c>
      <c r="K217" s="80">
        <v>60</v>
      </c>
      <c r="L217" s="80">
        <v>2210</v>
      </c>
      <c r="M217" s="80" t="s">
        <v>587</v>
      </c>
      <c r="N217" s="80">
        <v>0</v>
      </c>
    </row>
    <row r="218" ht="23.1" customHeight="1" spans="1:14">
      <c r="A218" s="244" t="s">
        <v>596</v>
      </c>
      <c r="B218" s="80">
        <v>5110</v>
      </c>
      <c r="C218" s="80">
        <v>15</v>
      </c>
      <c r="D218" s="80">
        <v>2800</v>
      </c>
      <c r="E218" s="80">
        <v>35</v>
      </c>
      <c r="F218" s="80">
        <v>0</v>
      </c>
      <c r="G218" s="80">
        <v>0</v>
      </c>
      <c r="H218" s="80">
        <v>40</v>
      </c>
      <c r="I218" s="80">
        <v>0.15</v>
      </c>
      <c r="J218" s="80">
        <v>0</v>
      </c>
      <c r="K218" s="80">
        <v>60</v>
      </c>
      <c r="L218" s="80">
        <v>2210</v>
      </c>
      <c r="M218" s="80" t="s">
        <v>587</v>
      </c>
      <c r="N218" s="80">
        <v>0</v>
      </c>
    </row>
    <row r="219" ht="23.1" customHeight="1" spans="1:14">
      <c r="A219" s="244" t="s">
        <v>596</v>
      </c>
      <c r="B219" s="80">
        <v>5110</v>
      </c>
      <c r="C219" s="80">
        <v>16</v>
      </c>
      <c r="D219" s="80">
        <v>2880</v>
      </c>
      <c r="E219" s="80">
        <v>36</v>
      </c>
      <c r="F219" s="80">
        <v>0</v>
      </c>
      <c r="G219" s="80">
        <v>0</v>
      </c>
      <c r="H219" s="80">
        <v>40</v>
      </c>
      <c r="I219" s="80">
        <v>0.15</v>
      </c>
      <c r="J219" s="80">
        <v>0</v>
      </c>
      <c r="K219" s="80">
        <v>60</v>
      </c>
      <c r="L219" s="80">
        <v>2210</v>
      </c>
      <c r="M219" s="80" t="s">
        <v>587</v>
      </c>
      <c r="N219" s="80">
        <v>0</v>
      </c>
    </row>
    <row r="220" ht="23.1" customHeight="1" spans="1:14">
      <c r="A220" s="244" t="s">
        <v>596</v>
      </c>
      <c r="B220" s="80">
        <v>5110</v>
      </c>
      <c r="C220" s="80">
        <v>17</v>
      </c>
      <c r="D220" s="80">
        <v>2960</v>
      </c>
      <c r="E220" s="80">
        <v>37</v>
      </c>
      <c r="F220" s="80">
        <v>0</v>
      </c>
      <c r="G220" s="80">
        <v>0</v>
      </c>
      <c r="H220" s="80">
        <v>40</v>
      </c>
      <c r="I220" s="80">
        <v>0.15</v>
      </c>
      <c r="J220" s="80">
        <v>0</v>
      </c>
      <c r="K220" s="80">
        <v>60</v>
      </c>
      <c r="L220" s="80">
        <v>2210</v>
      </c>
      <c r="M220" s="80" t="s">
        <v>587</v>
      </c>
      <c r="N220" s="80">
        <v>0</v>
      </c>
    </row>
    <row r="221" ht="23.1" customHeight="1" spans="1:14">
      <c r="A221" s="244" t="s">
        <v>596</v>
      </c>
      <c r="B221" s="80">
        <v>5110</v>
      </c>
      <c r="C221" s="80">
        <v>18</v>
      </c>
      <c r="D221" s="80">
        <v>3040</v>
      </c>
      <c r="E221" s="80">
        <v>38</v>
      </c>
      <c r="F221" s="80">
        <v>0</v>
      </c>
      <c r="G221" s="80">
        <v>0</v>
      </c>
      <c r="H221" s="80">
        <v>40</v>
      </c>
      <c r="I221" s="80">
        <v>0.15</v>
      </c>
      <c r="J221" s="80">
        <v>0</v>
      </c>
      <c r="K221" s="80">
        <v>60</v>
      </c>
      <c r="L221" s="80">
        <v>2210</v>
      </c>
      <c r="M221" s="80" t="s">
        <v>587</v>
      </c>
      <c r="N221" s="80">
        <v>0</v>
      </c>
    </row>
    <row r="222" ht="23.1" customHeight="1" spans="1:14">
      <c r="A222" s="244" t="s">
        <v>596</v>
      </c>
      <c r="B222" s="80">
        <v>5110</v>
      </c>
      <c r="C222" s="80">
        <v>19</v>
      </c>
      <c r="D222" s="80">
        <v>3120</v>
      </c>
      <c r="E222" s="80">
        <v>39</v>
      </c>
      <c r="F222" s="80">
        <v>0</v>
      </c>
      <c r="G222" s="80">
        <v>0</v>
      </c>
      <c r="H222" s="80">
        <v>40</v>
      </c>
      <c r="I222" s="80">
        <v>0.15</v>
      </c>
      <c r="J222" s="80">
        <v>0</v>
      </c>
      <c r="K222" s="80">
        <v>60</v>
      </c>
      <c r="L222" s="80">
        <v>2210</v>
      </c>
      <c r="M222" s="80" t="s">
        <v>587</v>
      </c>
      <c r="N222" s="80">
        <v>0</v>
      </c>
    </row>
    <row r="223" ht="23.1" customHeight="1" spans="1:14">
      <c r="A223" s="244" t="s">
        <v>596</v>
      </c>
      <c r="B223" s="80">
        <v>5110</v>
      </c>
      <c r="C223" s="80">
        <v>20</v>
      </c>
      <c r="D223" s="80">
        <v>3200</v>
      </c>
      <c r="E223" s="80">
        <v>40</v>
      </c>
      <c r="F223" s="80">
        <v>0</v>
      </c>
      <c r="G223" s="80">
        <v>0</v>
      </c>
      <c r="H223" s="80">
        <v>40</v>
      </c>
      <c r="I223" s="80">
        <v>0.15</v>
      </c>
      <c r="J223" s="80">
        <v>0</v>
      </c>
      <c r="K223" s="80">
        <v>60</v>
      </c>
      <c r="L223" s="80">
        <v>2210</v>
      </c>
      <c r="M223" s="80" t="s">
        <v>587</v>
      </c>
      <c r="N223" s="80">
        <v>0</v>
      </c>
    </row>
    <row r="224" ht="23.1" customHeight="1" spans="1:14">
      <c r="A224" s="244" t="s">
        <v>596</v>
      </c>
      <c r="B224" s="80">
        <v>5110</v>
      </c>
      <c r="C224" s="80">
        <v>21</v>
      </c>
      <c r="D224" s="80">
        <v>3280</v>
      </c>
      <c r="E224" s="80">
        <v>41</v>
      </c>
      <c r="F224" s="80">
        <v>0</v>
      </c>
      <c r="G224" s="80">
        <v>0</v>
      </c>
      <c r="H224" s="80">
        <v>40</v>
      </c>
      <c r="I224" s="80">
        <v>0.15</v>
      </c>
      <c r="J224" s="80">
        <v>0</v>
      </c>
      <c r="K224" s="80">
        <v>60</v>
      </c>
      <c r="L224" s="80">
        <v>2210</v>
      </c>
      <c r="M224" s="80" t="s">
        <v>587</v>
      </c>
      <c r="N224" s="80">
        <v>0</v>
      </c>
    </row>
    <row r="225" ht="23.1" customHeight="1" spans="1:14">
      <c r="A225" s="244" t="s">
        <v>596</v>
      </c>
      <c r="B225" s="80">
        <v>5110</v>
      </c>
      <c r="C225" s="80">
        <v>22</v>
      </c>
      <c r="D225" s="80">
        <v>3360</v>
      </c>
      <c r="E225" s="80">
        <v>42</v>
      </c>
      <c r="F225" s="80">
        <v>0</v>
      </c>
      <c r="G225" s="80">
        <v>0</v>
      </c>
      <c r="H225" s="80">
        <v>40</v>
      </c>
      <c r="I225" s="80">
        <v>0.15</v>
      </c>
      <c r="J225" s="80">
        <v>0</v>
      </c>
      <c r="K225" s="80">
        <v>60</v>
      </c>
      <c r="L225" s="80">
        <v>2210</v>
      </c>
      <c r="M225" s="80" t="s">
        <v>587</v>
      </c>
      <c r="N225" s="80">
        <v>0</v>
      </c>
    </row>
    <row r="226" ht="23.1" customHeight="1" spans="1:14">
      <c r="A226" s="244" t="s">
        <v>596</v>
      </c>
      <c r="B226" s="80">
        <v>5110</v>
      </c>
      <c r="C226" s="80">
        <v>23</v>
      </c>
      <c r="D226" s="80">
        <v>3440</v>
      </c>
      <c r="E226" s="80">
        <v>43</v>
      </c>
      <c r="F226" s="80">
        <v>0</v>
      </c>
      <c r="G226" s="80">
        <v>0</v>
      </c>
      <c r="H226" s="80">
        <v>40</v>
      </c>
      <c r="I226" s="80">
        <v>0.15</v>
      </c>
      <c r="J226" s="80">
        <v>0</v>
      </c>
      <c r="K226" s="80">
        <v>60</v>
      </c>
      <c r="L226" s="80">
        <v>2210</v>
      </c>
      <c r="M226" s="80" t="s">
        <v>587</v>
      </c>
      <c r="N226" s="80">
        <v>0</v>
      </c>
    </row>
    <row r="227" ht="23.1" customHeight="1" spans="1:14">
      <c r="A227" s="244" t="s">
        <v>596</v>
      </c>
      <c r="B227" s="80">
        <v>5110</v>
      </c>
      <c r="C227" s="80">
        <v>24</v>
      </c>
      <c r="D227" s="80">
        <v>3520</v>
      </c>
      <c r="E227" s="80">
        <v>44</v>
      </c>
      <c r="F227" s="80">
        <v>0</v>
      </c>
      <c r="G227" s="80">
        <v>0</v>
      </c>
      <c r="H227" s="80">
        <v>40</v>
      </c>
      <c r="I227" s="80">
        <v>0.15</v>
      </c>
      <c r="J227" s="80">
        <v>0</v>
      </c>
      <c r="K227" s="80">
        <v>60</v>
      </c>
      <c r="L227" s="80">
        <v>2210</v>
      </c>
      <c r="M227" s="80" t="s">
        <v>587</v>
      </c>
      <c r="N227" s="80">
        <v>0</v>
      </c>
    </row>
    <row r="228" ht="23.1" customHeight="1" spans="1:14">
      <c r="A228" s="244" t="s">
        <v>596</v>
      </c>
      <c r="B228" s="80">
        <v>5110</v>
      </c>
      <c r="C228" s="80">
        <v>25</v>
      </c>
      <c r="D228" s="80">
        <v>3600</v>
      </c>
      <c r="E228" s="80">
        <v>45</v>
      </c>
      <c r="F228" s="80">
        <v>0</v>
      </c>
      <c r="G228" s="80">
        <v>0</v>
      </c>
      <c r="H228" s="80">
        <v>40</v>
      </c>
      <c r="I228" s="80">
        <v>0.15</v>
      </c>
      <c r="J228" s="80">
        <v>0</v>
      </c>
      <c r="K228" s="80">
        <v>60</v>
      </c>
      <c r="L228" s="80">
        <v>2210</v>
      </c>
      <c r="M228" s="80" t="s">
        <v>587</v>
      </c>
      <c r="N228" s="80">
        <v>0</v>
      </c>
    </row>
  </sheetData>
  <pageMargins left="0.75" right="0.75" top="1" bottom="1" header="0.5" footer="0.5"/>
  <pageSetup paperSize="1" orientation="landscape"/>
  <headerFooter>
    <oddFooter>&amp;L&amp;"Helvetica,Regular"&amp;12&amp;K000000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48"/>
  <sheetViews>
    <sheetView workbookViewId="0">
      <pane ySplit="3" topLeftCell="A4" activePane="bottomLeft" state="frozen"/>
      <selection/>
      <selection pane="bottomLeft" activeCell="D1" sqref="D$1:F$1048576"/>
    </sheetView>
  </sheetViews>
  <sheetFormatPr defaultColWidth="11.0986842105263" defaultRowHeight="15.2" outlineLevelCol="5"/>
  <cols>
    <col min="1" max="1" width="22.6973684210526" customWidth="1"/>
    <col min="4" max="5" width="11.5986842105263" customWidth="1"/>
    <col min="6" max="6" width="12.9013157894737" customWidth="1"/>
  </cols>
  <sheetData>
    <row r="1" ht="23.1" customHeight="1" spans="1:6">
      <c r="A1" s="80" t="s">
        <v>562</v>
      </c>
      <c r="B1" s="80" t="s">
        <v>563</v>
      </c>
      <c r="C1" s="80" t="s">
        <v>564</v>
      </c>
      <c r="D1" s="80" t="s">
        <v>597</v>
      </c>
      <c r="E1" s="80" t="s">
        <v>598</v>
      </c>
      <c r="F1" s="80" t="s">
        <v>34</v>
      </c>
    </row>
    <row r="2" ht="23.1" customHeight="1" spans="1:6">
      <c r="A2" s="80" t="s">
        <v>40</v>
      </c>
      <c r="B2" s="80" t="s">
        <v>39</v>
      </c>
      <c r="C2" s="80" t="s">
        <v>39</v>
      </c>
      <c r="D2" s="80" t="s">
        <v>39</v>
      </c>
      <c r="E2" s="80" t="s">
        <v>39</v>
      </c>
      <c r="F2" s="80" t="s">
        <v>39</v>
      </c>
    </row>
    <row r="3" ht="23.1" customHeight="1" spans="1:6">
      <c r="A3" s="80" t="s">
        <v>574</v>
      </c>
      <c r="B3" s="80" t="s">
        <v>575</v>
      </c>
      <c r="C3" s="80" t="s">
        <v>599</v>
      </c>
      <c r="D3" s="80" t="s">
        <v>600</v>
      </c>
      <c r="E3" s="80" t="s">
        <v>601</v>
      </c>
      <c r="F3" s="80" t="s">
        <v>602</v>
      </c>
    </row>
    <row r="4" ht="23.1" customHeight="1" spans="1:6">
      <c r="A4" s="80" t="s">
        <v>603</v>
      </c>
      <c r="B4" s="80">
        <v>5101</v>
      </c>
      <c r="C4" s="80">
        <v>1</v>
      </c>
      <c r="D4" s="80">
        <v>0</v>
      </c>
      <c r="E4" s="80">
        <v>0</v>
      </c>
      <c r="F4" s="80">
        <v>0</v>
      </c>
    </row>
    <row r="5" ht="23.1" customHeight="1" spans="1:6">
      <c r="A5" s="80" t="s">
        <v>603</v>
      </c>
      <c r="B5" s="80">
        <v>5101</v>
      </c>
      <c r="C5" s="80">
        <v>2</v>
      </c>
      <c r="D5" s="80">
        <v>11</v>
      </c>
      <c r="E5" s="80">
        <v>2</v>
      </c>
      <c r="F5" s="80">
        <v>20</v>
      </c>
    </row>
    <row r="6" ht="23.1" customHeight="1" spans="1:6">
      <c r="A6" s="80" t="s">
        <v>603</v>
      </c>
      <c r="B6" s="80">
        <v>5101</v>
      </c>
      <c r="C6" s="80">
        <v>3</v>
      </c>
      <c r="D6" s="80">
        <v>12</v>
      </c>
      <c r="E6" s="80">
        <v>2</v>
      </c>
      <c r="F6" s="80">
        <v>20</v>
      </c>
    </row>
    <row r="7" ht="23.1" customHeight="1" spans="1:6">
      <c r="A7" s="80" t="s">
        <v>603</v>
      </c>
      <c r="B7" s="80">
        <v>5101</v>
      </c>
      <c r="C7" s="80">
        <v>4</v>
      </c>
      <c r="D7" s="80">
        <v>2</v>
      </c>
      <c r="E7" s="80">
        <v>2</v>
      </c>
      <c r="F7" s="80">
        <v>2</v>
      </c>
    </row>
    <row r="8" ht="23.1" customHeight="1" spans="1:6">
      <c r="A8" s="80" t="s">
        <v>603</v>
      </c>
      <c r="B8" s="80">
        <v>5101</v>
      </c>
      <c r="C8" s="80">
        <v>5</v>
      </c>
      <c r="D8" s="80">
        <v>1</v>
      </c>
      <c r="E8" s="80">
        <v>1</v>
      </c>
      <c r="F8" s="80">
        <v>20</v>
      </c>
    </row>
    <row r="9" ht="23.1" customHeight="1" spans="1:6">
      <c r="A9" s="80" t="s">
        <v>604</v>
      </c>
      <c r="B9" s="80">
        <v>5102</v>
      </c>
      <c r="C9" s="80">
        <v>1</v>
      </c>
      <c r="D9" s="80">
        <v>0</v>
      </c>
      <c r="E9" s="80">
        <v>0</v>
      </c>
      <c r="F9" s="80">
        <v>0</v>
      </c>
    </row>
    <row r="10" ht="23.1" customHeight="1" spans="1:6">
      <c r="A10" s="80" t="s">
        <v>604</v>
      </c>
      <c r="B10" s="80">
        <v>5102</v>
      </c>
      <c r="C10" s="80">
        <v>2</v>
      </c>
      <c r="D10" s="80">
        <v>3</v>
      </c>
      <c r="E10" s="80">
        <v>1</v>
      </c>
      <c r="F10" s="80">
        <v>3</v>
      </c>
    </row>
    <row r="11" ht="23.1" customHeight="1" spans="1:6">
      <c r="A11" s="80" t="s">
        <v>604</v>
      </c>
      <c r="B11" s="80">
        <v>5102</v>
      </c>
      <c r="C11" s="80">
        <v>3</v>
      </c>
      <c r="D11" s="80">
        <v>1</v>
      </c>
      <c r="E11" s="80">
        <v>1</v>
      </c>
      <c r="F11" s="80">
        <v>10</v>
      </c>
    </row>
    <row r="12" ht="23.1" customHeight="1" spans="1:6">
      <c r="A12" s="80" t="s">
        <v>604</v>
      </c>
      <c r="B12" s="80">
        <v>5102</v>
      </c>
      <c r="C12" s="80">
        <v>4</v>
      </c>
      <c r="D12" s="80">
        <v>3</v>
      </c>
      <c r="E12" s="80">
        <v>1</v>
      </c>
      <c r="F12" s="80">
        <v>4</v>
      </c>
    </row>
    <row r="13" ht="23.1" customHeight="1" spans="1:6">
      <c r="A13" s="80" t="s">
        <v>604</v>
      </c>
      <c r="B13" s="80">
        <v>5102</v>
      </c>
      <c r="C13" s="80">
        <v>5</v>
      </c>
      <c r="D13" s="80">
        <v>1</v>
      </c>
      <c r="E13" s="80">
        <v>1</v>
      </c>
      <c r="F13" s="80">
        <v>20</v>
      </c>
    </row>
    <row r="14" ht="23.1" customHeight="1" spans="1:6">
      <c r="A14" s="80" t="s">
        <v>605</v>
      </c>
      <c r="B14" s="80">
        <v>5103</v>
      </c>
      <c r="C14" s="80">
        <v>1</v>
      </c>
      <c r="D14" s="80">
        <v>0</v>
      </c>
      <c r="E14" s="80">
        <v>0</v>
      </c>
      <c r="F14" s="80">
        <v>0</v>
      </c>
    </row>
    <row r="15" ht="23.1" customHeight="1" spans="1:6">
      <c r="A15" s="80" t="s">
        <v>605</v>
      </c>
      <c r="B15" s="80">
        <v>5103</v>
      </c>
      <c r="C15" s="80">
        <v>2</v>
      </c>
      <c r="D15" s="80">
        <v>17</v>
      </c>
      <c r="E15" s="80">
        <v>1</v>
      </c>
      <c r="F15" s="80">
        <v>1</v>
      </c>
    </row>
    <row r="16" ht="23.1" customHeight="1" spans="1:6">
      <c r="A16" s="80" t="s">
        <v>605</v>
      </c>
      <c r="B16" s="80">
        <v>5103</v>
      </c>
      <c r="C16" s="80">
        <v>3</v>
      </c>
      <c r="D16" s="80">
        <v>16</v>
      </c>
      <c r="E16" s="80">
        <v>2</v>
      </c>
      <c r="F16" s="80">
        <v>25</v>
      </c>
    </row>
    <row r="17" ht="23.1" customHeight="1" spans="1:6">
      <c r="A17" s="80" t="s">
        <v>605</v>
      </c>
      <c r="B17" s="80">
        <v>5103</v>
      </c>
      <c r="C17" s="80">
        <v>4</v>
      </c>
      <c r="D17" s="80">
        <v>17</v>
      </c>
      <c r="E17" s="80">
        <v>1</v>
      </c>
      <c r="F17" s="80">
        <v>2</v>
      </c>
    </row>
    <row r="18" ht="23.1" customHeight="1" spans="1:6">
      <c r="A18" s="80" t="s">
        <v>605</v>
      </c>
      <c r="B18" s="80">
        <v>5103</v>
      </c>
      <c r="C18" s="80">
        <v>5</v>
      </c>
      <c r="D18" s="80">
        <v>1</v>
      </c>
      <c r="E18" s="80">
        <v>1</v>
      </c>
      <c r="F18" s="80">
        <v>20</v>
      </c>
    </row>
    <row r="19" ht="23.1" customHeight="1" spans="1:6">
      <c r="A19" s="80" t="s">
        <v>606</v>
      </c>
      <c r="B19" s="80">
        <v>5104</v>
      </c>
      <c r="C19" s="80">
        <v>1</v>
      </c>
      <c r="D19" s="80">
        <v>0</v>
      </c>
      <c r="E19" s="80">
        <v>0</v>
      </c>
      <c r="F19" s="80">
        <v>0</v>
      </c>
    </row>
    <row r="20" ht="23.1" customHeight="1" spans="1:6">
      <c r="A20" s="80" t="s">
        <v>606</v>
      </c>
      <c r="B20" s="80">
        <v>5104</v>
      </c>
      <c r="C20" s="80">
        <v>2</v>
      </c>
      <c r="D20" s="80">
        <v>15</v>
      </c>
      <c r="E20" s="80">
        <v>2</v>
      </c>
      <c r="F20" s="80">
        <v>20</v>
      </c>
    </row>
    <row r="21" ht="23.1" customHeight="1" spans="1:6">
      <c r="A21" s="80" t="s">
        <v>606</v>
      </c>
      <c r="B21" s="80">
        <v>5104</v>
      </c>
      <c r="C21" s="80">
        <v>3</v>
      </c>
      <c r="D21" s="80">
        <v>9</v>
      </c>
      <c r="E21" s="80">
        <v>2</v>
      </c>
      <c r="F21" s="80">
        <v>65</v>
      </c>
    </row>
    <row r="22" ht="23.1" customHeight="1" spans="1:6">
      <c r="A22" s="80" t="s">
        <v>606</v>
      </c>
      <c r="B22" s="80">
        <v>5104</v>
      </c>
      <c r="C22" s="80">
        <v>4</v>
      </c>
      <c r="D22" s="80">
        <v>5</v>
      </c>
      <c r="E22" s="80">
        <v>1</v>
      </c>
      <c r="F22" s="80">
        <v>1</v>
      </c>
    </row>
    <row r="23" ht="23.1" customHeight="1" spans="1:6">
      <c r="A23" s="80" t="s">
        <v>606</v>
      </c>
      <c r="B23" s="80">
        <v>5104</v>
      </c>
      <c r="C23" s="80">
        <v>5</v>
      </c>
      <c r="D23" s="80">
        <v>1</v>
      </c>
      <c r="E23" s="80">
        <v>1</v>
      </c>
      <c r="F23" s="80">
        <v>20</v>
      </c>
    </row>
    <row r="24" ht="23.1" customHeight="1" spans="1:6">
      <c r="A24" s="80" t="s">
        <v>607</v>
      </c>
      <c r="B24" s="80">
        <v>5105</v>
      </c>
      <c r="C24" s="80">
        <v>1</v>
      </c>
      <c r="D24" s="80">
        <v>0</v>
      </c>
      <c r="E24" s="80">
        <v>0</v>
      </c>
      <c r="F24" s="80">
        <v>0</v>
      </c>
    </row>
    <row r="25" ht="23.1" customHeight="1" spans="1:6">
      <c r="A25" s="80" t="s">
        <v>607</v>
      </c>
      <c r="B25" s="80">
        <v>5105</v>
      </c>
      <c r="C25" s="80">
        <v>2</v>
      </c>
      <c r="D25" s="80">
        <v>11</v>
      </c>
      <c r="E25" s="80">
        <v>2</v>
      </c>
      <c r="F25" s="80">
        <v>20</v>
      </c>
    </row>
    <row r="26" ht="23.1" customHeight="1" spans="1:6">
      <c r="A26" s="80" t="s">
        <v>607</v>
      </c>
      <c r="B26" s="80">
        <v>5105</v>
      </c>
      <c r="C26" s="80">
        <v>3</v>
      </c>
      <c r="D26" s="80">
        <v>16</v>
      </c>
      <c r="E26" s="80">
        <v>2</v>
      </c>
      <c r="F26" s="80">
        <v>25</v>
      </c>
    </row>
    <row r="27" ht="23.1" customHeight="1" spans="1:6">
      <c r="A27" s="80" t="s">
        <v>607</v>
      </c>
      <c r="B27" s="80">
        <v>5105</v>
      </c>
      <c r="C27" s="80">
        <v>4</v>
      </c>
      <c r="D27" s="80">
        <v>14</v>
      </c>
      <c r="E27" s="80">
        <v>2</v>
      </c>
      <c r="F27" s="80">
        <v>20</v>
      </c>
    </row>
    <row r="28" ht="23.1" customHeight="1" spans="1:6">
      <c r="A28" s="80" t="s">
        <v>607</v>
      </c>
      <c r="B28" s="80">
        <v>5105</v>
      </c>
      <c r="C28" s="80">
        <v>5</v>
      </c>
      <c r="D28" s="80">
        <v>1</v>
      </c>
      <c r="E28" s="80">
        <v>1</v>
      </c>
      <c r="F28" s="80">
        <v>20</v>
      </c>
    </row>
    <row r="29" ht="23.1" customHeight="1" spans="1:6">
      <c r="A29" s="80" t="s">
        <v>608</v>
      </c>
      <c r="B29" s="80">
        <v>5106</v>
      </c>
      <c r="C29" s="80">
        <v>1</v>
      </c>
      <c r="D29" s="80">
        <v>0</v>
      </c>
      <c r="E29" s="80">
        <v>0</v>
      </c>
      <c r="F29" s="80">
        <v>0</v>
      </c>
    </row>
    <row r="30" ht="23.1" customHeight="1" spans="1:6">
      <c r="A30" s="80" t="s">
        <v>608</v>
      </c>
      <c r="B30" s="80">
        <v>5106</v>
      </c>
      <c r="C30" s="80">
        <v>2</v>
      </c>
      <c r="D30" s="80">
        <v>17</v>
      </c>
      <c r="E30" s="80">
        <v>1</v>
      </c>
      <c r="F30" s="80">
        <v>2</v>
      </c>
    </row>
    <row r="31" ht="23.1" customHeight="1" spans="1:6">
      <c r="A31" s="80" t="s">
        <v>608</v>
      </c>
      <c r="B31" s="80">
        <v>5106</v>
      </c>
      <c r="C31" s="80">
        <v>3</v>
      </c>
      <c r="D31" s="80">
        <v>1</v>
      </c>
      <c r="E31" s="80">
        <v>1</v>
      </c>
      <c r="F31" s="80">
        <v>10</v>
      </c>
    </row>
    <row r="32" ht="23.1" customHeight="1" spans="1:6">
      <c r="A32" s="80" t="s">
        <v>608</v>
      </c>
      <c r="B32" s="80">
        <v>5106</v>
      </c>
      <c r="C32" s="80">
        <v>4</v>
      </c>
      <c r="D32" s="80">
        <v>10</v>
      </c>
      <c r="E32" s="80">
        <v>0</v>
      </c>
      <c r="F32" s="80">
        <v>0</v>
      </c>
    </row>
    <row r="33" ht="23.1" customHeight="1" spans="1:6">
      <c r="A33" s="80" t="s">
        <v>608</v>
      </c>
      <c r="B33" s="80">
        <v>5106</v>
      </c>
      <c r="C33" s="80">
        <v>5</v>
      </c>
      <c r="D33" s="80">
        <v>1</v>
      </c>
      <c r="E33" s="80">
        <v>1</v>
      </c>
      <c r="F33" s="80">
        <v>20</v>
      </c>
    </row>
    <row r="34" ht="23.1" customHeight="1" spans="1:6">
      <c r="A34" s="80" t="s">
        <v>609</v>
      </c>
      <c r="B34" s="80">
        <v>5108</v>
      </c>
      <c r="C34" s="80">
        <v>1</v>
      </c>
      <c r="D34" s="80">
        <v>0</v>
      </c>
      <c r="E34" s="80">
        <v>0</v>
      </c>
      <c r="F34" s="80">
        <v>0</v>
      </c>
    </row>
    <row r="35" ht="23.1" customHeight="1" spans="1:6">
      <c r="A35" s="80" t="s">
        <v>609</v>
      </c>
      <c r="B35" s="80">
        <v>5108</v>
      </c>
      <c r="C35" s="80">
        <v>2</v>
      </c>
      <c r="D35" s="80">
        <v>20</v>
      </c>
      <c r="E35" s="80">
        <v>2</v>
      </c>
      <c r="F35" s="80">
        <v>40</v>
      </c>
    </row>
    <row r="36" ht="23.1" customHeight="1" spans="1:6">
      <c r="A36" s="80" t="s">
        <v>609</v>
      </c>
      <c r="B36" s="80">
        <v>5108</v>
      </c>
      <c r="C36" s="80">
        <v>3</v>
      </c>
      <c r="D36" s="80">
        <v>21</v>
      </c>
      <c r="E36" s="80">
        <v>2</v>
      </c>
      <c r="F36" s="80">
        <v>50</v>
      </c>
    </row>
    <row r="37" ht="23.1" customHeight="1" spans="1:6">
      <c r="A37" s="80" t="s">
        <v>609</v>
      </c>
      <c r="B37" s="80">
        <v>5108</v>
      </c>
      <c r="C37" s="80">
        <v>4</v>
      </c>
      <c r="D37" s="80">
        <v>20</v>
      </c>
      <c r="E37" s="80">
        <v>2</v>
      </c>
      <c r="F37" s="80">
        <v>40</v>
      </c>
    </row>
    <row r="38" ht="23.1" customHeight="1" spans="1:6">
      <c r="A38" s="80" t="s">
        <v>609</v>
      </c>
      <c r="B38" s="80">
        <v>5108</v>
      </c>
      <c r="C38" s="80">
        <v>5</v>
      </c>
      <c r="D38" s="80">
        <v>1</v>
      </c>
      <c r="E38" s="80">
        <v>1</v>
      </c>
      <c r="F38" s="80">
        <v>20</v>
      </c>
    </row>
    <row r="39" ht="23.1" customHeight="1" spans="1:6">
      <c r="A39" s="80" t="s">
        <v>610</v>
      </c>
      <c r="B39" s="80">
        <v>5109</v>
      </c>
      <c r="C39" s="80">
        <v>1</v>
      </c>
      <c r="D39" s="80">
        <v>0</v>
      </c>
      <c r="E39" s="80">
        <v>0</v>
      </c>
      <c r="F39" s="80">
        <v>0</v>
      </c>
    </row>
    <row r="40" ht="23.1" customHeight="1" spans="1:6">
      <c r="A40" s="80" t="s">
        <v>610</v>
      </c>
      <c r="B40" s="80">
        <v>5109</v>
      </c>
      <c r="C40" s="80">
        <v>2</v>
      </c>
      <c r="D40" s="80">
        <v>22</v>
      </c>
      <c r="E40" s="80">
        <v>1</v>
      </c>
      <c r="F40" s="80">
        <v>30</v>
      </c>
    </row>
    <row r="41" ht="23.1" customHeight="1" spans="1:6">
      <c r="A41" s="80" t="s">
        <v>610</v>
      </c>
      <c r="B41" s="80">
        <v>5109</v>
      </c>
      <c r="C41" s="80">
        <v>3</v>
      </c>
      <c r="D41" s="80">
        <v>23</v>
      </c>
      <c r="E41" s="80">
        <v>2</v>
      </c>
      <c r="F41" s="80">
        <v>10</v>
      </c>
    </row>
    <row r="42" ht="23.1" customHeight="1" spans="1:6">
      <c r="A42" s="80" t="s">
        <v>610</v>
      </c>
      <c r="B42" s="80">
        <v>5109</v>
      </c>
      <c r="C42" s="80">
        <v>4</v>
      </c>
      <c r="D42" s="80">
        <v>23</v>
      </c>
      <c r="E42" s="80">
        <v>2</v>
      </c>
      <c r="F42" s="80">
        <v>15</v>
      </c>
    </row>
    <row r="43" ht="23.1" customHeight="1" spans="1:6">
      <c r="A43" s="80" t="s">
        <v>610</v>
      </c>
      <c r="B43" s="80">
        <v>5109</v>
      </c>
      <c r="C43" s="80">
        <v>5</v>
      </c>
      <c r="D43" s="80">
        <v>1</v>
      </c>
      <c r="E43" s="80">
        <v>1</v>
      </c>
      <c r="F43" s="80">
        <v>10</v>
      </c>
    </row>
    <row r="44" ht="23.1" customHeight="1" spans="1:6">
      <c r="A44" s="80" t="s">
        <v>611</v>
      </c>
      <c r="B44" s="80">
        <v>5110</v>
      </c>
      <c r="C44" s="80">
        <v>1</v>
      </c>
      <c r="D44" s="80">
        <v>0</v>
      </c>
      <c r="E44" s="80">
        <v>0</v>
      </c>
      <c r="F44" s="80">
        <v>0</v>
      </c>
    </row>
    <row r="45" ht="23.1" customHeight="1" spans="1:6">
      <c r="A45" s="80" t="s">
        <v>611</v>
      </c>
      <c r="B45" s="80">
        <v>5110</v>
      </c>
      <c r="C45" s="80">
        <v>2</v>
      </c>
      <c r="D45" s="80">
        <v>17</v>
      </c>
      <c r="E45" s="80">
        <v>1</v>
      </c>
      <c r="F45" s="80">
        <v>2</v>
      </c>
    </row>
    <row r="46" ht="23.1" customHeight="1" spans="1:6">
      <c r="A46" s="80" t="s">
        <v>611</v>
      </c>
      <c r="B46" s="80">
        <v>5110</v>
      </c>
      <c r="C46" s="80">
        <v>3</v>
      </c>
      <c r="D46" s="80">
        <v>16</v>
      </c>
      <c r="E46" s="80">
        <v>2</v>
      </c>
      <c r="F46" s="80">
        <v>25</v>
      </c>
    </row>
    <row r="47" ht="23.1" customHeight="1" spans="1:6">
      <c r="A47" s="80" t="s">
        <v>611</v>
      </c>
      <c r="B47" s="80">
        <v>5110</v>
      </c>
      <c r="C47" s="80">
        <v>4</v>
      </c>
      <c r="D47" s="80">
        <v>6</v>
      </c>
      <c r="E47" s="80">
        <v>1</v>
      </c>
      <c r="F47" s="80">
        <v>1</v>
      </c>
    </row>
    <row r="48" ht="23.1" customHeight="1" spans="1:6">
      <c r="A48" s="80" t="s">
        <v>611</v>
      </c>
      <c r="B48" s="80">
        <v>5110</v>
      </c>
      <c r="C48" s="80">
        <v>5</v>
      </c>
      <c r="D48" s="80">
        <v>1</v>
      </c>
      <c r="E48" s="80">
        <v>1</v>
      </c>
      <c r="F48" s="80">
        <v>20</v>
      </c>
    </row>
  </sheetData>
  <pageMargins left="0.699305555555556" right="0.699305555555556"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27"/>
  <sheetViews>
    <sheetView workbookViewId="0">
      <pane ySplit="3" topLeftCell="A4" activePane="bottomLeft" state="frozen"/>
      <selection/>
      <selection pane="bottomLeft" activeCell="A20" sqref="A20"/>
    </sheetView>
  </sheetViews>
  <sheetFormatPr defaultColWidth="11.0986842105263" defaultRowHeight="15.2" outlineLevelCol="2"/>
  <cols>
    <col min="1" max="2" width="14.5986842105263" customWidth="1"/>
    <col min="3" max="3" width="47.0986842105263" customWidth="1"/>
  </cols>
  <sheetData>
    <row r="1" ht="23.1" customHeight="1" spans="1:3">
      <c r="A1" s="80" t="s">
        <v>612</v>
      </c>
      <c r="B1" s="80" t="s">
        <v>598</v>
      </c>
      <c r="C1" s="80" t="s">
        <v>613</v>
      </c>
    </row>
    <row r="2" ht="23.1" customHeight="1" spans="1:3">
      <c r="A2" s="80" t="s">
        <v>39</v>
      </c>
      <c r="B2" s="80" t="s">
        <v>39</v>
      </c>
      <c r="C2" s="80" t="s">
        <v>40</v>
      </c>
    </row>
    <row r="3" ht="23.1" customHeight="1" spans="1:3">
      <c r="A3" s="80" t="s">
        <v>614</v>
      </c>
      <c r="B3" s="80" t="s">
        <v>601</v>
      </c>
      <c r="C3" s="80" t="s">
        <v>615</v>
      </c>
    </row>
    <row r="4" ht="23.1" customHeight="1" spans="1:3">
      <c r="A4" s="80">
        <v>1</v>
      </c>
      <c r="B4" s="80">
        <v>1</v>
      </c>
      <c r="C4" s="205" t="s">
        <v>616</v>
      </c>
    </row>
    <row r="5" ht="23.1" customHeight="1" spans="1:3">
      <c r="A5" s="80">
        <v>2</v>
      </c>
      <c r="B5" s="80">
        <v>2</v>
      </c>
      <c r="C5" s="205" t="s">
        <v>617</v>
      </c>
    </row>
    <row r="6" ht="23.1" customHeight="1" spans="1:3">
      <c r="A6" s="80">
        <v>3</v>
      </c>
      <c r="B6" s="80">
        <v>1</v>
      </c>
      <c r="C6" s="205" t="s">
        <v>618</v>
      </c>
    </row>
    <row r="7" ht="23.1" customHeight="1" spans="1:3">
      <c r="A7" s="80">
        <v>4</v>
      </c>
      <c r="B7" s="80">
        <v>1</v>
      </c>
      <c r="C7" s="205" t="s">
        <v>619</v>
      </c>
    </row>
    <row r="8" ht="23.1" customHeight="1" spans="1:3">
      <c r="A8" s="80">
        <v>5</v>
      </c>
      <c r="B8" s="80">
        <v>1</v>
      </c>
      <c r="C8" s="205" t="s">
        <v>620</v>
      </c>
    </row>
    <row r="9" ht="23.1" customHeight="1" spans="1:3">
      <c r="A9" s="80">
        <v>6</v>
      </c>
      <c r="B9" s="80">
        <v>1</v>
      </c>
      <c r="C9" s="205" t="s">
        <v>621</v>
      </c>
    </row>
    <row r="10" ht="23.1" customHeight="1" spans="1:3">
      <c r="A10" s="80">
        <v>7</v>
      </c>
      <c r="B10" s="80">
        <v>2</v>
      </c>
      <c r="C10" s="205" t="s">
        <v>622</v>
      </c>
    </row>
    <row r="11" ht="23.1" customHeight="1" spans="1:3">
      <c r="A11" s="80">
        <v>8</v>
      </c>
      <c r="B11" s="80">
        <v>0</v>
      </c>
      <c r="C11" s="205" t="s">
        <v>623</v>
      </c>
    </row>
    <row r="12" ht="23.1" customHeight="1" spans="1:3">
      <c r="A12" s="80">
        <v>9</v>
      </c>
      <c r="B12" s="80">
        <v>2</v>
      </c>
      <c r="C12" s="205" t="s">
        <v>624</v>
      </c>
    </row>
    <row r="13" ht="23.1" customHeight="1" spans="1:3">
      <c r="A13" s="80">
        <v>10</v>
      </c>
      <c r="B13" s="80">
        <v>0</v>
      </c>
      <c r="C13" s="205" t="s">
        <v>625</v>
      </c>
    </row>
    <row r="14" ht="23.1" customHeight="1" spans="1:3">
      <c r="A14" s="80">
        <v>11</v>
      </c>
      <c r="B14" s="80">
        <v>2</v>
      </c>
      <c r="C14" s="205" t="s">
        <v>626</v>
      </c>
    </row>
    <row r="15" ht="23.1" customHeight="1" spans="1:3">
      <c r="A15" s="80">
        <v>12</v>
      </c>
      <c r="B15" s="80">
        <v>2</v>
      </c>
      <c r="C15" s="205" t="s">
        <v>627</v>
      </c>
    </row>
    <row r="16" ht="23.1" customHeight="1" spans="1:3">
      <c r="A16" s="80">
        <v>13</v>
      </c>
      <c r="B16" s="80">
        <v>2</v>
      </c>
      <c r="C16" s="205" t="s">
        <v>628</v>
      </c>
    </row>
    <row r="17" ht="23.1" customHeight="1" spans="1:3">
      <c r="A17" s="80">
        <v>14</v>
      </c>
      <c r="B17" s="80">
        <v>2</v>
      </c>
      <c r="C17" s="205" t="s">
        <v>629</v>
      </c>
    </row>
    <row r="18" ht="23.1" customHeight="1" spans="1:3">
      <c r="A18" s="80">
        <v>15</v>
      </c>
      <c r="B18" s="80">
        <v>2</v>
      </c>
      <c r="C18" s="205" t="s">
        <v>630</v>
      </c>
    </row>
    <row r="19" ht="23.1" customHeight="1" spans="1:3">
      <c r="A19" s="80">
        <v>16</v>
      </c>
      <c r="B19" s="80">
        <v>2</v>
      </c>
      <c r="C19" s="205" t="s">
        <v>631</v>
      </c>
    </row>
    <row r="20" ht="23.1" customHeight="1" spans="1:3">
      <c r="A20" s="80">
        <v>17</v>
      </c>
      <c r="B20" s="80">
        <v>1</v>
      </c>
      <c r="C20" s="205" t="s">
        <v>632</v>
      </c>
    </row>
    <row r="21" ht="23.1" customHeight="1" spans="1:3">
      <c r="A21" s="80">
        <v>18</v>
      </c>
      <c r="B21" s="80">
        <v>2</v>
      </c>
      <c r="C21" s="205" t="s">
        <v>633</v>
      </c>
    </row>
    <row r="22" ht="23.1" customHeight="1" spans="1:3">
      <c r="A22" s="80">
        <v>19</v>
      </c>
      <c r="B22" s="80">
        <v>2</v>
      </c>
      <c r="C22" s="205" t="s">
        <v>634</v>
      </c>
    </row>
    <row r="23" ht="23.1" customHeight="1" spans="1:3">
      <c r="A23" s="80">
        <v>20</v>
      </c>
      <c r="B23" s="80">
        <v>2</v>
      </c>
      <c r="C23" s="205" t="s">
        <v>635</v>
      </c>
    </row>
    <row r="24" ht="23.1" customHeight="1" spans="1:3">
      <c r="A24" s="80">
        <v>21</v>
      </c>
      <c r="B24" s="80">
        <v>2</v>
      </c>
      <c r="C24" s="205" t="s">
        <v>636</v>
      </c>
    </row>
    <row r="25" ht="23.1" customHeight="1" spans="1:3">
      <c r="A25" s="80">
        <v>22</v>
      </c>
      <c r="B25" s="80">
        <v>1</v>
      </c>
      <c r="C25" s="205" t="s">
        <v>637</v>
      </c>
    </row>
    <row r="26" ht="23.1" customHeight="1" spans="1:3">
      <c r="A26" s="80">
        <v>23</v>
      </c>
      <c r="B26" s="80">
        <v>2</v>
      </c>
      <c r="C26" s="205" t="s">
        <v>638</v>
      </c>
    </row>
    <row r="27" ht="23.1" customHeight="1" spans="1:3">
      <c r="A27" s="80">
        <v>24</v>
      </c>
      <c r="B27" s="80">
        <v>2</v>
      </c>
      <c r="C27" s="205" t="s">
        <v>639</v>
      </c>
    </row>
  </sheetData>
  <pageMargins left="0.699305555555556" right="0.699305555555556" top="0.75" bottom="0.75" header="0.3" footer="0.3"/>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R9"/>
  <sheetViews>
    <sheetView workbookViewId="0">
      <selection activeCell="E4" sqref="E4"/>
    </sheetView>
  </sheetViews>
  <sheetFormatPr defaultColWidth="11.0986842105263" defaultRowHeight="15.2"/>
  <cols>
    <col min="3" max="3" width="16.4013157894737" customWidth="1"/>
    <col min="11" max="11" width="13.0986842105263" customWidth="1"/>
  </cols>
  <sheetData>
    <row r="1" ht="23.1" customHeight="1" spans="1:252">
      <c r="A1" s="80" t="s">
        <v>640</v>
      </c>
      <c r="B1" s="80" t="s">
        <v>28</v>
      </c>
      <c r="C1" s="80" t="s">
        <v>35</v>
      </c>
      <c r="D1" s="80" t="s">
        <v>641</v>
      </c>
      <c r="E1" s="80" t="s">
        <v>642</v>
      </c>
      <c r="F1" s="80" t="s">
        <v>643</v>
      </c>
      <c r="G1" s="80" t="s">
        <v>644</v>
      </c>
      <c r="H1" s="80" t="s">
        <v>645</v>
      </c>
      <c r="I1" s="80" t="s">
        <v>646</v>
      </c>
      <c r="J1" s="80" t="s">
        <v>647</v>
      </c>
      <c r="K1" s="80" t="s">
        <v>648</v>
      </c>
      <c r="L1" s="80" t="s">
        <v>649</v>
      </c>
      <c r="M1" s="230"/>
      <c r="N1" s="230"/>
      <c r="O1" s="230"/>
      <c r="P1" s="230"/>
      <c r="Q1" s="230"/>
      <c r="R1" s="230"/>
      <c r="S1" s="230"/>
      <c r="T1" s="230"/>
      <c r="U1" s="230"/>
      <c r="V1" s="230"/>
      <c r="W1" s="230"/>
      <c r="X1" s="230"/>
      <c r="Y1" s="230"/>
      <c r="Z1" s="230"/>
      <c r="AA1" s="230"/>
      <c r="AB1" s="230"/>
      <c r="AC1" s="230"/>
      <c r="AD1" s="230"/>
      <c r="AE1" s="230"/>
      <c r="AF1" s="230"/>
      <c r="AG1" s="230"/>
      <c r="AH1" s="230"/>
      <c r="AI1" s="230"/>
      <c r="AJ1" s="230"/>
      <c r="AK1" s="230"/>
      <c r="AL1" s="230"/>
      <c r="AM1" s="230"/>
      <c r="AN1" s="230"/>
      <c r="AO1" s="230"/>
      <c r="AP1" s="230"/>
      <c r="AQ1" s="230"/>
      <c r="AR1" s="230"/>
      <c r="AS1" s="230"/>
      <c r="AT1" s="230"/>
      <c r="AU1" s="230"/>
      <c r="AV1" s="230"/>
      <c r="AW1" s="230"/>
      <c r="AX1" s="230"/>
      <c r="AY1" s="230"/>
      <c r="AZ1" s="230"/>
      <c r="BA1" s="230"/>
      <c r="BB1" s="230"/>
      <c r="BC1" s="230"/>
      <c r="BD1" s="230"/>
      <c r="BE1" s="230"/>
      <c r="BF1" s="230"/>
      <c r="BG1" s="230"/>
      <c r="BH1" s="230"/>
      <c r="BI1" s="230"/>
      <c r="BJ1" s="230"/>
      <c r="BK1" s="230"/>
      <c r="BL1" s="230"/>
      <c r="BM1" s="230"/>
      <c r="BN1" s="230"/>
      <c r="BO1" s="230"/>
      <c r="BP1" s="230"/>
      <c r="BQ1" s="230"/>
      <c r="BR1" s="230"/>
      <c r="BS1" s="230"/>
      <c r="BT1" s="230"/>
      <c r="BU1" s="230"/>
      <c r="BV1" s="230"/>
      <c r="BW1" s="230"/>
      <c r="BX1" s="230"/>
      <c r="BY1" s="230"/>
      <c r="BZ1" s="230"/>
      <c r="CA1" s="230"/>
      <c r="CB1" s="230"/>
      <c r="CC1" s="230"/>
      <c r="CD1" s="230"/>
      <c r="CE1" s="230"/>
      <c r="CF1" s="230"/>
      <c r="CG1" s="230"/>
      <c r="CH1" s="230"/>
      <c r="CI1" s="230"/>
      <c r="CJ1" s="230"/>
      <c r="CK1" s="230"/>
      <c r="CL1" s="230"/>
      <c r="CM1" s="230"/>
      <c r="CN1" s="230"/>
      <c r="CO1" s="230"/>
      <c r="CP1" s="230"/>
      <c r="CQ1" s="230"/>
      <c r="CR1" s="230"/>
      <c r="CS1" s="230"/>
      <c r="CT1" s="230"/>
      <c r="CU1" s="230"/>
      <c r="CV1" s="230"/>
      <c r="CW1" s="230"/>
      <c r="CX1" s="230"/>
      <c r="CY1" s="230"/>
      <c r="CZ1" s="230"/>
      <c r="DA1" s="230"/>
      <c r="DB1" s="230"/>
      <c r="DC1" s="230"/>
      <c r="DD1" s="230"/>
      <c r="DE1" s="230"/>
      <c r="DF1" s="230"/>
      <c r="DG1" s="230"/>
      <c r="DH1" s="230"/>
      <c r="DI1" s="230"/>
      <c r="DJ1" s="230"/>
      <c r="DK1" s="230"/>
      <c r="DL1" s="230"/>
      <c r="DM1" s="230"/>
      <c r="DN1" s="230"/>
      <c r="DO1" s="230"/>
      <c r="DP1" s="230"/>
      <c r="DQ1" s="230"/>
      <c r="DR1" s="230"/>
      <c r="DS1" s="230"/>
      <c r="DT1" s="230"/>
      <c r="DU1" s="230"/>
      <c r="DV1" s="230"/>
      <c r="DW1" s="230"/>
      <c r="DX1" s="230"/>
      <c r="DY1" s="230"/>
      <c r="DZ1" s="230"/>
      <c r="EA1" s="230"/>
      <c r="EB1" s="230"/>
      <c r="EC1" s="230"/>
      <c r="ED1" s="230"/>
      <c r="EE1" s="230"/>
      <c r="EF1" s="230"/>
      <c r="EG1" s="230"/>
      <c r="EH1" s="230"/>
      <c r="EI1" s="230"/>
      <c r="EJ1" s="230"/>
      <c r="EK1" s="230"/>
      <c r="EL1" s="230"/>
      <c r="EM1" s="230"/>
      <c r="EN1" s="230"/>
      <c r="EO1" s="230"/>
      <c r="EP1" s="230"/>
      <c r="EQ1" s="230"/>
      <c r="ER1" s="230"/>
      <c r="ES1" s="230"/>
      <c r="ET1" s="230"/>
      <c r="EU1" s="230"/>
      <c r="EV1" s="230"/>
      <c r="EW1" s="230"/>
      <c r="EX1" s="230"/>
      <c r="EY1" s="230"/>
      <c r="EZ1" s="230"/>
      <c r="FA1" s="230"/>
      <c r="FB1" s="230"/>
      <c r="FC1" s="230"/>
      <c r="FD1" s="230"/>
      <c r="FE1" s="230"/>
      <c r="FF1" s="230"/>
      <c r="FG1" s="230"/>
      <c r="FH1" s="230"/>
      <c r="FI1" s="230"/>
      <c r="FJ1" s="230"/>
      <c r="FK1" s="230"/>
      <c r="FL1" s="230"/>
      <c r="FM1" s="230"/>
      <c r="FN1" s="230"/>
      <c r="FO1" s="230"/>
      <c r="FP1" s="230"/>
      <c r="FQ1" s="230"/>
      <c r="FR1" s="230"/>
      <c r="FS1" s="230"/>
      <c r="FT1" s="230"/>
      <c r="FU1" s="230"/>
      <c r="FV1" s="230"/>
      <c r="FW1" s="230"/>
      <c r="FX1" s="230"/>
      <c r="FY1" s="230"/>
      <c r="FZ1" s="230"/>
      <c r="GA1" s="230"/>
      <c r="GB1" s="230"/>
      <c r="GC1" s="230"/>
      <c r="GD1" s="230"/>
      <c r="GE1" s="230"/>
      <c r="GF1" s="230"/>
      <c r="GG1" s="230"/>
      <c r="GH1" s="230"/>
      <c r="GI1" s="230"/>
      <c r="GJ1" s="230"/>
      <c r="GK1" s="230"/>
      <c r="GL1" s="230"/>
      <c r="GM1" s="230"/>
      <c r="GN1" s="230"/>
      <c r="GO1" s="230"/>
      <c r="GP1" s="230"/>
      <c r="GQ1" s="230"/>
      <c r="GR1" s="230"/>
      <c r="GS1" s="230"/>
      <c r="GT1" s="230"/>
      <c r="GU1" s="230"/>
      <c r="GV1" s="230"/>
      <c r="GW1" s="230"/>
      <c r="GX1" s="230"/>
      <c r="GY1" s="230"/>
      <c r="GZ1" s="230"/>
      <c r="HA1" s="230"/>
      <c r="HB1" s="230"/>
      <c r="HC1" s="230"/>
      <c r="HD1" s="230"/>
      <c r="HE1" s="230"/>
      <c r="HF1" s="230"/>
      <c r="HG1" s="230"/>
      <c r="HH1" s="230"/>
      <c r="HI1" s="230"/>
      <c r="HJ1" s="230"/>
      <c r="HK1" s="230"/>
      <c r="HL1" s="230"/>
      <c r="HM1" s="230"/>
      <c r="HN1" s="230"/>
      <c r="HO1" s="230"/>
      <c r="HP1" s="230"/>
      <c r="HQ1" s="230"/>
      <c r="HR1" s="230"/>
      <c r="HS1" s="230"/>
      <c r="HT1" s="230"/>
      <c r="HU1" s="230"/>
      <c r="HV1" s="230"/>
      <c r="HW1" s="230"/>
      <c r="HX1" s="230"/>
      <c r="HY1" s="230"/>
      <c r="HZ1" s="230"/>
      <c r="IA1" s="230"/>
      <c r="IB1" s="230"/>
      <c r="IC1" s="230"/>
      <c r="ID1" s="230"/>
      <c r="IE1" s="230"/>
      <c r="IF1" s="230"/>
      <c r="IG1" s="230"/>
      <c r="IH1" s="230"/>
      <c r="II1" s="230"/>
      <c r="IJ1" s="230"/>
      <c r="IK1" s="230"/>
      <c r="IL1" s="230"/>
      <c r="IM1" s="230"/>
      <c r="IN1" s="230"/>
      <c r="IO1" s="230"/>
      <c r="IP1" s="230"/>
      <c r="IQ1" s="230"/>
      <c r="IR1" s="230"/>
    </row>
    <row r="2" ht="23.1" customHeight="1" spans="1:252">
      <c r="A2" s="80" t="s">
        <v>39</v>
      </c>
      <c r="B2" s="80" t="s">
        <v>39</v>
      </c>
      <c r="C2" s="80" t="s">
        <v>40</v>
      </c>
      <c r="D2" s="80" t="s">
        <v>39</v>
      </c>
      <c r="E2" s="80" t="s">
        <v>39</v>
      </c>
      <c r="F2" s="80" t="s">
        <v>39</v>
      </c>
      <c r="G2" s="80" t="s">
        <v>39</v>
      </c>
      <c r="H2" s="80" t="s">
        <v>39</v>
      </c>
      <c r="I2" s="80" t="s">
        <v>39</v>
      </c>
      <c r="J2" s="80" t="s">
        <v>39</v>
      </c>
      <c r="K2" s="80" t="s">
        <v>39</v>
      </c>
      <c r="L2" s="80" t="s">
        <v>650</v>
      </c>
      <c r="M2" s="230"/>
      <c r="N2" s="230"/>
      <c r="O2" s="230"/>
      <c r="P2" s="230"/>
      <c r="Q2" s="230"/>
      <c r="R2" s="230"/>
      <c r="S2" s="230"/>
      <c r="T2" s="230"/>
      <c r="U2" s="230"/>
      <c r="V2" s="230"/>
      <c r="W2" s="230"/>
      <c r="X2" s="230"/>
      <c r="Y2" s="230"/>
      <c r="Z2" s="230"/>
      <c r="AA2" s="230"/>
      <c r="AB2" s="230"/>
      <c r="AC2" s="230"/>
      <c r="AD2" s="230"/>
      <c r="AE2" s="230"/>
      <c r="AF2" s="230"/>
      <c r="AG2" s="230"/>
      <c r="AH2" s="230"/>
      <c r="AI2" s="230"/>
      <c r="AJ2" s="230"/>
      <c r="AK2" s="230"/>
      <c r="AL2" s="230"/>
      <c r="AM2" s="230"/>
      <c r="AN2" s="230"/>
      <c r="AO2" s="230"/>
      <c r="AP2" s="230"/>
      <c r="AQ2" s="230"/>
      <c r="AR2" s="230"/>
      <c r="AS2" s="230"/>
      <c r="AT2" s="230"/>
      <c r="AU2" s="230"/>
      <c r="AV2" s="230"/>
      <c r="AW2" s="230"/>
      <c r="AX2" s="230"/>
      <c r="AY2" s="230"/>
      <c r="AZ2" s="230"/>
      <c r="BA2" s="230"/>
      <c r="BB2" s="230"/>
      <c r="BC2" s="230"/>
      <c r="BD2" s="230"/>
      <c r="BE2" s="230"/>
      <c r="BF2" s="230"/>
      <c r="BG2" s="230"/>
      <c r="BH2" s="230"/>
      <c r="BI2" s="230"/>
      <c r="BJ2" s="230"/>
      <c r="BK2" s="230"/>
      <c r="BL2" s="230"/>
      <c r="BM2" s="230"/>
      <c r="BN2" s="230"/>
      <c r="BO2" s="230"/>
      <c r="BP2" s="230"/>
      <c r="BQ2" s="230"/>
      <c r="BR2" s="230"/>
      <c r="BS2" s="230"/>
      <c r="BT2" s="230"/>
      <c r="BU2" s="230"/>
      <c r="BV2" s="230"/>
      <c r="BW2" s="230"/>
      <c r="BX2" s="230"/>
      <c r="BY2" s="230"/>
      <c r="BZ2" s="230"/>
      <c r="CA2" s="230"/>
      <c r="CB2" s="230"/>
      <c r="CC2" s="230"/>
      <c r="CD2" s="230"/>
      <c r="CE2" s="230"/>
      <c r="CF2" s="230"/>
      <c r="CG2" s="230"/>
      <c r="CH2" s="230"/>
      <c r="CI2" s="230"/>
      <c r="CJ2" s="230"/>
      <c r="CK2" s="230"/>
      <c r="CL2" s="230"/>
      <c r="CM2" s="230"/>
      <c r="CN2" s="230"/>
      <c r="CO2" s="230"/>
      <c r="CP2" s="230"/>
      <c r="CQ2" s="230"/>
      <c r="CR2" s="230"/>
      <c r="CS2" s="230"/>
      <c r="CT2" s="230"/>
      <c r="CU2" s="230"/>
      <c r="CV2" s="230"/>
      <c r="CW2" s="230"/>
      <c r="CX2" s="230"/>
      <c r="CY2" s="230"/>
      <c r="CZ2" s="230"/>
      <c r="DA2" s="230"/>
      <c r="DB2" s="230"/>
      <c r="DC2" s="230"/>
      <c r="DD2" s="230"/>
      <c r="DE2" s="230"/>
      <c r="DF2" s="230"/>
      <c r="DG2" s="230"/>
      <c r="DH2" s="230"/>
      <c r="DI2" s="230"/>
      <c r="DJ2" s="230"/>
      <c r="DK2" s="230"/>
      <c r="DL2" s="230"/>
      <c r="DM2" s="230"/>
      <c r="DN2" s="230"/>
      <c r="DO2" s="230"/>
      <c r="DP2" s="230"/>
      <c r="DQ2" s="230"/>
      <c r="DR2" s="230"/>
      <c r="DS2" s="230"/>
      <c r="DT2" s="230"/>
      <c r="DU2" s="230"/>
      <c r="DV2" s="230"/>
      <c r="DW2" s="230"/>
      <c r="DX2" s="230"/>
      <c r="DY2" s="230"/>
      <c r="DZ2" s="230"/>
      <c r="EA2" s="230"/>
      <c r="EB2" s="230"/>
      <c r="EC2" s="230"/>
      <c r="ED2" s="230"/>
      <c r="EE2" s="230"/>
      <c r="EF2" s="230"/>
      <c r="EG2" s="230"/>
      <c r="EH2" s="230"/>
      <c r="EI2" s="230"/>
      <c r="EJ2" s="230"/>
      <c r="EK2" s="230"/>
      <c r="EL2" s="230"/>
      <c r="EM2" s="230"/>
      <c r="EN2" s="230"/>
      <c r="EO2" s="230"/>
      <c r="EP2" s="230"/>
      <c r="EQ2" s="230"/>
      <c r="ER2" s="230"/>
      <c r="ES2" s="230"/>
      <c r="ET2" s="230"/>
      <c r="EU2" s="230"/>
      <c r="EV2" s="230"/>
      <c r="EW2" s="230"/>
      <c r="EX2" s="230"/>
      <c r="EY2" s="230"/>
      <c r="EZ2" s="230"/>
      <c r="FA2" s="230"/>
      <c r="FB2" s="230"/>
      <c r="FC2" s="230"/>
      <c r="FD2" s="230"/>
      <c r="FE2" s="230"/>
      <c r="FF2" s="230"/>
      <c r="FG2" s="230"/>
      <c r="FH2" s="230"/>
      <c r="FI2" s="230"/>
      <c r="FJ2" s="230"/>
      <c r="FK2" s="230"/>
      <c r="FL2" s="230"/>
      <c r="FM2" s="230"/>
      <c r="FN2" s="230"/>
      <c r="FO2" s="230"/>
      <c r="FP2" s="230"/>
      <c r="FQ2" s="230"/>
      <c r="FR2" s="230"/>
      <c r="FS2" s="230"/>
      <c r="FT2" s="230"/>
      <c r="FU2" s="230"/>
      <c r="FV2" s="230"/>
      <c r="FW2" s="230"/>
      <c r="FX2" s="230"/>
      <c r="FY2" s="230"/>
      <c r="FZ2" s="230"/>
      <c r="GA2" s="230"/>
      <c r="GB2" s="230"/>
      <c r="GC2" s="230"/>
      <c r="GD2" s="230"/>
      <c r="GE2" s="230"/>
      <c r="GF2" s="230"/>
      <c r="GG2" s="230"/>
      <c r="GH2" s="230"/>
      <c r="GI2" s="230"/>
      <c r="GJ2" s="230"/>
      <c r="GK2" s="230"/>
      <c r="GL2" s="230"/>
      <c r="GM2" s="230"/>
      <c r="GN2" s="230"/>
      <c r="GO2" s="230"/>
      <c r="GP2" s="230"/>
      <c r="GQ2" s="230"/>
      <c r="GR2" s="230"/>
      <c r="GS2" s="230"/>
      <c r="GT2" s="230"/>
      <c r="GU2" s="230"/>
      <c r="GV2" s="230"/>
      <c r="GW2" s="230"/>
      <c r="GX2" s="230"/>
      <c r="GY2" s="230"/>
      <c r="GZ2" s="230"/>
      <c r="HA2" s="230"/>
      <c r="HB2" s="230"/>
      <c r="HC2" s="230"/>
      <c r="HD2" s="230"/>
      <c r="HE2" s="230"/>
      <c r="HF2" s="230"/>
      <c r="HG2" s="230"/>
      <c r="HH2" s="230"/>
      <c r="HI2" s="230"/>
      <c r="HJ2" s="230"/>
      <c r="HK2" s="230"/>
      <c r="HL2" s="230"/>
      <c r="HM2" s="230"/>
      <c r="HN2" s="230"/>
      <c r="HO2" s="230"/>
      <c r="HP2" s="230"/>
      <c r="HQ2" s="230"/>
      <c r="HR2" s="230"/>
      <c r="HS2" s="230"/>
      <c r="HT2" s="230"/>
      <c r="HU2" s="230"/>
      <c r="HV2" s="230"/>
      <c r="HW2" s="230"/>
      <c r="HX2" s="230"/>
      <c r="HY2" s="230"/>
      <c r="HZ2" s="230"/>
      <c r="IA2" s="230"/>
      <c r="IB2" s="230"/>
      <c r="IC2" s="230"/>
      <c r="ID2" s="230"/>
      <c r="IE2" s="230"/>
      <c r="IF2" s="230"/>
      <c r="IG2" s="230"/>
      <c r="IH2" s="230"/>
      <c r="II2" s="230"/>
      <c r="IJ2" s="230"/>
      <c r="IK2" s="230"/>
      <c r="IL2" s="230"/>
      <c r="IM2" s="230"/>
      <c r="IN2" s="230"/>
      <c r="IO2" s="230"/>
      <c r="IP2" s="230"/>
      <c r="IQ2" s="230"/>
      <c r="IR2" s="230"/>
    </row>
    <row r="3" ht="23.1" customHeight="1" spans="1:252">
      <c r="A3" s="80" t="s">
        <v>651</v>
      </c>
      <c r="B3" s="80" t="s">
        <v>652</v>
      </c>
      <c r="C3" s="80" t="s">
        <v>653</v>
      </c>
      <c r="D3" s="80" t="s">
        <v>654</v>
      </c>
      <c r="E3" s="80" t="s">
        <v>655</v>
      </c>
      <c r="F3" s="80" t="s">
        <v>656</v>
      </c>
      <c r="G3" s="80" t="s">
        <v>657</v>
      </c>
      <c r="H3" s="80" t="s">
        <v>658</v>
      </c>
      <c r="I3" s="80" t="s">
        <v>659</v>
      </c>
      <c r="J3" s="80" t="s">
        <v>660</v>
      </c>
      <c r="K3" s="80" t="s">
        <v>661</v>
      </c>
      <c r="L3" s="80" t="s">
        <v>662</v>
      </c>
      <c r="M3" s="230"/>
      <c r="N3" s="230"/>
      <c r="O3" s="230"/>
      <c r="P3" s="230"/>
      <c r="Q3" s="230"/>
      <c r="R3" s="230"/>
      <c r="S3" s="230"/>
      <c r="T3" s="230"/>
      <c r="U3" s="230"/>
      <c r="V3" s="230"/>
      <c r="W3" s="230"/>
      <c r="X3" s="230"/>
      <c r="Y3" s="230"/>
      <c r="Z3" s="230"/>
      <c r="AA3" s="230"/>
      <c r="AB3" s="230"/>
      <c r="AC3" s="230"/>
      <c r="AD3" s="230"/>
      <c r="AE3" s="230"/>
      <c r="AF3" s="230"/>
      <c r="AG3" s="230"/>
      <c r="AH3" s="230"/>
      <c r="AI3" s="230"/>
      <c r="AJ3" s="230"/>
      <c r="AK3" s="230"/>
      <c r="AL3" s="230"/>
      <c r="AM3" s="230"/>
      <c r="AN3" s="230"/>
      <c r="AO3" s="230"/>
      <c r="AP3" s="230"/>
      <c r="AQ3" s="230"/>
      <c r="AR3" s="230"/>
      <c r="AS3" s="230"/>
      <c r="AT3" s="230"/>
      <c r="AU3" s="230"/>
      <c r="AV3" s="230"/>
      <c r="AW3" s="230"/>
      <c r="AX3" s="230"/>
      <c r="AY3" s="230"/>
      <c r="AZ3" s="230"/>
      <c r="BA3" s="230"/>
      <c r="BB3" s="230"/>
      <c r="BC3" s="230"/>
      <c r="BD3" s="230"/>
      <c r="BE3" s="230"/>
      <c r="BF3" s="230"/>
      <c r="BG3" s="230"/>
      <c r="BH3" s="230"/>
      <c r="BI3" s="230"/>
      <c r="BJ3" s="230"/>
      <c r="BK3" s="230"/>
      <c r="BL3" s="230"/>
      <c r="BM3" s="230"/>
      <c r="BN3" s="230"/>
      <c r="BO3" s="230"/>
      <c r="BP3" s="230"/>
      <c r="BQ3" s="230"/>
      <c r="BR3" s="230"/>
      <c r="BS3" s="230"/>
      <c r="BT3" s="230"/>
      <c r="BU3" s="230"/>
      <c r="BV3" s="230"/>
      <c r="BW3" s="230"/>
      <c r="BX3" s="230"/>
      <c r="BY3" s="230"/>
      <c r="BZ3" s="230"/>
      <c r="CA3" s="230"/>
      <c r="CB3" s="230"/>
      <c r="CC3" s="230"/>
      <c r="CD3" s="230"/>
      <c r="CE3" s="230"/>
      <c r="CF3" s="230"/>
      <c r="CG3" s="230"/>
      <c r="CH3" s="230"/>
      <c r="CI3" s="230"/>
      <c r="CJ3" s="230"/>
      <c r="CK3" s="230"/>
      <c r="CL3" s="230"/>
      <c r="CM3" s="230"/>
      <c r="CN3" s="230"/>
      <c r="CO3" s="230"/>
      <c r="CP3" s="230"/>
      <c r="CQ3" s="230"/>
      <c r="CR3" s="230"/>
      <c r="CS3" s="230"/>
      <c r="CT3" s="230"/>
      <c r="CU3" s="230"/>
      <c r="CV3" s="230"/>
      <c r="CW3" s="230"/>
      <c r="CX3" s="230"/>
      <c r="CY3" s="230"/>
      <c r="CZ3" s="230"/>
      <c r="DA3" s="230"/>
      <c r="DB3" s="230"/>
      <c r="DC3" s="230"/>
      <c r="DD3" s="230"/>
      <c r="DE3" s="230"/>
      <c r="DF3" s="230"/>
      <c r="DG3" s="230"/>
      <c r="DH3" s="230"/>
      <c r="DI3" s="230"/>
      <c r="DJ3" s="230"/>
      <c r="DK3" s="230"/>
      <c r="DL3" s="230"/>
      <c r="DM3" s="230"/>
      <c r="DN3" s="230"/>
      <c r="DO3" s="230"/>
      <c r="DP3" s="230"/>
      <c r="DQ3" s="230"/>
      <c r="DR3" s="230"/>
      <c r="DS3" s="230"/>
      <c r="DT3" s="230"/>
      <c r="DU3" s="230"/>
      <c r="DV3" s="230"/>
      <c r="DW3" s="230"/>
      <c r="DX3" s="230"/>
      <c r="DY3" s="230"/>
      <c r="DZ3" s="230"/>
      <c r="EA3" s="230"/>
      <c r="EB3" s="230"/>
      <c r="EC3" s="230"/>
      <c r="ED3" s="230"/>
      <c r="EE3" s="230"/>
      <c r="EF3" s="230"/>
      <c r="EG3" s="230"/>
      <c r="EH3" s="230"/>
      <c r="EI3" s="230"/>
      <c r="EJ3" s="230"/>
      <c r="EK3" s="230"/>
      <c r="EL3" s="230"/>
      <c r="EM3" s="230"/>
      <c r="EN3" s="230"/>
      <c r="EO3" s="230"/>
      <c r="EP3" s="230"/>
      <c r="EQ3" s="230"/>
      <c r="ER3" s="230"/>
      <c r="ES3" s="230"/>
      <c r="ET3" s="230"/>
      <c r="EU3" s="230"/>
      <c r="EV3" s="230"/>
      <c r="EW3" s="230"/>
      <c r="EX3" s="230"/>
      <c r="EY3" s="230"/>
      <c r="EZ3" s="230"/>
      <c r="FA3" s="230"/>
      <c r="FB3" s="230"/>
      <c r="FC3" s="230"/>
      <c r="FD3" s="230"/>
      <c r="FE3" s="230"/>
      <c r="FF3" s="230"/>
      <c r="FG3" s="230"/>
      <c r="FH3" s="230"/>
      <c r="FI3" s="230"/>
      <c r="FJ3" s="230"/>
      <c r="FK3" s="230"/>
      <c r="FL3" s="230"/>
      <c r="FM3" s="230"/>
      <c r="FN3" s="230"/>
      <c r="FO3" s="230"/>
      <c r="FP3" s="230"/>
      <c r="FQ3" s="230"/>
      <c r="FR3" s="230"/>
      <c r="FS3" s="230"/>
      <c r="FT3" s="230"/>
      <c r="FU3" s="230"/>
      <c r="FV3" s="230"/>
      <c r="FW3" s="230"/>
      <c r="FX3" s="230"/>
      <c r="FY3" s="230"/>
      <c r="FZ3" s="230"/>
      <c r="GA3" s="230"/>
      <c r="GB3" s="230"/>
      <c r="GC3" s="230"/>
      <c r="GD3" s="230"/>
      <c r="GE3" s="230"/>
      <c r="GF3" s="230"/>
      <c r="GG3" s="230"/>
      <c r="GH3" s="230"/>
      <c r="GI3" s="230"/>
      <c r="GJ3" s="230"/>
      <c r="GK3" s="230"/>
      <c r="GL3" s="230"/>
      <c r="GM3" s="230"/>
      <c r="GN3" s="230"/>
      <c r="GO3" s="230"/>
      <c r="GP3" s="230"/>
      <c r="GQ3" s="230"/>
      <c r="GR3" s="230"/>
      <c r="GS3" s="230"/>
      <c r="GT3" s="230"/>
      <c r="GU3" s="230"/>
      <c r="GV3" s="230"/>
      <c r="GW3" s="230"/>
      <c r="GX3" s="230"/>
      <c r="GY3" s="230"/>
      <c r="GZ3" s="230"/>
      <c r="HA3" s="230"/>
      <c r="HB3" s="230"/>
      <c r="HC3" s="230"/>
      <c r="HD3" s="230"/>
      <c r="HE3" s="230"/>
      <c r="HF3" s="230"/>
      <c r="HG3" s="230"/>
      <c r="HH3" s="230"/>
      <c r="HI3" s="230"/>
      <c r="HJ3" s="230"/>
      <c r="HK3" s="230"/>
      <c r="HL3" s="230"/>
      <c r="HM3" s="230"/>
      <c r="HN3" s="230"/>
      <c r="HO3" s="230"/>
      <c r="HP3" s="230"/>
      <c r="HQ3" s="230"/>
      <c r="HR3" s="230"/>
      <c r="HS3" s="230"/>
      <c r="HT3" s="230"/>
      <c r="HU3" s="230"/>
      <c r="HV3" s="230"/>
      <c r="HW3" s="230"/>
      <c r="HX3" s="230"/>
      <c r="HY3" s="230"/>
      <c r="HZ3" s="230"/>
      <c r="IA3" s="230"/>
      <c r="IB3" s="230"/>
      <c r="IC3" s="230"/>
      <c r="ID3" s="230"/>
      <c r="IE3" s="230"/>
      <c r="IF3" s="230"/>
      <c r="IG3" s="230"/>
      <c r="IH3" s="230"/>
      <c r="II3" s="230"/>
      <c r="IJ3" s="230"/>
      <c r="IK3" s="230"/>
      <c r="IL3" s="230"/>
      <c r="IM3" s="230"/>
      <c r="IN3" s="230"/>
      <c r="IO3" s="230"/>
      <c r="IP3" s="230"/>
      <c r="IQ3" s="230"/>
      <c r="IR3" s="230"/>
    </row>
    <row r="4" ht="23.1" customHeight="1" spans="1:252">
      <c r="A4" s="80">
        <v>1500</v>
      </c>
      <c r="B4" s="80">
        <v>4</v>
      </c>
      <c r="C4" s="80"/>
      <c r="D4" s="80"/>
      <c r="E4" s="80">
        <v>5</v>
      </c>
      <c r="F4" s="80"/>
      <c r="G4" s="80"/>
      <c r="H4" s="232">
        <v>100</v>
      </c>
      <c r="I4" s="232">
        <v>0</v>
      </c>
      <c r="J4" s="232">
        <v>0</v>
      </c>
      <c r="K4" s="80">
        <v>0</v>
      </c>
      <c r="L4" s="80" t="s">
        <v>663</v>
      </c>
      <c r="M4" s="230"/>
      <c r="N4" s="230"/>
      <c r="O4" s="230"/>
      <c r="P4" s="230"/>
      <c r="Q4" s="230"/>
      <c r="R4" s="230"/>
      <c r="S4" s="230"/>
      <c r="T4" s="230"/>
      <c r="U4" s="230"/>
      <c r="V4" s="230"/>
      <c r="W4" s="230"/>
      <c r="X4" s="230"/>
      <c r="Y4" s="230"/>
      <c r="Z4" s="230"/>
      <c r="AA4" s="230"/>
      <c r="AB4" s="230"/>
      <c r="AC4" s="230"/>
      <c r="AD4" s="230"/>
      <c r="AE4" s="230"/>
      <c r="AF4" s="230"/>
      <c r="AG4" s="230"/>
      <c r="AH4" s="230"/>
      <c r="AI4" s="230"/>
      <c r="AJ4" s="230"/>
      <c r="AK4" s="230"/>
      <c r="AL4" s="230"/>
      <c r="AM4" s="230"/>
      <c r="AN4" s="230"/>
      <c r="AO4" s="230"/>
      <c r="AP4" s="230"/>
      <c r="AQ4" s="230"/>
      <c r="AR4" s="230"/>
      <c r="AS4" s="230"/>
      <c r="AT4" s="230"/>
      <c r="AU4" s="230"/>
      <c r="AV4" s="230"/>
      <c r="AW4" s="230"/>
      <c r="AX4" s="230"/>
      <c r="AY4" s="230"/>
      <c r="AZ4" s="230"/>
      <c r="BA4" s="230"/>
      <c r="BB4" s="230"/>
      <c r="BC4" s="230"/>
      <c r="BD4" s="230"/>
      <c r="BE4" s="230"/>
      <c r="BF4" s="230"/>
      <c r="BG4" s="230"/>
      <c r="BH4" s="230"/>
      <c r="BI4" s="230"/>
      <c r="BJ4" s="230"/>
      <c r="BK4" s="230"/>
      <c r="BL4" s="230"/>
      <c r="BM4" s="230"/>
      <c r="BN4" s="230"/>
      <c r="BO4" s="230"/>
      <c r="BP4" s="230"/>
      <c r="BQ4" s="230"/>
      <c r="BR4" s="230"/>
      <c r="BS4" s="230"/>
      <c r="BT4" s="230"/>
      <c r="BU4" s="230"/>
      <c r="BV4" s="230"/>
      <c r="BW4" s="230"/>
      <c r="BX4" s="230"/>
      <c r="BY4" s="230"/>
      <c r="BZ4" s="230"/>
      <c r="CA4" s="230"/>
      <c r="CB4" s="230"/>
      <c r="CC4" s="230"/>
      <c r="CD4" s="230"/>
      <c r="CE4" s="230"/>
      <c r="CF4" s="230"/>
      <c r="CG4" s="230"/>
      <c r="CH4" s="230"/>
      <c r="CI4" s="230"/>
      <c r="CJ4" s="230"/>
      <c r="CK4" s="230"/>
      <c r="CL4" s="230"/>
      <c r="CM4" s="230"/>
      <c r="CN4" s="230"/>
      <c r="CO4" s="230"/>
      <c r="CP4" s="230"/>
      <c r="CQ4" s="230"/>
      <c r="CR4" s="230"/>
      <c r="CS4" s="230"/>
      <c r="CT4" s="230"/>
      <c r="CU4" s="230"/>
      <c r="CV4" s="230"/>
      <c r="CW4" s="230"/>
      <c r="CX4" s="230"/>
      <c r="CY4" s="230"/>
      <c r="CZ4" s="230"/>
      <c r="DA4" s="230"/>
      <c r="DB4" s="230"/>
      <c r="DC4" s="230"/>
      <c r="DD4" s="230"/>
      <c r="DE4" s="230"/>
      <c r="DF4" s="230"/>
      <c r="DG4" s="230"/>
      <c r="DH4" s="230"/>
      <c r="DI4" s="230"/>
      <c r="DJ4" s="230"/>
      <c r="DK4" s="230"/>
      <c r="DL4" s="230"/>
      <c r="DM4" s="230"/>
      <c r="DN4" s="230"/>
      <c r="DO4" s="230"/>
      <c r="DP4" s="230"/>
      <c r="DQ4" s="230"/>
      <c r="DR4" s="230"/>
      <c r="DS4" s="230"/>
      <c r="DT4" s="230"/>
      <c r="DU4" s="230"/>
      <c r="DV4" s="230"/>
      <c r="DW4" s="230"/>
      <c r="DX4" s="230"/>
      <c r="DY4" s="230"/>
      <c r="DZ4" s="230"/>
      <c r="EA4" s="230"/>
      <c r="EB4" s="230"/>
      <c r="EC4" s="230"/>
      <c r="ED4" s="230"/>
      <c r="EE4" s="230"/>
      <c r="EF4" s="230"/>
      <c r="EG4" s="230"/>
      <c r="EH4" s="230"/>
      <c r="EI4" s="230"/>
      <c r="EJ4" s="230"/>
      <c r="EK4" s="230"/>
      <c r="EL4" s="230"/>
      <c r="EM4" s="230"/>
      <c r="EN4" s="230"/>
      <c r="EO4" s="230"/>
      <c r="EP4" s="230"/>
      <c r="EQ4" s="230"/>
      <c r="ER4" s="230"/>
      <c r="ES4" s="230"/>
      <c r="ET4" s="230"/>
      <c r="EU4" s="230"/>
      <c r="EV4" s="230"/>
      <c r="EW4" s="230"/>
      <c r="EX4" s="230"/>
      <c r="EY4" s="230"/>
      <c r="EZ4" s="230"/>
      <c r="FA4" s="230"/>
      <c r="FB4" s="230"/>
      <c r="FC4" s="230"/>
      <c r="FD4" s="230"/>
      <c r="FE4" s="230"/>
      <c r="FF4" s="230"/>
      <c r="FG4" s="230"/>
      <c r="FH4" s="230"/>
      <c r="FI4" s="230"/>
      <c r="FJ4" s="230"/>
      <c r="FK4" s="230"/>
      <c r="FL4" s="230"/>
      <c r="FM4" s="230"/>
      <c r="FN4" s="230"/>
      <c r="FO4" s="230"/>
      <c r="FP4" s="230"/>
      <c r="FQ4" s="230"/>
      <c r="FR4" s="230"/>
      <c r="FS4" s="230"/>
      <c r="FT4" s="230"/>
      <c r="FU4" s="230"/>
      <c r="FV4" s="230"/>
      <c r="FW4" s="230"/>
      <c r="FX4" s="230"/>
      <c r="FY4" s="230"/>
      <c r="FZ4" s="230"/>
      <c r="GA4" s="230"/>
      <c r="GB4" s="230"/>
      <c r="GC4" s="230"/>
      <c r="GD4" s="230"/>
      <c r="GE4" s="230"/>
      <c r="GF4" s="230"/>
      <c r="GG4" s="230"/>
      <c r="GH4" s="230"/>
      <c r="GI4" s="230"/>
      <c r="GJ4" s="230"/>
      <c r="GK4" s="230"/>
      <c r="GL4" s="230"/>
      <c r="GM4" s="230"/>
      <c r="GN4" s="230"/>
      <c r="GO4" s="230"/>
      <c r="GP4" s="230"/>
      <c r="GQ4" s="230"/>
      <c r="GR4" s="230"/>
      <c r="GS4" s="230"/>
      <c r="GT4" s="230"/>
      <c r="GU4" s="230"/>
      <c r="GV4" s="230"/>
      <c r="GW4" s="230"/>
      <c r="GX4" s="230"/>
      <c r="GY4" s="230"/>
      <c r="GZ4" s="230"/>
      <c r="HA4" s="230"/>
      <c r="HB4" s="230"/>
      <c r="HC4" s="230"/>
      <c r="HD4" s="230"/>
      <c r="HE4" s="230"/>
      <c r="HF4" s="230"/>
      <c r="HG4" s="230"/>
      <c r="HH4" s="230"/>
      <c r="HI4" s="230"/>
      <c r="HJ4" s="230"/>
      <c r="HK4" s="230"/>
      <c r="HL4" s="230"/>
      <c r="HM4" s="230"/>
      <c r="HN4" s="230"/>
      <c r="HO4" s="230"/>
      <c r="HP4" s="230"/>
      <c r="HQ4" s="230"/>
      <c r="HR4" s="230"/>
      <c r="HS4" s="230"/>
      <c r="HT4" s="230"/>
      <c r="HU4" s="230"/>
      <c r="HV4" s="230"/>
      <c r="HW4" s="230"/>
      <c r="HX4" s="230"/>
      <c r="HY4" s="230"/>
      <c r="HZ4" s="230"/>
      <c r="IA4" s="230"/>
      <c r="IB4" s="230"/>
      <c r="IC4" s="230"/>
      <c r="ID4" s="230"/>
      <c r="IE4" s="230"/>
      <c r="IF4" s="230"/>
      <c r="IG4" s="230"/>
      <c r="IH4" s="230"/>
      <c r="II4" s="230"/>
      <c r="IJ4" s="230"/>
      <c r="IK4" s="230"/>
      <c r="IL4" s="230"/>
      <c r="IM4" s="230"/>
      <c r="IN4" s="230"/>
      <c r="IO4" s="230"/>
      <c r="IP4" s="230"/>
      <c r="IQ4" s="230"/>
      <c r="IR4" s="230"/>
    </row>
    <row r="5" ht="23.1" customHeight="1" spans="1:252">
      <c r="A5" s="80">
        <v>1600</v>
      </c>
      <c r="B5" s="80">
        <v>1</v>
      </c>
      <c r="C5" s="80"/>
      <c r="D5" s="80">
        <v>11001</v>
      </c>
      <c r="E5" s="80">
        <v>3</v>
      </c>
      <c r="F5" s="80"/>
      <c r="G5" s="80"/>
      <c r="H5" s="232">
        <v>0</v>
      </c>
      <c r="I5" s="232">
        <v>0</v>
      </c>
      <c r="J5" s="232">
        <v>1</v>
      </c>
      <c r="K5" s="80">
        <v>0</v>
      </c>
      <c r="L5" s="80" t="s">
        <v>664</v>
      </c>
      <c r="M5" s="230"/>
      <c r="N5" s="230"/>
      <c r="O5" s="230"/>
      <c r="P5" s="230"/>
      <c r="Q5" s="230"/>
      <c r="R5" s="230"/>
      <c r="S5" s="230"/>
      <c r="T5" s="230"/>
      <c r="U5" s="230"/>
      <c r="V5" s="230"/>
      <c r="W5" s="230"/>
      <c r="X5" s="230"/>
      <c r="Y5" s="230"/>
      <c r="Z5" s="230"/>
      <c r="AA5" s="230"/>
      <c r="AB5" s="230"/>
      <c r="AC5" s="230"/>
      <c r="AD5" s="230"/>
      <c r="AE5" s="230"/>
      <c r="AF5" s="230"/>
      <c r="AG5" s="230"/>
      <c r="AH5" s="230"/>
      <c r="AI5" s="230"/>
      <c r="AJ5" s="230"/>
      <c r="AK5" s="230"/>
      <c r="AL5" s="230"/>
      <c r="AM5" s="230"/>
      <c r="AN5" s="230"/>
      <c r="AO5" s="230"/>
      <c r="AP5" s="230"/>
      <c r="AQ5" s="230"/>
      <c r="AR5" s="230"/>
      <c r="AS5" s="230"/>
      <c r="AT5" s="230"/>
      <c r="AU5" s="230"/>
      <c r="AV5" s="230"/>
      <c r="AW5" s="230"/>
      <c r="AX5" s="230"/>
      <c r="AY5" s="230"/>
      <c r="AZ5" s="230"/>
      <c r="BA5" s="230"/>
      <c r="BB5" s="230"/>
      <c r="BC5" s="230"/>
      <c r="BD5" s="230"/>
      <c r="BE5" s="230"/>
      <c r="BF5" s="230"/>
      <c r="BG5" s="230"/>
      <c r="BH5" s="230"/>
      <c r="BI5" s="230"/>
      <c r="BJ5" s="230"/>
      <c r="BK5" s="230"/>
      <c r="BL5" s="230"/>
      <c r="BM5" s="230"/>
      <c r="BN5" s="230"/>
      <c r="BO5" s="230"/>
      <c r="BP5" s="230"/>
      <c r="BQ5" s="230"/>
      <c r="BR5" s="230"/>
      <c r="BS5" s="230"/>
      <c r="BT5" s="230"/>
      <c r="BU5" s="230"/>
      <c r="BV5" s="230"/>
      <c r="BW5" s="230"/>
      <c r="BX5" s="230"/>
      <c r="BY5" s="230"/>
      <c r="BZ5" s="230"/>
      <c r="CA5" s="230"/>
      <c r="CB5" s="230"/>
      <c r="CC5" s="230"/>
      <c r="CD5" s="230"/>
      <c r="CE5" s="230"/>
      <c r="CF5" s="230"/>
      <c r="CG5" s="230"/>
      <c r="CH5" s="230"/>
      <c r="CI5" s="230"/>
      <c r="CJ5" s="230"/>
      <c r="CK5" s="230"/>
      <c r="CL5" s="230"/>
      <c r="CM5" s="230"/>
      <c r="CN5" s="230"/>
      <c r="CO5" s="230"/>
      <c r="CP5" s="230"/>
      <c r="CQ5" s="230"/>
      <c r="CR5" s="230"/>
      <c r="CS5" s="230"/>
      <c r="CT5" s="230"/>
      <c r="CU5" s="230"/>
      <c r="CV5" s="230"/>
      <c r="CW5" s="230"/>
      <c r="CX5" s="230"/>
      <c r="CY5" s="230"/>
      <c r="CZ5" s="230"/>
      <c r="DA5" s="230"/>
      <c r="DB5" s="230"/>
      <c r="DC5" s="230"/>
      <c r="DD5" s="230"/>
      <c r="DE5" s="230"/>
      <c r="DF5" s="230"/>
      <c r="DG5" s="230"/>
      <c r="DH5" s="230"/>
      <c r="DI5" s="230"/>
      <c r="DJ5" s="230"/>
      <c r="DK5" s="230"/>
      <c r="DL5" s="230"/>
      <c r="DM5" s="230"/>
      <c r="DN5" s="230"/>
      <c r="DO5" s="230"/>
      <c r="DP5" s="230"/>
      <c r="DQ5" s="230"/>
      <c r="DR5" s="230"/>
      <c r="DS5" s="230"/>
      <c r="DT5" s="230"/>
      <c r="DU5" s="230"/>
      <c r="DV5" s="230"/>
      <c r="DW5" s="230"/>
      <c r="DX5" s="230"/>
      <c r="DY5" s="230"/>
      <c r="DZ5" s="230"/>
      <c r="EA5" s="230"/>
      <c r="EB5" s="230"/>
      <c r="EC5" s="230"/>
      <c r="ED5" s="230"/>
      <c r="EE5" s="230"/>
      <c r="EF5" s="230"/>
      <c r="EG5" s="230"/>
      <c r="EH5" s="230"/>
      <c r="EI5" s="230"/>
      <c r="EJ5" s="230"/>
      <c r="EK5" s="230"/>
      <c r="EL5" s="230"/>
      <c r="EM5" s="230"/>
      <c r="EN5" s="230"/>
      <c r="EO5" s="230"/>
      <c r="EP5" s="230"/>
      <c r="EQ5" s="230"/>
      <c r="ER5" s="230"/>
      <c r="ES5" s="230"/>
      <c r="ET5" s="230"/>
      <c r="EU5" s="230"/>
      <c r="EV5" s="230"/>
      <c r="EW5" s="230"/>
      <c r="EX5" s="230"/>
      <c r="EY5" s="230"/>
      <c r="EZ5" s="230"/>
      <c r="FA5" s="230"/>
      <c r="FB5" s="230"/>
      <c r="FC5" s="230"/>
      <c r="FD5" s="230"/>
      <c r="FE5" s="230"/>
      <c r="FF5" s="230"/>
      <c r="FG5" s="230"/>
      <c r="FH5" s="230"/>
      <c r="FI5" s="230"/>
      <c r="FJ5" s="230"/>
      <c r="FK5" s="230"/>
      <c r="FL5" s="230"/>
      <c r="FM5" s="230"/>
      <c r="FN5" s="230"/>
      <c r="FO5" s="230"/>
      <c r="FP5" s="230"/>
      <c r="FQ5" s="230"/>
      <c r="FR5" s="230"/>
      <c r="FS5" s="230"/>
      <c r="FT5" s="230"/>
      <c r="FU5" s="230"/>
      <c r="FV5" s="230"/>
      <c r="FW5" s="230"/>
      <c r="FX5" s="230"/>
      <c r="FY5" s="230"/>
      <c r="FZ5" s="230"/>
      <c r="GA5" s="230"/>
      <c r="GB5" s="230"/>
      <c r="GC5" s="230"/>
      <c r="GD5" s="230"/>
      <c r="GE5" s="230"/>
      <c r="GF5" s="230"/>
      <c r="GG5" s="230"/>
      <c r="GH5" s="230"/>
      <c r="GI5" s="230"/>
      <c r="GJ5" s="230"/>
      <c r="GK5" s="230"/>
      <c r="GL5" s="230"/>
      <c r="GM5" s="230"/>
      <c r="GN5" s="230"/>
      <c r="GO5" s="230"/>
      <c r="GP5" s="230"/>
      <c r="GQ5" s="230"/>
      <c r="GR5" s="230"/>
      <c r="GS5" s="230"/>
      <c r="GT5" s="230"/>
      <c r="GU5" s="230"/>
      <c r="GV5" s="230"/>
      <c r="GW5" s="230"/>
      <c r="GX5" s="230"/>
      <c r="GY5" s="230"/>
      <c r="GZ5" s="230"/>
      <c r="HA5" s="230"/>
      <c r="HB5" s="230"/>
      <c r="HC5" s="230"/>
      <c r="HD5" s="230"/>
      <c r="HE5" s="230"/>
      <c r="HF5" s="230"/>
      <c r="HG5" s="230"/>
      <c r="HH5" s="230"/>
      <c r="HI5" s="230"/>
      <c r="HJ5" s="230"/>
      <c r="HK5" s="230"/>
      <c r="HL5" s="230"/>
      <c r="HM5" s="230"/>
      <c r="HN5" s="230"/>
      <c r="HO5" s="230"/>
      <c r="HP5" s="230"/>
      <c r="HQ5" s="230"/>
      <c r="HR5" s="230"/>
      <c r="HS5" s="230"/>
      <c r="HT5" s="230"/>
      <c r="HU5" s="230"/>
      <c r="HV5" s="230"/>
      <c r="HW5" s="230"/>
      <c r="HX5" s="230"/>
      <c r="HY5" s="230"/>
      <c r="HZ5" s="230"/>
      <c r="IA5" s="230"/>
      <c r="IB5" s="230"/>
      <c r="IC5" s="230"/>
      <c r="ID5" s="230"/>
      <c r="IE5" s="230"/>
      <c r="IF5" s="230"/>
      <c r="IG5" s="230"/>
      <c r="IH5" s="230"/>
      <c r="II5" s="230"/>
      <c r="IJ5" s="230"/>
      <c r="IK5" s="230"/>
      <c r="IL5" s="230"/>
      <c r="IM5" s="230"/>
      <c r="IN5" s="230"/>
      <c r="IO5" s="230"/>
      <c r="IP5" s="230"/>
      <c r="IQ5" s="230"/>
      <c r="IR5" s="230"/>
    </row>
    <row r="6" ht="23.1" customHeight="1" spans="1:252">
      <c r="A6" s="80">
        <v>1700</v>
      </c>
      <c r="B6" s="80">
        <v>6</v>
      </c>
      <c r="C6" s="80"/>
      <c r="D6" s="80"/>
      <c r="E6" s="80">
        <v>1</v>
      </c>
      <c r="F6" s="80"/>
      <c r="G6" s="80"/>
      <c r="H6" s="232">
        <v>0</v>
      </c>
      <c r="I6" s="232">
        <v>20</v>
      </c>
      <c r="J6" s="232">
        <v>0</v>
      </c>
      <c r="K6" s="80">
        <v>0</v>
      </c>
      <c r="L6" s="80" t="s">
        <v>665</v>
      </c>
      <c r="M6" s="230"/>
      <c r="N6" s="230"/>
      <c r="O6" s="230"/>
      <c r="P6" s="230"/>
      <c r="Q6" s="230"/>
      <c r="R6" s="230"/>
      <c r="S6" s="230"/>
      <c r="T6" s="230"/>
      <c r="U6" s="230"/>
      <c r="V6" s="230"/>
      <c r="W6" s="230"/>
      <c r="X6" s="230"/>
      <c r="Y6" s="230"/>
      <c r="Z6" s="230"/>
      <c r="AA6" s="230"/>
      <c r="AB6" s="230"/>
      <c r="AC6" s="230"/>
      <c r="AD6" s="230"/>
      <c r="AE6" s="230"/>
      <c r="AF6" s="230"/>
      <c r="AG6" s="230"/>
      <c r="AH6" s="230"/>
      <c r="AI6" s="230"/>
      <c r="AJ6" s="230"/>
      <c r="AK6" s="230"/>
      <c r="AL6" s="230"/>
      <c r="AM6" s="230"/>
      <c r="AN6" s="230"/>
      <c r="AO6" s="230"/>
      <c r="AP6" s="230"/>
      <c r="AQ6" s="230"/>
      <c r="AR6" s="230"/>
      <c r="AS6" s="230"/>
      <c r="AT6" s="230"/>
      <c r="AU6" s="230"/>
      <c r="AV6" s="230"/>
      <c r="AW6" s="230"/>
      <c r="AX6" s="230"/>
      <c r="AY6" s="230"/>
      <c r="AZ6" s="230"/>
      <c r="BA6" s="230"/>
      <c r="BB6" s="230"/>
      <c r="BC6" s="230"/>
      <c r="BD6" s="230"/>
      <c r="BE6" s="230"/>
      <c r="BF6" s="230"/>
      <c r="BG6" s="230"/>
      <c r="BH6" s="230"/>
      <c r="BI6" s="230"/>
      <c r="BJ6" s="230"/>
      <c r="BK6" s="230"/>
      <c r="BL6" s="230"/>
      <c r="BM6" s="230"/>
      <c r="BN6" s="230"/>
      <c r="BO6" s="230"/>
      <c r="BP6" s="230"/>
      <c r="BQ6" s="230"/>
      <c r="BR6" s="230"/>
      <c r="BS6" s="230"/>
      <c r="BT6" s="230"/>
      <c r="BU6" s="230"/>
      <c r="BV6" s="230"/>
      <c r="BW6" s="230"/>
      <c r="BX6" s="230"/>
      <c r="BY6" s="230"/>
      <c r="BZ6" s="230"/>
      <c r="CA6" s="230"/>
      <c r="CB6" s="230"/>
      <c r="CC6" s="230"/>
      <c r="CD6" s="230"/>
      <c r="CE6" s="230"/>
      <c r="CF6" s="230"/>
      <c r="CG6" s="230"/>
      <c r="CH6" s="230"/>
      <c r="CI6" s="230"/>
      <c r="CJ6" s="230"/>
      <c r="CK6" s="230"/>
      <c r="CL6" s="230"/>
      <c r="CM6" s="230"/>
      <c r="CN6" s="230"/>
      <c r="CO6" s="230"/>
      <c r="CP6" s="230"/>
      <c r="CQ6" s="230"/>
      <c r="CR6" s="230"/>
      <c r="CS6" s="230"/>
      <c r="CT6" s="230"/>
      <c r="CU6" s="230"/>
      <c r="CV6" s="230"/>
      <c r="CW6" s="230"/>
      <c r="CX6" s="230"/>
      <c r="CY6" s="230"/>
      <c r="CZ6" s="230"/>
      <c r="DA6" s="230"/>
      <c r="DB6" s="230"/>
      <c r="DC6" s="230"/>
      <c r="DD6" s="230"/>
      <c r="DE6" s="230"/>
      <c r="DF6" s="230"/>
      <c r="DG6" s="230"/>
      <c r="DH6" s="230"/>
      <c r="DI6" s="230"/>
      <c r="DJ6" s="230"/>
      <c r="DK6" s="230"/>
      <c r="DL6" s="230"/>
      <c r="DM6" s="230"/>
      <c r="DN6" s="230"/>
      <c r="DO6" s="230"/>
      <c r="DP6" s="230"/>
      <c r="DQ6" s="230"/>
      <c r="DR6" s="230"/>
      <c r="DS6" s="230"/>
      <c r="DT6" s="230"/>
      <c r="DU6" s="230"/>
      <c r="DV6" s="230"/>
      <c r="DW6" s="230"/>
      <c r="DX6" s="230"/>
      <c r="DY6" s="230"/>
      <c r="DZ6" s="230"/>
      <c r="EA6" s="230"/>
      <c r="EB6" s="230"/>
      <c r="EC6" s="230"/>
      <c r="ED6" s="230"/>
      <c r="EE6" s="230"/>
      <c r="EF6" s="230"/>
      <c r="EG6" s="230"/>
      <c r="EH6" s="230"/>
      <c r="EI6" s="230"/>
      <c r="EJ6" s="230"/>
      <c r="EK6" s="230"/>
      <c r="EL6" s="230"/>
      <c r="EM6" s="230"/>
      <c r="EN6" s="230"/>
      <c r="EO6" s="230"/>
      <c r="EP6" s="230"/>
      <c r="EQ6" s="230"/>
      <c r="ER6" s="230"/>
      <c r="ES6" s="230"/>
      <c r="ET6" s="230"/>
      <c r="EU6" s="230"/>
      <c r="EV6" s="230"/>
      <c r="EW6" s="230"/>
      <c r="EX6" s="230"/>
      <c r="EY6" s="230"/>
      <c r="EZ6" s="230"/>
      <c r="FA6" s="230"/>
      <c r="FB6" s="230"/>
      <c r="FC6" s="230"/>
      <c r="FD6" s="230"/>
      <c r="FE6" s="230"/>
      <c r="FF6" s="230"/>
      <c r="FG6" s="230"/>
      <c r="FH6" s="230"/>
      <c r="FI6" s="230"/>
      <c r="FJ6" s="230"/>
      <c r="FK6" s="230"/>
      <c r="FL6" s="230"/>
      <c r="FM6" s="230"/>
      <c r="FN6" s="230"/>
      <c r="FO6" s="230"/>
      <c r="FP6" s="230"/>
      <c r="FQ6" s="230"/>
      <c r="FR6" s="230"/>
      <c r="FS6" s="230"/>
      <c r="FT6" s="230"/>
      <c r="FU6" s="230"/>
      <c r="FV6" s="230"/>
      <c r="FW6" s="230"/>
      <c r="FX6" s="230"/>
      <c r="FY6" s="230"/>
      <c r="FZ6" s="230"/>
      <c r="GA6" s="230"/>
      <c r="GB6" s="230"/>
      <c r="GC6" s="230"/>
      <c r="GD6" s="230"/>
      <c r="GE6" s="230"/>
      <c r="GF6" s="230"/>
      <c r="GG6" s="230"/>
      <c r="GH6" s="230"/>
      <c r="GI6" s="230"/>
      <c r="GJ6" s="230"/>
      <c r="GK6" s="230"/>
      <c r="GL6" s="230"/>
      <c r="GM6" s="230"/>
      <c r="GN6" s="230"/>
      <c r="GO6" s="230"/>
      <c r="GP6" s="230"/>
      <c r="GQ6" s="230"/>
      <c r="GR6" s="230"/>
      <c r="GS6" s="230"/>
      <c r="GT6" s="230"/>
      <c r="GU6" s="230"/>
      <c r="GV6" s="230"/>
      <c r="GW6" s="230"/>
      <c r="GX6" s="230"/>
      <c r="GY6" s="230"/>
      <c r="GZ6" s="230"/>
      <c r="HA6" s="230"/>
      <c r="HB6" s="230"/>
      <c r="HC6" s="230"/>
      <c r="HD6" s="230"/>
      <c r="HE6" s="230"/>
      <c r="HF6" s="230"/>
      <c r="HG6" s="230"/>
      <c r="HH6" s="230"/>
      <c r="HI6" s="230"/>
      <c r="HJ6" s="230"/>
      <c r="HK6" s="230"/>
      <c r="HL6" s="230"/>
      <c r="HM6" s="230"/>
      <c r="HN6" s="230"/>
      <c r="HO6" s="230"/>
      <c r="HP6" s="230"/>
      <c r="HQ6" s="230"/>
      <c r="HR6" s="230"/>
      <c r="HS6" s="230"/>
      <c r="HT6" s="230"/>
      <c r="HU6" s="230"/>
      <c r="HV6" s="230"/>
      <c r="HW6" s="230"/>
      <c r="HX6" s="230"/>
      <c r="HY6" s="230"/>
      <c r="HZ6" s="230"/>
      <c r="IA6" s="230"/>
      <c r="IB6" s="230"/>
      <c r="IC6" s="230"/>
      <c r="ID6" s="230"/>
      <c r="IE6" s="230"/>
      <c r="IF6" s="230"/>
      <c r="IG6" s="230"/>
      <c r="IH6" s="230"/>
      <c r="II6" s="230"/>
      <c r="IJ6" s="230"/>
      <c r="IK6" s="230"/>
      <c r="IL6" s="230"/>
      <c r="IM6" s="230"/>
      <c r="IN6" s="230"/>
      <c r="IO6" s="230"/>
      <c r="IP6" s="230"/>
      <c r="IQ6" s="230"/>
      <c r="IR6" s="230"/>
    </row>
    <row r="7" ht="23.1" customHeight="1" spans="1:252">
      <c r="A7" s="80">
        <v>1800</v>
      </c>
      <c r="B7" s="80">
        <v>4</v>
      </c>
      <c r="C7" s="80"/>
      <c r="D7" s="80"/>
      <c r="E7" s="80">
        <v>50</v>
      </c>
      <c r="F7" s="80"/>
      <c r="G7" s="80"/>
      <c r="H7" s="232">
        <v>0</v>
      </c>
      <c r="I7" s="232">
        <v>0</v>
      </c>
      <c r="J7" s="232">
        <v>0</v>
      </c>
      <c r="K7" s="80">
        <v>31003</v>
      </c>
      <c r="L7" s="80" t="s">
        <v>666</v>
      </c>
      <c r="M7" s="230"/>
      <c r="N7" s="230"/>
      <c r="O7" s="230"/>
      <c r="P7" s="230"/>
      <c r="Q7" s="230"/>
      <c r="R7" s="230"/>
      <c r="S7" s="230"/>
      <c r="T7" s="230"/>
      <c r="U7" s="230"/>
      <c r="V7" s="230"/>
      <c r="W7" s="230"/>
      <c r="X7" s="230"/>
      <c r="Y7" s="230"/>
      <c r="Z7" s="230"/>
      <c r="AA7" s="230"/>
      <c r="AB7" s="230"/>
      <c r="AC7" s="230"/>
      <c r="AD7" s="230"/>
      <c r="AE7" s="230"/>
      <c r="AF7" s="230"/>
      <c r="AG7" s="230"/>
      <c r="AH7" s="230"/>
      <c r="AI7" s="230"/>
      <c r="AJ7" s="230"/>
      <c r="AK7" s="230"/>
      <c r="AL7" s="230"/>
      <c r="AM7" s="230"/>
      <c r="AN7" s="230"/>
      <c r="AO7" s="230"/>
      <c r="AP7" s="230"/>
      <c r="AQ7" s="230"/>
      <c r="AR7" s="230"/>
      <c r="AS7" s="230"/>
      <c r="AT7" s="230"/>
      <c r="AU7" s="230"/>
      <c r="AV7" s="230"/>
      <c r="AW7" s="230"/>
      <c r="AX7" s="230"/>
      <c r="AY7" s="230"/>
      <c r="AZ7" s="230"/>
      <c r="BA7" s="230"/>
      <c r="BB7" s="230"/>
      <c r="BC7" s="230"/>
      <c r="BD7" s="230"/>
      <c r="BE7" s="230"/>
      <c r="BF7" s="230"/>
      <c r="BG7" s="230"/>
      <c r="BH7" s="230"/>
      <c r="BI7" s="230"/>
      <c r="BJ7" s="230"/>
      <c r="BK7" s="230"/>
      <c r="BL7" s="230"/>
      <c r="BM7" s="230"/>
      <c r="BN7" s="230"/>
      <c r="BO7" s="230"/>
      <c r="BP7" s="230"/>
      <c r="BQ7" s="230"/>
      <c r="BR7" s="230"/>
      <c r="BS7" s="230"/>
      <c r="BT7" s="230"/>
      <c r="BU7" s="230"/>
      <c r="BV7" s="230"/>
      <c r="BW7" s="230"/>
      <c r="BX7" s="230"/>
      <c r="BY7" s="230"/>
      <c r="BZ7" s="230"/>
      <c r="CA7" s="230"/>
      <c r="CB7" s="230"/>
      <c r="CC7" s="230"/>
      <c r="CD7" s="230"/>
      <c r="CE7" s="230"/>
      <c r="CF7" s="230"/>
      <c r="CG7" s="230"/>
      <c r="CH7" s="230"/>
      <c r="CI7" s="230"/>
      <c r="CJ7" s="230"/>
      <c r="CK7" s="230"/>
      <c r="CL7" s="230"/>
      <c r="CM7" s="230"/>
      <c r="CN7" s="230"/>
      <c r="CO7" s="230"/>
      <c r="CP7" s="230"/>
      <c r="CQ7" s="230"/>
      <c r="CR7" s="230"/>
      <c r="CS7" s="230"/>
      <c r="CT7" s="230"/>
      <c r="CU7" s="230"/>
      <c r="CV7" s="230"/>
      <c r="CW7" s="230"/>
      <c r="CX7" s="230"/>
      <c r="CY7" s="230"/>
      <c r="CZ7" s="230"/>
      <c r="DA7" s="230"/>
      <c r="DB7" s="230"/>
      <c r="DC7" s="230"/>
      <c r="DD7" s="230"/>
      <c r="DE7" s="230"/>
      <c r="DF7" s="230"/>
      <c r="DG7" s="230"/>
      <c r="DH7" s="230"/>
      <c r="DI7" s="230"/>
      <c r="DJ7" s="230"/>
      <c r="DK7" s="230"/>
      <c r="DL7" s="230"/>
      <c r="DM7" s="230"/>
      <c r="DN7" s="230"/>
      <c r="DO7" s="230"/>
      <c r="DP7" s="230"/>
      <c r="DQ7" s="230"/>
      <c r="DR7" s="230"/>
      <c r="DS7" s="230"/>
      <c r="DT7" s="230"/>
      <c r="DU7" s="230"/>
      <c r="DV7" s="230"/>
      <c r="DW7" s="230"/>
      <c r="DX7" s="230"/>
      <c r="DY7" s="230"/>
      <c r="DZ7" s="230"/>
      <c r="EA7" s="230"/>
      <c r="EB7" s="230"/>
      <c r="EC7" s="230"/>
      <c r="ED7" s="230"/>
      <c r="EE7" s="230"/>
      <c r="EF7" s="230"/>
      <c r="EG7" s="230"/>
      <c r="EH7" s="230"/>
      <c r="EI7" s="230"/>
      <c r="EJ7" s="230"/>
      <c r="EK7" s="230"/>
      <c r="EL7" s="230"/>
      <c r="EM7" s="230"/>
      <c r="EN7" s="230"/>
      <c r="EO7" s="230"/>
      <c r="EP7" s="230"/>
      <c r="EQ7" s="230"/>
      <c r="ER7" s="230"/>
      <c r="ES7" s="230"/>
      <c r="ET7" s="230"/>
      <c r="EU7" s="230"/>
      <c r="EV7" s="230"/>
      <c r="EW7" s="230"/>
      <c r="EX7" s="230"/>
      <c r="EY7" s="230"/>
      <c r="EZ7" s="230"/>
      <c r="FA7" s="230"/>
      <c r="FB7" s="230"/>
      <c r="FC7" s="230"/>
      <c r="FD7" s="230"/>
      <c r="FE7" s="230"/>
      <c r="FF7" s="230"/>
      <c r="FG7" s="230"/>
      <c r="FH7" s="230"/>
      <c r="FI7" s="230"/>
      <c r="FJ7" s="230"/>
      <c r="FK7" s="230"/>
      <c r="FL7" s="230"/>
      <c r="FM7" s="230"/>
      <c r="FN7" s="230"/>
      <c r="FO7" s="230"/>
      <c r="FP7" s="230"/>
      <c r="FQ7" s="230"/>
      <c r="FR7" s="230"/>
      <c r="FS7" s="230"/>
      <c r="FT7" s="230"/>
      <c r="FU7" s="230"/>
      <c r="FV7" s="230"/>
      <c r="FW7" s="230"/>
      <c r="FX7" s="230"/>
      <c r="FY7" s="230"/>
      <c r="FZ7" s="230"/>
      <c r="GA7" s="230"/>
      <c r="GB7" s="230"/>
      <c r="GC7" s="230"/>
      <c r="GD7" s="230"/>
      <c r="GE7" s="230"/>
      <c r="GF7" s="230"/>
      <c r="GG7" s="230"/>
      <c r="GH7" s="230"/>
      <c r="GI7" s="230"/>
      <c r="GJ7" s="230"/>
      <c r="GK7" s="230"/>
      <c r="GL7" s="230"/>
      <c r="GM7" s="230"/>
      <c r="GN7" s="230"/>
      <c r="GO7" s="230"/>
      <c r="GP7" s="230"/>
      <c r="GQ7" s="230"/>
      <c r="GR7" s="230"/>
      <c r="GS7" s="230"/>
      <c r="GT7" s="230"/>
      <c r="GU7" s="230"/>
      <c r="GV7" s="230"/>
      <c r="GW7" s="230"/>
      <c r="GX7" s="230"/>
      <c r="GY7" s="230"/>
      <c r="GZ7" s="230"/>
      <c r="HA7" s="230"/>
      <c r="HB7" s="230"/>
      <c r="HC7" s="230"/>
      <c r="HD7" s="230"/>
      <c r="HE7" s="230"/>
      <c r="HF7" s="230"/>
      <c r="HG7" s="230"/>
      <c r="HH7" s="230"/>
      <c r="HI7" s="230"/>
      <c r="HJ7" s="230"/>
      <c r="HK7" s="230"/>
      <c r="HL7" s="230"/>
      <c r="HM7" s="230"/>
      <c r="HN7" s="230"/>
      <c r="HO7" s="230"/>
      <c r="HP7" s="230"/>
      <c r="HQ7" s="230"/>
      <c r="HR7" s="230"/>
      <c r="HS7" s="230"/>
      <c r="HT7" s="230"/>
      <c r="HU7" s="230"/>
      <c r="HV7" s="230"/>
      <c r="HW7" s="230"/>
      <c r="HX7" s="230"/>
      <c r="HY7" s="230"/>
      <c r="HZ7" s="230"/>
      <c r="IA7" s="230"/>
      <c r="IB7" s="230"/>
      <c r="IC7" s="230"/>
      <c r="ID7" s="230"/>
      <c r="IE7" s="230"/>
      <c r="IF7" s="230"/>
      <c r="IG7" s="230"/>
      <c r="IH7" s="230"/>
      <c r="II7" s="230"/>
      <c r="IJ7" s="230"/>
      <c r="IK7" s="230"/>
      <c r="IL7" s="230"/>
      <c r="IM7" s="230"/>
      <c r="IN7" s="230"/>
      <c r="IO7" s="230"/>
      <c r="IP7" s="230"/>
      <c r="IQ7" s="230"/>
      <c r="IR7" s="230"/>
    </row>
    <row r="8" ht="23.1" customHeight="1" spans="1:252">
      <c r="A8" s="80">
        <v>2200</v>
      </c>
      <c r="B8" s="80">
        <v>4</v>
      </c>
      <c r="C8" s="80"/>
      <c r="D8" s="80"/>
      <c r="E8" s="80">
        <v>10</v>
      </c>
      <c r="F8" s="80"/>
      <c r="G8" s="80"/>
      <c r="H8" s="232">
        <v>0</v>
      </c>
      <c r="I8" s="232">
        <v>0</v>
      </c>
      <c r="J8" s="232">
        <v>1</v>
      </c>
      <c r="K8" s="80">
        <v>0</v>
      </c>
      <c r="L8" s="80" t="s">
        <v>667</v>
      </c>
      <c r="M8" s="230"/>
      <c r="N8" s="230"/>
      <c r="O8" s="230"/>
      <c r="P8" s="230"/>
      <c r="Q8" s="230"/>
      <c r="R8" s="230"/>
      <c r="S8" s="230"/>
      <c r="T8" s="230"/>
      <c r="U8" s="230"/>
      <c r="V8" s="230"/>
      <c r="W8" s="230"/>
      <c r="X8" s="230"/>
      <c r="Y8" s="230"/>
      <c r="Z8" s="230"/>
      <c r="AA8" s="230"/>
      <c r="AB8" s="230"/>
      <c r="AC8" s="230"/>
      <c r="AD8" s="230"/>
      <c r="AE8" s="230"/>
      <c r="AF8" s="230"/>
      <c r="AG8" s="230"/>
      <c r="AH8" s="230"/>
      <c r="AI8" s="230"/>
      <c r="AJ8" s="230"/>
      <c r="AK8" s="230"/>
      <c r="AL8" s="230"/>
      <c r="AM8" s="230"/>
      <c r="AN8" s="230"/>
      <c r="AO8" s="230"/>
      <c r="AP8" s="230"/>
      <c r="AQ8" s="230"/>
      <c r="AR8" s="230"/>
      <c r="AS8" s="230"/>
      <c r="AT8" s="230"/>
      <c r="AU8" s="230"/>
      <c r="AV8" s="230"/>
      <c r="AW8" s="230"/>
      <c r="AX8" s="230"/>
      <c r="AY8" s="230"/>
      <c r="AZ8" s="230"/>
      <c r="BA8" s="230"/>
      <c r="BB8" s="230"/>
      <c r="BC8" s="230"/>
      <c r="BD8" s="230"/>
      <c r="BE8" s="230"/>
      <c r="BF8" s="230"/>
      <c r="BG8" s="230"/>
      <c r="BH8" s="230"/>
      <c r="BI8" s="230"/>
      <c r="BJ8" s="230"/>
      <c r="BK8" s="230"/>
      <c r="BL8" s="230"/>
      <c r="BM8" s="230"/>
      <c r="BN8" s="230"/>
      <c r="BO8" s="230"/>
      <c r="BP8" s="230"/>
      <c r="BQ8" s="230"/>
      <c r="BR8" s="230"/>
      <c r="BS8" s="230"/>
      <c r="BT8" s="230"/>
      <c r="BU8" s="230"/>
      <c r="BV8" s="230"/>
      <c r="BW8" s="230"/>
      <c r="BX8" s="230"/>
      <c r="BY8" s="230"/>
      <c r="BZ8" s="230"/>
      <c r="CA8" s="230"/>
      <c r="CB8" s="230"/>
      <c r="CC8" s="230"/>
      <c r="CD8" s="230"/>
      <c r="CE8" s="230"/>
      <c r="CF8" s="230"/>
      <c r="CG8" s="230"/>
      <c r="CH8" s="230"/>
      <c r="CI8" s="230"/>
      <c r="CJ8" s="230"/>
      <c r="CK8" s="230"/>
      <c r="CL8" s="230"/>
      <c r="CM8" s="230"/>
      <c r="CN8" s="230"/>
      <c r="CO8" s="230"/>
      <c r="CP8" s="230"/>
      <c r="CQ8" s="230"/>
      <c r="CR8" s="230"/>
      <c r="CS8" s="230"/>
      <c r="CT8" s="230"/>
      <c r="CU8" s="230"/>
      <c r="CV8" s="230"/>
      <c r="CW8" s="230"/>
      <c r="CX8" s="230"/>
      <c r="CY8" s="230"/>
      <c r="CZ8" s="230"/>
      <c r="DA8" s="230"/>
      <c r="DB8" s="230"/>
      <c r="DC8" s="230"/>
      <c r="DD8" s="230"/>
      <c r="DE8" s="230"/>
      <c r="DF8" s="230"/>
      <c r="DG8" s="230"/>
      <c r="DH8" s="230"/>
      <c r="DI8" s="230"/>
      <c r="DJ8" s="230"/>
      <c r="DK8" s="230"/>
      <c r="DL8" s="230"/>
      <c r="DM8" s="230"/>
      <c r="DN8" s="230"/>
      <c r="DO8" s="230"/>
      <c r="DP8" s="230"/>
      <c r="DQ8" s="230"/>
      <c r="DR8" s="230"/>
      <c r="DS8" s="230"/>
      <c r="DT8" s="230"/>
      <c r="DU8" s="230"/>
      <c r="DV8" s="230"/>
      <c r="DW8" s="230"/>
      <c r="DX8" s="230"/>
      <c r="DY8" s="230"/>
      <c r="DZ8" s="230"/>
      <c r="EA8" s="230"/>
      <c r="EB8" s="230"/>
      <c r="EC8" s="230"/>
      <c r="ED8" s="230"/>
      <c r="EE8" s="230"/>
      <c r="EF8" s="230"/>
      <c r="EG8" s="230"/>
      <c r="EH8" s="230"/>
      <c r="EI8" s="230"/>
      <c r="EJ8" s="230"/>
      <c r="EK8" s="230"/>
      <c r="EL8" s="230"/>
      <c r="EM8" s="230"/>
      <c r="EN8" s="230"/>
      <c r="EO8" s="230"/>
      <c r="EP8" s="230"/>
      <c r="EQ8" s="230"/>
      <c r="ER8" s="230"/>
      <c r="ES8" s="230"/>
      <c r="ET8" s="230"/>
      <c r="EU8" s="230"/>
      <c r="EV8" s="230"/>
      <c r="EW8" s="230"/>
      <c r="EX8" s="230"/>
      <c r="EY8" s="230"/>
      <c r="EZ8" s="230"/>
      <c r="FA8" s="230"/>
      <c r="FB8" s="230"/>
      <c r="FC8" s="230"/>
      <c r="FD8" s="230"/>
      <c r="FE8" s="230"/>
      <c r="FF8" s="230"/>
      <c r="FG8" s="230"/>
      <c r="FH8" s="230"/>
      <c r="FI8" s="230"/>
      <c r="FJ8" s="230"/>
      <c r="FK8" s="230"/>
      <c r="FL8" s="230"/>
      <c r="FM8" s="230"/>
      <c r="FN8" s="230"/>
      <c r="FO8" s="230"/>
      <c r="FP8" s="230"/>
      <c r="FQ8" s="230"/>
      <c r="FR8" s="230"/>
      <c r="FS8" s="230"/>
      <c r="FT8" s="230"/>
      <c r="FU8" s="230"/>
      <c r="FV8" s="230"/>
      <c r="FW8" s="230"/>
      <c r="FX8" s="230"/>
      <c r="FY8" s="230"/>
      <c r="FZ8" s="230"/>
      <c r="GA8" s="230"/>
      <c r="GB8" s="230"/>
      <c r="GC8" s="230"/>
      <c r="GD8" s="230"/>
      <c r="GE8" s="230"/>
      <c r="GF8" s="230"/>
      <c r="GG8" s="230"/>
      <c r="GH8" s="230"/>
      <c r="GI8" s="230"/>
      <c r="GJ8" s="230"/>
      <c r="GK8" s="230"/>
      <c r="GL8" s="230"/>
      <c r="GM8" s="230"/>
      <c r="GN8" s="230"/>
      <c r="GO8" s="230"/>
      <c r="GP8" s="230"/>
      <c r="GQ8" s="230"/>
      <c r="GR8" s="230"/>
      <c r="GS8" s="230"/>
      <c r="GT8" s="230"/>
      <c r="GU8" s="230"/>
      <c r="GV8" s="230"/>
      <c r="GW8" s="230"/>
      <c r="GX8" s="230"/>
      <c r="GY8" s="230"/>
      <c r="GZ8" s="230"/>
      <c r="HA8" s="230"/>
      <c r="HB8" s="230"/>
      <c r="HC8" s="230"/>
      <c r="HD8" s="230"/>
      <c r="HE8" s="230"/>
      <c r="HF8" s="230"/>
      <c r="HG8" s="230"/>
      <c r="HH8" s="230"/>
      <c r="HI8" s="230"/>
      <c r="HJ8" s="230"/>
      <c r="HK8" s="230"/>
      <c r="HL8" s="230"/>
      <c r="HM8" s="230"/>
      <c r="HN8" s="230"/>
      <c r="HO8" s="230"/>
      <c r="HP8" s="230"/>
      <c r="HQ8" s="230"/>
      <c r="HR8" s="230"/>
      <c r="HS8" s="230"/>
      <c r="HT8" s="230"/>
      <c r="HU8" s="230"/>
      <c r="HV8" s="230"/>
      <c r="HW8" s="230"/>
      <c r="HX8" s="230"/>
      <c r="HY8" s="230"/>
      <c r="HZ8" s="230"/>
      <c r="IA8" s="230"/>
      <c r="IB8" s="230"/>
      <c r="IC8" s="230"/>
      <c r="ID8" s="230"/>
      <c r="IE8" s="230"/>
      <c r="IF8" s="230"/>
      <c r="IG8" s="230"/>
      <c r="IH8" s="230"/>
      <c r="II8" s="230"/>
      <c r="IJ8" s="230"/>
      <c r="IK8" s="230"/>
      <c r="IL8" s="230"/>
      <c r="IM8" s="230"/>
      <c r="IN8" s="230"/>
      <c r="IO8" s="230"/>
      <c r="IP8" s="230"/>
      <c r="IQ8" s="230"/>
      <c r="IR8" s="230"/>
    </row>
    <row r="9" ht="23.1" customHeight="1" spans="1:252">
      <c r="A9" s="80">
        <v>2300</v>
      </c>
      <c r="B9" s="80">
        <v>6</v>
      </c>
      <c r="C9" s="80"/>
      <c r="D9" s="80"/>
      <c r="E9" s="80">
        <v>1</v>
      </c>
      <c r="F9" s="80"/>
      <c r="G9" s="80"/>
      <c r="H9" s="232">
        <v>0</v>
      </c>
      <c r="I9" s="232">
        <v>20</v>
      </c>
      <c r="J9" s="232">
        <v>0</v>
      </c>
      <c r="K9" s="80">
        <v>31003</v>
      </c>
      <c r="L9" s="80" t="s">
        <v>668</v>
      </c>
      <c r="M9" s="230"/>
      <c r="N9" s="230"/>
      <c r="O9" s="230"/>
      <c r="P9" s="230"/>
      <c r="Q9" s="230"/>
      <c r="R9" s="230"/>
      <c r="S9" s="230"/>
      <c r="T9" s="230"/>
      <c r="U9" s="230"/>
      <c r="V9" s="230"/>
      <c r="W9" s="230"/>
      <c r="X9" s="230"/>
      <c r="Y9" s="230"/>
      <c r="Z9" s="230"/>
      <c r="AA9" s="230"/>
      <c r="AB9" s="230"/>
      <c r="AC9" s="230"/>
      <c r="AD9" s="230"/>
      <c r="AE9" s="230"/>
      <c r="AF9" s="230"/>
      <c r="AG9" s="230"/>
      <c r="AH9" s="230"/>
      <c r="AI9" s="230"/>
      <c r="AJ9" s="230"/>
      <c r="AK9" s="230"/>
      <c r="AL9" s="230"/>
      <c r="AM9" s="230"/>
      <c r="AN9" s="230"/>
      <c r="AO9" s="230"/>
      <c r="AP9" s="230"/>
      <c r="AQ9" s="230"/>
      <c r="AR9" s="230"/>
      <c r="AS9" s="230"/>
      <c r="AT9" s="230"/>
      <c r="AU9" s="230"/>
      <c r="AV9" s="230"/>
      <c r="AW9" s="230"/>
      <c r="AX9" s="230"/>
      <c r="AY9" s="230"/>
      <c r="AZ9" s="230"/>
      <c r="BA9" s="230"/>
      <c r="BB9" s="230"/>
      <c r="BC9" s="230"/>
      <c r="BD9" s="230"/>
      <c r="BE9" s="230"/>
      <c r="BF9" s="230"/>
      <c r="BG9" s="230"/>
      <c r="BH9" s="230"/>
      <c r="BI9" s="230"/>
      <c r="BJ9" s="230"/>
      <c r="BK9" s="230"/>
      <c r="BL9" s="230"/>
      <c r="BM9" s="230"/>
      <c r="BN9" s="230"/>
      <c r="BO9" s="230"/>
      <c r="BP9" s="230"/>
      <c r="BQ9" s="230"/>
      <c r="BR9" s="230"/>
      <c r="BS9" s="230"/>
      <c r="BT9" s="230"/>
      <c r="BU9" s="230"/>
      <c r="BV9" s="230"/>
      <c r="BW9" s="230"/>
      <c r="BX9" s="230"/>
      <c r="BY9" s="230"/>
      <c r="BZ9" s="230"/>
      <c r="CA9" s="230"/>
      <c r="CB9" s="230"/>
      <c r="CC9" s="230"/>
      <c r="CD9" s="230"/>
      <c r="CE9" s="230"/>
      <c r="CF9" s="230"/>
      <c r="CG9" s="230"/>
      <c r="CH9" s="230"/>
      <c r="CI9" s="230"/>
      <c r="CJ9" s="230"/>
      <c r="CK9" s="230"/>
      <c r="CL9" s="230"/>
      <c r="CM9" s="230"/>
      <c r="CN9" s="230"/>
      <c r="CO9" s="230"/>
      <c r="CP9" s="230"/>
      <c r="CQ9" s="230"/>
      <c r="CR9" s="230"/>
      <c r="CS9" s="230"/>
      <c r="CT9" s="230"/>
      <c r="CU9" s="230"/>
      <c r="CV9" s="230"/>
      <c r="CW9" s="230"/>
      <c r="CX9" s="230"/>
      <c r="CY9" s="230"/>
      <c r="CZ9" s="230"/>
      <c r="DA9" s="230"/>
      <c r="DB9" s="230"/>
      <c r="DC9" s="230"/>
      <c r="DD9" s="230"/>
      <c r="DE9" s="230"/>
      <c r="DF9" s="230"/>
      <c r="DG9" s="230"/>
      <c r="DH9" s="230"/>
      <c r="DI9" s="230"/>
      <c r="DJ9" s="230"/>
      <c r="DK9" s="230"/>
      <c r="DL9" s="230"/>
      <c r="DM9" s="230"/>
      <c r="DN9" s="230"/>
      <c r="DO9" s="230"/>
      <c r="DP9" s="230"/>
      <c r="DQ9" s="230"/>
      <c r="DR9" s="230"/>
      <c r="DS9" s="230"/>
      <c r="DT9" s="230"/>
      <c r="DU9" s="230"/>
      <c r="DV9" s="230"/>
      <c r="DW9" s="230"/>
      <c r="DX9" s="230"/>
      <c r="DY9" s="230"/>
      <c r="DZ9" s="230"/>
      <c r="EA9" s="230"/>
      <c r="EB9" s="230"/>
      <c r="EC9" s="230"/>
      <c r="ED9" s="230"/>
      <c r="EE9" s="230"/>
      <c r="EF9" s="230"/>
      <c r="EG9" s="230"/>
      <c r="EH9" s="230"/>
      <c r="EI9" s="230"/>
      <c r="EJ9" s="230"/>
      <c r="EK9" s="230"/>
      <c r="EL9" s="230"/>
      <c r="EM9" s="230"/>
      <c r="EN9" s="230"/>
      <c r="EO9" s="230"/>
      <c r="EP9" s="230"/>
      <c r="EQ9" s="230"/>
      <c r="ER9" s="230"/>
      <c r="ES9" s="230"/>
      <c r="ET9" s="230"/>
      <c r="EU9" s="230"/>
      <c r="EV9" s="230"/>
      <c r="EW9" s="230"/>
      <c r="EX9" s="230"/>
      <c r="EY9" s="230"/>
      <c r="EZ9" s="230"/>
      <c r="FA9" s="230"/>
      <c r="FB9" s="230"/>
      <c r="FC9" s="230"/>
      <c r="FD9" s="230"/>
      <c r="FE9" s="230"/>
      <c r="FF9" s="230"/>
      <c r="FG9" s="230"/>
      <c r="FH9" s="230"/>
      <c r="FI9" s="230"/>
      <c r="FJ9" s="230"/>
      <c r="FK9" s="230"/>
      <c r="FL9" s="230"/>
      <c r="FM9" s="230"/>
      <c r="FN9" s="230"/>
      <c r="FO9" s="230"/>
      <c r="FP9" s="230"/>
      <c r="FQ9" s="230"/>
      <c r="FR9" s="230"/>
      <c r="FS9" s="230"/>
      <c r="FT9" s="230"/>
      <c r="FU9" s="230"/>
      <c r="FV9" s="230"/>
      <c r="FW9" s="230"/>
      <c r="FX9" s="230"/>
      <c r="FY9" s="230"/>
      <c r="FZ9" s="230"/>
      <c r="GA9" s="230"/>
      <c r="GB9" s="230"/>
      <c r="GC9" s="230"/>
      <c r="GD9" s="230"/>
      <c r="GE9" s="230"/>
      <c r="GF9" s="230"/>
      <c r="GG9" s="230"/>
      <c r="GH9" s="230"/>
      <c r="GI9" s="230"/>
      <c r="GJ9" s="230"/>
      <c r="GK9" s="230"/>
      <c r="GL9" s="230"/>
      <c r="GM9" s="230"/>
      <c r="GN9" s="230"/>
      <c r="GO9" s="230"/>
      <c r="GP9" s="230"/>
      <c r="GQ9" s="230"/>
      <c r="GR9" s="230"/>
      <c r="GS9" s="230"/>
      <c r="GT9" s="230"/>
      <c r="GU9" s="230"/>
      <c r="GV9" s="230"/>
      <c r="GW9" s="230"/>
      <c r="GX9" s="230"/>
      <c r="GY9" s="230"/>
      <c r="GZ9" s="230"/>
      <c r="HA9" s="230"/>
      <c r="HB9" s="230"/>
      <c r="HC9" s="230"/>
      <c r="HD9" s="230"/>
      <c r="HE9" s="230"/>
      <c r="HF9" s="230"/>
      <c r="HG9" s="230"/>
      <c r="HH9" s="230"/>
      <c r="HI9" s="230"/>
      <c r="HJ9" s="230"/>
      <c r="HK9" s="230"/>
      <c r="HL9" s="230"/>
      <c r="HM9" s="230"/>
      <c r="HN9" s="230"/>
      <c r="HO9" s="230"/>
      <c r="HP9" s="230"/>
      <c r="HQ9" s="230"/>
      <c r="HR9" s="230"/>
      <c r="HS9" s="230"/>
      <c r="HT9" s="230"/>
      <c r="HU9" s="230"/>
      <c r="HV9" s="230"/>
      <c r="HW9" s="230"/>
      <c r="HX9" s="230"/>
      <c r="HY9" s="230"/>
      <c r="HZ9" s="230"/>
      <c r="IA9" s="230"/>
      <c r="IB9" s="230"/>
      <c r="IC9" s="230"/>
      <c r="ID9" s="230"/>
      <c r="IE9" s="230"/>
      <c r="IF9" s="230"/>
      <c r="IG9" s="230"/>
      <c r="IH9" s="230"/>
      <c r="II9" s="230"/>
      <c r="IJ9" s="230"/>
      <c r="IK9" s="230"/>
      <c r="IL9" s="230"/>
      <c r="IM9" s="230"/>
      <c r="IN9" s="230"/>
      <c r="IO9" s="230"/>
      <c r="IP9" s="230"/>
      <c r="IQ9" s="230"/>
      <c r="IR9" s="230"/>
    </row>
  </sheetData>
  <pageMargins left="0.699305555555556" right="0.699305555555556"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L51"/>
  <sheetViews>
    <sheetView topLeftCell="A8" workbookViewId="0">
      <selection activeCell="D42" sqref="D42"/>
    </sheetView>
  </sheetViews>
  <sheetFormatPr defaultColWidth="11.0986842105263" defaultRowHeight="15.2"/>
  <cols>
    <col min="4" max="4" width="37.5986842105263" customWidth="1"/>
  </cols>
  <sheetData>
    <row r="1" ht="36" spans="1:12">
      <c r="A1" s="80" t="s">
        <v>640</v>
      </c>
      <c r="B1" s="80" t="s">
        <v>669</v>
      </c>
      <c r="C1" s="80" t="s">
        <v>28</v>
      </c>
      <c r="D1" s="232" t="s">
        <v>35</v>
      </c>
      <c r="E1" s="80" t="s">
        <v>670</v>
      </c>
      <c r="F1" s="80" t="s">
        <v>641</v>
      </c>
      <c r="G1" s="80" t="s">
        <v>642</v>
      </c>
      <c r="H1" s="80" t="s">
        <v>671</v>
      </c>
      <c r="I1" s="80" t="s">
        <v>643</v>
      </c>
      <c r="J1" s="80" t="s">
        <v>644</v>
      </c>
      <c r="K1" s="80" t="s">
        <v>671</v>
      </c>
      <c r="L1" s="232" t="s">
        <v>672</v>
      </c>
    </row>
    <row r="2" ht="18" spans="1:12">
      <c r="A2" s="80" t="s">
        <v>39</v>
      </c>
      <c r="B2" s="80" t="s">
        <v>39</v>
      </c>
      <c r="C2" s="80" t="s">
        <v>39</v>
      </c>
      <c r="D2" s="80" t="s">
        <v>40</v>
      </c>
      <c r="E2" s="80" t="s">
        <v>39</v>
      </c>
      <c r="F2" s="80" t="s">
        <v>39</v>
      </c>
      <c r="G2" s="80" t="s">
        <v>39</v>
      </c>
      <c r="H2" s="80" t="s">
        <v>39</v>
      </c>
      <c r="I2" s="80" t="s">
        <v>39</v>
      </c>
      <c r="J2" s="80" t="s">
        <v>39</v>
      </c>
      <c r="K2" s="80" t="s">
        <v>39</v>
      </c>
      <c r="L2" s="232" t="s">
        <v>39</v>
      </c>
    </row>
    <row r="3" ht="34" spans="1:12">
      <c r="A3" s="80" t="s">
        <v>651</v>
      </c>
      <c r="B3" s="80" t="s">
        <v>673</v>
      </c>
      <c r="C3" s="80" t="s">
        <v>652</v>
      </c>
      <c r="D3" s="242" t="s">
        <v>653</v>
      </c>
      <c r="E3" s="80" t="s">
        <v>674</v>
      </c>
      <c r="F3" s="80" t="s">
        <v>654</v>
      </c>
      <c r="G3" s="80" t="s">
        <v>655</v>
      </c>
      <c r="H3" s="80" t="s">
        <v>675</v>
      </c>
      <c r="I3" s="80" t="s">
        <v>656</v>
      </c>
      <c r="J3" s="80" t="s">
        <v>657</v>
      </c>
      <c r="K3" s="81" t="s">
        <v>676</v>
      </c>
      <c r="L3" s="232" t="s">
        <v>661</v>
      </c>
    </row>
    <row r="4" ht="17.6" spans="1:12">
      <c r="A4" s="80">
        <v>61301</v>
      </c>
      <c r="B4" s="80">
        <v>44003</v>
      </c>
      <c r="C4" s="80">
        <v>1</v>
      </c>
      <c r="D4" s="205" t="s">
        <v>677</v>
      </c>
      <c r="E4" s="80">
        <v>150</v>
      </c>
      <c r="F4" s="80">
        <v>11004</v>
      </c>
      <c r="G4" s="80">
        <v>15</v>
      </c>
      <c r="H4" s="80">
        <v>100</v>
      </c>
      <c r="I4" s="80">
        <v>11024</v>
      </c>
      <c r="J4" s="80">
        <v>1</v>
      </c>
      <c r="K4" s="113">
        <v>75</v>
      </c>
      <c r="L4" s="243">
        <v>33102</v>
      </c>
    </row>
    <row r="5" ht="17.6" spans="1:12">
      <c r="A5" s="80">
        <v>61302</v>
      </c>
      <c r="B5" s="80">
        <v>44003</v>
      </c>
      <c r="C5" s="80">
        <v>1</v>
      </c>
      <c r="D5" s="205" t="s">
        <v>677</v>
      </c>
      <c r="E5" s="80">
        <v>150</v>
      </c>
      <c r="F5" s="80">
        <v>11003</v>
      </c>
      <c r="G5" s="80">
        <v>18</v>
      </c>
      <c r="H5" s="80">
        <v>50</v>
      </c>
      <c r="I5" s="80">
        <v>11022</v>
      </c>
      <c r="J5" s="80">
        <v>1</v>
      </c>
      <c r="K5" s="113">
        <v>75</v>
      </c>
      <c r="L5" s="243">
        <v>33102</v>
      </c>
    </row>
    <row r="6" ht="17.6" spans="1:12">
      <c r="A6" s="80">
        <v>61303</v>
      </c>
      <c r="B6" s="80">
        <v>44003</v>
      </c>
      <c r="C6" s="80">
        <v>1</v>
      </c>
      <c r="D6" s="205" t="s">
        <v>677</v>
      </c>
      <c r="E6" s="80">
        <v>150</v>
      </c>
      <c r="F6" s="80">
        <v>11008</v>
      </c>
      <c r="G6" s="80">
        <v>12</v>
      </c>
      <c r="H6" s="80">
        <v>100</v>
      </c>
      <c r="I6" s="80">
        <v>11019</v>
      </c>
      <c r="J6" s="80">
        <v>1</v>
      </c>
      <c r="K6" s="113">
        <v>75</v>
      </c>
      <c r="L6" s="243">
        <v>33102</v>
      </c>
    </row>
    <row r="7" ht="17.6" spans="1:12">
      <c r="A7" s="80">
        <v>61304</v>
      </c>
      <c r="B7" s="80">
        <v>44003</v>
      </c>
      <c r="C7" s="80">
        <v>1</v>
      </c>
      <c r="D7" s="205" t="s">
        <v>677</v>
      </c>
      <c r="E7" s="80">
        <v>150</v>
      </c>
      <c r="F7" s="80">
        <v>11009</v>
      </c>
      <c r="G7" s="80">
        <v>6</v>
      </c>
      <c r="H7" s="80">
        <v>100</v>
      </c>
      <c r="I7" s="80">
        <v>11014</v>
      </c>
      <c r="J7" s="80">
        <v>2</v>
      </c>
      <c r="K7" s="113">
        <v>50</v>
      </c>
      <c r="L7" s="243">
        <v>33102</v>
      </c>
    </row>
    <row r="8" ht="17.6" spans="1:12">
      <c r="A8" s="80">
        <v>61305</v>
      </c>
      <c r="B8" s="80">
        <v>44003</v>
      </c>
      <c r="C8" s="80">
        <v>1</v>
      </c>
      <c r="D8" s="205" t="s">
        <v>677</v>
      </c>
      <c r="E8" s="80">
        <v>150</v>
      </c>
      <c r="F8" s="80">
        <v>11002</v>
      </c>
      <c r="G8" s="80">
        <v>10</v>
      </c>
      <c r="H8" s="80">
        <v>60</v>
      </c>
      <c r="I8" s="80">
        <v>11088</v>
      </c>
      <c r="J8" s="80">
        <v>2</v>
      </c>
      <c r="K8" s="113">
        <v>75</v>
      </c>
      <c r="L8" s="243">
        <v>33102</v>
      </c>
    </row>
    <row r="9" ht="17.6" spans="1:12">
      <c r="A9" s="80">
        <v>61306</v>
      </c>
      <c r="B9" s="80">
        <v>44003</v>
      </c>
      <c r="C9" s="80">
        <v>1</v>
      </c>
      <c r="D9" s="205" t="s">
        <v>677</v>
      </c>
      <c r="E9" s="80">
        <v>120</v>
      </c>
      <c r="F9" s="80">
        <v>11008</v>
      </c>
      <c r="G9" s="80">
        <v>7</v>
      </c>
      <c r="H9" s="80">
        <v>100</v>
      </c>
      <c r="I9" s="80"/>
      <c r="J9" s="80"/>
      <c r="K9" s="113"/>
      <c r="L9" s="243">
        <v>33102</v>
      </c>
    </row>
    <row r="10" ht="17.6" spans="1:12">
      <c r="A10" s="80">
        <v>61307</v>
      </c>
      <c r="B10" s="80">
        <v>44003</v>
      </c>
      <c r="C10" s="80">
        <v>1</v>
      </c>
      <c r="D10" s="205" t="s">
        <v>677</v>
      </c>
      <c r="E10" s="80">
        <v>120</v>
      </c>
      <c r="F10" s="80">
        <v>11009</v>
      </c>
      <c r="G10" s="80">
        <v>6</v>
      </c>
      <c r="H10" s="80">
        <v>80</v>
      </c>
      <c r="I10" s="80"/>
      <c r="J10" s="80"/>
      <c r="K10" s="113"/>
      <c r="L10" s="243">
        <v>33102</v>
      </c>
    </row>
    <row r="11" ht="17.6" spans="1:12">
      <c r="A11" s="80">
        <v>61308</v>
      </c>
      <c r="B11" s="80">
        <v>44003</v>
      </c>
      <c r="C11" s="80">
        <v>1</v>
      </c>
      <c r="D11" s="205" t="s">
        <v>677</v>
      </c>
      <c r="E11" s="80">
        <v>120</v>
      </c>
      <c r="F11" s="80">
        <v>11011</v>
      </c>
      <c r="G11" s="80">
        <v>5</v>
      </c>
      <c r="H11" s="80">
        <v>50</v>
      </c>
      <c r="I11" s="80"/>
      <c r="J11" s="80"/>
      <c r="K11" s="113"/>
      <c r="L11" s="243">
        <v>33102</v>
      </c>
    </row>
    <row r="12" ht="17.6" spans="1:12">
      <c r="A12" s="80">
        <v>61309</v>
      </c>
      <c r="B12" s="80">
        <v>44003</v>
      </c>
      <c r="C12" s="80">
        <v>1</v>
      </c>
      <c r="D12" s="205" t="s">
        <v>677</v>
      </c>
      <c r="E12" s="80">
        <v>120</v>
      </c>
      <c r="F12" s="80">
        <v>11014</v>
      </c>
      <c r="G12" s="80">
        <v>4</v>
      </c>
      <c r="H12" s="80">
        <v>25</v>
      </c>
      <c r="I12" s="80"/>
      <c r="J12" s="80"/>
      <c r="K12" s="113"/>
      <c r="L12" s="243">
        <v>33102</v>
      </c>
    </row>
    <row r="13" ht="17.6" spans="1:12">
      <c r="A13" s="80">
        <v>61310</v>
      </c>
      <c r="B13" s="80">
        <v>44003</v>
      </c>
      <c r="C13" s="80">
        <v>1</v>
      </c>
      <c r="D13" s="205" t="s">
        <v>677</v>
      </c>
      <c r="E13" s="80">
        <v>120</v>
      </c>
      <c r="F13" s="80">
        <v>11003</v>
      </c>
      <c r="G13" s="80">
        <v>15</v>
      </c>
      <c r="H13" s="80">
        <v>50</v>
      </c>
      <c r="I13" s="80"/>
      <c r="J13" s="80"/>
      <c r="K13" s="113"/>
      <c r="L13" s="243">
        <v>33102</v>
      </c>
    </row>
    <row r="14" ht="33" spans="1:12">
      <c r="A14" s="80">
        <v>61311</v>
      </c>
      <c r="B14" s="80">
        <v>44003</v>
      </c>
      <c r="C14" s="80">
        <v>2</v>
      </c>
      <c r="D14" s="205" t="s">
        <v>678</v>
      </c>
      <c r="E14" s="80">
        <v>120</v>
      </c>
      <c r="F14" s="80"/>
      <c r="G14" s="80">
        <v>2500</v>
      </c>
      <c r="H14" s="80"/>
      <c r="I14" s="80"/>
      <c r="J14" s="80"/>
      <c r="K14" s="113"/>
      <c r="L14" s="243">
        <v>33102</v>
      </c>
    </row>
    <row r="15" ht="33" spans="1:12">
      <c r="A15" s="80">
        <v>61312</v>
      </c>
      <c r="B15" s="80">
        <v>44003</v>
      </c>
      <c r="C15" s="80">
        <v>2</v>
      </c>
      <c r="D15" s="205" t="s">
        <v>678</v>
      </c>
      <c r="E15" s="80">
        <v>150</v>
      </c>
      <c r="F15" s="80"/>
      <c r="G15" s="80">
        <v>3000</v>
      </c>
      <c r="H15" s="80"/>
      <c r="I15" s="80"/>
      <c r="J15" s="80"/>
      <c r="K15" s="113"/>
      <c r="L15" s="243">
        <v>33102</v>
      </c>
    </row>
    <row r="16" ht="17.6" spans="1:12">
      <c r="A16" s="80">
        <v>61313</v>
      </c>
      <c r="B16" s="80">
        <v>44003</v>
      </c>
      <c r="C16" s="80">
        <v>3</v>
      </c>
      <c r="D16" s="205" t="s">
        <v>679</v>
      </c>
      <c r="E16" s="80">
        <v>120</v>
      </c>
      <c r="F16" s="80">
        <v>650</v>
      </c>
      <c r="G16" s="80">
        <v>1</v>
      </c>
      <c r="H16" s="80"/>
      <c r="I16" s="80"/>
      <c r="J16" s="80"/>
      <c r="K16" s="113"/>
      <c r="L16" s="243">
        <v>33102</v>
      </c>
    </row>
    <row r="17" ht="17.6" spans="1:12">
      <c r="A17" s="80">
        <v>61314</v>
      </c>
      <c r="B17" s="80">
        <v>44003</v>
      </c>
      <c r="C17" s="80">
        <v>3</v>
      </c>
      <c r="D17" s="205" t="s">
        <v>679</v>
      </c>
      <c r="E17" s="80">
        <v>90</v>
      </c>
      <c r="F17" s="80">
        <v>600</v>
      </c>
      <c r="G17" s="80">
        <v>1</v>
      </c>
      <c r="H17" s="80"/>
      <c r="I17" s="80"/>
      <c r="J17" s="80"/>
      <c r="K17" s="113"/>
      <c r="L17" s="243">
        <v>33102</v>
      </c>
    </row>
    <row r="18" ht="17.6" spans="1:12">
      <c r="A18" s="80">
        <v>61315</v>
      </c>
      <c r="B18" s="80">
        <v>44003</v>
      </c>
      <c r="C18" s="80">
        <v>4</v>
      </c>
      <c r="D18" s="205" t="s">
        <v>680</v>
      </c>
      <c r="E18" s="80">
        <v>150</v>
      </c>
      <c r="F18" s="80"/>
      <c r="G18" s="80">
        <v>80</v>
      </c>
      <c r="H18" s="80"/>
      <c r="I18" s="80"/>
      <c r="J18" s="80"/>
      <c r="K18" s="113"/>
      <c r="L18" s="243">
        <v>33102</v>
      </c>
    </row>
    <row r="19" ht="17.6" spans="1:12">
      <c r="A19" s="80">
        <v>61316</v>
      </c>
      <c r="B19" s="80">
        <v>44003</v>
      </c>
      <c r="C19" s="80">
        <v>5</v>
      </c>
      <c r="D19" s="144" t="s">
        <v>681</v>
      </c>
      <c r="E19" s="80">
        <v>90</v>
      </c>
      <c r="F19" s="80">
        <v>8</v>
      </c>
      <c r="G19" s="80">
        <v>1</v>
      </c>
      <c r="H19" s="80"/>
      <c r="I19" s="80"/>
      <c r="J19" s="80"/>
      <c r="K19" s="113"/>
      <c r="L19" s="243">
        <v>33102</v>
      </c>
    </row>
    <row r="20" ht="17.6" spans="1:12">
      <c r="A20" s="80">
        <v>61401</v>
      </c>
      <c r="B20" s="80">
        <v>44004</v>
      </c>
      <c r="C20" s="80">
        <v>1</v>
      </c>
      <c r="D20" s="205" t="s">
        <v>677</v>
      </c>
      <c r="E20" s="80">
        <v>150</v>
      </c>
      <c r="F20" s="80">
        <v>11005</v>
      </c>
      <c r="G20" s="80">
        <v>8</v>
      </c>
      <c r="H20" s="80">
        <v>75</v>
      </c>
      <c r="I20" s="80">
        <v>11021</v>
      </c>
      <c r="J20" s="80">
        <v>3</v>
      </c>
      <c r="K20" s="113">
        <v>35</v>
      </c>
      <c r="L20" s="243">
        <v>34102</v>
      </c>
    </row>
    <row r="21" ht="17.6" spans="1:12">
      <c r="A21" s="80">
        <v>61402</v>
      </c>
      <c r="B21" s="80">
        <v>44004</v>
      </c>
      <c r="C21" s="80">
        <v>1</v>
      </c>
      <c r="D21" s="205" t="s">
        <v>677</v>
      </c>
      <c r="E21" s="80">
        <v>150</v>
      </c>
      <c r="F21" s="80">
        <v>11003</v>
      </c>
      <c r="G21" s="80">
        <v>8</v>
      </c>
      <c r="H21" s="80">
        <v>75</v>
      </c>
      <c r="I21" s="80">
        <v>11024</v>
      </c>
      <c r="J21" s="80">
        <v>3</v>
      </c>
      <c r="K21" s="113">
        <v>35</v>
      </c>
      <c r="L21" s="243">
        <v>34102</v>
      </c>
    </row>
    <row r="22" ht="17.6" spans="1:12">
      <c r="A22" s="80">
        <v>61403</v>
      </c>
      <c r="B22" s="80">
        <v>44004</v>
      </c>
      <c r="C22" s="80">
        <v>1</v>
      </c>
      <c r="D22" s="205" t="s">
        <v>677</v>
      </c>
      <c r="E22" s="80">
        <v>150</v>
      </c>
      <c r="F22" s="80">
        <v>11004</v>
      </c>
      <c r="G22" s="80">
        <v>10</v>
      </c>
      <c r="H22" s="80">
        <v>100</v>
      </c>
      <c r="I22" s="80">
        <v>11018</v>
      </c>
      <c r="J22" s="80">
        <v>3</v>
      </c>
      <c r="K22" s="113">
        <v>35</v>
      </c>
      <c r="L22" s="243">
        <v>34102</v>
      </c>
    </row>
    <row r="23" ht="17.6" spans="1:12">
      <c r="A23" s="80">
        <v>61404</v>
      </c>
      <c r="B23" s="80">
        <v>44004</v>
      </c>
      <c r="C23" s="80">
        <v>1</v>
      </c>
      <c r="D23" s="205" t="s">
        <v>677</v>
      </c>
      <c r="E23" s="80">
        <v>150</v>
      </c>
      <c r="F23" s="80">
        <v>11011</v>
      </c>
      <c r="G23" s="80">
        <v>8</v>
      </c>
      <c r="H23" s="80">
        <v>50</v>
      </c>
      <c r="I23" s="80">
        <v>11019</v>
      </c>
      <c r="J23" s="80">
        <v>3</v>
      </c>
      <c r="K23" s="113">
        <v>35</v>
      </c>
      <c r="L23" s="243">
        <v>34102</v>
      </c>
    </row>
    <row r="24" ht="17.6" spans="1:12">
      <c r="A24" s="80">
        <v>61405</v>
      </c>
      <c r="B24" s="80">
        <v>44004</v>
      </c>
      <c r="C24" s="80">
        <v>1</v>
      </c>
      <c r="D24" s="205" t="s">
        <v>677</v>
      </c>
      <c r="E24" s="80">
        <v>150</v>
      </c>
      <c r="F24" s="80">
        <v>11003</v>
      </c>
      <c r="G24" s="80">
        <v>8</v>
      </c>
      <c r="H24" s="80">
        <v>100</v>
      </c>
      <c r="I24" s="80">
        <v>11023</v>
      </c>
      <c r="J24" s="80">
        <v>3</v>
      </c>
      <c r="K24" s="113">
        <v>35</v>
      </c>
      <c r="L24" s="243">
        <v>34102</v>
      </c>
    </row>
    <row r="25" ht="17.6" spans="1:12">
      <c r="A25" s="80">
        <v>61406</v>
      </c>
      <c r="B25" s="80">
        <v>44004</v>
      </c>
      <c r="C25" s="80">
        <v>1</v>
      </c>
      <c r="D25" s="205" t="s">
        <v>677</v>
      </c>
      <c r="E25" s="80">
        <v>120</v>
      </c>
      <c r="F25" s="80">
        <v>11024</v>
      </c>
      <c r="G25" s="80">
        <v>4</v>
      </c>
      <c r="H25" s="80">
        <v>25</v>
      </c>
      <c r="I25" s="80"/>
      <c r="J25" s="80"/>
      <c r="K25" s="113"/>
      <c r="L25" s="243">
        <v>34102</v>
      </c>
    </row>
    <row r="26" ht="17.6" spans="1:12">
      <c r="A26" s="80">
        <v>61407</v>
      </c>
      <c r="B26" s="80">
        <v>44004</v>
      </c>
      <c r="C26" s="80">
        <v>1</v>
      </c>
      <c r="D26" s="205" t="s">
        <v>677</v>
      </c>
      <c r="E26" s="80">
        <v>120</v>
      </c>
      <c r="F26" s="80">
        <v>11011</v>
      </c>
      <c r="G26" s="80">
        <v>8</v>
      </c>
      <c r="H26" s="80">
        <v>25</v>
      </c>
      <c r="I26" s="80"/>
      <c r="J26" s="80"/>
      <c r="K26" s="113"/>
      <c r="L26" s="243">
        <v>34102</v>
      </c>
    </row>
    <row r="27" ht="17.6" spans="1:12">
      <c r="A27" s="80">
        <v>61408</v>
      </c>
      <c r="B27" s="80">
        <v>44004</v>
      </c>
      <c r="C27" s="80">
        <v>1</v>
      </c>
      <c r="D27" s="205" t="s">
        <v>677</v>
      </c>
      <c r="E27" s="80">
        <v>120</v>
      </c>
      <c r="F27" s="80">
        <v>11091</v>
      </c>
      <c r="G27" s="80">
        <v>4</v>
      </c>
      <c r="H27" s="80">
        <v>40</v>
      </c>
      <c r="I27" s="80"/>
      <c r="J27" s="80"/>
      <c r="K27" s="113"/>
      <c r="L27" s="243">
        <v>34102</v>
      </c>
    </row>
    <row r="28" ht="17.6" spans="1:12">
      <c r="A28" s="80">
        <v>61409</v>
      </c>
      <c r="B28" s="80">
        <v>44004</v>
      </c>
      <c r="C28" s="80">
        <v>1</v>
      </c>
      <c r="D28" s="205" t="s">
        <v>677</v>
      </c>
      <c r="E28" s="80">
        <v>120</v>
      </c>
      <c r="F28" s="80">
        <v>11011</v>
      </c>
      <c r="G28" s="80">
        <v>6</v>
      </c>
      <c r="H28" s="80">
        <v>20</v>
      </c>
      <c r="I28" s="80"/>
      <c r="J28" s="80"/>
      <c r="K28" s="113"/>
      <c r="L28" s="243">
        <v>34102</v>
      </c>
    </row>
    <row r="29" ht="17.6" spans="1:12">
      <c r="A29" s="80">
        <v>61410</v>
      </c>
      <c r="B29" s="80">
        <v>44004</v>
      </c>
      <c r="C29" s="80">
        <v>1</v>
      </c>
      <c r="D29" s="205" t="s">
        <v>677</v>
      </c>
      <c r="E29" s="80">
        <v>120</v>
      </c>
      <c r="F29" s="80">
        <v>11014</v>
      </c>
      <c r="G29" s="80">
        <v>8</v>
      </c>
      <c r="H29" s="80">
        <v>16</v>
      </c>
      <c r="I29" s="80"/>
      <c r="J29" s="80"/>
      <c r="K29" s="113"/>
      <c r="L29" s="243">
        <v>34102</v>
      </c>
    </row>
    <row r="30" ht="17.6" spans="1:12">
      <c r="A30" s="80">
        <v>61411</v>
      </c>
      <c r="B30" s="80">
        <v>44004</v>
      </c>
      <c r="C30" s="80">
        <v>2</v>
      </c>
      <c r="D30" s="205" t="s">
        <v>682</v>
      </c>
      <c r="E30" s="80">
        <v>120</v>
      </c>
      <c r="F30" s="80"/>
      <c r="G30" s="80">
        <v>5000</v>
      </c>
      <c r="H30" s="80"/>
      <c r="I30" s="80"/>
      <c r="J30" s="80"/>
      <c r="K30" s="113"/>
      <c r="L30" s="243">
        <v>34102</v>
      </c>
    </row>
    <row r="31" ht="17.6" spans="1:12">
      <c r="A31" s="80">
        <v>61412</v>
      </c>
      <c r="B31" s="80">
        <v>44004</v>
      </c>
      <c r="C31" s="80">
        <v>2</v>
      </c>
      <c r="D31" s="205" t="s">
        <v>682</v>
      </c>
      <c r="E31" s="80">
        <v>150</v>
      </c>
      <c r="F31" s="80"/>
      <c r="G31" s="80">
        <v>6000</v>
      </c>
      <c r="H31" s="80"/>
      <c r="I31" s="80"/>
      <c r="J31" s="80"/>
      <c r="K31" s="113"/>
      <c r="L31" s="243">
        <v>34102</v>
      </c>
    </row>
    <row r="32" ht="17.6" spans="1:12">
      <c r="A32" s="80">
        <v>61413</v>
      </c>
      <c r="B32" s="80">
        <v>44004</v>
      </c>
      <c r="C32" s="80">
        <v>3</v>
      </c>
      <c r="D32" s="205" t="s">
        <v>679</v>
      </c>
      <c r="E32" s="80">
        <v>120</v>
      </c>
      <c r="F32" s="80">
        <v>700</v>
      </c>
      <c r="G32" s="80">
        <v>1</v>
      </c>
      <c r="H32" s="80"/>
      <c r="I32" s="80"/>
      <c r="J32" s="80"/>
      <c r="K32" s="113"/>
      <c r="L32" s="243">
        <v>34102</v>
      </c>
    </row>
    <row r="33" ht="18" spans="1:12">
      <c r="A33" s="80">
        <v>61414</v>
      </c>
      <c r="B33" s="80">
        <v>44004</v>
      </c>
      <c r="C33" s="80">
        <v>3</v>
      </c>
      <c r="D33" s="80" t="s">
        <v>679</v>
      </c>
      <c r="E33" s="80">
        <v>90</v>
      </c>
      <c r="F33" s="80">
        <v>600</v>
      </c>
      <c r="G33" s="80">
        <v>1</v>
      </c>
      <c r="H33" s="80"/>
      <c r="I33" s="80"/>
      <c r="J33" s="80"/>
      <c r="K33" s="113"/>
      <c r="L33" s="243">
        <v>34102</v>
      </c>
    </row>
    <row r="34" ht="18" spans="1:12">
      <c r="A34" s="80">
        <v>61415</v>
      </c>
      <c r="B34" s="80">
        <v>44004</v>
      </c>
      <c r="C34" s="80">
        <v>4</v>
      </c>
      <c r="D34" s="80" t="s">
        <v>680</v>
      </c>
      <c r="E34" s="80">
        <v>150</v>
      </c>
      <c r="F34" s="80"/>
      <c r="G34" s="80">
        <v>50</v>
      </c>
      <c r="H34" s="80"/>
      <c r="I34" s="80"/>
      <c r="J34" s="80"/>
      <c r="K34" s="113"/>
      <c r="L34" s="243">
        <v>34102</v>
      </c>
    </row>
    <row r="35" ht="18" spans="1:12">
      <c r="A35" s="80">
        <v>61416</v>
      </c>
      <c r="B35" s="80">
        <v>44004</v>
      </c>
      <c r="C35" s="80">
        <v>5</v>
      </c>
      <c r="D35" s="80" t="s">
        <v>681</v>
      </c>
      <c r="E35" s="80">
        <v>90</v>
      </c>
      <c r="F35" s="80">
        <v>7</v>
      </c>
      <c r="G35" s="80">
        <v>1</v>
      </c>
      <c r="H35" s="80"/>
      <c r="I35" s="80"/>
      <c r="J35" s="80"/>
      <c r="K35" s="113"/>
      <c r="L35" s="243">
        <v>34102</v>
      </c>
    </row>
    <row r="36" ht="17.6" spans="1:12">
      <c r="A36" s="80">
        <v>61501</v>
      </c>
      <c r="B36" s="80">
        <v>44005</v>
      </c>
      <c r="C36" s="80">
        <v>1</v>
      </c>
      <c r="D36" s="205" t="s">
        <v>677</v>
      </c>
      <c r="E36" s="80">
        <v>150</v>
      </c>
      <c r="F36" s="80">
        <v>11005</v>
      </c>
      <c r="G36" s="80">
        <v>8</v>
      </c>
      <c r="H36" s="80">
        <v>75</v>
      </c>
      <c r="I36" s="80">
        <v>11023</v>
      </c>
      <c r="J36" s="80">
        <v>3</v>
      </c>
      <c r="K36" s="113">
        <v>35</v>
      </c>
      <c r="L36" s="243">
        <v>35102</v>
      </c>
    </row>
    <row r="37" ht="17.6" spans="1:12">
      <c r="A37" s="80">
        <v>61502</v>
      </c>
      <c r="B37" s="80">
        <v>44005</v>
      </c>
      <c r="C37" s="80">
        <v>1</v>
      </c>
      <c r="D37" s="205" t="s">
        <v>677</v>
      </c>
      <c r="E37" s="80">
        <v>150</v>
      </c>
      <c r="F37" s="80">
        <v>11006</v>
      </c>
      <c r="G37" s="80">
        <v>8</v>
      </c>
      <c r="H37" s="80">
        <v>75</v>
      </c>
      <c r="I37" s="80">
        <v>11022</v>
      </c>
      <c r="J37" s="80">
        <v>3</v>
      </c>
      <c r="K37" s="113">
        <v>35</v>
      </c>
      <c r="L37" s="243">
        <v>35102</v>
      </c>
    </row>
    <row r="38" ht="17.6" spans="1:12">
      <c r="A38" s="80">
        <v>61503</v>
      </c>
      <c r="B38" s="80">
        <v>44005</v>
      </c>
      <c r="C38" s="80">
        <v>1</v>
      </c>
      <c r="D38" s="205" t="s">
        <v>677</v>
      </c>
      <c r="E38" s="80">
        <v>150</v>
      </c>
      <c r="F38" s="80">
        <v>11007</v>
      </c>
      <c r="G38" s="80">
        <v>10</v>
      </c>
      <c r="H38" s="80">
        <v>100</v>
      </c>
      <c r="I38" s="80">
        <v>11089</v>
      </c>
      <c r="J38" s="80">
        <v>2</v>
      </c>
      <c r="K38" s="113">
        <v>35</v>
      </c>
      <c r="L38" s="243">
        <v>35102</v>
      </c>
    </row>
    <row r="39" ht="17.6" spans="1:12">
      <c r="A39" s="80">
        <v>61504</v>
      </c>
      <c r="B39" s="80">
        <v>44005</v>
      </c>
      <c r="C39" s="80">
        <v>1</v>
      </c>
      <c r="D39" s="205" t="s">
        <v>677</v>
      </c>
      <c r="E39" s="80">
        <v>150</v>
      </c>
      <c r="F39" s="80">
        <v>11085</v>
      </c>
      <c r="G39" s="80">
        <v>12</v>
      </c>
      <c r="H39" s="80">
        <v>50</v>
      </c>
      <c r="I39" s="80">
        <v>11025</v>
      </c>
      <c r="J39" s="80">
        <v>1</v>
      </c>
      <c r="K39" s="113">
        <v>35</v>
      </c>
      <c r="L39" s="243">
        <v>35102</v>
      </c>
    </row>
    <row r="40" ht="17.6" spans="1:12">
      <c r="A40" s="80">
        <v>61505</v>
      </c>
      <c r="B40" s="80">
        <v>44005</v>
      </c>
      <c r="C40" s="80">
        <v>1</v>
      </c>
      <c r="D40" s="205" t="s">
        <v>677</v>
      </c>
      <c r="E40" s="80">
        <v>150</v>
      </c>
      <c r="F40" s="80">
        <v>11005</v>
      </c>
      <c r="G40" s="80">
        <v>8</v>
      </c>
      <c r="H40" s="80">
        <v>75</v>
      </c>
      <c r="I40" s="80">
        <v>11020</v>
      </c>
      <c r="J40" s="80">
        <v>3</v>
      </c>
      <c r="K40" s="113">
        <v>35</v>
      </c>
      <c r="L40" s="243">
        <v>35102</v>
      </c>
    </row>
    <row r="41" ht="17.6" spans="1:12">
      <c r="A41" s="80">
        <v>61506</v>
      </c>
      <c r="B41" s="80">
        <v>44005</v>
      </c>
      <c r="C41" s="80">
        <v>1</v>
      </c>
      <c r="D41" s="205" t="s">
        <v>677</v>
      </c>
      <c r="E41" s="80">
        <v>120</v>
      </c>
      <c r="F41" s="80">
        <v>11026</v>
      </c>
      <c r="G41" s="80">
        <v>4</v>
      </c>
      <c r="H41" s="80">
        <v>25</v>
      </c>
      <c r="I41" s="80"/>
      <c r="J41" s="80"/>
      <c r="K41" s="113"/>
      <c r="L41" s="243">
        <v>35102</v>
      </c>
    </row>
    <row r="42" ht="17.6" spans="1:12">
      <c r="A42" s="80">
        <v>61507</v>
      </c>
      <c r="B42" s="80">
        <v>44005</v>
      </c>
      <c r="C42" s="80">
        <v>1</v>
      </c>
      <c r="D42" s="205" t="s">
        <v>677</v>
      </c>
      <c r="E42" s="80">
        <v>120</v>
      </c>
      <c r="F42" s="80">
        <v>11086</v>
      </c>
      <c r="G42" s="80">
        <v>8</v>
      </c>
      <c r="H42" s="80">
        <v>25</v>
      </c>
      <c r="I42" s="80"/>
      <c r="J42" s="80"/>
      <c r="K42" s="113"/>
      <c r="L42" s="243">
        <v>35102</v>
      </c>
    </row>
    <row r="43" ht="17.6" spans="1:12">
      <c r="A43" s="80">
        <v>61508</v>
      </c>
      <c r="B43" s="80">
        <v>44005</v>
      </c>
      <c r="C43" s="80">
        <v>1</v>
      </c>
      <c r="D43" s="205" t="s">
        <v>677</v>
      </c>
      <c r="E43" s="80">
        <v>120</v>
      </c>
      <c r="F43" s="80">
        <v>11025</v>
      </c>
      <c r="G43" s="80">
        <v>3</v>
      </c>
      <c r="H43" s="80">
        <v>40</v>
      </c>
      <c r="I43" s="80"/>
      <c r="J43" s="80"/>
      <c r="K43" s="113"/>
      <c r="L43" s="243">
        <v>35102</v>
      </c>
    </row>
    <row r="44" ht="17.6" spans="1:12">
      <c r="A44" s="80">
        <v>61509</v>
      </c>
      <c r="B44" s="80">
        <v>44005</v>
      </c>
      <c r="C44" s="80">
        <v>1</v>
      </c>
      <c r="D44" s="205" t="s">
        <v>677</v>
      </c>
      <c r="E44" s="80">
        <v>120</v>
      </c>
      <c r="F44" s="80">
        <v>11013</v>
      </c>
      <c r="G44" s="80">
        <v>6</v>
      </c>
      <c r="H44" s="80">
        <v>15</v>
      </c>
      <c r="I44" s="80"/>
      <c r="J44" s="80"/>
      <c r="K44" s="113"/>
      <c r="L44" s="243">
        <v>35102</v>
      </c>
    </row>
    <row r="45" ht="17.6" spans="1:12">
      <c r="A45" s="80">
        <v>61510</v>
      </c>
      <c r="B45" s="80">
        <v>44005</v>
      </c>
      <c r="C45" s="80">
        <v>1</v>
      </c>
      <c r="D45" s="205" t="s">
        <v>677</v>
      </c>
      <c r="E45" s="80">
        <v>120</v>
      </c>
      <c r="F45" s="80">
        <v>11012</v>
      </c>
      <c r="G45" s="80">
        <v>8</v>
      </c>
      <c r="H45" s="80">
        <v>10</v>
      </c>
      <c r="I45" s="80"/>
      <c r="J45" s="80"/>
      <c r="K45" s="113"/>
      <c r="L45" s="243">
        <v>35102</v>
      </c>
    </row>
    <row r="46" ht="33" spans="1:12">
      <c r="A46" s="80">
        <v>61511</v>
      </c>
      <c r="B46" s="80">
        <v>44005</v>
      </c>
      <c r="C46" s="80">
        <v>2</v>
      </c>
      <c r="D46" s="205" t="s">
        <v>678</v>
      </c>
      <c r="E46" s="80">
        <v>120</v>
      </c>
      <c r="F46" s="80"/>
      <c r="G46" s="80">
        <v>5000</v>
      </c>
      <c r="H46" s="80"/>
      <c r="I46" s="80"/>
      <c r="J46" s="80"/>
      <c r="K46" s="113"/>
      <c r="L46" s="243">
        <v>35102</v>
      </c>
    </row>
    <row r="47" ht="36" spans="1:12">
      <c r="A47" s="80">
        <v>61512</v>
      </c>
      <c r="B47" s="80">
        <v>44005</v>
      </c>
      <c r="C47" s="80">
        <v>2</v>
      </c>
      <c r="D47" s="80" t="s">
        <v>678</v>
      </c>
      <c r="E47" s="80">
        <v>150</v>
      </c>
      <c r="F47" s="80"/>
      <c r="G47" s="80">
        <v>6000</v>
      </c>
      <c r="H47" s="80"/>
      <c r="I47" s="80"/>
      <c r="J47" s="80"/>
      <c r="K47" s="113"/>
      <c r="L47" s="243">
        <v>35102</v>
      </c>
    </row>
    <row r="48" ht="18" spans="1:12">
      <c r="A48" s="80">
        <v>61513</v>
      </c>
      <c r="B48" s="80">
        <v>44005</v>
      </c>
      <c r="C48" s="80">
        <v>3</v>
      </c>
      <c r="D48" s="80" t="s">
        <v>679</v>
      </c>
      <c r="E48" s="80">
        <v>120</v>
      </c>
      <c r="F48" s="80">
        <v>1200</v>
      </c>
      <c r="G48" s="80">
        <v>1</v>
      </c>
      <c r="H48" s="80"/>
      <c r="I48" s="80"/>
      <c r="J48" s="80"/>
      <c r="K48" s="113"/>
      <c r="L48" s="243">
        <v>35102</v>
      </c>
    </row>
    <row r="49" ht="18" spans="1:12">
      <c r="A49" s="80">
        <v>61514</v>
      </c>
      <c r="B49" s="80">
        <v>44005</v>
      </c>
      <c r="C49" s="80">
        <v>3</v>
      </c>
      <c r="D49" s="80" t="s">
        <v>679</v>
      </c>
      <c r="E49" s="80">
        <v>90</v>
      </c>
      <c r="F49" s="80">
        <v>700</v>
      </c>
      <c r="G49" s="80">
        <v>1</v>
      </c>
      <c r="H49" s="80"/>
      <c r="I49" s="80"/>
      <c r="J49" s="80"/>
      <c r="K49" s="113"/>
      <c r="L49" s="243">
        <v>35102</v>
      </c>
    </row>
    <row r="50" ht="18" spans="1:12">
      <c r="A50" s="80">
        <v>61515</v>
      </c>
      <c r="B50" s="80">
        <v>44005</v>
      </c>
      <c r="C50" s="80">
        <v>4</v>
      </c>
      <c r="D50" s="80" t="s">
        <v>680</v>
      </c>
      <c r="E50" s="80">
        <v>150</v>
      </c>
      <c r="F50" s="80"/>
      <c r="G50" s="80">
        <v>50</v>
      </c>
      <c r="H50" s="80"/>
      <c r="I50" s="80"/>
      <c r="J50" s="80"/>
      <c r="K50" s="113"/>
      <c r="L50" s="243">
        <v>35102</v>
      </c>
    </row>
    <row r="51" ht="18" spans="1:12">
      <c r="A51" s="80">
        <v>61516</v>
      </c>
      <c r="B51" s="80">
        <v>44005</v>
      </c>
      <c r="C51" s="80">
        <v>5</v>
      </c>
      <c r="D51" s="80" t="s">
        <v>681</v>
      </c>
      <c r="E51" s="80">
        <v>90</v>
      </c>
      <c r="F51" s="80">
        <v>7</v>
      </c>
      <c r="G51" s="80">
        <v>1</v>
      </c>
      <c r="H51" s="80"/>
      <c r="I51" s="80"/>
      <c r="J51" s="80"/>
      <c r="K51" s="113"/>
      <c r="L51" s="243">
        <v>35102</v>
      </c>
    </row>
  </sheetData>
  <pageMargins left="0.75" right="0.75" top="1" bottom="1" header="0.5" footer="0.5"/>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L65"/>
  <sheetViews>
    <sheetView topLeftCell="A8" workbookViewId="0">
      <selection activeCell="D18" sqref="D18"/>
    </sheetView>
  </sheetViews>
  <sheetFormatPr defaultColWidth="8.59868421052632" defaultRowHeight="15.2"/>
  <cols>
    <col min="1" max="3" width="8.59868421052632" style="238"/>
    <col min="4" max="4" width="42.0986842105263" style="238" customWidth="1"/>
    <col min="5" max="11" width="8.59868421052632" style="238"/>
    <col min="12" max="12" width="25.4013157894737" customWidth="1"/>
    <col min="13" max="16384" width="8.59868421052632" style="238"/>
  </cols>
  <sheetData>
    <row r="1" ht="36" spans="1:12">
      <c r="A1" s="80" t="s">
        <v>640</v>
      </c>
      <c r="B1" s="80" t="s">
        <v>669</v>
      </c>
      <c r="C1" s="80" t="s">
        <v>28</v>
      </c>
      <c r="D1" s="232" t="s">
        <v>35</v>
      </c>
      <c r="E1" s="80" t="s">
        <v>670</v>
      </c>
      <c r="F1" s="80" t="s">
        <v>641</v>
      </c>
      <c r="G1" s="80" t="s">
        <v>642</v>
      </c>
      <c r="H1" s="80" t="s">
        <v>671</v>
      </c>
      <c r="I1" s="80" t="s">
        <v>643</v>
      </c>
      <c r="J1" s="80" t="s">
        <v>644</v>
      </c>
      <c r="K1" s="80" t="s">
        <v>671</v>
      </c>
      <c r="L1" s="80" t="s">
        <v>672</v>
      </c>
    </row>
    <row r="2" ht="18" spans="1:12">
      <c r="A2" s="80" t="s">
        <v>39</v>
      </c>
      <c r="B2" s="80" t="s">
        <v>39</v>
      </c>
      <c r="C2" s="80" t="s">
        <v>39</v>
      </c>
      <c r="D2" s="232" t="s">
        <v>40</v>
      </c>
      <c r="E2" s="80" t="s">
        <v>39</v>
      </c>
      <c r="F2" s="80" t="s">
        <v>39</v>
      </c>
      <c r="G2" s="80" t="s">
        <v>39</v>
      </c>
      <c r="H2" s="80" t="s">
        <v>39</v>
      </c>
      <c r="I2" s="80" t="s">
        <v>39</v>
      </c>
      <c r="J2" s="80" t="s">
        <v>39</v>
      </c>
      <c r="K2" s="80" t="s">
        <v>39</v>
      </c>
      <c r="L2" s="80" t="s">
        <v>39</v>
      </c>
    </row>
    <row r="3" ht="51" spans="1:12">
      <c r="A3" s="80" t="s">
        <v>651</v>
      </c>
      <c r="B3" s="80" t="s">
        <v>673</v>
      </c>
      <c r="C3" s="80" t="s">
        <v>652</v>
      </c>
      <c r="D3" s="232" t="s">
        <v>653</v>
      </c>
      <c r="E3" s="80" t="s">
        <v>674</v>
      </c>
      <c r="F3" s="80" t="s">
        <v>654</v>
      </c>
      <c r="G3" s="80" t="s">
        <v>655</v>
      </c>
      <c r="H3" s="80" t="s">
        <v>675</v>
      </c>
      <c r="I3" s="80" t="s">
        <v>656</v>
      </c>
      <c r="J3" s="80" t="s">
        <v>657</v>
      </c>
      <c r="K3" s="81" t="s">
        <v>676</v>
      </c>
      <c r="L3" s="80" t="s">
        <v>661</v>
      </c>
    </row>
    <row r="4" ht="18" spans="1:12">
      <c r="A4" s="80">
        <v>62301</v>
      </c>
      <c r="B4" s="80">
        <v>44003</v>
      </c>
      <c r="C4" s="80">
        <v>1</v>
      </c>
      <c r="D4" s="237" t="s">
        <v>677</v>
      </c>
      <c r="E4" s="80">
        <v>120</v>
      </c>
      <c r="F4" s="80">
        <v>11008</v>
      </c>
      <c r="G4" s="80">
        <v>9</v>
      </c>
      <c r="H4" s="80">
        <v>50</v>
      </c>
      <c r="I4" s="80"/>
      <c r="J4" s="80"/>
      <c r="K4" s="80"/>
      <c r="L4" s="241" t="s">
        <v>683</v>
      </c>
    </row>
    <row r="5" ht="18" spans="1:12">
      <c r="A5" s="80">
        <v>62302</v>
      </c>
      <c r="B5" s="80">
        <v>44003</v>
      </c>
      <c r="C5" s="80">
        <v>1</v>
      </c>
      <c r="D5" s="237" t="s">
        <v>677</v>
      </c>
      <c r="E5" s="80">
        <v>120</v>
      </c>
      <c r="F5" s="80">
        <v>11004</v>
      </c>
      <c r="G5" s="80">
        <v>12</v>
      </c>
      <c r="H5" s="80">
        <v>50</v>
      </c>
      <c r="I5" s="80"/>
      <c r="J5" s="80"/>
      <c r="K5" s="80"/>
      <c r="L5" s="241" t="s">
        <v>683</v>
      </c>
    </row>
    <row r="6" ht="18" spans="1:12">
      <c r="A6" s="80">
        <v>62303</v>
      </c>
      <c r="B6" s="80">
        <v>44003</v>
      </c>
      <c r="C6" s="80">
        <v>1</v>
      </c>
      <c r="D6" s="237" t="s">
        <v>677</v>
      </c>
      <c r="E6" s="80">
        <v>120</v>
      </c>
      <c r="F6" s="80">
        <v>11024</v>
      </c>
      <c r="G6" s="80">
        <v>3</v>
      </c>
      <c r="H6" s="80">
        <v>40</v>
      </c>
      <c r="I6" s="80"/>
      <c r="J6" s="80"/>
      <c r="K6" s="80"/>
      <c r="L6" s="241" t="s">
        <v>683</v>
      </c>
    </row>
    <row r="7" ht="18" spans="1:12">
      <c r="A7" s="80">
        <v>62304</v>
      </c>
      <c r="B7" s="80">
        <v>44003</v>
      </c>
      <c r="C7" s="80">
        <v>1</v>
      </c>
      <c r="D7" s="237" t="s">
        <v>677</v>
      </c>
      <c r="E7" s="80">
        <v>120</v>
      </c>
      <c r="F7" s="80">
        <v>11011</v>
      </c>
      <c r="G7" s="80">
        <v>5</v>
      </c>
      <c r="H7" s="80">
        <v>20</v>
      </c>
      <c r="I7" s="80"/>
      <c r="J7" s="80"/>
      <c r="K7" s="80"/>
      <c r="L7" s="241" t="s">
        <v>683</v>
      </c>
    </row>
    <row r="8" ht="18" spans="1:12">
      <c r="A8" s="80">
        <v>62305</v>
      </c>
      <c r="B8" s="80">
        <v>44003</v>
      </c>
      <c r="C8" s="80">
        <v>2</v>
      </c>
      <c r="D8" s="239" t="s">
        <v>678</v>
      </c>
      <c r="E8" s="80">
        <v>120</v>
      </c>
      <c r="F8" s="80"/>
      <c r="G8" s="80">
        <v>2500</v>
      </c>
      <c r="H8" s="80"/>
      <c r="I8" s="80"/>
      <c r="J8" s="80"/>
      <c r="K8" s="80"/>
      <c r="L8" s="241" t="s">
        <v>683</v>
      </c>
    </row>
    <row r="9" ht="18" spans="1:12">
      <c r="A9" s="80">
        <v>62306</v>
      </c>
      <c r="B9" s="80">
        <v>44003</v>
      </c>
      <c r="C9" s="80">
        <v>1</v>
      </c>
      <c r="D9" s="237" t="s">
        <v>677</v>
      </c>
      <c r="E9" s="80">
        <v>150</v>
      </c>
      <c r="F9" s="80">
        <v>11004</v>
      </c>
      <c r="G9" s="80">
        <v>10</v>
      </c>
      <c r="H9" s="80">
        <v>80</v>
      </c>
      <c r="I9" s="80">
        <v>11021</v>
      </c>
      <c r="J9" s="80">
        <v>2</v>
      </c>
      <c r="K9" s="80">
        <v>50</v>
      </c>
      <c r="L9" s="241" t="s">
        <v>683</v>
      </c>
    </row>
    <row r="10" ht="18" spans="1:12">
      <c r="A10" s="80">
        <v>62307</v>
      </c>
      <c r="B10" s="80">
        <v>44003</v>
      </c>
      <c r="C10" s="80">
        <v>1</v>
      </c>
      <c r="D10" s="237" t="s">
        <v>677</v>
      </c>
      <c r="E10" s="80">
        <v>150</v>
      </c>
      <c r="F10" s="80">
        <v>11002</v>
      </c>
      <c r="G10" s="80">
        <v>12</v>
      </c>
      <c r="H10" s="80">
        <v>80</v>
      </c>
      <c r="I10" s="80">
        <v>11022</v>
      </c>
      <c r="J10" s="80">
        <v>2</v>
      </c>
      <c r="K10" s="80">
        <v>50</v>
      </c>
      <c r="L10" s="241" t="s">
        <v>683</v>
      </c>
    </row>
    <row r="11" ht="18" spans="1:12">
      <c r="A11" s="80">
        <v>62308</v>
      </c>
      <c r="B11" s="80">
        <v>44003</v>
      </c>
      <c r="C11" s="80">
        <v>1</v>
      </c>
      <c r="D11" s="237" t="s">
        <v>677</v>
      </c>
      <c r="E11" s="80">
        <v>150</v>
      </c>
      <c r="F11" s="80">
        <v>11003</v>
      </c>
      <c r="G11" s="80">
        <v>8</v>
      </c>
      <c r="H11" s="80">
        <v>80</v>
      </c>
      <c r="I11" s="80">
        <v>11024</v>
      </c>
      <c r="J11" s="80">
        <v>2</v>
      </c>
      <c r="K11" s="80">
        <v>50</v>
      </c>
      <c r="L11" s="241" t="s">
        <v>683</v>
      </c>
    </row>
    <row r="12" ht="18" spans="1:12">
      <c r="A12" s="80">
        <v>62309</v>
      </c>
      <c r="B12" s="80">
        <v>44003</v>
      </c>
      <c r="C12" s="80">
        <v>1</v>
      </c>
      <c r="D12" s="237" t="s">
        <v>677</v>
      </c>
      <c r="E12" s="80">
        <v>150</v>
      </c>
      <c r="F12" s="80">
        <v>11009</v>
      </c>
      <c r="G12" s="80">
        <v>8</v>
      </c>
      <c r="H12" s="80">
        <v>70</v>
      </c>
      <c r="I12" s="80">
        <v>11019</v>
      </c>
      <c r="J12" s="80">
        <v>2</v>
      </c>
      <c r="K12" s="80">
        <v>50</v>
      </c>
      <c r="L12" s="241" t="s">
        <v>683</v>
      </c>
    </row>
    <row r="13" ht="18" spans="1:12">
      <c r="A13" s="80">
        <v>62310</v>
      </c>
      <c r="B13" s="80">
        <v>44003</v>
      </c>
      <c r="C13" s="80">
        <v>2</v>
      </c>
      <c r="D13" s="105" t="s">
        <v>678</v>
      </c>
      <c r="E13" s="80">
        <v>150</v>
      </c>
      <c r="F13" s="80"/>
      <c r="G13" s="80">
        <v>4000</v>
      </c>
      <c r="H13" s="80"/>
      <c r="I13" s="80"/>
      <c r="J13" s="80"/>
      <c r="K13" s="80"/>
      <c r="L13" s="241" t="s">
        <v>683</v>
      </c>
    </row>
    <row r="14" ht="18" spans="1:12">
      <c r="A14" s="80">
        <v>62401</v>
      </c>
      <c r="B14" s="80">
        <v>44004</v>
      </c>
      <c r="C14" s="80">
        <v>1</v>
      </c>
      <c r="D14" s="237" t="s">
        <v>677</v>
      </c>
      <c r="E14" s="80">
        <v>120</v>
      </c>
      <c r="F14" s="80">
        <v>11014</v>
      </c>
      <c r="G14" s="80">
        <v>4</v>
      </c>
      <c r="H14" s="80">
        <v>25</v>
      </c>
      <c r="I14" s="80"/>
      <c r="J14" s="80"/>
      <c r="K14" s="80"/>
      <c r="L14" s="241" t="s">
        <v>684</v>
      </c>
    </row>
    <row r="15" ht="18" spans="1:12">
      <c r="A15" s="80">
        <v>62402</v>
      </c>
      <c r="B15" s="80">
        <v>44004</v>
      </c>
      <c r="C15" s="80">
        <v>1</v>
      </c>
      <c r="D15" s="237" t="s">
        <v>677</v>
      </c>
      <c r="E15" s="80">
        <v>120</v>
      </c>
      <c r="F15" s="80">
        <v>11005</v>
      </c>
      <c r="G15" s="80">
        <v>15</v>
      </c>
      <c r="H15" s="80">
        <v>50</v>
      </c>
      <c r="I15" s="80"/>
      <c r="J15" s="80"/>
      <c r="K15" s="80"/>
      <c r="L15" s="241" t="s">
        <v>684</v>
      </c>
    </row>
    <row r="16" ht="18" spans="1:12">
      <c r="A16" s="80">
        <v>62403</v>
      </c>
      <c r="B16" s="80">
        <v>44004</v>
      </c>
      <c r="C16" s="80">
        <v>1</v>
      </c>
      <c r="D16" s="237" t="s">
        <v>677</v>
      </c>
      <c r="E16" s="80">
        <v>120</v>
      </c>
      <c r="F16" s="80">
        <v>11016</v>
      </c>
      <c r="G16" s="80">
        <v>5</v>
      </c>
      <c r="H16" s="80">
        <v>20</v>
      </c>
      <c r="I16" s="80"/>
      <c r="J16" s="80"/>
      <c r="K16" s="80"/>
      <c r="L16" s="241" t="s">
        <v>684</v>
      </c>
    </row>
    <row r="17" ht="18" spans="1:12">
      <c r="A17" s="80">
        <v>62404</v>
      </c>
      <c r="B17" s="80">
        <v>44004</v>
      </c>
      <c r="C17" s="80">
        <v>1</v>
      </c>
      <c r="D17" s="237" t="s">
        <v>677</v>
      </c>
      <c r="E17" s="80">
        <v>120</v>
      </c>
      <c r="F17" s="80">
        <v>11085</v>
      </c>
      <c r="G17" s="80">
        <v>8</v>
      </c>
      <c r="H17" s="80">
        <v>50</v>
      </c>
      <c r="I17" s="80"/>
      <c r="J17" s="80"/>
      <c r="K17" s="80"/>
      <c r="L17" s="241" t="s">
        <v>684</v>
      </c>
    </row>
    <row r="18" ht="18" spans="1:12">
      <c r="A18" s="80">
        <v>62405</v>
      </c>
      <c r="B18" s="80">
        <v>44004</v>
      </c>
      <c r="C18" s="80">
        <v>2</v>
      </c>
      <c r="D18" s="105" t="s">
        <v>678</v>
      </c>
      <c r="E18" s="80">
        <v>120</v>
      </c>
      <c r="F18" s="80"/>
      <c r="G18" s="80">
        <v>6000</v>
      </c>
      <c r="H18" s="80"/>
      <c r="I18" s="80"/>
      <c r="J18" s="80"/>
      <c r="K18" s="80"/>
      <c r="L18" s="241" t="s">
        <v>684</v>
      </c>
    </row>
    <row r="19" ht="18" spans="1:12">
      <c r="A19" s="80">
        <v>62406</v>
      </c>
      <c r="B19" s="80">
        <v>44004</v>
      </c>
      <c r="C19" s="80">
        <v>1</v>
      </c>
      <c r="D19" s="237" t="s">
        <v>677</v>
      </c>
      <c r="E19" s="80">
        <v>150</v>
      </c>
      <c r="F19" s="80">
        <v>11004</v>
      </c>
      <c r="G19" s="80">
        <v>12</v>
      </c>
      <c r="H19" s="80">
        <v>80</v>
      </c>
      <c r="I19" s="80">
        <v>11016</v>
      </c>
      <c r="J19" s="80">
        <v>3</v>
      </c>
      <c r="K19" s="80">
        <v>35</v>
      </c>
      <c r="L19" s="241" t="s">
        <v>684</v>
      </c>
    </row>
    <row r="20" ht="18" spans="1:12">
      <c r="A20" s="80">
        <v>62407</v>
      </c>
      <c r="B20" s="80">
        <v>44004</v>
      </c>
      <c r="C20" s="80">
        <v>1</v>
      </c>
      <c r="D20" s="237" t="s">
        <v>677</v>
      </c>
      <c r="E20" s="80">
        <v>150</v>
      </c>
      <c r="F20" s="80">
        <v>11003</v>
      </c>
      <c r="G20" s="80">
        <v>12</v>
      </c>
      <c r="H20" s="80">
        <v>80</v>
      </c>
      <c r="I20" s="80">
        <v>11021</v>
      </c>
      <c r="J20" s="80">
        <v>3</v>
      </c>
      <c r="K20" s="80">
        <v>35</v>
      </c>
      <c r="L20" s="241" t="s">
        <v>684</v>
      </c>
    </row>
    <row r="21" ht="18" spans="1:12">
      <c r="A21" s="80">
        <v>62408</v>
      </c>
      <c r="B21" s="80">
        <v>44004</v>
      </c>
      <c r="C21" s="80">
        <v>1</v>
      </c>
      <c r="D21" s="237" t="s">
        <v>677</v>
      </c>
      <c r="E21" s="80">
        <v>150</v>
      </c>
      <c r="F21" s="80">
        <v>11005</v>
      </c>
      <c r="G21" s="80">
        <v>12</v>
      </c>
      <c r="H21" s="80">
        <v>80</v>
      </c>
      <c r="I21" s="80">
        <v>11023</v>
      </c>
      <c r="J21" s="80">
        <v>3</v>
      </c>
      <c r="K21" s="80">
        <v>35</v>
      </c>
      <c r="L21" s="241" t="s">
        <v>684</v>
      </c>
    </row>
    <row r="22" ht="18" spans="1:12">
      <c r="A22" s="80">
        <v>62409</v>
      </c>
      <c r="B22" s="80">
        <v>44004</v>
      </c>
      <c r="C22" s="80">
        <v>1</v>
      </c>
      <c r="D22" s="237" t="s">
        <v>677</v>
      </c>
      <c r="E22" s="80">
        <v>150</v>
      </c>
      <c r="F22" s="80">
        <v>11011</v>
      </c>
      <c r="G22" s="80">
        <v>9</v>
      </c>
      <c r="H22" s="80">
        <v>15</v>
      </c>
      <c r="I22" s="80">
        <v>11015</v>
      </c>
      <c r="J22" s="80">
        <v>3</v>
      </c>
      <c r="K22" s="80">
        <v>35</v>
      </c>
      <c r="L22" s="241" t="s">
        <v>684</v>
      </c>
    </row>
    <row r="23" ht="18" spans="1:12">
      <c r="A23" s="80">
        <v>62410</v>
      </c>
      <c r="B23" s="80">
        <v>44004</v>
      </c>
      <c r="C23" s="80">
        <v>2</v>
      </c>
      <c r="D23" s="105" t="s">
        <v>678</v>
      </c>
      <c r="E23" s="80">
        <v>150</v>
      </c>
      <c r="F23" s="80"/>
      <c r="G23" s="80">
        <v>8000</v>
      </c>
      <c r="H23" s="80"/>
      <c r="I23" s="80"/>
      <c r="J23" s="80"/>
      <c r="K23" s="80"/>
      <c r="L23" s="241" t="s">
        <v>684</v>
      </c>
    </row>
    <row r="24" ht="18" spans="1:12">
      <c r="A24" s="80">
        <v>62501</v>
      </c>
      <c r="B24" s="80">
        <v>44005</v>
      </c>
      <c r="C24" s="80">
        <v>1</v>
      </c>
      <c r="D24" s="237" t="s">
        <v>677</v>
      </c>
      <c r="E24" s="80">
        <v>120</v>
      </c>
      <c r="F24" s="80">
        <v>11014</v>
      </c>
      <c r="G24" s="80">
        <v>4</v>
      </c>
      <c r="H24" s="80">
        <v>25</v>
      </c>
      <c r="I24" s="80"/>
      <c r="J24" s="80"/>
      <c r="K24" s="80"/>
      <c r="L24" s="241" t="s">
        <v>685</v>
      </c>
    </row>
    <row r="25" ht="18" spans="1:12">
      <c r="A25" s="80">
        <v>62502</v>
      </c>
      <c r="B25" s="80">
        <v>44005</v>
      </c>
      <c r="C25" s="80">
        <v>1</v>
      </c>
      <c r="D25" s="237" t="s">
        <v>677</v>
      </c>
      <c r="E25" s="80">
        <v>120</v>
      </c>
      <c r="F25" s="80">
        <v>11007</v>
      </c>
      <c r="G25" s="80">
        <v>12</v>
      </c>
      <c r="H25" s="80">
        <v>50</v>
      </c>
      <c r="I25" s="80"/>
      <c r="J25" s="80"/>
      <c r="K25" s="80"/>
      <c r="L25" s="241" t="s">
        <v>685</v>
      </c>
    </row>
    <row r="26" ht="18" spans="1:12">
      <c r="A26" s="80">
        <v>62503</v>
      </c>
      <c r="B26" s="80">
        <v>44005</v>
      </c>
      <c r="C26" s="80">
        <v>1</v>
      </c>
      <c r="D26" s="237" t="s">
        <v>677</v>
      </c>
      <c r="E26" s="80">
        <v>120</v>
      </c>
      <c r="F26" s="80">
        <v>11016</v>
      </c>
      <c r="G26" s="80">
        <v>5</v>
      </c>
      <c r="H26" s="80">
        <v>20</v>
      </c>
      <c r="I26" s="80"/>
      <c r="J26" s="80"/>
      <c r="K26" s="80"/>
      <c r="L26" s="241" t="s">
        <v>685</v>
      </c>
    </row>
    <row r="27" ht="18" spans="1:12">
      <c r="A27" s="80">
        <v>62504</v>
      </c>
      <c r="B27" s="80">
        <v>44005</v>
      </c>
      <c r="C27" s="80">
        <v>1</v>
      </c>
      <c r="D27" s="237" t="s">
        <v>677</v>
      </c>
      <c r="E27" s="80">
        <v>120</v>
      </c>
      <c r="F27" s="80">
        <v>11006</v>
      </c>
      <c r="G27" s="80">
        <v>15</v>
      </c>
      <c r="H27" s="80">
        <v>50</v>
      </c>
      <c r="I27" s="80"/>
      <c r="J27" s="80"/>
      <c r="K27" s="80"/>
      <c r="L27" s="241" t="s">
        <v>685</v>
      </c>
    </row>
    <row r="28" ht="18" spans="1:12">
      <c r="A28" s="80">
        <v>62505</v>
      </c>
      <c r="B28" s="80">
        <v>44005</v>
      </c>
      <c r="C28" s="80">
        <v>2</v>
      </c>
      <c r="D28" s="239" t="s">
        <v>678</v>
      </c>
      <c r="E28" s="80">
        <v>120</v>
      </c>
      <c r="F28" s="80"/>
      <c r="G28" s="80">
        <v>8000</v>
      </c>
      <c r="H28" s="80"/>
      <c r="I28" s="80"/>
      <c r="J28" s="80"/>
      <c r="K28" s="80"/>
      <c r="L28" s="241" t="s">
        <v>685</v>
      </c>
    </row>
    <row r="29" ht="18" spans="1:12">
      <c r="A29" s="80">
        <v>62506</v>
      </c>
      <c r="B29" s="80">
        <v>44005</v>
      </c>
      <c r="C29" s="80">
        <v>1</v>
      </c>
      <c r="D29" s="237" t="s">
        <v>677</v>
      </c>
      <c r="E29" s="80">
        <v>150</v>
      </c>
      <c r="F29" s="80">
        <v>11007</v>
      </c>
      <c r="G29" s="80">
        <v>12</v>
      </c>
      <c r="H29" s="80">
        <v>80</v>
      </c>
      <c r="I29" s="80">
        <v>11016</v>
      </c>
      <c r="J29" s="80">
        <v>3</v>
      </c>
      <c r="K29" s="80">
        <v>35</v>
      </c>
      <c r="L29" s="241" t="s">
        <v>685</v>
      </c>
    </row>
    <row r="30" ht="18" spans="1:12">
      <c r="A30" s="80">
        <v>62507</v>
      </c>
      <c r="B30" s="80">
        <v>44005</v>
      </c>
      <c r="C30" s="80">
        <v>1</v>
      </c>
      <c r="D30" s="237" t="s">
        <v>677</v>
      </c>
      <c r="E30" s="80">
        <v>150</v>
      </c>
      <c r="F30" s="80">
        <v>11005</v>
      </c>
      <c r="G30" s="80">
        <v>12</v>
      </c>
      <c r="H30" s="80">
        <v>80</v>
      </c>
      <c r="I30" s="80">
        <v>11022</v>
      </c>
      <c r="J30" s="80">
        <v>3</v>
      </c>
      <c r="K30" s="80">
        <v>35</v>
      </c>
      <c r="L30" s="241" t="s">
        <v>685</v>
      </c>
    </row>
    <row r="31" ht="18" spans="1:12">
      <c r="A31" s="80">
        <v>62508</v>
      </c>
      <c r="B31" s="80">
        <v>44005</v>
      </c>
      <c r="C31" s="80">
        <v>1</v>
      </c>
      <c r="D31" s="237" t="s">
        <v>677</v>
      </c>
      <c r="E31" s="80">
        <v>150</v>
      </c>
      <c r="F31" s="80">
        <v>11006</v>
      </c>
      <c r="G31" s="80">
        <v>12</v>
      </c>
      <c r="H31" s="80">
        <v>80</v>
      </c>
      <c r="I31" s="80">
        <v>11023</v>
      </c>
      <c r="J31" s="80">
        <v>3</v>
      </c>
      <c r="K31" s="80">
        <v>35</v>
      </c>
      <c r="L31" s="241" t="s">
        <v>685</v>
      </c>
    </row>
    <row r="32" ht="18" spans="1:12">
      <c r="A32" s="80">
        <v>62509</v>
      </c>
      <c r="B32" s="80">
        <v>44005</v>
      </c>
      <c r="C32" s="80">
        <v>1</v>
      </c>
      <c r="D32" s="237" t="s">
        <v>677</v>
      </c>
      <c r="E32" s="80">
        <v>150</v>
      </c>
      <c r="F32" s="80">
        <v>11012</v>
      </c>
      <c r="G32" s="80">
        <v>9</v>
      </c>
      <c r="H32" s="80">
        <v>15</v>
      </c>
      <c r="I32" s="80">
        <v>11014</v>
      </c>
      <c r="J32" s="80">
        <v>3</v>
      </c>
      <c r="K32" s="80">
        <v>35</v>
      </c>
      <c r="L32" s="241" t="s">
        <v>685</v>
      </c>
    </row>
    <row r="33" ht="18" spans="1:12">
      <c r="A33" s="80">
        <v>62510</v>
      </c>
      <c r="B33" s="80">
        <v>44005</v>
      </c>
      <c r="C33" s="80">
        <v>2</v>
      </c>
      <c r="D33" s="105" t="s">
        <v>678</v>
      </c>
      <c r="E33" s="80">
        <v>150</v>
      </c>
      <c r="F33" s="80"/>
      <c r="G33" s="80">
        <v>10000</v>
      </c>
      <c r="H33" s="80"/>
      <c r="I33" s="80"/>
      <c r="J33" s="80"/>
      <c r="K33" s="80"/>
      <c r="L33" s="241" t="s">
        <v>685</v>
      </c>
    </row>
    <row r="34" ht="17.6" spans="5:12">
      <c r="E34" s="240"/>
      <c r="L34" s="238"/>
    </row>
    <row r="35" spans="12:12">
      <c r="L35" s="238"/>
    </row>
    <row r="36" spans="12:12">
      <c r="L36" s="238"/>
    </row>
    <row r="37" spans="12:12">
      <c r="L37" s="238"/>
    </row>
    <row r="38" spans="12:12">
      <c r="L38" s="238"/>
    </row>
    <row r="39" spans="12:12">
      <c r="L39" s="238"/>
    </row>
    <row r="40" spans="12:12">
      <c r="L40" s="238"/>
    </row>
    <row r="41" spans="12:12">
      <c r="L41" s="238"/>
    </row>
    <row r="42" spans="12:12">
      <c r="L42" s="238"/>
    </row>
    <row r="43" spans="12:12">
      <c r="L43" s="238"/>
    </row>
    <row r="44" spans="12:12">
      <c r="L44" s="238"/>
    </row>
    <row r="45" spans="12:12">
      <c r="L45" s="238"/>
    </row>
    <row r="46" spans="12:12">
      <c r="L46" s="238"/>
    </row>
    <row r="47" spans="12:12">
      <c r="L47" s="238"/>
    </row>
    <row r="48" spans="12:12">
      <c r="L48" s="238"/>
    </row>
    <row r="49" spans="12:12">
      <c r="L49" s="238"/>
    </row>
    <row r="50" spans="12:12">
      <c r="L50" s="238"/>
    </row>
    <row r="51" spans="12:12">
      <c r="L51" s="238"/>
    </row>
    <row r="52" spans="12:12">
      <c r="L52" s="238"/>
    </row>
    <row r="53" spans="12:12">
      <c r="L53" s="238"/>
    </row>
    <row r="54" spans="12:12">
      <c r="L54" s="238"/>
    </row>
    <row r="55" spans="12:12">
      <c r="L55" s="238"/>
    </row>
    <row r="56" spans="12:12">
      <c r="L56" s="238"/>
    </row>
    <row r="57" spans="12:12">
      <c r="L57" s="238"/>
    </row>
    <row r="58" spans="12:12">
      <c r="L58" s="238"/>
    </row>
    <row r="59" spans="12:12">
      <c r="L59" s="238"/>
    </row>
    <row r="60" spans="12:12">
      <c r="L60" s="238"/>
    </row>
    <row r="61" spans="12:12">
      <c r="L61" s="238"/>
    </row>
    <row r="62" spans="12:12">
      <c r="L62" s="238"/>
    </row>
    <row r="63" spans="12:12">
      <c r="L63" s="238"/>
    </row>
    <row r="64" spans="12:12">
      <c r="L64" s="238"/>
    </row>
    <row r="65" spans="12:12">
      <c r="L65" s="238"/>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33"/>
  <sheetViews>
    <sheetView workbookViewId="0">
      <selection activeCell="D37" sqref="D37"/>
    </sheetView>
  </sheetViews>
  <sheetFormatPr defaultColWidth="9" defaultRowHeight="15.2"/>
  <cols>
    <col min="4" max="4" width="45.6973684210526" customWidth="1"/>
  </cols>
  <sheetData>
    <row r="1" ht="36" spans="1:9">
      <c r="A1" s="80" t="s">
        <v>640</v>
      </c>
      <c r="B1" s="80" t="s">
        <v>669</v>
      </c>
      <c r="C1" s="80" t="s">
        <v>28</v>
      </c>
      <c r="D1" s="80" t="s">
        <v>35</v>
      </c>
      <c r="E1" s="80" t="s">
        <v>670</v>
      </c>
      <c r="F1" s="80" t="s">
        <v>641</v>
      </c>
      <c r="G1" s="80" t="s">
        <v>671</v>
      </c>
      <c r="H1" s="80" t="s">
        <v>643</v>
      </c>
      <c r="I1" s="80" t="s">
        <v>671</v>
      </c>
    </row>
    <row r="2" ht="18" spans="1:9">
      <c r="A2" s="80" t="s">
        <v>39</v>
      </c>
      <c r="B2" s="80" t="s">
        <v>39</v>
      </c>
      <c r="C2" s="80" t="s">
        <v>39</v>
      </c>
      <c r="D2" s="80" t="s">
        <v>40</v>
      </c>
      <c r="E2" s="80" t="s">
        <v>39</v>
      </c>
      <c r="F2" s="80" t="s">
        <v>39</v>
      </c>
      <c r="G2" s="80" t="s">
        <v>39</v>
      </c>
      <c r="H2" s="80" t="s">
        <v>39</v>
      </c>
      <c r="I2" s="80" t="s">
        <v>39</v>
      </c>
    </row>
    <row r="3" ht="51" spans="1:9">
      <c r="A3" s="80" t="s">
        <v>651</v>
      </c>
      <c r="B3" s="80" t="s">
        <v>673</v>
      </c>
      <c r="C3" s="80" t="s">
        <v>652</v>
      </c>
      <c r="D3" s="80" t="s">
        <v>653</v>
      </c>
      <c r="E3" s="80" t="s">
        <v>674</v>
      </c>
      <c r="F3" s="80" t="s">
        <v>654</v>
      </c>
      <c r="G3" s="80" t="s">
        <v>675</v>
      </c>
      <c r="H3" s="80" t="s">
        <v>656</v>
      </c>
      <c r="I3" s="80" t="s">
        <v>675</v>
      </c>
    </row>
    <row r="4" ht="17.6" spans="1:9">
      <c r="A4" s="80">
        <v>63301</v>
      </c>
      <c r="B4" s="80">
        <v>44003</v>
      </c>
      <c r="C4" s="80">
        <v>1</v>
      </c>
      <c r="D4" s="237" t="s">
        <v>686</v>
      </c>
      <c r="E4" s="80">
        <v>150</v>
      </c>
      <c r="F4" s="80">
        <v>11002</v>
      </c>
      <c r="G4" s="80">
        <v>20</v>
      </c>
      <c r="H4" s="80">
        <v>11022</v>
      </c>
      <c r="I4" s="80">
        <v>20</v>
      </c>
    </row>
    <row r="5" ht="17.6" spans="1:9">
      <c r="A5" s="80">
        <v>63302</v>
      </c>
      <c r="B5" s="80">
        <v>44003</v>
      </c>
      <c r="C5" s="80">
        <v>1</v>
      </c>
      <c r="D5" s="237" t="s">
        <v>686</v>
      </c>
      <c r="E5" s="80">
        <v>150</v>
      </c>
      <c r="F5" s="80">
        <v>11008</v>
      </c>
      <c r="G5" s="80">
        <v>20</v>
      </c>
      <c r="H5" s="80">
        <v>11024</v>
      </c>
      <c r="I5" s="80">
        <v>20</v>
      </c>
    </row>
    <row r="6" ht="17.6" spans="1:9">
      <c r="A6" s="80">
        <v>63303</v>
      </c>
      <c r="B6" s="80">
        <v>44003</v>
      </c>
      <c r="C6" s="80">
        <v>1</v>
      </c>
      <c r="D6" s="237" t="s">
        <v>686</v>
      </c>
      <c r="E6" s="80">
        <v>150</v>
      </c>
      <c r="F6" s="80">
        <v>11011</v>
      </c>
      <c r="G6" s="80">
        <v>20</v>
      </c>
      <c r="H6" s="80">
        <v>11021</v>
      </c>
      <c r="I6" s="80">
        <v>20</v>
      </c>
    </row>
    <row r="7" ht="17.6" spans="1:9">
      <c r="A7" s="80">
        <v>63304</v>
      </c>
      <c r="B7" s="80">
        <v>44003</v>
      </c>
      <c r="C7" s="80">
        <v>1</v>
      </c>
      <c r="D7" s="237" t="s">
        <v>686</v>
      </c>
      <c r="E7" s="80">
        <v>150</v>
      </c>
      <c r="F7" s="80">
        <v>11008</v>
      </c>
      <c r="G7" s="80">
        <v>20</v>
      </c>
      <c r="H7" s="80">
        <v>11019</v>
      </c>
      <c r="I7" s="80">
        <v>20</v>
      </c>
    </row>
    <row r="8" ht="17.6" spans="1:9">
      <c r="A8" s="80">
        <v>63305</v>
      </c>
      <c r="B8" s="80">
        <v>44003</v>
      </c>
      <c r="C8" s="80">
        <v>1</v>
      </c>
      <c r="D8" s="237" t="s">
        <v>686</v>
      </c>
      <c r="E8" s="80">
        <v>150</v>
      </c>
      <c r="F8" s="80">
        <v>11014</v>
      </c>
      <c r="G8" s="80">
        <v>20</v>
      </c>
      <c r="H8" s="80"/>
      <c r="I8" s="80"/>
    </row>
    <row r="9" ht="17.6" spans="1:9">
      <c r="A9" s="80">
        <v>63306</v>
      </c>
      <c r="B9" s="80">
        <v>44003</v>
      </c>
      <c r="C9" s="80">
        <v>1</v>
      </c>
      <c r="D9" s="237" t="s">
        <v>686</v>
      </c>
      <c r="E9" s="80">
        <v>150</v>
      </c>
      <c r="F9" s="80">
        <v>11004</v>
      </c>
      <c r="G9" s="80">
        <v>20</v>
      </c>
      <c r="H9" s="80"/>
      <c r="I9" s="80"/>
    </row>
    <row r="10" ht="17.6" spans="1:9">
      <c r="A10" s="80">
        <v>63307</v>
      </c>
      <c r="B10" s="80">
        <v>44003</v>
      </c>
      <c r="C10" s="80">
        <v>1</v>
      </c>
      <c r="D10" s="237" t="s">
        <v>686</v>
      </c>
      <c r="E10" s="80">
        <v>150</v>
      </c>
      <c r="F10" s="80">
        <v>11011</v>
      </c>
      <c r="G10" s="80">
        <v>20</v>
      </c>
      <c r="H10" s="80"/>
      <c r="I10" s="80"/>
    </row>
    <row r="11" ht="17.6" spans="1:9">
      <c r="A11" s="80">
        <v>63308</v>
      </c>
      <c r="B11" s="80">
        <v>44003</v>
      </c>
      <c r="C11" s="80">
        <v>2</v>
      </c>
      <c r="D11" s="237" t="s">
        <v>687</v>
      </c>
      <c r="E11" s="80">
        <v>150</v>
      </c>
      <c r="F11" s="80"/>
      <c r="G11" s="80"/>
      <c r="H11" s="80"/>
      <c r="I11" s="80"/>
    </row>
    <row r="12" ht="17.6" spans="1:9">
      <c r="A12" s="80">
        <v>63309</v>
      </c>
      <c r="B12" s="80">
        <v>44003</v>
      </c>
      <c r="C12" s="80">
        <v>4</v>
      </c>
      <c r="D12" s="237" t="s">
        <v>688</v>
      </c>
      <c r="E12" s="80">
        <v>150</v>
      </c>
      <c r="F12" s="80"/>
      <c r="G12" s="80"/>
      <c r="H12" s="80"/>
      <c r="I12" s="80"/>
    </row>
    <row r="13" ht="17.6" spans="1:9">
      <c r="A13" s="80">
        <v>63310</v>
      </c>
      <c r="B13" s="80">
        <v>44003</v>
      </c>
      <c r="C13" s="80">
        <v>2</v>
      </c>
      <c r="D13" s="237" t="s">
        <v>687</v>
      </c>
      <c r="E13" s="80">
        <v>150</v>
      </c>
      <c r="F13" s="80"/>
      <c r="G13" s="80"/>
      <c r="H13" s="80"/>
      <c r="I13" s="80"/>
    </row>
    <row r="14" ht="17.6" spans="1:9">
      <c r="A14" s="80">
        <v>63401</v>
      </c>
      <c r="B14" s="80">
        <v>44004</v>
      </c>
      <c r="C14" s="80">
        <v>1</v>
      </c>
      <c r="D14" s="237" t="s">
        <v>686</v>
      </c>
      <c r="E14" s="80">
        <v>150</v>
      </c>
      <c r="F14" s="80">
        <v>11085</v>
      </c>
      <c r="G14" s="80">
        <v>20</v>
      </c>
      <c r="H14" s="80">
        <v>11015</v>
      </c>
      <c r="I14" s="80">
        <v>20</v>
      </c>
    </row>
    <row r="15" ht="17.6" spans="1:9">
      <c r="A15" s="80">
        <v>63402</v>
      </c>
      <c r="B15" s="80">
        <v>44004</v>
      </c>
      <c r="C15" s="80">
        <v>1</v>
      </c>
      <c r="D15" s="237" t="s">
        <v>686</v>
      </c>
      <c r="E15" s="80">
        <v>150</v>
      </c>
      <c r="F15" s="80">
        <v>11086</v>
      </c>
      <c r="G15" s="80">
        <v>20</v>
      </c>
      <c r="H15" s="80">
        <v>11023</v>
      </c>
      <c r="I15" s="80">
        <v>20</v>
      </c>
    </row>
    <row r="16" ht="17.6" spans="1:9">
      <c r="A16" s="80">
        <v>63403</v>
      </c>
      <c r="B16" s="80">
        <v>44004</v>
      </c>
      <c r="C16" s="80">
        <v>1</v>
      </c>
      <c r="D16" s="237" t="s">
        <v>686</v>
      </c>
      <c r="E16" s="80">
        <v>150</v>
      </c>
      <c r="F16" s="80">
        <v>11011</v>
      </c>
      <c r="G16" s="80">
        <v>20</v>
      </c>
      <c r="H16" s="80">
        <v>11024</v>
      </c>
      <c r="I16" s="80">
        <v>20</v>
      </c>
    </row>
    <row r="17" ht="17.6" spans="1:9">
      <c r="A17" s="80">
        <v>63404</v>
      </c>
      <c r="B17" s="80">
        <v>44004</v>
      </c>
      <c r="C17" s="80">
        <v>1</v>
      </c>
      <c r="D17" s="237" t="s">
        <v>686</v>
      </c>
      <c r="E17" s="80">
        <v>150</v>
      </c>
      <c r="F17" s="80">
        <v>11004</v>
      </c>
      <c r="G17" s="80">
        <v>20</v>
      </c>
      <c r="H17" s="80">
        <v>11018</v>
      </c>
      <c r="I17" s="80">
        <v>20</v>
      </c>
    </row>
    <row r="18" ht="17.6" spans="1:9">
      <c r="A18" s="80">
        <v>63405</v>
      </c>
      <c r="B18" s="80">
        <v>44004</v>
      </c>
      <c r="C18" s="80">
        <v>1</v>
      </c>
      <c r="D18" s="237" t="s">
        <v>686</v>
      </c>
      <c r="E18" s="80">
        <v>150</v>
      </c>
      <c r="F18" s="80">
        <v>11024</v>
      </c>
      <c r="G18" s="80">
        <v>20</v>
      </c>
      <c r="H18" s="80"/>
      <c r="I18" s="80"/>
    </row>
    <row r="19" ht="17.6" spans="1:9">
      <c r="A19" s="80">
        <v>63406</v>
      </c>
      <c r="B19" s="80">
        <v>44004</v>
      </c>
      <c r="C19" s="80">
        <v>1</v>
      </c>
      <c r="D19" s="237" t="s">
        <v>686</v>
      </c>
      <c r="E19" s="80">
        <v>150</v>
      </c>
      <c r="F19" s="80">
        <v>11005</v>
      </c>
      <c r="G19" s="80">
        <v>20</v>
      </c>
      <c r="H19" s="80"/>
      <c r="I19" s="80"/>
    </row>
    <row r="20" ht="17.6" spans="1:9">
      <c r="A20" s="80">
        <v>63407</v>
      </c>
      <c r="B20" s="80">
        <v>44004</v>
      </c>
      <c r="C20" s="80">
        <v>1</v>
      </c>
      <c r="D20" s="237" t="s">
        <v>686</v>
      </c>
      <c r="E20" s="80">
        <v>150</v>
      </c>
      <c r="F20" s="80">
        <v>11021</v>
      </c>
      <c r="G20" s="80">
        <v>20</v>
      </c>
      <c r="H20" s="80"/>
      <c r="I20" s="80"/>
    </row>
    <row r="21" ht="17.6" spans="1:9">
      <c r="A21" s="80">
        <v>63408</v>
      </c>
      <c r="B21" s="80">
        <v>44004</v>
      </c>
      <c r="C21" s="80">
        <v>2</v>
      </c>
      <c r="D21" s="237" t="s">
        <v>687</v>
      </c>
      <c r="E21" s="80">
        <v>150</v>
      </c>
      <c r="F21" s="80"/>
      <c r="G21" s="80"/>
      <c r="H21" s="80"/>
      <c r="I21" s="80"/>
    </row>
    <row r="22" ht="17.6" spans="1:9">
      <c r="A22" s="80">
        <v>63409</v>
      </c>
      <c r="B22" s="80">
        <v>44004</v>
      </c>
      <c r="C22" s="80">
        <v>4</v>
      </c>
      <c r="D22" s="237" t="s">
        <v>688</v>
      </c>
      <c r="E22" s="80">
        <v>150</v>
      </c>
      <c r="F22" s="80"/>
      <c r="G22" s="80"/>
      <c r="H22" s="80"/>
      <c r="I22" s="80"/>
    </row>
    <row r="23" ht="17.6" spans="1:9">
      <c r="A23" s="80">
        <v>63410</v>
      </c>
      <c r="B23" s="80">
        <v>44004</v>
      </c>
      <c r="C23" s="80">
        <v>2</v>
      </c>
      <c r="D23" s="237" t="s">
        <v>687</v>
      </c>
      <c r="E23" s="80">
        <v>150</v>
      </c>
      <c r="F23" s="80"/>
      <c r="G23" s="80"/>
      <c r="H23" s="80"/>
      <c r="I23" s="80"/>
    </row>
    <row r="24" ht="17.6" spans="1:9">
      <c r="A24" s="80">
        <v>63501</v>
      </c>
      <c r="B24" s="80">
        <v>44005</v>
      </c>
      <c r="C24" s="80">
        <v>1</v>
      </c>
      <c r="D24" s="237" t="s">
        <v>686</v>
      </c>
      <c r="E24" s="80">
        <v>150</v>
      </c>
      <c r="F24" s="80">
        <v>11007</v>
      </c>
      <c r="G24" s="80">
        <v>20</v>
      </c>
      <c r="H24" s="80">
        <v>11016</v>
      </c>
      <c r="I24" s="80">
        <v>20</v>
      </c>
    </row>
    <row r="25" ht="17.6" spans="1:9">
      <c r="A25" s="80">
        <v>63502</v>
      </c>
      <c r="B25" s="80">
        <v>44005</v>
      </c>
      <c r="C25" s="80">
        <v>1</v>
      </c>
      <c r="D25" s="237" t="s">
        <v>686</v>
      </c>
      <c r="E25" s="80">
        <v>150</v>
      </c>
      <c r="F25" s="80">
        <v>11085</v>
      </c>
      <c r="G25" s="80">
        <v>20</v>
      </c>
      <c r="H25" s="80">
        <v>11022</v>
      </c>
      <c r="I25" s="80">
        <v>20</v>
      </c>
    </row>
    <row r="26" ht="17.6" spans="1:9">
      <c r="A26" s="80">
        <v>63503</v>
      </c>
      <c r="B26" s="80">
        <v>44005</v>
      </c>
      <c r="C26" s="80">
        <v>1</v>
      </c>
      <c r="D26" s="237" t="s">
        <v>686</v>
      </c>
      <c r="E26" s="80">
        <v>150</v>
      </c>
      <c r="F26" s="80">
        <v>11012</v>
      </c>
      <c r="G26" s="80">
        <v>20</v>
      </c>
      <c r="H26" s="80">
        <v>11025</v>
      </c>
      <c r="I26" s="80">
        <v>20</v>
      </c>
    </row>
    <row r="27" ht="17.6" spans="1:9">
      <c r="A27" s="80">
        <v>63504</v>
      </c>
      <c r="B27" s="80">
        <v>44005</v>
      </c>
      <c r="C27" s="80">
        <v>1</v>
      </c>
      <c r="D27" s="237" t="s">
        <v>686</v>
      </c>
      <c r="E27" s="80">
        <v>150</v>
      </c>
      <c r="F27" s="80">
        <v>11005</v>
      </c>
      <c r="G27" s="80">
        <v>20</v>
      </c>
      <c r="H27" s="80">
        <v>11020</v>
      </c>
      <c r="I27" s="80">
        <v>20</v>
      </c>
    </row>
    <row r="28" ht="17.6" spans="1:9">
      <c r="A28" s="80">
        <v>63505</v>
      </c>
      <c r="B28" s="80">
        <v>44005</v>
      </c>
      <c r="C28" s="80">
        <v>1</v>
      </c>
      <c r="D28" s="237" t="s">
        <v>686</v>
      </c>
      <c r="E28" s="80">
        <v>150</v>
      </c>
      <c r="F28" s="80">
        <v>11026</v>
      </c>
      <c r="G28" s="80">
        <v>20</v>
      </c>
      <c r="H28" s="80"/>
      <c r="I28" s="80"/>
    </row>
    <row r="29" ht="17.6" spans="1:9">
      <c r="A29" s="80">
        <v>63506</v>
      </c>
      <c r="B29" s="80">
        <v>44005</v>
      </c>
      <c r="C29" s="80">
        <v>1</v>
      </c>
      <c r="D29" s="237" t="s">
        <v>686</v>
      </c>
      <c r="E29" s="80">
        <v>150</v>
      </c>
      <c r="F29" s="80">
        <v>11005</v>
      </c>
      <c r="G29" s="80">
        <v>20</v>
      </c>
      <c r="H29" s="80"/>
      <c r="I29" s="80"/>
    </row>
    <row r="30" ht="17.6" spans="1:9">
      <c r="A30" s="80">
        <v>63507</v>
      </c>
      <c r="B30" s="80">
        <v>44005</v>
      </c>
      <c r="C30" s="80">
        <v>1</v>
      </c>
      <c r="D30" s="237" t="s">
        <v>686</v>
      </c>
      <c r="E30" s="80">
        <v>150</v>
      </c>
      <c r="F30" s="80">
        <v>11020</v>
      </c>
      <c r="G30" s="80">
        <v>20</v>
      </c>
      <c r="H30" s="80"/>
      <c r="I30" s="80"/>
    </row>
    <row r="31" ht="17.6" spans="1:9">
      <c r="A31" s="80">
        <v>63508</v>
      </c>
      <c r="B31" s="80">
        <v>44005</v>
      </c>
      <c r="C31" s="80">
        <v>2</v>
      </c>
      <c r="D31" s="237" t="s">
        <v>687</v>
      </c>
      <c r="E31" s="80">
        <v>150</v>
      </c>
      <c r="F31" s="80"/>
      <c r="G31" s="80"/>
      <c r="H31" s="80"/>
      <c r="I31" s="80"/>
    </row>
    <row r="32" ht="17.6" spans="1:9">
      <c r="A32" s="80">
        <v>63509</v>
      </c>
      <c r="B32" s="80">
        <v>44005</v>
      </c>
      <c r="C32" s="80">
        <v>4</v>
      </c>
      <c r="D32" s="237" t="s">
        <v>688</v>
      </c>
      <c r="E32" s="80">
        <v>150</v>
      </c>
      <c r="F32" s="80"/>
      <c r="G32" s="80"/>
      <c r="H32" s="80"/>
      <c r="I32" s="80"/>
    </row>
    <row r="33" ht="17.6" spans="1:9">
      <c r="A33" s="80">
        <v>63510</v>
      </c>
      <c r="B33" s="80">
        <v>44005</v>
      </c>
      <c r="C33" s="80">
        <v>2</v>
      </c>
      <c r="D33" s="237" t="s">
        <v>687</v>
      </c>
      <c r="E33" s="80">
        <v>150</v>
      </c>
      <c r="F33" s="80"/>
      <c r="G33" s="80"/>
      <c r="H33" s="80"/>
      <c r="I33" s="80"/>
    </row>
  </sheetData>
  <pageMargins left="0.75" right="0.75" top="1" bottom="1" header="0.5" footer="0.5"/>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Q8"/>
  <sheetViews>
    <sheetView showGridLines="0" zoomScale="78" zoomScaleNormal="78" workbookViewId="0">
      <pane xSplit="5" topLeftCell="F1" activePane="topRight" state="frozen"/>
      <selection/>
      <selection pane="topRight" activeCell="A9" sqref="$A9:$XFD9"/>
    </sheetView>
  </sheetViews>
  <sheetFormatPr defaultColWidth="6.59868421052632" defaultRowHeight="16.5" customHeight="1" outlineLevelRow="7"/>
  <cols>
    <col min="1" max="1" width="7.59868421052632" style="236" customWidth="1"/>
    <col min="2" max="2" width="9.40131578947368" style="236" customWidth="1"/>
    <col min="3" max="3" width="9.90131578947368" style="236" customWidth="1"/>
    <col min="4" max="4" width="12.4013157894737" style="236" customWidth="1"/>
    <col min="5" max="5" width="25.6973684210526" style="236" customWidth="1"/>
    <col min="6" max="24" width="6.09868421052632" style="236" customWidth="1"/>
    <col min="25" max="25" width="7.09868421052632" style="236" customWidth="1"/>
    <col min="26" max="26" width="6.09868421052632" style="236" customWidth="1"/>
    <col min="27" max="27" width="7.09868421052632" style="236" customWidth="1"/>
    <col min="28" max="28" width="6.09868421052632" style="236" customWidth="1"/>
    <col min="29" max="29" width="7.09868421052632" style="236" customWidth="1"/>
    <col min="30" max="30" width="6.09868421052632" style="236" customWidth="1"/>
    <col min="31" max="31" width="7.09868421052632" style="236" customWidth="1"/>
    <col min="32" max="32" width="6.09868421052632" style="236" customWidth="1"/>
    <col min="33" max="33" width="7.09868421052632" style="236" customWidth="1"/>
    <col min="34" max="251" width="6.59868421052632" style="236" customWidth="1"/>
  </cols>
  <sheetData>
    <row r="1" ht="23.1" customHeight="1" spans="1:251">
      <c r="A1" s="80" t="s">
        <v>689</v>
      </c>
      <c r="B1" s="80" t="s">
        <v>690</v>
      </c>
      <c r="C1" s="80" t="s">
        <v>691</v>
      </c>
      <c r="D1" s="80" t="s">
        <v>692</v>
      </c>
      <c r="E1" s="234" t="s">
        <v>693</v>
      </c>
      <c r="F1" s="80" t="s">
        <v>694</v>
      </c>
      <c r="G1" s="80" t="s">
        <v>31</v>
      </c>
      <c r="H1" s="80" t="s">
        <v>695</v>
      </c>
      <c r="I1" s="80" t="s">
        <v>32</v>
      </c>
      <c r="J1" s="80" t="s">
        <v>696</v>
      </c>
      <c r="K1" s="80" t="s">
        <v>697</v>
      </c>
      <c r="L1" s="80" t="s">
        <v>698</v>
      </c>
      <c r="M1" s="80" t="s">
        <v>699</v>
      </c>
      <c r="N1" s="80" t="s">
        <v>700</v>
      </c>
      <c r="O1" s="80" t="s">
        <v>701</v>
      </c>
      <c r="P1" s="80" t="s">
        <v>702</v>
      </c>
      <c r="Q1" s="80" t="s">
        <v>703</v>
      </c>
      <c r="R1" s="80" t="s">
        <v>704</v>
      </c>
      <c r="S1" s="80" t="s">
        <v>705</v>
      </c>
      <c r="T1" s="80" t="s">
        <v>706</v>
      </c>
      <c r="U1" s="80" t="s">
        <v>707</v>
      </c>
      <c r="V1" s="80" t="s">
        <v>708</v>
      </c>
      <c r="W1" s="80" t="s">
        <v>709</v>
      </c>
      <c r="X1" s="80" t="s">
        <v>710</v>
      </c>
      <c r="Y1" s="80" t="s">
        <v>711</v>
      </c>
      <c r="Z1" s="80" t="s">
        <v>712</v>
      </c>
      <c r="AA1" s="80" t="s">
        <v>713</v>
      </c>
      <c r="AB1" s="80" t="s">
        <v>714</v>
      </c>
      <c r="AC1" s="80" t="s">
        <v>715</v>
      </c>
      <c r="AD1" s="80" t="s">
        <v>716</v>
      </c>
      <c r="AE1" s="80" t="s">
        <v>717</v>
      </c>
      <c r="AF1" s="80" t="s">
        <v>718</v>
      </c>
      <c r="AG1" s="80" t="s">
        <v>717</v>
      </c>
      <c r="AH1" s="80" t="s">
        <v>719</v>
      </c>
      <c r="AI1" s="80" t="s">
        <v>717</v>
      </c>
      <c r="AJ1" s="80" t="s">
        <v>720</v>
      </c>
      <c r="AK1" s="80" t="s">
        <v>717</v>
      </c>
      <c r="AL1" s="80" t="s">
        <v>721</v>
      </c>
      <c r="AM1" s="80" t="s">
        <v>717</v>
      </c>
      <c r="AN1" s="80" t="s">
        <v>722</v>
      </c>
      <c r="AO1" s="80" t="s">
        <v>717</v>
      </c>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row>
    <row r="2" ht="23.1" customHeight="1" spans="1:251">
      <c r="A2" s="80" t="s">
        <v>39</v>
      </c>
      <c r="B2" s="80" t="s">
        <v>39</v>
      </c>
      <c r="C2" s="80" t="s">
        <v>39</v>
      </c>
      <c r="D2" s="80" t="s">
        <v>39</v>
      </c>
      <c r="E2" s="234" t="s">
        <v>40</v>
      </c>
      <c r="F2" s="80" t="s">
        <v>39</v>
      </c>
      <c r="G2" s="80" t="s">
        <v>39</v>
      </c>
      <c r="H2" s="80" t="s">
        <v>39</v>
      </c>
      <c r="I2" s="80" t="s">
        <v>39</v>
      </c>
      <c r="J2" s="80" t="s">
        <v>39</v>
      </c>
      <c r="K2" s="80" t="s">
        <v>39</v>
      </c>
      <c r="L2" s="80" t="s">
        <v>39</v>
      </c>
      <c r="M2" s="80" t="s">
        <v>39</v>
      </c>
      <c r="N2" s="80" t="s">
        <v>39</v>
      </c>
      <c r="O2" s="80" t="s">
        <v>39</v>
      </c>
      <c r="P2" s="80" t="s">
        <v>39</v>
      </c>
      <c r="Q2" s="80" t="s">
        <v>39</v>
      </c>
      <c r="R2" s="80" t="s">
        <v>39</v>
      </c>
      <c r="S2" s="80" t="s">
        <v>39</v>
      </c>
      <c r="T2" s="80" t="s">
        <v>39</v>
      </c>
      <c r="U2" s="80" t="s">
        <v>39</v>
      </c>
      <c r="V2" s="80" t="s">
        <v>39</v>
      </c>
      <c r="W2" s="80" t="s">
        <v>39</v>
      </c>
      <c r="X2" s="80" t="s">
        <v>39</v>
      </c>
      <c r="Y2" s="80" t="s">
        <v>39</v>
      </c>
      <c r="Z2" s="80" t="s">
        <v>39</v>
      </c>
      <c r="AA2" s="80" t="s">
        <v>39</v>
      </c>
      <c r="AB2" s="80" t="s">
        <v>39</v>
      </c>
      <c r="AC2" s="80" t="s">
        <v>39</v>
      </c>
      <c r="AD2" s="80" t="s">
        <v>39</v>
      </c>
      <c r="AE2" s="80" t="s">
        <v>39</v>
      </c>
      <c r="AF2" s="80" t="s">
        <v>39</v>
      </c>
      <c r="AG2" s="80" t="s">
        <v>39</v>
      </c>
      <c r="AH2" s="80" t="s">
        <v>39</v>
      </c>
      <c r="AI2" s="80" t="s">
        <v>39</v>
      </c>
      <c r="AJ2" s="80" t="s">
        <v>39</v>
      </c>
      <c r="AK2" s="80" t="s">
        <v>39</v>
      </c>
      <c r="AL2" s="80" t="s">
        <v>39</v>
      </c>
      <c r="AM2" s="80" t="s">
        <v>39</v>
      </c>
      <c r="AN2" s="80" t="s">
        <v>39</v>
      </c>
      <c r="AO2" s="80" t="s">
        <v>39</v>
      </c>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row>
    <row r="3" ht="23.1" customHeight="1" spans="1:251">
      <c r="A3" s="80" t="s">
        <v>673</v>
      </c>
      <c r="B3" s="80" t="s">
        <v>723</v>
      </c>
      <c r="C3" s="80" t="s">
        <v>724</v>
      </c>
      <c r="D3" s="80" t="s">
        <v>725</v>
      </c>
      <c r="E3" s="234" t="s">
        <v>726</v>
      </c>
      <c r="F3" s="80" t="s">
        <v>727</v>
      </c>
      <c r="G3" s="80" t="s">
        <v>513</v>
      </c>
      <c r="H3" s="80" t="s">
        <v>727</v>
      </c>
      <c r="I3" s="80" t="s">
        <v>513</v>
      </c>
      <c r="J3" s="80" t="s">
        <v>727</v>
      </c>
      <c r="K3" s="80" t="s">
        <v>513</v>
      </c>
      <c r="L3" s="80" t="s">
        <v>727</v>
      </c>
      <c r="M3" s="80" t="s">
        <v>513</v>
      </c>
      <c r="N3" s="80" t="s">
        <v>727</v>
      </c>
      <c r="O3" s="80" t="s">
        <v>513</v>
      </c>
      <c r="P3" s="80" t="s">
        <v>727</v>
      </c>
      <c r="Q3" s="80" t="s">
        <v>513</v>
      </c>
      <c r="R3" s="80" t="s">
        <v>727</v>
      </c>
      <c r="S3" s="80" t="s">
        <v>513</v>
      </c>
      <c r="T3" s="80" t="s">
        <v>727</v>
      </c>
      <c r="U3" s="80" t="s">
        <v>513</v>
      </c>
      <c r="V3" s="80" t="s">
        <v>727</v>
      </c>
      <c r="W3" s="80" t="s">
        <v>513</v>
      </c>
      <c r="X3" s="80" t="s">
        <v>727</v>
      </c>
      <c r="Y3" s="80" t="s">
        <v>513</v>
      </c>
      <c r="Z3" s="80" t="s">
        <v>727</v>
      </c>
      <c r="AA3" s="80" t="s">
        <v>513</v>
      </c>
      <c r="AB3" s="80" t="s">
        <v>727</v>
      </c>
      <c r="AC3" s="80" t="s">
        <v>513</v>
      </c>
      <c r="AD3" s="80" t="s">
        <v>727</v>
      </c>
      <c r="AE3" s="80" t="s">
        <v>513</v>
      </c>
      <c r="AF3" s="80" t="s">
        <v>727</v>
      </c>
      <c r="AG3" s="80" t="s">
        <v>513</v>
      </c>
      <c r="AH3" s="80" t="s">
        <v>727</v>
      </c>
      <c r="AI3" s="80" t="s">
        <v>513</v>
      </c>
      <c r="AJ3" s="80" t="s">
        <v>727</v>
      </c>
      <c r="AK3" s="80" t="s">
        <v>513</v>
      </c>
      <c r="AL3" s="80" t="s">
        <v>727</v>
      </c>
      <c r="AM3" s="80" t="s">
        <v>513</v>
      </c>
      <c r="AN3" s="80" t="s">
        <v>727</v>
      </c>
      <c r="AO3" s="80" t="s">
        <v>513</v>
      </c>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row>
    <row r="4" ht="23.1" customHeight="1" spans="1:251">
      <c r="A4" s="80">
        <v>44001</v>
      </c>
      <c r="B4" s="80">
        <v>0</v>
      </c>
      <c r="C4" s="80">
        <v>100</v>
      </c>
      <c r="D4" s="80">
        <v>100</v>
      </c>
      <c r="E4" s="234" t="s">
        <v>728</v>
      </c>
      <c r="F4" s="80">
        <v>29054</v>
      </c>
      <c r="G4" s="80">
        <v>0</v>
      </c>
      <c r="H4" s="80">
        <v>29067</v>
      </c>
      <c r="I4" s="80">
        <v>0</v>
      </c>
      <c r="J4" s="80">
        <v>29068</v>
      </c>
      <c r="K4" s="80">
        <v>0</v>
      </c>
      <c r="L4" s="80">
        <v>29069</v>
      </c>
      <c r="M4" s="80">
        <v>0</v>
      </c>
      <c r="N4" s="80">
        <v>15036</v>
      </c>
      <c r="O4" s="80">
        <v>0</v>
      </c>
      <c r="P4" s="80">
        <v>15037</v>
      </c>
      <c r="Q4" s="80">
        <v>0</v>
      </c>
      <c r="R4" s="80">
        <v>15039</v>
      </c>
      <c r="S4" s="80">
        <v>0</v>
      </c>
      <c r="T4" s="80">
        <v>15055</v>
      </c>
      <c r="U4" s="80">
        <v>0</v>
      </c>
      <c r="V4" s="80">
        <v>15056</v>
      </c>
      <c r="W4" s="80">
        <v>0</v>
      </c>
      <c r="X4" s="80">
        <v>15057</v>
      </c>
      <c r="Y4" s="80">
        <v>0</v>
      </c>
      <c r="Z4" s="80">
        <v>15058</v>
      </c>
      <c r="AA4" s="80">
        <v>0</v>
      </c>
      <c r="AB4" s="80">
        <v>27079</v>
      </c>
      <c r="AC4" s="80">
        <v>0</v>
      </c>
      <c r="AD4" s="80">
        <v>27079</v>
      </c>
      <c r="AE4" s="80">
        <v>0</v>
      </c>
      <c r="AF4" s="80">
        <v>59114</v>
      </c>
      <c r="AG4" s="80">
        <v>0</v>
      </c>
      <c r="AH4" s="80">
        <v>15123</v>
      </c>
      <c r="AI4" s="80">
        <v>0</v>
      </c>
      <c r="AJ4" s="80">
        <v>15125</v>
      </c>
      <c r="AK4" s="80">
        <v>0</v>
      </c>
      <c r="AL4" s="80">
        <v>15127</v>
      </c>
      <c r="AM4" s="80">
        <v>0</v>
      </c>
      <c r="AN4" s="80">
        <v>15129</v>
      </c>
      <c r="AO4" s="80">
        <v>0</v>
      </c>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row>
    <row r="5" ht="23.1" customHeight="1" spans="1:251">
      <c r="A5" s="80">
        <v>44002</v>
      </c>
      <c r="B5" s="80">
        <v>0</v>
      </c>
      <c r="C5" s="80">
        <v>100</v>
      </c>
      <c r="D5" s="80">
        <v>100</v>
      </c>
      <c r="E5" s="234" t="s">
        <v>729</v>
      </c>
      <c r="F5" s="80">
        <v>29054</v>
      </c>
      <c r="G5" s="80">
        <v>0</v>
      </c>
      <c r="H5" s="80">
        <v>29067</v>
      </c>
      <c r="I5" s="80">
        <v>0</v>
      </c>
      <c r="J5" s="80">
        <v>29068</v>
      </c>
      <c r="K5" s="80">
        <v>0</v>
      </c>
      <c r="L5" s="80">
        <v>29069</v>
      </c>
      <c r="M5" s="80">
        <v>0</v>
      </c>
      <c r="N5" s="80">
        <v>15036</v>
      </c>
      <c r="O5" s="80">
        <v>0</v>
      </c>
      <c r="P5" s="80">
        <v>15037</v>
      </c>
      <c r="Q5" s="80">
        <v>0</v>
      </c>
      <c r="R5" s="80">
        <v>15039</v>
      </c>
      <c r="S5" s="80">
        <v>0</v>
      </c>
      <c r="T5" s="80">
        <v>15055</v>
      </c>
      <c r="U5" s="80">
        <v>0</v>
      </c>
      <c r="V5" s="80">
        <v>15056</v>
      </c>
      <c r="W5" s="80">
        <v>0</v>
      </c>
      <c r="X5" s="80">
        <v>15057</v>
      </c>
      <c r="Y5" s="80">
        <v>0</v>
      </c>
      <c r="Z5" s="80">
        <v>15058</v>
      </c>
      <c r="AA5" s="80">
        <v>0</v>
      </c>
      <c r="AB5" s="80">
        <v>27079</v>
      </c>
      <c r="AC5" s="80">
        <v>0</v>
      </c>
      <c r="AD5" s="80">
        <v>15081</v>
      </c>
      <c r="AE5" s="80">
        <v>0</v>
      </c>
      <c r="AF5" s="80">
        <v>59114</v>
      </c>
      <c r="AG5" s="80">
        <v>0</v>
      </c>
      <c r="AH5" s="80">
        <v>15123</v>
      </c>
      <c r="AI5" s="80">
        <v>0</v>
      </c>
      <c r="AJ5" s="80">
        <v>15125</v>
      </c>
      <c r="AK5" s="80">
        <v>10000</v>
      </c>
      <c r="AL5" s="80">
        <v>15127</v>
      </c>
      <c r="AM5" s="80">
        <v>0</v>
      </c>
      <c r="AN5" s="80">
        <v>15129</v>
      </c>
      <c r="AO5" s="80">
        <v>0</v>
      </c>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row>
    <row r="6" ht="23.1" customHeight="1" spans="1:251">
      <c r="A6" s="80">
        <v>44003</v>
      </c>
      <c r="B6" s="80">
        <v>0</v>
      </c>
      <c r="C6" s="80">
        <v>100</v>
      </c>
      <c r="D6" s="80">
        <v>100</v>
      </c>
      <c r="E6" s="234" t="s">
        <v>730</v>
      </c>
      <c r="F6" s="80">
        <v>29054</v>
      </c>
      <c r="G6" s="80">
        <v>0</v>
      </c>
      <c r="H6" s="80">
        <v>29067</v>
      </c>
      <c r="I6" s="80">
        <v>0</v>
      </c>
      <c r="J6" s="80">
        <v>29068</v>
      </c>
      <c r="K6" s="80">
        <v>0</v>
      </c>
      <c r="L6" s="80">
        <v>29069</v>
      </c>
      <c r="M6" s="80">
        <v>0</v>
      </c>
      <c r="N6" s="80">
        <v>15036</v>
      </c>
      <c r="O6" s="80">
        <v>0</v>
      </c>
      <c r="P6" s="80">
        <v>15037</v>
      </c>
      <c r="Q6" s="80">
        <v>0</v>
      </c>
      <c r="R6" s="80">
        <v>15039</v>
      </c>
      <c r="S6" s="80">
        <v>0</v>
      </c>
      <c r="T6" s="80">
        <v>15055</v>
      </c>
      <c r="U6" s="80">
        <v>0</v>
      </c>
      <c r="V6" s="80">
        <v>15056</v>
      </c>
      <c r="W6" s="80">
        <v>0</v>
      </c>
      <c r="X6" s="80">
        <v>15057</v>
      </c>
      <c r="Y6" s="80">
        <v>0</v>
      </c>
      <c r="Z6" s="80">
        <v>15058</v>
      </c>
      <c r="AA6" s="80">
        <v>0</v>
      </c>
      <c r="AB6" s="80">
        <v>27079</v>
      </c>
      <c r="AC6" s="80">
        <v>0</v>
      </c>
      <c r="AD6" s="80">
        <v>15081</v>
      </c>
      <c r="AE6" s="80">
        <v>0</v>
      </c>
      <c r="AF6" s="80">
        <v>59114</v>
      </c>
      <c r="AG6" s="80">
        <v>0</v>
      </c>
      <c r="AH6" s="80">
        <v>15123</v>
      </c>
      <c r="AI6" s="80">
        <v>0</v>
      </c>
      <c r="AJ6" s="80">
        <v>15125</v>
      </c>
      <c r="AK6" s="80">
        <v>0</v>
      </c>
      <c r="AL6" s="80">
        <v>15127</v>
      </c>
      <c r="AM6" s="80">
        <v>10000</v>
      </c>
      <c r="AN6" s="80">
        <v>15129</v>
      </c>
      <c r="AO6" s="80">
        <v>0</v>
      </c>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row>
    <row r="7" ht="23.1" customHeight="1" spans="1:251">
      <c r="A7" s="80">
        <v>44004</v>
      </c>
      <c r="B7" s="80">
        <v>0</v>
      </c>
      <c r="C7" s="80">
        <v>100</v>
      </c>
      <c r="D7" s="80">
        <v>100</v>
      </c>
      <c r="E7" s="234" t="s">
        <v>731</v>
      </c>
      <c r="F7" s="80">
        <v>29054</v>
      </c>
      <c r="G7" s="80">
        <v>0</v>
      </c>
      <c r="H7" s="80">
        <v>29067</v>
      </c>
      <c r="I7" s="80">
        <v>0</v>
      </c>
      <c r="J7" s="80">
        <v>29068</v>
      </c>
      <c r="K7" s="80">
        <v>0</v>
      </c>
      <c r="L7" s="80">
        <v>29069</v>
      </c>
      <c r="M7" s="80">
        <v>0</v>
      </c>
      <c r="N7" s="80">
        <v>15036</v>
      </c>
      <c r="O7" s="80">
        <v>0</v>
      </c>
      <c r="P7" s="80">
        <v>15037</v>
      </c>
      <c r="Q7" s="80">
        <v>0</v>
      </c>
      <c r="R7" s="80">
        <v>15039</v>
      </c>
      <c r="S7" s="80">
        <v>0</v>
      </c>
      <c r="T7" s="80">
        <v>15055</v>
      </c>
      <c r="U7" s="80">
        <v>0</v>
      </c>
      <c r="V7" s="80">
        <v>15056</v>
      </c>
      <c r="W7" s="80">
        <v>0</v>
      </c>
      <c r="X7" s="80">
        <v>15057</v>
      </c>
      <c r="Y7" s="80">
        <v>0</v>
      </c>
      <c r="Z7" s="80">
        <v>15058</v>
      </c>
      <c r="AA7" s="80">
        <v>0</v>
      </c>
      <c r="AB7" s="80">
        <v>27079</v>
      </c>
      <c r="AC7" s="80">
        <v>0</v>
      </c>
      <c r="AD7" s="80">
        <v>15081</v>
      </c>
      <c r="AE7" s="80">
        <v>0</v>
      </c>
      <c r="AF7" s="80">
        <v>59114</v>
      </c>
      <c r="AG7" s="80">
        <v>0</v>
      </c>
      <c r="AH7" s="80">
        <v>15123</v>
      </c>
      <c r="AI7" s="80">
        <v>0</v>
      </c>
      <c r="AJ7" s="80">
        <v>15125</v>
      </c>
      <c r="AK7" s="80">
        <v>0</v>
      </c>
      <c r="AL7" s="80">
        <v>15127</v>
      </c>
      <c r="AM7" s="80">
        <v>0</v>
      </c>
      <c r="AN7" s="80">
        <v>15129</v>
      </c>
      <c r="AO7" s="80">
        <v>10000</v>
      </c>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row>
    <row r="8" ht="23.1" customHeight="1" spans="1:251">
      <c r="A8" s="80">
        <v>44005</v>
      </c>
      <c r="B8" s="80">
        <v>0</v>
      </c>
      <c r="C8" s="80">
        <v>1200</v>
      </c>
      <c r="D8" s="80">
        <v>1200</v>
      </c>
      <c r="E8" s="234" t="s">
        <v>589</v>
      </c>
      <c r="F8" s="80">
        <v>29054</v>
      </c>
      <c r="G8" s="80">
        <v>0</v>
      </c>
      <c r="H8" s="80">
        <v>29067</v>
      </c>
      <c r="I8" s="80">
        <v>0</v>
      </c>
      <c r="J8" s="80">
        <v>29068</v>
      </c>
      <c r="K8" s="80">
        <v>0</v>
      </c>
      <c r="L8" s="80">
        <v>29069</v>
      </c>
      <c r="M8" s="80">
        <v>0</v>
      </c>
      <c r="N8" s="80">
        <v>15036</v>
      </c>
      <c r="O8" s="80">
        <v>0</v>
      </c>
      <c r="P8" s="80">
        <v>15037</v>
      </c>
      <c r="Q8" s="80">
        <v>0</v>
      </c>
      <c r="R8" s="80">
        <v>15039</v>
      </c>
      <c r="S8" s="80">
        <v>0</v>
      </c>
      <c r="T8" s="80">
        <v>15055</v>
      </c>
      <c r="U8" s="80">
        <v>0</v>
      </c>
      <c r="V8" s="80">
        <v>15056</v>
      </c>
      <c r="W8" s="80">
        <v>4000</v>
      </c>
      <c r="X8" s="80">
        <v>15057</v>
      </c>
      <c r="Y8" s="80">
        <v>3000</v>
      </c>
      <c r="Z8" s="80">
        <v>15058</v>
      </c>
      <c r="AA8" s="80">
        <v>3000</v>
      </c>
      <c r="AB8" s="80">
        <v>27079</v>
      </c>
      <c r="AC8" s="80">
        <v>0</v>
      </c>
      <c r="AD8" s="80">
        <v>15081</v>
      </c>
      <c r="AE8" s="80">
        <v>0</v>
      </c>
      <c r="AF8" s="80">
        <v>59114</v>
      </c>
      <c r="AG8" s="80">
        <v>0</v>
      </c>
      <c r="AH8" s="80">
        <v>15123</v>
      </c>
      <c r="AI8" s="80">
        <v>0</v>
      </c>
      <c r="AJ8" s="80">
        <v>15125</v>
      </c>
      <c r="AK8" s="80">
        <v>0</v>
      </c>
      <c r="AL8" s="80">
        <v>15127</v>
      </c>
      <c r="AM8" s="80">
        <v>0</v>
      </c>
      <c r="AN8" s="80">
        <v>15129</v>
      </c>
      <c r="AO8" s="80">
        <v>0</v>
      </c>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row>
  </sheetData>
  <pageMargins left="0.699305555555556" right="0.699305555555556" top="0.75" bottom="0.75" header="0.3" footer="0.3"/>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H9"/>
  <sheetViews>
    <sheetView workbookViewId="0">
      <selection activeCell="C19" sqref="C19"/>
    </sheetView>
  </sheetViews>
  <sheetFormatPr defaultColWidth="8.90131578947368" defaultRowHeight="15.2" outlineLevelCol="7"/>
  <cols>
    <col min="2" max="2" width="12.9013157894737" customWidth="1"/>
    <col min="3" max="3" width="58.1973684210526" customWidth="1"/>
    <col min="4" max="4" width="11" customWidth="1"/>
  </cols>
  <sheetData>
    <row r="1" ht="36" spans="1:8">
      <c r="A1" s="80" t="s">
        <v>689</v>
      </c>
      <c r="B1" s="80" t="s">
        <v>732</v>
      </c>
      <c r="C1" s="234" t="s">
        <v>733</v>
      </c>
      <c r="D1" s="234" t="s">
        <v>690</v>
      </c>
      <c r="E1" s="80" t="s">
        <v>691</v>
      </c>
      <c r="F1" s="80" t="s">
        <v>692</v>
      </c>
      <c r="G1" s="80" t="s">
        <v>694</v>
      </c>
      <c r="H1" s="80" t="s">
        <v>31</v>
      </c>
    </row>
    <row r="2" ht="18" spans="1:8">
      <c r="A2" s="80" t="s">
        <v>39</v>
      </c>
      <c r="B2" s="80" t="s">
        <v>39</v>
      </c>
      <c r="C2" s="234" t="s">
        <v>650</v>
      </c>
      <c r="D2" s="234" t="s">
        <v>39</v>
      </c>
      <c r="E2" s="80" t="s">
        <v>39</v>
      </c>
      <c r="F2" s="80" t="s">
        <v>39</v>
      </c>
      <c r="G2" s="80" t="s">
        <v>39</v>
      </c>
      <c r="H2" s="80" t="s">
        <v>39</v>
      </c>
    </row>
    <row r="3" ht="18" spans="1:8">
      <c r="A3" s="80" t="s">
        <v>673</v>
      </c>
      <c r="B3" s="81" t="s">
        <v>734</v>
      </c>
      <c r="C3" s="235" t="s">
        <v>735</v>
      </c>
      <c r="D3" s="234" t="s">
        <v>723</v>
      </c>
      <c r="E3" s="80" t="s">
        <v>724</v>
      </c>
      <c r="F3" s="80" t="s">
        <v>725</v>
      </c>
      <c r="G3" s="80" t="s">
        <v>727</v>
      </c>
      <c r="H3" s="80" t="s">
        <v>513</v>
      </c>
    </row>
    <row r="4" ht="18" spans="1:8">
      <c r="A4" s="80">
        <v>44002</v>
      </c>
      <c r="B4" s="80">
        <v>20</v>
      </c>
      <c r="C4" s="234" t="s">
        <v>736</v>
      </c>
      <c r="D4" s="234">
        <v>900</v>
      </c>
      <c r="E4" s="80">
        <v>40</v>
      </c>
      <c r="F4" s="80">
        <v>60</v>
      </c>
      <c r="G4" s="80">
        <v>15124</v>
      </c>
      <c r="H4" s="80">
        <v>10000</v>
      </c>
    </row>
    <row r="5" ht="18" spans="1:8">
      <c r="A5" s="80">
        <v>44002</v>
      </c>
      <c r="B5" s="80">
        <v>35</v>
      </c>
      <c r="C5" s="234" t="s">
        <v>737</v>
      </c>
      <c r="D5" s="234">
        <v>900</v>
      </c>
      <c r="E5" s="80">
        <v>60</v>
      </c>
      <c r="F5" s="80">
        <v>80</v>
      </c>
      <c r="G5" s="80">
        <v>15125</v>
      </c>
      <c r="H5" s="80">
        <v>10000</v>
      </c>
    </row>
    <row r="6" ht="18" spans="1:8">
      <c r="A6" s="80">
        <v>44003</v>
      </c>
      <c r="B6" s="80">
        <v>10</v>
      </c>
      <c r="C6" s="234" t="s">
        <v>738</v>
      </c>
      <c r="D6" s="234">
        <v>1350</v>
      </c>
      <c r="E6" s="80">
        <v>40</v>
      </c>
      <c r="F6" s="80">
        <v>60</v>
      </c>
      <c r="G6" s="80">
        <v>15126</v>
      </c>
      <c r="H6" s="80">
        <v>10000</v>
      </c>
    </row>
    <row r="7" ht="18" spans="1:8">
      <c r="A7" s="80">
        <v>44003</v>
      </c>
      <c r="B7" s="80">
        <v>20</v>
      </c>
      <c r="C7" s="234" t="s">
        <v>739</v>
      </c>
      <c r="D7" s="234">
        <v>1350</v>
      </c>
      <c r="E7" s="80">
        <v>60</v>
      </c>
      <c r="F7" s="80">
        <v>80</v>
      </c>
      <c r="G7" s="80">
        <v>15127</v>
      </c>
      <c r="H7" s="80">
        <v>10000</v>
      </c>
    </row>
    <row r="8" ht="18" spans="1:8">
      <c r="A8" s="80">
        <v>44004</v>
      </c>
      <c r="B8" s="80">
        <v>10</v>
      </c>
      <c r="C8" s="234" t="s">
        <v>740</v>
      </c>
      <c r="D8" s="234">
        <v>1800</v>
      </c>
      <c r="E8" s="80">
        <v>40</v>
      </c>
      <c r="F8" s="80">
        <v>60</v>
      </c>
      <c r="G8" s="80">
        <v>15128</v>
      </c>
      <c r="H8" s="80">
        <v>10000</v>
      </c>
    </row>
    <row r="9" ht="18" spans="1:8">
      <c r="A9" s="80">
        <v>44004</v>
      </c>
      <c r="B9" s="80">
        <v>20</v>
      </c>
      <c r="C9" s="234" t="s">
        <v>741</v>
      </c>
      <c r="D9" s="234">
        <v>1800</v>
      </c>
      <c r="E9" s="80">
        <v>60</v>
      </c>
      <c r="F9" s="80">
        <v>80</v>
      </c>
      <c r="G9" s="80">
        <v>15129</v>
      </c>
      <c r="H9" s="80">
        <v>10000</v>
      </c>
    </row>
  </sheetData>
  <pageMargins left="0.75" right="0.75" top="1" bottom="1" header="0.511805555555556" footer="0.511805555555556"/>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8"/>
  <sheetViews>
    <sheetView showGridLines="0" workbookViewId="0">
      <selection activeCell="D14" sqref="D14"/>
    </sheetView>
  </sheetViews>
  <sheetFormatPr defaultColWidth="11.0986842105263" defaultRowHeight="15.2" outlineLevelRow="7"/>
  <sheetData>
    <row r="1" ht="23.1" customHeight="1" spans="1:13">
      <c r="A1" s="80" t="s">
        <v>689</v>
      </c>
      <c r="B1" s="80" t="s">
        <v>694</v>
      </c>
      <c r="C1" s="80" t="s">
        <v>31</v>
      </c>
      <c r="D1" s="80" t="s">
        <v>695</v>
      </c>
      <c r="E1" s="80" t="s">
        <v>32</v>
      </c>
      <c r="F1" s="80" t="s">
        <v>696</v>
      </c>
      <c r="G1" s="80" t="s">
        <v>697</v>
      </c>
      <c r="H1" s="80" t="s">
        <v>698</v>
      </c>
      <c r="I1" s="80" t="s">
        <v>699</v>
      </c>
      <c r="J1" s="80" t="s">
        <v>700</v>
      </c>
      <c r="K1" s="80" t="s">
        <v>701</v>
      </c>
      <c r="L1" s="80" t="s">
        <v>702</v>
      </c>
      <c r="M1" s="80" t="s">
        <v>703</v>
      </c>
    </row>
    <row r="2" ht="23.1" customHeight="1" spans="1:13">
      <c r="A2" s="80" t="s">
        <v>39</v>
      </c>
      <c r="B2" s="80" t="s">
        <v>39</v>
      </c>
      <c r="C2" s="80" t="s">
        <v>39</v>
      </c>
      <c r="D2" s="80" t="s">
        <v>39</v>
      </c>
      <c r="E2" s="80" t="s">
        <v>39</v>
      </c>
      <c r="F2" s="80" t="s">
        <v>39</v>
      </c>
      <c r="G2" s="80" t="s">
        <v>39</v>
      </c>
      <c r="H2" s="80" t="s">
        <v>39</v>
      </c>
      <c r="I2" s="80" t="s">
        <v>39</v>
      </c>
      <c r="J2" s="80" t="s">
        <v>39</v>
      </c>
      <c r="K2" s="80" t="s">
        <v>39</v>
      </c>
      <c r="L2" s="80" t="s">
        <v>39</v>
      </c>
      <c r="M2" s="80" t="s">
        <v>39</v>
      </c>
    </row>
    <row r="3" ht="23.1" customHeight="1" spans="1:13">
      <c r="A3" s="80" t="s">
        <v>673</v>
      </c>
      <c r="B3" s="80" t="s">
        <v>727</v>
      </c>
      <c r="C3" s="80" t="s">
        <v>513</v>
      </c>
      <c r="D3" s="80" t="s">
        <v>727</v>
      </c>
      <c r="E3" s="80" t="s">
        <v>513</v>
      </c>
      <c r="F3" s="80" t="s">
        <v>727</v>
      </c>
      <c r="G3" s="80" t="s">
        <v>513</v>
      </c>
      <c r="H3" s="80" t="s">
        <v>727</v>
      </c>
      <c r="I3" s="80" t="s">
        <v>513</v>
      </c>
      <c r="J3" s="80" t="s">
        <v>727</v>
      </c>
      <c r="K3" s="80" t="s">
        <v>513</v>
      </c>
      <c r="L3" s="80" t="s">
        <v>727</v>
      </c>
      <c r="M3" s="80" t="s">
        <v>513</v>
      </c>
    </row>
    <row r="4" ht="23.1" customHeight="1" spans="1:13">
      <c r="A4" s="80">
        <v>44001</v>
      </c>
      <c r="B4" s="80">
        <v>12027</v>
      </c>
      <c r="C4" s="80">
        <v>10000</v>
      </c>
      <c r="D4" s="80"/>
      <c r="E4" s="80"/>
      <c r="F4" s="80"/>
      <c r="G4" s="80"/>
      <c r="H4" s="80"/>
      <c r="I4" s="80"/>
      <c r="J4" s="80"/>
      <c r="K4" s="80"/>
      <c r="L4" s="80"/>
      <c r="M4" s="80"/>
    </row>
    <row r="5" ht="23.1" customHeight="1" spans="1:13">
      <c r="A5" s="80">
        <v>44002</v>
      </c>
      <c r="B5" s="80">
        <v>35027</v>
      </c>
      <c r="C5" s="80">
        <v>5000</v>
      </c>
      <c r="D5" s="80">
        <v>35028</v>
      </c>
      <c r="E5" s="80">
        <v>5000</v>
      </c>
      <c r="F5" s="80"/>
      <c r="G5" s="80"/>
      <c r="H5" s="80"/>
      <c r="I5" s="80"/>
      <c r="J5" s="80"/>
      <c r="K5" s="80"/>
      <c r="L5" s="80"/>
      <c r="M5" s="80"/>
    </row>
    <row r="6" ht="23.1" customHeight="1" spans="1:13">
      <c r="A6" s="80">
        <v>44003</v>
      </c>
      <c r="B6" s="80">
        <v>24028</v>
      </c>
      <c r="C6" s="80">
        <v>4000</v>
      </c>
      <c r="D6" s="80">
        <v>24029</v>
      </c>
      <c r="E6" s="80">
        <v>3500</v>
      </c>
      <c r="F6" s="80">
        <v>24030</v>
      </c>
      <c r="G6" s="80">
        <v>2500</v>
      </c>
      <c r="H6" s="80"/>
      <c r="I6" s="80"/>
      <c r="J6" s="80"/>
      <c r="K6" s="80"/>
      <c r="L6" s="80"/>
      <c r="M6" s="80"/>
    </row>
    <row r="7" ht="23.1" customHeight="1" spans="1:13">
      <c r="A7" s="80">
        <v>44004</v>
      </c>
      <c r="B7" s="80">
        <v>25030</v>
      </c>
      <c r="C7" s="80">
        <v>4000</v>
      </c>
      <c r="D7" s="80">
        <v>25031</v>
      </c>
      <c r="E7" s="80">
        <v>3500</v>
      </c>
      <c r="F7" s="80">
        <v>25032</v>
      </c>
      <c r="G7" s="80">
        <v>2500</v>
      </c>
      <c r="H7" s="80"/>
      <c r="I7" s="80"/>
      <c r="J7" s="80"/>
      <c r="K7" s="80"/>
      <c r="L7" s="80"/>
      <c r="M7" s="80"/>
    </row>
    <row r="8" ht="23.1" customHeight="1" spans="1:13">
      <c r="A8" s="80">
        <v>44005</v>
      </c>
      <c r="B8" s="80">
        <v>25029</v>
      </c>
      <c r="C8" s="80">
        <v>4000</v>
      </c>
      <c r="D8" s="80">
        <v>45031</v>
      </c>
      <c r="E8" s="80">
        <v>3500</v>
      </c>
      <c r="F8" s="80">
        <v>45032</v>
      </c>
      <c r="G8" s="80">
        <v>2500</v>
      </c>
      <c r="H8" s="80"/>
      <c r="I8" s="80"/>
      <c r="J8" s="80"/>
      <c r="K8" s="80"/>
      <c r="L8" s="80"/>
      <c r="M8" s="80"/>
    </row>
  </sheetData>
  <pageMargins left="0.699305555555556" right="0.699305555555556" top="0.75" bottom="0.75" header="0.3" footer="0.3"/>
  <pageSetup paperSize="9" orientation="portrait"/>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Y8"/>
  <sheetViews>
    <sheetView showGridLines="0" workbookViewId="0">
      <selection activeCell="C18" sqref="C18"/>
    </sheetView>
  </sheetViews>
  <sheetFormatPr defaultColWidth="9" defaultRowHeight="15.2" outlineLevelRow="7"/>
  <cols>
    <col min="4" max="5" width="11.5986842105263" customWidth="1"/>
    <col min="8" max="8" width="12.5" customWidth="1"/>
    <col min="9" max="9" width="11.5986842105263" customWidth="1"/>
    <col min="12" max="12" width="10.5" customWidth="1"/>
    <col min="13" max="13" width="11.5986842105263" customWidth="1"/>
    <col min="16" max="16" width="12.5986842105263" customWidth="1"/>
    <col min="17" max="17" width="11.5986842105263" customWidth="1"/>
    <col min="20" max="20" width="12.0986842105263" customWidth="1"/>
    <col min="21" max="21" width="11.5986842105263" customWidth="1"/>
    <col min="24" max="24" width="12.0986842105263" customWidth="1"/>
    <col min="25" max="25" width="11.5986842105263" customWidth="1"/>
  </cols>
  <sheetData>
    <row r="1" ht="23.1" customHeight="1" spans="1:25">
      <c r="A1" s="80" t="s">
        <v>689</v>
      </c>
      <c r="B1" s="80" t="s">
        <v>742</v>
      </c>
      <c r="C1" s="80" t="s">
        <v>31</v>
      </c>
      <c r="D1" s="80" t="s">
        <v>743</v>
      </c>
      <c r="E1" s="80" t="s">
        <v>744</v>
      </c>
      <c r="F1" s="80" t="s">
        <v>745</v>
      </c>
      <c r="G1" s="80" t="s">
        <v>32</v>
      </c>
      <c r="H1" s="80" t="s">
        <v>746</v>
      </c>
      <c r="I1" s="80" t="s">
        <v>744</v>
      </c>
      <c r="J1" s="80" t="s">
        <v>747</v>
      </c>
      <c r="K1" s="80" t="s">
        <v>697</v>
      </c>
      <c r="L1" s="80" t="s">
        <v>748</v>
      </c>
      <c r="M1" s="80" t="s">
        <v>744</v>
      </c>
      <c r="N1" s="80" t="s">
        <v>749</v>
      </c>
      <c r="O1" s="80" t="s">
        <v>699</v>
      </c>
      <c r="P1" s="80" t="s">
        <v>750</v>
      </c>
      <c r="Q1" s="80" t="s">
        <v>744</v>
      </c>
      <c r="R1" s="80" t="s">
        <v>751</v>
      </c>
      <c r="S1" s="80" t="s">
        <v>701</v>
      </c>
      <c r="T1" s="80" t="s">
        <v>752</v>
      </c>
      <c r="U1" s="80" t="s">
        <v>744</v>
      </c>
      <c r="V1" s="80" t="s">
        <v>753</v>
      </c>
      <c r="W1" s="80" t="s">
        <v>703</v>
      </c>
      <c r="X1" s="80" t="s">
        <v>754</v>
      </c>
      <c r="Y1" s="80" t="s">
        <v>744</v>
      </c>
    </row>
    <row r="2" ht="23.1" customHeight="1" spans="1:25">
      <c r="A2" s="80" t="s">
        <v>39</v>
      </c>
      <c r="B2" s="80" t="s">
        <v>39</v>
      </c>
      <c r="C2" s="80" t="s">
        <v>39</v>
      </c>
      <c r="D2" s="80" t="s">
        <v>39</v>
      </c>
      <c r="E2" s="80" t="s">
        <v>39</v>
      </c>
      <c r="F2" s="80" t="s">
        <v>39</v>
      </c>
      <c r="G2" s="80" t="s">
        <v>39</v>
      </c>
      <c r="H2" s="80" t="s">
        <v>39</v>
      </c>
      <c r="I2" s="80" t="s">
        <v>39</v>
      </c>
      <c r="J2" s="80" t="s">
        <v>39</v>
      </c>
      <c r="K2" s="80" t="s">
        <v>39</v>
      </c>
      <c r="L2" s="80" t="s">
        <v>39</v>
      </c>
      <c r="M2" s="80" t="s">
        <v>39</v>
      </c>
      <c r="N2" s="80" t="s">
        <v>39</v>
      </c>
      <c r="O2" s="80" t="s">
        <v>39</v>
      </c>
      <c r="P2" s="80" t="s">
        <v>39</v>
      </c>
      <c r="Q2" s="80" t="s">
        <v>39</v>
      </c>
      <c r="R2" s="80" t="s">
        <v>39</v>
      </c>
      <c r="S2" s="80" t="s">
        <v>39</v>
      </c>
      <c r="T2" s="80" t="s">
        <v>39</v>
      </c>
      <c r="U2" s="80" t="s">
        <v>39</v>
      </c>
      <c r="V2" s="80" t="s">
        <v>39</v>
      </c>
      <c r="W2" s="80" t="s">
        <v>39</v>
      </c>
      <c r="X2" s="80" t="s">
        <v>39</v>
      </c>
      <c r="Y2" s="80" t="s">
        <v>39</v>
      </c>
    </row>
    <row r="3" ht="23.1" customHeight="1" spans="1:25">
      <c r="A3" s="80" t="s">
        <v>673</v>
      </c>
      <c r="B3" s="80" t="s">
        <v>755</v>
      </c>
      <c r="C3" s="80" t="s">
        <v>513</v>
      </c>
      <c r="D3" s="112" t="s">
        <v>756</v>
      </c>
      <c r="E3" s="112" t="s">
        <v>757</v>
      </c>
      <c r="F3" s="80" t="s">
        <v>755</v>
      </c>
      <c r="G3" s="80" t="s">
        <v>513</v>
      </c>
      <c r="H3" s="112" t="s">
        <v>756</v>
      </c>
      <c r="I3" s="112" t="s">
        <v>757</v>
      </c>
      <c r="J3" s="80" t="s">
        <v>755</v>
      </c>
      <c r="K3" s="80" t="s">
        <v>513</v>
      </c>
      <c r="L3" s="112" t="s">
        <v>756</v>
      </c>
      <c r="M3" s="112" t="s">
        <v>757</v>
      </c>
      <c r="N3" s="80" t="s">
        <v>755</v>
      </c>
      <c r="O3" s="80" t="s">
        <v>513</v>
      </c>
      <c r="P3" s="112" t="s">
        <v>756</v>
      </c>
      <c r="Q3" s="112" t="s">
        <v>757</v>
      </c>
      <c r="R3" s="80" t="s">
        <v>755</v>
      </c>
      <c r="S3" s="80" t="s">
        <v>513</v>
      </c>
      <c r="T3" s="112" t="s">
        <v>756</v>
      </c>
      <c r="U3" s="112" t="s">
        <v>757</v>
      </c>
      <c r="V3" s="80" t="s">
        <v>755</v>
      </c>
      <c r="W3" s="80" t="s">
        <v>513</v>
      </c>
      <c r="X3" s="112" t="s">
        <v>756</v>
      </c>
      <c r="Y3" s="112" t="s">
        <v>757</v>
      </c>
    </row>
    <row r="4" ht="23.1" customHeight="1" spans="1:25">
      <c r="A4" s="80">
        <v>44001</v>
      </c>
      <c r="B4" s="231">
        <v>2</v>
      </c>
      <c r="C4" s="80">
        <v>1800</v>
      </c>
      <c r="D4" s="80">
        <v>0</v>
      </c>
      <c r="E4" s="80">
        <v>0</v>
      </c>
      <c r="F4" s="80">
        <v>3</v>
      </c>
      <c r="G4" s="80">
        <v>4000</v>
      </c>
      <c r="H4" s="80">
        <v>500</v>
      </c>
      <c r="I4" s="80">
        <v>3000</v>
      </c>
      <c r="J4" s="232">
        <v>5</v>
      </c>
      <c r="K4" s="80">
        <v>2520</v>
      </c>
      <c r="L4" s="80">
        <v>1000</v>
      </c>
      <c r="M4" s="80">
        <v>3000</v>
      </c>
      <c r="N4" s="231">
        <v>10</v>
      </c>
      <c r="O4" s="80">
        <v>1530</v>
      </c>
      <c r="P4" s="80">
        <v>3500</v>
      </c>
      <c r="Q4" s="80">
        <v>2000</v>
      </c>
      <c r="R4" s="233">
        <v>20</v>
      </c>
      <c r="S4" s="80">
        <v>100</v>
      </c>
      <c r="T4" s="80">
        <v>3050</v>
      </c>
      <c r="U4" s="80">
        <v>1600</v>
      </c>
      <c r="V4" s="233">
        <v>50</v>
      </c>
      <c r="W4" s="80">
        <v>50</v>
      </c>
      <c r="X4" s="80">
        <v>1950</v>
      </c>
      <c r="Y4" s="80">
        <v>400</v>
      </c>
    </row>
    <row r="5" ht="23.1" customHeight="1" spans="1:25">
      <c r="A5" s="80">
        <v>44002</v>
      </c>
      <c r="B5" s="231">
        <v>2</v>
      </c>
      <c r="C5" s="80">
        <v>1800</v>
      </c>
      <c r="D5" s="80">
        <v>0</v>
      </c>
      <c r="E5" s="80">
        <v>0</v>
      </c>
      <c r="F5" s="80">
        <v>3</v>
      </c>
      <c r="G5" s="80">
        <v>4000</v>
      </c>
      <c r="H5" s="80">
        <v>500</v>
      </c>
      <c r="I5" s="80">
        <v>3000</v>
      </c>
      <c r="J5" s="232">
        <v>5</v>
      </c>
      <c r="K5" s="80">
        <v>2520</v>
      </c>
      <c r="L5" s="80">
        <v>1000</v>
      </c>
      <c r="M5" s="80">
        <v>3000</v>
      </c>
      <c r="N5" s="231">
        <v>10</v>
      </c>
      <c r="O5" s="80">
        <v>1530</v>
      </c>
      <c r="P5" s="80">
        <v>3500</v>
      </c>
      <c r="Q5" s="80">
        <v>2000</v>
      </c>
      <c r="R5" s="233">
        <v>20</v>
      </c>
      <c r="S5" s="80">
        <v>100</v>
      </c>
      <c r="T5" s="80">
        <v>3050</v>
      </c>
      <c r="U5" s="80">
        <v>1600</v>
      </c>
      <c r="V5" s="233">
        <v>50</v>
      </c>
      <c r="W5" s="80">
        <v>50</v>
      </c>
      <c r="X5" s="80">
        <v>1950</v>
      </c>
      <c r="Y5" s="80">
        <v>400</v>
      </c>
    </row>
    <row r="6" ht="23.1" customHeight="1" spans="1:25">
      <c r="A6" s="80">
        <v>44003</v>
      </c>
      <c r="B6" s="231">
        <v>2</v>
      </c>
      <c r="C6" s="80">
        <v>1800</v>
      </c>
      <c r="D6" s="80">
        <v>0</v>
      </c>
      <c r="E6" s="80">
        <v>0</v>
      </c>
      <c r="F6" s="80">
        <v>3</v>
      </c>
      <c r="G6" s="80">
        <v>4000</v>
      </c>
      <c r="H6" s="80">
        <v>500</v>
      </c>
      <c r="I6" s="80">
        <v>3000</v>
      </c>
      <c r="J6" s="232">
        <v>5</v>
      </c>
      <c r="K6" s="80">
        <v>2520</v>
      </c>
      <c r="L6" s="80">
        <v>1000</v>
      </c>
      <c r="M6" s="80">
        <v>3000</v>
      </c>
      <c r="N6" s="231">
        <v>10</v>
      </c>
      <c r="O6" s="80">
        <v>1530</v>
      </c>
      <c r="P6" s="80">
        <v>3500</v>
      </c>
      <c r="Q6" s="80">
        <v>2000</v>
      </c>
      <c r="R6" s="233">
        <v>20</v>
      </c>
      <c r="S6" s="80">
        <v>100</v>
      </c>
      <c r="T6" s="80">
        <v>3050</v>
      </c>
      <c r="U6" s="80">
        <v>1600</v>
      </c>
      <c r="V6" s="233">
        <v>50</v>
      </c>
      <c r="W6" s="80">
        <v>50</v>
      </c>
      <c r="X6" s="80">
        <v>1950</v>
      </c>
      <c r="Y6" s="80">
        <v>400</v>
      </c>
    </row>
    <row r="7" ht="23.1" customHeight="1" spans="1:25">
      <c r="A7" s="80">
        <v>44004</v>
      </c>
      <c r="B7" s="231">
        <v>2</v>
      </c>
      <c r="C7" s="80">
        <v>1800</v>
      </c>
      <c r="D7" s="80">
        <v>0</v>
      </c>
      <c r="E7" s="80">
        <v>0</v>
      </c>
      <c r="F7" s="80">
        <v>3</v>
      </c>
      <c r="G7" s="80">
        <v>4000</v>
      </c>
      <c r="H7" s="80">
        <v>500</v>
      </c>
      <c r="I7" s="80">
        <v>3000</v>
      </c>
      <c r="J7" s="232">
        <v>5</v>
      </c>
      <c r="K7" s="80">
        <v>2520</v>
      </c>
      <c r="L7" s="80">
        <v>1000</v>
      </c>
      <c r="M7" s="80">
        <v>3000</v>
      </c>
      <c r="N7" s="231">
        <v>10</v>
      </c>
      <c r="O7" s="80">
        <v>1530</v>
      </c>
      <c r="P7" s="80">
        <v>3500</v>
      </c>
      <c r="Q7" s="80">
        <v>2000</v>
      </c>
      <c r="R7" s="233">
        <v>20</v>
      </c>
      <c r="S7" s="80">
        <v>100</v>
      </c>
      <c r="T7" s="80">
        <v>3050</v>
      </c>
      <c r="U7" s="80">
        <v>1600</v>
      </c>
      <c r="V7" s="233">
        <v>50</v>
      </c>
      <c r="W7" s="80">
        <v>50</v>
      </c>
      <c r="X7" s="80">
        <v>1950</v>
      </c>
      <c r="Y7" s="80">
        <v>400</v>
      </c>
    </row>
    <row r="8" ht="23.1" customHeight="1" spans="1:25">
      <c r="A8" s="80">
        <v>44005</v>
      </c>
      <c r="B8" s="231">
        <v>2</v>
      </c>
      <c r="C8" s="80">
        <v>1800</v>
      </c>
      <c r="D8" s="80">
        <v>0</v>
      </c>
      <c r="E8" s="80">
        <v>0</v>
      </c>
      <c r="F8" s="80">
        <v>3</v>
      </c>
      <c r="G8" s="80">
        <v>4000</v>
      </c>
      <c r="H8" s="80">
        <v>500</v>
      </c>
      <c r="I8" s="80">
        <v>3000</v>
      </c>
      <c r="J8" s="232">
        <v>5</v>
      </c>
      <c r="K8" s="80">
        <v>2520</v>
      </c>
      <c r="L8" s="80">
        <v>1000</v>
      </c>
      <c r="M8" s="80">
        <v>3000</v>
      </c>
      <c r="N8" s="231">
        <v>10</v>
      </c>
      <c r="O8" s="80">
        <v>1530</v>
      </c>
      <c r="P8" s="80">
        <v>3500</v>
      </c>
      <c r="Q8" s="80">
        <v>2000</v>
      </c>
      <c r="R8" s="233">
        <v>20</v>
      </c>
      <c r="S8" s="80">
        <v>100</v>
      </c>
      <c r="T8" s="80">
        <v>3050</v>
      </c>
      <c r="U8" s="80">
        <v>1600</v>
      </c>
      <c r="V8" s="233">
        <v>50</v>
      </c>
      <c r="W8" s="80">
        <v>50</v>
      </c>
      <c r="X8" s="80">
        <v>1950</v>
      </c>
      <c r="Y8" s="80">
        <v>400</v>
      </c>
    </row>
  </sheetData>
  <pageMargins left="0.699305555555556" right="0.699305555555556" top="0.75" bottom="0.75" header="0.3" footer="0.3"/>
  <pageSetup paperSize="9" orientation="portrait"/>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M8"/>
  <sheetViews>
    <sheetView workbookViewId="0">
      <selection activeCell="A9" sqref="$A9:$XFD9"/>
    </sheetView>
  </sheetViews>
  <sheetFormatPr defaultColWidth="11.0986842105263" defaultRowHeight="15.2" outlineLevelRow="7"/>
  <cols>
    <col min="4" max="4" width="13.0986842105263" customWidth="1"/>
    <col min="6" max="6" width="13.5986842105263" customWidth="1"/>
    <col min="8" max="8" width="13" customWidth="1"/>
    <col min="10" max="10" width="13.9013157894737" customWidth="1"/>
    <col min="12" max="12" width="13.6973684210526" customWidth="1"/>
  </cols>
  <sheetData>
    <row r="1" ht="23.1" customHeight="1" spans="1:13">
      <c r="A1" s="80" t="s">
        <v>689</v>
      </c>
      <c r="B1" s="80" t="s">
        <v>758</v>
      </c>
      <c r="C1" s="80" t="s">
        <v>759</v>
      </c>
      <c r="D1" s="80" t="s">
        <v>760</v>
      </c>
      <c r="E1" s="80" t="s">
        <v>31</v>
      </c>
      <c r="F1" s="80" t="s">
        <v>761</v>
      </c>
      <c r="G1" s="80" t="s">
        <v>32</v>
      </c>
      <c r="H1" s="80" t="s">
        <v>762</v>
      </c>
      <c r="I1" s="80" t="s">
        <v>697</v>
      </c>
      <c r="J1" s="80" t="s">
        <v>763</v>
      </c>
      <c r="K1" s="80" t="s">
        <v>699</v>
      </c>
      <c r="L1" s="80" t="s">
        <v>764</v>
      </c>
      <c r="M1" s="80" t="s">
        <v>701</v>
      </c>
    </row>
    <row r="2" ht="23.1" customHeight="1" spans="1:13">
      <c r="A2" s="80" t="s">
        <v>39</v>
      </c>
      <c r="B2" s="80" t="s">
        <v>39</v>
      </c>
      <c r="C2" s="80" t="s">
        <v>39</v>
      </c>
      <c r="D2" s="80" t="s">
        <v>39</v>
      </c>
      <c r="E2" s="80" t="s">
        <v>39</v>
      </c>
      <c r="F2" s="80" t="s">
        <v>39</v>
      </c>
      <c r="G2" s="80" t="s">
        <v>39</v>
      </c>
      <c r="H2" s="80" t="s">
        <v>39</v>
      </c>
      <c r="I2" s="80" t="s">
        <v>39</v>
      </c>
      <c r="J2" s="80" t="s">
        <v>39</v>
      </c>
      <c r="K2" s="80" t="s">
        <v>39</v>
      </c>
      <c r="L2" s="80" t="s">
        <v>39</v>
      </c>
      <c r="M2" s="80" t="s">
        <v>39</v>
      </c>
    </row>
    <row r="3" ht="23.1" customHeight="1" spans="1:13">
      <c r="A3" s="80" t="s">
        <v>673</v>
      </c>
      <c r="B3" s="205" t="s">
        <v>765</v>
      </c>
      <c r="C3" s="205" t="s">
        <v>766</v>
      </c>
      <c r="D3" s="205" t="s">
        <v>767</v>
      </c>
      <c r="E3" s="80" t="s">
        <v>513</v>
      </c>
      <c r="F3" s="205" t="s">
        <v>767</v>
      </c>
      <c r="G3" s="80" t="s">
        <v>513</v>
      </c>
      <c r="H3" s="205" t="s">
        <v>767</v>
      </c>
      <c r="I3" s="80" t="s">
        <v>513</v>
      </c>
      <c r="J3" s="205" t="s">
        <v>767</v>
      </c>
      <c r="K3" s="80" t="s">
        <v>513</v>
      </c>
      <c r="L3" s="205" t="s">
        <v>767</v>
      </c>
      <c r="M3" s="80" t="s">
        <v>513</v>
      </c>
    </row>
    <row r="4" ht="23.1" customHeight="1" spans="1:13">
      <c r="A4" s="80">
        <v>44001</v>
      </c>
      <c r="B4" s="80">
        <v>20000</v>
      </c>
      <c r="C4" s="80">
        <v>-20000</v>
      </c>
      <c r="D4" s="80">
        <v>2000</v>
      </c>
      <c r="E4" s="80">
        <v>3000</v>
      </c>
      <c r="F4" s="80">
        <v>5000</v>
      </c>
      <c r="G4" s="80">
        <v>3500</v>
      </c>
      <c r="H4" s="80">
        <v>8000</v>
      </c>
      <c r="I4" s="80">
        <v>2000</v>
      </c>
      <c r="J4" s="80">
        <v>10000</v>
      </c>
      <c r="K4" s="80">
        <v>1000</v>
      </c>
      <c r="L4" s="80">
        <v>20000</v>
      </c>
      <c r="M4" s="80">
        <v>500</v>
      </c>
    </row>
    <row r="5" ht="23.1" customHeight="1" spans="1:13">
      <c r="A5" s="80">
        <v>44002</v>
      </c>
      <c r="B5" s="80">
        <v>300000</v>
      </c>
      <c r="C5" s="80">
        <v>-300000</v>
      </c>
      <c r="D5" s="80">
        <v>2000</v>
      </c>
      <c r="E5" s="80">
        <v>3000</v>
      </c>
      <c r="F5" s="80">
        <v>5000</v>
      </c>
      <c r="G5" s="80">
        <v>3500</v>
      </c>
      <c r="H5" s="80">
        <v>8000</v>
      </c>
      <c r="I5" s="80">
        <v>2000</v>
      </c>
      <c r="J5" s="80">
        <v>10000</v>
      </c>
      <c r="K5" s="80">
        <v>1000</v>
      </c>
      <c r="L5" s="80">
        <v>20000</v>
      </c>
      <c r="M5" s="80">
        <v>500</v>
      </c>
    </row>
    <row r="6" ht="23.1" customHeight="1" spans="1:13">
      <c r="A6" s="80">
        <v>44003</v>
      </c>
      <c r="B6" s="80">
        <v>3200000</v>
      </c>
      <c r="C6" s="80">
        <v>-3200000</v>
      </c>
      <c r="D6" s="80">
        <v>2000</v>
      </c>
      <c r="E6" s="80">
        <v>3000</v>
      </c>
      <c r="F6" s="80">
        <v>5000</v>
      </c>
      <c r="G6" s="80">
        <v>3500</v>
      </c>
      <c r="H6" s="80">
        <v>8000</v>
      </c>
      <c r="I6" s="80">
        <v>2000</v>
      </c>
      <c r="J6" s="80">
        <v>10000</v>
      </c>
      <c r="K6" s="80">
        <v>1000</v>
      </c>
      <c r="L6" s="80">
        <v>20000</v>
      </c>
      <c r="M6" s="80">
        <v>500</v>
      </c>
    </row>
    <row r="7" ht="23.1" customHeight="1" spans="1:13">
      <c r="A7" s="80">
        <v>44004</v>
      </c>
      <c r="B7" s="80">
        <v>18000000</v>
      </c>
      <c r="C7" s="80">
        <v>-18000000</v>
      </c>
      <c r="D7" s="80">
        <v>2000</v>
      </c>
      <c r="E7" s="80">
        <v>3000</v>
      </c>
      <c r="F7" s="80">
        <v>5000</v>
      </c>
      <c r="G7" s="80">
        <v>3500</v>
      </c>
      <c r="H7" s="80">
        <v>8000</v>
      </c>
      <c r="I7" s="80">
        <v>2000</v>
      </c>
      <c r="J7" s="80">
        <v>10000</v>
      </c>
      <c r="K7" s="80">
        <v>1000</v>
      </c>
      <c r="L7" s="80">
        <v>20000</v>
      </c>
      <c r="M7" s="80">
        <v>500</v>
      </c>
    </row>
    <row r="8" ht="23.1" customHeight="1" spans="1:13">
      <c r="A8" s="80">
        <v>44005</v>
      </c>
      <c r="B8" s="80">
        <v>18000000</v>
      </c>
      <c r="C8" s="80">
        <v>-18000000</v>
      </c>
      <c r="D8" s="80">
        <v>2000</v>
      </c>
      <c r="E8" s="80">
        <v>3000</v>
      </c>
      <c r="F8" s="80">
        <v>5000</v>
      </c>
      <c r="G8" s="80">
        <v>3500</v>
      </c>
      <c r="H8" s="80">
        <v>8000</v>
      </c>
      <c r="I8" s="80">
        <v>2000</v>
      </c>
      <c r="J8" s="80">
        <v>10000</v>
      </c>
      <c r="K8" s="80">
        <v>1000</v>
      </c>
      <c r="L8" s="80">
        <v>20000</v>
      </c>
      <c r="M8" s="80">
        <v>500</v>
      </c>
    </row>
  </sheetData>
  <pageMargins left="0.75" right="0.75" top="1" bottom="1" header="0.5" footer="0.5"/>
  <pageSetup paperSize="9" orientation="portrait"/>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8"/>
  <sheetViews>
    <sheetView workbookViewId="0">
      <selection activeCell="A10" sqref="$A9:$XFD9 $A10:$XFD10"/>
    </sheetView>
  </sheetViews>
  <sheetFormatPr defaultColWidth="11.0986842105263" defaultRowHeight="23.1" customHeight="1" outlineLevelRow="7" outlineLevelCol="5"/>
  <sheetData>
    <row r="1" customHeight="1" spans="1:6">
      <c r="A1" s="80" t="s">
        <v>689</v>
      </c>
      <c r="B1" s="80" t="s">
        <v>690</v>
      </c>
      <c r="C1" s="80" t="s">
        <v>691</v>
      </c>
      <c r="D1" s="80" t="s">
        <v>692</v>
      </c>
      <c r="E1" s="80" t="s">
        <v>694</v>
      </c>
      <c r="F1" s="80" t="s">
        <v>31</v>
      </c>
    </row>
    <row r="2" customHeight="1" spans="1:6">
      <c r="A2" s="80" t="s">
        <v>39</v>
      </c>
      <c r="B2" s="80" t="s">
        <v>39</v>
      </c>
      <c r="C2" s="80" t="s">
        <v>39</v>
      </c>
      <c r="D2" s="80" t="s">
        <v>39</v>
      </c>
      <c r="E2" s="80" t="s">
        <v>39</v>
      </c>
      <c r="F2" s="80" t="s">
        <v>39</v>
      </c>
    </row>
    <row r="3" customHeight="1" spans="1:6">
      <c r="A3" s="80" t="s">
        <v>673</v>
      </c>
      <c r="B3" s="80" t="s">
        <v>723</v>
      </c>
      <c r="C3" s="80" t="s">
        <v>724</v>
      </c>
      <c r="D3" s="80" t="s">
        <v>725</v>
      </c>
      <c r="E3" s="80" t="s">
        <v>727</v>
      </c>
      <c r="F3" s="80" t="s">
        <v>513</v>
      </c>
    </row>
    <row r="4" customHeight="1" spans="1:6">
      <c r="A4" s="80">
        <v>44001</v>
      </c>
      <c r="B4" s="80">
        <v>10000</v>
      </c>
      <c r="C4" s="80">
        <v>120</v>
      </c>
      <c r="D4" s="80">
        <v>360</v>
      </c>
      <c r="E4" s="80">
        <v>44001</v>
      </c>
      <c r="F4" s="80">
        <v>10000</v>
      </c>
    </row>
    <row r="5" customHeight="1" spans="1:6">
      <c r="A5" s="80">
        <v>44002</v>
      </c>
      <c r="B5" s="80">
        <v>15000</v>
      </c>
      <c r="C5" s="80">
        <v>120</v>
      </c>
      <c r="D5" s="80">
        <v>360</v>
      </c>
      <c r="E5" s="80">
        <v>44002</v>
      </c>
      <c r="F5" s="80">
        <v>10000</v>
      </c>
    </row>
    <row r="6" customHeight="1" spans="1:6">
      <c r="A6" s="80">
        <v>44003</v>
      </c>
      <c r="B6" s="80">
        <v>20000</v>
      </c>
      <c r="C6" s="80">
        <v>120</v>
      </c>
      <c r="D6" s="80">
        <v>360</v>
      </c>
      <c r="E6" s="80">
        <v>44003</v>
      </c>
      <c r="F6" s="80">
        <v>10000</v>
      </c>
    </row>
    <row r="7" customHeight="1" spans="1:6">
      <c r="A7" s="80">
        <v>44004</v>
      </c>
      <c r="B7" s="80">
        <v>25000</v>
      </c>
      <c r="C7" s="80">
        <v>120</v>
      </c>
      <c r="D7" s="80">
        <v>360</v>
      </c>
      <c r="E7" s="80">
        <v>44004</v>
      </c>
      <c r="F7" s="80">
        <v>10000</v>
      </c>
    </row>
    <row r="8" customHeight="1" spans="1:6">
      <c r="A8" s="80">
        <v>44005</v>
      </c>
      <c r="B8" s="80">
        <v>25000</v>
      </c>
      <c r="C8" s="80">
        <v>120</v>
      </c>
      <c r="D8" s="80">
        <v>360</v>
      </c>
      <c r="E8" s="80">
        <v>44005</v>
      </c>
      <c r="F8" s="80">
        <v>10000</v>
      </c>
    </row>
  </sheetData>
  <pageMargins left="0.699305555555556" right="0.699305555555556" top="0.75" bottom="0.75" header="0.3" footer="0.3"/>
  <pageSetup paperSize="9" orientation="portrait"/>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8"/>
  <sheetViews>
    <sheetView workbookViewId="0">
      <selection activeCell="A9" sqref="$A9:$XFD9"/>
    </sheetView>
  </sheetViews>
  <sheetFormatPr defaultColWidth="11.0986842105263" defaultRowHeight="23.1" customHeight="1" outlineLevelRow="7" outlineLevelCol="5"/>
  <sheetData>
    <row r="1" customHeight="1" spans="1:6">
      <c r="A1" s="80" t="s">
        <v>689</v>
      </c>
      <c r="B1" s="80" t="s">
        <v>690</v>
      </c>
      <c r="C1" s="80" t="s">
        <v>691</v>
      </c>
      <c r="D1" s="80" t="s">
        <v>692</v>
      </c>
      <c r="E1" s="80" t="s">
        <v>694</v>
      </c>
      <c r="F1" s="80" t="s">
        <v>31</v>
      </c>
    </row>
    <row r="2" customHeight="1" spans="1:6">
      <c r="A2" s="80" t="s">
        <v>39</v>
      </c>
      <c r="B2" s="80" t="s">
        <v>39</v>
      </c>
      <c r="C2" s="80" t="s">
        <v>39</v>
      </c>
      <c r="D2" s="80" t="s">
        <v>39</v>
      </c>
      <c r="E2" s="80" t="s">
        <v>39</v>
      </c>
      <c r="F2" s="80" t="s">
        <v>39</v>
      </c>
    </row>
    <row r="3" customHeight="1" spans="1:6">
      <c r="A3" s="80" t="s">
        <v>673</v>
      </c>
      <c r="B3" s="80" t="s">
        <v>723</v>
      </c>
      <c r="C3" s="80" t="s">
        <v>724</v>
      </c>
      <c r="D3" s="80" t="s">
        <v>725</v>
      </c>
      <c r="E3" s="80" t="s">
        <v>727</v>
      </c>
      <c r="F3" s="80" t="s">
        <v>513</v>
      </c>
    </row>
    <row r="4" customHeight="1" spans="1:6">
      <c r="A4" s="80">
        <v>44001</v>
      </c>
      <c r="B4" s="80">
        <v>0</v>
      </c>
      <c r="C4" s="80">
        <v>0</v>
      </c>
      <c r="D4" s="80">
        <v>0</v>
      </c>
      <c r="E4" s="80">
        <v>58109</v>
      </c>
      <c r="F4" s="80">
        <v>10000</v>
      </c>
    </row>
    <row r="5" customHeight="1" spans="1:6">
      <c r="A5" s="80">
        <v>44002</v>
      </c>
      <c r="B5" s="80">
        <v>0</v>
      </c>
      <c r="C5" s="80">
        <v>0</v>
      </c>
      <c r="D5" s="80">
        <v>0</v>
      </c>
      <c r="E5" s="80">
        <v>58110</v>
      </c>
      <c r="F5" s="80">
        <v>10000</v>
      </c>
    </row>
    <row r="6" customHeight="1" spans="1:6">
      <c r="A6" s="80">
        <v>44003</v>
      </c>
      <c r="B6" s="80">
        <v>0</v>
      </c>
      <c r="C6" s="80">
        <v>0</v>
      </c>
      <c r="D6" s="80">
        <v>0</v>
      </c>
      <c r="E6" s="80">
        <v>58111</v>
      </c>
      <c r="F6" s="80">
        <v>10000</v>
      </c>
    </row>
    <row r="7" customHeight="1" spans="1:6">
      <c r="A7" s="80">
        <v>44004</v>
      </c>
      <c r="B7" s="80">
        <v>0</v>
      </c>
      <c r="C7" s="80">
        <v>0</v>
      </c>
      <c r="D7" s="80">
        <v>0</v>
      </c>
      <c r="E7" s="80">
        <v>58112</v>
      </c>
      <c r="F7" s="80">
        <v>0</v>
      </c>
    </row>
    <row r="8" customHeight="1" spans="1:6">
      <c r="A8" s="80">
        <v>44005</v>
      </c>
      <c r="B8" s="80">
        <v>0</v>
      </c>
      <c r="C8" s="80">
        <v>0</v>
      </c>
      <c r="D8" s="80">
        <v>0</v>
      </c>
      <c r="E8" s="80">
        <v>58113</v>
      </c>
      <c r="F8" s="80">
        <v>0</v>
      </c>
    </row>
  </sheetData>
  <pageMargins left="0.699305555555556" right="0.699305555555556" top="0.75" bottom="0.75" header="0.3" footer="0.3"/>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J4"/>
  <sheetViews>
    <sheetView showGridLines="0" workbookViewId="0">
      <selection activeCell="I7" sqref="I7"/>
    </sheetView>
  </sheetViews>
  <sheetFormatPr defaultColWidth="6.59868421052632" defaultRowHeight="18" customHeight="1" outlineLevelRow="3"/>
  <cols>
    <col min="1" max="1" width="10.4013157894737" style="230" customWidth="1"/>
    <col min="2" max="2" width="9.5" style="230" customWidth="1"/>
    <col min="3" max="3" width="9.90131578947368" style="230" customWidth="1"/>
    <col min="4" max="4" width="9.69736842105263" style="230" customWidth="1"/>
    <col min="5" max="5" width="9.09868421052632" style="230" customWidth="1"/>
    <col min="6" max="7" width="9" customWidth="1"/>
    <col min="8" max="8" width="9.09868421052632" customWidth="1"/>
    <col min="9" max="9" width="8.09868421052632" customWidth="1"/>
    <col min="10" max="10" width="9.09868421052632" customWidth="1"/>
  </cols>
  <sheetData>
    <row r="1" ht="23.1" customHeight="1" spans="1:10">
      <c r="A1" s="80" t="s">
        <v>768</v>
      </c>
      <c r="B1" s="80" t="s">
        <v>742</v>
      </c>
      <c r="C1" s="80" t="s">
        <v>769</v>
      </c>
      <c r="D1" s="80" t="s">
        <v>745</v>
      </c>
      <c r="E1" s="80" t="s">
        <v>770</v>
      </c>
      <c r="F1" s="80" t="s">
        <v>747</v>
      </c>
      <c r="G1" s="80" t="s">
        <v>771</v>
      </c>
      <c r="H1" s="80" t="s">
        <v>749</v>
      </c>
      <c r="I1" s="80" t="s">
        <v>772</v>
      </c>
      <c r="J1" s="80" t="s">
        <v>751</v>
      </c>
    </row>
    <row r="2" ht="23.1" customHeight="1" spans="1:10">
      <c r="A2" s="80" t="s">
        <v>39</v>
      </c>
      <c r="B2" s="80" t="s">
        <v>41</v>
      </c>
      <c r="C2" s="80" t="s">
        <v>39</v>
      </c>
      <c r="D2" s="80" t="s">
        <v>41</v>
      </c>
      <c r="E2" s="80" t="s">
        <v>39</v>
      </c>
      <c r="F2" s="80" t="s">
        <v>41</v>
      </c>
      <c r="G2" s="80" t="s">
        <v>39</v>
      </c>
      <c r="H2" s="80" t="s">
        <v>41</v>
      </c>
      <c r="I2" s="80" t="s">
        <v>39</v>
      </c>
      <c r="J2" s="80" t="s">
        <v>41</v>
      </c>
    </row>
    <row r="3" ht="23.1" customHeight="1" spans="1:10">
      <c r="A3" s="205" t="s">
        <v>513</v>
      </c>
      <c r="B3" s="80" t="s">
        <v>561</v>
      </c>
      <c r="C3" s="205" t="s">
        <v>513</v>
      </c>
      <c r="D3" s="80" t="s">
        <v>561</v>
      </c>
      <c r="E3" s="205" t="s">
        <v>513</v>
      </c>
      <c r="F3" s="80" t="s">
        <v>561</v>
      </c>
      <c r="G3" s="205" t="s">
        <v>513</v>
      </c>
      <c r="H3" s="80" t="s">
        <v>561</v>
      </c>
      <c r="I3" s="205" t="s">
        <v>513</v>
      </c>
      <c r="J3" s="80" t="s">
        <v>561</v>
      </c>
    </row>
    <row r="4" ht="23.1" customHeight="1" spans="1:10">
      <c r="A4" s="80">
        <v>4550</v>
      </c>
      <c r="B4" s="80">
        <v>0</v>
      </c>
      <c r="C4" s="80">
        <v>2000</v>
      </c>
      <c r="D4" s="80">
        <v>0.5</v>
      </c>
      <c r="E4" s="80">
        <v>2500</v>
      </c>
      <c r="F4" s="80">
        <v>1</v>
      </c>
      <c r="G4" s="80">
        <v>700</v>
      </c>
      <c r="H4" s="80">
        <v>2.5</v>
      </c>
      <c r="I4" s="80">
        <v>250</v>
      </c>
      <c r="J4" s="80">
        <v>5</v>
      </c>
    </row>
  </sheetData>
  <pageMargins left="0.699305555555556" right="0.699305555555556" top="0.75" bottom="0.75" header="0.3" footer="0.3"/>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C53"/>
  <sheetViews>
    <sheetView showGridLines="0" zoomScale="80" zoomScaleNormal="80" workbookViewId="0">
      <pane xSplit="4" topLeftCell="E1" activePane="topRight" state="frozen"/>
      <selection/>
      <selection pane="topRight" activeCell="A1" sqref="A1"/>
    </sheetView>
  </sheetViews>
  <sheetFormatPr defaultColWidth="9" defaultRowHeight="15.2"/>
  <cols>
    <col min="1" max="1" width="15.0986842105263" customWidth="1"/>
    <col min="2" max="2" width="11.6973684210526" customWidth="1"/>
    <col min="4" max="4" width="11.0986842105263" style="227" customWidth="1"/>
  </cols>
  <sheetData>
    <row r="1" ht="18" spans="1:29">
      <c r="A1" s="80" t="s">
        <v>773</v>
      </c>
      <c r="B1" s="80" t="s">
        <v>774</v>
      </c>
      <c r="C1" s="80" t="s">
        <v>546</v>
      </c>
      <c r="D1" s="228" t="s">
        <v>28</v>
      </c>
      <c r="E1" s="80">
        <v>1</v>
      </c>
      <c r="F1" s="80">
        <v>2</v>
      </c>
      <c r="G1" s="80">
        <v>3</v>
      </c>
      <c r="H1" s="80">
        <v>4</v>
      </c>
      <c r="I1" s="80">
        <v>5</v>
      </c>
      <c r="J1" s="80">
        <v>6</v>
      </c>
      <c r="K1" s="80">
        <v>7</v>
      </c>
      <c r="L1" s="80">
        <v>8</v>
      </c>
      <c r="M1" s="80">
        <v>9</v>
      </c>
      <c r="N1" s="80">
        <v>10</v>
      </c>
      <c r="O1" s="80">
        <v>11</v>
      </c>
      <c r="P1" s="80">
        <v>12</v>
      </c>
      <c r="Q1" s="80">
        <v>13</v>
      </c>
      <c r="R1" s="80">
        <v>14</v>
      </c>
      <c r="S1" s="80">
        <v>15</v>
      </c>
      <c r="T1" s="80">
        <v>16</v>
      </c>
      <c r="U1" s="80">
        <v>17</v>
      </c>
      <c r="V1" s="80">
        <v>18</v>
      </c>
      <c r="W1" s="80">
        <v>19</v>
      </c>
      <c r="X1" s="80">
        <v>20</v>
      </c>
      <c r="Y1" s="80">
        <v>21</v>
      </c>
      <c r="Z1" s="80">
        <v>22</v>
      </c>
      <c r="AA1" s="80">
        <v>23</v>
      </c>
      <c r="AB1" s="80">
        <v>24</v>
      </c>
      <c r="AC1" s="80">
        <v>25</v>
      </c>
    </row>
    <row r="2" ht="18" spans="1:29">
      <c r="A2" s="80" t="s">
        <v>39</v>
      </c>
      <c r="B2" s="80" t="s">
        <v>39</v>
      </c>
      <c r="C2" s="80" t="s">
        <v>39</v>
      </c>
      <c r="D2" s="228" t="s">
        <v>39</v>
      </c>
      <c r="E2" s="80" t="s">
        <v>41</v>
      </c>
      <c r="F2" s="80" t="s">
        <v>41</v>
      </c>
      <c r="G2" s="80" t="s">
        <v>41</v>
      </c>
      <c r="H2" s="80" t="s">
        <v>41</v>
      </c>
      <c r="I2" s="80" t="s">
        <v>41</v>
      </c>
      <c r="J2" s="80" t="s">
        <v>41</v>
      </c>
      <c r="K2" s="80" t="s">
        <v>41</v>
      </c>
      <c r="L2" s="80" t="s">
        <v>41</v>
      </c>
      <c r="M2" s="80" t="s">
        <v>41</v>
      </c>
      <c r="N2" s="80" t="s">
        <v>41</v>
      </c>
      <c r="O2" s="80" t="s">
        <v>41</v>
      </c>
      <c r="P2" s="80" t="s">
        <v>41</v>
      </c>
      <c r="Q2" s="80" t="s">
        <v>41</v>
      </c>
      <c r="R2" s="80" t="s">
        <v>41</v>
      </c>
      <c r="S2" s="80" t="s">
        <v>41</v>
      </c>
      <c r="T2" s="80" t="s">
        <v>41</v>
      </c>
      <c r="U2" s="80" t="s">
        <v>41</v>
      </c>
      <c r="V2" s="80" t="s">
        <v>41</v>
      </c>
      <c r="W2" s="80" t="s">
        <v>41</v>
      </c>
      <c r="X2" s="80" t="s">
        <v>41</v>
      </c>
      <c r="Y2" s="80" t="s">
        <v>41</v>
      </c>
      <c r="Z2" s="80" t="s">
        <v>41</v>
      </c>
      <c r="AA2" s="80" t="s">
        <v>41</v>
      </c>
      <c r="AB2" s="80" t="s">
        <v>41</v>
      </c>
      <c r="AC2" s="80" t="s">
        <v>41</v>
      </c>
    </row>
    <row r="3" ht="21" spans="1:29">
      <c r="A3" s="81" t="s">
        <v>673</v>
      </c>
      <c r="B3" s="112" t="s">
        <v>775</v>
      </c>
      <c r="C3" s="205" t="s">
        <v>535</v>
      </c>
      <c r="D3" s="229" t="s">
        <v>776</v>
      </c>
      <c r="E3" s="80" t="s">
        <v>777</v>
      </c>
      <c r="F3" s="80" t="s">
        <v>777</v>
      </c>
      <c r="G3" s="80" t="s">
        <v>777</v>
      </c>
      <c r="H3" s="80" t="s">
        <v>777</v>
      </c>
      <c r="I3" s="80" t="s">
        <v>777</v>
      </c>
      <c r="J3" s="80" t="s">
        <v>777</v>
      </c>
      <c r="K3" s="80" t="s">
        <v>777</v>
      </c>
      <c r="L3" s="80" t="s">
        <v>777</v>
      </c>
      <c r="M3" s="80" t="s">
        <v>777</v>
      </c>
      <c r="N3" s="80" t="s">
        <v>777</v>
      </c>
      <c r="O3" s="80" t="s">
        <v>777</v>
      </c>
      <c r="P3" s="80" t="s">
        <v>777</v>
      </c>
      <c r="Q3" s="80" t="s">
        <v>777</v>
      </c>
      <c r="R3" s="80" t="s">
        <v>777</v>
      </c>
      <c r="S3" s="80" t="s">
        <v>777</v>
      </c>
      <c r="T3" s="80" t="s">
        <v>777</v>
      </c>
      <c r="U3" s="80" t="s">
        <v>777</v>
      </c>
      <c r="V3" s="80" t="s">
        <v>777</v>
      </c>
      <c r="W3" s="80" t="s">
        <v>777</v>
      </c>
      <c r="X3" s="80" t="s">
        <v>777</v>
      </c>
      <c r="Y3" s="80" t="s">
        <v>777</v>
      </c>
      <c r="Z3" s="80" t="s">
        <v>777</v>
      </c>
      <c r="AA3" s="80" t="s">
        <v>777</v>
      </c>
      <c r="AB3" s="80" t="s">
        <v>777</v>
      </c>
      <c r="AC3" s="80" t="s">
        <v>777</v>
      </c>
    </row>
    <row r="4" ht="17.6" spans="1:29">
      <c r="A4" s="80">
        <v>44001</v>
      </c>
      <c r="B4" s="80">
        <v>1</v>
      </c>
      <c r="C4" s="80">
        <v>1050</v>
      </c>
      <c r="D4" s="80">
        <v>1.6</v>
      </c>
      <c r="E4" s="80">
        <v>1.3</v>
      </c>
      <c r="F4" s="80">
        <v>0.7</v>
      </c>
      <c r="G4" s="80">
        <v>1.4</v>
      </c>
      <c r="H4" s="80">
        <v>0.8</v>
      </c>
      <c r="I4" s="80">
        <v>1.5</v>
      </c>
      <c r="J4" s="80">
        <v>1.4</v>
      </c>
      <c r="K4" s="80">
        <v>0.9</v>
      </c>
      <c r="L4" s="80">
        <v>1.6</v>
      </c>
      <c r="M4" s="80">
        <v>1</v>
      </c>
      <c r="N4" s="80">
        <v>1</v>
      </c>
      <c r="O4" s="80">
        <v>1</v>
      </c>
      <c r="P4" s="80">
        <v>1</v>
      </c>
      <c r="Q4" s="80">
        <v>1</v>
      </c>
      <c r="R4" s="80">
        <v>1</v>
      </c>
      <c r="S4" s="80">
        <v>1</v>
      </c>
      <c r="T4" s="80">
        <v>1</v>
      </c>
      <c r="U4" s="80">
        <v>1</v>
      </c>
      <c r="V4" s="80">
        <v>1</v>
      </c>
      <c r="W4" s="80">
        <v>1</v>
      </c>
      <c r="X4" s="80">
        <v>1</v>
      </c>
      <c r="Y4" s="80">
        <v>1</v>
      </c>
      <c r="Z4" s="80">
        <v>1</v>
      </c>
      <c r="AA4" s="80">
        <v>1</v>
      </c>
      <c r="AB4" s="80">
        <v>1</v>
      </c>
      <c r="AC4" s="80">
        <v>1</v>
      </c>
    </row>
    <row r="5" ht="17.6" spans="1:29">
      <c r="A5" s="80">
        <v>44001</v>
      </c>
      <c r="B5" s="80">
        <v>2</v>
      </c>
      <c r="C5" s="80">
        <v>900</v>
      </c>
      <c r="D5" s="80">
        <v>2.53</v>
      </c>
      <c r="E5" s="80">
        <v>1.8</v>
      </c>
      <c r="F5" s="80">
        <v>1.3</v>
      </c>
      <c r="G5" s="80">
        <v>1.2</v>
      </c>
      <c r="H5" s="80">
        <v>0.1</v>
      </c>
      <c r="I5" s="80">
        <v>0.2</v>
      </c>
      <c r="J5" s="80">
        <v>1.85</v>
      </c>
      <c r="K5" s="80">
        <v>1.56</v>
      </c>
      <c r="L5" s="80">
        <v>1.7</v>
      </c>
      <c r="M5" s="80">
        <v>1.61</v>
      </c>
      <c r="N5" s="80">
        <v>1.21</v>
      </c>
      <c r="O5" s="80">
        <v>1</v>
      </c>
      <c r="P5" s="80">
        <v>1</v>
      </c>
      <c r="Q5" s="80">
        <v>1</v>
      </c>
      <c r="R5" s="80">
        <v>1</v>
      </c>
      <c r="S5" s="80">
        <v>1</v>
      </c>
      <c r="T5" s="80">
        <v>1</v>
      </c>
      <c r="U5" s="80">
        <v>1</v>
      </c>
      <c r="V5" s="80">
        <v>1</v>
      </c>
      <c r="W5" s="80">
        <v>1</v>
      </c>
      <c r="X5" s="80">
        <v>1</v>
      </c>
      <c r="Y5" s="80">
        <v>1</v>
      </c>
      <c r="Z5" s="80">
        <v>1</v>
      </c>
      <c r="AA5" s="80">
        <v>1</v>
      </c>
      <c r="AB5" s="80">
        <v>1</v>
      </c>
      <c r="AC5" s="80">
        <v>1</v>
      </c>
    </row>
    <row r="6" ht="17.6" spans="1:29">
      <c r="A6" s="80">
        <v>44001</v>
      </c>
      <c r="B6" s="80">
        <v>3</v>
      </c>
      <c r="C6" s="80">
        <v>1300</v>
      </c>
      <c r="D6" s="80">
        <v>1.9</v>
      </c>
      <c r="E6" s="80">
        <v>1.5</v>
      </c>
      <c r="F6" s="80">
        <v>1.7</v>
      </c>
      <c r="G6" s="80">
        <v>1.25</v>
      </c>
      <c r="H6" s="80">
        <v>1.35</v>
      </c>
      <c r="I6" s="80">
        <v>1.1</v>
      </c>
      <c r="J6" s="80">
        <v>1</v>
      </c>
      <c r="K6" s="80">
        <v>1</v>
      </c>
      <c r="L6" s="80">
        <v>1</v>
      </c>
      <c r="M6" s="80">
        <v>1</v>
      </c>
      <c r="N6" s="80">
        <v>1</v>
      </c>
      <c r="O6" s="80">
        <v>1</v>
      </c>
      <c r="P6" s="80">
        <v>1</v>
      </c>
      <c r="Q6" s="80">
        <v>1</v>
      </c>
      <c r="R6" s="80">
        <v>1</v>
      </c>
      <c r="S6" s="80">
        <v>1</v>
      </c>
      <c r="T6" s="80">
        <v>1</v>
      </c>
      <c r="U6" s="80">
        <v>1</v>
      </c>
      <c r="V6" s="80">
        <v>1</v>
      </c>
      <c r="W6" s="80">
        <v>1</v>
      </c>
      <c r="X6" s="80">
        <v>1</v>
      </c>
      <c r="Y6" s="80">
        <v>1</v>
      </c>
      <c r="Z6" s="80">
        <v>1</v>
      </c>
      <c r="AA6" s="80">
        <v>1</v>
      </c>
      <c r="AB6" s="80">
        <v>1</v>
      </c>
      <c r="AC6" s="80">
        <v>1</v>
      </c>
    </row>
    <row r="7" ht="17.6" spans="1:29">
      <c r="A7" s="80">
        <v>44001</v>
      </c>
      <c r="B7" s="80">
        <v>4</v>
      </c>
      <c r="C7" s="80">
        <v>900</v>
      </c>
      <c r="D7" s="80">
        <v>2.52</v>
      </c>
      <c r="E7" s="80">
        <v>1.6</v>
      </c>
      <c r="F7" s="80">
        <v>1.75</v>
      </c>
      <c r="G7" s="80">
        <v>1.5</v>
      </c>
      <c r="H7" s="80">
        <v>1.5</v>
      </c>
      <c r="I7" s="80">
        <v>1.17</v>
      </c>
      <c r="J7" s="80">
        <v>1</v>
      </c>
      <c r="K7" s="80">
        <v>1</v>
      </c>
      <c r="L7" s="80">
        <v>1</v>
      </c>
      <c r="M7" s="80">
        <v>1</v>
      </c>
      <c r="N7" s="80">
        <v>1</v>
      </c>
      <c r="O7" s="80">
        <v>1</v>
      </c>
      <c r="P7" s="80">
        <v>1</v>
      </c>
      <c r="Q7" s="80">
        <v>1</v>
      </c>
      <c r="R7" s="80">
        <v>1</v>
      </c>
      <c r="S7" s="80">
        <v>1</v>
      </c>
      <c r="T7" s="80">
        <v>1</v>
      </c>
      <c r="U7" s="80">
        <v>1</v>
      </c>
      <c r="V7" s="80">
        <v>1</v>
      </c>
      <c r="W7" s="80">
        <v>1</v>
      </c>
      <c r="X7" s="80">
        <v>1</v>
      </c>
      <c r="Y7" s="80">
        <v>1</v>
      </c>
      <c r="Z7" s="80">
        <v>1</v>
      </c>
      <c r="AA7" s="80">
        <v>1</v>
      </c>
      <c r="AB7" s="80">
        <v>1</v>
      </c>
      <c r="AC7" s="80">
        <v>1</v>
      </c>
    </row>
    <row r="8" ht="17.6" spans="1:29">
      <c r="A8" s="80">
        <v>44001</v>
      </c>
      <c r="B8" s="80">
        <v>5</v>
      </c>
      <c r="C8" s="80">
        <v>500</v>
      </c>
      <c r="D8" s="80">
        <v>4.3</v>
      </c>
      <c r="E8" s="80">
        <v>1.5</v>
      </c>
      <c r="F8" s="80">
        <v>1.5</v>
      </c>
      <c r="G8" s="80">
        <v>1.5</v>
      </c>
      <c r="H8" s="80">
        <v>1.5</v>
      </c>
      <c r="I8" s="80">
        <v>1.5</v>
      </c>
      <c r="J8" s="80">
        <v>1.5</v>
      </c>
      <c r="K8" s="80">
        <v>1.5</v>
      </c>
      <c r="L8" s="80">
        <v>1.5</v>
      </c>
      <c r="M8" s="80">
        <v>1.3</v>
      </c>
      <c r="N8" s="80">
        <v>1</v>
      </c>
      <c r="O8" s="80">
        <v>1</v>
      </c>
      <c r="P8" s="80">
        <v>1</v>
      </c>
      <c r="Q8" s="80">
        <v>1</v>
      </c>
      <c r="R8" s="80">
        <v>1</v>
      </c>
      <c r="S8" s="80">
        <v>1</v>
      </c>
      <c r="T8" s="80">
        <v>1</v>
      </c>
      <c r="U8" s="80">
        <v>1</v>
      </c>
      <c r="V8" s="80">
        <v>1</v>
      </c>
      <c r="W8" s="80">
        <v>1</v>
      </c>
      <c r="X8" s="80">
        <v>1</v>
      </c>
      <c r="Y8" s="80">
        <v>1</v>
      </c>
      <c r="Z8" s="80">
        <v>1</v>
      </c>
      <c r="AA8" s="80">
        <v>1</v>
      </c>
      <c r="AB8" s="80">
        <v>1</v>
      </c>
      <c r="AC8" s="80">
        <v>1</v>
      </c>
    </row>
    <row r="9" ht="17.6" spans="1:29">
      <c r="A9" s="80">
        <v>44001</v>
      </c>
      <c r="B9" s="80">
        <v>6</v>
      </c>
      <c r="C9" s="80">
        <v>1000</v>
      </c>
      <c r="D9" s="80">
        <v>-2.12</v>
      </c>
      <c r="E9" s="80">
        <v>0.4</v>
      </c>
      <c r="F9" s="80">
        <v>0.5</v>
      </c>
      <c r="G9" s="80">
        <v>0.6</v>
      </c>
      <c r="H9" s="80">
        <v>0.7</v>
      </c>
      <c r="I9" s="80">
        <v>0.68</v>
      </c>
      <c r="J9" s="80">
        <v>1</v>
      </c>
      <c r="K9" s="80">
        <v>1</v>
      </c>
      <c r="L9" s="80">
        <v>1</v>
      </c>
      <c r="M9" s="80">
        <v>1</v>
      </c>
      <c r="N9" s="80">
        <v>1</v>
      </c>
      <c r="O9" s="80">
        <v>1</v>
      </c>
      <c r="P9" s="80">
        <v>1</v>
      </c>
      <c r="Q9" s="80">
        <v>1</v>
      </c>
      <c r="R9" s="80">
        <v>1</v>
      </c>
      <c r="S9" s="80">
        <v>1</v>
      </c>
      <c r="T9" s="80">
        <v>1</v>
      </c>
      <c r="U9" s="80">
        <v>1</v>
      </c>
      <c r="V9" s="80">
        <v>1</v>
      </c>
      <c r="W9" s="80">
        <v>1</v>
      </c>
      <c r="X9" s="80">
        <v>1</v>
      </c>
      <c r="Y9" s="80">
        <v>1</v>
      </c>
      <c r="Z9" s="80">
        <v>1</v>
      </c>
      <c r="AA9" s="80">
        <v>1</v>
      </c>
      <c r="AB9" s="80">
        <v>1</v>
      </c>
      <c r="AC9" s="80">
        <v>1</v>
      </c>
    </row>
    <row r="10" ht="17.6" spans="1:29">
      <c r="A10" s="80">
        <v>44001</v>
      </c>
      <c r="B10" s="80">
        <v>7</v>
      </c>
      <c r="C10" s="80">
        <v>1000</v>
      </c>
      <c r="D10" s="80">
        <v>-2.34</v>
      </c>
      <c r="E10" s="80">
        <v>0.25</v>
      </c>
      <c r="F10" s="80">
        <v>0.6</v>
      </c>
      <c r="G10" s="80">
        <v>0.47</v>
      </c>
      <c r="H10" s="80">
        <v>0.54</v>
      </c>
      <c r="I10" s="80">
        <v>0.8</v>
      </c>
      <c r="J10" s="80">
        <v>1</v>
      </c>
      <c r="K10" s="80">
        <v>1</v>
      </c>
      <c r="L10" s="80">
        <v>1</v>
      </c>
      <c r="M10" s="80">
        <v>1</v>
      </c>
      <c r="N10" s="80">
        <v>1</v>
      </c>
      <c r="O10" s="80">
        <v>1</v>
      </c>
      <c r="P10" s="80">
        <v>1</v>
      </c>
      <c r="Q10" s="80">
        <v>1</v>
      </c>
      <c r="R10" s="80">
        <v>1</v>
      </c>
      <c r="S10" s="80">
        <v>1</v>
      </c>
      <c r="T10" s="80">
        <v>1</v>
      </c>
      <c r="U10" s="80">
        <v>1</v>
      </c>
      <c r="V10" s="80">
        <v>1</v>
      </c>
      <c r="W10" s="80">
        <v>1</v>
      </c>
      <c r="X10" s="80">
        <v>1</v>
      </c>
      <c r="Y10" s="80">
        <v>1</v>
      </c>
      <c r="Z10" s="80">
        <v>1</v>
      </c>
      <c r="AA10" s="80">
        <v>1</v>
      </c>
      <c r="AB10" s="80">
        <v>1</v>
      </c>
      <c r="AC10" s="80">
        <v>1</v>
      </c>
    </row>
    <row r="11" ht="17.6" spans="1:29">
      <c r="A11" s="80">
        <v>44001</v>
      </c>
      <c r="B11" s="80">
        <v>8</v>
      </c>
      <c r="C11" s="80">
        <v>1000</v>
      </c>
      <c r="D11" s="80">
        <v>-2.5</v>
      </c>
      <c r="E11" s="80">
        <v>0</v>
      </c>
      <c r="F11" s="80">
        <v>0</v>
      </c>
      <c r="G11" s="80">
        <v>0.5</v>
      </c>
      <c r="H11" s="80">
        <v>1</v>
      </c>
      <c r="I11" s="80">
        <v>1</v>
      </c>
      <c r="J11" s="80">
        <v>1</v>
      </c>
      <c r="K11" s="80">
        <v>1</v>
      </c>
      <c r="L11" s="80">
        <v>1</v>
      </c>
      <c r="M11" s="80">
        <v>1</v>
      </c>
      <c r="N11" s="80">
        <v>1</v>
      </c>
      <c r="O11" s="80">
        <v>1</v>
      </c>
      <c r="P11" s="80">
        <v>1</v>
      </c>
      <c r="Q11" s="80">
        <v>1</v>
      </c>
      <c r="R11" s="80">
        <v>1</v>
      </c>
      <c r="S11" s="80">
        <v>1</v>
      </c>
      <c r="T11" s="80">
        <v>1</v>
      </c>
      <c r="U11" s="80">
        <v>1</v>
      </c>
      <c r="V11" s="80">
        <v>1</v>
      </c>
      <c r="W11" s="80">
        <v>1</v>
      </c>
      <c r="X11" s="80">
        <v>1</v>
      </c>
      <c r="Y11" s="80">
        <v>1</v>
      </c>
      <c r="Z11" s="80">
        <v>1</v>
      </c>
      <c r="AA11" s="80">
        <v>1</v>
      </c>
      <c r="AB11" s="80">
        <v>1</v>
      </c>
      <c r="AC11" s="80">
        <v>1</v>
      </c>
    </row>
    <row r="12" ht="17.6" spans="1:29">
      <c r="A12" s="80">
        <v>44001</v>
      </c>
      <c r="B12" s="80">
        <v>9</v>
      </c>
      <c r="C12" s="80">
        <v>1350</v>
      </c>
      <c r="D12" s="80">
        <v>-3.2</v>
      </c>
      <c r="E12" s="80">
        <v>0</v>
      </c>
      <c r="F12" s="80">
        <v>0</v>
      </c>
      <c r="G12" s="80">
        <v>0</v>
      </c>
      <c r="H12" s="80">
        <v>0.8</v>
      </c>
      <c r="I12" s="80">
        <v>1</v>
      </c>
      <c r="J12" s="80">
        <v>1</v>
      </c>
      <c r="K12" s="80">
        <v>1</v>
      </c>
      <c r="L12" s="80">
        <v>1</v>
      </c>
      <c r="M12" s="80">
        <v>1</v>
      </c>
      <c r="N12" s="80">
        <v>1</v>
      </c>
      <c r="O12" s="80">
        <v>1</v>
      </c>
      <c r="P12" s="80">
        <v>1</v>
      </c>
      <c r="Q12" s="80">
        <v>1</v>
      </c>
      <c r="R12" s="80">
        <v>1</v>
      </c>
      <c r="S12" s="80">
        <v>1</v>
      </c>
      <c r="T12" s="80">
        <v>1</v>
      </c>
      <c r="U12" s="80">
        <v>1</v>
      </c>
      <c r="V12" s="80">
        <v>1</v>
      </c>
      <c r="W12" s="80">
        <v>1</v>
      </c>
      <c r="X12" s="80">
        <v>1</v>
      </c>
      <c r="Y12" s="80">
        <v>1</v>
      </c>
      <c r="Z12" s="80">
        <v>1</v>
      </c>
      <c r="AA12" s="80">
        <v>1</v>
      </c>
      <c r="AB12" s="80">
        <v>1</v>
      </c>
      <c r="AC12" s="80">
        <v>1</v>
      </c>
    </row>
    <row r="13" ht="17.6" spans="1:29">
      <c r="A13" s="80">
        <v>44001</v>
      </c>
      <c r="B13" s="80">
        <v>10</v>
      </c>
      <c r="C13" s="80">
        <v>1000</v>
      </c>
      <c r="D13" s="80">
        <v>-3.88</v>
      </c>
      <c r="E13" s="80">
        <v>0</v>
      </c>
      <c r="F13" s="80">
        <v>0</v>
      </c>
      <c r="G13" s="80">
        <v>0</v>
      </c>
      <c r="H13" s="80">
        <v>0.12</v>
      </c>
      <c r="I13" s="80">
        <v>1</v>
      </c>
      <c r="J13" s="80">
        <v>1</v>
      </c>
      <c r="K13" s="80">
        <v>1</v>
      </c>
      <c r="L13" s="80">
        <v>1</v>
      </c>
      <c r="M13" s="80">
        <v>1</v>
      </c>
      <c r="N13" s="80">
        <v>1</v>
      </c>
      <c r="O13" s="80">
        <v>1</v>
      </c>
      <c r="P13" s="80">
        <v>1</v>
      </c>
      <c r="Q13" s="80">
        <v>1</v>
      </c>
      <c r="R13" s="80">
        <v>1</v>
      </c>
      <c r="S13" s="80">
        <v>1</v>
      </c>
      <c r="T13" s="80">
        <v>1</v>
      </c>
      <c r="U13" s="80">
        <v>1</v>
      </c>
      <c r="V13" s="80">
        <v>1</v>
      </c>
      <c r="W13" s="80">
        <v>1</v>
      </c>
      <c r="X13" s="80">
        <v>1</v>
      </c>
      <c r="Y13" s="80">
        <v>1</v>
      </c>
      <c r="Z13" s="80">
        <v>1</v>
      </c>
      <c r="AA13" s="80">
        <v>1</v>
      </c>
      <c r="AB13" s="80">
        <v>1</v>
      </c>
      <c r="AC13" s="80">
        <v>1</v>
      </c>
    </row>
    <row r="14" ht="17.6" spans="1:29">
      <c r="A14" s="80">
        <v>44002</v>
      </c>
      <c r="B14" s="80">
        <v>1</v>
      </c>
      <c r="C14" s="80">
        <v>1050</v>
      </c>
      <c r="D14" s="80">
        <v>1.6</v>
      </c>
      <c r="E14" s="80">
        <v>1.58</v>
      </c>
      <c r="F14" s="80">
        <v>0.01</v>
      </c>
      <c r="G14" s="80">
        <v>1.66</v>
      </c>
      <c r="H14" s="80">
        <v>0.34</v>
      </c>
      <c r="I14" s="80">
        <v>2</v>
      </c>
      <c r="J14" s="80">
        <v>0.33</v>
      </c>
      <c r="K14" s="80">
        <v>1.8</v>
      </c>
      <c r="L14" s="80">
        <v>1.8</v>
      </c>
      <c r="M14" s="80">
        <v>2</v>
      </c>
      <c r="N14" s="80">
        <v>0.4</v>
      </c>
      <c r="O14" s="80">
        <v>0.32</v>
      </c>
      <c r="P14" s="80">
        <v>0.36</v>
      </c>
      <c r="Q14" s="80">
        <v>0.8</v>
      </c>
      <c r="R14" s="80">
        <v>1.8</v>
      </c>
      <c r="S14" s="80">
        <v>1.4</v>
      </c>
      <c r="T14" s="80">
        <v>1</v>
      </c>
      <c r="U14" s="80">
        <v>1</v>
      </c>
      <c r="V14" s="80">
        <v>1</v>
      </c>
      <c r="W14" s="80">
        <v>1</v>
      </c>
      <c r="X14" s="80">
        <v>1</v>
      </c>
      <c r="Y14" s="80">
        <v>1</v>
      </c>
      <c r="Z14" s="80">
        <v>1</v>
      </c>
      <c r="AA14" s="80">
        <v>1</v>
      </c>
      <c r="AB14" s="80">
        <v>1</v>
      </c>
      <c r="AC14" s="80">
        <v>1</v>
      </c>
    </row>
    <row r="15" ht="17.6" spans="1:29">
      <c r="A15" s="80">
        <v>44002</v>
      </c>
      <c r="B15" s="80">
        <v>2</v>
      </c>
      <c r="C15" s="80">
        <v>900</v>
      </c>
      <c r="D15" s="80">
        <v>2.4</v>
      </c>
      <c r="E15" s="80">
        <v>1.8</v>
      </c>
      <c r="F15" s="80">
        <v>1.3</v>
      </c>
      <c r="G15" s="80">
        <v>1.2</v>
      </c>
      <c r="H15" s="80">
        <v>0.1</v>
      </c>
      <c r="I15" s="80">
        <v>0.2</v>
      </c>
      <c r="J15" s="80">
        <v>1.8</v>
      </c>
      <c r="K15" s="80">
        <v>1.5</v>
      </c>
      <c r="L15" s="80">
        <v>1.7</v>
      </c>
      <c r="M15" s="80">
        <v>1.6</v>
      </c>
      <c r="N15" s="80">
        <v>1.2</v>
      </c>
      <c r="O15" s="80">
        <v>1</v>
      </c>
      <c r="P15" s="80">
        <v>1</v>
      </c>
      <c r="Q15" s="80">
        <v>1</v>
      </c>
      <c r="R15" s="80">
        <v>1</v>
      </c>
      <c r="S15" s="80">
        <v>1</v>
      </c>
      <c r="T15" s="80">
        <v>1</v>
      </c>
      <c r="U15" s="80">
        <v>1</v>
      </c>
      <c r="V15" s="80">
        <v>1</v>
      </c>
      <c r="W15" s="80">
        <v>1</v>
      </c>
      <c r="X15" s="80">
        <v>1</v>
      </c>
      <c r="Y15" s="80">
        <v>1</v>
      </c>
      <c r="Z15" s="80">
        <v>1</v>
      </c>
      <c r="AA15" s="80">
        <v>1</v>
      </c>
      <c r="AB15" s="80">
        <v>1</v>
      </c>
      <c r="AC15" s="80">
        <v>1</v>
      </c>
    </row>
    <row r="16" ht="17.6" spans="1:29">
      <c r="A16" s="80">
        <v>44002</v>
      </c>
      <c r="B16" s="80">
        <v>3</v>
      </c>
      <c r="C16" s="80">
        <v>1300</v>
      </c>
      <c r="D16" s="80">
        <v>1.9</v>
      </c>
      <c r="E16" s="80">
        <v>1.5</v>
      </c>
      <c r="F16" s="80">
        <v>1.7</v>
      </c>
      <c r="G16" s="80">
        <v>1.25</v>
      </c>
      <c r="H16" s="80">
        <v>1.35</v>
      </c>
      <c r="I16" s="80">
        <v>1.1</v>
      </c>
      <c r="J16" s="80">
        <v>1</v>
      </c>
      <c r="K16" s="80">
        <v>1</v>
      </c>
      <c r="L16" s="80">
        <v>1</v>
      </c>
      <c r="M16" s="80">
        <v>1</v>
      </c>
      <c r="N16" s="80">
        <v>1</v>
      </c>
      <c r="O16" s="80">
        <v>1</v>
      </c>
      <c r="P16" s="80">
        <v>1</v>
      </c>
      <c r="Q16" s="80">
        <v>1</v>
      </c>
      <c r="R16" s="80">
        <v>1</v>
      </c>
      <c r="S16" s="80">
        <v>1</v>
      </c>
      <c r="T16" s="80">
        <v>1</v>
      </c>
      <c r="U16" s="80">
        <v>1</v>
      </c>
      <c r="V16" s="80">
        <v>1</v>
      </c>
      <c r="W16" s="80">
        <v>1</v>
      </c>
      <c r="X16" s="80">
        <v>1</v>
      </c>
      <c r="Y16" s="80">
        <v>1</v>
      </c>
      <c r="Z16" s="80">
        <v>1</v>
      </c>
      <c r="AA16" s="80">
        <v>1</v>
      </c>
      <c r="AB16" s="80">
        <v>1</v>
      </c>
      <c r="AC16" s="80">
        <v>1</v>
      </c>
    </row>
    <row r="17" ht="17.6" spans="1:29">
      <c r="A17" s="80">
        <v>44002</v>
      </c>
      <c r="B17" s="80">
        <v>4</v>
      </c>
      <c r="C17" s="80">
        <v>900</v>
      </c>
      <c r="D17" s="80">
        <v>2.52</v>
      </c>
      <c r="E17" s="80">
        <v>1.6</v>
      </c>
      <c r="F17" s="80">
        <v>1.75</v>
      </c>
      <c r="G17" s="80">
        <v>1.5</v>
      </c>
      <c r="H17" s="80">
        <v>1.5</v>
      </c>
      <c r="I17" s="80">
        <v>1.17</v>
      </c>
      <c r="J17" s="80">
        <v>1</v>
      </c>
      <c r="K17" s="80">
        <v>1</v>
      </c>
      <c r="L17" s="80">
        <v>1</v>
      </c>
      <c r="M17" s="80">
        <v>1</v>
      </c>
      <c r="N17" s="80">
        <v>1</v>
      </c>
      <c r="O17" s="80">
        <v>1</v>
      </c>
      <c r="P17" s="80">
        <v>1</v>
      </c>
      <c r="Q17" s="80">
        <v>1</v>
      </c>
      <c r="R17" s="80">
        <v>1</v>
      </c>
      <c r="S17" s="80">
        <v>1</v>
      </c>
      <c r="T17" s="80">
        <v>1</v>
      </c>
      <c r="U17" s="80">
        <v>1</v>
      </c>
      <c r="V17" s="80">
        <v>1</v>
      </c>
      <c r="W17" s="80">
        <v>1</v>
      </c>
      <c r="X17" s="80">
        <v>1</v>
      </c>
      <c r="Y17" s="80">
        <v>1</v>
      </c>
      <c r="Z17" s="80">
        <v>1</v>
      </c>
      <c r="AA17" s="80">
        <v>1</v>
      </c>
      <c r="AB17" s="80">
        <v>1</v>
      </c>
      <c r="AC17" s="80">
        <v>1</v>
      </c>
    </row>
    <row r="18" ht="17.6" spans="1:29">
      <c r="A18" s="80">
        <v>44002</v>
      </c>
      <c r="B18" s="80">
        <v>5</v>
      </c>
      <c r="C18" s="80">
        <v>500</v>
      </c>
      <c r="D18" s="80">
        <v>4.3</v>
      </c>
      <c r="E18" s="80">
        <v>1.5</v>
      </c>
      <c r="F18" s="80">
        <v>1.5</v>
      </c>
      <c r="G18" s="80">
        <v>1.5</v>
      </c>
      <c r="H18" s="80">
        <v>1.5</v>
      </c>
      <c r="I18" s="80">
        <v>1.5</v>
      </c>
      <c r="J18" s="80">
        <v>1.5</v>
      </c>
      <c r="K18" s="80">
        <v>1.5</v>
      </c>
      <c r="L18" s="80">
        <v>1.5</v>
      </c>
      <c r="M18" s="80">
        <v>1.3</v>
      </c>
      <c r="N18" s="80">
        <v>1</v>
      </c>
      <c r="O18" s="80">
        <v>1</v>
      </c>
      <c r="P18" s="80">
        <v>1</v>
      </c>
      <c r="Q18" s="80">
        <v>1</v>
      </c>
      <c r="R18" s="80">
        <v>1</v>
      </c>
      <c r="S18" s="80">
        <v>1</v>
      </c>
      <c r="T18" s="80">
        <v>1</v>
      </c>
      <c r="U18" s="80">
        <v>1</v>
      </c>
      <c r="V18" s="80">
        <v>1</v>
      </c>
      <c r="W18" s="80">
        <v>1</v>
      </c>
      <c r="X18" s="80">
        <v>1</v>
      </c>
      <c r="Y18" s="80">
        <v>1</v>
      </c>
      <c r="Z18" s="80">
        <v>1</v>
      </c>
      <c r="AA18" s="80">
        <v>1</v>
      </c>
      <c r="AB18" s="80">
        <v>1</v>
      </c>
      <c r="AC18" s="80">
        <v>1</v>
      </c>
    </row>
    <row r="19" ht="17.6" spans="1:29">
      <c r="A19" s="80">
        <v>44002</v>
      </c>
      <c r="B19" s="80">
        <v>6</v>
      </c>
      <c r="C19" s="80">
        <v>1000</v>
      </c>
      <c r="D19" s="80">
        <v>-2.1</v>
      </c>
      <c r="E19" s="80">
        <v>1.65</v>
      </c>
      <c r="F19" s="80">
        <v>0.27</v>
      </c>
      <c r="G19" s="80">
        <v>2</v>
      </c>
      <c r="H19" s="80">
        <v>0.33</v>
      </c>
      <c r="I19" s="80">
        <v>0.32</v>
      </c>
      <c r="J19" s="80">
        <v>1.96</v>
      </c>
      <c r="K19" s="80">
        <v>1.89</v>
      </c>
      <c r="L19" s="80">
        <v>0</v>
      </c>
      <c r="M19" s="80">
        <v>0</v>
      </c>
      <c r="N19" s="80">
        <v>0</v>
      </c>
      <c r="O19" s="80">
        <v>0</v>
      </c>
      <c r="P19" s="80">
        <v>1.48</v>
      </c>
      <c r="Q19" s="80">
        <v>1</v>
      </c>
      <c r="R19" s="80">
        <v>1</v>
      </c>
      <c r="S19" s="80">
        <v>1</v>
      </c>
      <c r="T19" s="80">
        <v>1</v>
      </c>
      <c r="U19" s="80">
        <v>1</v>
      </c>
      <c r="V19" s="80">
        <v>1</v>
      </c>
      <c r="W19" s="80">
        <v>1</v>
      </c>
      <c r="X19" s="80">
        <v>1</v>
      </c>
      <c r="Y19" s="80">
        <v>1</v>
      </c>
      <c r="Z19" s="80">
        <v>1</v>
      </c>
      <c r="AA19" s="80">
        <v>1</v>
      </c>
      <c r="AB19" s="80">
        <v>1</v>
      </c>
      <c r="AC19" s="80">
        <v>1</v>
      </c>
    </row>
    <row r="20" ht="17.6" spans="1:29">
      <c r="A20" s="80">
        <v>44002</v>
      </c>
      <c r="B20" s="80">
        <v>7</v>
      </c>
      <c r="C20" s="80">
        <v>1000</v>
      </c>
      <c r="D20" s="80">
        <v>-2.34</v>
      </c>
      <c r="E20" s="80">
        <v>0.25</v>
      </c>
      <c r="F20" s="80">
        <v>0.6</v>
      </c>
      <c r="G20" s="80">
        <v>0.47</v>
      </c>
      <c r="H20" s="80">
        <v>0.54</v>
      </c>
      <c r="I20" s="80">
        <v>0.8</v>
      </c>
      <c r="J20" s="80">
        <v>1</v>
      </c>
      <c r="K20" s="80">
        <v>1</v>
      </c>
      <c r="L20" s="80">
        <v>1</v>
      </c>
      <c r="M20" s="80">
        <v>1</v>
      </c>
      <c r="N20" s="80">
        <v>1</v>
      </c>
      <c r="O20" s="80">
        <v>1</v>
      </c>
      <c r="P20" s="80">
        <v>1</v>
      </c>
      <c r="Q20" s="80">
        <v>1</v>
      </c>
      <c r="R20" s="80">
        <v>1</v>
      </c>
      <c r="S20" s="80">
        <v>1</v>
      </c>
      <c r="T20" s="80">
        <v>1</v>
      </c>
      <c r="U20" s="80">
        <v>1</v>
      </c>
      <c r="V20" s="80">
        <v>1</v>
      </c>
      <c r="W20" s="80">
        <v>1</v>
      </c>
      <c r="X20" s="80">
        <v>1</v>
      </c>
      <c r="Y20" s="80">
        <v>1</v>
      </c>
      <c r="Z20" s="80">
        <v>1</v>
      </c>
      <c r="AA20" s="80">
        <v>1</v>
      </c>
      <c r="AB20" s="80">
        <v>1</v>
      </c>
      <c r="AC20" s="80">
        <v>1</v>
      </c>
    </row>
    <row r="21" ht="17.6" spans="1:29">
      <c r="A21" s="80">
        <v>44002</v>
      </c>
      <c r="B21" s="80">
        <v>8</v>
      </c>
      <c r="C21" s="80">
        <v>1000</v>
      </c>
      <c r="D21" s="80">
        <v>-2.5</v>
      </c>
      <c r="E21" s="80">
        <v>0</v>
      </c>
      <c r="F21" s="80">
        <v>0</v>
      </c>
      <c r="G21" s="80">
        <v>0.5</v>
      </c>
      <c r="H21" s="80">
        <v>1</v>
      </c>
      <c r="I21" s="80">
        <v>1</v>
      </c>
      <c r="J21" s="80">
        <v>1</v>
      </c>
      <c r="K21" s="80">
        <v>1</v>
      </c>
      <c r="L21" s="80">
        <v>1</v>
      </c>
      <c r="M21" s="80">
        <v>1</v>
      </c>
      <c r="N21" s="80">
        <v>1</v>
      </c>
      <c r="O21" s="80">
        <v>1</v>
      </c>
      <c r="P21" s="80">
        <v>1</v>
      </c>
      <c r="Q21" s="80">
        <v>1</v>
      </c>
      <c r="R21" s="80">
        <v>1</v>
      </c>
      <c r="S21" s="80">
        <v>1</v>
      </c>
      <c r="T21" s="80">
        <v>1</v>
      </c>
      <c r="U21" s="80">
        <v>1</v>
      </c>
      <c r="V21" s="80">
        <v>1</v>
      </c>
      <c r="W21" s="80">
        <v>1</v>
      </c>
      <c r="X21" s="80">
        <v>1</v>
      </c>
      <c r="Y21" s="80">
        <v>1</v>
      </c>
      <c r="Z21" s="80">
        <v>1</v>
      </c>
      <c r="AA21" s="80">
        <v>1</v>
      </c>
      <c r="AB21" s="80">
        <v>1</v>
      </c>
      <c r="AC21" s="80">
        <v>1</v>
      </c>
    </row>
    <row r="22" ht="17.6" spans="1:29">
      <c r="A22" s="80">
        <v>44002</v>
      </c>
      <c r="B22" s="80">
        <v>9</v>
      </c>
      <c r="C22" s="80">
        <v>1350</v>
      </c>
      <c r="D22" s="80">
        <v>-3.2</v>
      </c>
      <c r="E22" s="80">
        <v>0</v>
      </c>
      <c r="F22" s="80">
        <v>0</v>
      </c>
      <c r="G22" s="80">
        <v>0</v>
      </c>
      <c r="H22" s="80">
        <v>0.8</v>
      </c>
      <c r="I22" s="80">
        <v>1</v>
      </c>
      <c r="J22" s="80">
        <v>1</v>
      </c>
      <c r="K22" s="80">
        <v>1</v>
      </c>
      <c r="L22" s="80">
        <v>1</v>
      </c>
      <c r="M22" s="80">
        <v>1</v>
      </c>
      <c r="N22" s="80">
        <v>1</v>
      </c>
      <c r="O22" s="80">
        <v>1</v>
      </c>
      <c r="P22" s="80">
        <v>1</v>
      </c>
      <c r="Q22" s="80">
        <v>1</v>
      </c>
      <c r="R22" s="80">
        <v>1</v>
      </c>
      <c r="S22" s="80">
        <v>1</v>
      </c>
      <c r="T22" s="80">
        <v>1</v>
      </c>
      <c r="U22" s="80">
        <v>1</v>
      </c>
      <c r="V22" s="80">
        <v>1</v>
      </c>
      <c r="W22" s="80">
        <v>1</v>
      </c>
      <c r="X22" s="80">
        <v>1</v>
      </c>
      <c r="Y22" s="80">
        <v>1</v>
      </c>
      <c r="Z22" s="80">
        <v>1</v>
      </c>
      <c r="AA22" s="80">
        <v>1</v>
      </c>
      <c r="AB22" s="80">
        <v>1</v>
      </c>
      <c r="AC22" s="80">
        <v>1</v>
      </c>
    </row>
    <row r="23" ht="17.6" spans="1:29">
      <c r="A23" s="80">
        <v>44002</v>
      </c>
      <c r="B23" s="80">
        <v>10</v>
      </c>
      <c r="C23" s="80">
        <v>1000</v>
      </c>
      <c r="D23" s="80">
        <v>-3.88</v>
      </c>
      <c r="E23" s="80">
        <v>0</v>
      </c>
      <c r="F23" s="80">
        <v>0</v>
      </c>
      <c r="G23" s="80">
        <v>0</v>
      </c>
      <c r="H23" s="80">
        <v>0.12</v>
      </c>
      <c r="I23" s="80">
        <v>1</v>
      </c>
      <c r="J23" s="80">
        <v>1</v>
      </c>
      <c r="K23" s="80">
        <v>1</v>
      </c>
      <c r="L23" s="80">
        <v>1</v>
      </c>
      <c r="M23" s="80">
        <v>1</v>
      </c>
      <c r="N23" s="80">
        <v>1</v>
      </c>
      <c r="O23" s="80">
        <v>1</v>
      </c>
      <c r="P23" s="80">
        <v>1</v>
      </c>
      <c r="Q23" s="80">
        <v>1</v>
      </c>
      <c r="R23" s="80">
        <v>1</v>
      </c>
      <c r="S23" s="80">
        <v>1</v>
      </c>
      <c r="T23" s="80">
        <v>1</v>
      </c>
      <c r="U23" s="80">
        <v>1</v>
      </c>
      <c r="V23" s="80">
        <v>1</v>
      </c>
      <c r="W23" s="80">
        <v>1</v>
      </c>
      <c r="X23" s="80">
        <v>1</v>
      </c>
      <c r="Y23" s="80">
        <v>1</v>
      </c>
      <c r="Z23" s="80">
        <v>1</v>
      </c>
      <c r="AA23" s="80">
        <v>1</v>
      </c>
      <c r="AB23" s="80">
        <v>1</v>
      </c>
      <c r="AC23" s="80">
        <v>1</v>
      </c>
    </row>
    <row r="24" ht="17.6" spans="1:29">
      <c r="A24" s="80">
        <v>44003</v>
      </c>
      <c r="B24" s="80">
        <v>1</v>
      </c>
      <c r="C24" s="80">
        <v>1050</v>
      </c>
      <c r="D24" s="80">
        <v>1.6</v>
      </c>
      <c r="E24" s="80">
        <v>1.58</v>
      </c>
      <c r="F24" s="80">
        <v>0.01</v>
      </c>
      <c r="G24" s="80">
        <v>1.66</v>
      </c>
      <c r="H24" s="80">
        <v>0.34</v>
      </c>
      <c r="I24" s="80">
        <v>2</v>
      </c>
      <c r="J24" s="80">
        <v>0.33</v>
      </c>
      <c r="K24" s="80">
        <v>1.8</v>
      </c>
      <c r="L24" s="80">
        <v>1.8</v>
      </c>
      <c r="M24" s="80">
        <v>2</v>
      </c>
      <c r="N24" s="80">
        <v>0.4</v>
      </c>
      <c r="O24" s="80">
        <v>0.32</v>
      </c>
      <c r="P24" s="80">
        <v>0.36</v>
      </c>
      <c r="Q24" s="80">
        <v>0.8</v>
      </c>
      <c r="R24" s="80">
        <v>1.8</v>
      </c>
      <c r="S24" s="80">
        <v>1.4</v>
      </c>
      <c r="T24" s="80">
        <v>1</v>
      </c>
      <c r="U24" s="80">
        <v>1</v>
      </c>
      <c r="V24" s="80">
        <v>1</v>
      </c>
      <c r="W24" s="80">
        <v>1</v>
      </c>
      <c r="X24" s="80">
        <v>1</v>
      </c>
      <c r="Y24" s="80">
        <v>1</v>
      </c>
      <c r="Z24" s="80">
        <v>1</v>
      </c>
      <c r="AA24" s="80">
        <v>1</v>
      </c>
      <c r="AB24" s="80">
        <v>1</v>
      </c>
      <c r="AC24" s="80">
        <v>1</v>
      </c>
    </row>
    <row r="25" ht="17.6" spans="1:29">
      <c r="A25" s="80">
        <v>44003</v>
      </c>
      <c r="B25" s="80">
        <v>2</v>
      </c>
      <c r="C25" s="80">
        <v>900</v>
      </c>
      <c r="D25" s="80">
        <v>2.4</v>
      </c>
      <c r="E25" s="80">
        <v>1.8</v>
      </c>
      <c r="F25" s="80">
        <v>1.3</v>
      </c>
      <c r="G25" s="80">
        <v>1.2</v>
      </c>
      <c r="H25" s="80">
        <v>0.1</v>
      </c>
      <c r="I25" s="80">
        <v>0.2</v>
      </c>
      <c r="J25" s="80">
        <v>1.8</v>
      </c>
      <c r="K25" s="80">
        <v>1.5</v>
      </c>
      <c r="L25" s="80">
        <v>1.7</v>
      </c>
      <c r="M25" s="80">
        <v>1.6</v>
      </c>
      <c r="N25" s="80">
        <v>1.2</v>
      </c>
      <c r="O25" s="80">
        <v>1</v>
      </c>
      <c r="P25" s="80">
        <v>1</v>
      </c>
      <c r="Q25" s="80">
        <v>1</v>
      </c>
      <c r="R25" s="80">
        <v>1</v>
      </c>
      <c r="S25" s="80">
        <v>1</v>
      </c>
      <c r="T25" s="80">
        <v>1</v>
      </c>
      <c r="U25" s="80">
        <v>1</v>
      </c>
      <c r="V25" s="80">
        <v>1</v>
      </c>
      <c r="W25" s="80">
        <v>1</v>
      </c>
      <c r="X25" s="80">
        <v>1</v>
      </c>
      <c r="Y25" s="80">
        <v>1</v>
      </c>
      <c r="Z25" s="80">
        <v>1</v>
      </c>
      <c r="AA25" s="80">
        <v>1</v>
      </c>
      <c r="AB25" s="80">
        <v>1</v>
      </c>
      <c r="AC25" s="80">
        <v>1</v>
      </c>
    </row>
    <row r="26" ht="17.6" spans="1:29">
      <c r="A26" s="80">
        <v>44003</v>
      </c>
      <c r="B26" s="80">
        <v>3</v>
      </c>
      <c r="C26" s="80">
        <v>1300</v>
      </c>
      <c r="D26" s="80">
        <v>1.9</v>
      </c>
      <c r="E26" s="80">
        <v>1.5</v>
      </c>
      <c r="F26" s="80">
        <v>1.7</v>
      </c>
      <c r="G26" s="80">
        <v>1.25</v>
      </c>
      <c r="H26" s="80">
        <v>1.35</v>
      </c>
      <c r="I26" s="80">
        <v>1.1</v>
      </c>
      <c r="J26" s="80">
        <v>1</v>
      </c>
      <c r="K26" s="80">
        <v>1</v>
      </c>
      <c r="L26" s="80">
        <v>1</v>
      </c>
      <c r="M26" s="80">
        <v>1</v>
      </c>
      <c r="N26" s="80">
        <v>1</v>
      </c>
      <c r="O26" s="80">
        <v>1</v>
      </c>
      <c r="P26" s="80">
        <v>1</v>
      </c>
      <c r="Q26" s="80">
        <v>1</v>
      </c>
      <c r="R26" s="80">
        <v>1</v>
      </c>
      <c r="S26" s="80">
        <v>1</v>
      </c>
      <c r="T26" s="80">
        <v>1</v>
      </c>
      <c r="U26" s="80">
        <v>1</v>
      </c>
      <c r="V26" s="80">
        <v>1</v>
      </c>
      <c r="W26" s="80">
        <v>1</v>
      </c>
      <c r="X26" s="80">
        <v>1</v>
      </c>
      <c r="Y26" s="80">
        <v>1</v>
      </c>
      <c r="Z26" s="80">
        <v>1</v>
      </c>
      <c r="AA26" s="80">
        <v>1</v>
      </c>
      <c r="AB26" s="80">
        <v>1</v>
      </c>
      <c r="AC26" s="80">
        <v>1</v>
      </c>
    </row>
    <row r="27" ht="17.6" spans="1:29">
      <c r="A27" s="80">
        <v>44003</v>
      </c>
      <c r="B27" s="80">
        <v>4</v>
      </c>
      <c r="C27" s="80">
        <v>900</v>
      </c>
      <c r="D27" s="80">
        <v>2.52</v>
      </c>
      <c r="E27" s="80">
        <v>1.6</v>
      </c>
      <c r="F27" s="80">
        <v>1.75</v>
      </c>
      <c r="G27" s="80">
        <v>1.5</v>
      </c>
      <c r="H27" s="80">
        <v>1.5</v>
      </c>
      <c r="I27" s="80">
        <v>1.17</v>
      </c>
      <c r="J27" s="80">
        <v>1</v>
      </c>
      <c r="K27" s="80">
        <v>1</v>
      </c>
      <c r="L27" s="80">
        <v>1</v>
      </c>
      <c r="M27" s="80">
        <v>1</v>
      </c>
      <c r="N27" s="80">
        <v>1</v>
      </c>
      <c r="O27" s="80">
        <v>1</v>
      </c>
      <c r="P27" s="80">
        <v>1</v>
      </c>
      <c r="Q27" s="80">
        <v>1</v>
      </c>
      <c r="R27" s="80">
        <v>1</v>
      </c>
      <c r="S27" s="80">
        <v>1</v>
      </c>
      <c r="T27" s="80">
        <v>1</v>
      </c>
      <c r="U27" s="80">
        <v>1</v>
      </c>
      <c r="V27" s="80">
        <v>1</v>
      </c>
      <c r="W27" s="80">
        <v>1</v>
      </c>
      <c r="X27" s="80">
        <v>1</v>
      </c>
      <c r="Y27" s="80">
        <v>1</v>
      </c>
      <c r="Z27" s="80">
        <v>1</v>
      </c>
      <c r="AA27" s="80">
        <v>1</v>
      </c>
      <c r="AB27" s="80">
        <v>1</v>
      </c>
      <c r="AC27" s="80">
        <v>1</v>
      </c>
    </row>
    <row r="28" ht="17.6" spans="1:29">
      <c r="A28" s="80">
        <v>44003</v>
      </c>
      <c r="B28" s="80">
        <v>5</v>
      </c>
      <c r="C28" s="80">
        <v>500</v>
      </c>
      <c r="D28" s="80">
        <v>4.3</v>
      </c>
      <c r="E28" s="80">
        <v>1.5</v>
      </c>
      <c r="F28" s="80">
        <v>1.5</v>
      </c>
      <c r="G28" s="80">
        <v>1.5</v>
      </c>
      <c r="H28" s="80">
        <v>1.5</v>
      </c>
      <c r="I28" s="80">
        <v>1.5</v>
      </c>
      <c r="J28" s="80">
        <v>1.5</v>
      </c>
      <c r="K28" s="80">
        <v>1.5</v>
      </c>
      <c r="L28" s="80">
        <v>1.5</v>
      </c>
      <c r="M28" s="80">
        <v>1.3</v>
      </c>
      <c r="N28" s="80">
        <v>1</v>
      </c>
      <c r="O28" s="80">
        <v>1</v>
      </c>
      <c r="P28" s="80">
        <v>1</v>
      </c>
      <c r="Q28" s="80">
        <v>1</v>
      </c>
      <c r="R28" s="80">
        <v>1</v>
      </c>
      <c r="S28" s="80">
        <v>1</v>
      </c>
      <c r="T28" s="80">
        <v>1</v>
      </c>
      <c r="U28" s="80">
        <v>1</v>
      </c>
      <c r="V28" s="80">
        <v>1</v>
      </c>
      <c r="W28" s="80">
        <v>1</v>
      </c>
      <c r="X28" s="80">
        <v>1</v>
      </c>
      <c r="Y28" s="80">
        <v>1</v>
      </c>
      <c r="Z28" s="80">
        <v>1</v>
      </c>
      <c r="AA28" s="80">
        <v>1</v>
      </c>
      <c r="AB28" s="80">
        <v>1</v>
      </c>
      <c r="AC28" s="80">
        <v>1</v>
      </c>
    </row>
    <row r="29" ht="17.6" spans="1:29">
      <c r="A29" s="80">
        <v>44003</v>
      </c>
      <c r="B29" s="80">
        <v>6</v>
      </c>
      <c r="C29" s="80">
        <v>1000</v>
      </c>
      <c r="D29" s="80">
        <v>-2.1</v>
      </c>
      <c r="E29" s="80">
        <v>1.65</v>
      </c>
      <c r="F29" s="80">
        <v>0.27</v>
      </c>
      <c r="G29" s="80">
        <v>2</v>
      </c>
      <c r="H29" s="80">
        <v>0.33</v>
      </c>
      <c r="I29" s="80">
        <v>0.32</v>
      </c>
      <c r="J29" s="80">
        <v>1.96</v>
      </c>
      <c r="K29" s="80">
        <v>1.89</v>
      </c>
      <c r="L29" s="80">
        <v>0</v>
      </c>
      <c r="M29" s="80">
        <v>0</v>
      </c>
      <c r="N29" s="80">
        <v>0</v>
      </c>
      <c r="O29" s="80">
        <v>0</v>
      </c>
      <c r="P29" s="80">
        <v>1.48</v>
      </c>
      <c r="Q29" s="80">
        <v>1</v>
      </c>
      <c r="R29" s="80">
        <v>1</v>
      </c>
      <c r="S29" s="80">
        <v>1</v>
      </c>
      <c r="T29" s="80">
        <v>1</v>
      </c>
      <c r="U29" s="80">
        <v>1</v>
      </c>
      <c r="V29" s="80">
        <v>1</v>
      </c>
      <c r="W29" s="80">
        <v>1</v>
      </c>
      <c r="X29" s="80">
        <v>1</v>
      </c>
      <c r="Y29" s="80">
        <v>1</v>
      </c>
      <c r="Z29" s="80">
        <v>1</v>
      </c>
      <c r="AA29" s="80">
        <v>1</v>
      </c>
      <c r="AB29" s="80">
        <v>1</v>
      </c>
      <c r="AC29" s="80">
        <v>1</v>
      </c>
    </row>
    <row r="30" ht="17.6" spans="1:29">
      <c r="A30" s="80">
        <v>44003</v>
      </c>
      <c r="B30" s="80">
        <v>7</v>
      </c>
      <c r="C30" s="80">
        <v>1000</v>
      </c>
      <c r="D30" s="80">
        <v>-2.34</v>
      </c>
      <c r="E30" s="80">
        <v>0.25</v>
      </c>
      <c r="F30" s="80">
        <v>0.6</v>
      </c>
      <c r="G30" s="80">
        <v>0.47</v>
      </c>
      <c r="H30" s="80">
        <v>0.54</v>
      </c>
      <c r="I30" s="80">
        <v>0.8</v>
      </c>
      <c r="J30" s="80">
        <v>1</v>
      </c>
      <c r="K30" s="80">
        <v>1</v>
      </c>
      <c r="L30" s="80">
        <v>1</v>
      </c>
      <c r="M30" s="80">
        <v>1</v>
      </c>
      <c r="N30" s="80">
        <v>1</v>
      </c>
      <c r="O30" s="80">
        <v>1</v>
      </c>
      <c r="P30" s="80">
        <v>1</v>
      </c>
      <c r="Q30" s="80">
        <v>1</v>
      </c>
      <c r="R30" s="80">
        <v>1</v>
      </c>
      <c r="S30" s="80">
        <v>1</v>
      </c>
      <c r="T30" s="80">
        <v>1</v>
      </c>
      <c r="U30" s="80">
        <v>1</v>
      </c>
      <c r="V30" s="80">
        <v>1</v>
      </c>
      <c r="W30" s="80">
        <v>1</v>
      </c>
      <c r="X30" s="80">
        <v>1</v>
      </c>
      <c r="Y30" s="80">
        <v>1</v>
      </c>
      <c r="Z30" s="80">
        <v>1</v>
      </c>
      <c r="AA30" s="80">
        <v>1</v>
      </c>
      <c r="AB30" s="80">
        <v>1</v>
      </c>
      <c r="AC30" s="80">
        <v>1</v>
      </c>
    </row>
    <row r="31" ht="17.6" spans="1:29">
      <c r="A31" s="80">
        <v>44003</v>
      </c>
      <c r="B31" s="80">
        <v>8</v>
      </c>
      <c r="C31" s="80">
        <v>1000</v>
      </c>
      <c r="D31" s="80">
        <v>-2.5</v>
      </c>
      <c r="E31" s="80">
        <v>0</v>
      </c>
      <c r="F31" s="80">
        <v>0</v>
      </c>
      <c r="G31" s="80">
        <v>0.5</v>
      </c>
      <c r="H31" s="80">
        <v>1</v>
      </c>
      <c r="I31" s="80">
        <v>1</v>
      </c>
      <c r="J31" s="80">
        <v>1</v>
      </c>
      <c r="K31" s="80">
        <v>1</v>
      </c>
      <c r="L31" s="80">
        <v>1</v>
      </c>
      <c r="M31" s="80">
        <v>1</v>
      </c>
      <c r="N31" s="80">
        <v>1</v>
      </c>
      <c r="O31" s="80">
        <v>1</v>
      </c>
      <c r="P31" s="80">
        <v>1</v>
      </c>
      <c r="Q31" s="80">
        <v>1</v>
      </c>
      <c r="R31" s="80">
        <v>1</v>
      </c>
      <c r="S31" s="80">
        <v>1</v>
      </c>
      <c r="T31" s="80">
        <v>1</v>
      </c>
      <c r="U31" s="80">
        <v>1</v>
      </c>
      <c r="V31" s="80">
        <v>1</v>
      </c>
      <c r="W31" s="80">
        <v>1</v>
      </c>
      <c r="X31" s="80">
        <v>1</v>
      </c>
      <c r="Y31" s="80">
        <v>1</v>
      </c>
      <c r="Z31" s="80">
        <v>1</v>
      </c>
      <c r="AA31" s="80">
        <v>1</v>
      </c>
      <c r="AB31" s="80">
        <v>1</v>
      </c>
      <c r="AC31" s="80">
        <v>1</v>
      </c>
    </row>
    <row r="32" ht="17.6" spans="1:29">
      <c r="A32" s="80">
        <v>44003</v>
      </c>
      <c r="B32" s="80">
        <v>9</v>
      </c>
      <c r="C32" s="80">
        <v>1350</v>
      </c>
      <c r="D32" s="80">
        <v>-3.2</v>
      </c>
      <c r="E32" s="80">
        <v>0</v>
      </c>
      <c r="F32" s="80">
        <v>0</v>
      </c>
      <c r="G32" s="80">
        <v>0</v>
      </c>
      <c r="H32" s="80">
        <v>0.8</v>
      </c>
      <c r="I32" s="80">
        <v>1</v>
      </c>
      <c r="J32" s="80">
        <v>1</v>
      </c>
      <c r="K32" s="80">
        <v>1</v>
      </c>
      <c r="L32" s="80">
        <v>1</v>
      </c>
      <c r="M32" s="80">
        <v>1</v>
      </c>
      <c r="N32" s="80">
        <v>1</v>
      </c>
      <c r="O32" s="80">
        <v>1</v>
      </c>
      <c r="P32" s="80">
        <v>1</v>
      </c>
      <c r="Q32" s="80">
        <v>1</v>
      </c>
      <c r="R32" s="80">
        <v>1</v>
      </c>
      <c r="S32" s="80">
        <v>1</v>
      </c>
      <c r="T32" s="80">
        <v>1</v>
      </c>
      <c r="U32" s="80">
        <v>1</v>
      </c>
      <c r="V32" s="80">
        <v>1</v>
      </c>
      <c r="W32" s="80">
        <v>1</v>
      </c>
      <c r="X32" s="80">
        <v>1</v>
      </c>
      <c r="Y32" s="80">
        <v>1</v>
      </c>
      <c r="Z32" s="80">
        <v>1</v>
      </c>
      <c r="AA32" s="80">
        <v>1</v>
      </c>
      <c r="AB32" s="80">
        <v>1</v>
      </c>
      <c r="AC32" s="80">
        <v>1</v>
      </c>
    </row>
    <row r="33" ht="17.6" spans="1:29">
      <c r="A33" s="80">
        <v>44003</v>
      </c>
      <c r="B33" s="80">
        <v>10</v>
      </c>
      <c r="C33" s="80">
        <v>1000</v>
      </c>
      <c r="D33" s="80">
        <v>-3.88</v>
      </c>
      <c r="E33" s="80">
        <v>0</v>
      </c>
      <c r="F33" s="80">
        <v>0</v>
      </c>
      <c r="G33" s="80">
        <v>0</v>
      </c>
      <c r="H33" s="80">
        <v>0.12</v>
      </c>
      <c r="I33" s="80">
        <v>1</v>
      </c>
      <c r="J33" s="80">
        <v>1</v>
      </c>
      <c r="K33" s="80">
        <v>1</v>
      </c>
      <c r="L33" s="80">
        <v>1</v>
      </c>
      <c r="M33" s="80">
        <v>1</v>
      </c>
      <c r="N33" s="80">
        <v>1</v>
      </c>
      <c r="O33" s="80">
        <v>1</v>
      </c>
      <c r="P33" s="80">
        <v>1</v>
      </c>
      <c r="Q33" s="80">
        <v>1</v>
      </c>
      <c r="R33" s="80">
        <v>1</v>
      </c>
      <c r="S33" s="80">
        <v>1</v>
      </c>
      <c r="T33" s="80">
        <v>1</v>
      </c>
      <c r="U33" s="80">
        <v>1</v>
      </c>
      <c r="V33" s="80">
        <v>1</v>
      </c>
      <c r="W33" s="80">
        <v>1</v>
      </c>
      <c r="X33" s="80">
        <v>1</v>
      </c>
      <c r="Y33" s="80">
        <v>1</v>
      </c>
      <c r="Z33" s="80">
        <v>1</v>
      </c>
      <c r="AA33" s="80">
        <v>1</v>
      </c>
      <c r="AB33" s="80">
        <v>1</v>
      </c>
      <c r="AC33" s="80">
        <v>1</v>
      </c>
    </row>
    <row r="34" ht="17.6" spans="1:29">
      <c r="A34" s="80">
        <v>44004</v>
      </c>
      <c r="B34" s="80">
        <v>1</v>
      </c>
      <c r="C34" s="80">
        <v>1050</v>
      </c>
      <c r="D34" s="80">
        <v>1.6</v>
      </c>
      <c r="E34" s="80">
        <v>1.58</v>
      </c>
      <c r="F34" s="80">
        <v>0.01</v>
      </c>
      <c r="G34" s="80">
        <v>1.66</v>
      </c>
      <c r="H34" s="80">
        <v>0.34</v>
      </c>
      <c r="I34" s="80">
        <v>2</v>
      </c>
      <c r="J34" s="80">
        <v>0.33</v>
      </c>
      <c r="K34" s="80">
        <v>1.8</v>
      </c>
      <c r="L34" s="80">
        <v>1.8</v>
      </c>
      <c r="M34" s="80">
        <v>2</v>
      </c>
      <c r="N34" s="80">
        <v>0.4</v>
      </c>
      <c r="O34" s="80">
        <v>0.32</v>
      </c>
      <c r="P34" s="80">
        <v>0.36</v>
      </c>
      <c r="Q34" s="80">
        <v>0.8</v>
      </c>
      <c r="R34" s="80">
        <v>1.8</v>
      </c>
      <c r="S34" s="80">
        <v>1.4</v>
      </c>
      <c r="T34" s="80">
        <v>1</v>
      </c>
      <c r="U34" s="80">
        <v>1</v>
      </c>
      <c r="V34" s="80">
        <v>1</v>
      </c>
      <c r="W34" s="80">
        <v>1</v>
      </c>
      <c r="X34" s="80">
        <v>1</v>
      </c>
      <c r="Y34" s="80">
        <v>1</v>
      </c>
      <c r="Z34" s="80">
        <v>1</v>
      </c>
      <c r="AA34" s="80">
        <v>1</v>
      </c>
      <c r="AB34" s="80">
        <v>1</v>
      </c>
      <c r="AC34" s="80">
        <v>1</v>
      </c>
    </row>
    <row r="35" ht="17.6" spans="1:29">
      <c r="A35" s="80">
        <v>44004</v>
      </c>
      <c r="B35" s="80">
        <v>2</v>
      </c>
      <c r="C35" s="80">
        <v>900</v>
      </c>
      <c r="D35" s="80">
        <v>2.4</v>
      </c>
      <c r="E35" s="80">
        <v>1.8</v>
      </c>
      <c r="F35" s="80">
        <v>1.3</v>
      </c>
      <c r="G35" s="80">
        <v>1.2</v>
      </c>
      <c r="H35" s="80">
        <v>0.1</v>
      </c>
      <c r="I35" s="80">
        <v>0.2</v>
      </c>
      <c r="J35" s="80">
        <v>1.8</v>
      </c>
      <c r="K35" s="80">
        <v>1.5</v>
      </c>
      <c r="L35" s="80">
        <v>1.7</v>
      </c>
      <c r="M35" s="80">
        <v>1.6</v>
      </c>
      <c r="N35" s="80">
        <v>1.2</v>
      </c>
      <c r="O35" s="80">
        <v>1</v>
      </c>
      <c r="P35" s="80">
        <v>1</v>
      </c>
      <c r="Q35" s="80">
        <v>1</v>
      </c>
      <c r="R35" s="80">
        <v>1</v>
      </c>
      <c r="S35" s="80">
        <v>1</v>
      </c>
      <c r="T35" s="80">
        <v>1</v>
      </c>
      <c r="U35" s="80">
        <v>1</v>
      </c>
      <c r="V35" s="80">
        <v>1</v>
      </c>
      <c r="W35" s="80">
        <v>1</v>
      </c>
      <c r="X35" s="80">
        <v>1</v>
      </c>
      <c r="Y35" s="80">
        <v>1</v>
      </c>
      <c r="Z35" s="80">
        <v>1</v>
      </c>
      <c r="AA35" s="80">
        <v>1</v>
      </c>
      <c r="AB35" s="80">
        <v>1</v>
      </c>
      <c r="AC35" s="80">
        <v>1</v>
      </c>
    </row>
    <row r="36" ht="17.6" spans="1:29">
      <c r="A36" s="80">
        <v>44004</v>
      </c>
      <c r="B36" s="80">
        <v>3</v>
      </c>
      <c r="C36" s="80">
        <v>1300</v>
      </c>
      <c r="D36" s="80">
        <v>1.9</v>
      </c>
      <c r="E36" s="80">
        <v>1.5</v>
      </c>
      <c r="F36" s="80">
        <v>1.7</v>
      </c>
      <c r="G36" s="80">
        <v>1.25</v>
      </c>
      <c r="H36" s="80">
        <v>1.35</v>
      </c>
      <c r="I36" s="80">
        <v>1.1</v>
      </c>
      <c r="J36" s="80">
        <v>1</v>
      </c>
      <c r="K36" s="80">
        <v>1</v>
      </c>
      <c r="L36" s="80">
        <v>1</v>
      </c>
      <c r="M36" s="80">
        <v>1</v>
      </c>
      <c r="N36" s="80">
        <v>1</v>
      </c>
      <c r="O36" s="80">
        <v>1</v>
      </c>
      <c r="P36" s="80">
        <v>1</v>
      </c>
      <c r="Q36" s="80">
        <v>1</v>
      </c>
      <c r="R36" s="80">
        <v>1</v>
      </c>
      <c r="S36" s="80">
        <v>1</v>
      </c>
      <c r="T36" s="80">
        <v>1</v>
      </c>
      <c r="U36" s="80">
        <v>1</v>
      </c>
      <c r="V36" s="80">
        <v>1</v>
      </c>
      <c r="W36" s="80">
        <v>1</v>
      </c>
      <c r="X36" s="80">
        <v>1</v>
      </c>
      <c r="Y36" s="80">
        <v>1</v>
      </c>
      <c r="Z36" s="80">
        <v>1</v>
      </c>
      <c r="AA36" s="80">
        <v>1</v>
      </c>
      <c r="AB36" s="80">
        <v>1</v>
      </c>
      <c r="AC36" s="80">
        <v>1</v>
      </c>
    </row>
    <row r="37" ht="17.6" spans="1:29">
      <c r="A37" s="80">
        <v>44004</v>
      </c>
      <c r="B37" s="80">
        <v>4</v>
      </c>
      <c r="C37" s="80">
        <v>900</v>
      </c>
      <c r="D37" s="80">
        <v>2.52</v>
      </c>
      <c r="E37" s="80">
        <v>1.6</v>
      </c>
      <c r="F37" s="80">
        <v>1.75</v>
      </c>
      <c r="G37" s="80">
        <v>1.5</v>
      </c>
      <c r="H37" s="80">
        <v>1.5</v>
      </c>
      <c r="I37" s="80">
        <v>1.17</v>
      </c>
      <c r="J37" s="80">
        <v>1</v>
      </c>
      <c r="K37" s="80">
        <v>1</v>
      </c>
      <c r="L37" s="80">
        <v>1</v>
      </c>
      <c r="M37" s="80">
        <v>1</v>
      </c>
      <c r="N37" s="80">
        <v>1</v>
      </c>
      <c r="O37" s="80">
        <v>1</v>
      </c>
      <c r="P37" s="80">
        <v>1</v>
      </c>
      <c r="Q37" s="80">
        <v>1</v>
      </c>
      <c r="R37" s="80">
        <v>1</v>
      </c>
      <c r="S37" s="80">
        <v>1</v>
      </c>
      <c r="T37" s="80">
        <v>1</v>
      </c>
      <c r="U37" s="80">
        <v>1</v>
      </c>
      <c r="V37" s="80">
        <v>1</v>
      </c>
      <c r="W37" s="80">
        <v>1</v>
      </c>
      <c r="X37" s="80">
        <v>1</v>
      </c>
      <c r="Y37" s="80">
        <v>1</v>
      </c>
      <c r="Z37" s="80">
        <v>1</v>
      </c>
      <c r="AA37" s="80">
        <v>1</v>
      </c>
      <c r="AB37" s="80">
        <v>1</v>
      </c>
      <c r="AC37" s="80">
        <v>1</v>
      </c>
    </row>
    <row r="38" ht="17.6" spans="1:29">
      <c r="A38" s="80">
        <v>44004</v>
      </c>
      <c r="B38" s="80">
        <v>5</v>
      </c>
      <c r="C38" s="80">
        <v>500</v>
      </c>
      <c r="D38" s="80">
        <v>4.3</v>
      </c>
      <c r="E38" s="80">
        <v>1.5</v>
      </c>
      <c r="F38" s="80">
        <v>1.5</v>
      </c>
      <c r="G38" s="80">
        <v>1.5</v>
      </c>
      <c r="H38" s="80">
        <v>1.5</v>
      </c>
      <c r="I38" s="80">
        <v>1.5</v>
      </c>
      <c r="J38" s="80">
        <v>1.5</v>
      </c>
      <c r="K38" s="80">
        <v>1.5</v>
      </c>
      <c r="L38" s="80">
        <v>1.5</v>
      </c>
      <c r="M38" s="80">
        <v>1.3</v>
      </c>
      <c r="N38" s="80">
        <v>1</v>
      </c>
      <c r="O38" s="80">
        <v>1</v>
      </c>
      <c r="P38" s="80">
        <v>1</v>
      </c>
      <c r="Q38" s="80">
        <v>1</v>
      </c>
      <c r="R38" s="80">
        <v>1</v>
      </c>
      <c r="S38" s="80">
        <v>1</v>
      </c>
      <c r="T38" s="80">
        <v>1</v>
      </c>
      <c r="U38" s="80">
        <v>1</v>
      </c>
      <c r="V38" s="80">
        <v>1</v>
      </c>
      <c r="W38" s="80">
        <v>1</v>
      </c>
      <c r="X38" s="80">
        <v>1</v>
      </c>
      <c r="Y38" s="80">
        <v>1</v>
      </c>
      <c r="Z38" s="80">
        <v>1</v>
      </c>
      <c r="AA38" s="80">
        <v>1</v>
      </c>
      <c r="AB38" s="80">
        <v>1</v>
      </c>
      <c r="AC38" s="80">
        <v>1</v>
      </c>
    </row>
    <row r="39" ht="17.6" spans="1:29">
      <c r="A39" s="80">
        <v>44004</v>
      </c>
      <c r="B39" s="80">
        <v>6</v>
      </c>
      <c r="C39" s="80">
        <v>1000</v>
      </c>
      <c r="D39" s="80">
        <v>-2.1</v>
      </c>
      <c r="E39" s="80">
        <v>1.65</v>
      </c>
      <c r="F39" s="80">
        <v>0.27</v>
      </c>
      <c r="G39" s="80">
        <v>2</v>
      </c>
      <c r="H39" s="80">
        <v>0.33</v>
      </c>
      <c r="I39" s="80">
        <v>0.32</v>
      </c>
      <c r="J39" s="80">
        <v>1.96</v>
      </c>
      <c r="K39" s="80">
        <v>1.89</v>
      </c>
      <c r="L39" s="80">
        <v>0</v>
      </c>
      <c r="M39" s="80">
        <v>0</v>
      </c>
      <c r="N39" s="80">
        <v>0</v>
      </c>
      <c r="O39" s="80">
        <v>0</v>
      </c>
      <c r="P39" s="80">
        <v>1.48</v>
      </c>
      <c r="Q39" s="80">
        <v>1</v>
      </c>
      <c r="R39" s="80">
        <v>1</v>
      </c>
      <c r="S39" s="80">
        <v>1</v>
      </c>
      <c r="T39" s="80">
        <v>1</v>
      </c>
      <c r="U39" s="80">
        <v>1</v>
      </c>
      <c r="V39" s="80">
        <v>1</v>
      </c>
      <c r="W39" s="80">
        <v>1</v>
      </c>
      <c r="X39" s="80">
        <v>1</v>
      </c>
      <c r="Y39" s="80">
        <v>1</v>
      </c>
      <c r="Z39" s="80">
        <v>1</v>
      </c>
      <c r="AA39" s="80">
        <v>1</v>
      </c>
      <c r="AB39" s="80">
        <v>1</v>
      </c>
      <c r="AC39" s="80">
        <v>1</v>
      </c>
    </row>
    <row r="40" ht="17.6" spans="1:29">
      <c r="A40" s="80">
        <v>44004</v>
      </c>
      <c r="B40" s="80">
        <v>7</v>
      </c>
      <c r="C40" s="80">
        <v>1000</v>
      </c>
      <c r="D40" s="80">
        <v>-2.34</v>
      </c>
      <c r="E40" s="80">
        <v>0.25</v>
      </c>
      <c r="F40" s="80">
        <v>0.6</v>
      </c>
      <c r="G40" s="80">
        <v>0.47</v>
      </c>
      <c r="H40" s="80">
        <v>0.54</v>
      </c>
      <c r="I40" s="80">
        <v>0.8</v>
      </c>
      <c r="J40" s="80">
        <v>1</v>
      </c>
      <c r="K40" s="80">
        <v>1</v>
      </c>
      <c r="L40" s="80">
        <v>1</v>
      </c>
      <c r="M40" s="80">
        <v>1</v>
      </c>
      <c r="N40" s="80">
        <v>1</v>
      </c>
      <c r="O40" s="80">
        <v>1</v>
      </c>
      <c r="P40" s="80">
        <v>1</v>
      </c>
      <c r="Q40" s="80">
        <v>1</v>
      </c>
      <c r="R40" s="80">
        <v>1</v>
      </c>
      <c r="S40" s="80">
        <v>1</v>
      </c>
      <c r="T40" s="80">
        <v>1</v>
      </c>
      <c r="U40" s="80">
        <v>1</v>
      </c>
      <c r="V40" s="80">
        <v>1</v>
      </c>
      <c r="W40" s="80">
        <v>1</v>
      </c>
      <c r="X40" s="80">
        <v>1</v>
      </c>
      <c r="Y40" s="80">
        <v>1</v>
      </c>
      <c r="Z40" s="80">
        <v>1</v>
      </c>
      <c r="AA40" s="80">
        <v>1</v>
      </c>
      <c r="AB40" s="80">
        <v>1</v>
      </c>
      <c r="AC40" s="80">
        <v>1</v>
      </c>
    </row>
    <row r="41" ht="17.6" spans="1:29">
      <c r="A41" s="80">
        <v>44004</v>
      </c>
      <c r="B41" s="80">
        <v>8</v>
      </c>
      <c r="C41" s="80">
        <v>1000</v>
      </c>
      <c r="D41" s="80">
        <v>-2.5</v>
      </c>
      <c r="E41" s="80">
        <v>0</v>
      </c>
      <c r="F41" s="80">
        <v>0</v>
      </c>
      <c r="G41" s="80">
        <v>0.5</v>
      </c>
      <c r="H41" s="80">
        <v>1</v>
      </c>
      <c r="I41" s="80">
        <v>1</v>
      </c>
      <c r="J41" s="80">
        <v>1</v>
      </c>
      <c r="K41" s="80">
        <v>1</v>
      </c>
      <c r="L41" s="80">
        <v>1</v>
      </c>
      <c r="M41" s="80">
        <v>1</v>
      </c>
      <c r="N41" s="80">
        <v>1</v>
      </c>
      <c r="O41" s="80">
        <v>1</v>
      </c>
      <c r="P41" s="80">
        <v>1</v>
      </c>
      <c r="Q41" s="80">
        <v>1</v>
      </c>
      <c r="R41" s="80">
        <v>1</v>
      </c>
      <c r="S41" s="80">
        <v>1</v>
      </c>
      <c r="T41" s="80">
        <v>1</v>
      </c>
      <c r="U41" s="80">
        <v>1</v>
      </c>
      <c r="V41" s="80">
        <v>1</v>
      </c>
      <c r="W41" s="80">
        <v>1</v>
      </c>
      <c r="X41" s="80">
        <v>1</v>
      </c>
      <c r="Y41" s="80">
        <v>1</v>
      </c>
      <c r="Z41" s="80">
        <v>1</v>
      </c>
      <c r="AA41" s="80">
        <v>1</v>
      </c>
      <c r="AB41" s="80">
        <v>1</v>
      </c>
      <c r="AC41" s="80">
        <v>1</v>
      </c>
    </row>
    <row r="42" ht="17.6" spans="1:29">
      <c r="A42" s="80">
        <v>44004</v>
      </c>
      <c r="B42" s="80">
        <v>9</v>
      </c>
      <c r="C42" s="80">
        <v>1350</v>
      </c>
      <c r="D42" s="80">
        <v>-3.2</v>
      </c>
      <c r="E42" s="80">
        <v>0</v>
      </c>
      <c r="F42" s="80">
        <v>0</v>
      </c>
      <c r="G42" s="80">
        <v>0</v>
      </c>
      <c r="H42" s="80">
        <v>0.8</v>
      </c>
      <c r="I42" s="80">
        <v>1</v>
      </c>
      <c r="J42" s="80">
        <v>1</v>
      </c>
      <c r="K42" s="80">
        <v>1</v>
      </c>
      <c r="L42" s="80">
        <v>1</v>
      </c>
      <c r="M42" s="80">
        <v>1</v>
      </c>
      <c r="N42" s="80">
        <v>1</v>
      </c>
      <c r="O42" s="80">
        <v>1</v>
      </c>
      <c r="P42" s="80">
        <v>1</v>
      </c>
      <c r="Q42" s="80">
        <v>1</v>
      </c>
      <c r="R42" s="80">
        <v>1</v>
      </c>
      <c r="S42" s="80">
        <v>1</v>
      </c>
      <c r="T42" s="80">
        <v>1</v>
      </c>
      <c r="U42" s="80">
        <v>1</v>
      </c>
      <c r="V42" s="80">
        <v>1</v>
      </c>
      <c r="W42" s="80">
        <v>1</v>
      </c>
      <c r="X42" s="80">
        <v>1</v>
      </c>
      <c r="Y42" s="80">
        <v>1</v>
      </c>
      <c r="Z42" s="80">
        <v>1</v>
      </c>
      <c r="AA42" s="80">
        <v>1</v>
      </c>
      <c r="AB42" s="80">
        <v>1</v>
      </c>
      <c r="AC42" s="80">
        <v>1</v>
      </c>
    </row>
    <row r="43" ht="17.6" spans="1:29">
      <c r="A43" s="80">
        <v>44004</v>
      </c>
      <c r="B43" s="80">
        <v>10</v>
      </c>
      <c r="C43" s="80">
        <v>1000</v>
      </c>
      <c r="D43" s="80">
        <v>-3.88</v>
      </c>
      <c r="E43" s="80">
        <v>0</v>
      </c>
      <c r="F43" s="80">
        <v>0</v>
      </c>
      <c r="G43" s="80">
        <v>0</v>
      </c>
      <c r="H43" s="80">
        <v>0.12</v>
      </c>
      <c r="I43" s="80">
        <v>1</v>
      </c>
      <c r="J43" s="80">
        <v>1</v>
      </c>
      <c r="K43" s="80">
        <v>1</v>
      </c>
      <c r="L43" s="80">
        <v>1</v>
      </c>
      <c r="M43" s="80">
        <v>1</v>
      </c>
      <c r="N43" s="80">
        <v>1</v>
      </c>
      <c r="O43" s="80">
        <v>1</v>
      </c>
      <c r="P43" s="80">
        <v>1</v>
      </c>
      <c r="Q43" s="80">
        <v>1</v>
      </c>
      <c r="R43" s="80">
        <v>1</v>
      </c>
      <c r="S43" s="80">
        <v>1</v>
      </c>
      <c r="T43" s="80">
        <v>1</v>
      </c>
      <c r="U43" s="80">
        <v>1</v>
      </c>
      <c r="V43" s="80">
        <v>1</v>
      </c>
      <c r="W43" s="80">
        <v>1</v>
      </c>
      <c r="X43" s="80">
        <v>1</v>
      </c>
      <c r="Y43" s="80">
        <v>1</v>
      </c>
      <c r="Z43" s="80">
        <v>1</v>
      </c>
      <c r="AA43" s="80">
        <v>1</v>
      </c>
      <c r="AB43" s="80">
        <v>1</v>
      </c>
      <c r="AC43" s="80">
        <v>1</v>
      </c>
    </row>
    <row r="44" ht="17.6" spans="1:29">
      <c r="A44" s="80">
        <v>44005</v>
      </c>
      <c r="B44" s="80">
        <v>1</v>
      </c>
      <c r="C44" s="80">
        <v>1050</v>
      </c>
      <c r="D44" s="80">
        <v>1.6</v>
      </c>
      <c r="E44" s="80">
        <v>1.58</v>
      </c>
      <c r="F44" s="80">
        <v>0.01</v>
      </c>
      <c r="G44" s="80">
        <v>1.66</v>
      </c>
      <c r="H44" s="80">
        <v>0.34</v>
      </c>
      <c r="I44" s="80">
        <v>2</v>
      </c>
      <c r="J44" s="80">
        <v>0.33</v>
      </c>
      <c r="K44" s="80">
        <v>1.8</v>
      </c>
      <c r="L44" s="80">
        <v>1.8</v>
      </c>
      <c r="M44" s="80">
        <v>2</v>
      </c>
      <c r="N44" s="80">
        <v>0.4</v>
      </c>
      <c r="O44" s="80">
        <v>0.32</v>
      </c>
      <c r="P44" s="80">
        <v>0.36</v>
      </c>
      <c r="Q44" s="80">
        <v>0.8</v>
      </c>
      <c r="R44" s="80">
        <v>1.8</v>
      </c>
      <c r="S44" s="80">
        <v>1.4</v>
      </c>
      <c r="T44" s="80">
        <v>1</v>
      </c>
      <c r="U44" s="80">
        <v>1</v>
      </c>
      <c r="V44" s="80">
        <v>1</v>
      </c>
      <c r="W44" s="80">
        <v>1</v>
      </c>
      <c r="X44" s="80">
        <v>1</v>
      </c>
      <c r="Y44" s="80">
        <v>1</v>
      </c>
      <c r="Z44" s="80">
        <v>1</v>
      </c>
      <c r="AA44" s="80">
        <v>1</v>
      </c>
      <c r="AB44" s="80">
        <v>1</v>
      </c>
      <c r="AC44" s="80">
        <v>1</v>
      </c>
    </row>
    <row r="45" ht="17.6" spans="1:29">
      <c r="A45" s="80">
        <v>44005</v>
      </c>
      <c r="B45" s="80">
        <v>2</v>
      </c>
      <c r="C45" s="80">
        <v>900</v>
      </c>
      <c r="D45" s="80">
        <v>2.4</v>
      </c>
      <c r="E45" s="80">
        <v>1.8</v>
      </c>
      <c r="F45" s="80">
        <v>1.3</v>
      </c>
      <c r="G45" s="80">
        <v>1.2</v>
      </c>
      <c r="H45" s="80">
        <v>0.1</v>
      </c>
      <c r="I45" s="80">
        <v>0.2</v>
      </c>
      <c r="J45" s="80">
        <v>1.8</v>
      </c>
      <c r="K45" s="80">
        <v>1.5</v>
      </c>
      <c r="L45" s="80">
        <v>1.7</v>
      </c>
      <c r="M45" s="80">
        <v>1.6</v>
      </c>
      <c r="N45" s="80">
        <v>1.2</v>
      </c>
      <c r="O45" s="80">
        <v>1</v>
      </c>
      <c r="P45" s="80">
        <v>1</v>
      </c>
      <c r="Q45" s="80">
        <v>1</v>
      </c>
      <c r="R45" s="80">
        <v>1</v>
      </c>
      <c r="S45" s="80">
        <v>1</v>
      </c>
      <c r="T45" s="80">
        <v>1</v>
      </c>
      <c r="U45" s="80">
        <v>1</v>
      </c>
      <c r="V45" s="80">
        <v>1</v>
      </c>
      <c r="W45" s="80">
        <v>1</v>
      </c>
      <c r="X45" s="80">
        <v>1</v>
      </c>
      <c r="Y45" s="80">
        <v>1</v>
      </c>
      <c r="Z45" s="80">
        <v>1</v>
      </c>
      <c r="AA45" s="80">
        <v>1</v>
      </c>
      <c r="AB45" s="80">
        <v>1</v>
      </c>
      <c r="AC45" s="80">
        <v>1</v>
      </c>
    </row>
    <row r="46" ht="17.6" spans="1:29">
      <c r="A46" s="80">
        <v>44005</v>
      </c>
      <c r="B46" s="80">
        <v>3</v>
      </c>
      <c r="C46" s="80">
        <v>1300</v>
      </c>
      <c r="D46" s="80">
        <v>1.9</v>
      </c>
      <c r="E46" s="80">
        <v>1.5</v>
      </c>
      <c r="F46" s="80">
        <v>1.7</v>
      </c>
      <c r="G46" s="80">
        <v>1.25</v>
      </c>
      <c r="H46" s="80">
        <v>1.35</v>
      </c>
      <c r="I46" s="80">
        <v>1.1</v>
      </c>
      <c r="J46" s="80">
        <v>1</v>
      </c>
      <c r="K46" s="80">
        <v>1</v>
      </c>
      <c r="L46" s="80">
        <v>1</v>
      </c>
      <c r="M46" s="80">
        <v>1</v>
      </c>
      <c r="N46" s="80">
        <v>1</v>
      </c>
      <c r="O46" s="80">
        <v>1</v>
      </c>
      <c r="P46" s="80">
        <v>1</v>
      </c>
      <c r="Q46" s="80">
        <v>1</v>
      </c>
      <c r="R46" s="80">
        <v>1</v>
      </c>
      <c r="S46" s="80">
        <v>1</v>
      </c>
      <c r="T46" s="80">
        <v>1</v>
      </c>
      <c r="U46" s="80">
        <v>1</v>
      </c>
      <c r="V46" s="80">
        <v>1</v>
      </c>
      <c r="W46" s="80">
        <v>1</v>
      </c>
      <c r="X46" s="80">
        <v>1</v>
      </c>
      <c r="Y46" s="80">
        <v>1</v>
      </c>
      <c r="Z46" s="80">
        <v>1</v>
      </c>
      <c r="AA46" s="80">
        <v>1</v>
      </c>
      <c r="AB46" s="80">
        <v>1</v>
      </c>
      <c r="AC46" s="80">
        <v>1</v>
      </c>
    </row>
    <row r="47" ht="17.6" spans="1:29">
      <c r="A47" s="80">
        <v>44005</v>
      </c>
      <c r="B47" s="80">
        <v>4</v>
      </c>
      <c r="C47" s="80">
        <v>900</v>
      </c>
      <c r="D47" s="80">
        <v>2.52</v>
      </c>
      <c r="E47" s="80">
        <v>1.6</v>
      </c>
      <c r="F47" s="80">
        <v>1.75</v>
      </c>
      <c r="G47" s="80">
        <v>1.5</v>
      </c>
      <c r="H47" s="80">
        <v>1.5</v>
      </c>
      <c r="I47" s="80">
        <v>1.17</v>
      </c>
      <c r="J47" s="80">
        <v>1</v>
      </c>
      <c r="K47" s="80">
        <v>1</v>
      </c>
      <c r="L47" s="80">
        <v>1</v>
      </c>
      <c r="M47" s="80">
        <v>1</v>
      </c>
      <c r="N47" s="80">
        <v>1</v>
      </c>
      <c r="O47" s="80">
        <v>1</v>
      </c>
      <c r="P47" s="80">
        <v>1</v>
      </c>
      <c r="Q47" s="80">
        <v>1</v>
      </c>
      <c r="R47" s="80">
        <v>1</v>
      </c>
      <c r="S47" s="80">
        <v>1</v>
      </c>
      <c r="T47" s="80">
        <v>1</v>
      </c>
      <c r="U47" s="80">
        <v>1</v>
      </c>
      <c r="V47" s="80">
        <v>1</v>
      </c>
      <c r="W47" s="80">
        <v>1</v>
      </c>
      <c r="X47" s="80">
        <v>1</v>
      </c>
      <c r="Y47" s="80">
        <v>1</v>
      </c>
      <c r="Z47" s="80">
        <v>1</v>
      </c>
      <c r="AA47" s="80">
        <v>1</v>
      </c>
      <c r="AB47" s="80">
        <v>1</v>
      </c>
      <c r="AC47" s="80">
        <v>1</v>
      </c>
    </row>
    <row r="48" ht="17.6" spans="1:29">
      <c r="A48" s="80">
        <v>44005</v>
      </c>
      <c r="B48" s="80">
        <v>5</v>
      </c>
      <c r="C48" s="80">
        <v>500</v>
      </c>
      <c r="D48" s="80">
        <v>4.3</v>
      </c>
      <c r="E48" s="80">
        <v>1.5</v>
      </c>
      <c r="F48" s="80">
        <v>1.5</v>
      </c>
      <c r="G48" s="80">
        <v>1.5</v>
      </c>
      <c r="H48" s="80">
        <v>1.5</v>
      </c>
      <c r="I48" s="80">
        <v>1.5</v>
      </c>
      <c r="J48" s="80">
        <v>1.5</v>
      </c>
      <c r="K48" s="80">
        <v>1.5</v>
      </c>
      <c r="L48" s="80">
        <v>1.5</v>
      </c>
      <c r="M48" s="80">
        <v>1.3</v>
      </c>
      <c r="N48" s="80">
        <v>1</v>
      </c>
      <c r="O48" s="80">
        <v>1</v>
      </c>
      <c r="P48" s="80">
        <v>1</v>
      </c>
      <c r="Q48" s="80">
        <v>1</v>
      </c>
      <c r="R48" s="80">
        <v>1</v>
      </c>
      <c r="S48" s="80">
        <v>1</v>
      </c>
      <c r="T48" s="80">
        <v>1</v>
      </c>
      <c r="U48" s="80">
        <v>1</v>
      </c>
      <c r="V48" s="80">
        <v>1</v>
      </c>
      <c r="W48" s="80">
        <v>1</v>
      </c>
      <c r="X48" s="80">
        <v>1</v>
      </c>
      <c r="Y48" s="80">
        <v>1</v>
      </c>
      <c r="Z48" s="80">
        <v>1</v>
      </c>
      <c r="AA48" s="80">
        <v>1</v>
      </c>
      <c r="AB48" s="80">
        <v>1</v>
      </c>
      <c r="AC48" s="80">
        <v>1</v>
      </c>
    </row>
    <row r="49" ht="17.6" spans="1:29">
      <c r="A49" s="80">
        <v>44005</v>
      </c>
      <c r="B49" s="80">
        <v>6</v>
      </c>
      <c r="C49" s="80">
        <v>1000</v>
      </c>
      <c r="D49" s="80">
        <v>-2.1</v>
      </c>
      <c r="E49" s="80">
        <v>1.65</v>
      </c>
      <c r="F49" s="80">
        <v>0.27</v>
      </c>
      <c r="G49" s="80">
        <v>2</v>
      </c>
      <c r="H49" s="80">
        <v>0.33</v>
      </c>
      <c r="I49" s="80">
        <v>0.32</v>
      </c>
      <c r="J49" s="80">
        <v>1.96</v>
      </c>
      <c r="K49" s="80">
        <v>1.89</v>
      </c>
      <c r="L49" s="80">
        <v>0</v>
      </c>
      <c r="M49" s="80">
        <v>0</v>
      </c>
      <c r="N49" s="80">
        <v>0</v>
      </c>
      <c r="O49" s="80">
        <v>0</v>
      </c>
      <c r="P49" s="80">
        <v>1.48</v>
      </c>
      <c r="Q49" s="80">
        <v>1</v>
      </c>
      <c r="R49" s="80">
        <v>1</v>
      </c>
      <c r="S49" s="80">
        <v>1</v>
      </c>
      <c r="T49" s="80">
        <v>1</v>
      </c>
      <c r="U49" s="80">
        <v>1</v>
      </c>
      <c r="V49" s="80">
        <v>1</v>
      </c>
      <c r="W49" s="80">
        <v>1</v>
      </c>
      <c r="X49" s="80">
        <v>1</v>
      </c>
      <c r="Y49" s="80">
        <v>1</v>
      </c>
      <c r="Z49" s="80">
        <v>1</v>
      </c>
      <c r="AA49" s="80">
        <v>1</v>
      </c>
      <c r="AB49" s="80">
        <v>1</v>
      </c>
      <c r="AC49" s="80">
        <v>1</v>
      </c>
    </row>
    <row r="50" ht="17.6" spans="1:29">
      <c r="A50" s="80">
        <v>44005</v>
      </c>
      <c r="B50" s="80">
        <v>7</v>
      </c>
      <c r="C50" s="80">
        <v>1000</v>
      </c>
      <c r="D50" s="80">
        <v>-2.34</v>
      </c>
      <c r="E50" s="80">
        <v>0.25</v>
      </c>
      <c r="F50" s="80">
        <v>0.6</v>
      </c>
      <c r="G50" s="80">
        <v>0.47</v>
      </c>
      <c r="H50" s="80">
        <v>0.54</v>
      </c>
      <c r="I50" s="80">
        <v>0.8</v>
      </c>
      <c r="J50" s="80">
        <v>1</v>
      </c>
      <c r="K50" s="80">
        <v>1</v>
      </c>
      <c r="L50" s="80">
        <v>1</v>
      </c>
      <c r="M50" s="80">
        <v>1</v>
      </c>
      <c r="N50" s="80">
        <v>1</v>
      </c>
      <c r="O50" s="80">
        <v>1</v>
      </c>
      <c r="P50" s="80">
        <v>1</v>
      </c>
      <c r="Q50" s="80">
        <v>1</v>
      </c>
      <c r="R50" s="80">
        <v>1</v>
      </c>
      <c r="S50" s="80">
        <v>1</v>
      </c>
      <c r="T50" s="80">
        <v>1</v>
      </c>
      <c r="U50" s="80">
        <v>1</v>
      </c>
      <c r="V50" s="80">
        <v>1</v>
      </c>
      <c r="W50" s="80">
        <v>1</v>
      </c>
      <c r="X50" s="80">
        <v>1</v>
      </c>
      <c r="Y50" s="80">
        <v>1</v>
      </c>
      <c r="Z50" s="80">
        <v>1</v>
      </c>
      <c r="AA50" s="80">
        <v>1</v>
      </c>
      <c r="AB50" s="80">
        <v>1</v>
      </c>
      <c r="AC50" s="80">
        <v>1</v>
      </c>
    </row>
    <row r="51" ht="17.6" spans="1:29">
      <c r="A51" s="80">
        <v>44005</v>
      </c>
      <c r="B51" s="80">
        <v>8</v>
      </c>
      <c r="C51" s="80">
        <v>1000</v>
      </c>
      <c r="D51" s="80">
        <v>-2.5</v>
      </c>
      <c r="E51" s="80">
        <v>0</v>
      </c>
      <c r="F51" s="80">
        <v>0</v>
      </c>
      <c r="G51" s="80">
        <v>0.5</v>
      </c>
      <c r="H51" s="80">
        <v>1</v>
      </c>
      <c r="I51" s="80">
        <v>1</v>
      </c>
      <c r="J51" s="80">
        <v>1</v>
      </c>
      <c r="K51" s="80">
        <v>1</v>
      </c>
      <c r="L51" s="80">
        <v>1</v>
      </c>
      <c r="M51" s="80">
        <v>1</v>
      </c>
      <c r="N51" s="80">
        <v>1</v>
      </c>
      <c r="O51" s="80">
        <v>1</v>
      </c>
      <c r="P51" s="80">
        <v>1</v>
      </c>
      <c r="Q51" s="80">
        <v>1</v>
      </c>
      <c r="R51" s="80">
        <v>1</v>
      </c>
      <c r="S51" s="80">
        <v>1</v>
      </c>
      <c r="T51" s="80">
        <v>1</v>
      </c>
      <c r="U51" s="80">
        <v>1</v>
      </c>
      <c r="V51" s="80">
        <v>1</v>
      </c>
      <c r="W51" s="80">
        <v>1</v>
      </c>
      <c r="X51" s="80">
        <v>1</v>
      </c>
      <c r="Y51" s="80">
        <v>1</v>
      </c>
      <c r="Z51" s="80">
        <v>1</v>
      </c>
      <c r="AA51" s="80">
        <v>1</v>
      </c>
      <c r="AB51" s="80">
        <v>1</v>
      </c>
      <c r="AC51" s="80">
        <v>1</v>
      </c>
    </row>
    <row r="52" ht="17.6" spans="1:29">
      <c r="A52" s="80">
        <v>44005</v>
      </c>
      <c r="B52" s="80">
        <v>9</v>
      </c>
      <c r="C52" s="80">
        <v>1350</v>
      </c>
      <c r="D52" s="80">
        <v>-3.2</v>
      </c>
      <c r="E52" s="80">
        <v>0</v>
      </c>
      <c r="F52" s="80">
        <v>0</v>
      </c>
      <c r="G52" s="80">
        <v>0</v>
      </c>
      <c r="H52" s="80">
        <v>0.8</v>
      </c>
      <c r="I52" s="80">
        <v>1</v>
      </c>
      <c r="J52" s="80">
        <v>1</v>
      </c>
      <c r="K52" s="80">
        <v>1</v>
      </c>
      <c r="L52" s="80">
        <v>1</v>
      </c>
      <c r="M52" s="80">
        <v>1</v>
      </c>
      <c r="N52" s="80">
        <v>1</v>
      </c>
      <c r="O52" s="80">
        <v>1</v>
      </c>
      <c r="P52" s="80">
        <v>1</v>
      </c>
      <c r="Q52" s="80">
        <v>1</v>
      </c>
      <c r="R52" s="80">
        <v>1</v>
      </c>
      <c r="S52" s="80">
        <v>1</v>
      </c>
      <c r="T52" s="80">
        <v>1</v>
      </c>
      <c r="U52" s="80">
        <v>1</v>
      </c>
      <c r="V52" s="80">
        <v>1</v>
      </c>
      <c r="W52" s="80">
        <v>1</v>
      </c>
      <c r="X52" s="80">
        <v>1</v>
      </c>
      <c r="Y52" s="80">
        <v>1</v>
      </c>
      <c r="Z52" s="80">
        <v>1</v>
      </c>
      <c r="AA52" s="80">
        <v>1</v>
      </c>
      <c r="AB52" s="80">
        <v>1</v>
      </c>
      <c r="AC52" s="80">
        <v>1</v>
      </c>
    </row>
    <row r="53" ht="17.6" spans="1:29">
      <c r="A53" s="80">
        <v>44005</v>
      </c>
      <c r="B53" s="80">
        <v>10</v>
      </c>
      <c r="C53" s="80">
        <v>1000</v>
      </c>
      <c r="D53" s="80">
        <v>-3.88</v>
      </c>
      <c r="E53" s="80">
        <v>0</v>
      </c>
      <c r="F53" s="80">
        <v>0</v>
      </c>
      <c r="G53" s="80">
        <v>0</v>
      </c>
      <c r="H53" s="80">
        <v>0.12</v>
      </c>
      <c r="I53" s="80">
        <v>1</v>
      </c>
      <c r="J53" s="80">
        <v>1</v>
      </c>
      <c r="K53" s="80">
        <v>1</v>
      </c>
      <c r="L53" s="80">
        <v>1</v>
      </c>
      <c r="M53" s="80">
        <v>1</v>
      </c>
      <c r="N53" s="80">
        <v>1</v>
      </c>
      <c r="O53" s="80">
        <v>1</v>
      </c>
      <c r="P53" s="80">
        <v>1</v>
      </c>
      <c r="Q53" s="80">
        <v>1</v>
      </c>
      <c r="R53" s="80">
        <v>1</v>
      </c>
      <c r="S53" s="80">
        <v>1</v>
      </c>
      <c r="T53" s="80">
        <v>1</v>
      </c>
      <c r="U53" s="80">
        <v>1</v>
      </c>
      <c r="V53" s="80">
        <v>1</v>
      </c>
      <c r="W53" s="80">
        <v>1</v>
      </c>
      <c r="X53" s="80">
        <v>1</v>
      </c>
      <c r="Y53" s="80">
        <v>1</v>
      </c>
      <c r="Z53" s="80">
        <v>1</v>
      </c>
      <c r="AA53" s="80">
        <v>1</v>
      </c>
      <c r="AB53" s="80">
        <v>1</v>
      </c>
      <c r="AC53" s="80">
        <v>1</v>
      </c>
    </row>
  </sheetData>
  <pageMargins left="0.699305555555556" right="0.699305555555556" top="0.75" bottom="0.75" header="0.3" footer="0.3"/>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T23"/>
  <sheetViews>
    <sheetView showGridLines="0" workbookViewId="0">
      <selection activeCell="A1" sqref="A1"/>
    </sheetView>
  </sheetViews>
  <sheetFormatPr defaultColWidth="9" defaultRowHeight="15.2"/>
  <cols>
    <col min="1" max="1" width="20.4013157894737" customWidth="1"/>
    <col min="2" max="2" width="21.5" customWidth="1"/>
    <col min="6" max="6" width="19.9013157894737" customWidth="1"/>
    <col min="8" max="8" width="9.40131578947368" customWidth="1"/>
    <col min="13" max="13" width="9.40131578947368" customWidth="1"/>
    <col min="19" max="20" width="45.4013157894737" customWidth="1"/>
  </cols>
  <sheetData>
    <row r="1" ht="23.1" customHeight="1" spans="1:20">
      <c r="A1" s="53" t="s">
        <v>778</v>
      </c>
      <c r="B1" s="53" t="s">
        <v>779</v>
      </c>
      <c r="D1" s="53" t="s">
        <v>780</v>
      </c>
      <c r="E1" s="53" t="s">
        <v>781</v>
      </c>
      <c r="F1" s="208" t="s">
        <v>27</v>
      </c>
      <c r="G1" s="209" t="s">
        <v>782</v>
      </c>
      <c r="H1" s="53" t="s">
        <v>783</v>
      </c>
      <c r="I1" s="53" t="s">
        <v>784</v>
      </c>
      <c r="J1" s="53" t="s">
        <v>785</v>
      </c>
      <c r="K1" s="53" t="s">
        <v>786</v>
      </c>
      <c r="L1" s="209" t="s">
        <v>782</v>
      </c>
      <c r="M1" s="53" t="s">
        <v>783</v>
      </c>
      <c r="N1" s="53" t="s">
        <v>784</v>
      </c>
      <c r="O1" s="53" t="s">
        <v>785</v>
      </c>
      <c r="P1" s="53" t="s">
        <v>786</v>
      </c>
      <c r="R1" s="209" t="s">
        <v>782</v>
      </c>
      <c r="S1" s="53" t="s">
        <v>787</v>
      </c>
      <c r="T1" s="53" t="s">
        <v>787</v>
      </c>
    </row>
    <row r="2" ht="23.1" customHeight="1" spans="1:20">
      <c r="A2" s="53" t="s">
        <v>40</v>
      </c>
      <c r="B2" s="53" t="s">
        <v>650</v>
      </c>
      <c r="D2" s="53" t="s">
        <v>39</v>
      </c>
      <c r="E2" s="53" t="s">
        <v>39</v>
      </c>
      <c r="F2" s="208" t="s">
        <v>40</v>
      </c>
      <c r="G2" s="209" t="s">
        <v>39</v>
      </c>
      <c r="H2" s="53" t="s">
        <v>39</v>
      </c>
      <c r="I2" s="53" t="s">
        <v>39</v>
      </c>
      <c r="J2" s="53" t="s">
        <v>39</v>
      </c>
      <c r="K2" s="53" t="s">
        <v>39</v>
      </c>
      <c r="L2" s="209" t="s">
        <v>39</v>
      </c>
      <c r="M2" s="53" t="s">
        <v>39</v>
      </c>
      <c r="N2" s="53" t="s">
        <v>39</v>
      </c>
      <c r="O2" s="53" t="s">
        <v>39</v>
      </c>
      <c r="P2" s="53" t="s">
        <v>39</v>
      </c>
      <c r="R2" s="209" t="s">
        <v>39</v>
      </c>
      <c r="S2" s="53" t="s">
        <v>40</v>
      </c>
      <c r="T2" s="53" t="s">
        <v>40</v>
      </c>
    </row>
    <row r="3" ht="23.1" customHeight="1" spans="1:20">
      <c r="A3" s="53" t="s">
        <v>788</v>
      </c>
      <c r="B3" s="207" t="s">
        <v>789</v>
      </c>
      <c r="D3" s="53" t="s">
        <v>790</v>
      </c>
      <c r="E3" s="30" t="s">
        <v>791</v>
      </c>
      <c r="F3" s="210" t="s">
        <v>788</v>
      </c>
      <c r="G3" s="211" t="s">
        <v>792</v>
      </c>
      <c r="H3" s="212" t="s">
        <v>793</v>
      </c>
      <c r="I3" s="53" t="s">
        <v>794</v>
      </c>
      <c r="J3" s="53" t="s">
        <v>795</v>
      </c>
      <c r="K3" s="53" t="s">
        <v>513</v>
      </c>
      <c r="L3" s="211" t="s">
        <v>792</v>
      </c>
      <c r="M3" s="212" t="s">
        <v>793</v>
      </c>
      <c r="N3" s="53" t="s">
        <v>794</v>
      </c>
      <c r="O3" s="53" t="s">
        <v>795</v>
      </c>
      <c r="P3" s="53" t="s">
        <v>513</v>
      </c>
      <c r="R3" s="211" t="s">
        <v>796</v>
      </c>
      <c r="S3" s="212" t="s">
        <v>797</v>
      </c>
      <c r="T3" s="212" t="s">
        <v>798</v>
      </c>
    </row>
    <row r="4" ht="23.1" customHeight="1" spans="1:20">
      <c r="A4" s="53" t="s">
        <v>799</v>
      </c>
      <c r="B4" s="29" t="s">
        <v>800</v>
      </c>
      <c r="D4" s="53">
        <v>1</v>
      </c>
      <c r="E4" s="53">
        <v>1</v>
      </c>
      <c r="F4" s="208" t="s">
        <v>799</v>
      </c>
      <c r="G4" s="209">
        <v>1</v>
      </c>
      <c r="H4" s="53">
        <v>100</v>
      </c>
      <c r="I4" s="53">
        <v>2</v>
      </c>
      <c r="J4" s="53">
        <v>2</v>
      </c>
      <c r="K4" s="53">
        <v>10000</v>
      </c>
      <c r="L4" s="209"/>
      <c r="M4" s="53"/>
      <c r="N4" s="53"/>
      <c r="O4" s="53"/>
      <c r="P4" s="53"/>
      <c r="R4" s="209">
        <v>1</v>
      </c>
      <c r="S4" s="222" t="s">
        <v>801</v>
      </c>
      <c r="T4" s="53" t="s">
        <v>801</v>
      </c>
    </row>
    <row r="5" ht="23.1" customHeight="1" spans="1:20">
      <c r="A5" s="53" t="s">
        <v>802</v>
      </c>
      <c r="B5" s="53" t="s">
        <v>803</v>
      </c>
      <c r="D5" s="53">
        <v>2</v>
      </c>
      <c r="E5" s="53">
        <v>10</v>
      </c>
      <c r="F5" s="208" t="s">
        <v>799</v>
      </c>
      <c r="G5" s="209">
        <v>1</v>
      </c>
      <c r="H5" s="53">
        <v>100</v>
      </c>
      <c r="I5" s="53">
        <v>5</v>
      </c>
      <c r="J5" s="53">
        <v>10</v>
      </c>
      <c r="K5" s="53">
        <v>10000</v>
      </c>
      <c r="L5" s="209"/>
      <c r="M5" s="53"/>
      <c r="N5" s="53"/>
      <c r="O5" s="53"/>
      <c r="P5" s="53"/>
      <c r="R5" s="217">
        <v>2</v>
      </c>
      <c r="S5" s="6" t="s">
        <v>804</v>
      </c>
      <c r="T5" s="226" t="s">
        <v>804</v>
      </c>
    </row>
    <row r="6" ht="23.1" customHeight="1" spans="1:20">
      <c r="A6" s="53" t="s">
        <v>805</v>
      </c>
      <c r="B6" s="53" t="s">
        <v>806</v>
      </c>
      <c r="D6" s="53">
        <v>3</v>
      </c>
      <c r="E6" s="53">
        <v>50</v>
      </c>
      <c r="F6" s="208" t="s">
        <v>799</v>
      </c>
      <c r="G6" s="209">
        <v>1</v>
      </c>
      <c r="H6" s="53">
        <v>50</v>
      </c>
      <c r="I6" s="53">
        <v>10</v>
      </c>
      <c r="J6" s="53">
        <v>30</v>
      </c>
      <c r="K6" s="53">
        <v>10000</v>
      </c>
      <c r="L6" s="209">
        <v>2</v>
      </c>
      <c r="M6" s="53">
        <v>50</v>
      </c>
      <c r="N6" s="53">
        <v>2</v>
      </c>
      <c r="O6" s="53">
        <v>2</v>
      </c>
      <c r="P6" s="53">
        <v>10000</v>
      </c>
      <c r="R6" s="216">
        <v>3</v>
      </c>
      <c r="S6" s="53" t="s">
        <v>807</v>
      </c>
      <c r="T6" s="53" t="s">
        <v>808</v>
      </c>
    </row>
    <row r="7" ht="23.1" customHeight="1" spans="1:16">
      <c r="A7" s="53" t="s">
        <v>809</v>
      </c>
      <c r="B7" s="53" t="s">
        <v>806</v>
      </c>
      <c r="D7" s="53">
        <v>4</v>
      </c>
      <c r="E7" s="53">
        <v>200</v>
      </c>
      <c r="F7" s="208" t="s">
        <v>799</v>
      </c>
      <c r="G7" s="209">
        <v>1</v>
      </c>
      <c r="H7" s="53">
        <v>50</v>
      </c>
      <c r="I7" s="53">
        <v>50</v>
      </c>
      <c r="J7" s="53">
        <v>100</v>
      </c>
      <c r="K7" s="53">
        <v>10000</v>
      </c>
      <c r="L7" s="209">
        <v>3</v>
      </c>
      <c r="M7" s="53">
        <v>50</v>
      </c>
      <c r="N7" s="53">
        <v>1</v>
      </c>
      <c r="O7" s="53">
        <v>1</v>
      </c>
      <c r="P7" s="53">
        <v>10000</v>
      </c>
    </row>
    <row r="8" ht="23.1" customHeight="1" spans="4:16">
      <c r="D8" s="53">
        <v>5</v>
      </c>
      <c r="E8" s="53">
        <v>500</v>
      </c>
      <c r="F8" s="208" t="s">
        <v>799</v>
      </c>
      <c r="G8" s="209">
        <v>1</v>
      </c>
      <c r="H8" s="53">
        <v>50</v>
      </c>
      <c r="I8" s="53">
        <v>100</v>
      </c>
      <c r="J8" s="53">
        <v>200</v>
      </c>
      <c r="K8" s="53">
        <v>10000</v>
      </c>
      <c r="L8" s="217">
        <v>3</v>
      </c>
      <c r="M8" s="53">
        <v>50</v>
      </c>
      <c r="N8" s="222">
        <v>1</v>
      </c>
      <c r="O8" s="222">
        <v>1</v>
      </c>
      <c r="P8" s="53">
        <v>10000</v>
      </c>
    </row>
    <row r="9" ht="23.1" customHeight="1" spans="4:16">
      <c r="D9" s="53">
        <v>6</v>
      </c>
      <c r="E9" s="53">
        <v>1</v>
      </c>
      <c r="F9" s="213" t="s">
        <v>802</v>
      </c>
      <c r="G9" s="214">
        <v>1</v>
      </c>
      <c r="H9" s="215">
        <v>100</v>
      </c>
      <c r="I9" s="218">
        <v>1</v>
      </c>
      <c r="J9" s="218">
        <v>1</v>
      </c>
      <c r="K9" s="218">
        <v>25000</v>
      </c>
      <c r="L9" s="219"/>
      <c r="M9" s="223"/>
      <c r="N9" s="224"/>
      <c r="O9" s="224"/>
      <c r="P9" s="224"/>
    </row>
    <row r="10" ht="18" spans="4:16">
      <c r="D10" s="53">
        <v>7</v>
      </c>
      <c r="E10" s="53">
        <v>10</v>
      </c>
      <c r="F10" s="208" t="s">
        <v>802</v>
      </c>
      <c r="G10" s="209">
        <v>1</v>
      </c>
      <c r="H10" s="53">
        <v>100</v>
      </c>
      <c r="I10" s="80">
        <v>2</v>
      </c>
      <c r="J10" s="80">
        <v>5</v>
      </c>
      <c r="K10" s="80">
        <v>20000</v>
      </c>
      <c r="L10" s="220"/>
      <c r="M10" s="113"/>
      <c r="N10" s="225"/>
      <c r="O10" s="225"/>
      <c r="P10" s="225"/>
    </row>
    <row r="11" ht="18" spans="4:16">
      <c r="D11" s="53">
        <v>8</v>
      </c>
      <c r="E11" s="53">
        <v>50</v>
      </c>
      <c r="F11" s="208" t="s">
        <v>802</v>
      </c>
      <c r="G11" s="209">
        <v>1</v>
      </c>
      <c r="H11" s="53">
        <v>100</v>
      </c>
      <c r="I11" s="80">
        <v>5</v>
      </c>
      <c r="J11" s="80">
        <v>20</v>
      </c>
      <c r="K11" s="80">
        <v>24000</v>
      </c>
      <c r="L11" s="220"/>
      <c r="M11" s="113"/>
      <c r="N11" s="225"/>
      <c r="O11" s="225"/>
      <c r="P11" s="225"/>
    </row>
    <row r="12" ht="18" spans="4:16">
      <c r="D12" s="53">
        <v>9</v>
      </c>
      <c r="E12" s="53">
        <v>200</v>
      </c>
      <c r="F12" s="208" t="s">
        <v>802</v>
      </c>
      <c r="G12" s="209">
        <v>1</v>
      </c>
      <c r="H12" s="53">
        <v>100</v>
      </c>
      <c r="I12" s="80">
        <v>20</v>
      </c>
      <c r="J12" s="80">
        <v>70</v>
      </c>
      <c r="K12" s="80">
        <v>26000</v>
      </c>
      <c r="L12" s="220"/>
      <c r="M12" s="113"/>
      <c r="N12" s="225"/>
      <c r="O12" s="225"/>
      <c r="P12" s="225"/>
    </row>
    <row r="13" ht="18" spans="4:16">
      <c r="D13" s="53">
        <v>10</v>
      </c>
      <c r="E13" s="53">
        <v>500</v>
      </c>
      <c r="F13" s="208" t="s">
        <v>802</v>
      </c>
      <c r="G13" s="209">
        <v>1</v>
      </c>
      <c r="H13" s="53">
        <v>100</v>
      </c>
      <c r="I13" s="80">
        <v>55</v>
      </c>
      <c r="J13" s="80">
        <v>145</v>
      </c>
      <c r="K13" s="80">
        <v>28000</v>
      </c>
      <c r="L13" s="220"/>
      <c r="M13" s="113"/>
      <c r="N13" s="225"/>
      <c r="O13" s="225"/>
      <c r="P13" s="225"/>
    </row>
    <row r="14" ht="18" spans="4:16">
      <c r="D14" s="53">
        <v>11</v>
      </c>
      <c r="E14" s="53">
        <v>1</v>
      </c>
      <c r="F14" s="208" t="s">
        <v>805</v>
      </c>
      <c r="G14" s="209">
        <v>2</v>
      </c>
      <c r="H14" s="53">
        <v>100</v>
      </c>
      <c r="I14" s="80">
        <v>1</v>
      </c>
      <c r="J14" s="80">
        <v>1</v>
      </c>
      <c r="K14" s="53">
        <f>10*3*30</f>
        <v>900</v>
      </c>
      <c r="L14" s="220"/>
      <c r="M14" s="53"/>
      <c r="N14" s="53"/>
      <c r="O14" s="53"/>
      <c r="P14" s="53"/>
    </row>
    <row r="15" ht="18" spans="4:16">
      <c r="D15" s="53">
        <v>12</v>
      </c>
      <c r="E15" s="53">
        <v>10</v>
      </c>
      <c r="F15" s="208" t="s">
        <v>805</v>
      </c>
      <c r="G15" s="209">
        <v>2</v>
      </c>
      <c r="H15" s="53">
        <v>100</v>
      </c>
      <c r="I15" s="80">
        <v>1</v>
      </c>
      <c r="J15" s="80">
        <v>1</v>
      </c>
      <c r="K15" s="221">
        <v>1600</v>
      </c>
      <c r="L15" s="220"/>
      <c r="M15" s="53"/>
      <c r="N15" s="53"/>
      <c r="O15" s="53"/>
      <c r="P15" s="53"/>
    </row>
    <row r="16" ht="18" spans="4:16">
      <c r="D16" s="53">
        <v>13</v>
      </c>
      <c r="E16" s="53">
        <v>50</v>
      </c>
      <c r="F16" s="208" t="s">
        <v>805</v>
      </c>
      <c r="G16" s="209">
        <v>2</v>
      </c>
      <c r="H16" s="53">
        <v>100</v>
      </c>
      <c r="I16" s="80">
        <v>1</v>
      </c>
      <c r="J16" s="80">
        <v>1</v>
      </c>
      <c r="K16" s="221">
        <v>5000</v>
      </c>
      <c r="L16" s="220"/>
      <c r="M16" s="53"/>
      <c r="N16" s="53"/>
      <c r="O16" s="53"/>
      <c r="P16" s="53"/>
    </row>
    <row r="17" ht="18" spans="4:16">
      <c r="D17" s="53">
        <v>14</v>
      </c>
      <c r="E17" s="53">
        <v>200</v>
      </c>
      <c r="F17" s="208" t="s">
        <v>805</v>
      </c>
      <c r="G17" s="209">
        <v>2</v>
      </c>
      <c r="H17" s="53">
        <v>100</v>
      </c>
      <c r="I17" s="80">
        <v>1</v>
      </c>
      <c r="J17" s="80">
        <v>1</v>
      </c>
      <c r="K17" s="221">
        <v>2000</v>
      </c>
      <c r="L17" s="220"/>
      <c r="M17" s="53"/>
      <c r="N17" s="53"/>
      <c r="O17" s="53"/>
      <c r="P17" s="53"/>
    </row>
    <row r="18" ht="18" spans="4:16">
      <c r="D18" s="53">
        <v>15</v>
      </c>
      <c r="E18" s="53">
        <v>500</v>
      </c>
      <c r="F18" s="208" t="s">
        <v>805</v>
      </c>
      <c r="G18" s="209">
        <v>2</v>
      </c>
      <c r="H18" s="53">
        <v>100</v>
      </c>
      <c r="I18" s="80">
        <v>1</v>
      </c>
      <c r="J18" s="80">
        <v>1</v>
      </c>
      <c r="K18" s="221">
        <v>1800</v>
      </c>
      <c r="L18" s="220"/>
      <c r="M18" s="53"/>
      <c r="N18" s="53"/>
      <c r="O18" s="53"/>
      <c r="P18" s="53"/>
    </row>
    <row r="19" ht="18" spans="4:16">
      <c r="D19" s="53">
        <v>16</v>
      </c>
      <c r="E19" s="53">
        <v>1</v>
      </c>
      <c r="F19" s="208" t="s">
        <v>809</v>
      </c>
      <c r="G19" s="216">
        <v>3</v>
      </c>
      <c r="H19" s="53">
        <v>100</v>
      </c>
      <c r="I19" s="53">
        <v>0</v>
      </c>
      <c r="J19" s="53">
        <v>0</v>
      </c>
      <c r="K19" s="53">
        <v>0</v>
      </c>
      <c r="L19" s="220"/>
      <c r="M19" s="6"/>
      <c r="N19" s="225"/>
      <c r="O19" s="225"/>
      <c r="P19" s="225"/>
    </row>
    <row r="20" ht="18" spans="4:16">
      <c r="D20" s="53">
        <v>17</v>
      </c>
      <c r="E20" s="53">
        <v>10</v>
      </c>
      <c r="F20" s="208" t="s">
        <v>809</v>
      </c>
      <c r="G20" s="216">
        <v>3</v>
      </c>
      <c r="H20" s="53">
        <v>100</v>
      </c>
      <c r="I20" s="53">
        <v>0</v>
      </c>
      <c r="J20" s="53">
        <v>0</v>
      </c>
      <c r="K20" s="53">
        <v>0</v>
      </c>
      <c r="L20" s="220"/>
      <c r="M20" s="6"/>
      <c r="N20" s="225"/>
      <c r="O20" s="225"/>
      <c r="P20" s="225"/>
    </row>
    <row r="21" ht="18" spans="4:16">
      <c r="D21" s="53">
        <v>18</v>
      </c>
      <c r="E21" s="53">
        <v>50</v>
      </c>
      <c r="F21" s="208" t="s">
        <v>809</v>
      </c>
      <c r="G21" s="216">
        <v>3</v>
      </c>
      <c r="H21" s="53">
        <v>100</v>
      </c>
      <c r="I21" s="53">
        <v>1</v>
      </c>
      <c r="J21" s="53">
        <v>1</v>
      </c>
      <c r="K21" s="53">
        <v>100000</v>
      </c>
      <c r="L21" s="220"/>
      <c r="M21" s="6"/>
      <c r="N21" s="225"/>
      <c r="O21" s="225"/>
      <c r="P21" s="225"/>
    </row>
    <row r="22" ht="18" spans="4:16">
      <c r="D22" s="53">
        <v>19</v>
      </c>
      <c r="E22" s="53">
        <v>200</v>
      </c>
      <c r="F22" s="208" t="s">
        <v>809</v>
      </c>
      <c r="G22" s="216">
        <v>3</v>
      </c>
      <c r="H22" s="53">
        <v>100</v>
      </c>
      <c r="I22" s="53">
        <v>1</v>
      </c>
      <c r="J22" s="53">
        <v>1</v>
      </c>
      <c r="K22" s="53">
        <v>40000</v>
      </c>
      <c r="L22" s="220"/>
      <c r="M22" s="6"/>
      <c r="N22" s="225"/>
      <c r="O22" s="225"/>
      <c r="P22" s="225"/>
    </row>
    <row r="23" ht="18" spans="4:16">
      <c r="D23" s="53">
        <v>20</v>
      </c>
      <c r="E23" s="53">
        <v>500</v>
      </c>
      <c r="F23" s="208" t="s">
        <v>809</v>
      </c>
      <c r="G23" s="216">
        <v>3</v>
      </c>
      <c r="H23" s="53">
        <v>100</v>
      </c>
      <c r="I23" s="53">
        <v>1</v>
      </c>
      <c r="J23" s="53">
        <v>1</v>
      </c>
      <c r="K23" s="53">
        <v>18000</v>
      </c>
      <c r="L23" s="220"/>
      <c r="M23" s="6"/>
      <c r="N23" s="225"/>
      <c r="O23" s="225"/>
      <c r="P23" s="225"/>
    </row>
  </sheetData>
  <pageMargins left="0.699305555555556" right="0.699305555555556" top="0.75" bottom="0.75" header="0.3" footer="0.3"/>
  <pageSetup paperSize="9" orientation="portrait"/>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Q37"/>
  <sheetViews>
    <sheetView topLeftCell="A21" workbookViewId="0">
      <selection activeCell="I37" sqref="I37"/>
    </sheetView>
  </sheetViews>
  <sheetFormatPr defaultColWidth="11.0986842105263" defaultRowHeight="15.2"/>
  <cols>
    <col min="46" max="46" width="115" customWidth="1"/>
  </cols>
  <sheetData>
    <row r="1" ht="23.1" customHeight="1" spans="1:43">
      <c r="A1" s="80" t="s">
        <v>564</v>
      </c>
      <c r="B1" s="80" t="s">
        <v>810</v>
      </c>
      <c r="C1" s="80" t="s">
        <v>546</v>
      </c>
      <c r="D1" s="80" t="s">
        <v>810</v>
      </c>
      <c r="E1" s="80" t="s">
        <v>546</v>
      </c>
      <c r="F1" s="80" t="s">
        <v>810</v>
      </c>
      <c r="G1" s="80" t="s">
        <v>546</v>
      </c>
      <c r="H1" s="80" t="s">
        <v>810</v>
      </c>
      <c r="I1" s="80" t="s">
        <v>546</v>
      </c>
      <c r="J1" s="80" t="s">
        <v>810</v>
      </c>
      <c r="K1" s="80" t="s">
        <v>546</v>
      </c>
      <c r="L1" s="80" t="s">
        <v>810</v>
      </c>
      <c r="M1" s="80" t="s">
        <v>546</v>
      </c>
      <c r="N1" s="80" t="s">
        <v>810</v>
      </c>
      <c r="O1" s="80" t="s">
        <v>546</v>
      </c>
      <c r="P1" s="80" t="s">
        <v>810</v>
      </c>
      <c r="Q1" s="80" t="s">
        <v>546</v>
      </c>
      <c r="R1" s="80" t="s">
        <v>810</v>
      </c>
      <c r="S1" s="80" t="s">
        <v>546</v>
      </c>
      <c r="T1" s="80" t="s">
        <v>810</v>
      </c>
      <c r="U1" s="80" t="s">
        <v>546</v>
      </c>
      <c r="V1" s="80" t="s">
        <v>810</v>
      </c>
      <c r="W1" s="80" t="s">
        <v>546</v>
      </c>
      <c r="X1" s="80" t="s">
        <v>810</v>
      </c>
      <c r="Y1" s="80" t="s">
        <v>546</v>
      </c>
      <c r="Z1" s="80" t="s">
        <v>810</v>
      </c>
      <c r="AA1" s="80" t="s">
        <v>546</v>
      </c>
      <c r="AB1" s="80" t="s">
        <v>810</v>
      </c>
      <c r="AC1" s="80" t="s">
        <v>546</v>
      </c>
      <c r="AD1" s="80" t="s">
        <v>810</v>
      </c>
      <c r="AE1" s="80" t="s">
        <v>546</v>
      </c>
      <c r="AF1" s="80" t="s">
        <v>810</v>
      </c>
      <c r="AG1" s="80" t="s">
        <v>546</v>
      </c>
      <c r="AH1" s="80" t="s">
        <v>810</v>
      </c>
      <c r="AI1" s="80" t="s">
        <v>546</v>
      </c>
      <c r="AJ1" s="80" t="s">
        <v>810</v>
      </c>
      <c r="AK1" s="80" t="s">
        <v>546</v>
      </c>
      <c r="AL1" s="80" t="s">
        <v>810</v>
      </c>
      <c r="AM1" s="80" t="s">
        <v>546</v>
      </c>
      <c r="AN1" s="80" t="s">
        <v>810</v>
      </c>
      <c r="AO1" s="80" t="s">
        <v>546</v>
      </c>
      <c r="AP1" s="80" t="s">
        <v>810</v>
      </c>
      <c r="AQ1" s="80" t="s">
        <v>546</v>
      </c>
    </row>
    <row r="2" ht="23.1" customHeight="1" spans="1:43">
      <c r="A2" s="80" t="s">
        <v>39</v>
      </c>
      <c r="B2" s="80" t="s">
        <v>39</v>
      </c>
      <c r="C2" s="80" t="s">
        <v>39</v>
      </c>
      <c r="D2" s="80" t="s">
        <v>39</v>
      </c>
      <c r="E2" s="80" t="s">
        <v>39</v>
      </c>
      <c r="F2" s="80" t="s">
        <v>39</v>
      </c>
      <c r="G2" s="80" t="s">
        <v>39</v>
      </c>
      <c r="H2" s="80" t="s">
        <v>39</v>
      </c>
      <c r="I2" s="80" t="s">
        <v>39</v>
      </c>
      <c r="J2" s="80" t="s">
        <v>39</v>
      </c>
      <c r="K2" s="80" t="s">
        <v>39</v>
      </c>
      <c r="L2" s="80" t="s">
        <v>39</v>
      </c>
      <c r="M2" s="80" t="s">
        <v>39</v>
      </c>
      <c r="N2" s="80" t="s">
        <v>39</v>
      </c>
      <c r="O2" s="80" t="s">
        <v>39</v>
      </c>
      <c r="P2" s="80" t="s">
        <v>39</v>
      </c>
      <c r="Q2" s="80" t="s">
        <v>39</v>
      </c>
      <c r="R2" s="80" t="s">
        <v>39</v>
      </c>
      <c r="S2" s="80" t="s">
        <v>39</v>
      </c>
      <c r="T2" s="80" t="s">
        <v>39</v>
      </c>
      <c r="U2" s="80" t="s">
        <v>39</v>
      </c>
      <c r="V2" s="80" t="s">
        <v>39</v>
      </c>
      <c r="W2" s="80" t="s">
        <v>39</v>
      </c>
      <c r="X2" s="80" t="s">
        <v>39</v>
      </c>
      <c r="Y2" s="80" t="s">
        <v>39</v>
      </c>
      <c r="Z2" s="80" t="s">
        <v>39</v>
      </c>
      <c r="AA2" s="80" t="s">
        <v>39</v>
      </c>
      <c r="AB2" s="80" t="s">
        <v>39</v>
      </c>
      <c r="AC2" s="80" t="s">
        <v>39</v>
      </c>
      <c r="AD2" s="80" t="s">
        <v>39</v>
      </c>
      <c r="AE2" s="80" t="s">
        <v>39</v>
      </c>
      <c r="AF2" s="80" t="s">
        <v>39</v>
      </c>
      <c r="AG2" s="80" t="s">
        <v>39</v>
      </c>
      <c r="AH2" s="80" t="s">
        <v>39</v>
      </c>
      <c r="AI2" s="80" t="s">
        <v>39</v>
      </c>
      <c r="AJ2" s="80" t="s">
        <v>39</v>
      </c>
      <c r="AK2" s="80" t="s">
        <v>39</v>
      </c>
      <c r="AL2" s="80" t="s">
        <v>39</v>
      </c>
      <c r="AM2" s="80" t="s">
        <v>39</v>
      </c>
      <c r="AN2" s="80" t="s">
        <v>39</v>
      </c>
      <c r="AO2" s="80" t="s">
        <v>39</v>
      </c>
      <c r="AP2" s="80" t="s">
        <v>39</v>
      </c>
      <c r="AQ2" s="80" t="s">
        <v>39</v>
      </c>
    </row>
    <row r="3" ht="23.1" customHeight="1" spans="1:43">
      <c r="A3" s="80" t="s">
        <v>576</v>
      </c>
      <c r="B3" s="80" t="s">
        <v>45</v>
      </c>
      <c r="C3" s="80" t="s">
        <v>535</v>
      </c>
      <c r="D3" s="80" t="s">
        <v>45</v>
      </c>
      <c r="E3" s="80" t="s">
        <v>535</v>
      </c>
      <c r="F3" s="80" t="s">
        <v>45</v>
      </c>
      <c r="G3" s="80" t="s">
        <v>535</v>
      </c>
      <c r="H3" s="80" t="s">
        <v>45</v>
      </c>
      <c r="I3" s="80" t="s">
        <v>535</v>
      </c>
      <c r="J3" s="80" t="s">
        <v>45</v>
      </c>
      <c r="K3" s="80" t="s">
        <v>535</v>
      </c>
      <c r="L3" s="80" t="s">
        <v>45</v>
      </c>
      <c r="M3" s="80" t="s">
        <v>535</v>
      </c>
      <c r="N3" s="80" t="s">
        <v>45</v>
      </c>
      <c r="O3" s="80" t="s">
        <v>535</v>
      </c>
      <c r="P3" s="80" t="s">
        <v>45</v>
      </c>
      <c r="Q3" s="80" t="s">
        <v>535</v>
      </c>
      <c r="R3" s="80" t="s">
        <v>45</v>
      </c>
      <c r="S3" s="80" t="s">
        <v>535</v>
      </c>
      <c r="T3" s="80" t="s">
        <v>45</v>
      </c>
      <c r="U3" s="80" t="s">
        <v>535</v>
      </c>
      <c r="V3" s="80" t="s">
        <v>45</v>
      </c>
      <c r="W3" s="80" t="s">
        <v>535</v>
      </c>
      <c r="X3" s="80" t="s">
        <v>45</v>
      </c>
      <c r="Y3" s="80" t="s">
        <v>535</v>
      </c>
      <c r="Z3" s="80" t="s">
        <v>45</v>
      </c>
      <c r="AA3" s="80" t="s">
        <v>535</v>
      </c>
      <c r="AB3" s="80" t="s">
        <v>45</v>
      </c>
      <c r="AC3" s="80" t="s">
        <v>535</v>
      </c>
      <c r="AD3" s="80" t="s">
        <v>45</v>
      </c>
      <c r="AE3" s="80" t="s">
        <v>535</v>
      </c>
      <c r="AF3" s="80" t="s">
        <v>45</v>
      </c>
      <c r="AG3" s="80" t="s">
        <v>535</v>
      </c>
      <c r="AH3" s="80" t="s">
        <v>45</v>
      </c>
      <c r="AI3" s="80" t="s">
        <v>535</v>
      </c>
      <c r="AJ3" s="80" t="s">
        <v>45</v>
      </c>
      <c r="AK3" s="80" t="s">
        <v>535</v>
      </c>
      <c r="AL3" s="80" t="s">
        <v>45</v>
      </c>
      <c r="AM3" s="80" t="s">
        <v>535</v>
      </c>
      <c r="AN3" s="80" t="s">
        <v>45</v>
      </c>
      <c r="AO3" s="80" t="s">
        <v>535</v>
      </c>
      <c r="AP3" s="80" t="s">
        <v>45</v>
      </c>
      <c r="AQ3" s="80" t="s">
        <v>535</v>
      </c>
    </row>
    <row r="4" ht="23.1" customHeight="1" spans="1:43">
      <c r="A4" s="80">
        <v>1</v>
      </c>
      <c r="B4" s="80">
        <v>14007</v>
      </c>
      <c r="C4" s="80">
        <v>30</v>
      </c>
      <c r="D4" s="80">
        <v>14009</v>
      </c>
      <c r="E4" s="80">
        <v>26</v>
      </c>
      <c r="F4" s="80">
        <v>14085</v>
      </c>
      <c r="G4" s="80">
        <v>0</v>
      </c>
      <c r="H4" s="80">
        <v>14086</v>
      </c>
      <c r="I4" s="80">
        <v>0</v>
      </c>
      <c r="J4" s="80">
        <v>14011</v>
      </c>
      <c r="K4" s="80">
        <v>24</v>
      </c>
      <c r="L4" s="80">
        <v>14013</v>
      </c>
      <c r="M4" s="80">
        <v>22</v>
      </c>
      <c r="N4" s="80">
        <v>14087</v>
      </c>
      <c r="O4" s="80">
        <v>0</v>
      </c>
      <c r="P4" s="80">
        <v>14015</v>
      </c>
      <c r="Q4" s="80">
        <v>0</v>
      </c>
      <c r="R4" s="80">
        <v>14016</v>
      </c>
      <c r="S4" s="80">
        <v>0</v>
      </c>
      <c r="T4" s="80">
        <v>14017</v>
      </c>
      <c r="U4" s="80">
        <v>14</v>
      </c>
      <c r="V4" s="80">
        <v>14088</v>
      </c>
      <c r="W4" s="80">
        <v>0</v>
      </c>
      <c r="X4" s="80">
        <v>14019</v>
      </c>
      <c r="Y4" s="80">
        <v>0</v>
      </c>
      <c r="Z4" s="80">
        <v>14020</v>
      </c>
      <c r="AA4" s="80">
        <v>0</v>
      </c>
      <c r="AB4" s="80">
        <v>14089</v>
      </c>
      <c r="AC4" s="80">
        <v>0</v>
      </c>
      <c r="AD4" s="80">
        <v>14021</v>
      </c>
      <c r="AE4" s="80">
        <v>0</v>
      </c>
      <c r="AF4" s="80">
        <v>14022</v>
      </c>
      <c r="AG4" s="80">
        <v>0</v>
      </c>
      <c r="AH4" s="80">
        <v>14023</v>
      </c>
      <c r="AI4" s="80">
        <v>0</v>
      </c>
      <c r="AJ4" s="80">
        <v>14091</v>
      </c>
      <c r="AK4" s="80">
        <v>0</v>
      </c>
      <c r="AL4" s="80">
        <v>14024</v>
      </c>
      <c r="AM4" s="80">
        <v>0</v>
      </c>
      <c r="AN4" s="80">
        <v>14090</v>
      </c>
      <c r="AO4" s="80">
        <v>0</v>
      </c>
      <c r="AP4" s="80">
        <v>14025</v>
      </c>
      <c r="AQ4" s="80">
        <v>0</v>
      </c>
    </row>
    <row r="5" ht="23.1" customHeight="1" spans="1:43">
      <c r="A5" s="80">
        <v>2</v>
      </c>
      <c r="B5" s="80">
        <v>14007</v>
      </c>
      <c r="C5" s="80">
        <v>28</v>
      </c>
      <c r="D5" s="80">
        <v>14009</v>
      </c>
      <c r="E5" s="80">
        <v>26</v>
      </c>
      <c r="F5" s="80">
        <v>14085</v>
      </c>
      <c r="G5" s="80">
        <v>0</v>
      </c>
      <c r="H5" s="80">
        <v>14086</v>
      </c>
      <c r="I5" s="80">
        <v>0</v>
      </c>
      <c r="J5" s="80">
        <v>14011</v>
      </c>
      <c r="K5" s="80">
        <v>24</v>
      </c>
      <c r="L5" s="80">
        <v>14013</v>
      </c>
      <c r="M5" s="80">
        <v>22</v>
      </c>
      <c r="N5" s="80">
        <v>14087</v>
      </c>
      <c r="O5" s="80">
        <v>0</v>
      </c>
      <c r="P5" s="80">
        <v>14015</v>
      </c>
      <c r="Q5" s="80">
        <v>0</v>
      </c>
      <c r="R5" s="80">
        <v>14016</v>
      </c>
      <c r="S5" s="80">
        <v>0</v>
      </c>
      <c r="T5" s="80">
        <v>14017</v>
      </c>
      <c r="U5" s="80">
        <v>16</v>
      </c>
      <c r="V5" s="80">
        <v>14088</v>
      </c>
      <c r="W5" s="80">
        <v>0</v>
      </c>
      <c r="X5" s="80">
        <v>14019</v>
      </c>
      <c r="Y5" s="80">
        <v>0</v>
      </c>
      <c r="Z5" s="80">
        <v>14020</v>
      </c>
      <c r="AA5" s="80">
        <v>0</v>
      </c>
      <c r="AB5" s="80">
        <v>14089</v>
      </c>
      <c r="AC5" s="80">
        <v>0</v>
      </c>
      <c r="AD5" s="80">
        <v>14021</v>
      </c>
      <c r="AE5" s="80">
        <v>0</v>
      </c>
      <c r="AF5" s="80">
        <v>14022</v>
      </c>
      <c r="AG5" s="80">
        <v>0</v>
      </c>
      <c r="AH5" s="80">
        <v>14023</v>
      </c>
      <c r="AI5" s="80">
        <v>0</v>
      </c>
      <c r="AJ5" s="80">
        <v>14091</v>
      </c>
      <c r="AK5" s="80">
        <v>0</v>
      </c>
      <c r="AL5" s="80">
        <v>14024</v>
      </c>
      <c r="AM5" s="80">
        <v>0</v>
      </c>
      <c r="AN5" s="80">
        <v>14090</v>
      </c>
      <c r="AO5" s="80">
        <v>0</v>
      </c>
      <c r="AP5" s="80">
        <v>14025</v>
      </c>
      <c r="AQ5" s="80">
        <v>0</v>
      </c>
    </row>
    <row r="6" ht="23.1" customHeight="1" spans="1:43">
      <c r="A6" s="80">
        <v>3</v>
      </c>
      <c r="B6" s="80">
        <v>14007</v>
      </c>
      <c r="C6" s="80">
        <v>28</v>
      </c>
      <c r="D6" s="80">
        <v>14009</v>
      </c>
      <c r="E6" s="80">
        <v>24</v>
      </c>
      <c r="F6" s="80">
        <v>14085</v>
      </c>
      <c r="G6" s="80">
        <v>0</v>
      </c>
      <c r="H6" s="80">
        <v>14086</v>
      </c>
      <c r="I6" s="80">
        <v>0</v>
      </c>
      <c r="J6" s="80">
        <v>14011</v>
      </c>
      <c r="K6" s="80">
        <v>24</v>
      </c>
      <c r="L6" s="80">
        <v>14013</v>
      </c>
      <c r="M6" s="80">
        <v>22</v>
      </c>
      <c r="N6" s="80">
        <v>14087</v>
      </c>
      <c r="O6" s="80">
        <v>0</v>
      </c>
      <c r="P6" s="80">
        <v>14015</v>
      </c>
      <c r="Q6" s="80">
        <v>0</v>
      </c>
      <c r="R6" s="80">
        <v>14016</v>
      </c>
      <c r="S6" s="80">
        <v>0</v>
      </c>
      <c r="T6" s="80">
        <v>14017</v>
      </c>
      <c r="U6" s="80">
        <v>18</v>
      </c>
      <c r="V6" s="80">
        <v>14088</v>
      </c>
      <c r="W6" s="80">
        <v>0</v>
      </c>
      <c r="X6" s="80">
        <v>14019</v>
      </c>
      <c r="Y6" s="80">
        <v>0</v>
      </c>
      <c r="Z6" s="80">
        <v>14020</v>
      </c>
      <c r="AA6" s="80">
        <v>0</v>
      </c>
      <c r="AB6" s="80">
        <v>14089</v>
      </c>
      <c r="AC6" s="80">
        <v>0</v>
      </c>
      <c r="AD6" s="80">
        <v>14021</v>
      </c>
      <c r="AE6" s="80">
        <v>0</v>
      </c>
      <c r="AF6" s="80">
        <v>14022</v>
      </c>
      <c r="AG6" s="80">
        <v>0</v>
      </c>
      <c r="AH6" s="80">
        <v>14023</v>
      </c>
      <c r="AI6" s="80">
        <v>0</v>
      </c>
      <c r="AJ6" s="80">
        <v>14091</v>
      </c>
      <c r="AK6" s="80">
        <v>0</v>
      </c>
      <c r="AL6" s="80">
        <v>14024</v>
      </c>
      <c r="AM6" s="80">
        <v>0</v>
      </c>
      <c r="AN6" s="80">
        <v>14090</v>
      </c>
      <c r="AO6" s="80">
        <v>0</v>
      </c>
      <c r="AP6" s="80">
        <v>14025</v>
      </c>
      <c r="AQ6" s="80">
        <v>0</v>
      </c>
    </row>
    <row r="7" ht="23.1" customHeight="1" spans="1:43">
      <c r="A7" s="80">
        <v>4</v>
      </c>
      <c r="B7" s="80">
        <v>14007</v>
      </c>
      <c r="C7" s="80">
        <v>26</v>
      </c>
      <c r="D7" s="80">
        <v>14009</v>
      </c>
      <c r="E7" s="80">
        <v>24</v>
      </c>
      <c r="F7" s="80">
        <v>14085</v>
      </c>
      <c r="G7" s="80">
        <v>0</v>
      </c>
      <c r="H7" s="80">
        <v>14086</v>
      </c>
      <c r="I7" s="80">
        <v>0</v>
      </c>
      <c r="J7" s="80">
        <v>14011</v>
      </c>
      <c r="K7" s="80">
        <v>26</v>
      </c>
      <c r="L7" s="80">
        <v>14013</v>
      </c>
      <c r="M7" s="80">
        <v>22</v>
      </c>
      <c r="N7" s="80">
        <v>14087</v>
      </c>
      <c r="O7" s="80">
        <v>0</v>
      </c>
      <c r="P7" s="80">
        <v>14015</v>
      </c>
      <c r="Q7" s="80">
        <v>0</v>
      </c>
      <c r="R7" s="80">
        <v>14016</v>
      </c>
      <c r="S7" s="80">
        <v>0</v>
      </c>
      <c r="T7" s="80">
        <v>14017</v>
      </c>
      <c r="U7" s="80">
        <v>18</v>
      </c>
      <c r="V7" s="80">
        <v>14088</v>
      </c>
      <c r="W7" s="80">
        <v>0</v>
      </c>
      <c r="X7" s="80">
        <v>14019</v>
      </c>
      <c r="Y7" s="80">
        <v>0</v>
      </c>
      <c r="Z7" s="80">
        <v>14020</v>
      </c>
      <c r="AA7" s="80">
        <v>0</v>
      </c>
      <c r="AB7" s="80">
        <v>14089</v>
      </c>
      <c r="AC7" s="80">
        <v>0</v>
      </c>
      <c r="AD7" s="80">
        <v>14021</v>
      </c>
      <c r="AE7" s="80">
        <v>0</v>
      </c>
      <c r="AF7" s="80">
        <v>14022</v>
      </c>
      <c r="AG7" s="80">
        <v>0</v>
      </c>
      <c r="AH7" s="80">
        <v>14023</v>
      </c>
      <c r="AI7" s="80">
        <v>0</v>
      </c>
      <c r="AJ7" s="80">
        <v>14091</v>
      </c>
      <c r="AK7" s="80">
        <v>0</v>
      </c>
      <c r="AL7" s="80">
        <v>14024</v>
      </c>
      <c r="AM7" s="80">
        <v>0</v>
      </c>
      <c r="AN7" s="80">
        <v>14090</v>
      </c>
      <c r="AO7" s="80">
        <v>0</v>
      </c>
      <c r="AP7" s="80">
        <v>14025</v>
      </c>
      <c r="AQ7" s="80">
        <v>0</v>
      </c>
    </row>
    <row r="8" ht="23.1" customHeight="1" spans="1:43">
      <c r="A8" s="80">
        <v>5</v>
      </c>
      <c r="B8" s="80">
        <v>14007</v>
      </c>
      <c r="C8" s="80">
        <v>24</v>
      </c>
      <c r="D8" s="80">
        <v>14009</v>
      </c>
      <c r="E8" s="80">
        <v>22</v>
      </c>
      <c r="F8" s="80">
        <v>14085</v>
      </c>
      <c r="G8" s="80">
        <v>0</v>
      </c>
      <c r="H8" s="80">
        <v>14086</v>
      </c>
      <c r="I8" s="80">
        <v>0</v>
      </c>
      <c r="J8" s="80">
        <v>14011</v>
      </c>
      <c r="K8" s="80">
        <v>26</v>
      </c>
      <c r="L8" s="80">
        <v>14013</v>
      </c>
      <c r="M8" s="80">
        <v>24</v>
      </c>
      <c r="N8" s="80">
        <v>14087</v>
      </c>
      <c r="O8" s="80">
        <v>0</v>
      </c>
      <c r="P8" s="80">
        <v>14015</v>
      </c>
      <c r="Q8" s="80">
        <v>0</v>
      </c>
      <c r="R8" s="80">
        <v>14016</v>
      </c>
      <c r="S8" s="80">
        <v>0</v>
      </c>
      <c r="T8" s="80">
        <v>14017</v>
      </c>
      <c r="U8" s="80">
        <v>20</v>
      </c>
      <c r="V8" s="80">
        <v>14088</v>
      </c>
      <c r="W8" s="80">
        <v>0</v>
      </c>
      <c r="X8" s="80">
        <v>14019</v>
      </c>
      <c r="Y8" s="80">
        <v>0</v>
      </c>
      <c r="Z8" s="80">
        <v>14020</v>
      </c>
      <c r="AA8" s="80">
        <v>0</v>
      </c>
      <c r="AB8" s="80">
        <v>14089</v>
      </c>
      <c r="AC8" s="80">
        <v>0</v>
      </c>
      <c r="AD8" s="80">
        <v>14021</v>
      </c>
      <c r="AE8" s="80">
        <v>0</v>
      </c>
      <c r="AF8" s="80">
        <v>14022</v>
      </c>
      <c r="AG8" s="80">
        <v>0</v>
      </c>
      <c r="AH8" s="80">
        <v>14023</v>
      </c>
      <c r="AI8" s="80">
        <v>0</v>
      </c>
      <c r="AJ8" s="80">
        <v>14091</v>
      </c>
      <c r="AK8" s="80">
        <v>0</v>
      </c>
      <c r="AL8" s="80">
        <v>14024</v>
      </c>
      <c r="AM8" s="80">
        <v>0</v>
      </c>
      <c r="AN8" s="80">
        <v>14090</v>
      </c>
      <c r="AO8" s="80">
        <v>0</v>
      </c>
      <c r="AP8" s="80">
        <v>14025</v>
      </c>
      <c r="AQ8" s="80">
        <v>0</v>
      </c>
    </row>
    <row r="9" ht="23.1" customHeight="1" spans="1:43">
      <c r="A9" s="80">
        <v>6</v>
      </c>
      <c r="B9" s="80">
        <v>14007</v>
      </c>
      <c r="C9" s="80">
        <v>22</v>
      </c>
      <c r="D9" s="80">
        <v>14009</v>
      </c>
      <c r="E9" s="80">
        <v>18</v>
      </c>
      <c r="F9" s="80">
        <v>14085</v>
      </c>
      <c r="G9" s="80">
        <v>0</v>
      </c>
      <c r="H9" s="80">
        <v>14086</v>
      </c>
      <c r="I9" s="80">
        <v>0</v>
      </c>
      <c r="J9" s="80">
        <v>14011</v>
      </c>
      <c r="K9" s="80">
        <v>22</v>
      </c>
      <c r="L9" s="80">
        <v>14013</v>
      </c>
      <c r="M9" s="80">
        <v>25</v>
      </c>
      <c r="N9" s="80">
        <v>14087</v>
      </c>
      <c r="O9" s="80">
        <v>0</v>
      </c>
      <c r="P9" s="80">
        <v>14015</v>
      </c>
      <c r="Q9" s="80">
        <v>18</v>
      </c>
      <c r="R9" s="80">
        <v>14016</v>
      </c>
      <c r="S9" s="80">
        <v>14</v>
      </c>
      <c r="T9" s="80">
        <v>14017</v>
      </c>
      <c r="U9" s="80">
        <v>16</v>
      </c>
      <c r="V9" s="80">
        <v>14088</v>
      </c>
      <c r="W9" s="80">
        <v>0</v>
      </c>
      <c r="X9" s="80">
        <v>14019</v>
      </c>
      <c r="Y9" s="80">
        <v>8</v>
      </c>
      <c r="Z9" s="80">
        <v>14020</v>
      </c>
      <c r="AA9" s="80">
        <v>6</v>
      </c>
      <c r="AB9" s="80">
        <v>14089</v>
      </c>
      <c r="AC9" s="80">
        <v>0</v>
      </c>
      <c r="AD9" s="80">
        <v>14021</v>
      </c>
      <c r="AE9" s="80">
        <v>4</v>
      </c>
      <c r="AF9" s="80">
        <v>14022</v>
      </c>
      <c r="AG9" s="80">
        <v>0</v>
      </c>
      <c r="AH9" s="80">
        <v>14023</v>
      </c>
      <c r="AI9" s="80">
        <v>0</v>
      </c>
      <c r="AJ9" s="80">
        <v>14091</v>
      </c>
      <c r="AK9" s="80">
        <v>0</v>
      </c>
      <c r="AL9" s="80">
        <v>14024</v>
      </c>
      <c r="AM9" s="80">
        <v>0</v>
      </c>
      <c r="AN9" s="80">
        <v>14090</v>
      </c>
      <c r="AO9" s="80">
        <v>0</v>
      </c>
      <c r="AP9" s="80">
        <v>14025</v>
      </c>
      <c r="AQ9" s="80">
        <v>0</v>
      </c>
    </row>
    <row r="10" ht="23.1" customHeight="1" spans="1:43">
      <c r="A10" s="80">
        <v>7</v>
      </c>
      <c r="B10" s="80">
        <v>14007</v>
      </c>
      <c r="C10" s="80">
        <v>20</v>
      </c>
      <c r="D10" s="80">
        <v>14009</v>
      </c>
      <c r="E10" s="80">
        <v>18</v>
      </c>
      <c r="F10" s="80">
        <v>14085</v>
      </c>
      <c r="G10" s="80">
        <v>0</v>
      </c>
      <c r="H10" s="80">
        <v>14086</v>
      </c>
      <c r="I10" s="80">
        <v>0</v>
      </c>
      <c r="J10" s="80">
        <v>14011</v>
      </c>
      <c r="K10" s="80">
        <v>20</v>
      </c>
      <c r="L10" s="80">
        <v>14013</v>
      </c>
      <c r="M10" s="80">
        <v>25</v>
      </c>
      <c r="N10" s="80">
        <v>14087</v>
      </c>
      <c r="O10" s="80">
        <v>0</v>
      </c>
      <c r="P10" s="80">
        <v>14015</v>
      </c>
      <c r="Q10" s="80">
        <v>20</v>
      </c>
      <c r="R10" s="80">
        <v>14016</v>
      </c>
      <c r="S10" s="80">
        <v>16</v>
      </c>
      <c r="T10" s="80">
        <v>14017</v>
      </c>
      <c r="U10" s="80">
        <v>16</v>
      </c>
      <c r="V10" s="80">
        <v>14088</v>
      </c>
      <c r="W10" s="80">
        <v>0</v>
      </c>
      <c r="X10" s="80">
        <v>14019</v>
      </c>
      <c r="Y10" s="80">
        <v>10</v>
      </c>
      <c r="Z10" s="80">
        <v>14020</v>
      </c>
      <c r="AA10" s="80">
        <v>6</v>
      </c>
      <c r="AB10" s="80">
        <v>14089</v>
      </c>
      <c r="AC10" s="80">
        <v>0</v>
      </c>
      <c r="AD10" s="80">
        <v>14021</v>
      </c>
      <c r="AE10" s="80">
        <v>6</v>
      </c>
      <c r="AF10" s="80">
        <v>14022</v>
      </c>
      <c r="AG10" s="80">
        <v>0</v>
      </c>
      <c r="AH10" s="80">
        <v>14023</v>
      </c>
      <c r="AI10" s="80">
        <v>0</v>
      </c>
      <c r="AJ10" s="80">
        <v>14091</v>
      </c>
      <c r="AK10" s="80">
        <v>0</v>
      </c>
      <c r="AL10" s="80">
        <v>14024</v>
      </c>
      <c r="AM10" s="80">
        <v>0</v>
      </c>
      <c r="AN10" s="80">
        <v>14090</v>
      </c>
      <c r="AO10" s="80">
        <v>0</v>
      </c>
      <c r="AP10" s="80">
        <v>14025</v>
      </c>
      <c r="AQ10" s="80">
        <v>0</v>
      </c>
    </row>
    <row r="11" ht="23.1" customHeight="1" spans="1:43">
      <c r="A11" s="80">
        <v>8</v>
      </c>
      <c r="B11" s="80">
        <v>14007</v>
      </c>
      <c r="C11" s="80">
        <v>20</v>
      </c>
      <c r="D11" s="80">
        <v>14009</v>
      </c>
      <c r="E11" s="80">
        <v>16</v>
      </c>
      <c r="F11" s="80">
        <v>14085</v>
      </c>
      <c r="G11" s="80">
        <v>0</v>
      </c>
      <c r="H11" s="80">
        <v>14086</v>
      </c>
      <c r="I11" s="80">
        <v>0</v>
      </c>
      <c r="J11" s="80">
        <v>14011</v>
      </c>
      <c r="K11" s="80">
        <v>20</v>
      </c>
      <c r="L11" s="80">
        <v>14013</v>
      </c>
      <c r="M11" s="80">
        <v>22</v>
      </c>
      <c r="N11" s="80">
        <v>14087</v>
      </c>
      <c r="O11" s="80">
        <v>0</v>
      </c>
      <c r="P11" s="80">
        <v>14015</v>
      </c>
      <c r="Q11" s="80">
        <v>20</v>
      </c>
      <c r="R11" s="80">
        <v>14016</v>
      </c>
      <c r="S11" s="80">
        <v>16</v>
      </c>
      <c r="T11" s="80">
        <v>14017</v>
      </c>
      <c r="U11" s="80">
        <v>16</v>
      </c>
      <c r="V11" s="80">
        <v>14088</v>
      </c>
      <c r="W11" s="80">
        <v>0</v>
      </c>
      <c r="X11" s="80">
        <v>14019</v>
      </c>
      <c r="Y11" s="80">
        <v>12</v>
      </c>
      <c r="Z11" s="80">
        <v>14020</v>
      </c>
      <c r="AA11" s="80">
        <v>8</v>
      </c>
      <c r="AB11" s="80">
        <v>14089</v>
      </c>
      <c r="AC11" s="80">
        <v>0</v>
      </c>
      <c r="AD11" s="80">
        <v>14021</v>
      </c>
      <c r="AE11" s="80">
        <v>8</v>
      </c>
      <c r="AF11" s="80">
        <v>14022</v>
      </c>
      <c r="AG11" s="80">
        <v>0</v>
      </c>
      <c r="AH11" s="80">
        <v>14023</v>
      </c>
      <c r="AI11" s="80">
        <v>0</v>
      </c>
      <c r="AJ11" s="80">
        <v>14091</v>
      </c>
      <c r="AK11" s="80">
        <v>0</v>
      </c>
      <c r="AL11" s="80">
        <v>14024</v>
      </c>
      <c r="AM11" s="80">
        <v>0</v>
      </c>
      <c r="AN11" s="80">
        <v>14090</v>
      </c>
      <c r="AO11" s="80">
        <v>0</v>
      </c>
      <c r="AP11" s="80">
        <v>14025</v>
      </c>
      <c r="AQ11" s="80">
        <v>0</v>
      </c>
    </row>
    <row r="12" ht="23.1" customHeight="1" spans="1:43">
      <c r="A12" s="80">
        <v>9</v>
      </c>
      <c r="B12" s="80">
        <v>14007</v>
      </c>
      <c r="C12" s="80">
        <v>20</v>
      </c>
      <c r="D12" s="80">
        <v>14009</v>
      </c>
      <c r="E12" s="80">
        <v>16</v>
      </c>
      <c r="F12" s="80">
        <v>14085</v>
      </c>
      <c r="G12" s="80">
        <v>0</v>
      </c>
      <c r="H12" s="80">
        <v>14086</v>
      </c>
      <c r="I12" s="80">
        <v>0</v>
      </c>
      <c r="J12" s="80">
        <v>14011</v>
      </c>
      <c r="K12" s="80">
        <v>18</v>
      </c>
      <c r="L12" s="80">
        <v>14013</v>
      </c>
      <c r="M12" s="80">
        <v>22</v>
      </c>
      <c r="N12" s="80">
        <v>14087</v>
      </c>
      <c r="O12" s="80">
        <v>0</v>
      </c>
      <c r="P12" s="80">
        <v>14015</v>
      </c>
      <c r="Q12" s="80">
        <v>20</v>
      </c>
      <c r="R12" s="80">
        <v>14016</v>
      </c>
      <c r="S12" s="80">
        <v>18</v>
      </c>
      <c r="T12" s="80">
        <v>14017</v>
      </c>
      <c r="U12" s="80">
        <v>18</v>
      </c>
      <c r="V12" s="80">
        <v>14088</v>
      </c>
      <c r="W12" s="80">
        <v>0</v>
      </c>
      <c r="X12" s="80">
        <v>14019</v>
      </c>
      <c r="Y12" s="80">
        <v>14</v>
      </c>
      <c r="Z12" s="80">
        <v>14020</v>
      </c>
      <c r="AA12" s="80">
        <v>12</v>
      </c>
      <c r="AB12" s="80">
        <v>14089</v>
      </c>
      <c r="AC12" s="80">
        <v>0</v>
      </c>
      <c r="AD12" s="80">
        <v>14021</v>
      </c>
      <c r="AE12" s="80">
        <v>10</v>
      </c>
      <c r="AF12" s="80">
        <v>14022</v>
      </c>
      <c r="AG12" s="80">
        <v>0</v>
      </c>
      <c r="AH12" s="80">
        <v>14023</v>
      </c>
      <c r="AI12" s="80">
        <v>0</v>
      </c>
      <c r="AJ12" s="80">
        <v>14091</v>
      </c>
      <c r="AK12" s="80">
        <v>0</v>
      </c>
      <c r="AL12" s="80">
        <v>14024</v>
      </c>
      <c r="AM12" s="80">
        <v>0</v>
      </c>
      <c r="AN12" s="80">
        <v>14090</v>
      </c>
      <c r="AO12" s="80">
        <v>0</v>
      </c>
      <c r="AP12" s="80">
        <v>14025</v>
      </c>
      <c r="AQ12" s="80">
        <v>0</v>
      </c>
    </row>
    <row r="13" ht="23.1" customHeight="1" spans="1:43">
      <c r="A13" s="80">
        <v>10</v>
      </c>
      <c r="B13" s="80">
        <v>14007</v>
      </c>
      <c r="C13" s="80">
        <v>16</v>
      </c>
      <c r="D13" s="80">
        <v>14009</v>
      </c>
      <c r="E13" s="80">
        <v>14</v>
      </c>
      <c r="F13" s="80">
        <v>14085</v>
      </c>
      <c r="G13" s="80">
        <v>18</v>
      </c>
      <c r="H13" s="80">
        <v>14086</v>
      </c>
      <c r="I13" s="80">
        <v>18</v>
      </c>
      <c r="J13" s="80">
        <v>14011</v>
      </c>
      <c r="K13" s="80">
        <v>16</v>
      </c>
      <c r="L13" s="80">
        <v>14013</v>
      </c>
      <c r="M13" s="80">
        <v>20</v>
      </c>
      <c r="N13" s="80">
        <v>14087</v>
      </c>
      <c r="O13" s="80">
        <v>14</v>
      </c>
      <c r="P13" s="80">
        <v>14015</v>
      </c>
      <c r="Q13" s="80">
        <v>24</v>
      </c>
      <c r="R13" s="80">
        <v>14016</v>
      </c>
      <c r="S13" s="80">
        <v>18</v>
      </c>
      <c r="T13" s="80">
        <v>14017</v>
      </c>
      <c r="U13" s="80">
        <v>18</v>
      </c>
      <c r="V13" s="80">
        <v>14088</v>
      </c>
      <c r="W13" s="80">
        <v>16</v>
      </c>
      <c r="X13" s="80">
        <v>14019</v>
      </c>
      <c r="Y13" s="80">
        <v>16</v>
      </c>
      <c r="Z13" s="80">
        <v>14020</v>
      </c>
      <c r="AA13" s="80">
        <v>12</v>
      </c>
      <c r="AB13" s="80">
        <v>14089</v>
      </c>
      <c r="AC13" s="80">
        <v>8</v>
      </c>
      <c r="AD13" s="80">
        <v>14021</v>
      </c>
      <c r="AE13" s="80">
        <v>12</v>
      </c>
      <c r="AF13" s="80">
        <v>14022</v>
      </c>
      <c r="AG13" s="80">
        <v>6</v>
      </c>
      <c r="AH13" s="80">
        <v>14023</v>
      </c>
      <c r="AI13" s="80">
        <v>3</v>
      </c>
      <c r="AJ13" s="80">
        <v>14091</v>
      </c>
      <c r="AK13" s="80">
        <v>0</v>
      </c>
      <c r="AL13" s="80">
        <v>14024</v>
      </c>
      <c r="AM13" s="80">
        <v>0</v>
      </c>
      <c r="AN13" s="80">
        <v>14090</v>
      </c>
      <c r="AO13" s="80">
        <v>0</v>
      </c>
      <c r="AP13" s="80">
        <v>14025</v>
      </c>
      <c r="AQ13" s="80">
        <v>0</v>
      </c>
    </row>
    <row r="14" ht="23.1" customHeight="1" spans="1:43">
      <c r="A14" s="80">
        <v>11</v>
      </c>
      <c r="B14" s="80">
        <v>14007</v>
      </c>
      <c r="C14" s="80">
        <v>16</v>
      </c>
      <c r="D14" s="80">
        <v>14009</v>
      </c>
      <c r="E14" s="80">
        <v>14</v>
      </c>
      <c r="F14" s="80">
        <v>14085</v>
      </c>
      <c r="G14" s="80">
        <v>18</v>
      </c>
      <c r="H14" s="80">
        <v>14086</v>
      </c>
      <c r="I14" s="80">
        <v>18</v>
      </c>
      <c r="J14" s="80">
        <v>14011</v>
      </c>
      <c r="K14" s="80">
        <v>16</v>
      </c>
      <c r="L14" s="80">
        <v>14013</v>
      </c>
      <c r="M14" s="80">
        <v>20</v>
      </c>
      <c r="N14" s="80">
        <v>14087</v>
      </c>
      <c r="O14" s="80">
        <v>14</v>
      </c>
      <c r="P14" s="80">
        <v>14015</v>
      </c>
      <c r="Q14" s="80">
        <v>24</v>
      </c>
      <c r="R14" s="80">
        <v>14016</v>
      </c>
      <c r="S14" s="80">
        <v>20</v>
      </c>
      <c r="T14" s="80">
        <v>14017</v>
      </c>
      <c r="U14" s="80">
        <v>18</v>
      </c>
      <c r="V14" s="80">
        <v>14088</v>
      </c>
      <c r="W14" s="80">
        <v>18</v>
      </c>
      <c r="X14" s="80">
        <v>14019</v>
      </c>
      <c r="Y14" s="80">
        <v>16</v>
      </c>
      <c r="Z14" s="80">
        <v>14020</v>
      </c>
      <c r="AA14" s="80">
        <v>14</v>
      </c>
      <c r="AB14" s="80">
        <v>14089</v>
      </c>
      <c r="AC14" s="80">
        <v>8</v>
      </c>
      <c r="AD14" s="80">
        <v>14021</v>
      </c>
      <c r="AE14" s="80">
        <v>14</v>
      </c>
      <c r="AF14" s="80">
        <v>14022</v>
      </c>
      <c r="AG14" s="80">
        <v>12</v>
      </c>
      <c r="AH14" s="80">
        <v>14023</v>
      </c>
      <c r="AI14" s="80">
        <v>6</v>
      </c>
      <c r="AJ14" s="80">
        <v>14091</v>
      </c>
      <c r="AK14" s="80">
        <v>0</v>
      </c>
      <c r="AL14" s="80">
        <v>14024</v>
      </c>
      <c r="AM14" s="80">
        <v>0</v>
      </c>
      <c r="AN14" s="80">
        <v>14090</v>
      </c>
      <c r="AO14" s="80">
        <v>0</v>
      </c>
      <c r="AP14" s="80">
        <v>14025</v>
      </c>
      <c r="AQ14" s="80">
        <v>0</v>
      </c>
    </row>
    <row r="15" ht="23.1" customHeight="1" spans="1:43">
      <c r="A15" s="80">
        <v>12</v>
      </c>
      <c r="B15" s="80">
        <v>14007</v>
      </c>
      <c r="C15" s="80">
        <v>12</v>
      </c>
      <c r="D15" s="80">
        <v>14009</v>
      </c>
      <c r="E15" s="80">
        <v>10</v>
      </c>
      <c r="F15" s="80">
        <v>14085</v>
      </c>
      <c r="G15" s="80">
        <v>16</v>
      </c>
      <c r="H15" s="80">
        <v>14086</v>
      </c>
      <c r="I15" s="80">
        <v>14</v>
      </c>
      <c r="J15" s="80">
        <v>14011</v>
      </c>
      <c r="K15" s="80">
        <v>14</v>
      </c>
      <c r="L15" s="80">
        <v>14013</v>
      </c>
      <c r="M15" s="80">
        <v>16</v>
      </c>
      <c r="N15" s="80">
        <v>14087</v>
      </c>
      <c r="O15" s="80">
        <v>12</v>
      </c>
      <c r="P15" s="80">
        <v>14015</v>
      </c>
      <c r="Q15" s="80">
        <v>18</v>
      </c>
      <c r="R15" s="80">
        <v>14016</v>
      </c>
      <c r="S15" s="80">
        <v>22</v>
      </c>
      <c r="T15" s="80">
        <v>14017</v>
      </c>
      <c r="U15" s="80">
        <v>20</v>
      </c>
      <c r="V15" s="80">
        <v>14088</v>
      </c>
      <c r="W15" s="80">
        <v>18</v>
      </c>
      <c r="X15" s="80">
        <v>14019</v>
      </c>
      <c r="Y15" s="80">
        <v>18</v>
      </c>
      <c r="Z15" s="80">
        <v>14020</v>
      </c>
      <c r="AA15" s="80">
        <v>14</v>
      </c>
      <c r="AB15" s="80">
        <v>14089</v>
      </c>
      <c r="AC15" s="80">
        <v>12</v>
      </c>
      <c r="AD15" s="80">
        <v>14021</v>
      </c>
      <c r="AE15" s="80">
        <v>14</v>
      </c>
      <c r="AF15" s="80">
        <v>14022</v>
      </c>
      <c r="AG15" s="80">
        <v>12</v>
      </c>
      <c r="AH15" s="80">
        <v>14023</v>
      </c>
      <c r="AI15" s="80">
        <v>6</v>
      </c>
      <c r="AJ15" s="80">
        <v>14091</v>
      </c>
      <c r="AK15" s="80">
        <v>0</v>
      </c>
      <c r="AL15" s="80">
        <v>14024</v>
      </c>
      <c r="AM15" s="80">
        <v>0</v>
      </c>
      <c r="AN15" s="80">
        <v>14090</v>
      </c>
      <c r="AO15" s="80">
        <v>0</v>
      </c>
      <c r="AP15" s="80">
        <v>14025</v>
      </c>
      <c r="AQ15" s="80">
        <v>0</v>
      </c>
    </row>
    <row r="16" ht="23.1" customHeight="1" spans="1:43">
      <c r="A16" s="80">
        <v>13</v>
      </c>
      <c r="B16" s="80">
        <v>14007</v>
      </c>
      <c r="C16" s="80">
        <v>12</v>
      </c>
      <c r="D16" s="80">
        <v>14009</v>
      </c>
      <c r="E16" s="80">
        <v>10</v>
      </c>
      <c r="F16" s="80">
        <v>14085</v>
      </c>
      <c r="G16" s="80">
        <v>12</v>
      </c>
      <c r="H16" s="80">
        <v>14086</v>
      </c>
      <c r="I16" s="80">
        <v>12</v>
      </c>
      <c r="J16" s="80">
        <v>14011</v>
      </c>
      <c r="K16" s="80">
        <v>12</v>
      </c>
      <c r="L16" s="80">
        <v>14013</v>
      </c>
      <c r="M16" s="80">
        <v>12</v>
      </c>
      <c r="N16" s="80">
        <v>14087</v>
      </c>
      <c r="O16" s="80">
        <v>14</v>
      </c>
      <c r="P16" s="80">
        <v>14015</v>
      </c>
      <c r="Q16" s="80">
        <v>18</v>
      </c>
      <c r="R16" s="80">
        <v>14016</v>
      </c>
      <c r="S16" s="80">
        <v>20</v>
      </c>
      <c r="T16" s="80">
        <v>14017</v>
      </c>
      <c r="U16" s="80">
        <v>20</v>
      </c>
      <c r="V16" s="80">
        <v>14088</v>
      </c>
      <c r="W16" s="80">
        <v>28</v>
      </c>
      <c r="X16" s="80">
        <v>14019</v>
      </c>
      <c r="Y16" s="80">
        <v>20</v>
      </c>
      <c r="Z16" s="80">
        <v>14020</v>
      </c>
      <c r="AA16" s="80">
        <v>14</v>
      </c>
      <c r="AB16" s="80">
        <v>14089</v>
      </c>
      <c r="AC16" s="80">
        <v>18</v>
      </c>
      <c r="AD16" s="80">
        <v>14021</v>
      </c>
      <c r="AE16" s="80">
        <v>16</v>
      </c>
      <c r="AF16" s="80">
        <v>14022</v>
      </c>
      <c r="AG16" s="80">
        <v>15</v>
      </c>
      <c r="AH16" s="80">
        <v>14023</v>
      </c>
      <c r="AI16" s="80">
        <v>6</v>
      </c>
      <c r="AJ16" s="80">
        <v>14091</v>
      </c>
      <c r="AK16" s="80">
        <v>0</v>
      </c>
      <c r="AL16" s="80">
        <v>14024</v>
      </c>
      <c r="AM16" s="80">
        <v>0</v>
      </c>
      <c r="AN16" s="80">
        <v>14090</v>
      </c>
      <c r="AO16" s="80">
        <v>0</v>
      </c>
      <c r="AP16" s="80">
        <v>14025</v>
      </c>
      <c r="AQ16" s="80">
        <v>0</v>
      </c>
    </row>
    <row r="17" ht="23.1" customHeight="1" spans="1:43">
      <c r="A17" s="80">
        <v>14</v>
      </c>
      <c r="B17" s="80">
        <v>14007</v>
      </c>
      <c r="C17" s="80">
        <v>8</v>
      </c>
      <c r="D17" s="80">
        <v>14009</v>
      </c>
      <c r="E17" s="80">
        <v>8</v>
      </c>
      <c r="F17" s="80">
        <v>14085</v>
      </c>
      <c r="G17" s="80">
        <v>10</v>
      </c>
      <c r="H17" s="80">
        <v>14086</v>
      </c>
      <c r="I17" s="80">
        <v>12</v>
      </c>
      <c r="J17" s="80">
        <v>14011</v>
      </c>
      <c r="K17" s="80">
        <v>10</v>
      </c>
      <c r="L17" s="80">
        <v>14013</v>
      </c>
      <c r="M17" s="80">
        <v>10</v>
      </c>
      <c r="N17" s="80">
        <v>14087</v>
      </c>
      <c r="O17" s="80">
        <v>10</v>
      </c>
      <c r="P17" s="80">
        <v>14015</v>
      </c>
      <c r="Q17" s="80">
        <v>16</v>
      </c>
      <c r="R17" s="80">
        <v>14016</v>
      </c>
      <c r="S17" s="80">
        <v>20</v>
      </c>
      <c r="T17" s="80">
        <v>14017</v>
      </c>
      <c r="U17" s="80">
        <v>22</v>
      </c>
      <c r="V17" s="80">
        <v>14088</v>
      </c>
      <c r="W17" s="80">
        <v>28</v>
      </c>
      <c r="X17" s="80">
        <v>14019</v>
      </c>
      <c r="Y17" s="80">
        <v>24</v>
      </c>
      <c r="Z17" s="80">
        <v>14020</v>
      </c>
      <c r="AA17" s="80">
        <v>18</v>
      </c>
      <c r="AB17" s="80">
        <v>14089</v>
      </c>
      <c r="AC17" s="80">
        <v>20</v>
      </c>
      <c r="AD17" s="80">
        <v>14021</v>
      </c>
      <c r="AE17" s="80">
        <v>18</v>
      </c>
      <c r="AF17" s="80">
        <v>14022</v>
      </c>
      <c r="AG17" s="80">
        <v>16</v>
      </c>
      <c r="AH17" s="80">
        <v>14023</v>
      </c>
      <c r="AI17" s="80">
        <v>8</v>
      </c>
      <c r="AJ17" s="80">
        <v>14091</v>
      </c>
      <c r="AK17" s="80">
        <v>0</v>
      </c>
      <c r="AL17" s="80">
        <v>14024</v>
      </c>
      <c r="AM17" s="80">
        <v>0</v>
      </c>
      <c r="AN17" s="80">
        <v>14090</v>
      </c>
      <c r="AO17" s="80">
        <v>0</v>
      </c>
      <c r="AP17" s="80">
        <v>14025</v>
      </c>
      <c r="AQ17" s="80">
        <v>0</v>
      </c>
    </row>
    <row r="18" ht="23.1" customHeight="1" spans="1:43">
      <c r="A18" s="80">
        <v>15</v>
      </c>
      <c r="B18" s="80">
        <v>14007</v>
      </c>
      <c r="C18" s="80">
        <v>8</v>
      </c>
      <c r="D18" s="80">
        <v>14009</v>
      </c>
      <c r="E18" s="80">
        <v>8</v>
      </c>
      <c r="F18" s="80">
        <v>14085</v>
      </c>
      <c r="G18" s="80">
        <v>10</v>
      </c>
      <c r="H18" s="80">
        <v>14086</v>
      </c>
      <c r="I18" s="80">
        <v>12</v>
      </c>
      <c r="J18" s="80">
        <v>14011</v>
      </c>
      <c r="K18" s="80">
        <v>10</v>
      </c>
      <c r="L18" s="80">
        <v>14013</v>
      </c>
      <c r="M18" s="80">
        <v>8</v>
      </c>
      <c r="N18" s="80">
        <v>14087</v>
      </c>
      <c r="O18" s="80">
        <v>10</v>
      </c>
      <c r="P18" s="80">
        <v>14015</v>
      </c>
      <c r="Q18" s="80">
        <v>12</v>
      </c>
      <c r="R18" s="80">
        <v>14016</v>
      </c>
      <c r="S18" s="80">
        <v>18</v>
      </c>
      <c r="T18" s="80">
        <v>14017</v>
      </c>
      <c r="U18" s="80">
        <v>24</v>
      </c>
      <c r="V18" s="80">
        <v>14088</v>
      </c>
      <c r="W18" s="80">
        <v>30</v>
      </c>
      <c r="X18" s="80">
        <v>14019</v>
      </c>
      <c r="Y18" s="80">
        <v>24</v>
      </c>
      <c r="Z18" s="80">
        <v>14020</v>
      </c>
      <c r="AA18" s="80">
        <v>18</v>
      </c>
      <c r="AB18" s="80">
        <v>14089</v>
      </c>
      <c r="AC18" s="80">
        <v>20</v>
      </c>
      <c r="AD18" s="80">
        <v>14021</v>
      </c>
      <c r="AE18" s="80">
        <v>18</v>
      </c>
      <c r="AF18" s="80">
        <v>14022</v>
      </c>
      <c r="AG18" s="80">
        <v>16</v>
      </c>
      <c r="AH18" s="80">
        <v>14023</v>
      </c>
      <c r="AI18" s="80">
        <v>10</v>
      </c>
      <c r="AJ18" s="80">
        <v>14091</v>
      </c>
      <c r="AK18" s="80">
        <v>6</v>
      </c>
      <c r="AL18" s="80">
        <v>14024</v>
      </c>
      <c r="AM18" s="80">
        <v>4</v>
      </c>
      <c r="AN18" s="80">
        <v>14090</v>
      </c>
      <c r="AO18" s="80">
        <v>2</v>
      </c>
      <c r="AP18" s="80">
        <v>14025</v>
      </c>
      <c r="AQ18" s="80">
        <v>0</v>
      </c>
    </row>
    <row r="19" ht="23.1" customHeight="1" spans="1:43">
      <c r="A19" s="80">
        <v>16</v>
      </c>
      <c r="B19" s="80">
        <v>14007</v>
      </c>
      <c r="C19" s="80">
        <v>8</v>
      </c>
      <c r="D19" s="80">
        <v>14009</v>
      </c>
      <c r="E19" s="80">
        <v>8</v>
      </c>
      <c r="F19" s="80">
        <v>14085</v>
      </c>
      <c r="G19" s="80">
        <v>10</v>
      </c>
      <c r="H19" s="80">
        <v>14086</v>
      </c>
      <c r="I19" s="80">
        <v>10</v>
      </c>
      <c r="J19" s="80">
        <v>14011</v>
      </c>
      <c r="K19" s="80">
        <v>8</v>
      </c>
      <c r="L19" s="80">
        <v>14013</v>
      </c>
      <c r="M19" s="80">
        <v>8</v>
      </c>
      <c r="N19" s="80">
        <v>14087</v>
      </c>
      <c r="O19" s="80">
        <v>8</v>
      </c>
      <c r="P19" s="80">
        <v>14015</v>
      </c>
      <c r="Q19" s="80">
        <v>12</v>
      </c>
      <c r="R19" s="80">
        <v>14016</v>
      </c>
      <c r="S19" s="80">
        <v>14</v>
      </c>
      <c r="T19" s="80">
        <v>14017</v>
      </c>
      <c r="U19" s="80">
        <v>20</v>
      </c>
      <c r="V19" s="80">
        <v>14088</v>
      </c>
      <c r="W19" s="80">
        <v>26</v>
      </c>
      <c r="X19" s="80">
        <v>14019</v>
      </c>
      <c r="Y19" s="80">
        <v>24</v>
      </c>
      <c r="Z19" s="80">
        <v>14020</v>
      </c>
      <c r="AA19" s="80">
        <v>24</v>
      </c>
      <c r="AB19" s="80">
        <v>14089</v>
      </c>
      <c r="AC19" s="80">
        <v>25</v>
      </c>
      <c r="AD19" s="80">
        <v>14021</v>
      </c>
      <c r="AE19" s="80">
        <v>20</v>
      </c>
      <c r="AF19" s="80">
        <v>14022</v>
      </c>
      <c r="AG19" s="80">
        <v>18</v>
      </c>
      <c r="AH19" s="80">
        <v>14023</v>
      </c>
      <c r="AI19" s="80">
        <v>10</v>
      </c>
      <c r="AJ19" s="80">
        <v>14091</v>
      </c>
      <c r="AK19" s="80">
        <v>6</v>
      </c>
      <c r="AL19" s="80">
        <v>14024</v>
      </c>
      <c r="AM19" s="80">
        <v>4</v>
      </c>
      <c r="AN19" s="80">
        <v>14090</v>
      </c>
      <c r="AO19" s="80">
        <v>4</v>
      </c>
      <c r="AP19" s="80">
        <v>14025</v>
      </c>
      <c r="AQ19" s="80">
        <v>0</v>
      </c>
    </row>
    <row r="20" ht="23.1" customHeight="1" spans="1:43">
      <c r="A20" s="80">
        <v>17</v>
      </c>
      <c r="B20" s="80">
        <v>14007</v>
      </c>
      <c r="C20" s="80">
        <v>6</v>
      </c>
      <c r="D20" s="80">
        <v>14009</v>
      </c>
      <c r="E20" s="80">
        <v>6</v>
      </c>
      <c r="F20" s="80">
        <v>14085</v>
      </c>
      <c r="G20" s="80">
        <v>6</v>
      </c>
      <c r="H20" s="80">
        <v>14086</v>
      </c>
      <c r="I20" s="80">
        <v>6</v>
      </c>
      <c r="J20" s="80">
        <v>14011</v>
      </c>
      <c r="K20" s="80">
        <v>8</v>
      </c>
      <c r="L20" s="80">
        <v>14013</v>
      </c>
      <c r="M20" s="80">
        <v>8</v>
      </c>
      <c r="N20" s="80">
        <v>14087</v>
      </c>
      <c r="O20" s="80">
        <v>8</v>
      </c>
      <c r="P20" s="80">
        <v>14015</v>
      </c>
      <c r="Q20" s="80">
        <v>10</v>
      </c>
      <c r="R20" s="80">
        <v>14016</v>
      </c>
      <c r="S20" s="80">
        <v>12</v>
      </c>
      <c r="T20" s="80">
        <v>14017</v>
      </c>
      <c r="U20" s="80">
        <v>16</v>
      </c>
      <c r="V20" s="80">
        <v>14088</v>
      </c>
      <c r="W20" s="80">
        <v>22</v>
      </c>
      <c r="X20" s="80">
        <v>14019</v>
      </c>
      <c r="Y20" s="80">
        <v>22</v>
      </c>
      <c r="Z20" s="80">
        <v>14020</v>
      </c>
      <c r="AA20" s="80">
        <v>26</v>
      </c>
      <c r="AB20" s="80">
        <v>14089</v>
      </c>
      <c r="AC20" s="80">
        <v>25</v>
      </c>
      <c r="AD20" s="80">
        <v>14021</v>
      </c>
      <c r="AE20" s="80">
        <v>20</v>
      </c>
      <c r="AF20" s="80">
        <v>14022</v>
      </c>
      <c r="AG20" s="80">
        <v>20</v>
      </c>
      <c r="AH20" s="80">
        <v>14023</v>
      </c>
      <c r="AI20" s="80">
        <v>12</v>
      </c>
      <c r="AJ20" s="80">
        <v>14091</v>
      </c>
      <c r="AK20" s="80">
        <v>10</v>
      </c>
      <c r="AL20" s="80">
        <v>14024</v>
      </c>
      <c r="AM20" s="80">
        <v>4</v>
      </c>
      <c r="AN20" s="80">
        <v>14090</v>
      </c>
      <c r="AO20" s="80">
        <v>4</v>
      </c>
      <c r="AP20" s="80">
        <v>14025</v>
      </c>
      <c r="AQ20" s="80">
        <v>0</v>
      </c>
    </row>
    <row r="21" ht="23.1" customHeight="1" spans="1:43">
      <c r="A21" s="80">
        <v>18</v>
      </c>
      <c r="B21" s="80">
        <v>14007</v>
      </c>
      <c r="C21" s="80">
        <v>4</v>
      </c>
      <c r="D21" s="80">
        <v>14009</v>
      </c>
      <c r="E21" s="80">
        <v>8</v>
      </c>
      <c r="F21" s="80">
        <v>14085</v>
      </c>
      <c r="G21" s="80">
        <v>6</v>
      </c>
      <c r="H21" s="80">
        <v>14086</v>
      </c>
      <c r="I21" s="80">
        <v>6</v>
      </c>
      <c r="J21" s="80">
        <v>14011</v>
      </c>
      <c r="K21" s="80">
        <v>6</v>
      </c>
      <c r="L21" s="80">
        <v>14013</v>
      </c>
      <c r="M21" s="80">
        <v>6</v>
      </c>
      <c r="N21" s="80">
        <v>14087</v>
      </c>
      <c r="O21" s="80">
        <v>6</v>
      </c>
      <c r="P21" s="80">
        <v>14015</v>
      </c>
      <c r="Q21" s="80">
        <v>6</v>
      </c>
      <c r="R21" s="80">
        <v>14016</v>
      </c>
      <c r="S21" s="80">
        <v>8</v>
      </c>
      <c r="T21" s="80">
        <v>14017</v>
      </c>
      <c r="U21" s="80">
        <v>14</v>
      </c>
      <c r="V21" s="80">
        <v>14088</v>
      </c>
      <c r="W21" s="80">
        <v>16</v>
      </c>
      <c r="X21" s="80">
        <v>14019</v>
      </c>
      <c r="Y21" s="80">
        <v>21</v>
      </c>
      <c r="Z21" s="80">
        <v>14020</v>
      </c>
      <c r="AA21" s="80">
        <v>32</v>
      </c>
      <c r="AB21" s="80">
        <v>14089</v>
      </c>
      <c r="AC21" s="80">
        <v>20</v>
      </c>
      <c r="AD21" s="80">
        <v>14021</v>
      </c>
      <c r="AE21" s="80">
        <v>20</v>
      </c>
      <c r="AF21" s="80">
        <v>14022</v>
      </c>
      <c r="AG21" s="80">
        <v>20</v>
      </c>
      <c r="AH21" s="80">
        <v>14023</v>
      </c>
      <c r="AI21" s="80">
        <v>14</v>
      </c>
      <c r="AJ21" s="80">
        <v>14091</v>
      </c>
      <c r="AK21" s="80">
        <v>12</v>
      </c>
      <c r="AL21" s="80">
        <v>14024</v>
      </c>
      <c r="AM21" s="80">
        <v>6</v>
      </c>
      <c r="AN21" s="80">
        <v>14090</v>
      </c>
      <c r="AO21" s="80">
        <v>6</v>
      </c>
      <c r="AP21" s="80">
        <v>14025</v>
      </c>
      <c r="AQ21" s="80">
        <v>0</v>
      </c>
    </row>
    <row r="22" ht="23.1" customHeight="1" spans="1:43">
      <c r="A22" s="80">
        <v>19</v>
      </c>
      <c r="B22" s="80">
        <v>14007</v>
      </c>
      <c r="C22" s="80">
        <v>4</v>
      </c>
      <c r="D22" s="80">
        <v>14009</v>
      </c>
      <c r="E22" s="80">
        <v>4</v>
      </c>
      <c r="F22" s="80">
        <v>14085</v>
      </c>
      <c r="G22" s="80">
        <v>4</v>
      </c>
      <c r="H22" s="80">
        <v>14086</v>
      </c>
      <c r="I22" s="80">
        <v>4</v>
      </c>
      <c r="J22" s="80">
        <v>14011</v>
      </c>
      <c r="K22" s="80">
        <v>4</v>
      </c>
      <c r="L22" s="80">
        <v>14013</v>
      </c>
      <c r="M22" s="80">
        <v>6</v>
      </c>
      <c r="N22" s="80">
        <v>14087</v>
      </c>
      <c r="O22" s="80">
        <v>6</v>
      </c>
      <c r="P22" s="80">
        <v>14015</v>
      </c>
      <c r="Q22" s="80">
        <v>6</v>
      </c>
      <c r="R22" s="80">
        <v>14016</v>
      </c>
      <c r="S22" s="80">
        <v>6</v>
      </c>
      <c r="T22" s="80">
        <v>14017</v>
      </c>
      <c r="U22" s="80">
        <v>12</v>
      </c>
      <c r="V22" s="80">
        <v>14088</v>
      </c>
      <c r="W22" s="80">
        <v>16</v>
      </c>
      <c r="X22" s="80">
        <v>14019</v>
      </c>
      <c r="Y22" s="80">
        <v>20</v>
      </c>
      <c r="Z22" s="80">
        <v>14020</v>
      </c>
      <c r="AA22" s="80">
        <v>28</v>
      </c>
      <c r="AB22" s="80">
        <v>14089</v>
      </c>
      <c r="AC22" s="80">
        <v>20</v>
      </c>
      <c r="AD22" s="80">
        <v>14021</v>
      </c>
      <c r="AE22" s="80">
        <v>25</v>
      </c>
      <c r="AF22" s="80">
        <v>14022</v>
      </c>
      <c r="AG22" s="80">
        <v>20</v>
      </c>
      <c r="AH22" s="80">
        <v>14023</v>
      </c>
      <c r="AI22" s="80">
        <v>20</v>
      </c>
      <c r="AJ22" s="80">
        <v>14091</v>
      </c>
      <c r="AK22" s="80">
        <v>12</v>
      </c>
      <c r="AL22" s="80">
        <v>14024</v>
      </c>
      <c r="AM22" s="80">
        <v>8</v>
      </c>
      <c r="AN22" s="80">
        <v>14090</v>
      </c>
      <c r="AO22" s="80">
        <v>8</v>
      </c>
      <c r="AP22" s="80">
        <v>14025</v>
      </c>
      <c r="AQ22" s="80">
        <v>0</v>
      </c>
    </row>
    <row r="23" ht="23.1" customHeight="1" spans="1:43">
      <c r="A23" s="80">
        <v>20</v>
      </c>
      <c r="B23" s="80">
        <v>14007</v>
      </c>
      <c r="C23" s="80">
        <v>2</v>
      </c>
      <c r="D23" s="80">
        <v>14009</v>
      </c>
      <c r="E23" s="80">
        <v>2</v>
      </c>
      <c r="F23" s="80">
        <v>14085</v>
      </c>
      <c r="G23" s="80">
        <v>4</v>
      </c>
      <c r="H23" s="80">
        <v>14086</v>
      </c>
      <c r="I23" s="80">
        <v>4</v>
      </c>
      <c r="J23" s="80">
        <v>14011</v>
      </c>
      <c r="K23" s="80">
        <v>2</v>
      </c>
      <c r="L23" s="80">
        <v>14013</v>
      </c>
      <c r="M23" s="80">
        <v>6</v>
      </c>
      <c r="N23" s="80">
        <v>14087</v>
      </c>
      <c r="O23" s="80">
        <v>6</v>
      </c>
      <c r="P23" s="80">
        <v>14015</v>
      </c>
      <c r="Q23" s="80">
        <v>6</v>
      </c>
      <c r="R23" s="80">
        <v>14016</v>
      </c>
      <c r="S23" s="80">
        <v>4</v>
      </c>
      <c r="T23" s="80">
        <v>14017</v>
      </c>
      <c r="U23" s="80">
        <v>10</v>
      </c>
      <c r="V23" s="80">
        <v>14088</v>
      </c>
      <c r="W23" s="80">
        <v>16</v>
      </c>
      <c r="X23" s="80">
        <v>14019</v>
      </c>
      <c r="Y23" s="80">
        <v>20</v>
      </c>
      <c r="Z23" s="80">
        <v>14020</v>
      </c>
      <c r="AA23" s="80">
        <v>28</v>
      </c>
      <c r="AB23" s="80">
        <v>14089</v>
      </c>
      <c r="AC23" s="80">
        <v>20</v>
      </c>
      <c r="AD23" s="80">
        <v>14021</v>
      </c>
      <c r="AE23" s="80">
        <v>28</v>
      </c>
      <c r="AF23" s="80">
        <v>14022</v>
      </c>
      <c r="AG23" s="80">
        <v>24</v>
      </c>
      <c r="AH23" s="80">
        <v>14023</v>
      </c>
      <c r="AI23" s="80">
        <v>20</v>
      </c>
      <c r="AJ23" s="80">
        <v>14091</v>
      </c>
      <c r="AK23" s="80">
        <v>16</v>
      </c>
      <c r="AL23" s="80">
        <v>14024</v>
      </c>
      <c r="AM23" s="80">
        <v>10</v>
      </c>
      <c r="AN23" s="80">
        <v>14090</v>
      </c>
      <c r="AO23" s="80">
        <v>10</v>
      </c>
      <c r="AP23" s="80">
        <v>14025</v>
      </c>
      <c r="AQ23" s="80">
        <v>0</v>
      </c>
    </row>
    <row r="24" ht="23.1" customHeight="1" spans="1:43">
      <c r="A24" s="80">
        <v>21</v>
      </c>
      <c r="B24" s="80">
        <v>14007</v>
      </c>
      <c r="C24" s="80">
        <v>0</v>
      </c>
      <c r="D24" s="80">
        <v>14009</v>
      </c>
      <c r="E24" s="80">
        <v>0</v>
      </c>
      <c r="F24" s="80">
        <v>14085</v>
      </c>
      <c r="G24" s="80">
        <v>2</v>
      </c>
      <c r="H24" s="80">
        <v>14086</v>
      </c>
      <c r="I24" s="80">
        <v>4</v>
      </c>
      <c r="J24" s="80">
        <v>14011</v>
      </c>
      <c r="K24" s="80">
        <v>6</v>
      </c>
      <c r="L24" s="80">
        <v>14013</v>
      </c>
      <c r="M24" s="80">
        <v>6</v>
      </c>
      <c r="N24" s="80">
        <v>14087</v>
      </c>
      <c r="O24" s="80">
        <v>8</v>
      </c>
      <c r="P24" s="80">
        <v>14015</v>
      </c>
      <c r="Q24" s="80">
        <v>8</v>
      </c>
      <c r="R24" s="80">
        <v>14016</v>
      </c>
      <c r="S24" s="80">
        <v>4</v>
      </c>
      <c r="T24" s="80">
        <v>14017</v>
      </c>
      <c r="U24" s="80">
        <v>10</v>
      </c>
      <c r="V24" s="80">
        <v>14088</v>
      </c>
      <c r="W24" s="80">
        <v>14</v>
      </c>
      <c r="X24" s="80">
        <v>14019</v>
      </c>
      <c r="Y24" s="80">
        <v>18</v>
      </c>
      <c r="Z24" s="80">
        <v>14020</v>
      </c>
      <c r="AA24" s="80">
        <v>20</v>
      </c>
      <c r="AB24" s="80">
        <v>14089</v>
      </c>
      <c r="AC24" s="80">
        <v>20</v>
      </c>
      <c r="AD24" s="80">
        <v>14021</v>
      </c>
      <c r="AE24" s="80">
        <v>28</v>
      </c>
      <c r="AF24" s="80">
        <v>14022</v>
      </c>
      <c r="AG24" s="80">
        <v>28</v>
      </c>
      <c r="AH24" s="80">
        <v>14023</v>
      </c>
      <c r="AI24" s="80">
        <v>24</v>
      </c>
      <c r="AJ24" s="80">
        <v>14091</v>
      </c>
      <c r="AK24" s="80">
        <v>20</v>
      </c>
      <c r="AL24" s="80">
        <v>14024</v>
      </c>
      <c r="AM24" s="80">
        <v>14</v>
      </c>
      <c r="AN24" s="80">
        <v>14090</v>
      </c>
      <c r="AO24" s="80">
        <v>14</v>
      </c>
      <c r="AP24" s="80">
        <v>14025</v>
      </c>
      <c r="AQ24" s="80">
        <v>6</v>
      </c>
    </row>
    <row r="25" ht="23.1" customHeight="1" spans="1:43">
      <c r="A25" s="80">
        <v>22</v>
      </c>
      <c r="B25" s="80">
        <v>14007</v>
      </c>
      <c r="C25" s="80">
        <v>0</v>
      </c>
      <c r="D25" s="80">
        <v>14009</v>
      </c>
      <c r="E25" s="80">
        <v>0</v>
      </c>
      <c r="F25" s="80">
        <v>14085</v>
      </c>
      <c r="G25" s="80">
        <v>0</v>
      </c>
      <c r="H25" s="80">
        <v>14086</v>
      </c>
      <c r="I25" s="80">
        <v>0</v>
      </c>
      <c r="J25" s="80">
        <v>14011</v>
      </c>
      <c r="K25" s="80">
        <v>4</v>
      </c>
      <c r="L25" s="80">
        <v>14013</v>
      </c>
      <c r="M25" s="80">
        <v>4</v>
      </c>
      <c r="N25" s="80">
        <v>14087</v>
      </c>
      <c r="O25" s="80">
        <v>8</v>
      </c>
      <c r="P25" s="80">
        <v>14015</v>
      </c>
      <c r="Q25" s="80">
        <v>8</v>
      </c>
      <c r="R25" s="80">
        <v>14016</v>
      </c>
      <c r="S25" s="80">
        <v>4</v>
      </c>
      <c r="T25" s="80">
        <v>14017</v>
      </c>
      <c r="U25" s="80">
        <v>10</v>
      </c>
      <c r="V25" s="80">
        <v>14088</v>
      </c>
      <c r="W25" s="80">
        <v>12</v>
      </c>
      <c r="X25" s="80">
        <v>14019</v>
      </c>
      <c r="Y25" s="80">
        <v>18</v>
      </c>
      <c r="Z25" s="80">
        <v>14020</v>
      </c>
      <c r="AA25" s="80">
        <v>20</v>
      </c>
      <c r="AB25" s="80">
        <v>14089</v>
      </c>
      <c r="AC25" s="80">
        <v>20</v>
      </c>
      <c r="AD25" s="80">
        <v>14021</v>
      </c>
      <c r="AE25" s="80">
        <v>28</v>
      </c>
      <c r="AF25" s="80">
        <v>14022</v>
      </c>
      <c r="AG25" s="80">
        <v>28</v>
      </c>
      <c r="AH25" s="80">
        <v>14023</v>
      </c>
      <c r="AI25" s="80">
        <v>24</v>
      </c>
      <c r="AJ25" s="80">
        <v>14091</v>
      </c>
      <c r="AK25" s="80">
        <v>20</v>
      </c>
      <c r="AL25" s="80">
        <v>14024</v>
      </c>
      <c r="AM25" s="80">
        <v>20</v>
      </c>
      <c r="AN25" s="80">
        <v>14090</v>
      </c>
      <c r="AO25" s="80">
        <v>18</v>
      </c>
      <c r="AP25" s="80">
        <v>14025</v>
      </c>
      <c r="AQ25" s="80">
        <v>10</v>
      </c>
    </row>
    <row r="26" ht="23.1" customHeight="1" spans="1:43">
      <c r="A26" s="80">
        <v>23</v>
      </c>
      <c r="B26" s="80">
        <v>14007</v>
      </c>
      <c r="C26" s="80">
        <v>0</v>
      </c>
      <c r="D26" s="80">
        <v>14009</v>
      </c>
      <c r="E26" s="80">
        <v>0</v>
      </c>
      <c r="F26" s="80">
        <v>14085</v>
      </c>
      <c r="G26" s="80">
        <v>0</v>
      </c>
      <c r="H26" s="80">
        <v>14086</v>
      </c>
      <c r="I26" s="80">
        <v>0</v>
      </c>
      <c r="J26" s="80">
        <v>14011</v>
      </c>
      <c r="K26" s="80">
        <v>2</v>
      </c>
      <c r="L26" s="80">
        <v>14013</v>
      </c>
      <c r="M26" s="80">
        <v>4</v>
      </c>
      <c r="N26" s="80">
        <v>14087</v>
      </c>
      <c r="O26" s="80">
        <v>4</v>
      </c>
      <c r="P26" s="80">
        <v>14015</v>
      </c>
      <c r="Q26" s="80">
        <v>8</v>
      </c>
      <c r="R26" s="80">
        <v>14016</v>
      </c>
      <c r="S26" s="80">
        <v>4</v>
      </c>
      <c r="T26" s="80">
        <v>14017</v>
      </c>
      <c r="U26" s="80">
        <v>8</v>
      </c>
      <c r="V26" s="80">
        <v>14088</v>
      </c>
      <c r="W26" s="80">
        <v>12</v>
      </c>
      <c r="X26" s="80">
        <v>14019</v>
      </c>
      <c r="Y26" s="80">
        <v>14</v>
      </c>
      <c r="Z26" s="80">
        <v>14020</v>
      </c>
      <c r="AA26" s="80">
        <v>16</v>
      </c>
      <c r="AB26" s="80">
        <v>14089</v>
      </c>
      <c r="AC26" s="80">
        <v>20</v>
      </c>
      <c r="AD26" s="80">
        <v>14021</v>
      </c>
      <c r="AE26" s="80">
        <v>26</v>
      </c>
      <c r="AF26" s="80">
        <v>14022</v>
      </c>
      <c r="AG26" s="80">
        <v>30</v>
      </c>
      <c r="AH26" s="80">
        <v>14023</v>
      </c>
      <c r="AI26" s="80">
        <v>26</v>
      </c>
      <c r="AJ26" s="80">
        <v>14091</v>
      </c>
      <c r="AK26" s="80">
        <v>26</v>
      </c>
      <c r="AL26" s="80">
        <v>14024</v>
      </c>
      <c r="AM26" s="80">
        <v>22</v>
      </c>
      <c r="AN26" s="80">
        <v>14090</v>
      </c>
      <c r="AO26" s="80">
        <v>24</v>
      </c>
      <c r="AP26" s="80">
        <v>14025</v>
      </c>
      <c r="AQ26" s="80">
        <v>16</v>
      </c>
    </row>
    <row r="27" ht="23.1" customHeight="1" spans="1:43">
      <c r="A27" s="80">
        <v>24</v>
      </c>
      <c r="B27" s="80">
        <v>14007</v>
      </c>
      <c r="C27" s="80">
        <v>0</v>
      </c>
      <c r="D27" s="80">
        <v>14009</v>
      </c>
      <c r="E27" s="80">
        <v>0</v>
      </c>
      <c r="F27" s="80">
        <v>14085</v>
      </c>
      <c r="G27" s="80">
        <v>0</v>
      </c>
      <c r="H27" s="80">
        <v>14086</v>
      </c>
      <c r="I27" s="80">
        <v>0</v>
      </c>
      <c r="J27" s="80">
        <v>14011</v>
      </c>
      <c r="K27" s="80">
        <v>2</v>
      </c>
      <c r="L27" s="80">
        <v>14013</v>
      </c>
      <c r="M27" s="80">
        <v>2</v>
      </c>
      <c r="N27" s="80">
        <v>14087</v>
      </c>
      <c r="O27" s="80">
        <v>2</v>
      </c>
      <c r="P27" s="80">
        <v>14015</v>
      </c>
      <c r="Q27" s="80">
        <v>6</v>
      </c>
      <c r="R27" s="80">
        <v>14016</v>
      </c>
      <c r="S27" s="80">
        <v>6</v>
      </c>
      <c r="T27" s="80">
        <v>14017</v>
      </c>
      <c r="U27" s="80">
        <v>6</v>
      </c>
      <c r="V27" s="80">
        <v>14088</v>
      </c>
      <c r="W27" s="80">
        <v>10</v>
      </c>
      <c r="X27" s="80">
        <v>14019</v>
      </c>
      <c r="Y27" s="80">
        <v>14</v>
      </c>
      <c r="Z27" s="80">
        <v>14020</v>
      </c>
      <c r="AA27" s="80">
        <v>14</v>
      </c>
      <c r="AB27" s="80">
        <v>14089</v>
      </c>
      <c r="AC27" s="80">
        <v>16</v>
      </c>
      <c r="AD27" s="80">
        <v>14021</v>
      </c>
      <c r="AE27" s="80">
        <v>26</v>
      </c>
      <c r="AF27" s="80">
        <v>14022</v>
      </c>
      <c r="AG27" s="80">
        <v>35</v>
      </c>
      <c r="AH27" s="80">
        <v>14023</v>
      </c>
      <c r="AI27" s="80">
        <v>40</v>
      </c>
      <c r="AJ27" s="80">
        <v>14091</v>
      </c>
      <c r="AK27" s="80">
        <v>38</v>
      </c>
      <c r="AL27" s="80">
        <v>14024</v>
      </c>
      <c r="AM27" s="80">
        <v>36</v>
      </c>
      <c r="AN27" s="80">
        <v>14090</v>
      </c>
      <c r="AO27" s="80">
        <v>30</v>
      </c>
      <c r="AP27" s="80">
        <v>14025</v>
      </c>
      <c r="AQ27" s="80">
        <v>20</v>
      </c>
    </row>
    <row r="28" ht="23.1" customHeight="1" spans="1:43">
      <c r="A28" s="80">
        <v>25</v>
      </c>
      <c r="B28" s="80">
        <v>14007</v>
      </c>
      <c r="C28" s="80">
        <v>0</v>
      </c>
      <c r="D28" s="80">
        <v>14009</v>
      </c>
      <c r="E28" s="80">
        <v>0</v>
      </c>
      <c r="F28" s="80">
        <v>14085</v>
      </c>
      <c r="G28" s="80">
        <v>0</v>
      </c>
      <c r="H28" s="80">
        <v>14086</v>
      </c>
      <c r="I28" s="80">
        <v>0</v>
      </c>
      <c r="J28" s="80">
        <v>14011</v>
      </c>
      <c r="K28" s="80">
        <v>0</v>
      </c>
      <c r="L28" s="80">
        <v>14013</v>
      </c>
      <c r="M28" s="80">
        <v>0</v>
      </c>
      <c r="N28" s="80">
        <v>14087</v>
      </c>
      <c r="O28" s="80">
        <v>4</v>
      </c>
      <c r="P28" s="80">
        <v>14015</v>
      </c>
      <c r="Q28" s="80">
        <v>4</v>
      </c>
      <c r="R28" s="80">
        <v>14016</v>
      </c>
      <c r="S28" s="80">
        <v>4</v>
      </c>
      <c r="T28" s="80">
        <v>14017</v>
      </c>
      <c r="U28" s="80">
        <v>4</v>
      </c>
      <c r="V28" s="80">
        <v>14088</v>
      </c>
      <c r="W28" s="80">
        <v>10</v>
      </c>
      <c r="X28" s="80">
        <v>14019</v>
      </c>
      <c r="Y28" s="80">
        <v>12</v>
      </c>
      <c r="Z28" s="80">
        <v>14020</v>
      </c>
      <c r="AA28" s="80">
        <v>12</v>
      </c>
      <c r="AB28" s="80">
        <v>14089</v>
      </c>
      <c r="AC28" s="80">
        <v>10</v>
      </c>
      <c r="AD28" s="80">
        <v>14021</v>
      </c>
      <c r="AE28" s="80">
        <v>24</v>
      </c>
      <c r="AF28" s="80">
        <v>14022</v>
      </c>
      <c r="AG28" s="80">
        <v>35</v>
      </c>
      <c r="AH28" s="80">
        <v>14023</v>
      </c>
      <c r="AI28" s="80">
        <v>45</v>
      </c>
      <c r="AJ28" s="80">
        <v>14091</v>
      </c>
      <c r="AK28" s="80">
        <v>42</v>
      </c>
      <c r="AL28" s="80">
        <v>14024</v>
      </c>
      <c r="AM28" s="80">
        <v>38</v>
      </c>
      <c r="AN28" s="80">
        <v>14090</v>
      </c>
      <c r="AO28" s="80">
        <v>34</v>
      </c>
      <c r="AP28" s="80">
        <v>14025</v>
      </c>
      <c r="AQ28" s="80">
        <v>26</v>
      </c>
    </row>
    <row r="30" ht="18" spans="1:2">
      <c r="A30" s="80" t="s">
        <v>689</v>
      </c>
      <c r="B30" s="80" t="s">
        <v>810</v>
      </c>
    </row>
    <row r="31" ht="18" spans="1:2">
      <c r="A31" s="80" t="s">
        <v>39</v>
      </c>
      <c r="B31" s="80" t="s">
        <v>39</v>
      </c>
    </row>
    <row r="32" ht="17" spans="1:2">
      <c r="A32" s="80" t="s">
        <v>811</v>
      </c>
      <c r="B32" s="205" t="s">
        <v>812</v>
      </c>
    </row>
    <row r="33" ht="66" spans="1:2">
      <c r="A33" s="80">
        <v>44001</v>
      </c>
      <c r="B33" s="206" t="s">
        <v>813</v>
      </c>
    </row>
    <row r="34" ht="80" spans="1:2">
      <c r="A34" s="80">
        <v>44002</v>
      </c>
      <c r="B34" s="206" t="s">
        <v>814</v>
      </c>
    </row>
    <row r="35" ht="106" spans="1:2">
      <c r="A35" s="80">
        <v>44003</v>
      </c>
      <c r="B35" s="206" t="s">
        <v>815</v>
      </c>
    </row>
    <row r="36" ht="119" spans="1:2">
      <c r="A36" s="80">
        <v>44004</v>
      </c>
      <c r="B36" s="206" t="s">
        <v>816</v>
      </c>
    </row>
    <row r="37" ht="119" spans="1:2">
      <c r="A37" s="80">
        <v>44005</v>
      </c>
      <c r="B37" s="206" t="s">
        <v>817</v>
      </c>
    </row>
  </sheetData>
  <pageMargins left="0.699305555555556" right="0.699305555555556" top="0.75" bottom="0.75" header="0.3" footer="0.3"/>
  <pageSetup paperSize="9" orientation="portrait"/>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F36"/>
  <sheetViews>
    <sheetView workbookViewId="0">
      <selection activeCell="A37" sqref="$A37:$XFD37"/>
    </sheetView>
  </sheetViews>
  <sheetFormatPr defaultColWidth="11.0986842105263" defaultRowHeight="15.2"/>
  <cols>
    <col min="32" max="32" width="85" customWidth="1"/>
  </cols>
  <sheetData>
    <row r="1" ht="23.1" customHeight="1" spans="1:29">
      <c r="A1" s="80" t="s">
        <v>564</v>
      </c>
      <c r="B1" s="80" t="s">
        <v>810</v>
      </c>
      <c r="C1" s="80" t="s">
        <v>546</v>
      </c>
      <c r="D1" s="80" t="s">
        <v>810</v>
      </c>
      <c r="E1" s="80" t="s">
        <v>546</v>
      </c>
      <c r="F1" s="80" t="s">
        <v>810</v>
      </c>
      <c r="G1" s="80" t="s">
        <v>546</v>
      </c>
      <c r="H1" s="80" t="s">
        <v>810</v>
      </c>
      <c r="I1" s="80" t="s">
        <v>546</v>
      </c>
      <c r="J1" s="80" t="s">
        <v>810</v>
      </c>
      <c r="K1" s="80" t="s">
        <v>546</v>
      </c>
      <c r="L1" s="80" t="s">
        <v>810</v>
      </c>
      <c r="M1" s="80" t="s">
        <v>546</v>
      </c>
      <c r="N1" s="80" t="s">
        <v>810</v>
      </c>
      <c r="O1" s="80" t="s">
        <v>546</v>
      </c>
      <c r="P1" s="80" t="s">
        <v>810</v>
      </c>
      <c r="Q1" s="80" t="s">
        <v>546</v>
      </c>
      <c r="R1" s="80" t="s">
        <v>810</v>
      </c>
      <c r="S1" s="80" t="s">
        <v>546</v>
      </c>
      <c r="T1" s="80" t="s">
        <v>810</v>
      </c>
      <c r="U1" s="80" t="s">
        <v>546</v>
      </c>
      <c r="V1" s="80" t="s">
        <v>810</v>
      </c>
      <c r="W1" s="80" t="s">
        <v>546</v>
      </c>
      <c r="X1" s="80" t="s">
        <v>810</v>
      </c>
      <c r="Y1" s="80" t="s">
        <v>546</v>
      </c>
      <c r="Z1" s="80" t="s">
        <v>810</v>
      </c>
      <c r="AA1" s="80" t="s">
        <v>546</v>
      </c>
      <c r="AB1" s="80" t="s">
        <v>810</v>
      </c>
      <c r="AC1" s="80" t="s">
        <v>546</v>
      </c>
    </row>
    <row r="2" ht="23.1" customHeight="1" spans="1:29">
      <c r="A2" s="80" t="s">
        <v>39</v>
      </c>
      <c r="B2" s="80" t="s">
        <v>39</v>
      </c>
      <c r="C2" s="80" t="s">
        <v>39</v>
      </c>
      <c r="D2" s="80" t="s">
        <v>39</v>
      </c>
      <c r="E2" s="80" t="s">
        <v>39</v>
      </c>
      <c r="F2" s="80" t="s">
        <v>39</v>
      </c>
      <c r="G2" s="80" t="s">
        <v>39</v>
      </c>
      <c r="H2" s="80" t="s">
        <v>39</v>
      </c>
      <c r="I2" s="80" t="s">
        <v>39</v>
      </c>
      <c r="J2" s="80" t="s">
        <v>39</v>
      </c>
      <c r="K2" s="80" t="s">
        <v>39</v>
      </c>
      <c r="L2" s="80" t="s">
        <v>39</v>
      </c>
      <c r="M2" s="80" t="s">
        <v>39</v>
      </c>
      <c r="N2" s="80" t="s">
        <v>39</v>
      </c>
      <c r="O2" s="80" t="s">
        <v>39</v>
      </c>
      <c r="P2" s="80" t="s">
        <v>39</v>
      </c>
      <c r="Q2" s="80" t="s">
        <v>39</v>
      </c>
      <c r="R2" s="80" t="s">
        <v>39</v>
      </c>
      <c r="S2" s="80" t="s">
        <v>39</v>
      </c>
      <c r="T2" s="80" t="s">
        <v>39</v>
      </c>
      <c r="U2" s="80" t="s">
        <v>39</v>
      </c>
      <c r="V2" s="80" t="s">
        <v>39</v>
      </c>
      <c r="W2" s="80" t="s">
        <v>39</v>
      </c>
      <c r="X2" s="80" t="s">
        <v>39</v>
      </c>
      <c r="Y2" s="80" t="s">
        <v>39</v>
      </c>
      <c r="Z2" s="80" t="s">
        <v>39</v>
      </c>
      <c r="AA2" s="80" t="s">
        <v>39</v>
      </c>
      <c r="AB2" s="80" t="s">
        <v>39</v>
      </c>
      <c r="AC2" s="80" t="s">
        <v>39</v>
      </c>
    </row>
    <row r="3" ht="23.1" customHeight="1" spans="1:29">
      <c r="A3" s="80" t="s">
        <v>576</v>
      </c>
      <c r="B3" s="80" t="s">
        <v>45</v>
      </c>
      <c r="C3" s="80" t="s">
        <v>535</v>
      </c>
      <c r="D3" s="80" t="s">
        <v>45</v>
      </c>
      <c r="E3" s="80" t="s">
        <v>535</v>
      </c>
      <c r="F3" s="80" t="s">
        <v>45</v>
      </c>
      <c r="G3" s="80" t="s">
        <v>535</v>
      </c>
      <c r="H3" s="80" t="s">
        <v>45</v>
      </c>
      <c r="I3" s="80" t="s">
        <v>535</v>
      </c>
      <c r="J3" s="80" t="s">
        <v>45</v>
      </c>
      <c r="K3" s="80" t="s">
        <v>535</v>
      </c>
      <c r="L3" s="80" t="s">
        <v>45</v>
      </c>
      <c r="M3" s="80" t="s">
        <v>535</v>
      </c>
      <c r="N3" s="80" t="s">
        <v>45</v>
      </c>
      <c r="O3" s="80" t="s">
        <v>535</v>
      </c>
      <c r="P3" s="80" t="s">
        <v>45</v>
      </c>
      <c r="Q3" s="80" t="s">
        <v>535</v>
      </c>
      <c r="R3" s="80" t="s">
        <v>45</v>
      </c>
      <c r="S3" s="80" t="s">
        <v>535</v>
      </c>
      <c r="T3" s="80" t="s">
        <v>45</v>
      </c>
      <c r="U3" s="80" t="s">
        <v>535</v>
      </c>
      <c r="V3" s="80" t="s">
        <v>45</v>
      </c>
      <c r="W3" s="80" t="s">
        <v>535</v>
      </c>
      <c r="X3" s="80" t="s">
        <v>45</v>
      </c>
      <c r="Y3" s="80" t="s">
        <v>535</v>
      </c>
      <c r="Z3" s="80" t="s">
        <v>45</v>
      </c>
      <c r="AA3" s="80" t="s">
        <v>535</v>
      </c>
      <c r="AB3" s="80" t="s">
        <v>45</v>
      </c>
      <c r="AC3" s="80" t="s">
        <v>535</v>
      </c>
    </row>
    <row r="4" ht="23.1" customHeight="1" spans="1:29">
      <c r="A4" s="80">
        <v>1</v>
      </c>
      <c r="B4" s="80">
        <v>14007</v>
      </c>
      <c r="C4" s="80">
        <v>4</v>
      </c>
      <c r="D4" s="80">
        <v>14009</v>
      </c>
      <c r="E4" s="80">
        <v>8</v>
      </c>
      <c r="F4" s="80">
        <v>14011</v>
      </c>
      <c r="G4" s="80">
        <v>21</v>
      </c>
      <c r="H4" s="80">
        <v>14013</v>
      </c>
      <c r="I4" s="80">
        <v>0</v>
      </c>
      <c r="J4" s="80">
        <v>14015</v>
      </c>
      <c r="K4" s="80">
        <v>0</v>
      </c>
      <c r="L4" s="80">
        <v>14016</v>
      </c>
      <c r="M4" s="80">
        <v>0</v>
      </c>
      <c r="N4" s="80">
        <v>14017</v>
      </c>
      <c r="O4" s="80">
        <v>0</v>
      </c>
      <c r="P4" s="80">
        <v>14019</v>
      </c>
      <c r="Q4" s="80">
        <v>0</v>
      </c>
      <c r="R4" s="80">
        <v>14020</v>
      </c>
      <c r="S4" s="80">
        <v>0</v>
      </c>
      <c r="T4" s="80">
        <v>14021</v>
      </c>
      <c r="U4" s="80">
        <v>0</v>
      </c>
      <c r="V4" s="80">
        <v>14022</v>
      </c>
      <c r="W4" s="80">
        <v>0</v>
      </c>
      <c r="X4" s="80">
        <v>14023</v>
      </c>
      <c r="Y4" s="80">
        <v>0</v>
      </c>
      <c r="Z4" s="80">
        <v>14024</v>
      </c>
      <c r="AA4" s="80">
        <v>0</v>
      </c>
      <c r="AB4" s="80">
        <v>14025</v>
      </c>
      <c r="AC4" s="80">
        <v>0</v>
      </c>
    </row>
    <row r="5" ht="23.1" customHeight="1" spans="1:29">
      <c r="A5" s="80">
        <v>2</v>
      </c>
      <c r="B5" s="80">
        <v>14007</v>
      </c>
      <c r="C5" s="80">
        <v>4</v>
      </c>
      <c r="D5" s="80">
        <v>14009</v>
      </c>
      <c r="E5" s="80">
        <v>8</v>
      </c>
      <c r="F5" s="80">
        <v>14011</v>
      </c>
      <c r="G5" s="80">
        <v>30</v>
      </c>
      <c r="H5" s="80">
        <v>14013</v>
      </c>
      <c r="I5" s="80">
        <v>0</v>
      </c>
      <c r="J5" s="80">
        <v>14015</v>
      </c>
      <c r="K5" s="80">
        <v>0</v>
      </c>
      <c r="L5" s="80">
        <v>14016</v>
      </c>
      <c r="M5" s="80">
        <v>0</v>
      </c>
      <c r="N5" s="80">
        <v>14017</v>
      </c>
      <c r="O5" s="80">
        <v>0</v>
      </c>
      <c r="P5" s="80">
        <v>14019</v>
      </c>
      <c r="Q5" s="80">
        <v>0</v>
      </c>
      <c r="R5" s="80">
        <v>14020</v>
      </c>
      <c r="S5" s="80">
        <v>0</v>
      </c>
      <c r="T5" s="80">
        <v>14021</v>
      </c>
      <c r="U5" s="80">
        <v>0</v>
      </c>
      <c r="V5" s="80">
        <v>14022</v>
      </c>
      <c r="W5" s="80">
        <v>0</v>
      </c>
      <c r="X5" s="80">
        <v>14023</v>
      </c>
      <c r="Y5" s="80">
        <v>0</v>
      </c>
      <c r="Z5" s="80">
        <v>14024</v>
      </c>
      <c r="AA5" s="80">
        <v>0</v>
      </c>
      <c r="AB5" s="80">
        <v>14025</v>
      </c>
      <c r="AC5" s="80">
        <v>0</v>
      </c>
    </row>
    <row r="6" ht="23.1" customHeight="1" spans="1:29">
      <c r="A6" s="80">
        <v>3</v>
      </c>
      <c r="B6" s="80">
        <v>14007</v>
      </c>
      <c r="C6" s="80">
        <v>4</v>
      </c>
      <c r="D6" s="80">
        <v>14009</v>
      </c>
      <c r="E6" s="80">
        <v>6</v>
      </c>
      <c r="F6" s="80">
        <v>14011</v>
      </c>
      <c r="G6" s="80">
        <v>40</v>
      </c>
      <c r="H6" s="80">
        <v>14013</v>
      </c>
      <c r="I6" s="80">
        <v>0</v>
      </c>
      <c r="J6" s="80">
        <v>14015</v>
      </c>
      <c r="K6" s="80">
        <v>0</v>
      </c>
      <c r="L6" s="80">
        <v>14016</v>
      </c>
      <c r="M6" s="80">
        <v>0</v>
      </c>
      <c r="N6" s="80">
        <v>14017</v>
      </c>
      <c r="O6" s="80">
        <v>0</v>
      </c>
      <c r="P6" s="80">
        <v>14019</v>
      </c>
      <c r="Q6" s="80">
        <v>0</v>
      </c>
      <c r="R6" s="80">
        <v>14020</v>
      </c>
      <c r="S6" s="80">
        <v>0</v>
      </c>
      <c r="T6" s="80">
        <v>14021</v>
      </c>
      <c r="U6" s="80">
        <v>0</v>
      </c>
      <c r="V6" s="80">
        <v>14022</v>
      </c>
      <c r="W6" s="80">
        <v>0</v>
      </c>
      <c r="X6" s="80">
        <v>14023</v>
      </c>
      <c r="Y6" s="80">
        <v>0</v>
      </c>
      <c r="Z6" s="80">
        <v>14024</v>
      </c>
      <c r="AA6" s="80">
        <v>0</v>
      </c>
      <c r="AB6" s="80">
        <v>14025</v>
      </c>
      <c r="AC6" s="80">
        <v>0</v>
      </c>
    </row>
    <row r="7" ht="23.1" customHeight="1" spans="1:29">
      <c r="A7" s="80">
        <v>4</v>
      </c>
      <c r="B7" s="80">
        <v>14007</v>
      </c>
      <c r="C7" s="80">
        <v>2</v>
      </c>
      <c r="D7" s="80">
        <v>14009</v>
      </c>
      <c r="E7" s="80">
        <v>6</v>
      </c>
      <c r="F7" s="80">
        <v>14011</v>
      </c>
      <c r="G7" s="80">
        <v>60</v>
      </c>
      <c r="H7" s="80">
        <v>14013</v>
      </c>
      <c r="I7" s="80">
        <v>0</v>
      </c>
      <c r="J7" s="80">
        <v>14015</v>
      </c>
      <c r="K7" s="80">
        <v>0</v>
      </c>
      <c r="L7" s="80">
        <v>14016</v>
      </c>
      <c r="M7" s="80">
        <v>0</v>
      </c>
      <c r="N7" s="80">
        <v>14017</v>
      </c>
      <c r="O7" s="80">
        <v>0</v>
      </c>
      <c r="P7" s="80">
        <v>14019</v>
      </c>
      <c r="Q7" s="80">
        <v>0</v>
      </c>
      <c r="R7" s="80">
        <v>14020</v>
      </c>
      <c r="S7" s="80">
        <v>0</v>
      </c>
      <c r="T7" s="80">
        <v>14021</v>
      </c>
      <c r="U7" s="80">
        <v>0</v>
      </c>
      <c r="V7" s="80">
        <v>14022</v>
      </c>
      <c r="W7" s="80">
        <v>0</v>
      </c>
      <c r="X7" s="80">
        <v>14023</v>
      </c>
      <c r="Y7" s="80">
        <v>0</v>
      </c>
      <c r="Z7" s="80">
        <v>14024</v>
      </c>
      <c r="AA7" s="80">
        <v>0</v>
      </c>
      <c r="AB7" s="80">
        <v>14025</v>
      </c>
      <c r="AC7" s="80">
        <v>0</v>
      </c>
    </row>
    <row r="8" ht="23.1" customHeight="1" spans="1:29">
      <c r="A8" s="80">
        <v>5</v>
      </c>
      <c r="B8" s="80">
        <v>14007</v>
      </c>
      <c r="C8" s="80">
        <v>2</v>
      </c>
      <c r="D8" s="80">
        <v>14009</v>
      </c>
      <c r="E8" s="80">
        <v>4</v>
      </c>
      <c r="F8" s="80">
        <v>14011</v>
      </c>
      <c r="G8" s="80">
        <v>250</v>
      </c>
      <c r="H8" s="80">
        <v>14013</v>
      </c>
      <c r="I8" s="80">
        <v>0</v>
      </c>
      <c r="J8" s="80">
        <v>14015</v>
      </c>
      <c r="K8" s="80">
        <v>0</v>
      </c>
      <c r="L8" s="80">
        <v>14016</v>
      </c>
      <c r="M8" s="80">
        <v>0</v>
      </c>
      <c r="N8" s="80">
        <v>14017</v>
      </c>
      <c r="O8" s="80">
        <v>0</v>
      </c>
      <c r="P8" s="80">
        <v>14019</v>
      </c>
      <c r="Q8" s="80">
        <v>0</v>
      </c>
      <c r="R8" s="80">
        <v>14020</v>
      </c>
      <c r="S8" s="80">
        <v>0</v>
      </c>
      <c r="T8" s="80">
        <v>14021</v>
      </c>
      <c r="U8" s="80">
        <v>0</v>
      </c>
      <c r="V8" s="80">
        <v>14022</v>
      </c>
      <c r="W8" s="80">
        <v>0</v>
      </c>
      <c r="X8" s="80">
        <v>14023</v>
      </c>
      <c r="Y8" s="80">
        <v>0</v>
      </c>
      <c r="Z8" s="80">
        <v>14024</v>
      </c>
      <c r="AA8" s="80">
        <v>0</v>
      </c>
      <c r="AB8" s="80">
        <v>14025</v>
      </c>
      <c r="AC8" s="80">
        <v>0</v>
      </c>
    </row>
    <row r="9" ht="23.1" customHeight="1" spans="1:29">
      <c r="A9" s="80">
        <v>6</v>
      </c>
      <c r="B9" s="80">
        <v>14007</v>
      </c>
      <c r="C9" s="80">
        <v>2</v>
      </c>
      <c r="D9" s="80">
        <v>14009</v>
      </c>
      <c r="E9" s="80">
        <v>2</v>
      </c>
      <c r="F9" s="80">
        <v>14011</v>
      </c>
      <c r="G9" s="80">
        <v>60</v>
      </c>
      <c r="H9" s="80">
        <v>14013</v>
      </c>
      <c r="I9" s="80">
        <v>30</v>
      </c>
      <c r="J9" s="80">
        <v>14015</v>
      </c>
      <c r="K9" s="80">
        <v>0</v>
      </c>
      <c r="L9" s="80">
        <v>14016</v>
      </c>
      <c r="M9" s="80">
        <v>0</v>
      </c>
      <c r="N9" s="80">
        <v>14017</v>
      </c>
      <c r="O9" s="80">
        <v>0</v>
      </c>
      <c r="P9" s="80">
        <v>14019</v>
      </c>
      <c r="Q9" s="80">
        <v>0</v>
      </c>
      <c r="R9" s="80">
        <v>14020</v>
      </c>
      <c r="S9" s="80">
        <v>0</v>
      </c>
      <c r="T9" s="80">
        <v>14021</v>
      </c>
      <c r="U9" s="80">
        <v>0</v>
      </c>
      <c r="V9" s="80">
        <v>14022</v>
      </c>
      <c r="W9" s="80">
        <v>0</v>
      </c>
      <c r="X9" s="80">
        <v>14023</v>
      </c>
      <c r="Y9" s="80">
        <v>0</v>
      </c>
      <c r="Z9" s="80">
        <v>14024</v>
      </c>
      <c r="AA9" s="80">
        <v>0</v>
      </c>
      <c r="AB9" s="80">
        <v>14025</v>
      </c>
      <c r="AC9" s="80">
        <v>0</v>
      </c>
    </row>
    <row r="10" ht="23.1" customHeight="1" spans="1:29">
      <c r="A10" s="80">
        <v>7</v>
      </c>
      <c r="B10" s="80">
        <v>14007</v>
      </c>
      <c r="C10" s="80">
        <v>2</v>
      </c>
      <c r="D10" s="80">
        <v>14009</v>
      </c>
      <c r="E10" s="80">
        <v>2</v>
      </c>
      <c r="F10" s="80">
        <v>14011</v>
      </c>
      <c r="G10" s="80">
        <v>30</v>
      </c>
      <c r="H10" s="80">
        <v>14013</v>
      </c>
      <c r="I10" s="80">
        <v>60</v>
      </c>
      <c r="J10" s="80">
        <v>14015</v>
      </c>
      <c r="K10" s="80">
        <v>0</v>
      </c>
      <c r="L10" s="80">
        <v>14016</v>
      </c>
      <c r="M10" s="80">
        <v>0</v>
      </c>
      <c r="N10" s="80">
        <v>14017</v>
      </c>
      <c r="O10" s="80">
        <v>0</v>
      </c>
      <c r="P10" s="80">
        <v>14019</v>
      </c>
      <c r="Q10" s="80">
        <v>0</v>
      </c>
      <c r="R10" s="80">
        <v>14020</v>
      </c>
      <c r="S10" s="80">
        <v>0</v>
      </c>
      <c r="T10" s="80">
        <v>14021</v>
      </c>
      <c r="U10" s="80">
        <v>0</v>
      </c>
      <c r="V10" s="80">
        <v>14022</v>
      </c>
      <c r="W10" s="80">
        <v>0</v>
      </c>
      <c r="X10" s="80">
        <v>14023</v>
      </c>
      <c r="Y10" s="80">
        <v>0</v>
      </c>
      <c r="Z10" s="80">
        <v>14024</v>
      </c>
      <c r="AA10" s="80">
        <v>0</v>
      </c>
      <c r="AB10" s="80">
        <v>14025</v>
      </c>
      <c r="AC10" s="80">
        <v>0</v>
      </c>
    </row>
    <row r="11" ht="23.1" customHeight="1" spans="1:29">
      <c r="A11" s="80">
        <v>8</v>
      </c>
      <c r="B11" s="80">
        <v>14007</v>
      </c>
      <c r="C11" s="80">
        <v>2</v>
      </c>
      <c r="D11" s="80">
        <v>14009</v>
      </c>
      <c r="E11" s="80">
        <v>2</v>
      </c>
      <c r="F11" s="80">
        <v>14011</v>
      </c>
      <c r="G11" s="80">
        <v>20</v>
      </c>
      <c r="H11" s="80">
        <v>14013</v>
      </c>
      <c r="I11" s="80">
        <v>120</v>
      </c>
      <c r="J11" s="80">
        <v>14015</v>
      </c>
      <c r="K11" s="80">
        <v>0</v>
      </c>
      <c r="L11" s="80">
        <v>14016</v>
      </c>
      <c r="M11" s="80">
        <v>0</v>
      </c>
      <c r="N11" s="80">
        <v>14017</v>
      </c>
      <c r="O11" s="80">
        <v>0</v>
      </c>
      <c r="P11" s="80">
        <v>14019</v>
      </c>
      <c r="Q11" s="80">
        <v>0</v>
      </c>
      <c r="R11" s="80">
        <v>14020</v>
      </c>
      <c r="S11" s="80">
        <v>0</v>
      </c>
      <c r="T11" s="80">
        <v>14021</v>
      </c>
      <c r="U11" s="80">
        <v>0</v>
      </c>
      <c r="V11" s="80">
        <v>14022</v>
      </c>
      <c r="W11" s="80">
        <v>0</v>
      </c>
      <c r="X11" s="80">
        <v>14023</v>
      </c>
      <c r="Y11" s="80">
        <v>0</v>
      </c>
      <c r="Z11" s="80">
        <v>14024</v>
      </c>
      <c r="AA11" s="80">
        <v>0</v>
      </c>
      <c r="AB11" s="80">
        <v>14025</v>
      </c>
      <c r="AC11" s="80">
        <v>0</v>
      </c>
    </row>
    <row r="12" ht="23.1" customHeight="1" spans="1:32">
      <c r="A12" s="80">
        <v>9</v>
      </c>
      <c r="B12" s="80">
        <v>14007</v>
      </c>
      <c r="C12" s="80">
        <v>2</v>
      </c>
      <c r="D12" s="80">
        <v>14009</v>
      </c>
      <c r="E12" s="80">
        <v>2</v>
      </c>
      <c r="F12" s="80">
        <v>14011</v>
      </c>
      <c r="G12" s="80">
        <v>10</v>
      </c>
      <c r="H12" s="80">
        <v>14013</v>
      </c>
      <c r="I12" s="80">
        <v>240</v>
      </c>
      <c r="J12" s="80">
        <v>14015</v>
      </c>
      <c r="K12" s="80">
        <v>0</v>
      </c>
      <c r="L12" s="80">
        <v>14016</v>
      </c>
      <c r="M12" s="80">
        <v>0</v>
      </c>
      <c r="N12" s="80">
        <v>14017</v>
      </c>
      <c r="O12" s="80">
        <v>0</v>
      </c>
      <c r="P12" s="80">
        <v>14019</v>
      </c>
      <c r="Q12" s="80">
        <v>0</v>
      </c>
      <c r="R12" s="80">
        <v>14020</v>
      </c>
      <c r="S12" s="80">
        <v>0</v>
      </c>
      <c r="T12" s="80">
        <v>14021</v>
      </c>
      <c r="U12" s="80">
        <v>0</v>
      </c>
      <c r="V12" s="80">
        <v>14022</v>
      </c>
      <c r="W12" s="80">
        <v>0</v>
      </c>
      <c r="X12" s="80">
        <v>14023</v>
      </c>
      <c r="Y12" s="80">
        <v>0</v>
      </c>
      <c r="Z12" s="80">
        <v>14024</v>
      </c>
      <c r="AA12" s="80">
        <v>0</v>
      </c>
      <c r="AB12" s="80">
        <v>14025</v>
      </c>
      <c r="AC12" s="80">
        <v>0</v>
      </c>
      <c r="AF12" s="204"/>
    </row>
    <row r="13" ht="23.1" customHeight="1" spans="1:29">
      <c r="A13" s="80">
        <v>10</v>
      </c>
      <c r="B13" s="80">
        <v>14007</v>
      </c>
      <c r="C13" s="80">
        <v>0</v>
      </c>
      <c r="D13" s="80">
        <v>14009</v>
      </c>
      <c r="E13" s="80">
        <v>2</v>
      </c>
      <c r="F13" s="80">
        <v>14011</v>
      </c>
      <c r="G13" s="80">
        <v>10</v>
      </c>
      <c r="H13" s="80">
        <v>14013</v>
      </c>
      <c r="I13" s="80">
        <v>80</v>
      </c>
      <c r="J13" s="80">
        <v>14015</v>
      </c>
      <c r="K13" s="80">
        <v>60</v>
      </c>
      <c r="L13" s="80">
        <v>14016</v>
      </c>
      <c r="M13" s="80">
        <v>50</v>
      </c>
      <c r="N13" s="80">
        <v>14017</v>
      </c>
      <c r="O13" s="80">
        <v>40</v>
      </c>
      <c r="P13" s="80">
        <v>14019</v>
      </c>
      <c r="Q13" s="80">
        <v>0</v>
      </c>
      <c r="R13" s="80">
        <v>14020</v>
      </c>
      <c r="S13" s="80">
        <v>0</v>
      </c>
      <c r="T13" s="80">
        <v>14021</v>
      </c>
      <c r="U13" s="80">
        <v>0</v>
      </c>
      <c r="V13" s="80">
        <v>14022</v>
      </c>
      <c r="W13" s="80">
        <v>0</v>
      </c>
      <c r="X13" s="80">
        <v>14023</v>
      </c>
      <c r="Y13" s="80">
        <v>0</v>
      </c>
      <c r="Z13" s="80">
        <v>14024</v>
      </c>
      <c r="AA13" s="80">
        <v>0</v>
      </c>
      <c r="AB13" s="80">
        <v>14025</v>
      </c>
      <c r="AC13" s="80">
        <v>0</v>
      </c>
    </row>
    <row r="14" ht="23.1" customHeight="1" spans="1:29">
      <c r="A14" s="80">
        <v>11</v>
      </c>
      <c r="B14" s="80">
        <v>14007</v>
      </c>
      <c r="C14" s="80">
        <v>0</v>
      </c>
      <c r="D14" s="80">
        <v>14009</v>
      </c>
      <c r="E14" s="80">
        <v>2</v>
      </c>
      <c r="F14" s="80">
        <v>14011</v>
      </c>
      <c r="G14" s="80">
        <v>10</v>
      </c>
      <c r="H14" s="80">
        <v>14013</v>
      </c>
      <c r="I14" s="80">
        <v>60</v>
      </c>
      <c r="J14" s="80">
        <v>14015</v>
      </c>
      <c r="K14" s="80">
        <v>60</v>
      </c>
      <c r="L14" s="80">
        <v>14016</v>
      </c>
      <c r="M14" s="80">
        <v>60</v>
      </c>
      <c r="N14" s="80">
        <v>14017</v>
      </c>
      <c r="O14" s="80">
        <v>50</v>
      </c>
      <c r="P14" s="80">
        <v>14019</v>
      </c>
      <c r="Q14" s="80">
        <v>0</v>
      </c>
      <c r="R14" s="80">
        <v>14020</v>
      </c>
      <c r="S14" s="80">
        <v>0</v>
      </c>
      <c r="T14" s="80">
        <v>14021</v>
      </c>
      <c r="U14" s="80">
        <v>0</v>
      </c>
      <c r="V14" s="80">
        <v>14022</v>
      </c>
      <c r="W14" s="80">
        <v>0</v>
      </c>
      <c r="X14" s="80">
        <v>14023</v>
      </c>
      <c r="Y14" s="80">
        <v>0</v>
      </c>
      <c r="Z14" s="80">
        <v>14024</v>
      </c>
      <c r="AA14" s="80">
        <v>0</v>
      </c>
      <c r="AB14" s="80">
        <v>14025</v>
      </c>
      <c r="AC14" s="80">
        <v>0</v>
      </c>
    </row>
    <row r="15" ht="23.1" customHeight="1" spans="1:29">
      <c r="A15" s="80">
        <v>12</v>
      </c>
      <c r="B15" s="80">
        <v>14007</v>
      </c>
      <c r="C15" s="80">
        <v>0</v>
      </c>
      <c r="D15" s="80">
        <v>14009</v>
      </c>
      <c r="E15" s="80">
        <v>2</v>
      </c>
      <c r="F15" s="80">
        <v>14011</v>
      </c>
      <c r="G15" s="80">
        <v>10</v>
      </c>
      <c r="H15" s="80">
        <v>14013</v>
      </c>
      <c r="I15" s="80">
        <v>40</v>
      </c>
      <c r="J15" s="80">
        <v>14015</v>
      </c>
      <c r="K15" s="80">
        <v>60</v>
      </c>
      <c r="L15" s="80">
        <v>14016</v>
      </c>
      <c r="M15" s="80">
        <v>70</v>
      </c>
      <c r="N15" s="80">
        <v>14017</v>
      </c>
      <c r="O15" s="80">
        <v>50</v>
      </c>
      <c r="P15" s="80">
        <v>14019</v>
      </c>
      <c r="Q15" s="80">
        <v>0</v>
      </c>
      <c r="R15" s="80">
        <v>14020</v>
      </c>
      <c r="S15" s="80">
        <v>0</v>
      </c>
      <c r="T15" s="80">
        <v>14021</v>
      </c>
      <c r="U15" s="80">
        <v>0</v>
      </c>
      <c r="V15" s="80">
        <v>14022</v>
      </c>
      <c r="W15" s="80">
        <v>0</v>
      </c>
      <c r="X15" s="80">
        <v>14023</v>
      </c>
      <c r="Y15" s="80">
        <v>0</v>
      </c>
      <c r="Z15" s="80">
        <v>14024</v>
      </c>
      <c r="AA15" s="80">
        <v>0</v>
      </c>
      <c r="AB15" s="80">
        <v>14025</v>
      </c>
      <c r="AC15" s="80">
        <v>0</v>
      </c>
    </row>
    <row r="16" ht="23.1" customHeight="1" spans="1:29">
      <c r="A16" s="80">
        <v>13</v>
      </c>
      <c r="B16" s="80">
        <v>14007</v>
      </c>
      <c r="C16" s="80">
        <v>0</v>
      </c>
      <c r="D16" s="80">
        <v>14009</v>
      </c>
      <c r="E16" s="80">
        <v>0</v>
      </c>
      <c r="F16" s="80">
        <v>14011</v>
      </c>
      <c r="G16" s="80">
        <v>10</v>
      </c>
      <c r="H16" s="80">
        <v>14013</v>
      </c>
      <c r="I16" s="80">
        <v>40</v>
      </c>
      <c r="J16" s="80">
        <v>14015</v>
      </c>
      <c r="K16" s="80">
        <v>50</v>
      </c>
      <c r="L16" s="80">
        <v>14016</v>
      </c>
      <c r="M16" s="80">
        <v>70</v>
      </c>
      <c r="N16" s="80">
        <v>14017</v>
      </c>
      <c r="O16" s="80">
        <v>60</v>
      </c>
      <c r="P16" s="80">
        <v>14019</v>
      </c>
      <c r="Q16" s="80">
        <v>0</v>
      </c>
      <c r="R16" s="80">
        <v>14020</v>
      </c>
      <c r="S16" s="80">
        <v>0</v>
      </c>
      <c r="T16" s="80">
        <v>14021</v>
      </c>
      <c r="U16" s="80">
        <v>0</v>
      </c>
      <c r="V16" s="80">
        <v>14022</v>
      </c>
      <c r="W16" s="80">
        <v>0</v>
      </c>
      <c r="X16" s="80">
        <v>14023</v>
      </c>
      <c r="Y16" s="80">
        <v>0</v>
      </c>
      <c r="Z16" s="80">
        <v>14024</v>
      </c>
      <c r="AA16" s="80">
        <v>0</v>
      </c>
      <c r="AB16" s="80">
        <v>14025</v>
      </c>
      <c r="AC16" s="80">
        <v>0</v>
      </c>
    </row>
    <row r="17" ht="23.1" customHeight="1" spans="1:29">
      <c r="A17" s="80">
        <v>14</v>
      </c>
      <c r="B17" s="80">
        <v>14007</v>
      </c>
      <c r="C17" s="80">
        <v>0</v>
      </c>
      <c r="D17" s="80">
        <v>14009</v>
      </c>
      <c r="E17" s="80">
        <v>0</v>
      </c>
      <c r="F17" s="80">
        <v>14011</v>
      </c>
      <c r="G17" s="80">
        <v>10</v>
      </c>
      <c r="H17" s="80">
        <v>14013</v>
      </c>
      <c r="I17" s="80">
        <v>20</v>
      </c>
      <c r="J17" s="80">
        <v>14015</v>
      </c>
      <c r="K17" s="80">
        <v>40</v>
      </c>
      <c r="L17" s="80">
        <v>14016</v>
      </c>
      <c r="M17" s="80">
        <v>50</v>
      </c>
      <c r="N17" s="80">
        <v>14017</v>
      </c>
      <c r="O17" s="80">
        <v>60</v>
      </c>
      <c r="P17" s="80">
        <v>14019</v>
      </c>
      <c r="Q17" s="80">
        <v>0</v>
      </c>
      <c r="R17" s="80">
        <v>14020</v>
      </c>
      <c r="S17" s="80">
        <v>0</v>
      </c>
      <c r="T17" s="80">
        <v>14021</v>
      </c>
      <c r="U17" s="80">
        <v>0</v>
      </c>
      <c r="V17" s="80">
        <v>14022</v>
      </c>
      <c r="W17" s="80">
        <v>0</v>
      </c>
      <c r="X17" s="80">
        <v>14023</v>
      </c>
      <c r="Y17" s="80">
        <v>0</v>
      </c>
      <c r="Z17" s="80">
        <v>14024</v>
      </c>
      <c r="AA17" s="80">
        <v>0</v>
      </c>
      <c r="AB17" s="80">
        <v>14025</v>
      </c>
      <c r="AC17" s="80">
        <v>0</v>
      </c>
    </row>
    <row r="18" ht="23.1" customHeight="1" spans="1:29">
      <c r="A18" s="80">
        <v>15</v>
      </c>
      <c r="B18" s="80">
        <v>14007</v>
      </c>
      <c r="C18" s="80">
        <v>0</v>
      </c>
      <c r="D18" s="80">
        <v>14009</v>
      </c>
      <c r="E18" s="80">
        <v>0</v>
      </c>
      <c r="F18" s="80">
        <v>14011</v>
      </c>
      <c r="G18" s="80">
        <v>6</v>
      </c>
      <c r="H18" s="80">
        <v>14013</v>
      </c>
      <c r="I18" s="80">
        <v>10</v>
      </c>
      <c r="J18" s="80">
        <v>14015</v>
      </c>
      <c r="K18" s="80">
        <v>40</v>
      </c>
      <c r="L18" s="80">
        <v>14016</v>
      </c>
      <c r="M18" s="80">
        <v>50</v>
      </c>
      <c r="N18" s="80">
        <v>14017</v>
      </c>
      <c r="O18" s="80">
        <v>90</v>
      </c>
      <c r="P18" s="80">
        <v>14019</v>
      </c>
      <c r="Q18" s="80">
        <v>22</v>
      </c>
      <c r="R18" s="80">
        <v>14020</v>
      </c>
      <c r="S18" s="80">
        <v>20</v>
      </c>
      <c r="T18" s="80">
        <v>14021</v>
      </c>
      <c r="U18" s="80">
        <v>16</v>
      </c>
      <c r="V18" s="80">
        <v>14022</v>
      </c>
      <c r="W18" s="80">
        <v>12</v>
      </c>
      <c r="X18" s="80">
        <v>14023</v>
      </c>
      <c r="Y18" s="80">
        <v>5</v>
      </c>
      <c r="Z18" s="80">
        <v>14024</v>
      </c>
      <c r="AA18" s="80">
        <v>2</v>
      </c>
      <c r="AB18" s="80">
        <v>14025</v>
      </c>
      <c r="AC18" s="80">
        <v>1</v>
      </c>
    </row>
    <row r="19" ht="23.1" customHeight="1" spans="1:29">
      <c r="A19" s="80">
        <v>16</v>
      </c>
      <c r="B19" s="80">
        <v>14007</v>
      </c>
      <c r="C19" s="80">
        <v>0</v>
      </c>
      <c r="D19" s="80">
        <v>14009</v>
      </c>
      <c r="E19" s="80">
        <v>0</v>
      </c>
      <c r="F19" s="80">
        <v>14011</v>
      </c>
      <c r="G19" s="80">
        <v>6</v>
      </c>
      <c r="H19" s="80">
        <v>14013</v>
      </c>
      <c r="I19" s="80">
        <v>8</v>
      </c>
      <c r="J19" s="80">
        <v>14015</v>
      </c>
      <c r="K19" s="80">
        <v>10</v>
      </c>
      <c r="L19" s="80">
        <v>14016</v>
      </c>
      <c r="M19" s="80">
        <v>30</v>
      </c>
      <c r="N19" s="80">
        <v>14017</v>
      </c>
      <c r="O19" s="80">
        <v>70</v>
      </c>
      <c r="P19" s="80">
        <v>14019</v>
      </c>
      <c r="Q19" s="80">
        <v>24</v>
      </c>
      <c r="R19" s="80">
        <v>14020</v>
      </c>
      <c r="S19" s="80">
        <v>20</v>
      </c>
      <c r="T19" s="80">
        <v>14021</v>
      </c>
      <c r="U19" s="80">
        <v>16</v>
      </c>
      <c r="V19" s="80">
        <v>14022</v>
      </c>
      <c r="W19" s="80">
        <v>12</v>
      </c>
      <c r="X19" s="80">
        <v>14023</v>
      </c>
      <c r="Y19" s="80">
        <v>5</v>
      </c>
      <c r="Z19" s="80">
        <v>14024</v>
      </c>
      <c r="AA19" s="80">
        <v>4</v>
      </c>
      <c r="AB19" s="80">
        <v>14025</v>
      </c>
      <c r="AC19" s="80">
        <v>1</v>
      </c>
    </row>
    <row r="20" ht="23.1" customHeight="1" spans="1:29">
      <c r="A20" s="80">
        <v>17</v>
      </c>
      <c r="B20" s="80">
        <v>14007</v>
      </c>
      <c r="C20" s="80">
        <v>0</v>
      </c>
      <c r="D20" s="80">
        <v>14009</v>
      </c>
      <c r="E20" s="80">
        <v>0</v>
      </c>
      <c r="F20" s="80">
        <v>14011</v>
      </c>
      <c r="G20" s="80">
        <v>6</v>
      </c>
      <c r="H20" s="80">
        <v>14013</v>
      </c>
      <c r="I20" s="80">
        <v>8</v>
      </c>
      <c r="J20" s="80">
        <v>14015</v>
      </c>
      <c r="K20" s="80">
        <v>10</v>
      </c>
      <c r="L20" s="80">
        <v>14016</v>
      </c>
      <c r="M20" s="80">
        <v>20</v>
      </c>
      <c r="N20" s="80">
        <v>14017</v>
      </c>
      <c r="O20" s="80">
        <v>60</v>
      </c>
      <c r="P20" s="80">
        <v>14019</v>
      </c>
      <c r="Q20" s="80">
        <v>26</v>
      </c>
      <c r="R20" s="80">
        <v>14020</v>
      </c>
      <c r="S20" s="80">
        <v>22</v>
      </c>
      <c r="T20" s="80">
        <v>14021</v>
      </c>
      <c r="U20" s="80">
        <v>18</v>
      </c>
      <c r="V20" s="80">
        <v>14022</v>
      </c>
      <c r="W20" s="80">
        <v>16</v>
      </c>
      <c r="X20" s="80">
        <v>14023</v>
      </c>
      <c r="Y20" s="80">
        <v>10</v>
      </c>
      <c r="Z20" s="80">
        <v>14024</v>
      </c>
      <c r="AA20" s="80">
        <v>5</v>
      </c>
      <c r="AB20" s="80">
        <v>14025</v>
      </c>
      <c r="AC20" s="80">
        <v>1</v>
      </c>
    </row>
    <row r="21" ht="23.1" customHeight="1" spans="1:29">
      <c r="A21" s="80">
        <v>18</v>
      </c>
      <c r="B21" s="80">
        <v>14007</v>
      </c>
      <c r="C21" s="80">
        <v>0</v>
      </c>
      <c r="D21" s="80">
        <v>14009</v>
      </c>
      <c r="E21" s="80">
        <v>0</v>
      </c>
      <c r="F21" s="80">
        <v>14011</v>
      </c>
      <c r="G21" s="80">
        <v>4</v>
      </c>
      <c r="H21" s="80">
        <v>14013</v>
      </c>
      <c r="I21" s="80">
        <v>6</v>
      </c>
      <c r="J21" s="80">
        <v>14015</v>
      </c>
      <c r="K21" s="80">
        <v>10</v>
      </c>
      <c r="L21" s="80">
        <v>14016</v>
      </c>
      <c r="M21" s="80">
        <v>10</v>
      </c>
      <c r="N21" s="80">
        <v>14017</v>
      </c>
      <c r="O21" s="80">
        <v>50</v>
      </c>
      <c r="P21" s="80">
        <v>14019</v>
      </c>
      <c r="Q21" s="80">
        <v>30</v>
      </c>
      <c r="R21" s="80">
        <v>14020</v>
      </c>
      <c r="S21" s="80">
        <v>24</v>
      </c>
      <c r="T21" s="80">
        <v>14021</v>
      </c>
      <c r="U21" s="80">
        <v>20</v>
      </c>
      <c r="V21" s="80">
        <v>14022</v>
      </c>
      <c r="W21" s="80">
        <v>18</v>
      </c>
      <c r="X21" s="80">
        <v>14023</v>
      </c>
      <c r="Y21" s="80">
        <v>12</v>
      </c>
      <c r="Z21" s="80">
        <v>14024</v>
      </c>
      <c r="AA21" s="80">
        <v>6</v>
      </c>
      <c r="AB21" s="80">
        <v>14025</v>
      </c>
      <c r="AC21" s="80">
        <v>2</v>
      </c>
    </row>
    <row r="22" ht="23.1" customHeight="1" spans="1:29">
      <c r="A22" s="80">
        <v>19</v>
      </c>
      <c r="B22" s="80">
        <v>14007</v>
      </c>
      <c r="C22" s="80">
        <v>0</v>
      </c>
      <c r="D22" s="80">
        <v>14009</v>
      </c>
      <c r="E22" s="80">
        <v>0</v>
      </c>
      <c r="F22" s="80">
        <v>14011</v>
      </c>
      <c r="G22" s="80">
        <v>2</v>
      </c>
      <c r="H22" s="80">
        <v>14013</v>
      </c>
      <c r="I22" s="80">
        <v>4</v>
      </c>
      <c r="J22" s="80">
        <v>14015</v>
      </c>
      <c r="K22" s="80">
        <v>8</v>
      </c>
      <c r="L22" s="80">
        <v>14016</v>
      </c>
      <c r="M22" s="80">
        <v>10</v>
      </c>
      <c r="N22" s="80">
        <v>14017</v>
      </c>
      <c r="O22" s="80">
        <v>40</v>
      </c>
      <c r="P22" s="80">
        <v>14019</v>
      </c>
      <c r="Q22" s="80">
        <v>35</v>
      </c>
      <c r="R22" s="80">
        <v>14020</v>
      </c>
      <c r="S22" s="80">
        <v>26</v>
      </c>
      <c r="T22" s="80">
        <v>14021</v>
      </c>
      <c r="U22" s="80">
        <v>22</v>
      </c>
      <c r="V22" s="80">
        <v>14022</v>
      </c>
      <c r="W22" s="80">
        <v>20</v>
      </c>
      <c r="X22" s="80">
        <v>14023</v>
      </c>
      <c r="Y22" s="80">
        <v>16</v>
      </c>
      <c r="Z22" s="80">
        <v>14024</v>
      </c>
      <c r="AA22" s="80">
        <v>8</v>
      </c>
      <c r="AB22" s="80">
        <v>14025</v>
      </c>
      <c r="AC22" s="80">
        <v>3</v>
      </c>
    </row>
    <row r="23" ht="23.1" customHeight="1" spans="1:29">
      <c r="A23" s="80">
        <v>20</v>
      </c>
      <c r="B23" s="80">
        <v>14007</v>
      </c>
      <c r="C23" s="80">
        <v>0</v>
      </c>
      <c r="D23" s="80">
        <v>14009</v>
      </c>
      <c r="E23" s="80">
        <v>0</v>
      </c>
      <c r="F23" s="80">
        <v>14011</v>
      </c>
      <c r="G23" s="80">
        <v>0</v>
      </c>
      <c r="H23" s="80">
        <v>14013</v>
      </c>
      <c r="I23" s="80">
        <v>4</v>
      </c>
      <c r="J23" s="80">
        <v>14015</v>
      </c>
      <c r="K23" s="80">
        <v>6</v>
      </c>
      <c r="L23" s="80">
        <v>14016</v>
      </c>
      <c r="M23" s="80">
        <v>4</v>
      </c>
      <c r="N23" s="80">
        <v>14017</v>
      </c>
      <c r="O23" s="80">
        <v>10</v>
      </c>
      <c r="P23" s="80">
        <v>14019</v>
      </c>
      <c r="Q23" s="80">
        <v>50</v>
      </c>
      <c r="R23" s="80">
        <v>14020</v>
      </c>
      <c r="S23" s="80">
        <v>28</v>
      </c>
      <c r="T23" s="80">
        <v>14021</v>
      </c>
      <c r="U23" s="80">
        <v>24</v>
      </c>
      <c r="V23" s="80">
        <v>14022</v>
      </c>
      <c r="W23" s="80">
        <v>18</v>
      </c>
      <c r="X23" s="80">
        <v>14023</v>
      </c>
      <c r="Y23" s="80">
        <v>18</v>
      </c>
      <c r="Z23" s="80">
        <v>14024</v>
      </c>
      <c r="AA23" s="80">
        <v>10</v>
      </c>
      <c r="AB23" s="80">
        <v>14025</v>
      </c>
      <c r="AC23" s="80">
        <v>4</v>
      </c>
    </row>
    <row r="24" ht="23.1" customHeight="1" spans="1:29">
      <c r="A24" s="80">
        <v>21</v>
      </c>
      <c r="B24" s="80">
        <v>14007</v>
      </c>
      <c r="C24" s="80">
        <v>0</v>
      </c>
      <c r="D24" s="80">
        <v>14009</v>
      </c>
      <c r="E24" s="80">
        <v>0</v>
      </c>
      <c r="F24" s="80">
        <v>14011</v>
      </c>
      <c r="G24" s="80">
        <v>0</v>
      </c>
      <c r="H24" s="80">
        <v>14013</v>
      </c>
      <c r="I24" s="80">
        <v>4</v>
      </c>
      <c r="J24" s="80">
        <v>14015</v>
      </c>
      <c r="K24" s="80">
        <v>8</v>
      </c>
      <c r="L24" s="80">
        <v>14016</v>
      </c>
      <c r="M24" s="80">
        <v>4</v>
      </c>
      <c r="N24" s="80">
        <v>14017</v>
      </c>
      <c r="O24" s="80">
        <v>10</v>
      </c>
      <c r="P24" s="80">
        <v>14019</v>
      </c>
      <c r="Q24" s="80">
        <v>30</v>
      </c>
      <c r="R24" s="80">
        <v>14020</v>
      </c>
      <c r="S24" s="80">
        <v>28</v>
      </c>
      <c r="T24" s="80">
        <v>14021</v>
      </c>
      <c r="U24" s="80">
        <v>26</v>
      </c>
      <c r="V24" s="80">
        <v>14022</v>
      </c>
      <c r="W24" s="80">
        <v>20</v>
      </c>
      <c r="X24" s="80">
        <v>14023</v>
      </c>
      <c r="Y24" s="80">
        <v>20</v>
      </c>
      <c r="Z24" s="80">
        <v>14024</v>
      </c>
      <c r="AA24" s="80">
        <v>12</v>
      </c>
      <c r="AB24" s="80">
        <v>14025</v>
      </c>
      <c r="AC24" s="80">
        <v>6</v>
      </c>
    </row>
    <row r="25" ht="23.1" customHeight="1" spans="1:29">
      <c r="A25" s="80">
        <v>22</v>
      </c>
      <c r="B25" s="80">
        <v>14007</v>
      </c>
      <c r="C25" s="80">
        <v>0</v>
      </c>
      <c r="D25" s="80">
        <v>14009</v>
      </c>
      <c r="E25" s="80">
        <v>0</v>
      </c>
      <c r="F25" s="80">
        <v>14011</v>
      </c>
      <c r="G25" s="80">
        <v>0</v>
      </c>
      <c r="H25" s="80">
        <v>14013</v>
      </c>
      <c r="I25" s="80">
        <v>2</v>
      </c>
      <c r="J25" s="80">
        <v>14015</v>
      </c>
      <c r="K25" s="80">
        <v>8</v>
      </c>
      <c r="L25" s="80">
        <v>14016</v>
      </c>
      <c r="M25" s="80">
        <v>4</v>
      </c>
      <c r="N25" s="80">
        <v>14017</v>
      </c>
      <c r="O25" s="80">
        <v>10</v>
      </c>
      <c r="P25" s="80">
        <v>14019</v>
      </c>
      <c r="Q25" s="80">
        <v>30</v>
      </c>
      <c r="R25" s="80">
        <v>14020</v>
      </c>
      <c r="S25" s="80">
        <v>28</v>
      </c>
      <c r="T25" s="80">
        <v>14021</v>
      </c>
      <c r="U25" s="80">
        <v>28</v>
      </c>
      <c r="V25" s="80">
        <v>14022</v>
      </c>
      <c r="W25" s="80">
        <v>28</v>
      </c>
      <c r="X25" s="80">
        <v>14023</v>
      </c>
      <c r="Y25" s="80">
        <v>24</v>
      </c>
      <c r="Z25" s="80">
        <v>14024</v>
      </c>
      <c r="AA25" s="80">
        <v>25</v>
      </c>
      <c r="AB25" s="80">
        <v>14025</v>
      </c>
      <c r="AC25" s="80">
        <v>10</v>
      </c>
    </row>
    <row r="26" ht="23.1" customHeight="1" spans="1:29">
      <c r="A26" s="80">
        <v>23</v>
      </c>
      <c r="B26" s="80">
        <v>14007</v>
      </c>
      <c r="C26" s="80">
        <v>0</v>
      </c>
      <c r="D26" s="80">
        <v>14009</v>
      </c>
      <c r="E26" s="80">
        <v>0</v>
      </c>
      <c r="F26" s="80">
        <v>14011</v>
      </c>
      <c r="G26" s="80">
        <v>0</v>
      </c>
      <c r="H26" s="80">
        <v>14013</v>
      </c>
      <c r="I26" s="80">
        <v>2</v>
      </c>
      <c r="J26" s="80">
        <v>14015</v>
      </c>
      <c r="K26" s="80">
        <v>8</v>
      </c>
      <c r="L26" s="80">
        <v>14016</v>
      </c>
      <c r="M26" s="80">
        <v>4</v>
      </c>
      <c r="N26" s="80">
        <v>14017</v>
      </c>
      <c r="O26" s="80">
        <v>8</v>
      </c>
      <c r="P26" s="80">
        <v>14019</v>
      </c>
      <c r="Q26" s="80">
        <v>25</v>
      </c>
      <c r="R26" s="80">
        <v>14020</v>
      </c>
      <c r="S26" s="80">
        <v>28</v>
      </c>
      <c r="T26" s="80">
        <v>14021</v>
      </c>
      <c r="U26" s="80">
        <v>24</v>
      </c>
      <c r="V26" s="80">
        <v>14022</v>
      </c>
      <c r="W26" s="80">
        <v>28</v>
      </c>
      <c r="X26" s="80">
        <v>14023</v>
      </c>
      <c r="Y26" s="80">
        <v>30</v>
      </c>
      <c r="Z26" s="80">
        <v>14024</v>
      </c>
      <c r="AA26" s="80">
        <v>30</v>
      </c>
      <c r="AB26" s="80">
        <v>14025</v>
      </c>
      <c r="AC26" s="80">
        <v>12</v>
      </c>
    </row>
    <row r="27" ht="23.1" customHeight="1" spans="1:29">
      <c r="A27" s="80">
        <v>24</v>
      </c>
      <c r="B27" s="80">
        <v>14007</v>
      </c>
      <c r="C27" s="80">
        <v>0</v>
      </c>
      <c r="D27" s="80">
        <v>14009</v>
      </c>
      <c r="E27" s="80">
        <v>0</v>
      </c>
      <c r="F27" s="80">
        <v>14011</v>
      </c>
      <c r="G27" s="80">
        <v>0</v>
      </c>
      <c r="H27" s="80">
        <v>14013</v>
      </c>
      <c r="I27" s="80">
        <v>0</v>
      </c>
      <c r="J27" s="80">
        <v>14015</v>
      </c>
      <c r="K27" s="80">
        <v>6</v>
      </c>
      <c r="L27" s="80">
        <v>14016</v>
      </c>
      <c r="M27" s="80">
        <v>6</v>
      </c>
      <c r="N27" s="80">
        <v>14017</v>
      </c>
      <c r="O27" s="80">
        <v>6</v>
      </c>
      <c r="P27" s="80">
        <v>14019</v>
      </c>
      <c r="Q27" s="80">
        <v>20</v>
      </c>
      <c r="R27" s="80">
        <v>14020</v>
      </c>
      <c r="S27" s="80">
        <v>24</v>
      </c>
      <c r="T27" s="80">
        <v>14021</v>
      </c>
      <c r="U27" s="80">
        <v>24</v>
      </c>
      <c r="V27" s="80">
        <v>14022</v>
      </c>
      <c r="W27" s="80">
        <v>26</v>
      </c>
      <c r="X27" s="80">
        <v>14023</v>
      </c>
      <c r="Y27" s="80">
        <v>40</v>
      </c>
      <c r="Z27" s="80">
        <v>14024</v>
      </c>
      <c r="AA27" s="80">
        <v>40</v>
      </c>
      <c r="AB27" s="80">
        <v>14025</v>
      </c>
      <c r="AC27" s="80">
        <v>14</v>
      </c>
    </row>
    <row r="28" ht="23.1" customHeight="1" spans="1:29">
      <c r="A28" s="80">
        <v>25</v>
      </c>
      <c r="B28" s="80">
        <v>14007</v>
      </c>
      <c r="C28" s="80">
        <v>0</v>
      </c>
      <c r="D28" s="80">
        <v>14009</v>
      </c>
      <c r="E28" s="80">
        <v>0</v>
      </c>
      <c r="F28" s="80">
        <v>14011</v>
      </c>
      <c r="G28" s="80">
        <v>0</v>
      </c>
      <c r="H28" s="80">
        <v>14013</v>
      </c>
      <c r="I28" s="80">
        <v>0</v>
      </c>
      <c r="J28" s="80">
        <v>14015</v>
      </c>
      <c r="K28" s="80">
        <v>4</v>
      </c>
      <c r="L28" s="80">
        <v>14016</v>
      </c>
      <c r="M28" s="80">
        <v>4</v>
      </c>
      <c r="N28" s="80">
        <v>14017</v>
      </c>
      <c r="O28" s="80">
        <v>4</v>
      </c>
      <c r="P28" s="80">
        <v>14019</v>
      </c>
      <c r="Q28" s="80">
        <v>10</v>
      </c>
      <c r="R28" s="80">
        <v>14020</v>
      </c>
      <c r="S28" s="80">
        <v>18</v>
      </c>
      <c r="T28" s="80">
        <v>14021</v>
      </c>
      <c r="U28" s="80">
        <v>24</v>
      </c>
      <c r="V28" s="80">
        <v>14022</v>
      </c>
      <c r="W28" s="80">
        <v>30</v>
      </c>
      <c r="X28" s="80">
        <v>14023</v>
      </c>
      <c r="Y28" s="80">
        <v>60</v>
      </c>
      <c r="Z28" s="80">
        <v>14024</v>
      </c>
      <c r="AA28" s="80">
        <v>55</v>
      </c>
      <c r="AB28" s="80">
        <v>14025</v>
      </c>
      <c r="AC28" s="80">
        <v>20</v>
      </c>
    </row>
    <row r="30" ht="18" spans="1:2">
      <c r="A30" s="80" t="s">
        <v>689</v>
      </c>
      <c r="B30" s="80" t="s">
        <v>810</v>
      </c>
    </row>
    <row r="31" ht="18" spans="1:2">
      <c r="A31" s="80" t="s">
        <v>39</v>
      </c>
      <c r="B31" s="80" t="s">
        <v>39</v>
      </c>
    </row>
    <row r="32" ht="17" spans="1:2">
      <c r="A32" s="80" t="s">
        <v>811</v>
      </c>
      <c r="B32" s="203" t="s">
        <v>812</v>
      </c>
    </row>
    <row r="33" ht="31" spans="1:2">
      <c r="A33" s="113">
        <v>44104</v>
      </c>
      <c r="B33" s="64" t="s">
        <v>818</v>
      </c>
    </row>
    <row r="34" ht="107" spans="1:2">
      <c r="A34" s="113">
        <v>44101</v>
      </c>
      <c r="B34" s="64" t="s">
        <v>819</v>
      </c>
    </row>
    <row r="35" ht="61" spans="1:2">
      <c r="A35" s="113">
        <v>44102</v>
      </c>
      <c r="B35" s="64" t="s">
        <v>820</v>
      </c>
    </row>
    <row r="36" ht="122" spans="1:2">
      <c r="A36" s="113">
        <v>44103</v>
      </c>
      <c r="B36" s="160" t="s">
        <v>821</v>
      </c>
    </row>
  </sheetData>
  <pageMargins left="0.75" right="0.75" top="1" bottom="1" header="0.5" footer="0.5"/>
  <pageSetup paperSize="9" orientation="portrait"/>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13"/>
  <sheetViews>
    <sheetView workbookViewId="0">
      <selection activeCell="I27" sqref="I27"/>
    </sheetView>
  </sheetViews>
  <sheetFormatPr defaultColWidth="11.0986842105263" defaultRowHeight="15.2" outlineLevelCol="5"/>
  <sheetData>
    <row r="1" ht="23.1" customHeight="1" spans="1:6">
      <c r="A1" s="80" t="s">
        <v>822</v>
      </c>
      <c r="B1" s="80" t="s">
        <v>546</v>
      </c>
      <c r="C1" t="s">
        <v>823</v>
      </c>
      <c r="D1" s="80" t="s">
        <v>29</v>
      </c>
      <c r="E1" s="80" t="s">
        <v>824</v>
      </c>
      <c r="F1" s="80" t="s">
        <v>825</v>
      </c>
    </row>
    <row r="2" ht="23.1" customHeight="1" spans="1:6">
      <c r="A2" s="80" t="s">
        <v>39</v>
      </c>
      <c r="B2" s="80" t="s">
        <v>39</v>
      </c>
      <c r="C2" s="80" t="s">
        <v>39</v>
      </c>
      <c r="D2" s="80" t="s">
        <v>39</v>
      </c>
      <c r="E2" s="80" t="s">
        <v>39</v>
      </c>
      <c r="F2" s="80" t="s">
        <v>39</v>
      </c>
    </row>
    <row r="3" ht="23.1" customHeight="1" spans="1:6">
      <c r="A3" s="80" t="s">
        <v>790</v>
      </c>
      <c r="B3" s="80" t="s">
        <v>535</v>
      </c>
      <c r="C3" s="80" t="s">
        <v>826</v>
      </c>
      <c r="D3" s="80" t="s">
        <v>827</v>
      </c>
      <c r="E3" s="80" t="s">
        <v>828</v>
      </c>
      <c r="F3" s="80" t="s">
        <v>829</v>
      </c>
    </row>
    <row r="4" ht="23.1" customHeight="1" spans="1:6">
      <c r="A4" s="80">
        <v>1</v>
      </c>
      <c r="B4" s="80">
        <v>1</v>
      </c>
      <c r="C4" s="80">
        <v>1</v>
      </c>
      <c r="D4" s="80">
        <v>4233</v>
      </c>
      <c r="E4" s="80">
        <v>1</v>
      </c>
      <c r="F4" s="80">
        <v>1</v>
      </c>
    </row>
    <row r="5" ht="23.1" customHeight="1" spans="1:6">
      <c r="A5" s="80">
        <v>2</v>
      </c>
      <c r="B5" s="80">
        <v>6</v>
      </c>
      <c r="C5" s="80">
        <v>0</v>
      </c>
      <c r="D5" s="80">
        <v>1194</v>
      </c>
      <c r="E5" s="80">
        <v>1</v>
      </c>
      <c r="F5" s="80">
        <v>0</v>
      </c>
    </row>
    <row r="6" ht="23.1" customHeight="1" spans="1:6">
      <c r="A6" s="80">
        <v>3</v>
      </c>
      <c r="B6" s="80">
        <v>15</v>
      </c>
      <c r="C6" s="80">
        <v>0</v>
      </c>
      <c r="D6" s="80">
        <v>1137</v>
      </c>
      <c r="E6" s="80">
        <v>500</v>
      </c>
      <c r="F6" s="80">
        <v>0</v>
      </c>
    </row>
    <row r="7" ht="23.1" customHeight="1" spans="1:6">
      <c r="A7" s="80">
        <v>4</v>
      </c>
      <c r="B7" s="80">
        <v>12</v>
      </c>
      <c r="C7" s="80">
        <v>0</v>
      </c>
      <c r="D7" s="80">
        <v>101</v>
      </c>
      <c r="E7" s="80">
        <v>250000</v>
      </c>
      <c r="F7" s="80">
        <v>0</v>
      </c>
    </row>
    <row r="8" ht="23.1" customHeight="1" spans="1:6">
      <c r="A8" s="80">
        <v>5</v>
      </c>
      <c r="B8" s="80">
        <v>33</v>
      </c>
      <c r="C8" s="80">
        <v>0</v>
      </c>
      <c r="D8" s="80">
        <v>1306</v>
      </c>
      <c r="E8" s="80">
        <v>1</v>
      </c>
      <c r="F8" s="80">
        <v>0</v>
      </c>
    </row>
    <row r="9" ht="23.1" customHeight="1" spans="1:6">
      <c r="A9" s="80">
        <v>6</v>
      </c>
      <c r="B9" s="80">
        <v>10</v>
      </c>
      <c r="C9" s="80">
        <v>0</v>
      </c>
      <c r="D9" s="80">
        <v>103</v>
      </c>
      <c r="E9" s="80">
        <v>1000</v>
      </c>
      <c r="F9" s="80">
        <v>0</v>
      </c>
    </row>
    <row r="10" ht="23.1" customHeight="1" spans="1:6">
      <c r="A10" s="80">
        <v>7</v>
      </c>
      <c r="B10" s="80">
        <v>30</v>
      </c>
      <c r="C10" s="80">
        <v>0</v>
      </c>
      <c r="D10" s="80">
        <v>1193</v>
      </c>
      <c r="E10" s="80">
        <v>1</v>
      </c>
      <c r="F10" s="80">
        <v>0</v>
      </c>
    </row>
    <row r="11" ht="23.1" customHeight="1" spans="1:6">
      <c r="A11" s="80">
        <v>8</v>
      </c>
      <c r="B11" s="80">
        <v>75</v>
      </c>
      <c r="C11" s="80">
        <v>0</v>
      </c>
      <c r="D11" s="80">
        <v>1137</v>
      </c>
      <c r="E11" s="80">
        <v>100</v>
      </c>
      <c r="F11" s="80">
        <v>0</v>
      </c>
    </row>
    <row r="12" ht="23.1" customHeight="1" spans="1:6">
      <c r="A12" s="80">
        <v>9</v>
      </c>
      <c r="B12" s="80">
        <v>338</v>
      </c>
      <c r="C12" s="80">
        <v>0</v>
      </c>
      <c r="D12" s="80">
        <v>101</v>
      </c>
      <c r="E12" s="80">
        <v>6666</v>
      </c>
      <c r="F12" s="80">
        <v>0</v>
      </c>
    </row>
    <row r="13" ht="23.1" customHeight="1" spans="1:6">
      <c r="A13" s="80">
        <v>10</v>
      </c>
      <c r="B13" s="80">
        <v>230</v>
      </c>
      <c r="C13" s="80">
        <v>0</v>
      </c>
      <c r="D13" s="80">
        <v>103</v>
      </c>
      <c r="E13" s="80">
        <v>30</v>
      </c>
      <c r="F13" s="80">
        <v>0</v>
      </c>
    </row>
  </sheetData>
  <pageMargins left="0.75" right="0.75" top="1" bottom="1" header="0.5" footer="0.5"/>
  <pageSetup paperSize="9" orientation="portrait"/>
  <headerFooter/>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12"/>
  <sheetViews>
    <sheetView workbookViewId="0">
      <selection activeCell="A11" sqref="A11"/>
    </sheetView>
  </sheetViews>
  <sheetFormatPr defaultColWidth="11.0986842105263" defaultRowHeight="23.1" customHeight="1" outlineLevelCol="4"/>
  <sheetData>
    <row r="1" customHeight="1" spans="1:5">
      <c r="A1" s="80" t="s">
        <v>786</v>
      </c>
      <c r="B1" s="80" t="s">
        <v>759</v>
      </c>
      <c r="C1" s="80" t="s">
        <v>758</v>
      </c>
      <c r="D1" s="80" t="s">
        <v>830</v>
      </c>
      <c r="E1" s="80"/>
    </row>
    <row r="2" customHeight="1" spans="1:5">
      <c r="A2" s="80" t="s">
        <v>39</v>
      </c>
      <c r="B2" s="80" t="s">
        <v>39</v>
      </c>
      <c r="C2" s="80" t="s">
        <v>39</v>
      </c>
      <c r="D2" s="80" t="s">
        <v>39</v>
      </c>
      <c r="E2" s="80"/>
    </row>
    <row r="3" customHeight="1" spans="1:5">
      <c r="A3" s="80" t="s">
        <v>513</v>
      </c>
      <c r="B3" s="80" t="s">
        <v>831</v>
      </c>
      <c r="C3" s="80" t="s">
        <v>832</v>
      </c>
      <c r="D3" s="80" t="s">
        <v>833</v>
      </c>
      <c r="E3" s="80"/>
    </row>
    <row r="4" customHeight="1" spans="1:5">
      <c r="A4" s="80">
        <v>70000</v>
      </c>
      <c r="B4" s="80">
        <v>100</v>
      </c>
      <c r="C4" s="80">
        <v>100</v>
      </c>
      <c r="D4" s="80">
        <v>0</v>
      </c>
      <c r="E4" s="80">
        <v>0.7</v>
      </c>
    </row>
    <row r="5" customHeight="1" spans="1:5">
      <c r="A5" s="80">
        <v>24000</v>
      </c>
      <c r="B5" s="80">
        <v>101</v>
      </c>
      <c r="C5" s="80">
        <v>1000</v>
      </c>
      <c r="D5" s="80">
        <v>0</v>
      </c>
      <c r="E5" s="80">
        <v>0.24</v>
      </c>
    </row>
    <row r="6" customHeight="1" spans="1:5">
      <c r="A6" s="80">
        <v>4855</v>
      </c>
      <c r="B6" s="80">
        <v>1001</v>
      </c>
      <c r="C6" s="80">
        <v>10000</v>
      </c>
      <c r="D6" s="80">
        <v>0</v>
      </c>
      <c r="E6" s="80">
        <v>0.04855</v>
      </c>
    </row>
    <row r="7" customHeight="1" spans="1:5">
      <c r="A7" s="80">
        <v>1000</v>
      </c>
      <c r="B7" s="80">
        <v>10001</v>
      </c>
      <c r="C7" s="80">
        <v>100000</v>
      </c>
      <c r="D7" s="80">
        <v>0</v>
      </c>
      <c r="E7" s="80">
        <v>0.01</v>
      </c>
    </row>
    <row r="8" customHeight="1" spans="1:5">
      <c r="A8" s="80">
        <v>100</v>
      </c>
      <c r="B8" s="80">
        <v>100001</v>
      </c>
      <c r="C8" s="80">
        <v>1000000</v>
      </c>
      <c r="D8" s="80">
        <v>0</v>
      </c>
      <c r="E8" s="80">
        <v>0.001</v>
      </c>
    </row>
    <row r="9" customHeight="1" spans="1:5">
      <c r="A9" s="80">
        <v>20</v>
      </c>
      <c r="B9" s="80">
        <v>1000001</v>
      </c>
      <c r="C9" s="80">
        <v>3000000</v>
      </c>
      <c r="D9" s="80">
        <v>0</v>
      </c>
      <c r="E9" s="80">
        <v>0.0002</v>
      </c>
    </row>
    <row r="10" customHeight="1" spans="1:5">
      <c r="A10" s="80">
        <v>15</v>
      </c>
      <c r="B10" s="80">
        <v>3000001</v>
      </c>
      <c r="C10" s="80">
        <v>8000000</v>
      </c>
      <c r="D10" s="80">
        <v>0</v>
      </c>
      <c r="E10" s="80">
        <v>0.00015</v>
      </c>
    </row>
    <row r="11" customHeight="1" spans="1:5">
      <c r="A11" s="80">
        <v>9</v>
      </c>
      <c r="B11" s="80">
        <v>8000001</v>
      </c>
      <c r="C11" s="80">
        <v>20000000</v>
      </c>
      <c r="D11" s="80">
        <v>0</v>
      </c>
      <c r="E11" s="80">
        <v>9e-5</v>
      </c>
    </row>
    <row r="12" customHeight="1" spans="1:5">
      <c r="A12" s="80">
        <v>1</v>
      </c>
      <c r="B12" s="80">
        <v>20000000</v>
      </c>
      <c r="C12" s="80">
        <v>20000000</v>
      </c>
      <c r="D12" s="80">
        <v>1</v>
      </c>
      <c r="E12" s="80">
        <v>1e-5</v>
      </c>
    </row>
  </sheetData>
  <pageMargins left="0.75" right="0.75" top="1" bottom="1" header="0.5" footer="0.5"/>
  <pageSetup paperSize="9" orientation="portrait"/>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W64"/>
  <sheetViews>
    <sheetView workbookViewId="0">
      <pane xSplit="3" topLeftCell="D1" activePane="topRight" state="frozen"/>
      <selection/>
      <selection pane="topRight" activeCell="G13" sqref="G13"/>
    </sheetView>
  </sheetViews>
  <sheetFormatPr defaultColWidth="11.0986842105263" defaultRowHeight="15.2"/>
  <cols>
    <col min="1" max="1" width="13.0986842105263" customWidth="1"/>
    <col min="3" max="3" width="14.0986842105263" customWidth="1"/>
    <col min="4" max="5" width="13.4013157894737" customWidth="1"/>
    <col min="6" max="6" width="16.5" customWidth="1"/>
    <col min="7" max="7" width="13.4013157894737" customWidth="1"/>
    <col min="8" max="8" width="16.5" customWidth="1"/>
    <col min="11" max="11" width="13.5986842105263" customWidth="1"/>
    <col min="12" max="13" width="12.0986842105263" customWidth="1"/>
    <col min="14" max="14" width="24" customWidth="1"/>
    <col min="15" max="15" width="20.0986842105263" customWidth="1"/>
    <col min="16" max="16" width="10.9013157894737" customWidth="1"/>
    <col min="17" max="17" width="31.6973684210526" customWidth="1"/>
  </cols>
  <sheetData>
    <row r="1" ht="23.1" customHeight="1" spans="1:23">
      <c r="A1" s="115" t="s">
        <v>834</v>
      </c>
      <c r="B1" s="116" t="s">
        <v>835</v>
      </c>
      <c r="C1" s="116" t="s">
        <v>836</v>
      </c>
      <c r="D1" s="116" t="s">
        <v>837</v>
      </c>
      <c r="E1" s="116" t="s">
        <v>838</v>
      </c>
      <c r="F1" s="116" t="s">
        <v>839</v>
      </c>
      <c r="G1" s="116" t="s">
        <v>840</v>
      </c>
      <c r="H1" s="116" t="s">
        <v>841</v>
      </c>
      <c r="I1" s="116" t="s">
        <v>842</v>
      </c>
      <c r="J1" s="116" t="s">
        <v>843</v>
      </c>
      <c r="K1" s="193" t="s">
        <v>844</v>
      </c>
      <c r="L1" s="116" t="s">
        <v>845</v>
      </c>
      <c r="M1" s="118" t="s">
        <v>846</v>
      </c>
      <c r="N1" s="118" t="s">
        <v>847</v>
      </c>
      <c r="O1" s="118" t="s">
        <v>848</v>
      </c>
      <c r="P1" s="116" t="s">
        <v>849</v>
      </c>
      <c r="Q1" s="116" t="s">
        <v>850</v>
      </c>
      <c r="R1" s="116" t="s">
        <v>851</v>
      </c>
      <c r="S1" s="116" t="s">
        <v>846</v>
      </c>
      <c r="T1" s="116" t="s">
        <v>851</v>
      </c>
      <c r="U1" s="116" t="s">
        <v>846</v>
      </c>
      <c r="V1" s="116" t="s">
        <v>851</v>
      </c>
      <c r="W1" s="116" t="s">
        <v>846</v>
      </c>
    </row>
    <row r="2" ht="23.1" customHeight="1" spans="1:23">
      <c r="A2" s="117" t="s">
        <v>40</v>
      </c>
      <c r="B2" s="118" t="s">
        <v>39</v>
      </c>
      <c r="C2" s="118" t="s">
        <v>39</v>
      </c>
      <c r="D2" s="118" t="s">
        <v>39</v>
      </c>
      <c r="E2" s="118" t="s">
        <v>39</v>
      </c>
      <c r="F2" s="118" t="s">
        <v>39</v>
      </c>
      <c r="G2" s="118" t="s">
        <v>39</v>
      </c>
      <c r="H2" s="118" t="s">
        <v>39</v>
      </c>
      <c r="I2" s="118" t="s">
        <v>39</v>
      </c>
      <c r="J2" s="118" t="s">
        <v>39</v>
      </c>
      <c r="K2" s="194" t="s">
        <v>41</v>
      </c>
      <c r="L2" s="118" t="s">
        <v>39</v>
      </c>
      <c r="M2" s="118" t="s">
        <v>39</v>
      </c>
      <c r="N2" s="118" t="s">
        <v>40</v>
      </c>
      <c r="O2" s="118" t="s">
        <v>40</v>
      </c>
      <c r="P2" s="118" t="s">
        <v>39</v>
      </c>
      <c r="Q2" s="116" t="s">
        <v>852</v>
      </c>
      <c r="R2" s="116" t="s">
        <v>41</v>
      </c>
      <c r="S2" s="116" t="s">
        <v>41</v>
      </c>
      <c r="T2" s="116" t="s">
        <v>41</v>
      </c>
      <c r="U2" s="116" t="s">
        <v>41</v>
      </c>
      <c r="V2" s="116" t="s">
        <v>41</v>
      </c>
      <c r="W2" s="116" t="s">
        <v>41</v>
      </c>
    </row>
    <row r="3" ht="23.1" customHeight="1" spans="1:23">
      <c r="A3" s="117" t="s">
        <v>853</v>
      </c>
      <c r="B3" s="118" t="s">
        <v>854</v>
      </c>
      <c r="C3" s="118" t="s">
        <v>855</v>
      </c>
      <c r="D3" s="118" t="s">
        <v>856</v>
      </c>
      <c r="E3" s="118" t="s">
        <v>857</v>
      </c>
      <c r="F3" s="192" t="s">
        <v>858</v>
      </c>
      <c r="G3" s="192" t="s">
        <v>859</v>
      </c>
      <c r="H3" s="192" t="s">
        <v>858</v>
      </c>
      <c r="I3" s="195" t="s">
        <v>860</v>
      </c>
      <c r="J3" s="195" t="s">
        <v>861</v>
      </c>
      <c r="K3" s="194" t="s">
        <v>862</v>
      </c>
      <c r="L3" s="118" t="s">
        <v>863</v>
      </c>
      <c r="M3" s="118" t="s">
        <v>864</v>
      </c>
      <c r="N3" s="118" t="s">
        <v>53</v>
      </c>
      <c r="O3" s="118" t="s">
        <v>53</v>
      </c>
      <c r="P3" s="118" t="s">
        <v>865</v>
      </c>
      <c r="Q3" s="116" t="s">
        <v>866</v>
      </c>
      <c r="R3" s="116" t="s">
        <v>867</v>
      </c>
      <c r="S3" s="116" t="s">
        <v>868</v>
      </c>
      <c r="T3" s="116" t="s">
        <v>867</v>
      </c>
      <c r="U3" s="116" t="s">
        <v>868</v>
      </c>
      <c r="V3" s="116" t="s">
        <v>867</v>
      </c>
      <c r="W3" s="116" t="s">
        <v>868</v>
      </c>
    </row>
    <row r="4" ht="23.1" customHeight="1" spans="1:23">
      <c r="A4" s="117" t="s">
        <v>869</v>
      </c>
      <c r="B4" s="118">
        <v>0</v>
      </c>
      <c r="C4" s="118">
        <v>1</v>
      </c>
      <c r="D4" s="118">
        <v>1</v>
      </c>
      <c r="E4" s="118">
        <v>3</v>
      </c>
      <c r="F4" s="118">
        <v>1</v>
      </c>
      <c r="G4" s="118">
        <v>3</v>
      </c>
      <c r="H4" s="118">
        <v>1</v>
      </c>
      <c r="I4" s="118">
        <v>0</v>
      </c>
      <c r="J4" s="118">
        <v>0</v>
      </c>
      <c r="K4" s="118">
        <v>0</v>
      </c>
      <c r="L4" s="118">
        <v>0</v>
      </c>
      <c r="M4" s="118">
        <v>0</v>
      </c>
      <c r="N4" s="118"/>
      <c r="O4" s="118"/>
      <c r="P4" s="118">
        <v>0</v>
      </c>
      <c r="Q4" s="116" t="s">
        <v>870</v>
      </c>
      <c r="R4" s="197">
        <v>1</v>
      </c>
      <c r="S4" s="197">
        <v>0.7</v>
      </c>
      <c r="T4" s="197">
        <v>2.4</v>
      </c>
      <c r="U4" s="197">
        <v>0.1</v>
      </c>
      <c r="V4" s="197">
        <v>0</v>
      </c>
      <c r="W4" s="197">
        <v>0.2</v>
      </c>
    </row>
    <row r="5" ht="23.1" customHeight="1" spans="1:23">
      <c r="A5" s="117" t="s">
        <v>871</v>
      </c>
      <c r="B5" s="118">
        <v>1288</v>
      </c>
      <c r="C5" s="118">
        <v>1</v>
      </c>
      <c r="D5" s="118">
        <v>1</v>
      </c>
      <c r="E5" s="118">
        <v>3</v>
      </c>
      <c r="F5" s="118">
        <v>5</v>
      </c>
      <c r="G5" s="118">
        <v>3</v>
      </c>
      <c r="H5" s="118">
        <v>5</v>
      </c>
      <c r="I5" s="118">
        <v>150000</v>
      </c>
      <c r="J5" s="118">
        <v>150000</v>
      </c>
      <c r="K5" s="118">
        <v>0.2</v>
      </c>
      <c r="L5" s="118">
        <v>1</v>
      </c>
      <c r="M5" s="118">
        <v>10000</v>
      </c>
      <c r="N5" s="118" t="s">
        <v>872</v>
      </c>
      <c r="O5" s="118" t="s">
        <v>873</v>
      </c>
      <c r="P5" s="118">
        <v>20000</v>
      </c>
      <c r="Q5" s="116" t="s">
        <v>874</v>
      </c>
      <c r="R5" s="197">
        <v>0.95</v>
      </c>
      <c r="S5" s="197">
        <v>0.7</v>
      </c>
      <c r="T5" s="197">
        <v>2.8</v>
      </c>
      <c r="U5" s="197">
        <v>0.1</v>
      </c>
      <c r="V5" s="197">
        <v>0</v>
      </c>
      <c r="W5" s="197">
        <v>0.2</v>
      </c>
    </row>
    <row r="6" ht="23.1" customHeight="1" spans="1:23">
      <c r="A6" s="117" t="s">
        <v>871</v>
      </c>
      <c r="B6" s="118">
        <v>1288</v>
      </c>
      <c r="C6" s="118">
        <v>2</v>
      </c>
      <c r="D6" s="118">
        <v>1</v>
      </c>
      <c r="E6" s="118">
        <v>3</v>
      </c>
      <c r="F6" s="118">
        <v>5</v>
      </c>
      <c r="G6" s="118">
        <v>3</v>
      </c>
      <c r="H6" s="118">
        <v>5</v>
      </c>
      <c r="I6" s="118">
        <v>300000</v>
      </c>
      <c r="J6" s="118">
        <v>450000</v>
      </c>
      <c r="K6" s="118">
        <v>0.23</v>
      </c>
      <c r="L6" s="118">
        <v>1</v>
      </c>
      <c r="M6" s="118">
        <v>10000</v>
      </c>
      <c r="N6" s="118" t="s">
        <v>872</v>
      </c>
      <c r="O6" s="118" t="s">
        <v>873</v>
      </c>
      <c r="P6" s="118">
        <v>20000</v>
      </c>
      <c r="Q6" s="116" t="s">
        <v>874</v>
      </c>
      <c r="R6" s="197">
        <v>0.95</v>
      </c>
      <c r="S6" s="197">
        <v>0.7</v>
      </c>
      <c r="T6" s="197">
        <v>2.8</v>
      </c>
      <c r="U6" s="197">
        <v>0.1</v>
      </c>
      <c r="V6" s="197">
        <v>0</v>
      </c>
      <c r="W6" s="197">
        <v>0.2</v>
      </c>
    </row>
    <row r="7" ht="23.1" customHeight="1" spans="1:23">
      <c r="A7" s="117" t="s">
        <v>871</v>
      </c>
      <c r="B7" s="118">
        <v>1288</v>
      </c>
      <c r="C7" s="118">
        <v>3</v>
      </c>
      <c r="D7" s="118">
        <v>1</v>
      </c>
      <c r="E7" s="118">
        <v>3</v>
      </c>
      <c r="F7" s="118">
        <v>5</v>
      </c>
      <c r="G7" s="118">
        <v>3</v>
      </c>
      <c r="H7" s="118">
        <v>5</v>
      </c>
      <c r="I7" s="118">
        <v>600000</v>
      </c>
      <c r="J7" s="118">
        <v>1050000</v>
      </c>
      <c r="K7" s="118">
        <v>0.26</v>
      </c>
      <c r="L7" s="118">
        <v>1</v>
      </c>
      <c r="M7" s="118">
        <v>10000</v>
      </c>
      <c r="N7" s="118" t="s">
        <v>872</v>
      </c>
      <c r="O7" s="118" t="s">
        <v>873</v>
      </c>
      <c r="P7" s="118">
        <v>20000</v>
      </c>
      <c r="Q7" s="116" t="s">
        <v>874</v>
      </c>
      <c r="R7" s="197">
        <v>0.95</v>
      </c>
      <c r="S7" s="197">
        <v>0.7</v>
      </c>
      <c r="T7" s="197">
        <v>2.8</v>
      </c>
      <c r="U7" s="197">
        <v>0.1</v>
      </c>
      <c r="V7" s="197">
        <v>0</v>
      </c>
      <c r="W7" s="197">
        <v>0.2</v>
      </c>
    </row>
    <row r="8" ht="23.1" customHeight="1" spans="1:23">
      <c r="A8" s="117" t="s">
        <v>871</v>
      </c>
      <c r="B8" s="118">
        <v>1288</v>
      </c>
      <c r="C8" s="118">
        <v>4</v>
      </c>
      <c r="D8" s="118">
        <v>1</v>
      </c>
      <c r="E8" s="118">
        <v>3</v>
      </c>
      <c r="F8" s="118">
        <v>5</v>
      </c>
      <c r="G8" s="118">
        <v>3</v>
      </c>
      <c r="H8" s="118">
        <v>5</v>
      </c>
      <c r="I8" s="118">
        <v>1620000</v>
      </c>
      <c r="J8" s="118">
        <v>2670000</v>
      </c>
      <c r="K8" s="118">
        <v>0.29</v>
      </c>
      <c r="L8" s="118">
        <v>1</v>
      </c>
      <c r="M8" s="118">
        <v>10000</v>
      </c>
      <c r="N8" s="118" t="s">
        <v>872</v>
      </c>
      <c r="O8" s="118" t="s">
        <v>873</v>
      </c>
      <c r="P8" s="118">
        <v>20000</v>
      </c>
      <c r="Q8" s="116" t="s">
        <v>874</v>
      </c>
      <c r="R8" s="197">
        <v>0.95</v>
      </c>
      <c r="S8" s="197">
        <v>0.7</v>
      </c>
      <c r="T8" s="197">
        <v>2.8</v>
      </c>
      <c r="U8" s="197">
        <v>0.1</v>
      </c>
      <c r="V8" s="197">
        <v>0</v>
      </c>
      <c r="W8" s="197">
        <v>0.2</v>
      </c>
    </row>
    <row r="9" ht="23.1" customHeight="1" spans="1:23">
      <c r="A9" s="117" t="s">
        <v>871</v>
      </c>
      <c r="B9" s="118">
        <v>1288</v>
      </c>
      <c r="C9" s="118">
        <v>5</v>
      </c>
      <c r="D9" s="118">
        <v>1</v>
      </c>
      <c r="E9" s="118">
        <v>3</v>
      </c>
      <c r="F9" s="118">
        <v>5</v>
      </c>
      <c r="G9" s="118">
        <v>3</v>
      </c>
      <c r="H9" s="118">
        <v>5</v>
      </c>
      <c r="I9" s="118">
        <v>3240000</v>
      </c>
      <c r="J9" s="118">
        <v>5910000</v>
      </c>
      <c r="K9" s="118">
        <v>0.32</v>
      </c>
      <c r="L9" s="118">
        <v>1</v>
      </c>
      <c r="M9" s="118">
        <v>10000</v>
      </c>
      <c r="N9" s="118" t="s">
        <v>872</v>
      </c>
      <c r="O9" s="118" t="s">
        <v>873</v>
      </c>
      <c r="P9" s="118">
        <v>20000</v>
      </c>
      <c r="Q9" s="116" t="s">
        <v>874</v>
      </c>
      <c r="R9" s="197">
        <v>0.95</v>
      </c>
      <c r="S9" s="197">
        <v>0.7</v>
      </c>
      <c r="T9" s="197">
        <v>2.8</v>
      </c>
      <c r="U9" s="197">
        <v>0.1</v>
      </c>
      <c r="V9" s="197">
        <v>0</v>
      </c>
      <c r="W9" s="197">
        <v>0.2</v>
      </c>
    </row>
    <row r="10" ht="23.1" customHeight="1" spans="1:23">
      <c r="A10" s="117" t="s">
        <v>871</v>
      </c>
      <c r="B10" s="118">
        <v>1288</v>
      </c>
      <c r="C10" s="118">
        <v>6</v>
      </c>
      <c r="D10" s="118">
        <v>1</v>
      </c>
      <c r="E10" s="118">
        <v>3</v>
      </c>
      <c r="F10" s="118">
        <v>5</v>
      </c>
      <c r="G10" s="118">
        <v>3</v>
      </c>
      <c r="H10" s="118">
        <v>5</v>
      </c>
      <c r="I10" s="118">
        <v>9720000</v>
      </c>
      <c r="J10" s="118">
        <v>15630000</v>
      </c>
      <c r="K10" s="118">
        <v>0.35</v>
      </c>
      <c r="L10" s="118">
        <v>1</v>
      </c>
      <c r="M10" s="118">
        <v>10000</v>
      </c>
      <c r="N10" s="118" t="s">
        <v>872</v>
      </c>
      <c r="O10" s="118" t="s">
        <v>873</v>
      </c>
      <c r="P10" s="118">
        <v>20000</v>
      </c>
      <c r="Q10" s="116" t="s">
        <v>874</v>
      </c>
      <c r="R10" s="197">
        <v>0.95</v>
      </c>
      <c r="S10" s="197">
        <v>0.7</v>
      </c>
      <c r="T10" s="197">
        <v>2.8</v>
      </c>
      <c r="U10" s="197">
        <v>0.1</v>
      </c>
      <c r="V10" s="197">
        <v>0</v>
      </c>
      <c r="W10" s="197">
        <v>0.2</v>
      </c>
    </row>
    <row r="11" ht="23.1" customHeight="1" spans="1:23">
      <c r="A11" s="117" t="s">
        <v>871</v>
      </c>
      <c r="B11" s="118">
        <v>1288</v>
      </c>
      <c r="C11" s="118">
        <v>7</v>
      </c>
      <c r="D11" s="118">
        <v>1</v>
      </c>
      <c r="E11" s="118">
        <v>3</v>
      </c>
      <c r="F11" s="118">
        <v>5</v>
      </c>
      <c r="G11" s="118">
        <v>3</v>
      </c>
      <c r="H11" s="118">
        <v>5</v>
      </c>
      <c r="I11" s="118">
        <v>32400000</v>
      </c>
      <c r="J11" s="118">
        <v>48030000</v>
      </c>
      <c r="K11" s="118">
        <v>0.38</v>
      </c>
      <c r="L11" s="118">
        <v>1</v>
      </c>
      <c r="M11" s="118">
        <v>10000</v>
      </c>
      <c r="N11" s="118" t="s">
        <v>872</v>
      </c>
      <c r="O11" s="118" t="s">
        <v>873</v>
      </c>
      <c r="P11" s="118">
        <v>20000</v>
      </c>
      <c r="Q11" s="116" t="s">
        <v>874</v>
      </c>
      <c r="R11" s="197">
        <v>0.95</v>
      </c>
      <c r="S11" s="197">
        <v>0.7</v>
      </c>
      <c r="T11" s="197">
        <v>2.8</v>
      </c>
      <c r="U11" s="197">
        <v>0.1</v>
      </c>
      <c r="V11" s="197">
        <v>0</v>
      </c>
      <c r="W11" s="197">
        <v>0.2</v>
      </c>
    </row>
    <row r="12" ht="23.1" customHeight="1" spans="1:23">
      <c r="A12" s="117" t="s">
        <v>871</v>
      </c>
      <c r="B12" s="118">
        <v>1288</v>
      </c>
      <c r="C12" s="118">
        <v>8</v>
      </c>
      <c r="D12" s="118">
        <v>1</v>
      </c>
      <c r="E12" s="118">
        <v>3</v>
      </c>
      <c r="F12" s="118">
        <v>5</v>
      </c>
      <c r="G12" s="118">
        <v>3</v>
      </c>
      <c r="H12" s="118">
        <v>5</v>
      </c>
      <c r="I12" s="118">
        <v>64800000</v>
      </c>
      <c r="J12" s="118">
        <v>112830000</v>
      </c>
      <c r="K12" s="118">
        <v>0.42</v>
      </c>
      <c r="L12" s="118">
        <v>1</v>
      </c>
      <c r="M12" s="118">
        <v>10000</v>
      </c>
      <c r="N12" s="118" t="s">
        <v>872</v>
      </c>
      <c r="O12" s="118" t="s">
        <v>873</v>
      </c>
      <c r="P12" s="118">
        <v>20000</v>
      </c>
      <c r="Q12" s="116" t="s">
        <v>874</v>
      </c>
      <c r="R12" s="197">
        <v>0.95</v>
      </c>
      <c r="S12" s="197">
        <v>0.7</v>
      </c>
      <c r="T12" s="197">
        <v>2.8</v>
      </c>
      <c r="U12" s="197">
        <v>0.1</v>
      </c>
      <c r="V12" s="197">
        <v>0</v>
      </c>
      <c r="W12" s="197">
        <v>0.2</v>
      </c>
    </row>
    <row r="13" ht="23.1" customHeight="1" spans="1:23">
      <c r="A13" s="117" t="s">
        <v>871</v>
      </c>
      <c r="B13" s="118">
        <v>1288</v>
      </c>
      <c r="C13" s="118">
        <v>9</v>
      </c>
      <c r="D13" s="118">
        <v>1</v>
      </c>
      <c r="E13" s="118">
        <v>3</v>
      </c>
      <c r="F13" s="118">
        <v>5</v>
      </c>
      <c r="G13" s="118">
        <v>3</v>
      </c>
      <c r="H13" s="118">
        <v>5</v>
      </c>
      <c r="I13" s="118">
        <v>97200000</v>
      </c>
      <c r="J13" s="118">
        <v>210030000</v>
      </c>
      <c r="K13" s="118">
        <v>0.46</v>
      </c>
      <c r="L13" s="118">
        <v>1</v>
      </c>
      <c r="M13" s="118">
        <v>10000</v>
      </c>
      <c r="N13" s="118" t="s">
        <v>872</v>
      </c>
      <c r="O13" s="118" t="s">
        <v>873</v>
      </c>
      <c r="P13" s="118">
        <v>20000</v>
      </c>
      <c r="Q13" s="116" t="s">
        <v>874</v>
      </c>
      <c r="R13" s="197">
        <v>0.95</v>
      </c>
      <c r="S13" s="197">
        <v>0.7</v>
      </c>
      <c r="T13" s="197">
        <v>2.8</v>
      </c>
      <c r="U13" s="197">
        <v>0.1</v>
      </c>
      <c r="V13" s="197">
        <v>0</v>
      </c>
      <c r="W13" s="197">
        <v>0.2</v>
      </c>
    </row>
    <row r="14" ht="23.1" customHeight="1" spans="1:23">
      <c r="A14" s="117" t="s">
        <v>871</v>
      </c>
      <c r="B14" s="118">
        <v>1288</v>
      </c>
      <c r="C14" s="118">
        <v>10</v>
      </c>
      <c r="D14" s="118">
        <v>1</v>
      </c>
      <c r="E14" s="118">
        <v>3</v>
      </c>
      <c r="F14" s="118">
        <v>5</v>
      </c>
      <c r="G14" s="118">
        <v>3</v>
      </c>
      <c r="H14" s="118">
        <v>5</v>
      </c>
      <c r="I14" s="118">
        <v>1</v>
      </c>
      <c r="J14" s="118">
        <v>210030001</v>
      </c>
      <c r="K14" s="118">
        <v>0.5</v>
      </c>
      <c r="L14" s="118">
        <v>1</v>
      </c>
      <c r="M14" s="118">
        <v>10000</v>
      </c>
      <c r="N14" s="118" t="s">
        <v>872</v>
      </c>
      <c r="O14" s="118" t="s">
        <v>873</v>
      </c>
      <c r="P14" s="118">
        <v>20000</v>
      </c>
      <c r="Q14" s="116" t="s">
        <v>874</v>
      </c>
      <c r="R14" s="197">
        <v>0.95</v>
      </c>
      <c r="S14" s="197">
        <v>0.7</v>
      </c>
      <c r="T14" s="197">
        <v>2.8</v>
      </c>
      <c r="U14" s="197">
        <v>0.1</v>
      </c>
      <c r="V14" s="197">
        <v>0</v>
      </c>
      <c r="W14" s="197">
        <v>0.2</v>
      </c>
    </row>
    <row r="15" ht="23.1" customHeight="1" spans="1:23">
      <c r="A15" s="191" t="s">
        <v>875</v>
      </c>
      <c r="B15" s="118">
        <v>1165</v>
      </c>
      <c r="C15" s="118">
        <v>1</v>
      </c>
      <c r="D15" s="118">
        <v>1</v>
      </c>
      <c r="E15" s="118">
        <v>3</v>
      </c>
      <c r="F15" s="118">
        <v>10</v>
      </c>
      <c r="G15" s="118">
        <v>3</v>
      </c>
      <c r="H15" s="118">
        <v>10</v>
      </c>
      <c r="I15" s="118">
        <v>150000</v>
      </c>
      <c r="J15" s="118">
        <v>150000</v>
      </c>
      <c r="K15" s="118">
        <v>0.2</v>
      </c>
      <c r="L15" s="118">
        <v>1</v>
      </c>
      <c r="M15" s="118">
        <v>10000</v>
      </c>
      <c r="N15" s="118" t="s">
        <v>872</v>
      </c>
      <c r="O15" s="118" t="s">
        <v>873</v>
      </c>
      <c r="P15" s="118">
        <v>40000</v>
      </c>
      <c r="Q15" s="116" t="s">
        <v>876</v>
      </c>
      <c r="R15" s="198">
        <v>0.95</v>
      </c>
      <c r="S15" s="198">
        <v>0.7</v>
      </c>
      <c r="T15" s="198">
        <v>2.8</v>
      </c>
      <c r="U15" s="198">
        <v>0.1</v>
      </c>
      <c r="V15" s="198">
        <v>0</v>
      </c>
      <c r="W15" s="198">
        <v>0.2</v>
      </c>
    </row>
    <row r="16" ht="23.1" customHeight="1" spans="1:23">
      <c r="A16" s="191" t="s">
        <v>875</v>
      </c>
      <c r="B16" s="118">
        <v>1165</v>
      </c>
      <c r="C16" s="118">
        <v>2</v>
      </c>
      <c r="D16" s="118">
        <v>1</v>
      </c>
      <c r="E16" s="118">
        <v>3</v>
      </c>
      <c r="F16" s="118">
        <v>10</v>
      </c>
      <c r="G16" s="118">
        <v>3</v>
      </c>
      <c r="H16" s="118">
        <v>10</v>
      </c>
      <c r="I16" s="118">
        <v>300000</v>
      </c>
      <c r="J16" s="118">
        <v>450000</v>
      </c>
      <c r="K16" s="118">
        <v>0.23</v>
      </c>
      <c r="L16" s="118">
        <v>1</v>
      </c>
      <c r="M16" s="118">
        <v>10000</v>
      </c>
      <c r="N16" s="118" t="s">
        <v>872</v>
      </c>
      <c r="O16" s="118" t="s">
        <v>873</v>
      </c>
      <c r="P16" s="118">
        <v>40000</v>
      </c>
      <c r="Q16" s="116" t="s">
        <v>876</v>
      </c>
      <c r="R16" s="198">
        <v>0.95</v>
      </c>
      <c r="S16" s="198">
        <v>0.7</v>
      </c>
      <c r="T16" s="198">
        <v>2.8</v>
      </c>
      <c r="U16" s="198">
        <v>0.1</v>
      </c>
      <c r="V16" s="198">
        <v>0</v>
      </c>
      <c r="W16" s="198">
        <v>0.2</v>
      </c>
    </row>
    <row r="17" ht="23.1" customHeight="1" spans="1:23">
      <c r="A17" s="191" t="s">
        <v>875</v>
      </c>
      <c r="B17" s="118">
        <v>1165</v>
      </c>
      <c r="C17" s="118">
        <v>3</v>
      </c>
      <c r="D17" s="118">
        <v>1</v>
      </c>
      <c r="E17" s="118">
        <v>3</v>
      </c>
      <c r="F17" s="118">
        <v>10</v>
      </c>
      <c r="G17" s="118">
        <v>3</v>
      </c>
      <c r="H17" s="118">
        <v>10</v>
      </c>
      <c r="I17" s="118">
        <v>600000</v>
      </c>
      <c r="J17" s="118">
        <v>1050000</v>
      </c>
      <c r="K17" s="118">
        <v>0.26</v>
      </c>
      <c r="L17" s="118">
        <v>1</v>
      </c>
      <c r="M17" s="118">
        <v>10000</v>
      </c>
      <c r="N17" s="118" t="s">
        <v>872</v>
      </c>
      <c r="O17" s="118" t="s">
        <v>873</v>
      </c>
      <c r="P17" s="118">
        <v>40000</v>
      </c>
      <c r="Q17" s="116" t="s">
        <v>876</v>
      </c>
      <c r="R17" s="198">
        <v>0.95</v>
      </c>
      <c r="S17" s="198">
        <v>0.7</v>
      </c>
      <c r="T17" s="198">
        <v>2.8</v>
      </c>
      <c r="U17" s="198">
        <v>0.1</v>
      </c>
      <c r="V17" s="198">
        <v>0</v>
      </c>
      <c r="W17" s="198">
        <v>0.2</v>
      </c>
    </row>
    <row r="18" ht="23.1" customHeight="1" spans="1:23">
      <c r="A18" s="191" t="s">
        <v>875</v>
      </c>
      <c r="B18" s="118">
        <v>1165</v>
      </c>
      <c r="C18" s="118">
        <v>4</v>
      </c>
      <c r="D18" s="118">
        <v>1</v>
      </c>
      <c r="E18" s="118">
        <v>3</v>
      </c>
      <c r="F18" s="118">
        <v>10</v>
      </c>
      <c r="G18" s="118">
        <v>3</v>
      </c>
      <c r="H18" s="118">
        <v>10</v>
      </c>
      <c r="I18" s="118">
        <v>1620000</v>
      </c>
      <c r="J18" s="118">
        <v>2670000</v>
      </c>
      <c r="K18" s="118">
        <v>0.29</v>
      </c>
      <c r="L18" s="118">
        <v>1</v>
      </c>
      <c r="M18" s="118">
        <v>10000</v>
      </c>
      <c r="N18" s="118" t="s">
        <v>872</v>
      </c>
      <c r="O18" s="118" t="s">
        <v>873</v>
      </c>
      <c r="P18" s="118">
        <v>40000</v>
      </c>
      <c r="Q18" s="116" t="s">
        <v>876</v>
      </c>
      <c r="R18" s="198">
        <v>0.95</v>
      </c>
      <c r="S18" s="198">
        <v>0.7</v>
      </c>
      <c r="T18" s="198">
        <v>2.8</v>
      </c>
      <c r="U18" s="198">
        <v>0.1</v>
      </c>
      <c r="V18" s="198">
        <v>0</v>
      </c>
      <c r="W18" s="198">
        <v>0.2</v>
      </c>
    </row>
    <row r="19" ht="23.1" customHeight="1" spans="1:23">
      <c r="A19" s="191" t="s">
        <v>875</v>
      </c>
      <c r="B19" s="118">
        <v>1165</v>
      </c>
      <c r="C19" s="118">
        <v>5</v>
      </c>
      <c r="D19" s="118">
        <v>1</v>
      </c>
      <c r="E19" s="118">
        <v>3</v>
      </c>
      <c r="F19" s="118">
        <v>10</v>
      </c>
      <c r="G19" s="118">
        <v>3</v>
      </c>
      <c r="H19" s="118">
        <v>10</v>
      </c>
      <c r="I19" s="118">
        <v>3240000</v>
      </c>
      <c r="J19" s="118">
        <v>5910000</v>
      </c>
      <c r="K19" s="118">
        <v>0.32</v>
      </c>
      <c r="L19" s="118">
        <v>1</v>
      </c>
      <c r="M19" s="118">
        <v>10000</v>
      </c>
      <c r="N19" s="118" t="s">
        <v>872</v>
      </c>
      <c r="O19" s="118" t="s">
        <v>873</v>
      </c>
      <c r="P19" s="118">
        <v>40000</v>
      </c>
      <c r="Q19" s="116" t="s">
        <v>876</v>
      </c>
      <c r="R19" s="198">
        <v>0.95</v>
      </c>
      <c r="S19" s="198">
        <v>0.7</v>
      </c>
      <c r="T19" s="198">
        <v>2.8</v>
      </c>
      <c r="U19" s="198">
        <v>0.1</v>
      </c>
      <c r="V19" s="198">
        <v>0</v>
      </c>
      <c r="W19" s="198">
        <v>0.2</v>
      </c>
    </row>
    <row r="20" ht="23.1" customHeight="1" spans="1:23">
      <c r="A20" s="191" t="s">
        <v>875</v>
      </c>
      <c r="B20" s="118">
        <v>1165</v>
      </c>
      <c r="C20" s="118">
        <v>6</v>
      </c>
      <c r="D20" s="118">
        <v>1</v>
      </c>
      <c r="E20" s="118">
        <v>3</v>
      </c>
      <c r="F20" s="118">
        <v>10</v>
      </c>
      <c r="G20" s="118">
        <v>3</v>
      </c>
      <c r="H20" s="118">
        <v>10</v>
      </c>
      <c r="I20" s="118">
        <v>9720000</v>
      </c>
      <c r="J20" s="118">
        <v>15630000</v>
      </c>
      <c r="K20" s="118">
        <v>0.35</v>
      </c>
      <c r="L20" s="118">
        <v>1</v>
      </c>
      <c r="M20" s="118">
        <v>10000</v>
      </c>
      <c r="N20" s="118" t="s">
        <v>872</v>
      </c>
      <c r="O20" s="118" t="s">
        <v>873</v>
      </c>
      <c r="P20" s="118">
        <v>40000</v>
      </c>
      <c r="Q20" s="116" t="s">
        <v>876</v>
      </c>
      <c r="R20" s="198">
        <v>0.95</v>
      </c>
      <c r="S20" s="198">
        <v>0.7</v>
      </c>
      <c r="T20" s="198">
        <v>2.8</v>
      </c>
      <c r="U20" s="198">
        <v>0.1</v>
      </c>
      <c r="V20" s="198">
        <v>0</v>
      </c>
      <c r="W20" s="198">
        <v>0.2</v>
      </c>
    </row>
    <row r="21" ht="23.1" customHeight="1" spans="1:23">
      <c r="A21" s="191" t="s">
        <v>875</v>
      </c>
      <c r="B21" s="118">
        <v>1165</v>
      </c>
      <c r="C21" s="118">
        <v>7</v>
      </c>
      <c r="D21" s="118">
        <v>1</v>
      </c>
      <c r="E21" s="118">
        <v>3</v>
      </c>
      <c r="F21" s="118">
        <v>10</v>
      </c>
      <c r="G21" s="118">
        <v>3</v>
      </c>
      <c r="H21" s="118">
        <v>10</v>
      </c>
      <c r="I21" s="118">
        <v>32400000</v>
      </c>
      <c r="J21" s="118">
        <v>48030000</v>
      </c>
      <c r="K21" s="118">
        <v>0.38</v>
      </c>
      <c r="L21" s="118">
        <v>1</v>
      </c>
      <c r="M21" s="118">
        <v>10000</v>
      </c>
      <c r="N21" s="118" t="s">
        <v>872</v>
      </c>
      <c r="O21" s="118" t="s">
        <v>873</v>
      </c>
      <c r="P21" s="118">
        <v>40000</v>
      </c>
      <c r="Q21" s="116" t="s">
        <v>876</v>
      </c>
      <c r="R21" s="198">
        <v>0.95</v>
      </c>
      <c r="S21" s="198">
        <v>0.7</v>
      </c>
      <c r="T21" s="198">
        <v>2.8</v>
      </c>
      <c r="U21" s="198">
        <v>0.1</v>
      </c>
      <c r="V21" s="198">
        <v>0</v>
      </c>
      <c r="W21" s="198">
        <v>0.2</v>
      </c>
    </row>
    <row r="22" ht="23.1" customHeight="1" spans="1:23">
      <c r="A22" s="191" t="s">
        <v>875</v>
      </c>
      <c r="B22" s="118">
        <v>1165</v>
      </c>
      <c r="C22" s="118">
        <v>8</v>
      </c>
      <c r="D22" s="118">
        <v>1</v>
      </c>
      <c r="E22" s="118">
        <v>3</v>
      </c>
      <c r="F22" s="118">
        <v>10</v>
      </c>
      <c r="G22" s="118">
        <v>3</v>
      </c>
      <c r="H22" s="118">
        <v>10</v>
      </c>
      <c r="I22" s="118">
        <v>64800000</v>
      </c>
      <c r="J22" s="118">
        <v>112830000</v>
      </c>
      <c r="K22" s="118">
        <v>0.42</v>
      </c>
      <c r="L22" s="118">
        <v>1</v>
      </c>
      <c r="M22" s="118">
        <v>10000</v>
      </c>
      <c r="N22" s="118" t="s">
        <v>872</v>
      </c>
      <c r="O22" s="118" t="s">
        <v>873</v>
      </c>
      <c r="P22" s="118">
        <v>40000</v>
      </c>
      <c r="Q22" s="116" t="s">
        <v>876</v>
      </c>
      <c r="R22" s="198">
        <v>0.95</v>
      </c>
      <c r="S22" s="198">
        <v>0.7</v>
      </c>
      <c r="T22" s="198">
        <v>2.8</v>
      </c>
      <c r="U22" s="198">
        <v>0.1</v>
      </c>
      <c r="V22" s="198">
        <v>0</v>
      </c>
      <c r="W22" s="198">
        <v>0.2</v>
      </c>
    </row>
    <row r="23" ht="23.1" customHeight="1" spans="1:23">
      <c r="A23" s="191" t="s">
        <v>875</v>
      </c>
      <c r="B23" s="118">
        <v>1165</v>
      </c>
      <c r="C23" s="118">
        <v>9</v>
      </c>
      <c r="D23" s="118">
        <v>1</v>
      </c>
      <c r="E23" s="118">
        <v>3</v>
      </c>
      <c r="F23" s="118">
        <v>10</v>
      </c>
      <c r="G23" s="118">
        <v>3</v>
      </c>
      <c r="H23" s="118">
        <v>10</v>
      </c>
      <c r="I23" s="118">
        <v>97200000</v>
      </c>
      <c r="J23" s="118">
        <v>210030000</v>
      </c>
      <c r="K23" s="118">
        <v>0.46</v>
      </c>
      <c r="L23" s="118">
        <v>1</v>
      </c>
      <c r="M23" s="118">
        <v>10000</v>
      </c>
      <c r="N23" s="118" t="s">
        <v>872</v>
      </c>
      <c r="O23" s="118" t="s">
        <v>873</v>
      </c>
      <c r="P23" s="118">
        <v>40000</v>
      </c>
      <c r="Q23" s="116" t="s">
        <v>876</v>
      </c>
      <c r="R23" s="198">
        <v>0.95</v>
      </c>
      <c r="S23" s="198">
        <v>0.7</v>
      </c>
      <c r="T23" s="198">
        <v>2.8</v>
      </c>
      <c r="U23" s="198">
        <v>0.1</v>
      </c>
      <c r="V23" s="198">
        <v>0</v>
      </c>
      <c r="W23" s="198">
        <v>0.2</v>
      </c>
    </row>
    <row r="24" ht="23.1" customHeight="1" spans="1:23">
      <c r="A24" s="191" t="s">
        <v>875</v>
      </c>
      <c r="B24" s="118">
        <v>1165</v>
      </c>
      <c r="C24" s="118">
        <v>10</v>
      </c>
      <c r="D24" s="118">
        <v>1</v>
      </c>
      <c r="E24" s="118">
        <v>3</v>
      </c>
      <c r="F24" s="118">
        <v>10</v>
      </c>
      <c r="G24" s="118">
        <v>3</v>
      </c>
      <c r="H24" s="118">
        <v>10</v>
      </c>
      <c r="I24" s="118">
        <v>1</v>
      </c>
      <c r="J24" s="118">
        <v>210030001</v>
      </c>
      <c r="K24" s="118">
        <v>0.5</v>
      </c>
      <c r="L24" s="118">
        <v>1</v>
      </c>
      <c r="M24" s="118">
        <v>10000</v>
      </c>
      <c r="N24" s="118" t="s">
        <v>872</v>
      </c>
      <c r="O24" s="118" t="s">
        <v>873</v>
      </c>
      <c r="P24" s="118">
        <v>40000</v>
      </c>
      <c r="Q24" s="116" t="s">
        <v>876</v>
      </c>
      <c r="R24" s="198">
        <v>0.95</v>
      </c>
      <c r="S24" s="198">
        <v>0.7</v>
      </c>
      <c r="T24" s="198">
        <v>2.8</v>
      </c>
      <c r="U24" s="198">
        <v>0.1</v>
      </c>
      <c r="V24" s="198">
        <v>0</v>
      </c>
      <c r="W24" s="198">
        <v>0.2</v>
      </c>
    </row>
    <row r="25" ht="23.1" customHeight="1" spans="1:23">
      <c r="A25" s="191" t="s">
        <v>877</v>
      </c>
      <c r="B25" s="118">
        <v>1166</v>
      </c>
      <c r="C25" s="118">
        <v>1</v>
      </c>
      <c r="D25" s="118">
        <v>1</v>
      </c>
      <c r="E25" s="118">
        <v>3</v>
      </c>
      <c r="F25" s="118">
        <v>15</v>
      </c>
      <c r="G25" s="118">
        <v>3</v>
      </c>
      <c r="H25" s="118">
        <v>15</v>
      </c>
      <c r="I25" s="118">
        <v>150000</v>
      </c>
      <c r="J25" s="118">
        <v>150000</v>
      </c>
      <c r="K25" s="118">
        <v>1.5</v>
      </c>
      <c r="L25" s="196">
        <v>2</v>
      </c>
      <c r="M25" s="196">
        <v>200</v>
      </c>
      <c r="N25" s="118" t="s">
        <v>872</v>
      </c>
      <c r="O25" s="118" t="s">
        <v>873</v>
      </c>
      <c r="P25" s="118">
        <v>250000</v>
      </c>
      <c r="Q25" s="116" t="s">
        <v>878</v>
      </c>
      <c r="R25" s="199">
        <v>1</v>
      </c>
      <c r="S25" s="199">
        <v>0.7</v>
      </c>
      <c r="T25" s="199">
        <v>2</v>
      </c>
      <c r="U25" s="199">
        <v>0.1</v>
      </c>
      <c r="V25" s="199">
        <v>0.2</v>
      </c>
      <c r="W25" s="199">
        <v>0.2</v>
      </c>
    </row>
    <row r="26" ht="23.1" customHeight="1" spans="1:23">
      <c r="A26" s="191" t="s">
        <v>877</v>
      </c>
      <c r="B26" s="118">
        <v>1166</v>
      </c>
      <c r="C26" s="118">
        <v>2</v>
      </c>
      <c r="D26" s="118">
        <v>1</v>
      </c>
      <c r="E26" s="118">
        <v>3</v>
      </c>
      <c r="F26" s="118">
        <v>15</v>
      </c>
      <c r="G26" s="118">
        <v>3</v>
      </c>
      <c r="H26" s="118">
        <v>15</v>
      </c>
      <c r="I26" s="118">
        <v>300000</v>
      </c>
      <c r="J26" s="118">
        <v>450000</v>
      </c>
      <c r="K26" s="118">
        <v>1.55</v>
      </c>
      <c r="L26" s="196">
        <v>2</v>
      </c>
      <c r="M26" s="196">
        <v>200</v>
      </c>
      <c r="N26" s="118" t="s">
        <v>872</v>
      </c>
      <c r="O26" s="118" t="s">
        <v>873</v>
      </c>
      <c r="P26" s="118">
        <v>250000</v>
      </c>
      <c r="Q26" s="116" t="s">
        <v>878</v>
      </c>
      <c r="R26" s="199">
        <v>1</v>
      </c>
      <c r="S26" s="199">
        <v>0.7</v>
      </c>
      <c r="T26" s="199">
        <v>2</v>
      </c>
      <c r="U26" s="199">
        <v>0.1</v>
      </c>
      <c r="V26" s="199">
        <v>0.2</v>
      </c>
      <c r="W26" s="199">
        <v>0.2</v>
      </c>
    </row>
    <row r="27" ht="23.1" customHeight="1" spans="1:23">
      <c r="A27" s="191" t="s">
        <v>877</v>
      </c>
      <c r="B27" s="118">
        <v>1166</v>
      </c>
      <c r="C27" s="118">
        <v>3</v>
      </c>
      <c r="D27" s="118">
        <v>1</v>
      </c>
      <c r="E27" s="118">
        <v>3</v>
      </c>
      <c r="F27" s="118">
        <v>15</v>
      </c>
      <c r="G27" s="118">
        <v>3</v>
      </c>
      <c r="H27" s="118">
        <v>15</v>
      </c>
      <c r="I27" s="118">
        <v>600000</v>
      </c>
      <c r="J27" s="118">
        <v>1050000</v>
      </c>
      <c r="K27" s="118">
        <v>1.6</v>
      </c>
      <c r="L27" s="196">
        <v>2</v>
      </c>
      <c r="M27" s="196">
        <v>200</v>
      </c>
      <c r="N27" s="118" t="s">
        <v>872</v>
      </c>
      <c r="O27" s="118" t="s">
        <v>873</v>
      </c>
      <c r="P27" s="118">
        <v>250000</v>
      </c>
      <c r="Q27" s="116" t="s">
        <v>878</v>
      </c>
      <c r="R27" s="199">
        <v>1</v>
      </c>
      <c r="S27" s="199">
        <v>0.7</v>
      </c>
      <c r="T27" s="199">
        <v>2</v>
      </c>
      <c r="U27" s="199">
        <v>0.1</v>
      </c>
      <c r="V27" s="199">
        <v>0.2</v>
      </c>
      <c r="W27" s="199">
        <v>0.2</v>
      </c>
    </row>
    <row r="28" ht="23.1" customHeight="1" spans="1:23">
      <c r="A28" s="191" t="s">
        <v>877</v>
      </c>
      <c r="B28" s="118">
        <v>1166</v>
      </c>
      <c r="C28" s="118">
        <v>4</v>
      </c>
      <c r="D28" s="118">
        <v>1</v>
      </c>
      <c r="E28" s="118">
        <v>3</v>
      </c>
      <c r="F28" s="118">
        <v>15</v>
      </c>
      <c r="G28" s="118">
        <v>3</v>
      </c>
      <c r="H28" s="118">
        <v>15</v>
      </c>
      <c r="I28" s="118">
        <v>1620000</v>
      </c>
      <c r="J28" s="118">
        <v>2670000</v>
      </c>
      <c r="K28" s="118">
        <v>1.65</v>
      </c>
      <c r="L28" s="196">
        <v>2</v>
      </c>
      <c r="M28" s="196">
        <v>200</v>
      </c>
      <c r="N28" s="118" t="s">
        <v>872</v>
      </c>
      <c r="O28" s="118" t="s">
        <v>873</v>
      </c>
      <c r="P28" s="118">
        <v>250000</v>
      </c>
      <c r="Q28" s="116" t="s">
        <v>878</v>
      </c>
      <c r="R28" s="199">
        <v>1</v>
      </c>
      <c r="S28" s="199">
        <v>0.7</v>
      </c>
      <c r="T28" s="199">
        <v>2</v>
      </c>
      <c r="U28" s="199">
        <v>0.1</v>
      </c>
      <c r="V28" s="199">
        <v>0.2</v>
      </c>
      <c r="W28" s="199">
        <v>0.2</v>
      </c>
    </row>
    <row r="29" ht="23.1" customHeight="1" spans="1:23">
      <c r="A29" s="191" t="s">
        <v>877</v>
      </c>
      <c r="B29" s="118">
        <v>1166</v>
      </c>
      <c r="C29" s="118">
        <v>5</v>
      </c>
      <c r="D29" s="118">
        <v>1</v>
      </c>
      <c r="E29" s="118">
        <v>3</v>
      </c>
      <c r="F29" s="118">
        <v>15</v>
      </c>
      <c r="G29" s="118">
        <v>3</v>
      </c>
      <c r="H29" s="118">
        <v>15</v>
      </c>
      <c r="I29" s="118">
        <v>3240000</v>
      </c>
      <c r="J29" s="118">
        <v>5910000</v>
      </c>
      <c r="K29" s="118">
        <v>1.7</v>
      </c>
      <c r="L29" s="196">
        <v>2</v>
      </c>
      <c r="M29" s="196">
        <v>200</v>
      </c>
      <c r="N29" s="118" t="s">
        <v>872</v>
      </c>
      <c r="O29" s="118" t="s">
        <v>873</v>
      </c>
      <c r="P29" s="118">
        <v>250000</v>
      </c>
      <c r="Q29" s="116" t="s">
        <v>878</v>
      </c>
      <c r="R29" s="199">
        <v>1</v>
      </c>
      <c r="S29" s="199">
        <v>0.7</v>
      </c>
      <c r="T29" s="199">
        <v>2</v>
      </c>
      <c r="U29" s="199">
        <v>0.1</v>
      </c>
      <c r="V29" s="199">
        <v>0.2</v>
      </c>
      <c r="W29" s="199">
        <v>0.2</v>
      </c>
    </row>
    <row r="30" ht="23.1" customHeight="1" spans="1:23">
      <c r="A30" s="191" t="s">
        <v>877</v>
      </c>
      <c r="B30" s="118">
        <v>1166</v>
      </c>
      <c r="C30" s="118">
        <v>6</v>
      </c>
      <c r="D30" s="118">
        <v>1</v>
      </c>
      <c r="E30" s="118">
        <v>3</v>
      </c>
      <c r="F30" s="118">
        <v>15</v>
      </c>
      <c r="G30" s="118">
        <v>3</v>
      </c>
      <c r="H30" s="118">
        <v>15</v>
      </c>
      <c r="I30" s="118">
        <v>9720000</v>
      </c>
      <c r="J30" s="118">
        <v>15630000</v>
      </c>
      <c r="K30" s="118">
        <v>1.75</v>
      </c>
      <c r="L30" s="196">
        <v>2</v>
      </c>
      <c r="M30" s="196">
        <v>200</v>
      </c>
      <c r="N30" s="118" t="s">
        <v>872</v>
      </c>
      <c r="O30" s="118" t="s">
        <v>873</v>
      </c>
      <c r="P30" s="118">
        <v>250000</v>
      </c>
      <c r="Q30" s="116" t="s">
        <v>878</v>
      </c>
      <c r="R30" s="199">
        <v>1</v>
      </c>
      <c r="S30" s="199">
        <v>0.7</v>
      </c>
      <c r="T30" s="199">
        <v>2</v>
      </c>
      <c r="U30" s="199">
        <v>0.1</v>
      </c>
      <c r="V30" s="199">
        <v>0.2</v>
      </c>
      <c r="W30" s="199">
        <v>0.2</v>
      </c>
    </row>
    <row r="31" ht="23.1" customHeight="1" spans="1:23">
      <c r="A31" s="191" t="s">
        <v>877</v>
      </c>
      <c r="B31" s="118">
        <v>1166</v>
      </c>
      <c r="C31" s="118">
        <v>7</v>
      </c>
      <c r="D31" s="118">
        <v>1</v>
      </c>
      <c r="E31" s="118">
        <v>3</v>
      </c>
      <c r="F31" s="118">
        <v>15</v>
      </c>
      <c r="G31" s="118">
        <v>3</v>
      </c>
      <c r="H31" s="118">
        <v>15</v>
      </c>
      <c r="I31" s="118">
        <v>32400000</v>
      </c>
      <c r="J31" s="118">
        <v>48030000</v>
      </c>
      <c r="K31" s="118">
        <v>1.8</v>
      </c>
      <c r="L31" s="196">
        <v>2</v>
      </c>
      <c r="M31" s="196">
        <v>200</v>
      </c>
      <c r="N31" s="118" t="s">
        <v>872</v>
      </c>
      <c r="O31" s="118" t="s">
        <v>873</v>
      </c>
      <c r="P31" s="118">
        <v>250000</v>
      </c>
      <c r="Q31" s="116" t="s">
        <v>878</v>
      </c>
      <c r="R31" s="199">
        <v>1</v>
      </c>
      <c r="S31" s="199">
        <v>0.7</v>
      </c>
      <c r="T31" s="199">
        <v>2</v>
      </c>
      <c r="U31" s="199">
        <v>0.1</v>
      </c>
      <c r="V31" s="199">
        <v>0.2</v>
      </c>
      <c r="W31" s="199">
        <v>0.2</v>
      </c>
    </row>
    <row r="32" ht="23.1" customHeight="1" spans="1:23">
      <c r="A32" s="191" t="s">
        <v>877</v>
      </c>
      <c r="B32" s="118">
        <v>1166</v>
      </c>
      <c r="C32" s="118">
        <v>8</v>
      </c>
      <c r="D32" s="118">
        <v>1</v>
      </c>
      <c r="E32" s="118">
        <v>3</v>
      </c>
      <c r="F32" s="118">
        <v>15</v>
      </c>
      <c r="G32" s="118">
        <v>3</v>
      </c>
      <c r="H32" s="118">
        <v>15</v>
      </c>
      <c r="I32" s="118">
        <v>64800000</v>
      </c>
      <c r="J32" s="118">
        <v>112830000</v>
      </c>
      <c r="K32" s="118">
        <v>1.85</v>
      </c>
      <c r="L32" s="196">
        <v>2</v>
      </c>
      <c r="M32" s="196">
        <v>200</v>
      </c>
      <c r="N32" s="118" t="s">
        <v>872</v>
      </c>
      <c r="O32" s="118" t="s">
        <v>873</v>
      </c>
      <c r="P32" s="118">
        <v>250000</v>
      </c>
      <c r="Q32" s="116" t="s">
        <v>878</v>
      </c>
      <c r="R32" s="199">
        <v>1</v>
      </c>
      <c r="S32" s="199">
        <v>0.7</v>
      </c>
      <c r="T32" s="199">
        <v>2</v>
      </c>
      <c r="U32" s="199">
        <v>0.1</v>
      </c>
      <c r="V32" s="199">
        <v>0.2</v>
      </c>
      <c r="W32" s="199">
        <v>0.2</v>
      </c>
    </row>
    <row r="33" ht="23.1" customHeight="1" spans="1:23">
      <c r="A33" s="191" t="s">
        <v>877</v>
      </c>
      <c r="B33" s="118">
        <v>1166</v>
      </c>
      <c r="C33" s="118">
        <v>9</v>
      </c>
      <c r="D33" s="118">
        <v>1</v>
      </c>
      <c r="E33" s="118">
        <v>3</v>
      </c>
      <c r="F33" s="118">
        <v>15</v>
      </c>
      <c r="G33" s="118">
        <v>3</v>
      </c>
      <c r="H33" s="118">
        <v>15</v>
      </c>
      <c r="I33" s="118">
        <v>97200000</v>
      </c>
      <c r="J33" s="118">
        <v>210030000</v>
      </c>
      <c r="K33" s="118">
        <v>1.9</v>
      </c>
      <c r="L33" s="196">
        <v>2</v>
      </c>
      <c r="M33" s="196">
        <v>200</v>
      </c>
      <c r="N33" s="118" t="s">
        <v>872</v>
      </c>
      <c r="O33" s="118" t="s">
        <v>873</v>
      </c>
      <c r="P33" s="118">
        <v>250000</v>
      </c>
      <c r="Q33" s="116" t="s">
        <v>878</v>
      </c>
      <c r="R33" s="199">
        <v>1</v>
      </c>
      <c r="S33" s="199">
        <v>0.7</v>
      </c>
      <c r="T33" s="199">
        <v>2</v>
      </c>
      <c r="U33" s="199">
        <v>0.1</v>
      </c>
      <c r="V33" s="199">
        <v>0.2</v>
      </c>
      <c r="W33" s="199">
        <v>0.2</v>
      </c>
    </row>
    <row r="34" ht="23.1" customHeight="1" spans="1:23">
      <c r="A34" s="191" t="s">
        <v>877</v>
      </c>
      <c r="B34" s="118">
        <v>1166</v>
      </c>
      <c r="C34" s="118">
        <v>10</v>
      </c>
      <c r="D34" s="118">
        <v>1</v>
      </c>
      <c r="E34" s="118">
        <v>3</v>
      </c>
      <c r="F34" s="118">
        <v>15</v>
      </c>
      <c r="G34" s="118">
        <v>3</v>
      </c>
      <c r="H34" s="118">
        <v>15</v>
      </c>
      <c r="I34" s="118">
        <v>1</v>
      </c>
      <c r="J34" s="118">
        <v>210030001</v>
      </c>
      <c r="K34" s="118">
        <v>2</v>
      </c>
      <c r="L34" s="196">
        <v>2</v>
      </c>
      <c r="M34" s="196">
        <v>200</v>
      </c>
      <c r="N34" s="118" t="s">
        <v>872</v>
      </c>
      <c r="O34" s="118" t="s">
        <v>873</v>
      </c>
      <c r="P34" s="118">
        <v>250000</v>
      </c>
      <c r="Q34" s="116" t="s">
        <v>878</v>
      </c>
      <c r="R34" s="199">
        <v>1</v>
      </c>
      <c r="S34" s="199">
        <v>0.7</v>
      </c>
      <c r="T34" s="199">
        <v>2</v>
      </c>
      <c r="U34" s="199">
        <v>0.1</v>
      </c>
      <c r="V34" s="199">
        <v>0.2</v>
      </c>
      <c r="W34" s="199">
        <v>0.2</v>
      </c>
    </row>
    <row r="35" ht="23.1" customHeight="1" spans="1:23">
      <c r="A35" s="191" t="s">
        <v>879</v>
      </c>
      <c r="B35" s="118">
        <v>1167</v>
      </c>
      <c r="C35" s="118">
        <v>1</v>
      </c>
      <c r="D35" s="118">
        <v>1</v>
      </c>
      <c r="E35" s="118">
        <v>3</v>
      </c>
      <c r="F35" s="118">
        <v>20</v>
      </c>
      <c r="G35" s="118">
        <v>3</v>
      </c>
      <c r="H35" s="118">
        <v>20</v>
      </c>
      <c r="I35" s="118">
        <v>150000</v>
      </c>
      <c r="J35" s="118">
        <v>150000</v>
      </c>
      <c r="K35" s="118">
        <v>2</v>
      </c>
      <c r="L35" s="196">
        <v>2</v>
      </c>
      <c r="M35" s="196">
        <v>200</v>
      </c>
      <c r="N35" s="118" t="s">
        <v>872</v>
      </c>
      <c r="O35" s="118" t="s">
        <v>873</v>
      </c>
      <c r="P35" s="118">
        <v>500000</v>
      </c>
      <c r="Q35" s="116" t="s">
        <v>880</v>
      </c>
      <c r="R35" s="200">
        <v>0.96</v>
      </c>
      <c r="S35" s="200">
        <v>0.7</v>
      </c>
      <c r="T35" s="200">
        <v>2.2</v>
      </c>
      <c r="U35" s="200">
        <v>0.1</v>
      </c>
      <c r="V35" s="200">
        <v>0.2</v>
      </c>
      <c r="W35" s="200">
        <v>0.2</v>
      </c>
    </row>
    <row r="36" ht="23.1" customHeight="1" spans="1:23">
      <c r="A36" s="191" t="s">
        <v>879</v>
      </c>
      <c r="B36" s="118">
        <v>1167</v>
      </c>
      <c r="C36" s="118">
        <v>2</v>
      </c>
      <c r="D36" s="118">
        <v>1</v>
      </c>
      <c r="E36" s="118">
        <v>3</v>
      </c>
      <c r="F36" s="118">
        <v>20</v>
      </c>
      <c r="G36" s="118">
        <v>3</v>
      </c>
      <c r="H36" s="118">
        <v>20</v>
      </c>
      <c r="I36" s="118">
        <v>300000</v>
      </c>
      <c r="J36" s="118">
        <v>450000</v>
      </c>
      <c r="K36" s="118">
        <v>2.06</v>
      </c>
      <c r="L36" s="196">
        <v>2</v>
      </c>
      <c r="M36" s="196">
        <v>200</v>
      </c>
      <c r="N36" s="118" t="s">
        <v>872</v>
      </c>
      <c r="O36" s="118" t="s">
        <v>873</v>
      </c>
      <c r="P36" s="118">
        <v>500000</v>
      </c>
      <c r="Q36" s="116" t="s">
        <v>880</v>
      </c>
      <c r="R36" s="200">
        <v>0.96</v>
      </c>
      <c r="S36" s="200">
        <v>0.7</v>
      </c>
      <c r="T36" s="200">
        <v>2.2</v>
      </c>
      <c r="U36" s="200">
        <v>0.1</v>
      </c>
      <c r="V36" s="200">
        <v>0.2</v>
      </c>
      <c r="W36" s="200">
        <v>0.2</v>
      </c>
    </row>
    <row r="37" ht="23.1" customHeight="1" spans="1:23">
      <c r="A37" s="191" t="s">
        <v>879</v>
      </c>
      <c r="B37" s="118">
        <v>1167</v>
      </c>
      <c r="C37" s="118">
        <v>3</v>
      </c>
      <c r="D37" s="118">
        <v>1</v>
      </c>
      <c r="E37" s="118">
        <v>3</v>
      </c>
      <c r="F37" s="118">
        <v>20</v>
      </c>
      <c r="G37" s="118">
        <v>3</v>
      </c>
      <c r="H37" s="118">
        <v>20</v>
      </c>
      <c r="I37" s="118">
        <v>600000</v>
      </c>
      <c r="J37" s="118">
        <v>1050000</v>
      </c>
      <c r="K37" s="118">
        <v>2.12</v>
      </c>
      <c r="L37" s="196">
        <v>2</v>
      </c>
      <c r="M37" s="196">
        <v>200</v>
      </c>
      <c r="N37" s="118" t="s">
        <v>872</v>
      </c>
      <c r="O37" s="118" t="s">
        <v>873</v>
      </c>
      <c r="P37" s="118">
        <v>500000</v>
      </c>
      <c r="Q37" s="116" t="s">
        <v>880</v>
      </c>
      <c r="R37" s="200">
        <v>0.96</v>
      </c>
      <c r="S37" s="200">
        <v>0.7</v>
      </c>
      <c r="T37" s="200">
        <v>2.2</v>
      </c>
      <c r="U37" s="200">
        <v>0.1</v>
      </c>
      <c r="V37" s="200">
        <v>0.2</v>
      </c>
      <c r="W37" s="200">
        <v>0.2</v>
      </c>
    </row>
    <row r="38" ht="23.1" customHeight="1" spans="1:23">
      <c r="A38" s="191" t="s">
        <v>879</v>
      </c>
      <c r="B38" s="118">
        <v>1167</v>
      </c>
      <c r="C38" s="118">
        <v>4</v>
      </c>
      <c r="D38" s="118">
        <v>1</v>
      </c>
      <c r="E38" s="118">
        <v>3</v>
      </c>
      <c r="F38" s="118">
        <v>20</v>
      </c>
      <c r="G38" s="118">
        <v>3</v>
      </c>
      <c r="H38" s="118">
        <v>20</v>
      </c>
      <c r="I38" s="118">
        <v>1620000</v>
      </c>
      <c r="J38" s="118">
        <v>2670000</v>
      </c>
      <c r="K38" s="118">
        <v>2.18</v>
      </c>
      <c r="L38" s="196">
        <v>2</v>
      </c>
      <c r="M38" s="196">
        <v>200</v>
      </c>
      <c r="N38" s="118" t="s">
        <v>872</v>
      </c>
      <c r="O38" s="118" t="s">
        <v>873</v>
      </c>
      <c r="P38" s="118">
        <v>500000</v>
      </c>
      <c r="Q38" s="116" t="s">
        <v>880</v>
      </c>
      <c r="R38" s="200">
        <v>0.96</v>
      </c>
      <c r="S38" s="200">
        <v>0.7</v>
      </c>
      <c r="T38" s="200">
        <v>2.2</v>
      </c>
      <c r="U38" s="200">
        <v>0.1</v>
      </c>
      <c r="V38" s="200">
        <v>0.2</v>
      </c>
      <c r="W38" s="200">
        <v>0.2</v>
      </c>
    </row>
    <row r="39" ht="23.1" customHeight="1" spans="1:23">
      <c r="A39" s="191" t="s">
        <v>879</v>
      </c>
      <c r="B39" s="118">
        <v>1167</v>
      </c>
      <c r="C39" s="118">
        <v>5</v>
      </c>
      <c r="D39" s="118">
        <v>1</v>
      </c>
      <c r="E39" s="118">
        <v>3</v>
      </c>
      <c r="F39" s="118">
        <v>20</v>
      </c>
      <c r="G39" s="118">
        <v>3</v>
      </c>
      <c r="H39" s="118">
        <v>20</v>
      </c>
      <c r="I39" s="118">
        <v>3240000</v>
      </c>
      <c r="J39" s="118">
        <v>5910000</v>
      </c>
      <c r="K39" s="118">
        <v>2.24</v>
      </c>
      <c r="L39" s="196">
        <v>2</v>
      </c>
      <c r="M39" s="196">
        <v>200</v>
      </c>
      <c r="N39" s="118" t="s">
        <v>872</v>
      </c>
      <c r="O39" s="118" t="s">
        <v>873</v>
      </c>
      <c r="P39" s="118">
        <v>500000</v>
      </c>
      <c r="Q39" s="116" t="s">
        <v>880</v>
      </c>
      <c r="R39" s="200">
        <v>0.96</v>
      </c>
      <c r="S39" s="200">
        <v>0.7</v>
      </c>
      <c r="T39" s="200">
        <v>2.2</v>
      </c>
      <c r="U39" s="200">
        <v>0.1</v>
      </c>
      <c r="V39" s="200">
        <v>0.2</v>
      </c>
      <c r="W39" s="200">
        <v>0.2</v>
      </c>
    </row>
    <row r="40" ht="23.1" customHeight="1" spans="1:23">
      <c r="A40" s="191" t="s">
        <v>879</v>
      </c>
      <c r="B40" s="118">
        <v>1167</v>
      </c>
      <c r="C40" s="118">
        <v>6</v>
      </c>
      <c r="D40" s="118">
        <v>1</v>
      </c>
      <c r="E40" s="118">
        <v>3</v>
      </c>
      <c r="F40" s="118">
        <v>20</v>
      </c>
      <c r="G40" s="118">
        <v>3</v>
      </c>
      <c r="H40" s="118">
        <v>20</v>
      </c>
      <c r="I40" s="118">
        <v>9720000</v>
      </c>
      <c r="J40" s="118">
        <v>15630000</v>
      </c>
      <c r="K40" s="118">
        <v>2.3</v>
      </c>
      <c r="L40" s="196">
        <v>2</v>
      </c>
      <c r="M40" s="196">
        <v>200</v>
      </c>
      <c r="N40" s="118" t="s">
        <v>872</v>
      </c>
      <c r="O40" s="118" t="s">
        <v>873</v>
      </c>
      <c r="P40" s="118">
        <v>500000</v>
      </c>
      <c r="Q40" s="116" t="s">
        <v>880</v>
      </c>
      <c r="R40" s="200">
        <v>0.96</v>
      </c>
      <c r="S40" s="200">
        <v>0.7</v>
      </c>
      <c r="T40" s="200">
        <v>2.2</v>
      </c>
      <c r="U40" s="200">
        <v>0.1</v>
      </c>
      <c r="V40" s="200">
        <v>0.2</v>
      </c>
      <c r="W40" s="200">
        <v>0.2</v>
      </c>
    </row>
    <row r="41" ht="23.1" customHeight="1" spans="1:23">
      <c r="A41" s="191" t="s">
        <v>879</v>
      </c>
      <c r="B41" s="118">
        <v>1167</v>
      </c>
      <c r="C41" s="118">
        <v>7</v>
      </c>
      <c r="D41" s="118">
        <v>1</v>
      </c>
      <c r="E41" s="118">
        <v>3</v>
      </c>
      <c r="F41" s="118">
        <v>20</v>
      </c>
      <c r="G41" s="118">
        <v>3</v>
      </c>
      <c r="H41" s="118">
        <v>20</v>
      </c>
      <c r="I41" s="118">
        <v>32400000</v>
      </c>
      <c r="J41" s="118">
        <v>48030000</v>
      </c>
      <c r="K41" s="118">
        <v>2.36</v>
      </c>
      <c r="L41" s="196">
        <v>2</v>
      </c>
      <c r="M41" s="196">
        <v>200</v>
      </c>
      <c r="N41" s="118" t="s">
        <v>872</v>
      </c>
      <c r="O41" s="118" t="s">
        <v>873</v>
      </c>
      <c r="P41" s="118">
        <v>500000</v>
      </c>
      <c r="Q41" s="116" t="s">
        <v>880</v>
      </c>
      <c r="R41" s="200">
        <v>0.96</v>
      </c>
      <c r="S41" s="200">
        <v>0.7</v>
      </c>
      <c r="T41" s="200">
        <v>2.2</v>
      </c>
      <c r="U41" s="200">
        <v>0.1</v>
      </c>
      <c r="V41" s="200">
        <v>0.2</v>
      </c>
      <c r="W41" s="200">
        <v>0.2</v>
      </c>
    </row>
    <row r="42" ht="23.1" customHeight="1" spans="1:23">
      <c r="A42" s="191" t="s">
        <v>879</v>
      </c>
      <c r="B42" s="118">
        <v>1167</v>
      </c>
      <c r="C42" s="118">
        <v>8</v>
      </c>
      <c r="D42" s="118">
        <v>1</v>
      </c>
      <c r="E42" s="118">
        <v>3</v>
      </c>
      <c r="F42" s="118">
        <v>20</v>
      </c>
      <c r="G42" s="118">
        <v>3</v>
      </c>
      <c r="H42" s="118">
        <v>20</v>
      </c>
      <c r="I42" s="118">
        <v>64800000</v>
      </c>
      <c r="J42" s="118">
        <v>112830000</v>
      </c>
      <c r="K42" s="118">
        <v>2.42</v>
      </c>
      <c r="L42" s="196">
        <v>2</v>
      </c>
      <c r="M42" s="196">
        <v>200</v>
      </c>
      <c r="N42" s="118" t="s">
        <v>872</v>
      </c>
      <c r="O42" s="118" t="s">
        <v>873</v>
      </c>
      <c r="P42" s="118">
        <v>500000</v>
      </c>
      <c r="Q42" s="116" t="s">
        <v>880</v>
      </c>
      <c r="R42" s="200">
        <v>0.96</v>
      </c>
      <c r="S42" s="200">
        <v>0.7</v>
      </c>
      <c r="T42" s="200">
        <v>2.2</v>
      </c>
      <c r="U42" s="200">
        <v>0.1</v>
      </c>
      <c r="V42" s="200">
        <v>0.2</v>
      </c>
      <c r="W42" s="200">
        <v>0.2</v>
      </c>
    </row>
    <row r="43" ht="23.1" customHeight="1" spans="1:23">
      <c r="A43" s="191" t="s">
        <v>879</v>
      </c>
      <c r="B43" s="118">
        <v>1167</v>
      </c>
      <c r="C43" s="118">
        <v>9</v>
      </c>
      <c r="D43" s="118">
        <v>1</v>
      </c>
      <c r="E43" s="118">
        <v>3</v>
      </c>
      <c r="F43" s="118">
        <v>20</v>
      </c>
      <c r="G43" s="118">
        <v>3</v>
      </c>
      <c r="H43" s="118">
        <v>20</v>
      </c>
      <c r="I43" s="118">
        <v>97200000</v>
      </c>
      <c r="J43" s="118">
        <v>210030000</v>
      </c>
      <c r="K43" s="118">
        <v>2.48</v>
      </c>
      <c r="L43" s="196">
        <v>2</v>
      </c>
      <c r="M43" s="196">
        <v>200</v>
      </c>
      <c r="N43" s="118" t="s">
        <v>872</v>
      </c>
      <c r="O43" s="118" t="s">
        <v>873</v>
      </c>
      <c r="P43" s="118">
        <v>500000</v>
      </c>
      <c r="Q43" s="116" t="s">
        <v>880</v>
      </c>
      <c r="R43" s="200">
        <v>0.96</v>
      </c>
      <c r="S43" s="200">
        <v>0.7</v>
      </c>
      <c r="T43" s="200">
        <v>2.2</v>
      </c>
      <c r="U43" s="200">
        <v>0.1</v>
      </c>
      <c r="V43" s="200">
        <v>0.2</v>
      </c>
      <c r="W43" s="200">
        <v>0.2</v>
      </c>
    </row>
    <row r="44" ht="23.1" customHeight="1" spans="1:23">
      <c r="A44" s="191" t="s">
        <v>879</v>
      </c>
      <c r="B44" s="118">
        <v>1167</v>
      </c>
      <c r="C44" s="118">
        <v>10</v>
      </c>
      <c r="D44" s="118">
        <v>1</v>
      </c>
      <c r="E44" s="118">
        <v>3</v>
      </c>
      <c r="F44" s="118">
        <v>20</v>
      </c>
      <c r="G44" s="118">
        <v>3</v>
      </c>
      <c r="H44" s="118">
        <v>20</v>
      </c>
      <c r="I44" s="118">
        <v>1</v>
      </c>
      <c r="J44" s="118">
        <v>210030001</v>
      </c>
      <c r="K44" s="118">
        <v>2.6</v>
      </c>
      <c r="L44" s="196">
        <v>2</v>
      </c>
      <c r="M44" s="196">
        <v>200</v>
      </c>
      <c r="N44" s="118" t="s">
        <v>872</v>
      </c>
      <c r="O44" s="118" t="s">
        <v>873</v>
      </c>
      <c r="P44" s="118">
        <v>500000</v>
      </c>
      <c r="Q44" s="116" t="s">
        <v>880</v>
      </c>
      <c r="R44" s="200">
        <v>0.96</v>
      </c>
      <c r="S44" s="200">
        <v>0.7</v>
      </c>
      <c r="T44" s="200">
        <v>2.2</v>
      </c>
      <c r="U44" s="200">
        <v>0.1</v>
      </c>
      <c r="V44" s="200">
        <v>0.2</v>
      </c>
      <c r="W44" s="200">
        <v>0.2</v>
      </c>
    </row>
    <row r="45" ht="23.1" customHeight="1" spans="1:23">
      <c r="A45" s="117" t="s">
        <v>881</v>
      </c>
      <c r="B45" s="118">
        <v>1289</v>
      </c>
      <c r="C45" s="118">
        <v>1</v>
      </c>
      <c r="D45" s="118">
        <v>2</v>
      </c>
      <c r="E45" s="118">
        <v>3</v>
      </c>
      <c r="F45" s="118">
        <v>35</v>
      </c>
      <c r="G45" s="118">
        <v>3</v>
      </c>
      <c r="H45" s="118">
        <v>35</v>
      </c>
      <c r="I45" s="118">
        <v>150000</v>
      </c>
      <c r="J45" s="118">
        <v>150000</v>
      </c>
      <c r="K45" s="118">
        <v>2.2</v>
      </c>
      <c r="L45" s="196">
        <v>2</v>
      </c>
      <c r="M45" s="196">
        <v>200</v>
      </c>
      <c r="N45" s="118" t="s">
        <v>872</v>
      </c>
      <c r="O45" s="118" t="s">
        <v>873</v>
      </c>
      <c r="P45" s="196">
        <v>666666</v>
      </c>
      <c r="Q45" s="116" t="s">
        <v>882</v>
      </c>
      <c r="R45" s="201">
        <v>0.96</v>
      </c>
      <c r="S45" s="201">
        <v>0.7</v>
      </c>
      <c r="T45" s="201">
        <v>2</v>
      </c>
      <c r="U45" s="201">
        <v>0.1</v>
      </c>
      <c r="V45" s="201">
        <v>0.25</v>
      </c>
      <c r="W45" s="201">
        <v>0.2</v>
      </c>
    </row>
    <row r="46" ht="23.1" customHeight="1" spans="1:23">
      <c r="A46" s="117" t="s">
        <v>881</v>
      </c>
      <c r="B46" s="118">
        <v>1289</v>
      </c>
      <c r="C46" s="118">
        <v>2</v>
      </c>
      <c r="D46" s="118">
        <v>2</v>
      </c>
      <c r="E46" s="118">
        <v>3</v>
      </c>
      <c r="F46" s="118">
        <v>35</v>
      </c>
      <c r="G46" s="118">
        <v>3</v>
      </c>
      <c r="H46" s="118">
        <v>35</v>
      </c>
      <c r="I46" s="118">
        <v>300000</v>
      </c>
      <c r="J46" s="118">
        <v>450000</v>
      </c>
      <c r="K46" s="118">
        <v>2.26</v>
      </c>
      <c r="L46" s="196">
        <v>2</v>
      </c>
      <c r="M46" s="196">
        <v>200</v>
      </c>
      <c r="N46" s="118" t="s">
        <v>872</v>
      </c>
      <c r="O46" s="118" t="s">
        <v>873</v>
      </c>
      <c r="P46" s="196">
        <v>666666</v>
      </c>
      <c r="Q46" s="116" t="s">
        <v>882</v>
      </c>
      <c r="R46" s="201">
        <v>0.96</v>
      </c>
      <c r="S46" s="201">
        <v>0.7</v>
      </c>
      <c r="T46" s="201">
        <v>2</v>
      </c>
      <c r="U46" s="201">
        <v>0.1</v>
      </c>
      <c r="V46" s="201">
        <v>0.25</v>
      </c>
      <c r="W46" s="201">
        <v>0.2</v>
      </c>
    </row>
    <row r="47" ht="23.1" customHeight="1" spans="1:23">
      <c r="A47" s="117" t="s">
        <v>881</v>
      </c>
      <c r="B47" s="118">
        <v>1289</v>
      </c>
      <c r="C47" s="118">
        <v>3</v>
      </c>
      <c r="D47" s="118">
        <v>2</v>
      </c>
      <c r="E47" s="118">
        <v>3</v>
      </c>
      <c r="F47" s="118">
        <v>35</v>
      </c>
      <c r="G47" s="118">
        <v>3</v>
      </c>
      <c r="H47" s="118">
        <v>35</v>
      </c>
      <c r="I47" s="118">
        <v>600000</v>
      </c>
      <c r="J47" s="118">
        <v>1050000</v>
      </c>
      <c r="K47" s="118">
        <v>2.32</v>
      </c>
      <c r="L47" s="196">
        <v>2</v>
      </c>
      <c r="M47" s="196">
        <v>200</v>
      </c>
      <c r="N47" s="118" t="s">
        <v>872</v>
      </c>
      <c r="O47" s="118" t="s">
        <v>873</v>
      </c>
      <c r="P47" s="196">
        <v>666666</v>
      </c>
      <c r="Q47" s="116" t="s">
        <v>882</v>
      </c>
      <c r="R47" s="201">
        <v>0.96</v>
      </c>
      <c r="S47" s="201">
        <v>0.7</v>
      </c>
      <c r="T47" s="201">
        <v>2</v>
      </c>
      <c r="U47" s="201">
        <v>0.1</v>
      </c>
      <c r="V47" s="201">
        <v>0.25</v>
      </c>
      <c r="W47" s="201">
        <v>0.2</v>
      </c>
    </row>
    <row r="48" ht="23.1" customHeight="1" spans="1:23">
      <c r="A48" s="117" t="s">
        <v>881</v>
      </c>
      <c r="B48" s="118">
        <v>1289</v>
      </c>
      <c r="C48" s="118">
        <v>4</v>
      </c>
      <c r="D48" s="118">
        <v>2</v>
      </c>
      <c r="E48" s="118">
        <v>3</v>
      </c>
      <c r="F48" s="118">
        <v>35</v>
      </c>
      <c r="G48" s="118">
        <v>3</v>
      </c>
      <c r="H48" s="118">
        <v>35</v>
      </c>
      <c r="I48" s="118">
        <v>1620000</v>
      </c>
      <c r="J48" s="118">
        <v>2670000</v>
      </c>
      <c r="K48" s="118">
        <v>2.38</v>
      </c>
      <c r="L48" s="196">
        <v>2</v>
      </c>
      <c r="M48" s="196">
        <v>200</v>
      </c>
      <c r="N48" s="118" t="s">
        <v>872</v>
      </c>
      <c r="O48" s="118" t="s">
        <v>873</v>
      </c>
      <c r="P48" s="196">
        <v>666666</v>
      </c>
      <c r="Q48" s="116" t="s">
        <v>882</v>
      </c>
      <c r="R48" s="201">
        <v>0.96</v>
      </c>
      <c r="S48" s="201">
        <v>0.7</v>
      </c>
      <c r="T48" s="201">
        <v>2</v>
      </c>
      <c r="U48" s="201">
        <v>0.1</v>
      </c>
      <c r="V48" s="201">
        <v>0.25</v>
      </c>
      <c r="W48" s="201">
        <v>0.2</v>
      </c>
    </row>
    <row r="49" ht="23.1" customHeight="1" spans="1:23">
      <c r="A49" s="117" t="s">
        <v>881</v>
      </c>
      <c r="B49" s="118">
        <v>1289</v>
      </c>
      <c r="C49" s="118">
        <v>5</v>
      </c>
      <c r="D49" s="118">
        <v>2</v>
      </c>
      <c r="E49" s="118">
        <v>3</v>
      </c>
      <c r="F49" s="118">
        <v>35</v>
      </c>
      <c r="G49" s="118">
        <v>3</v>
      </c>
      <c r="H49" s="118">
        <v>35</v>
      </c>
      <c r="I49" s="118">
        <v>3240000</v>
      </c>
      <c r="J49" s="118">
        <v>5910000</v>
      </c>
      <c r="K49" s="118">
        <v>2.44</v>
      </c>
      <c r="L49" s="196">
        <v>2</v>
      </c>
      <c r="M49" s="196">
        <v>200</v>
      </c>
      <c r="N49" s="118" t="s">
        <v>872</v>
      </c>
      <c r="O49" s="118" t="s">
        <v>873</v>
      </c>
      <c r="P49" s="196">
        <v>666666</v>
      </c>
      <c r="Q49" s="116" t="s">
        <v>882</v>
      </c>
      <c r="R49" s="201">
        <v>0.96</v>
      </c>
      <c r="S49" s="201">
        <v>0.7</v>
      </c>
      <c r="T49" s="201">
        <v>2</v>
      </c>
      <c r="U49" s="201">
        <v>0.1</v>
      </c>
      <c r="V49" s="201">
        <v>0.25</v>
      </c>
      <c r="W49" s="201">
        <v>0.2</v>
      </c>
    </row>
    <row r="50" ht="23.1" customHeight="1" spans="1:23">
      <c r="A50" s="117" t="s">
        <v>881</v>
      </c>
      <c r="B50" s="118">
        <v>1289</v>
      </c>
      <c r="C50" s="118">
        <v>6</v>
      </c>
      <c r="D50" s="118">
        <v>2</v>
      </c>
      <c r="E50" s="118">
        <v>3</v>
      </c>
      <c r="F50" s="118">
        <v>35</v>
      </c>
      <c r="G50" s="118">
        <v>3</v>
      </c>
      <c r="H50" s="118">
        <v>35</v>
      </c>
      <c r="I50" s="118">
        <v>9720000</v>
      </c>
      <c r="J50" s="118">
        <v>15630000</v>
      </c>
      <c r="K50" s="118">
        <v>2.5</v>
      </c>
      <c r="L50" s="196">
        <v>2</v>
      </c>
      <c r="M50" s="196">
        <v>200</v>
      </c>
      <c r="N50" s="118" t="s">
        <v>872</v>
      </c>
      <c r="O50" s="118" t="s">
        <v>873</v>
      </c>
      <c r="P50" s="196">
        <v>666666</v>
      </c>
      <c r="Q50" s="116" t="s">
        <v>882</v>
      </c>
      <c r="R50" s="201">
        <v>0.96</v>
      </c>
      <c r="S50" s="201">
        <v>0.7</v>
      </c>
      <c r="T50" s="201">
        <v>2</v>
      </c>
      <c r="U50" s="201">
        <v>0.1</v>
      </c>
      <c r="V50" s="201">
        <v>0.25</v>
      </c>
      <c r="W50" s="201">
        <v>0.2</v>
      </c>
    </row>
    <row r="51" ht="23.1" customHeight="1" spans="1:23">
      <c r="A51" s="117" t="s">
        <v>881</v>
      </c>
      <c r="B51" s="118">
        <v>1289</v>
      </c>
      <c r="C51" s="118">
        <v>7</v>
      </c>
      <c r="D51" s="118">
        <v>2</v>
      </c>
      <c r="E51" s="118">
        <v>3</v>
      </c>
      <c r="F51" s="118">
        <v>35</v>
      </c>
      <c r="G51" s="118">
        <v>3</v>
      </c>
      <c r="H51" s="118">
        <v>35</v>
      </c>
      <c r="I51" s="118">
        <v>32400000</v>
      </c>
      <c r="J51" s="118">
        <v>48030000</v>
      </c>
      <c r="K51" s="118">
        <v>2.56</v>
      </c>
      <c r="L51" s="196">
        <v>2</v>
      </c>
      <c r="M51" s="196">
        <v>200</v>
      </c>
      <c r="N51" s="118" t="s">
        <v>872</v>
      </c>
      <c r="O51" s="118" t="s">
        <v>873</v>
      </c>
      <c r="P51" s="196">
        <v>666666</v>
      </c>
      <c r="Q51" s="116" t="s">
        <v>882</v>
      </c>
      <c r="R51" s="201">
        <v>0.96</v>
      </c>
      <c r="S51" s="201">
        <v>0.7</v>
      </c>
      <c r="T51" s="201">
        <v>2</v>
      </c>
      <c r="U51" s="201">
        <v>0.1</v>
      </c>
      <c r="V51" s="201">
        <v>0.25</v>
      </c>
      <c r="W51" s="201">
        <v>0.2</v>
      </c>
    </row>
    <row r="52" ht="23.1" customHeight="1" spans="1:23">
      <c r="A52" s="117" t="s">
        <v>881</v>
      </c>
      <c r="B52" s="118">
        <v>1289</v>
      </c>
      <c r="C52" s="118">
        <v>8</v>
      </c>
      <c r="D52" s="118">
        <v>2</v>
      </c>
      <c r="E52" s="118">
        <v>3</v>
      </c>
      <c r="F52" s="118">
        <v>35</v>
      </c>
      <c r="G52" s="118">
        <v>3</v>
      </c>
      <c r="H52" s="118">
        <v>35</v>
      </c>
      <c r="I52" s="118">
        <v>64800000</v>
      </c>
      <c r="J52" s="118">
        <v>112830000</v>
      </c>
      <c r="K52" s="118">
        <v>2.62</v>
      </c>
      <c r="L52" s="196">
        <v>2</v>
      </c>
      <c r="M52" s="196">
        <v>200</v>
      </c>
      <c r="N52" s="118" t="s">
        <v>872</v>
      </c>
      <c r="O52" s="118" t="s">
        <v>873</v>
      </c>
      <c r="P52" s="196">
        <v>666666</v>
      </c>
      <c r="Q52" s="116" t="s">
        <v>882</v>
      </c>
      <c r="R52" s="201">
        <v>0.96</v>
      </c>
      <c r="S52" s="201">
        <v>0.7</v>
      </c>
      <c r="T52" s="201">
        <v>2</v>
      </c>
      <c r="U52" s="201">
        <v>0.1</v>
      </c>
      <c r="V52" s="201">
        <v>0.25</v>
      </c>
      <c r="W52" s="201">
        <v>0.2</v>
      </c>
    </row>
    <row r="53" ht="23.1" customHeight="1" spans="1:23">
      <c r="A53" s="117" t="s">
        <v>881</v>
      </c>
      <c r="B53" s="118">
        <v>1289</v>
      </c>
      <c r="C53" s="118">
        <v>9</v>
      </c>
      <c r="D53" s="118">
        <v>2</v>
      </c>
      <c r="E53" s="118">
        <v>3</v>
      </c>
      <c r="F53" s="118">
        <v>35</v>
      </c>
      <c r="G53" s="118">
        <v>3</v>
      </c>
      <c r="H53" s="118">
        <v>35</v>
      </c>
      <c r="I53" s="118">
        <v>97200000</v>
      </c>
      <c r="J53" s="118">
        <v>210030000</v>
      </c>
      <c r="K53" s="118">
        <v>2.68</v>
      </c>
      <c r="L53" s="196">
        <v>2</v>
      </c>
      <c r="M53" s="196">
        <v>200</v>
      </c>
      <c r="N53" s="118" t="s">
        <v>872</v>
      </c>
      <c r="O53" s="118" t="s">
        <v>873</v>
      </c>
      <c r="P53" s="196">
        <v>666666</v>
      </c>
      <c r="Q53" s="116" t="s">
        <v>882</v>
      </c>
      <c r="R53" s="201">
        <v>0.96</v>
      </c>
      <c r="S53" s="201">
        <v>0.7</v>
      </c>
      <c r="T53" s="201">
        <v>2</v>
      </c>
      <c r="U53" s="201">
        <v>0.1</v>
      </c>
      <c r="V53" s="201">
        <v>0.25</v>
      </c>
      <c r="W53" s="201">
        <v>0.2</v>
      </c>
    </row>
    <row r="54" ht="23.1" customHeight="1" spans="1:23">
      <c r="A54" s="117" t="s">
        <v>881</v>
      </c>
      <c r="B54" s="118">
        <v>1289</v>
      </c>
      <c r="C54" s="118">
        <v>10</v>
      </c>
      <c r="D54" s="118">
        <v>2</v>
      </c>
      <c r="E54" s="118">
        <v>3</v>
      </c>
      <c r="F54" s="118">
        <v>35</v>
      </c>
      <c r="G54" s="118">
        <v>3</v>
      </c>
      <c r="H54" s="118">
        <v>35</v>
      </c>
      <c r="I54" s="118">
        <v>1</v>
      </c>
      <c r="J54" s="118">
        <v>210030001</v>
      </c>
      <c r="K54" s="118">
        <v>2.8</v>
      </c>
      <c r="L54" s="196">
        <v>2</v>
      </c>
      <c r="M54" s="196">
        <v>200</v>
      </c>
      <c r="N54" s="118" t="s">
        <v>872</v>
      </c>
      <c r="O54" s="118" t="s">
        <v>873</v>
      </c>
      <c r="P54" s="196">
        <v>666666</v>
      </c>
      <c r="Q54" s="116" t="s">
        <v>882</v>
      </c>
      <c r="R54" s="201">
        <v>0.96</v>
      </c>
      <c r="S54" s="201">
        <v>0.7</v>
      </c>
      <c r="T54" s="201">
        <v>2</v>
      </c>
      <c r="U54" s="201">
        <v>0.1</v>
      </c>
      <c r="V54" s="201">
        <v>0.25</v>
      </c>
      <c r="W54" s="201">
        <v>0.2</v>
      </c>
    </row>
    <row r="55" ht="23.1" customHeight="1" spans="1:23">
      <c r="A55" s="191" t="s">
        <v>883</v>
      </c>
      <c r="B55" s="118">
        <v>1290</v>
      </c>
      <c r="C55" s="118">
        <v>1</v>
      </c>
      <c r="D55" s="118">
        <v>2</v>
      </c>
      <c r="E55" s="118">
        <v>3</v>
      </c>
      <c r="F55" s="118">
        <v>40</v>
      </c>
      <c r="G55" s="118">
        <v>3</v>
      </c>
      <c r="H55" s="118">
        <v>40</v>
      </c>
      <c r="I55" s="118">
        <v>150000</v>
      </c>
      <c r="J55" s="118">
        <v>150000</v>
      </c>
      <c r="K55" s="118">
        <v>2.4</v>
      </c>
      <c r="L55" s="196">
        <v>2</v>
      </c>
      <c r="M55" s="196">
        <v>200</v>
      </c>
      <c r="N55" s="118" t="s">
        <v>872</v>
      </c>
      <c r="O55" s="118" t="s">
        <v>873</v>
      </c>
      <c r="P55" s="196">
        <v>666666</v>
      </c>
      <c r="Q55" s="116" t="s">
        <v>884</v>
      </c>
      <c r="R55" s="202">
        <v>0.96</v>
      </c>
      <c r="S55" s="202">
        <v>0.72</v>
      </c>
      <c r="T55" s="202">
        <v>2.4</v>
      </c>
      <c r="U55" s="202">
        <v>0.08</v>
      </c>
      <c r="V55" s="202">
        <v>0.25</v>
      </c>
      <c r="W55" s="202">
        <v>0.2</v>
      </c>
    </row>
    <row r="56" ht="23.1" customHeight="1" spans="1:23">
      <c r="A56" s="191" t="s">
        <v>883</v>
      </c>
      <c r="B56" s="118">
        <v>1290</v>
      </c>
      <c r="C56" s="118">
        <v>2</v>
      </c>
      <c r="D56" s="118">
        <v>2</v>
      </c>
      <c r="E56" s="118">
        <v>3</v>
      </c>
      <c r="F56" s="118">
        <v>40</v>
      </c>
      <c r="G56" s="118">
        <v>3</v>
      </c>
      <c r="H56" s="118">
        <v>40</v>
      </c>
      <c r="I56" s="118">
        <v>300000</v>
      </c>
      <c r="J56" s="118">
        <v>450000</v>
      </c>
      <c r="K56" s="118">
        <v>2.46</v>
      </c>
      <c r="L56" s="196">
        <v>2</v>
      </c>
      <c r="M56" s="196">
        <v>200</v>
      </c>
      <c r="N56" s="118" t="s">
        <v>872</v>
      </c>
      <c r="O56" s="118" t="s">
        <v>873</v>
      </c>
      <c r="P56" s="196">
        <v>666666</v>
      </c>
      <c r="Q56" s="116" t="s">
        <v>884</v>
      </c>
      <c r="R56" s="202">
        <v>0.96</v>
      </c>
      <c r="S56" s="202">
        <v>0.72</v>
      </c>
      <c r="T56" s="202">
        <v>2.4</v>
      </c>
      <c r="U56" s="202">
        <v>0.08</v>
      </c>
      <c r="V56" s="202">
        <v>0.25</v>
      </c>
      <c r="W56" s="202">
        <v>0.2</v>
      </c>
    </row>
    <row r="57" ht="23.1" customHeight="1" spans="1:23">
      <c r="A57" s="191" t="s">
        <v>883</v>
      </c>
      <c r="B57" s="118">
        <v>1290</v>
      </c>
      <c r="C57" s="118">
        <v>3</v>
      </c>
      <c r="D57" s="118">
        <v>2</v>
      </c>
      <c r="E57" s="118">
        <v>3</v>
      </c>
      <c r="F57" s="118">
        <v>40</v>
      </c>
      <c r="G57" s="118">
        <v>3</v>
      </c>
      <c r="H57" s="118">
        <v>40</v>
      </c>
      <c r="I57" s="118">
        <v>600000</v>
      </c>
      <c r="J57" s="118">
        <v>1050000</v>
      </c>
      <c r="K57" s="118">
        <v>2.52</v>
      </c>
      <c r="L57" s="196">
        <v>2</v>
      </c>
      <c r="M57" s="196">
        <v>200</v>
      </c>
      <c r="N57" s="118" t="s">
        <v>872</v>
      </c>
      <c r="O57" s="118" t="s">
        <v>873</v>
      </c>
      <c r="P57" s="196">
        <v>666666</v>
      </c>
      <c r="Q57" s="116" t="s">
        <v>884</v>
      </c>
      <c r="R57" s="202">
        <v>0.96</v>
      </c>
      <c r="S57" s="202">
        <v>0.72</v>
      </c>
      <c r="T57" s="202">
        <v>2.4</v>
      </c>
      <c r="U57" s="202">
        <v>0.08</v>
      </c>
      <c r="V57" s="202">
        <v>0.25</v>
      </c>
      <c r="W57" s="202">
        <v>0.2</v>
      </c>
    </row>
    <row r="58" ht="23.1" customHeight="1" spans="1:23">
      <c r="A58" s="191" t="s">
        <v>883</v>
      </c>
      <c r="B58" s="118">
        <v>1290</v>
      </c>
      <c r="C58" s="118">
        <v>4</v>
      </c>
      <c r="D58" s="118">
        <v>2</v>
      </c>
      <c r="E58" s="118">
        <v>3</v>
      </c>
      <c r="F58" s="118">
        <v>40</v>
      </c>
      <c r="G58" s="118">
        <v>3</v>
      </c>
      <c r="H58" s="118">
        <v>40</v>
      </c>
      <c r="I58" s="118">
        <v>1620000</v>
      </c>
      <c r="J58" s="118">
        <v>2670000</v>
      </c>
      <c r="K58" s="118">
        <v>2.58</v>
      </c>
      <c r="L58" s="196">
        <v>2</v>
      </c>
      <c r="M58" s="196">
        <v>200</v>
      </c>
      <c r="N58" s="118" t="s">
        <v>872</v>
      </c>
      <c r="O58" s="118" t="s">
        <v>873</v>
      </c>
      <c r="P58" s="196">
        <v>666666</v>
      </c>
      <c r="Q58" s="116" t="s">
        <v>884</v>
      </c>
      <c r="R58" s="202">
        <v>0.96</v>
      </c>
      <c r="S58" s="202">
        <v>0.72</v>
      </c>
      <c r="T58" s="202">
        <v>2.4</v>
      </c>
      <c r="U58" s="202">
        <v>0.08</v>
      </c>
      <c r="V58" s="202">
        <v>0.25</v>
      </c>
      <c r="W58" s="202">
        <v>0.2</v>
      </c>
    </row>
    <row r="59" ht="23.1" customHeight="1" spans="1:23">
      <c r="A59" s="191" t="s">
        <v>883</v>
      </c>
      <c r="B59" s="118">
        <v>1290</v>
      </c>
      <c r="C59" s="118">
        <v>5</v>
      </c>
      <c r="D59" s="118">
        <v>2</v>
      </c>
      <c r="E59" s="118">
        <v>3</v>
      </c>
      <c r="F59" s="118">
        <v>40</v>
      </c>
      <c r="G59" s="118">
        <v>3</v>
      </c>
      <c r="H59" s="118">
        <v>40</v>
      </c>
      <c r="I59" s="118">
        <v>3240000</v>
      </c>
      <c r="J59" s="118">
        <v>5910000</v>
      </c>
      <c r="K59" s="118">
        <v>2.64</v>
      </c>
      <c r="L59" s="196">
        <v>2</v>
      </c>
      <c r="M59" s="196">
        <v>200</v>
      </c>
      <c r="N59" s="118" t="s">
        <v>872</v>
      </c>
      <c r="O59" s="118" t="s">
        <v>873</v>
      </c>
      <c r="P59" s="196">
        <v>666666</v>
      </c>
      <c r="Q59" s="116" t="s">
        <v>884</v>
      </c>
      <c r="R59" s="202">
        <v>0.96</v>
      </c>
      <c r="S59" s="202">
        <v>0.72</v>
      </c>
      <c r="T59" s="202">
        <v>2.4</v>
      </c>
      <c r="U59" s="202">
        <v>0.08</v>
      </c>
      <c r="V59" s="202">
        <v>0.25</v>
      </c>
      <c r="W59" s="202">
        <v>0.2</v>
      </c>
    </row>
    <row r="60" ht="23.1" customHeight="1" spans="1:23">
      <c r="A60" s="191" t="s">
        <v>883</v>
      </c>
      <c r="B60" s="118">
        <v>1290</v>
      </c>
      <c r="C60" s="118">
        <v>6</v>
      </c>
      <c r="D60" s="118">
        <v>2</v>
      </c>
      <c r="E60" s="118">
        <v>3</v>
      </c>
      <c r="F60" s="118">
        <v>40</v>
      </c>
      <c r="G60" s="118">
        <v>3</v>
      </c>
      <c r="H60" s="118">
        <v>40</v>
      </c>
      <c r="I60" s="118">
        <v>9720000</v>
      </c>
      <c r="J60" s="118">
        <v>15630000</v>
      </c>
      <c r="K60" s="118">
        <v>2.7</v>
      </c>
      <c r="L60" s="196">
        <v>2</v>
      </c>
      <c r="M60" s="196">
        <v>200</v>
      </c>
      <c r="N60" s="118" t="s">
        <v>872</v>
      </c>
      <c r="O60" s="118" t="s">
        <v>873</v>
      </c>
      <c r="P60" s="196">
        <v>666666</v>
      </c>
      <c r="Q60" s="116" t="s">
        <v>884</v>
      </c>
      <c r="R60" s="202">
        <v>0.96</v>
      </c>
      <c r="S60" s="202">
        <v>0.72</v>
      </c>
      <c r="T60" s="202">
        <v>2.4</v>
      </c>
      <c r="U60" s="202">
        <v>0.08</v>
      </c>
      <c r="V60" s="202">
        <v>0.25</v>
      </c>
      <c r="W60" s="202">
        <v>0.2</v>
      </c>
    </row>
    <row r="61" ht="23.1" customHeight="1" spans="1:23">
      <c r="A61" s="191" t="s">
        <v>883</v>
      </c>
      <c r="B61" s="118">
        <v>1290</v>
      </c>
      <c r="C61" s="118">
        <v>7</v>
      </c>
      <c r="D61" s="118">
        <v>2</v>
      </c>
      <c r="E61" s="118">
        <v>3</v>
      </c>
      <c r="F61" s="118">
        <v>40</v>
      </c>
      <c r="G61" s="118">
        <v>3</v>
      </c>
      <c r="H61" s="118">
        <v>40</v>
      </c>
      <c r="I61" s="118">
        <v>32400000</v>
      </c>
      <c r="J61" s="118">
        <v>48030000</v>
      </c>
      <c r="K61" s="118">
        <v>2.76</v>
      </c>
      <c r="L61" s="196">
        <v>2</v>
      </c>
      <c r="M61" s="196">
        <v>200</v>
      </c>
      <c r="N61" s="118" t="s">
        <v>872</v>
      </c>
      <c r="O61" s="118" t="s">
        <v>873</v>
      </c>
      <c r="P61" s="196">
        <v>666666</v>
      </c>
      <c r="Q61" s="116" t="s">
        <v>884</v>
      </c>
      <c r="R61" s="202">
        <v>0.96</v>
      </c>
      <c r="S61" s="202">
        <v>0.72</v>
      </c>
      <c r="T61" s="202">
        <v>2.4</v>
      </c>
      <c r="U61" s="202">
        <v>0.08</v>
      </c>
      <c r="V61" s="202">
        <v>0.25</v>
      </c>
      <c r="W61" s="202">
        <v>0.2</v>
      </c>
    </row>
    <row r="62" ht="23.1" customHeight="1" spans="1:23">
      <c r="A62" s="191" t="s">
        <v>883</v>
      </c>
      <c r="B62" s="118">
        <v>1290</v>
      </c>
      <c r="C62" s="118">
        <v>8</v>
      </c>
      <c r="D62" s="118">
        <v>2</v>
      </c>
      <c r="E62" s="118">
        <v>3</v>
      </c>
      <c r="F62" s="118">
        <v>40</v>
      </c>
      <c r="G62" s="118">
        <v>3</v>
      </c>
      <c r="H62" s="118">
        <v>40</v>
      </c>
      <c r="I62" s="118">
        <v>64800000</v>
      </c>
      <c r="J62" s="118">
        <v>112830000</v>
      </c>
      <c r="K62" s="118">
        <v>2.82</v>
      </c>
      <c r="L62" s="196">
        <v>2</v>
      </c>
      <c r="M62" s="196">
        <v>200</v>
      </c>
      <c r="N62" s="118" t="s">
        <v>872</v>
      </c>
      <c r="O62" s="118" t="s">
        <v>873</v>
      </c>
      <c r="P62" s="196">
        <v>666666</v>
      </c>
      <c r="Q62" s="116" t="s">
        <v>884</v>
      </c>
      <c r="R62" s="202">
        <v>0.96</v>
      </c>
      <c r="S62" s="202">
        <v>0.72</v>
      </c>
      <c r="T62" s="202">
        <v>2.4</v>
      </c>
      <c r="U62" s="202">
        <v>0.08</v>
      </c>
      <c r="V62" s="202">
        <v>0.25</v>
      </c>
      <c r="W62" s="202">
        <v>0.2</v>
      </c>
    </row>
    <row r="63" ht="23.1" customHeight="1" spans="1:23">
      <c r="A63" s="191" t="s">
        <v>883</v>
      </c>
      <c r="B63" s="118">
        <v>1290</v>
      </c>
      <c r="C63" s="118">
        <v>9</v>
      </c>
      <c r="D63" s="118">
        <v>2</v>
      </c>
      <c r="E63" s="118">
        <v>3</v>
      </c>
      <c r="F63" s="118">
        <v>40</v>
      </c>
      <c r="G63" s="118">
        <v>3</v>
      </c>
      <c r="H63" s="118">
        <v>40</v>
      </c>
      <c r="I63" s="118">
        <v>97200000</v>
      </c>
      <c r="J63" s="118">
        <v>210030000</v>
      </c>
      <c r="K63" s="118">
        <v>2.88</v>
      </c>
      <c r="L63" s="196">
        <v>2</v>
      </c>
      <c r="M63" s="196">
        <v>200</v>
      </c>
      <c r="N63" s="118" t="s">
        <v>872</v>
      </c>
      <c r="O63" s="118" t="s">
        <v>873</v>
      </c>
      <c r="P63" s="196">
        <v>666666</v>
      </c>
      <c r="Q63" s="116" t="s">
        <v>884</v>
      </c>
      <c r="R63" s="202">
        <v>0.96</v>
      </c>
      <c r="S63" s="202">
        <v>0.72</v>
      </c>
      <c r="T63" s="202">
        <v>2.4</v>
      </c>
      <c r="U63" s="202">
        <v>0.08</v>
      </c>
      <c r="V63" s="202">
        <v>0.25</v>
      </c>
      <c r="W63" s="202">
        <v>0.2</v>
      </c>
    </row>
    <row r="64" ht="23.1" customHeight="1" spans="1:23">
      <c r="A64" s="191" t="s">
        <v>883</v>
      </c>
      <c r="B64" s="118">
        <v>1290</v>
      </c>
      <c r="C64" s="118">
        <v>10</v>
      </c>
      <c r="D64" s="118">
        <v>2</v>
      </c>
      <c r="E64" s="118">
        <v>3</v>
      </c>
      <c r="F64" s="118">
        <v>40</v>
      </c>
      <c r="G64" s="118">
        <v>3</v>
      </c>
      <c r="H64" s="118">
        <v>40</v>
      </c>
      <c r="I64" s="118">
        <v>1</v>
      </c>
      <c r="J64" s="118">
        <v>210030001</v>
      </c>
      <c r="K64" s="118">
        <v>3</v>
      </c>
      <c r="L64" s="196">
        <v>2</v>
      </c>
      <c r="M64" s="196">
        <v>200</v>
      </c>
      <c r="N64" s="118" t="s">
        <v>872</v>
      </c>
      <c r="O64" s="118" t="s">
        <v>873</v>
      </c>
      <c r="P64" s="196">
        <v>666666</v>
      </c>
      <c r="Q64" s="116" t="s">
        <v>884</v>
      </c>
      <c r="R64" s="202">
        <v>0.96</v>
      </c>
      <c r="S64" s="202">
        <v>0.72</v>
      </c>
      <c r="T64" s="202">
        <v>2.4</v>
      </c>
      <c r="U64" s="202">
        <v>0.08</v>
      </c>
      <c r="V64" s="202">
        <v>0.25</v>
      </c>
      <c r="W64" s="202">
        <v>0.2</v>
      </c>
    </row>
  </sheetData>
  <pageMargins left="0.699305555555556" right="0.699305555555556" top="0.75" bottom="0.75" header="0.3" footer="0.3"/>
  <headerFooter/>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D19"/>
  <sheetViews>
    <sheetView topLeftCell="B1" workbookViewId="0">
      <selection activeCell="A1" sqref="A1:D19"/>
    </sheetView>
  </sheetViews>
  <sheetFormatPr defaultColWidth="11.0986842105263" defaultRowHeight="23.1" customHeight="1" outlineLevelCol="3"/>
  <cols>
    <col min="4" max="4" width="13.4013157894737" customWidth="1"/>
  </cols>
  <sheetData>
    <row r="1" customHeight="1" spans="1:4">
      <c r="A1" s="118" t="s">
        <v>885</v>
      </c>
      <c r="B1" s="118" t="s">
        <v>886</v>
      </c>
      <c r="C1" s="118" t="s">
        <v>543</v>
      </c>
      <c r="D1" s="118" t="s">
        <v>887</v>
      </c>
    </row>
    <row r="2" customHeight="1" spans="1:4">
      <c r="A2" s="118" t="s">
        <v>39</v>
      </c>
      <c r="B2" s="118" t="s">
        <v>39</v>
      </c>
      <c r="C2" s="118" t="s">
        <v>39</v>
      </c>
      <c r="D2" s="118" t="s">
        <v>39</v>
      </c>
    </row>
    <row r="3" customHeight="1" spans="1:4">
      <c r="A3" s="118" t="s">
        <v>888</v>
      </c>
      <c r="B3" s="118" t="s">
        <v>889</v>
      </c>
      <c r="C3" s="118" t="s">
        <v>890</v>
      </c>
      <c r="D3" s="118" t="s">
        <v>891</v>
      </c>
    </row>
    <row r="4" customHeight="1" spans="1:4">
      <c r="A4" s="118">
        <v>1352</v>
      </c>
      <c r="B4" s="118">
        <v>1288</v>
      </c>
      <c r="C4" s="118">
        <v>1352</v>
      </c>
      <c r="D4" s="118">
        <v>20</v>
      </c>
    </row>
    <row r="5" customHeight="1" spans="1:4">
      <c r="A5" s="118">
        <v>1353</v>
      </c>
      <c r="B5" s="118">
        <v>1165</v>
      </c>
      <c r="C5" s="118">
        <v>1353</v>
      </c>
      <c r="D5" s="118">
        <v>20</v>
      </c>
    </row>
    <row r="6" customHeight="1" spans="1:4">
      <c r="A6" s="118">
        <v>1354</v>
      </c>
      <c r="B6" s="118">
        <v>1166</v>
      </c>
      <c r="C6" s="118">
        <v>1354</v>
      </c>
      <c r="D6" s="118">
        <v>20</v>
      </c>
    </row>
    <row r="7" customHeight="1" spans="1:4">
      <c r="A7" s="118">
        <v>1355</v>
      </c>
      <c r="B7" s="118">
        <v>1167</v>
      </c>
      <c r="C7" s="118">
        <v>1355</v>
      </c>
      <c r="D7" s="118">
        <v>20</v>
      </c>
    </row>
    <row r="8" customHeight="1" spans="1:4">
      <c r="A8" s="118">
        <v>1356</v>
      </c>
      <c r="B8" s="118">
        <v>1289</v>
      </c>
      <c r="C8" s="118">
        <v>1356</v>
      </c>
      <c r="D8" s="118">
        <v>20</v>
      </c>
    </row>
    <row r="9" customHeight="1" spans="1:4">
      <c r="A9" s="118">
        <v>1357</v>
      </c>
      <c r="B9" s="118">
        <v>1290</v>
      </c>
      <c r="C9" s="118">
        <v>1357</v>
      </c>
      <c r="D9" s="118">
        <v>20</v>
      </c>
    </row>
    <row r="10" customHeight="1" spans="1:4">
      <c r="A10" s="118">
        <v>1366</v>
      </c>
      <c r="B10" s="118">
        <v>0</v>
      </c>
      <c r="C10" s="118">
        <v>1366</v>
      </c>
      <c r="D10" s="118">
        <v>20</v>
      </c>
    </row>
    <row r="11" customHeight="1" spans="1:4">
      <c r="A11" s="118">
        <v>1395</v>
      </c>
      <c r="B11" s="118">
        <v>1288</v>
      </c>
      <c r="C11" s="118">
        <v>1395</v>
      </c>
      <c r="D11" s="118">
        <v>20</v>
      </c>
    </row>
    <row r="12" customHeight="1" spans="1:4">
      <c r="A12" s="118">
        <v>1471</v>
      </c>
      <c r="B12" s="118">
        <v>1165</v>
      </c>
      <c r="C12" s="118">
        <v>1471</v>
      </c>
      <c r="D12" s="118">
        <v>20</v>
      </c>
    </row>
    <row r="13" customHeight="1" spans="1:4">
      <c r="A13" s="118">
        <v>1472</v>
      </c>
      <c r="B13" s="118">
        <v>1165</v>
      </c>
      <c r="C13" s="118">
        <v>1472</v>
      </c>
      <c r="D13" s="118">
        <v>20</v>
      </c>
    </row>
    <row r="14" customHeight="1" spans="1:4">
      <c r="A14" s="118">
        <v>1473</v>
      </c>
      <c r="B14" s="118">
        <v>1166</v>
      </c>
      <c r="C14" s="118">
        <v>1473</v>
      </c>
      <c r="D14" s="118">
        <v>20</v>
      </c>
    </row>
    <row r="15" customHeight="1" spans="1:4">
      <c r="A15" s="118">
        <v>1475</v>
      </c>
      <c r="B15" s="118">
        <v>1167</v>
      </c>
      <c r="C15" s="118">
        <v>1475</v>
      </c>
      <c r="D15" s="118">
        <v>20</v>
      </c>
    </row>
    <row r="16" customHeight="1" spans="1:4">
      <c r="A16" s="118">
        <v>1476</v>
      </c>
      <c r="B16" s="118">
        <v>1167</v>
      </c>
      <c r="C16" s="118">
        <v>1476</v>
      </c>
      <c r="D16" s="118">
        <v>20</v>
      </c>
    </row>
    <row r="17" ht="23.25" customHeight="1" spans="1:4">
      <c r="A17" s="118">
        <v>1477</v>
      </c>
      <c r="B17" s="118">
        <v>1289</v>
      </c>
      <c r="C17" s="118">
        <v>1477</v>
      </c>
      <c r="D17" s="118">
        <v>20</v>
      </c>
    </row>
    <row r="18" ht="23.25" customHeight="1" spans="1:4">
      <c r="A18" s="118">
        <v>1478</v>
      </c>
      <c r="B18" s="118">
        <v>1289</v>
      </c>
      <c r="C18" s="118">
        <v>1478</v>
      </c>
      <c r="D18" s="118">
        <v>20</v>
      </c>
    </row>
    <row r="19" customHeight="1" spans="1:4">
      <c r="A19" s="118">
        <v>1479</v>
      </c>
      <c r="B19" s="118">
        <v>1290</v>
      </c>
      <c r="C19" s="118">
        <v>1479</v>
      </c>
      <c r="D19" s="118">
        <v>20</v>
      </c>
    </row>
  </sheetData>
  <pageMargins left="0.699305555555556" right="0.699305555555556" top="0.75" bottom="0.75" header="0.3" footer="0.3"/>
  <pageSetup paperSize="9" orientation="portrait"/>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5"/>
  <sheetViews>
    <sheetView workbookViewId="0">
      <selection activeCell="G26" sqref="G26"/>
    </sheetView>
  </sheetViews>
  <sheetFormatPr defaultColWidth="9" defaultRowHeight="15.2" outlineLevelRow="4" outlineLevelCol="6"/>
  <cols>
    <col min="2" max="2" width="13.9013157894737" customWidth="1"/>
    <col min="5" max="5" width="25.5986842105263" customWidth="1"/>
  </cols>
  <sheetData>
    <row r="1" spans="1:7">
      <c r="A1" s="184" t="s">
        <v>892</v>
      </c>
      <c r="B1" s="184" t="s">
        <v>893</v>
      </c>
      <c r="C1" s="184" t="s">
        <v>28</v>
      </c>
      <c r="D1" s="184" t="s">
        <v>894</v>
      </c>
      <c r="E1" s="186" t="s">
        <v>895</v>
      </c>
      <c r="F1" s="187" t="s">
        <v>896</v>
      </c>
      <c r="G1" s="187"/>
    </row>
    <row r="2" spans="1:7">
      <c r="A2" s="184" t="s">
        <v>39</v>
      </c>
      <c r="B2" s="184" t="s">
        <v>40</v>
      </c>
      <c r="C2" s="184" t="s">
        <v>39</v>
      </c>
      <c r="D2" s="184" t="s">
        <v>39</v>
      </c>
      <c r="E2" s="186" t="s">
        <v>40</v>
      </c>
      <c r="F2" s="187" t="s">
        <v>40</v>
      </c>
      <c r="G2" s="187"/>
    </row>
    <row r="3" spans="1:7">
      <c r="A3" s="185" t="s">
        <v>897</v>
      </c>
      <c r="B3" s="185" t="s">
        <v>653</v>
      </c>
      <c r="C3" s="185" t="s">
        <v>898</v>
      </c>
      <c r="D3" s="185" t="s">
        <v>899</v>
      </c>
      <c r="E3" s="186" t="s">
        <v>900</v>
      </c>
      <c r="F3" s="188" t="s">
        <v>12</v>
      </c>
      <c r="G3" s="188"/>
    </row>
    <row r="4" ht="31.5" customHeight="1" spans="1:7">
      <c r="A4" s="113">
        <v>10001</v>
      </c>
      <c r="B4" s="185" t="s">
        <v>901</v>
      </c>
      <c r="C4" s="184">
        <v>1</v>
      </c>
      <c r="D4" s="184">
        <v>0</v>
      </c>
      <c r="E4" s="98" t="s">
        <v>902</v>
      </c>
      <c r="F4" s="189" t="s">
        <v>903</v>
      </c>
      <c r="G4" s="190" t="s">
        <v>904</v>
      </c>
    </row>
    <row r="5" ht="18" spans="1:7">
      <c r="A5" s="113">
        <v>10002</v>
      </c>
      <c r="B5" s="113" t="s">
        <v>905</v>
      </c>
      <c r="C5" s="113">
        <v>2</v>
      </c>
      <c r="D5" s="113">
        <v>0</v>
      </c>
      <c r="E5" s="113" t="s">
        <v>906</v>
      </c>
      <c r="F5" s="189" t="s">
        <v>903</v>
      </c>
      <c r="G5" s="189"/>
    </row>
  </sheetData>
  <pageMargins left="0.75" right="0.75" top="1" bottom="1" header="0.5" footer="0.5"/>
  <pageSetup paperSize="9" orientation="portrait"/>
  <headerFooter/>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P741"/>
  <sheetViews>
    <sheetView workbookViewId="0">
      <selection activeCell="F8" sqref="F8"/>
    </sheetView>
  </sheetViews>
  <sheetFormatPr defaultColWidth="11.0986842105263" defaultRowHeight="16.5" customHeight="1"/>
  <cols>
    <col min="1" max="2" width="10" customWidth="1"/>
    <col min="3" max="3" width="24.5986842105263" style="161" customWidth="1"/>
    <col min="4" max="4" width="11" customWidth="1"/>
    <col min="10" max="10" width="15.0986842105263" customWidth="1"/>
    <col min="11" max="11" width="14.5" customWidth="1"/>
    <col min="14" max="14" width="9.09868421052632" customWidth="1"/>
  </cols>
  <sheetData>
    <row r="1" customHeight="1" spans="1:16">
      <c r="A1" s="162" t="s">
        <v>907</v>
      </c>
      <c r="B1" s="162" t="s">
        <v>908</v>
      </c>
      <c r="C1" s="163" t="s">
        <v>909</v>
      </c>
      <c r="D1" s="162" t="s">
        <v>910</v>
      </c>
      <c r="E1" s="172" t="s">
        <v>544</v>
      </c>
      <c r="F1" s="162" t="s">
        <v>911</v>
      </c>
      <c r="G1" s="162" t="s">
        <v>912</v>
      </c>
      <c r="H1" s="162" t="s">
        <v>896</v>
      </c>
      <c r="I1" s="162" t="s">
        <v>913</v>
      </c>
      <c r="J1" s="172" t="s">
        <v>914</v>
      </c>
      <c r="K1" s="172" t="s">
        <v>915</v>
      </c>
      <c r="L1" s="173" t="s">
        <v>916</v>
      </c>
      <c r="N1" s="176" t="s">
        <v>917</v>
      </c>
      <c r="O1" t="s">
        <v>918</v>
      </c>
      <c r="P1" t="s">
        <v>914</v>
      </c>
    </row>
    <row r="2" customHeight="1" spans="1:16">
      <c r="A2" s="164">
        <v>10001</v>
      </c>
      <c r="B2" s="164">
        <v>13</v>
      </c>
      <c r="C2" s="165" t="s">
        <v>919</v>
      </c>
      <c r="D2" s="164">
        <v>0</v>
      </c>
      <c r="E2" s="164">
        <v>2</v>
      </c>
      <c r="F2" s="164">
        <v>0</v>
      </c>
      <c r="G2" s="164">
        <v>0</v>
      </c>
      <c r="H2" s="164">
        <v>101</v>
      </c>
      <c r="I2" s="164">
        <v>200</v>
      </c>
      <c r="J2" s="164" t="s">
        <v>6</v>
      </c>
      <c r="K2" s="164">
        <v>0</v>
      </c>
      <c r="L2" s="174">
        <v>0</v>
      </c>
      <c r="M2" s="174" t="b">
        <f>IF(D2&lt;&gt;K2,1)</f>
        <v>0</v>
      </c>
      <c r="N2" s="174">
        <v>1</v>
      </c>
      <c r="O2" s="174">
        <v>101</v>
      </c>
      <c r="P2" s="174" t="s">
        <v>6</v>
      </c>
    </row>
    <row r="3" customHeight="1" spans="1:16">
      <c r="A3" s="164">
        <v>10002</v>
      </c>
      <c r="B3" s="164">
        <v>2</v>
      </c>
      <c r="C3" s="164" t="s">
        <v>920</v>
      </c>
      <c r="D3" s="164">
        <v>11001</v>
      </c>
      <c r="E3" s="164">
        <v>1</v>
      </c>
      <c r="F3" s="164">
        <v>0</v>
      </c>
      <c r="G3" s="164">
        <v>0</v>
      </c>
      <c r="H3" s="164">
        <v>101</v>
      </c>
      <c r="I3" s="164">
        <v>200</v>
      </c>
      <c r="J3" s="164" t="s">
        <v>6</v>
      </c>
      <c r="K3" s="164">
        <v>11001</v>
      </c>
      <c r="L3" s="174">
        <v>0</v>
      </c>
      <c r="M3" s="174" t="b">
        <f>IF(D3&lt;&gt;K3,1)</f>
        <v>0</v>
      </c>
      <c r="N3" s="174">
        <v>2</v>
      </c>
      <c r="O3" s="174">
        <v>101</v>
      </c>
      <c r="P3" s="174" t="s">
        <v>6</v>
      </c>
    </row>
    <row r="4" customHeight="1" spans="1:16">
      <c r="A4" s="164">
        <v>10003</v>
      </c>
      <c r="B4" s="164">
        <v>16</v>
      </c>
      <c r="C4" s="164" t="s">
        <v>920</v>
      </c>
      <c r="D4" s="164">
        <v>0</v>
      </c>
      <c r="E4" s="164">
        <v>1</v>
      </c>
      <c r="F4" s="164">
        <v>0</v>
      </c>
      <c r="G4" s="164">
        <v>0</v>
      </c>
      <c r="H4" s="164">
        <v>101</v>
      </c>
      <c r="I4" s="164">
        <v>200</v>
      </c>
      <c r="J4" s="164" t="s">
        <v>6</v>
      </c>
      <c r="K4" s="164">
        <v>0</v>
      </c>
      <c r="L4" s="174">
        <v>0</v>
      </c>
      <c r="M4" s="174" t="b">
        <f>IF(D4&lt;&gt;K4,1)</f>
        <v>0</v>
      </c>
      <c r="N4" s="174">
        <v>3</v>
      </c>
      <c r="O4" s="174">
        <v>101</v>
      </c>
      <c r="P4" s="174" t="s">
        <v>6</v>
      </c>
    </row>
    <row r="5" customHeight="1" spans="1:16">
      <c r="A5" s="164">
        <v>10004</v>
      </c>
      <c r="B5" s="164">
        <v>2</v>
      </c>
      <c r="C5" s="164" t="s">
        <v>920</v>
      </c>
      <c r="D5" s="164">
        <v>11001</v>
      </c>
      <c r="E5" s="164">
        <v>1</v>
      </c>
      <c r="F5" s="164">
        <v>0</v>
      </c>
      <c r="G5" s="164">
        <v>0</v>
      </c>
      <c r="H5" s="164">
        <v>101</v>
      </c>
      <c r="I5" s="164">
        <v>200</v>
      </c>
      <c r="J5" s="164" t="s">
        <v>6</v>
      </c>
      <c r="K5" s="164">
        <v>11001</v>
      </c>
      <c r="L5" s="174">
        <v>0</v>
      </c>
      <c r="M5" s="174" t="b">
        <f>IF(D5&lt;&gt;K5,1)</f>
        <v>0</v>
      </c>
      <c r="N5" s="174">
        <v>4</v>
      </c>
      <c r="O5" s="174">
        <v>101</v>
      </c>
      <c r="P5" s="174" t="s">
        <v>6</v>
      </c>
    </row>
    <row r="6" customHeight="1" spans="1:16">
      <c r="A6" s="164">
        <v>10005</v>
      </c>
      <c r="B6" s="164">
        <v>2</v>
      </c>
      <c r="C6" s="164" t="s">
        <v>920</v>
      </c>
      <c r="D6" s="164">
        <v>11017</v>
      </c>
      <c r="E6" s="164">
        <v>2</v>
      </c>
      <c r="F6" s="164">
        <v>0</v>
      </c>
      <c r="G6" s="164">
        <v>0</v>
      </c>
      <c r="H6" s="164">
        <v>1137</v>
      </c>
      <c r="I6" s="164">
        <v>2</v>
      </c>
      <c r="J6" s="164" t="s">
        <v>921</v>
      </c>
      <c r="K6" s="164">
        <v>11017</v>
      </c>
      <c r="L6" s="174">
        <v>0</v>
      </c>
      <c r="M6" s="174" t="b">
        <f>IF(D6&lt;&gt;K6,1)</f>
        <v>0</v>
      </c>
      <c r="N6" s="174">
        <v>5</v>
      </c>
      <c r="O6" s="174">
        <v>1228</v>
      </c>
      <c r="P6" s="174" t="s">
        <v>922</v>
      </c>
    </row>
    <row r="7" customHeight="1" spans="1:16">
      <c r="A7" s="164">
        <v>10006</v>
      </c>
      <c r="B7" s="164">
        <v>11</v>
      </c>
      <c r="C7" s="165" t="s">
        <v>923</v>
      </c>
      <c r="D7" s="164">
        <v>0</v>
      </c>
      <c r="E7" s="164">
        <v>5000</v>
      </c>
      <c r="F7" s="164">
        <v>0</v>
      </c>
      <c r="G7" s="164">
        <v>0</v>
      </c>
      <c r="H7" s="164">
        <v>101</v>
      </c>
      <c r="I7" s="164">
        <v>5000</v>
      </c>
      <c r="J7" s="175" t="s">
        <v>6</v>
      </c>
      <c r="K7" s="164">
        <v>0</v>
      </c>
      <c r="L7" s="174">
        <v>0</v>
      </c>
      <c r="M7" s="174" t="b">
        <f t="shared" ref="M7" si="0">IF(D7&lt;&gt;K7,1)</f>
        <v>0</v>
      </c>
      <c r="N7" s="174">
        <v>7</v>
      </c>
      <c r="O7" s="174">
        <v>1230</v>
      </c>
      <c r="P7" s="174" t="s">
        <v>924</v>
      </c>
    </row>
    <row r="8" customHeight="1" spans="1:16">
      <c r="A8" s="166">
        <v>10011</v>
      </c>
      <c r="B8" s="166">
        <v>2</v>
      </c>
      <c r="C8" s="166" t="s">
        <v>925</v>
      </c>
      <c r="D8" s="166">
        <v>11003</v>
      </c>
      <c r="E8" s="166">
        <v>8</v>
      </c>
      <c r="F8" s="166">
        <v>0</v>
      </c>
      <c r="G8" s="166">
        <v>0</v>
      </c>
      <c r="H8" s="166">
        <v>1147</v>
      </c>
      <c r="I8" s="166">
        <v>1</v>
      </c>
      <c r="J8" s="166" t="s">
        <v>926</v>
      </c>
      <c r="K8" s="166">
        <v>11003</v>
      </c>
      <c r="L8">
        <v>0</v>
      </c>
      <c r="M8" t="b">
        <f t="shared" ref="M8:M65" si="1">IF(D8&lt;&gt;K8,1)</f>
        <v>0</v>
      </c>
      <c r="N8">
        <v>8</v>
      </c>
      <c r="O8">
        <v>1145</v>
      </c>
      <c r="P8" t="s">
        <v>927</v>
      </c>
    </row>
    <row r="9" customHeight="1" spans="1:16">
      <c r="A9" s="166">
        <v>10012</v>
      </c>
      <c r="B9" s="166">
        <v>4</v>
      </c>
      <c r="C9" s="166" t="s">
        <v>928</v>
      </c>
      <c r="D9" s="166">
        <v>30</v>
      </c>
      <c r="E9" s="166">
        <v>5</v>
      </c>
      <c r="F9" s="166">
        <v>0</v>
      </c>
      <c r="G9" s="166">
        <v>0</v>
      </c>
      <c r="H9" s="166">
        <v>1137</v>
      </c>
      <c r="I9" s="166">
        <v>1</v>
      </c>
      <c r="J9" s="166" t="s">
        <v>921</v>
      </c>
      <c r="K9" s="166">
        <v>0</v>
      </c>
      <c r="L9">
        <v>2</v>
      </c>
      <c r="M9">
        <f t="shared" si="1"/>
        <v>1</v>
      </c>
      <c r="N9">
        <v>9</v>
      </c>
      <c r="O9">
        <v>1146</v>
      </c>
      <c r="P9" t="s">
        <v>929</v>
      </c>
    </row>
    <row r="10" customHeight="1" spans="1:16">
      <c r="A10" s="167">
        <v>10013</v>
      </c>
      <c r="B10" s="167">
        <v>1</v>
      </c>
      <c r="C10" s="168" t="s">
        <v>930</v>
      </c>
      <c r="D10" s="167">
        <v>0</v>
      </c>
      <c r="E10" s="167">
        <v>1500</v>
      </c>
      <c r="F10" s="167">
        <v>0</v>
      </c>
      <c r="G10" s="167">
        <v>0</v>
      </c>
      <c r="H10" s="167">
        <v>1149</v>
      </c>
      <c r="I10" s="167">
        <v>1</v>
      </c>
      <c r="J10" s="167" t="s">
        <v>931</v>
      </c>
      <c r="K10" s="171">
        <v>0</v>
      </c>
      <c r="L10">
        <v>2</v>
      </c>
      <c r="M10" t="b">
        <f t="shared" si="1"/>
        <v>0</v>
      </c>
      <c r="N10">
        <v>10</v>
      </c>
      <c r="O10">
        <v>1147</v>
      </c>
      <c r="P10" t="s">
        <v>926</v>
      </c>
    </row>
    <row r="11" customHeight="1" spans="1:16">
      <c r="A11" s="167">
        <v>10014</v>
      </c>
      <c r="B11" s="167">
        <v>1</v>
      </c>
      <c r="C11" s="168" t="s">
        <v>932</v>
      </c>
      <c r="D11" s="167">
        <v>0</v>
      </c>
      <c r="E11" s="167">
        <v>1500</v>
      </c>
      <c r="F11" s="167">
        <v>120</v>
      </c>
      <c r="G11" s="167">
        <v>0</v>
      </c>
      <c r="H11" s="167">
        <v>1137</v>
      </c>
      <c r="I11" s="167">
        <v>1</v>
      </c>
      <c r="J11" s="167" t="s">
        <v>921</v>
      </c>
      <c r="K11" s="171">
        <v>0</v>
      </c>
      <c r="L11">
        <v>4</v>
      </c>
      <c r="M11" t="b">
        <f t="shared" si="1"/>
        <v>0</v>
      </c>
      <c r="N11">
        <v>11</v>
      </c>
      <c r="O11">
        <v>1148</v>
      </c>
      <c r="P11" t="s">
        <v>933</v>
      </c>
    </row>
    <row r="12" customHeight="1" spans="1:16">
      <c r="A12" s="167">
        <v>10015</v>
      </c>
      <c r="B12" s="167">
        <v>2</v>
      </c>
      <c r="C12" s="168" t="s">
        <v>925</v>
      </c>
      <c r="D12" s="167">
        <v>11006</v>
      </c>
      <c r="E12" s="167">
        <v>8</v>
      </c>
      <c r="F12" s="167">
        <v>0</v>
      </c>
      <c r="G12" s="167">
        <v>0</v>
      </c>
      <c r="H12" s="167">
        <v>1147</v>
      </c>
      <c r="I12" s="167">
        <v>1</v>
      </c>
      <c r="J12" s="167" t="s">
        <v>926</v>
      </c>
      <c r="K12" s="167">
        <v>11006</v>
      </c>
      <c r="L12">
        <v>4</v>
      </c>
      <c r="M12" t="b">
        <f t="shared" si="1"/>
        <v>0</v>
      </c>
      <c r="N12">
        <v>12</v>
      </c>
      <c r="O12">
        <v>1149</v>
      </c>
      <c r="P12" t="s">
        <v>931</v>
      </c>
    </row>
    <row r="13" customHeight="1" spans="1:16">
      <c r="A13" s="167">
        <v>10016</v>
      </c>
      <c r="B13" s="167">
        <v>9</v>
      </c>
      <c r="C13" s="168" t="s">
        <v>934</v>
      </c>
      <c r="D13" s="167">
        <v>0</v>
      </c>
      <c r="E13" s="167">
        <v>300</v>
      </c>
      <c r="F13" s="167">
        <v>0</v>
      </c>
      <c r="G13" s="167">
        <v>0</v>
      </c>
      <c r="H13" s="167">
        <v>1137</v>
      </c>
      <c r="I13" s="167">
        <v>1</v>
      </c>
      <c r="J13" s="167" t="s">
        <v>921</v>
      </c>
      <c r="K13" s="171">
        <v>0</v>
      </c>
      <c r="L13">
        <v>6</v>
      </c>
      <c r="M13" t="b">
        <f t="shared" si="1"/>
        <v>0</v>
      </c>
      <c r="N13">
        <v>13</v>
      </c>
      <c r="O13">
        <v>1150</v>
      </c>
      <c r="P13" t="s">
        <v>935</v>
      </c>
    </row>
    <row r="14" customHeight="1" spans="1:16">
      <c r="A14" s="167">
        <v>10017</v>
      </c>
      <c r="B14" s="167">
        <v>1</v>
      </c>
      <c r="C14" s="168" t="s">
        <v>930</v>
      </c>
      <c r="D14" s="167">
        <v>0</v>
      </c>
      <c r="E14" s="167">
        <v>2000</v>
      </c>
      <c r="F14" s="167">
        <v>0</v>
      </c>
      <c r="G14" s="167">
        <v>0</v>
      </c>
      <c r="H14" s="167">
        <v>1149</v>
      </c>
      <c r="I14" s="167">
        <v>1</v>
      </c>
      <c r="J14" s="167" t="s">
        <v>931</v>
      </c>
      <c r="K14" s="171">
        <v>0</v>
      </c>
      <c r="L14">
        <v>6</v>
      </c>
      <c r="M14" t="b">
        <f t="shared" si="1"/>
        <v>0</v>
      </c>
      <c r="N14">
        <v>14</v>
      </c>
      <c r="O14">
        <v>1151</v>
      </c>
      <c r="P14" t="s">
        <v>936</v>
      </c>
    </row>
    <row r="15" customHeight="1" spans="1:16">
      <c r="A15" s="167">
        <v>10018</v>
      </c>
      <c r="B15" s="167">
        <v>1</v>
      </c>
      <c r="C15" s="168" t="s">
        <v>932</v>
      </c>
      <c r="D15" s="167">
        <v>0</v>
      </c>
      <c r="E15" s="167">
        <v>1600</v>
      </c>
      <c r="F15" s="167">
        <v>120</v>
      </c>
      <c r="G15" s="167">
        <v>0</v>
      </c>
      <c r="H15" s="167">
        <v>1137</v>
      </c>
      <c r="I15" s="167">
        <v>1</v>
      </c>
      <c r="J15" s="167" t="s">
        <v>921</v>
      </c>
      <c r="K15" s="171">
        <v>0</v>
      </c>
      <c r="L15">
        <v>8</v>
      </c>
      <c r="M15" t="b">
        <f t="shared" si="1"/>
        <v>0</v>
      </c>
      <c r="N15">
        <v>15</v>
      </c>
      <c r="O15">
        <v>1152</v>
      </c>
      <c r="P15" t="s">
        <v>937</v>
      </c>
    </row>
    <row r="16" customHeight="1" spans="1:16">
      <c r="A16" s="167">
        <v>10019</v>
      </c>
      <c r="B16" s="167">
        <v>2</v>
      </c>
      <c r="C16" s="168" t="s">
        <v>925</v>
      </c>
      <c r="D16" s="167">
        <v>11007</v>
      </c>
      <c r="E16" s="167">
        <v>8</v>
      </c>
      <c r="F16" s="167">
        <v>0</v>
      </c>
      <c r="G16" s="167">
        <v>0</v>
      </c>
      <c r="H16" s="167">
        <v>1147</v>
      </c>
      <c r="I16" s="167">
        <v>1</v>
      </c>
      <c r="J16" s="167" t="s">
        <v>926</v>
      </c>
      <c r="K16" s="171">
        <v>11007</v>
      </c>
      <c r="L16">
        <v>8</v>
      </c>
      <c r="M16" t="b">
        <f t="shared" si="1"/>
        <v>0</v>
      </c>
      <c r="O16">
        <v>1153</v>
      </c>
      <c r="P16" t="s">
        <v>938</v>
      </c>
    </row>
    <row r="17" customHeight="1" spans="1:16">
      <c r="A17" s="167">
        <v>10020</v>
      </c>
      <c r="B17" s="167">
        <v>9</v>
      </c>
      <c r="C17" s="168" t="s">
        <v>934</v>
      </c>
      <c r="D17" s="167">
        <v>0</v>
      </c>
      <c r="E17" s="167">
        <v>350</v>
      </c>
      <c r="F17" s="167">
        <v>0</v>
      </c>
      <c r="G17" s="167">
        <v>0</v>
      </c>
      <c r="H17" s="167">
        <v>1137</v>
      </c>
      <c r="I17" s="167">
        <v>1</v>
      </c>
      <c r="J17" s="167" t="s">
        <v>921</v>
      </c>
      <c r="K17" s="171">
        <v>0</v>
      </c>
      <c r="L17">
        <v>10</v>
      </c>
      <c r="M17" t="b">
        <f t="shared" si="1"/>
        <v>0</v>
      </c>
      <c r="O17">
        <v>1154</v>
      </c>
      <c r="P17" t="s">
        <v>939</v>
      </c>
    </row>
    <row r="18" customHeight="1" spans="1:16">
      <c r="A18" s="167">
        <v>10021</v>
      </c>
      <c r="B18" s="167">
        <v>1</v>
      </c>
      <c r="C18" s="168" t="s">
        <v>930</v>
      </c>
      <c r="D18" s="167">
        <v>0</v>
      </c>
      <c r="E18" s="167">
        <v>2400</v>
      </c>
      <c r="F18" s="167">
        <v>0</v>
      </c>
      <c r="G18" s="167">
        <v>0</v>
      </c>
      <c r="H18" s="167">
        <v>1149</v>
      </c>
      <c r="I18" s="167">
        <v>1</v>
      </c>
      <c r="J18" s="167" t="s">
        <v>931</v>
      </c>
      <c r="K18" s="171">
        <v>0</v>
      </c>
      <c r="L18">
        <v>10</v>
      </c>
      <c r="M18" t="b">
        <f t="shared" si="1"/>
        <v>0</v>
      </c>
      <c r="O18">
        <v>1155</v>
      </c>
      <c r="P18" t="s">
        <v>940</v>
      </c>
    </row>
    <row r="19" customHeight="1" spans="1:16">
      <c r="A19" s="167">
        <v>10022</v>
      </c>
      <c r="B19" s="167">
        <v>1</v>
      </c>
      <c r="C19" s="168" t="s">
        <v>932</v>
      </c>
      <c r="D19" s="167">
        <v>0</v>
      </c>
      <c r="E19" s="167">
        <v>1700</v>
      </c>
      <c r="F19" s="167">
        <v>120</v>
      </c>
      <c r="G19" s="167">
        <v>0</v>
      </c>
      <c r="H19" s="167">
        <v>1137</v>
      </c>
      <c r="I19" s="167">
        <v>1</v>
      </c>
      <c r="J19" s="167" t="s">
        <v>921</v>
      </c>
      <c r="K19" s="171">
        <v>0</v>
      </c>
      <c r="L19">
        <v>15</v>
      </c>
      <c r="M19" t="b">
        <f t="shared" si="1"/>
        <v>0</v>
      </c>
      <c r="O19">
        <v>1156</v>
      </c>
      <c r="P19" t="s">
        <v>941</v>
      </c>
    </row>
    <row r="20" customHeight="1" spans="1:16">
      <c r="A20" s="167">
        <v>10023</v>
      </c>
      <c r="B20" s="167">
        <v>2</v>
      </c>
      <c r="C20" s="168" t="s">
        <v>925</v>
      </c>
      <c r="D20" s="167">
        <v>11010</v>
      </c>
      <c r="E20" s="167">
        <v>5</v>
      </c>
      <c r="F20" s="167">
        <v>0</v>
      </c>
      <c r="G20" s="167">
        <v>0</v>
      </c>
      <c r="H20" s="167">
        <v>1147</v>
      </c>
      <c r="I20" s="167">
        <v>1</v>
      </c>
      <c r="J20" s="167" t="s">
        <v>926</v>
      </c>
      <c r="K20" s="171">
        <v>11010</v>
      </c>
      <c r="L20">
        <v>15</v>
      </c>
      <c r="M20" t="b">
        <f t="shared" si="1"/>
        <v>0</v>
      </c>
      <c r="O20">
        <v>1159</v>
      </c>
      <c r="P20" t="s">
        <v>942</v>
      </c>
    </row>
    <row r="21" customHeight="1" spans="1:16">
      <c r="A21" s="167">
        <v>10024</v>
      </c>
      <c r="B21" s="167">
        <v>9</v>
      </c>
      <c r="C21" s="168" t="s">
        <v>934</v>
      </c>
      <c r="D21" s="167">
        <v>0</v>
      </c>
      <c r="E21" s="167">
        <v>350</v>
      </c>
      <c r="F21" s="167">
        <v>0</v>
      </c>
      <c r="G21" s="167">
        <v>0</v>
      </c>
      <c r="H21" s="167">
        <v>1137</v>
      </c>
      <c r="I21" s="167">
        <v>1</v>
      </c>
      <c r="J21" s="167" t="s">
        <v>921</v>
      </c>
      <c r="K21" s="171">
        <v>0</v>
      </c>
      <c r="L21">
        <v>20</v>
      </c>
      <c r="M21" t="b">
        <f t="shared" si="1"/>
        <v>0</v>
      </c>
      <c r="O21">
        <v>1160</v>
      </c>
      <c r="P21" t="s">
        <v>943</v>
      </c>
    </row>
    <row r="22" customHeight="1" spans="1:16">
      <c r="A22" s="167">
        <v>10025</v>
      </c>
      <c r="B22" s="167">
        <v>1</v>
      </c>
      <c r="C22" s="168" t="s">
        <v>930</v>
      </c>
      <c r="D22" s="167">
        <v>0</v>
      </c>
      <c r="E22" s="167">
        <v>2600</v>
      </c>
      <c r="F22" s="167">
        <v>0</v>
      </c>
      <c r="G22" s="167">
        <v>0</v>
      </c>
      <c r="H22" s="167">
        <v>1149</v>
      </c>
      <c r="I22" s="167">
        <v>1</v>
      </c>
      <c r="J22" s="167" t="s">
        <v>931</v>
      </c>
      <c r="K22" s="171">
        <v>0</v>
      </c>
      <c r="L22">
        <v>20</v>
      </c>
      <c r="M22" t="b">
        <f t="shared" si="1"/>
        <v>0</v>
      </c>
      <c r="O22">
        <v>1161</v>
      </c>
      <c r="P22" t="s">
        <v>944</v>
      </c>
    </row>
    <row r="23" customHeight="1" spans="1:16">
      <c r="A23" s="167">
        <v>10026</v>
      </c>
      <c r="B23" s="167">
        <v>1</v>
      </c>
      <c r="C23" s="168" t="s">
        <v>932</v>
      </c>
      <c r="D23" s="167">
        <v>0</v>
      </c>
      <c r="E23" s="167">
        <v>1800</v>
      </c>
      <c r="F23" s="167">
        <v>120</v>
      </c>
      <c r="G23" s="167">
        <v>0</v>
      </c>
      <c r="H23" s="167">
        <v>1137</v>
      </c>
      <c r="I23" s="167">
        <v>1</v>
      </c>
      <c r="J23" s="167" t="s">
        <v>921</v>
      </c>
      <c r="K23" s="171">
        <v>0</v>
      </c>
      <c r="L23">
        <v>30</v>
      </c>
      <c r="M23" t="b">
        <f t="shared" si="1"/>
        <v>0</v>
      </c>
      <c r="O23">
        <v>31001</v>
      </c>
      <c r="P23" t="s">
        <v>945</v>
      </c>
    </row>
    <row r="24" customHeight="1" spans="1:16">
      <c r="A24" s="167">
        <v>10027</v>
      </c>
      <c r="B24" s="167">
        <v>4</v>
      </c>
      <c r="C24" s="168" t="s">
        <v>928</v>
      </c>
      <c r="D24" s="167">
        <v>35</v>
      </c>
      <c r="E24" s="167">
        <v>8</v>
      </c>
      <c r="F24" s="167">
        <v>0</v>
      </c>
      <c r="G24" s="167">
        <v>0</v>
      </c>
      <c r="H24" s="167">
        <v>1147</v>
      </c>
      <c r="I24" s="167">
        <v>1</v>
      </c>
      <c r="J24" s="167" t="s">
        <v>926</v>
      </c>
      <c r="K24" s="171">
        <v>0</v>
      </c>
      <c r="L24">
        <v>30</v>
      </c>
      <c r="M24">
        <f t="shared" si="1"/>
        <v>1</v>
      </c>
      <c r="O24">
        <v>1158</v>
      </c>
      <c r="P24" t="s">
        <v>946</v>
      </c>
    </row>
    <row r="25" customHeight="1" spans="1:16">
      <c r="A25" s="167">
        <v>10028</v>
      </c>
      <c r="B25" s="167">
        <v>2</v>
      </c>
      <c r="C25" s="168" t="s">
        <v>925</v>
      </c>
      <c r="D25" s="167">
        <v>11012</v>
      </c>
      <c r="E25" s="167">
        <v>4</v>
      </c>
      <c r="F25" s="167">
        <v>0</v>
      </c>
      <c r="G25" s="167">
        <v>0</v>
      </c>
      <c r="H25" s="167">
        <v>1137</v>
      </c>
      <c r="I25" s="167">
        <v>1</v>
      </c>
      <c r="J25" s="167" t="s">
        <v>921</v>
      </c>
      <c r="K25" s="167">
        <v>11012</v>
      </c>
      <c r="L25">
        <v>30</v>
      </c>
      <c r="M25" t="b">
        <f t="shared" si="1"/>
        <v>0</v>
      </c>
      <c r="O25">
        <v>1157</v>
      </c>
      <c r="P25" t="s">
        <v>947</v>
      </c>
    </row>
    <row r="26" customHeight="1" spans="1:16">
      <c r="A26" s="167">
        <v>10029</v>
      </c>
      <c r="B26" s="167">
        <v>1</v>
      </c>
      <c r="C26" s="168" t="s">
        <v>930</v>
      </c>
      <c r="D26" s="167">
        <v>0</v>
      </c>
      <c r="E26" s="167">
        <v>2900</v>
      </c>
      <c r="F26" s="167">
        <v>0</v>
      </c>
      <c r="G26" s="167">
        <v>0</v>
      </c>
      <c r="H26" s="167">
        <v>1149</v>
      </c>
      <c r="I26" s="167">
        <v>1</v>
      </c>
      <c r="J26" s="167" t="s">
        <v>931</v>
      </c>
      <c r="K26" s="171">
        <v>0</v>
      </c>
      <c r="L26">
        <v>35</v>
      </c>
      <c r="M26" t="b">
        <f t="shared" si="1"/>
        <v>0</v>
      </c>
      <c r="O26">
        <v>31002</v>
      </c>
      <c r="P26" t="s">
        <v>948</v>
      </c>
    </row>
    <row r="27" customHeight="1" spans="1:16">
      <c r="A27" s="167">
        <v>10030</v>
      </c>
      <c r="B27" s="167">
        <v>1</v>
      </c>
      <c r="C27" s="168" t="s">
        <v>932</v>
      </c>
      <c r="D27" s="167">
        <v>0</v>
      </c>
      <c r="E27" s="167">
        <v>1900</v>
      </c>
      <c r="F27" s="167">
        <v>120</v>
      </c>
      <c r="G27" s="167">
        <v>0</v>
      </c>
      <c r="H27" s="167">
        <v>1137</v>
      </c>
      <c r="I27" s="167">
        <v>1</v>
      </c>
      <c r="J27" s="167" t="s">
        <v>921</v>
      </c>
      <c r="K27" s="171">
        <v>0</v>
      </c>
      <c r="L27">
        <v>35</v>
      </c>
      <c r="M27" t="b">
        <f t="shared" si="1"/>
        <v>0</v>
      </c>
      <c r="O27">
        <v>32002</v>
      </c>
      <c r="P27" t="s">
        <v>949</v>
      </c>
    </row>
    <row r="28" customHeight="1" spans="1:16">
      <c r="A28" s="167">
        <v>10031</v>
      </c>
      <c r="B28" s="167">
        <v>2</v>
      </c>
      <c r="C28" s="168" t="s">
        <v>925</v>
      </c>
      <c r="D28" s="167">
        <v>11013</v>
      </c>
      <c r="E28" s="167">
        <v>3</v>
      </c>
      <c r="F28" s="167">
        <v>0</v>
      </c>
      <c r="G28" s="167">
        <v>0</v>
      </c>
      <c r="H28" s="167">
        <v>1147</v>
      </c>
      <c r="I28" s="167">
        <v>1</v>
      </c>
      <c r="J28" s="167" t="s">
        <v>926</v>
      </c>
      <c r="K28" s="171">
        <v>11013</v>
      </c>
      <c r="L28">
        <v>40</v>
      </c>
      <c r="M28" t="b">
        <f t="shared" si="1"/>
        <v>0</v>
      </c>
      <c r="O28">
        <v>33001</v>
      </c>
      <c r="P28" t="s">
        <v>950</v>
      </c>
    </row>
    <row r="29" customHeight="1" spans="1:16">
      <c r="A29" s="167">
        <v>10032</v>
      </c>
      <c r="B29" s="167">
        <v>4</v>
      </c>
      <c r="C29" s="168" t="s">
        <v>928</v>
      </c>
      <c r="D29" s="167">
        <v>40</v>
      </c>
      <c r="E29" s="167">
        <v>8</v>
      </c>
      <c r="F29" s="167">
        <v>0</v>
      </c>
      <c r="G29" s="167">
        <v>0</v>
      </c>
      <c r="H29" s="167">
        <v>1137</v>
      </c>
      <c r="I29" s="167">
        <v>1</v>
      </c>
      <c r="J29" s="167" t="s">
        <v>921</v>
      </c>
      <c r="K29" s="171">
        <v>0</v>
      </c>
      <c r="L29">
        <v>40</v>
      </c>
      <c r="M29">
        <f t="shared" si="1"/>
        <v>1</v>
      </c>
      <c r="O29">
        <v>33002</v>
      </c>
      <c r="P29" t="s">
        <v>951</v>
      </c>
    </row>
    <row r="30" customHeight="1" spans="1:16">
      <c r="A30" s="167">
        <v>10033</v>
      </c>
      <c r="B30" s="167">
        <v>1</v>
      </c>
      <c r="C30" s="168" t="s">
        <v>930</v>
      </c>
      <c r="D30" s="167">
        <v>0</v>
      </c>
      <c r="E30" s="167">
        <v>3000</v>
      </c>
      <c r="F30" s="167">
        <v>0</v>
      </c>
      <c r="G30" s="167">
        <v>0</v>
      </c>
      <c r="H30" s="167">
        <v>1149</v>
      </c>
      <c r="I30" s="167">
        <v>1</v>
      </c>
      <c r="J30" s="167" t="s">
        <v>931</v>
      </c>
      <c r="K30" s="171">
        <v>0</v>
      </c>
      <c r="L30">
        <v>50</v>
      </c>
      <c r="M30" t="b">
        <f t="shared" si="1"/>
        <v>0</v>
      </c>
      <c r="O30">
        <v>34001</v>
      </c>
      <c r="P30" t="s">
        <v>952</v>
      </c>
    </row>
    <row r="31" customHeight="1" spans="1:16">
      <c r="A31" s="167">
        <v>10034</v>
      </c>
      <c r="B31" s="167">
        <v>1</v>
      </c>
      <c r="C31" s="168" t="s">
        <v>932</v>
      </c>
      <c r="D31" s="167">
        <v>0</v>
      </c>
      <c r="E31" s="167">
        <v>2000</v>
      </c>
      <c r="F31" s="167">
        <v>120</v>
      </c>
      <c r="G31" s="167">
        <v>0</v>
      </c>
      <c r="H31" s="167">
        <v>1137</v>
      </c>
      <c r="I31" s="167">
        <v>1</v>
      </c>
      <c r="J31" s="167" t="s">
        <v>921</v>
      </c>
      <c r="K31" s="171">
        <v>0</v>
      </c>
      <c r="L31">
        <v>50</v>
      </c>
      <c r="M31" t="b">
        <f t="shared" si="1"/>
        <v>0</v>
      </c>
      <c r="O31">
        <v>34006</v>
      </c>
      <c r="P31" t="s">
        <v>953</v>
      </c>
    </row>
    <row r="32" customHeight="1" spans="1:16">
      <c r="A32" s="167">
        <v>10035</v>
      </c>
      <c r="B32" s="167">
        <v>2</v>
      </c>
      <c r="C32" s="168" t="s">
        <v>925</v>
      </c>
      <c r="D32" s="167">
        <v>11012</v>
      </c>
      <c r="E32" s="167">
        <v>3</v>
      </c>
      <c r="F32" s="167">
        <v>0</v>
      </c>
      <c r="G32" s="167">
        <v>0</v>
      </c>
      <c r="H32" s="167">
        <v>1147</v>
      </c>
      <c r="I32" s="167">
        <v>1</v>
      </c>
      <c r="J32" s="167" t="s">
        <v>926</v>
      </c>
      <c r="K32" s="171">
        <v>11012</v>
      </c>
      <c r="L32">
        <v>60</v>
      </c>
      <c r="M32" t="b">
        <f t="shared" si="1"/>
        <v>0</v>
      </c>
      <c r="O32">
        <v>34003</v>
      </c>
      <c r="P32" t="s">
        <v>954</v>
      </c>
    </row>
    <row r="33" customHeight="1" spans="1:16">
      <c r="A33" s="167">
        <v>10036</v>
      </c>
      <c r="B33" s="167">
        <v>5</v>
      </c>
      <c r="C33" s="168" t="s">
        <v>955</v>
      </c>
      <c r="D33" s="167">
        <v>0</v>
      </c>
      <c r="E33" s="167">
        <v>1</v>
      </c>
      <c r="F33" s="167">
        <v>0</v>
      </c>
      <c r="G33" s="167">
        <v>0</v>
      </c>
      <c r="H33" s="167">
        <v>1137</v>
      </c>
      <c r="I33" s="167">
        <v>1</v>
      </c>
      <c r="J33" s="167" t="s">
        <v>921</v>
      </c>
      <c r="K33" s="171">
        <v>0</v>
      </c>
      <c r="L33">
        <v>60</v>
      </c>
      <c r="M33" t="b">
        <f t="shared" si="1"/>
        <v>0</v>
      </c>
      <c r="O33">
        <v>34004</v>
      </c>
      <c r="P33" t="s">
        <v>956</v>
      </c>
    </row>
    <row r="34" customHeight="1" spans="1:16">
      <c r="A34" s="167">
        <v>10037</v>
      </c>
      <c r="B34" s="167">
        <v>1</v>
      </c>
      <c r="C34" s="168" t="s">
        <v>930</v>
      </c>
      <c r="D34" s="167">
        <v>0</v>
      </c>
      <c r="E34" s="167">
        <v>3200</v>
      </c>
      <c r="F34" s="167">
        <v>0</v>
      </c>
      <c r="G34" s="167">
        <v>0</v>
      </c>
      <c r="H34" s="167">
        <v>1149</v>
      </c>
      <c r="I34" s="167">
        <v>1</v>
      </c>
      <c r="J34" s="167" t="s">
        <v>931</v>
      </c>
      <c r="K34" s="171">
        <v>0</v>
      </c>
      <c r="L34">
        <v>70</v>
      </c>
      <c r="M34" t="b">
        <f t="shared" si="1"/>
        <v>0</v>
      </c>
      <c r="O34">
        <v>34005</v>
      </c>
      <c r="P34" t="s">
        <v>957</v>
      </c>
    </row>
    <row r="35" customHeight="1" spans="1:16">
      <c r="A35" s="167">
        <v>10038</v>
      </c>
      <c r="B35" s="167">
        <v>1</v>
      </c>
      <c r="C35" s="168" t="s">
        <v>932</v>
      </c>
      <c r="D35" s="167">
        <v>0</v>
      </c>
      <c r="E35" s="167">
        <v>2100</v>
      </c>
      <c r="F35" s="167">
        <v>120</v>
      </c>
      <c r="G35" s="167">
        <v>0</v>
      </c>
      <c r="H35" s="167">
        <v>1137</v>
      </c>
      <c r="I35" s="167">
        <v>1</v>
      </c>
      <c r="J35" s="167" t="s">
        <v>921</v>
      </c>
      <c r="K35" s="171">
        <v>0</v>
      </c>
      <c r="L35">
        <v>70</v>
      </c>
      <c r="M35" t="b">
        <f t="shared" si="1"/>
        <v>0</v>
      </c>
      <c r="O35">
        <v>34002</v>
      </c>
      <c r="P35" t="s">
        <v>958</v>
      </c>
    </row>
    <row r="36" customHeight="1" spans="1:16">
      <c r="A36" s="167">
        <v>10039</v>
      </c>
      <c r="B36" s="167">
        <v>2</v>
      </c>
      <c r="C36" s="168" t="s">
        <v>925</v>
      </c>
      <c r="D36" s="167">
        <v>11013</v>
      </c>
      <c r="E36" s="167">
        <v>2</v>
      </c>
      <c r="F36" s="167">
        <v>0</v>
      </c>
      <c r="G36" s="167">
        <v>0</v>
      </c>
      <c r="H36" s="167">
        <v>1147</v>
      </c>
      <c r="I36" s="167">
        <v>1</v>
      </c>
      <c r="J36" s="167" t="s">
        <v>926</v>
      </c>
      <c r="K36" s="171">
        <v>11013</v>
      </c>
      <c r="L36">
        <v>80</v>
      </c>
      <c r="M36" t="b">
        <f t="shared" si="1"/>
        <v>0</v>
      </c>
      <c r="O36">
        <v>32003</v>
      </c>
      <c r="P36" t="s">
        <v>959</v>
      </c>
    </row>
    <row r="37" customHeight="1" spans="1:16">
      <c r="A37" s="167">
        <v>10040</v>
      </c>
      <c r="B37" s="167">
        <v>9</v>
      </c>
      <c r="C37" s="168" t="s">
        <v>934</v>
      </c>
      <c r="D37" s="167">
        <v>0</v>
      </c>
      <c r="E37" s="167">
        <v>400</v>
      </c>
      <c r="F37" s="167">
        <v>0</v>
      </c>
      <c r="G37" s="167">
        <v>0</v>
      </c>
      <c r="H37" s="167">
        <v>1137</v>
      </c>
      <c r="I37" s="167">
        <v>1</v>
      </c>
      <c r="J37" s="167" t="s">
        <v>921</v>
      </c>
      <c r="K37" s="171">
        <v>0</v>
      </c>
      <c r="L37">
        <v>80</v>
      </c>
      <c r="M37" t="b">
        <f t="shared" si="1"/>
        <v>0</v>
      </c>
      <c r="O37">
        <v>35001</v>
      </c>
      <c r="P37" t="s">
        <v>960</v>
      </c>
    </row>
    <row r="38" customHeight="1" spans="1:16">
      <c r="A38" s="167">
        <v>10041</v>
      </c>
      <c r="B38" s="167">
        <v>1</v>
      </c>
      <c r="C38" s="168" t="s">
        <v>930</v>
      </c>
      <c r="D38" s="167">
        <v>0</v>
      </c>
      <c r="E38" s="167">
        <v>3400</v>
      </c>
      <c r="F38" s="167">
        <v>0</v>
      </c>
      <c r="G38" s="167">
        <v>0</v>
      </c>
      <c r="H38" s="167">
        <v>1149</v>
      </c>
      <c r="I38" s="167">
        <v>1</v>
      </c>
      <c r="J38" s="167" t="s">
        <v>931</v>
      </c>
      <c r="K38" s="171">
        <v>0</v>
      </c>
      <c r="L38">
        <v>90</v>
      </c>
      <c r="M38" t="b">
        <f t="shared" si="1"/>
        <v>0</v>
      </c>
      <c r="O38">
        <v>36001</v>
      </c>
      <c r="P38" t="s">
        <v>961</v>
      </c>
    </row>
    <row r="39" customHeight="1" spans="1:16">
      <c r="A39" s="167">
        <v>10042</v>
      </c>
      <c r="B39" s="167">
        <v>1</v>
      </c>
      <c r="C39" s="168" t="s">
        <v>932</v>
      </c>
      <c r="D39" s="167">
        <v>0</v>
      </c>
      <c r="E39" s="167">
        <v>2200</v>
      </c>
      <c r="F39" s="167">
        <v>120</v>
      </c>
      <c r="G39" s="167">
        <v>0</v>
      </c>
      <c r="H39" s="167">
        <v>1137</v>
      </c>
      <c r="I39" s="167">
        <v>1</v>
      </c>
      <c r="J39" s="167" t="s">
        <v>921</v>
      </c>
      <c r="K39" s="171">
        <v>0</v>
      </c>
      <c r="L39">
        <v>90</v>
      </c>
      <c r="M39" t="b">
        <f t="shared" si="1"/>
        <v>0</v>
      </c>
      <c r="O39">
        <v>37001</v>
      </c>
      <c r="P39" t="s">
        <v>962</v>
      </c>
    </row>
    <row r="40" customHeight="1" spans="1:16">
      <c r="A40" s="167">
        <v>10043</v>
      </c>
      <c r="B40" s="167">
        <v>2</v>
      </c>
      <c r="C40" s="168" t="s">
        <v>925</v>
      </c>
      <c r="D40" s="167">
        <v>11017</v>
      </c>
      <c r="E40" s="167">
        <v>1</v>
      </c>
      <c r="F40" s="167">
        <v>0</v>
      </c>
      <c r="G40" s="167">
        <v>0</v>
      </c>
      <c r="H40" s="167">
        <v>1147</v>
      </c>
      <c r="I40" s="167">
        <v>1</v>
      </c>
      <c r="J40" s="167" t="s">
        <v>926</v>
      </c>
      <c r="K40" s="171">
        <v>11017</v>
      </c>
      <c r="L40">
        <v>90</v>
      </c>
      <c r="M40" t="b">
        <f t="shared" si="1"/>
        <v>0</v>
      </c>
      <c r="O40">
        <v>31003</v>
      </c>
      <c r="P40" t="s">
        <v>963</v>
      </c>
    </row>
    <row r="41" customHeight="1" spans="1:16">
      <c r="A41" s="167">
        <v>10044</v>
      </c>
      <c r="B41" s="167">
        <v>9</v>
      </c>
      <c r="C41" s="168" t="s">
        <v>934</v>
      </c>
      <c r="D41" s="167">
        <v>0</v>
      </c>
      <c r="E41" s="167">
        <v>400</v>
      </c>
      <c r="F41" s="167">
        <v>0</v>
      </c>
      <c r="G41" s="167">
        <v>0</v>
      </c>
      <c r="H41" s="167">
        <v>1137</v>
      </c>
      <c r="I41" s="167">
        <v>1</v>
      </c>
      <c r="J41" s="167" t="s">
        <v>921</v>
      </c>
      <c r="K41" s="171">
        <v>0</v>
      </c>
      <c r="L41">
        <v>90</v>
      </c>
      <c r="M41" t="b">
        <f t="shared" si="1"/>
        <v>0</v>
      </c>
      <c r="O41">
        <v>32004</v>
      </c>
      <c r="P41" t="s">
        <v>964</v>
      </c>
    </row>
    <row r="42" customHeight="1" spans="1:16">
      <c r="A42" s="167">
        <v>10045</v>
      </c>
      <c r="B42" s="167">
        <v>1</v>
      </c>
      <c r="C42" s="168" t="s">
        <v>930</v>
      </c>
      <c r="D42" s="167">
        <v>0</v>
      </c>
      <c r="E42" s="167">
        <v>3600</v>
      </c>
      <c r="F42" s="167">
        <v>0</v>
      </c>
      <c r="G42" s="167">
        <v>0</v>
      </c>
      <c r="H42" s="167">
        <v>1149</v>
      </c>
      <c r="I42" s="167">
        <v>1</v>
      </c>
      <c r="J42" s="167" t="s">
        <v>931</v>
      </c>
      <c r="K42" s="171">
        <v>0</v>
      </c>
      <c r="L42">
        <v>90</v>
      </c>
      <c r="M42" t="b">
        <f t="shared" si="1"/>
        <v>0</v>
      </c>
      <c r="O42">
        <v>33003</v>
      </c>
      <c r="P42" t="s">
        <v>965</v>
      </c>
    </row>
    <row r="43" customHeight="1" spans="1:16">
      <c r="A43" s="167">
        <v>10046</v>
      </c>
      <c r="B43" s="167">
        <v>1</v>
      </c>
      <c r="C43" s="168" t="s">
        <v>932</v>
      </c>
      <c r="D43" s="167">
        <v>0</v>
      </c>
      <c r="E43" s="167">
        <v>2300</v>
      </c>
      <c r="F43" s="167">
        <v>120</v>
      </c>
      <c r="G43" s="167">
        <v>0</v>
      </c>
      <c r="H43" s="167">
        <v>1137</v>
      </c>
      <c r="I43" s="167">
        <v>1</v>
      </c>
      <c r="J43" s="167" t="s">
        <v>921</v>
      </c>
      <c r="K43" s="171">
        <v>0</v>
      </c>
      <c r="L43">
        <v>90</v>
      </c>
      <c r="M43" t="b">
        <f t="shared" si="1"/>
        <v>0</v>
      </c>
      <c r="O43">
        <v>34007</v>
      </c>
      <c r="P43" t="s">
        <v>966</v>
      </c>
    </row>
    <row r="44" customHeight="1" spans="1:16">
      <c r="A44" s="167">
        <v>10047</v>
      </c>
      <c r="B44" s="167">
        <v>4</v>
      </c>
      <c r="C44" s="168" t="s">
        <v>928</v>
      </c>
      <c r="D44" s="167">
        <v>60</v>
      </c>
      <c r="E44" s="167">
        <v>8</v>
      </c>
      <c r="F44" s="167">
        <v>0</v>
      </c>
      <c r="G44" s="167">
        <v>0</v>
      </c>
      <c r="H44" s="167">
        <v>1147</v>
      </c>
      <c r="I44" s="167">
        <v>1</v>
      </c>
      <c r="J44" s="167" t="s">
        <v>926</v>
      </c>
      <c r="K44" s="171">
        <v>0</v>
      </c>
      <c r="L44">
        <v>90</v>
      </c>
      <c r="M44">
        <f t="shared" si="1"/>
        <v>1</v>
      </c>
      <c r="O44">
        <v>1288</v>
      </c>
      <c r="P44" t="s">
        <v>967</v>
      </c>
    </row>
    <row r="45" customHeight="1" spans="1:16">
      <c r="A45" s="167">
        <v>10048</v>
      </c>
      <c r="B45" s="167">
        <v>5</v>
      </c>
      <c r="C45" s="168" t="s">
        <v>955</v>
      </c>
      <c r="D45" s="167">
        <v>0</v>
      </c>
      <c r="E45" s="167">
        <v>1</v>
      </c>
      <c r="F45" s="167">
        <v>0</v>
      </c>
      <c r="G45" s="167">
        <v>0</v>
      </c>
      <c r="H45" s="167">
        <v>1137</v>
      </c>
      <c r="I45" s="167">
        <v>1</v>
      </c>
      <c r="J45" s="167" t="s">
        <v>921</v>
      </c>
      <c r="K45" s="171">
        <v>0</v>
      </c>
      <c r="L45">
        <v>90</v>
      </c>
      <c r="M45" t="b">
        <f t="shared" si="1"/>
        <v>0</v>
      </c>
      <c r="O45">
        <v>1165</v>
      </c>
      <c r="P45" t="s">
        <v>968</v>
      </c>
    </row>
    <row r="46" customHeight="1" spans="1:16">
      <c r="A46" s="167">
        <v>10049</v>
      </c>
      <c r="B46" s="167">
        <v>1</v>
      </c>
      <c r="C46" s="168" t="s">
        <v>930</v>
      </c>
      <c r="D46" s="167">
        <v>0</v>
      </c>
      <c r="E46" s="167">
        <v>3800</v>
      </c>
      <c r="F46" s="167">
        <v>0</v>
      </c>
      <c r="G46" s="167">
        <v>0</v>
      </c>
      <c r="H46" s="167">
        <v>1149</v>
      </c>
      <c r="I46" s="167">
        <v>1</v>
      </c>
      <c r="J46" s="167" t="s">
        <v>931</v>
      </c>
      <c r="K46" s="171">
        <v>0</v>
      </c>
      <c r="L46">
        <v>90</v>
      </c>
      <c r="M46" t="b">
        <f t="shared" si="1"/>
        <v>0</v>
      </c>
      <c r="O46">
        <v>1166</v>
      </c>
      <c r="P46" t="s">
        <v>969</v>
      </c>
    </row>
    <row r="47" customHeight="1" spans="1:16">
      <c r="A47" s="169">
        <v>10050</v>
      </c>
      <c r="B47" s="169">
        <v>1</v>
      </c>
      <c r="C47" s="170" t="s">
        <v>932</v>
      </c>
      <c r="D47" s="169">
        <v>0</v>
      </c>
      <c r="E47" s="169">
        <v>2400</v>
      </c>
      <c r="F47" s="169">
        <v>120</v>
      </c>
      <c r="G47" s="169">
        <v>0</v>
      </c>
      <c r="H47" s="169">
        <v>1137</v>
      </c>
      <c r="I47" s="169">
        <v>1</v>
      </c>
      <c r="J47" s="169" t="s">
        <v>921</v>
      </c>
      <c r="K47" s="171">
        <v>0</v>
      </c>
      <c r="L47">
        <v>90</v>
      </c>
      <c r="M47" t="b">
        <f t="shared" si="1"/>
        <v>0</v>
      </c>
      <c r="O47">
        <v>1167</v>
      </c>
      <c r="P47" t="s">
        <v>970</v>
      </c>
    </row>
    <row r="48" customHeight="1" spans="1:16">
      <c r="A48" s="171">
        <v>10051</v>
      </c>
      <c r="B48" s="171">
        <v>4</v>
      </c>
      <c r="C48" s="166" t="s">
        <v>928</v>
      </c>
      <c r="D48" s="171">
        <v>70</v>
      </c>
      <c r="E48" s="171">
        <v>5</v>
      </c>
      <c r="F48" s="171">
        <v>0</v>
      </c>
      <c r="G48" s="171">
        <v>0</v>
      </c>
      <c r="H48" s="171">
        <v>1147</v>
      </c>
      <c r="I48" s="171">
        <v>1</v>
      </c>
      <c r="J48" s="171" t="s">
        <v>926</v>
      </c>
      <c r="K48" s="171">
        <v>0</v>
      </c>
      <c r="L48">
        <v>100</v>
      </c>
      <c r="M48">
        <f t="shared" si="1"/>
        <v>1</v>
      </c>
      <c r="O48">
        <v>1289</v>
      </c>
      <c r="P48" t="s">
        <v>971</v>
      </c>
    </row>
    <row r="49" customHeight="1" spans="1:16">
      <c r="A49" s="167">
        <v>10052</v>
      </c>
      <c r="B49" s="167">
        <v>5</v>
      </c>
      <c r="C49" s="168" t="s">
        <v>955</v>
      </c>
      <c r="D49" s="167">
        <v>0</v>
      </c>
      <c r="E49" s="167">
        <v>1</v>
      </c>
      <c r="F49" s="167">
        <v>0</v>
      </c>
      <c r="G49" s="167">
        <v>0</v>
      </c>
      <c r="H49" s="167">
        <v>1137</v>
      </c>
      <c r="I49" s="167">
        <v>1</v>
      </c>
      <c r="J49" s="167" t="s">
        <v>921</v>
      </c>
      <c r="K49" s="171">
        <v>0</v>
      </c>
      <c r="L49">
        <v>100</v>
      </c>
      <c r="M49" t="b">
        <f t="shared" si="1"/>
        <v>0</v>
      </c>
      <c r="O49">
        <v>1290</v>
      </c>
      <c r="P49" t="s">
        <v>972</v>
      </c>
    </row>
    <row r="50" customHeight="1" spans="1:16">
      <c r="A50" s="167">
        <v>10053</v>
      </c>
      <c r="B50" s="167">
        <v>1</v>
      </c>
      <c r="C50" s="168" t="s">
        <v>930</v>
      </c>
      <c r="D50" s="167">
        <v>0</v>
      </c>
      <c r="E50" s="167">
        <v>4000</v>
      </c>
      <c r="F50" s="167">
        <v>0</v>
      </c>
      <c r="G50" s="167">
        <v>0</v>
      </c>
      <c r="H50" s="167">
        <v>1149</v>
      </c>
      <c r="I50" s="167">
        <v>1</v>
      </c>
      <c r="J50" s="167" t="s">
        <v>931</v>
      </c>
      <c r="K50" s="171">
        <v>0</v>
      </c>
      <c r="L50">
        <v>100</v>
      </c>
      <c r="M50" t="b">
        <f t="shared" si="1"/>
        <v>0</v>
      </c>
      <c r="O50">
        <v>1283</v>
      </c>
      <c r="P50" t="s">
        <v>973</v>
      </c>
    </row>
    <row r="51" customHeight="1" spans="1:16">
      <c r="A51" s="167">
        <v>10054</v>
      </c>
      <c r="B51" s="167">
        <v>1</v>
      </c>
      <c r="C51" s="168" t="s">
        <v>932</v>
      </c>
      <c r="D51" s="167">
        <v>0</v>
      </c>
      <c r="E51" s="167">
        <v>2500</v>
      </c>
      <c r="F51" s="167">
        <v>120</v>
      </c>
      <c r="G51" s="167">
        <v>0</v>
      </c>
      <c r="H51" s="167">
        <v>1137</v>
      </c>
      <c r="I51" s="167">
        <v>1</v>
      </c>
      <c r="J51" s="167" t="s">
        <v>921</v>
      </c>
      <c r="K51" s="171">
        <v>0</v>
      </c>
      <c r="L51">
        <v>100</v>
      </c>
      <c r="M51" t="b">
        <f t="shared" si="1"/>
        <v>0</v>
      </c>
      <c r="O51">
        <v>1284</v>
      </c>
      <c r="P51" t="s">
        <v>974</v>
      </c>
    </row>
    <row r="52" customHeight="1" spans="1:16">
      <c r="A52" s="167">
        <v>10055</v>
      </c>
      <c r="B52" s="167">
        <v>2</v>
      </c>
      <c r="C52" s="168" t="s">
        <v>925</v>
      </c>
      <c r="D52" s="167">
        <v>11017</v>
      </c>
      <c r="E52" s="167">
        <v>1</v>
      </c>
      <c r="F52" s="167">
        <v>0</v>
      </c>
      <c r="G52" s="167">
        <v>0</v>
      </c>
      <c r="H52" s="167">
        <v>1147</v>
      </c>
      <c r="I52" s="167">
        <v>1</v>
      </c>
      <c r="J52" s="167" t="s">
        <v>926</v>
      </c>
      <c r="K52" s="171">
        <v>11017</v>
      </c>
      <c r="L52">
        <v>100</v>
      </c>
      <c r="M52" t="b">
        <f t="shared" si="1"/>
        <v>0</v>
      </c>
      <c r="O52">
        <v>1285</v>
      </c>
      <c r="P52" t="s">
        <v>975</v>
      </c>
    </row>
    <row r="53" customHeight="1" spans="1:16">
      <c r="A53" s="167">
        <v>10056</v>
      </c>
      <c r="B53" s="167">
        <v>5</v>
      </c>
      <c r="C53" s="168" t="s">
        <v>955</v>
      </c>
      <c r="D53" s="167">
        <v>0</v>
      </c>
      <c r="E53" s="167">
        <v>1</v>
      </c>
      <c r="F53" s="167">
        <v>0</v>
      </c>
      <c r="G53" s="167">
        <v>0</v>
      </c>
      <c r="H53" s="167">
        <v>1137</v>
      </c>
      <c r="I53" s="167">
        <v>1</v>
      </c>
      <c r="J53" s="167" t="s">
        <v>921</v>
      </c>
      <c r="K53" s="171">
        <v>0</v>
      </c>
      <c r="L53">
        <v>110</v>
      </c>
      <c r="M53" t="b">
        <f t="shared" si="1"/>
        <v>0</v>
      </c>
      <c r="O53">
        <v>1286</v>
      </c>
      <c r="P53" t="s">
        <v>976</v>
      </c>
    </row>
    <row r="54" customHeight="1" spans="1:16">
      <c r="A54" s="167">
        <v>10057</v>
      </c>
      <c r="B54" s="167">
        <v>1</v>
      </c>
      <c r="C54" s="168" t="s">
        <v>930</v>
      </c>
      <c r="D54" s="167">
        <v>0</v>
      </c>
      <c r="E54" s="167">
        <v>4100</v>
      </c>
      <c r="F54" s="167">
        <v>0</v>
      </c>
      <c r="G54" s="167">
        <v>0</v>
      </c>
      <c r="H54" s="167">
        <v>1149</v>
      </c>
      <c r="I54" s="167">
        <v>1</v>
      </c>
      <c r="J54" s="167" t="s">
        <v>931</v>
      </c>
      <c r="K54" s="171">
        <v>0</v>
      </c>
      <c r="L54">
        <v>110</v>
      </c>
      <c r="M54" t="b">
        <f t="shared" si="1"/>
        <v>0</v>
      </c>
      <c r="O54">
        <v>1287</v>
      </c>
      <c r="P54" t="s">
        <v>977</v>
      </c>
    </row>
    <row r="55" customHeight="1" spans="1:16">
      <c r="A55" s="169">
        <v>10058</v>
      </c>
      <c r="B55" s="169">
        <v>1</v>
      </c>
      <c r="C55" s="170" t="s">
        <v>932</v>
      </c>
      <c r="D55" s="169">
        <v>0</v>
      </c>
      <c r="E55" s="169">
        <v>2600</v>
      </c>
      <c r="F55" s="169">
        <v>120</v>
      </c>
      <c r="G55" s="169">
        <v>0</v>
      </c>
      <c r="H55" s="169">
        <v>1137</v>
      </c>
      <c r="I55" s="169">
        <v>1</v>
      </c>
      <c r="J55" s="169" t="s">
        <v>921</v>
      </c>
      <c r="K55" s="171">
        <v>0</v>
      </c>
      <c r="L55">
        <v>110</v>
      </c>
      <c r="M55" t="b">
        <f t="shared" si="1"/>
        <v>0</v>
      </c>
      <c r="O55">
        <v>0</v>
      </c>
      <c r="P55" t="s">
        <v>978</v>
      </c>
    </row>
    <row r="56" customHeight="1" spans="1:16">
      <c r="A56" s="167">
        <v>10059</v>
      </c>
      <c r="B56" s="167">
        <v>2</v>
      </c>
      <c r="C56" s="168" t="s">
        <v>925</v>
      </c>
      <c r="D56" s="167">
        <v>11013</v>
      </c>
      <c r="E56" s="167">
        <v>3</v>
      </c>
      <c r="F56" s="167">
        <v>0</v>
      </c>
      <c r="G56" s="167">
        <v>0</v>
      </c>
      <c r="H56" s="167">
        <v>1147</v>
      </c>
      <c r="I56" s="167">
        <v>1</v>
      </c>
      <c r="J56" s="167" t="s">
        <v>926</v>
      </c>
      <c r="K56" s="171">
        <v>11013</v>
      </c>
      <c r="L56">
        <v>110</v>
      </c>
      <c r="M56" t="b">
        <f t="shared" si="1"/>
        <v>0</v>
      </c>
      <c r="O56">
        <v>9999</v>
      </c>
      <c r="P56" t="s">
        <v>979</v>
      </c>
    </row>
    <row r="57" customHeight="1" spans="1:16">
      <c r="A57" s="167">
        <v>10060</v>
      </c>
      <c r="B57" s="167">
        <v>9</v>
      </c>
      <c r="C57" s="168" t="s">
        <v>934</v>
      </c>
      <c r="D57" s="167">
        <v>0</v>
      </c>
      <c r="E57" s="167">
        <v>450</v>
      </c>
      <c r="F57" s="167">
        <v>0</v>
      </c>
      <c r="G57" s="167">
        <v>0</v>
      </c>
      <c r="H57" s="167">
        <v>1137</v>
      </c>
      <c r="I57" s="167">
        <v>1</v>
      </c>
      <c r="J57" s="167" t="s">
        <v>921</v>
      </c>
      <c r="K57" s="171">
        <v>0</v>
      </c>
      <c r="L57">
        <v>110</v>
      </c>
      <c r="M57" t="b">
        <f t="shared" si="1"/>
        <v>0</v>
      </c>
      <c r="O57">
        <v>47001</v>
      </c>
      <c r="P57" t="s">
        <v>980</v>
      </c>
    </row>
    <row r="58" customHeight="1" spans="1:16">
      <c r="A58" s="167">
        <v>10061</v>
      </c>
      <c r="B58" s="167">
        <v>1</v>
      </c>
      <c r="C58" s="168" t="s">
        <v>930</v>
      </c>
      <c r="D58" s="167">
        <v>0</v>
      </c>
      <c r="E58" s="167">
        <v>4200</v>
      </c>
      <c r="F58" s="167">
        <v>0</v>
      </c>
      <c r="G58" s="167">
        <v>0</v>
      </c>
      <c r="H58" s="167">
        <v>1149</v>
      </c>
      <c r="I58" s="167">
        <v>1</v>
      </c>
      <c r="J58" s="167" t="s">
        <v>931</v>
      </c>
      <c r="K58" s="171">
        <v>0</v>
      </c>
      <c r="L58">
        <v>120</v>
      </c>
      <c r="M58" t="b">
        <f t="shared" si="1"/>
        <v>0</v>
      </c>
      <c r="O58">
        <v>47002</v>
      </c>
      <c r="P58" t="s">
        <v>981</v>
      </c>
    </row>
    <row r="59" customHeight="1" spans="1:16">
      <c r="A59" s="167">
        <v>10062</v>
      </c>
      <c r="B59" s="167">
        <v>1</v>
      </c>
      <c r="C59" s="168" t="s">
        <v>932</v>
      </c>
      <c r="D59" s="167">
        <v>0</v>
      </c>
      <c r="E59" s="167">
        <v>2700</v>
      </c>
      <c r="F59" s="167">
        <v>120</v>
      </c>
      <c r="G59" s="167">
        <v>0</v>
      </c>
      <c r="H59" s="167">
        <v>1137</v>
      </c>
      <c r="I59" s="167">
        <v>1</v>
      </c>
      <c r="J59" s="167" t="s">
        <v>921</v>
      </c>
      <c r="K59" s="171">
        <v>0</v>
      </c>
      <c r="L59">
        <v>120</v>
      </c>
      <c r="M59" t="b">
        <f t="shared" si="1"/>
        <v>0</v>
      </c>
      <c r="O59">
        <v>47003</v>
      </c>
      <c r="P59" t="s">
        <v>982</v>
      </c>
    </row>
    <row r="60" customHeight="1" spans="1:16">
      <c r="A60" s="167">
        <v>10063</v>
      </c>
      <c r="B60" s="167">
        <v>2</v>
      </c>
      <c r="C60" s="168" t="s">
        <v>925</v>
      </c>
      <c r="D60" s="167">
        <v>11020</v>
      </c>
      <c r="E60" s="167">
        <v>1</v>
      </c>
      <c r="F60" s="167">
        <v>0</v>
      </c>
      <c r="G60" s="167">
        <v>0</v>
      </c>
      <c r="H60" s="167">
        <v>1147</v>
      </c>
      <c r="I60" s="167">
        <v>1</v>
      </c>
      <c r="J60" s="167" t="s">
        <v>926</v>
      </c>
      <c r="K60" s="171">
        <v>11020</v>
      </c>
      <c r="L60">
        <v>120</v>
      </c>
      <c r="M60" t="b">
        <f t="shared" si="1"/>
        <v>0</v>
      </c>
      <c r="O60">
        <v>47004</v>
      </c>
      <c r="P60" t="s">
        <v>983</v>
      </c>
    </row>
    <row r="61" customHeight="1" spans="1:16">
      <c r="A61" s="167">
        <v>10064</v>
      </c>
      <c r="B61" s="167">
        <v>4</v>
      </c>
      <c r="C61" s="168" t="s">
        <v>928</v>
      </c>
      <c r="D61" s="167">
        <v>90</v>
      </c>
      <c r="E61" s="167">
        <v>5</v>
      </c>
      <c r="F61" s="167">
        <v>0</v>
      </c>
      <c r="G61" s="167">
        <v>0</v>
      </c>
      <c r="H61" s="167">
        <v>1137</v>
      </c>
      <c r="I61" s="167">
        <v>1</v>
      </c>
      <c r="J61" s="167" t="s">
        <v>921</v>
      </c>
      <c r="K61" s="171">
        <v>0</v>
      </c>
      <c r="L61">
        <v>120</v>
      </c>
      <c r="M61">
        <f t="shared" si="1"/>
        <v>1</v>
      </c>
      <c r="O61">
        <v>47005</v>
      </c>
      <c r="P61" t="s">
        <v>984</v>
      </c>
    </row>
    <row r="62" customHeight="1" spans="1:16">
      <c r="A62" s="167">
        <v>10065</v>
      </c>
      <c r="B62" s="167">
        <v>1</v>
      </c>
      <c r="C62" s="168" t="s">
        <v>930</v>
      </c>
      <c r="D62" s="167">
        <v>0</v>
      </c>
      <c r="E62" s="167">
        <v>4300</v>
      </c>
      <c r="F62" s="167">
        <v>0</v>
      </c>
      <c r="G62" s="167">
        <v>0</v>
      </c>
      <c r="H62" s="167">
        <v>1149</v>
      </c>
      <c r="I62" s="167">
        <v>1</v>
      </c>
      <c r="J62" s="167" t="s">
        <v>931</v>
      </c>
      <c r="K62" s="171">
        <v>0</v>
      </c>
      <c r="L62">
        <v>120</v>
      </c>
      <c r="M62" t="b">
        <f t="shared" si="1"/>
        <v>0</v>
      </c>
      <c r="O62">
        <v>47013</v>
      </c>
      <c r="P62" t="s">
        <v>985</v>
      </c>
    </row>
    <row r="63" customHeight="1" spans="1:16">
      <c r="A63" s="167">
        <v>10066</v>
      </c>
      <c r="B63" s="167">
        <v>1</v>
      </c>
      <c r="C63" s="168" t="s">
        <v>932</v>
      </c>
      <c r="D63" s="167">
        <v>0</v>
      </c>
      <c r="E63" s="167">
        <v>2800</v>
      </c>
      <c r="F63" s="167">
        <v>120</v>
      </c>
      <c r="G63" s="167">
        <v>0</v>
      </c>
      <c r="H63" s="167">
        <v>1137</v>
      </c>
      <c r="I63" s="167">
        <v>1</v>
      </c>
      <c r="J63" s="167" t="s">
        <v>921</v>
      </c>
      <c r="K63" s="171">
        <v>0</v>
      </c>
      <c r="L63">
        <v>130</v>
      </c>
      <c r="M63" t="b">
        <f t="shared" si="1"/>
        <v>0</v>
      </c>
      <c r="O63">
        <v>47014</v>
      </c>
      <c r="P63" t="s">
        <v>986</v>
      </c>
    </row>
    <row r="64" customHeight="1" spans="1:16">
      <c r="A64" s="167">
        <v>10067</v>
      </c>
      <c r="B64" s="167">
        <v>4</v>
      </c>
      <c r="C64" s="168" t="s">
        <v>928</v>
      </c>
      <c r="D64" s="167">
        <v>60</v>
      </c>
      <c r="E64" s="167">
        <v>10</v>
      </c>
      <c r="F64" s="167">
        <v>0</v>
      </c>
      <c r="G64" s="167">
        <v>0</v>
      </c>
      <c r="H64" s="167">
        <v>1147</v>
      </c>
      <c r="I64" s="167">
        <v>1</v>
      </c>
      <c r="J64" s="167" t="s">
        <v>926</v>
      </c>
      <c r="K64" s="171">
        <v>0</v>
      </c>
      <c r="L64">
        <v>130</v>
      </c>
      <c r="M64">
        <f t="shared" si="1"/>
        <v>1</v>
      </c>
      <c r="O64">
        <v>47015</v>
      </c>
      <c r="P64" t="s">
        <v>987</v>
      </c>
    </row>
    <row r="65" customHeight="1" spans="1:13">
      <c r="A65" s="167">
        <v>10068</v>
      </c>
      <c r="B65" s="167">
        <v>5</v>
      </c>
      <c r="C65" s="168" t="s">
        <v>955</v>
      </c>
      <c r="D65" s="167">
        <v>0</v>
      </c>
      <c r="E65" s="167">
        <v>1</v>
      </c>
      <c r="F65" s="167">
        <v>0</v>
      </c>
      <c r="G65" s="167">
        <v>0</v>
      </c>
      <c r="H65" s="167">
        <v>1137</v>
      </c>
      <c r="I65" s="167">
        <v>1</v>
      </c>
      <c r="J65" s="167" t="s">
        <v>921</v>
      </c>
      <c r="K65" s="171">
        <v>0</v>
      </c>
      <c r="L65">
        <v>130</v>
      </c>
      <c r="M65" t="b">
        <f t="shared" si="1"/>
        <v>0</v>
      </c>
    </row>
    <row r="66" customHeight="1" spans="1:13">
      <c r="A66" s="167">
        <v>10069</v>
      </c>
      <c r="B66" s="167">
        <v>1</v>
      </c>
      <c r="C66" s="168" t="s">
        <v>930</v>
      </c>
      <c r="D66" s="167">
        <v>0</v>
      </c>
      <c r="E66" s="167">
        <v>4400</v>
      </c>
      <c r="F66" s="167">
        <v>0</v>
      </c>
      <c r="G66" s="167">
        <v>0</v>
      </c>
      <c r="H66" s="167">
        <v>1149</v>
      </c>
      <c r="I66" s="167">
        <v>1</v>
      </c>
      <c r="J66" s="167" t="s">
        <v>931</v>
      </c>
      <c r="K66" s="171">
        <v>0</v>
      </c>
      <c r="L66">
        <v>130</v>
      </c>
      <c r="M66" t="b">
        <f t="shared" ref="M66:M129" si="2">IF(D66&lt;&gt;K66,1)</f>
        <v>0</v>
      </c>
    </row>
    <row r="67" customHeight="1" spans="1:13">
      <c r="A67" s="167">
        <v>10070</v>
      </c>
      <c r="B67" s="167">
        <v>1</v>
      </c>
      <c r="C67" s="168" t="s">
        <v>932</v>
      </c>
      <c r="D67" s="167">
        <v>0</v>
      </c>
      <c r="E67" s="167">
        <v>2900</v>
      </c>
      <c r="F67" s="167">
        <v>120</v>
      </c>
      <c r="G67" s="167">
        <v>0</v>
      </c>
      <c r="H67" s="167">
        <v>1137</v>
      </c>
      <c r="I67" s="167">
        <v>1</v>
      </c>
      <c r="J67" s="167" t="s">
        <v>921</v>
      </c>
      <c r="K67" s="171">
        <v>0</v>
      </c>
      <c r="L67">
        <v>130</v>
      </c>
      <c r="M67" t="b">
        <f t="shared" si="2"/>
        <v>0</v>
      </c>
    </row>
    <row r="68" customHeight="1" spans="1:13">
      <c r="A68" s="167">
        <v>10071</v>
      </c>
      <c r="B68" s="167">
        <v>2</v>
      </c>
      <c r="C68" s="168" t="s">
        <v>925</v>
      </c>
      <c r="D68" s="167">
        <v>11017</v>
      </c>
      <c r="E68" s="167">
        <v>1</v>
      </c>
      <c r="F68" s="167">
        <v>0</v>
      </c>
      <c r="G68" s="167">
        <v>0</v>
      </c>
      <c r="H68" s="167">
        <v>1147</v>
      </c>
      <c r="I68" s="167">
        <v>1</v>
      </c>
      <c r="J68" s="167" t="s">
        <v>926</v>
      </c>
      <c r="K68" s="171">
        <v>11017</v>
      </c>
      <c r="L68">
        <v>140</v>
      </c>
      <c r="M68" t="b">
        <f t="shared" si="2"/>
        <v>0</v>
      </c>
    </row>
    <row r="69" customHeight="1" spans="1:13">
      <c r="A69" s="167">
        <v>10072</v>
      </c>
      <c r="B69" s="167">
        <v>5</v>
      </c>
      <c r="C69" s="168" t="s">
        <v>955</v>
      </c>
      <c r="D69" s="167">
        <v>0</v>
      </c>
      <c r="E69" s="167">
        <v>1</v>
      </c>
      <c r="F69" s="167">
        <v>0</v>
      </c>
      <c r="G69" s="167">
        <v>0</v>
      </c>
      <c r="H69" s="167">
        <v>1137</v>
      </c>
      <c r="I69" s="167">
        <v>1</v>
      </c>
      <c r="J69" s="167" t="s">
        <v>921</v>
      </c>
      <c r="K69" s="171">
        <v>0</v>
      </c>
      <c r="L69">
        <v>140</v>
      </c>
      <c r="M69" t="b">
        <f t="shared" si="2"/>
        <v>0</v>
      </c>
    </row>
    <row r="70" customHeight="1" spans="1:13">
      <c r="A70" s="167">
        <v>10073</v>
      </c>
      <c r="B70" s="167">
        <v>1</v>
      </c>
      <c r="C70" s="168" t="s">
        <v>930</v>
      </c>
      <c r="D70" s="167">
        <v>0</v>
      </c>
      <c r="E70" s="167">
        <v>4500</v>
      </c>
      <c r="F70" s="167">
        <v>0</v>
      </c>
      <c r="G70" s="167">
        <v>0</v>
      </c>
      <c r="H70" s="167">
        <v>1149</v>
      </c>
      <c r="I70" s="167">
        <v>1</v>
      </c>
      <c r="J70" s="167" t="s">
        <v>931</v>
      </c>
      <c r="K70" s="171">
        <v>0</v>
      </c>
      <c r="L70">
        <v>140</v>
      </c>
      <c r="M70" t="b">
        <f t="shared" si="2"/>
        <v>0</v>
      </c>
    </row>
    <row r="71" customHeight="1" spans="1:13">
      <c r="A71" s="167">
        <v>10074</v>
      </c>
      <c r="B71" s="167">
        <v>1</v>
      </c>
      <c r="C71" s="168" t="s">
        <v>932</v>
      </c>
      <c r="D71" s="167">
        <v>0</v>
      </c>
      <c r="E71" s="167">
        <v>3000</v>
      </c>
      <c r="F71" s="167">
        <v>120</v>
      </c>
      <c r="G71" s="167">
        <v>0</v>
      </c>
      <c r="H71" s="167">
        <v>1137</v>
      </c>
      <c r="I71" s="167">
        <v>1</v>
      </c>
      <c r="J71" s="167" t="s">
        <v>921</v>
      </c>
      <c r="K71" s="171">
        <v>0</v>
      </c>
      <c r="L71">
        <v>140</v>
      </c>
      <c r="M71" t="b">
        <f t="shared" si="2"/>
        <v>0</v>
      </c>
    </row>
    <row r="72" customHeight="1" spans="1:13">
      <c r="A72" s="167">
        <v>10075</v>
      </c>
      <c r="B72" s="167">
        <v>2</v>
      </c>
      <c r="C72" s="168" t="s">
        <v>925</v>
      </c>
      <c r="D72" s="167">
        <v>11010</v>
      </c>
      <c r="E72" s="167">
        <v>2</v>
      </c>
      <c r="F72" s="167">
        <v>0</v>
      </c>
      <c r="G72" s="167">
        <v>0</v>
      </c>
      <c r="H72" s="167">
        <v>1147</v>
      </c>
      <c r="I72" s="167">
        <v>1</v>
      </c>
      <c r="J72" s="167" t="s">
        <v>926</v>
      </c>
      <c r="K72" s="171">
        <v>11010</v>
      </c>
      <c r="L72">
        <v>140</v>
      </c>
      <c r="M72" t="b">
        <f t="shared" si="2"/>
        <v>0</v>
      </c>
    </row>
    <row r="73" customHeight="1" spans="1:13">
      <c r="A73" s="167">
        <v>10076</v>
      </c>
      <c r="B73" s="167">
        <v>9</v>
      </c>
      <c r="C73" s="168" t="s">
        <v>934</v>
      </c>
      <c r="D73" s="167">
        <v>0</v>
      </c>
      <c r="E73" s="167">
        <v>450</v>
      </c>
      <c r="F73" s="167">
        <v>0</v>
      </c>
      <c r="G73" s="167">
        <v>0</v>
      </c>
      <c r="H73" s="167">
        <v>1137</v>
      </c>
      <c r="I73" s="167">
        <v>1</v>
      </c>
      <c r="J73" s="167" t="s">
        <v>921</v>
      </c>
      <c r="K73" s="171">
        <v>0</v>
      </c>
      <c r="L73">
        <v>150</v>
      </c>
      <c r="M73" t="b">
        <f t="shared" si="2"/>
        <v>0</v>
      </c>
    </row>
    <row r="74" customHeight="1" spans="1:13">
      <c r="A74" s="167">
        <v>10077</v>
      </c>
      <c r="B74" s="167">
        <v>1</v>
      </c>
      <c r="C74" s="168" t="s">
        <v>930</v>
      </c>
      <c r="D74" s="167">
        <v>0</v>
      </c>
      <c r="E74" s="167">
        <v>4600</v>
      </c>
      <c r="F74" s="167">
        <v>0</v>
      </c>
      <c r="G74" s="167">
        <v>0</v>
      </c>
      <c r="H74" s="167">
        <v>1149</v>
      </c>
      <c r="I74" s="167">
        <v>1</v>
      </c>
      <c r="J74" s="167" t="s">
        <v>931</v>
      </c>
      <c r="K74" s="171">
        <v>0</v>
      </c>
      <c r="L74">
        <v>150</v>
      </c>
      <c r="M74" t="b">
        <f t="shared" si="2"/>
        <v>0</v>
      </c>
    </row>
    <row r="75" customHeight="1" spans="1:13">
      <c r="A75" s="167">
        <v>10078</v>
      </c>
      <c r="B75" s="167">
        <v>1</v>
      </c>
      <c r="C75" s="168" t="s">
        <v>932</v>
      </c>
      <c r="D75" s="167">
        <v>0</v>
      </c>
      <c r="E75" s="167">
        <v>3100</v>
      </c>
      <c r="F75" s="167">
        <v>120</v>
      </c>
      <c r="G75" s="167">
        <v>0</v>
      </c>
      <c r="H75" s="167">
        <v>1137</v>
      </c>
      <c r="I75" s="167">
        <v>1</v>
      </c>
      <c r="J75" s="167" t="s">
        <v>921</v>
      </c>
      <c r="K75" s="171">
        <v>0</v>
      </c>
      <c r="L75">
        <v>150</v>
      </c>
      <c r="M75" t="b">
        <f t="shared" si="2"/>
        <v>0</v>
      </c>
    </row>
    <row r="76" customHeight="1" spans="1:13">
      <c r="A76" s="167">
        <v>10079</v>
      </c>
      <c r="B76" s="167">
        <v>2</v>
      </c>
      <c r="C76" s="168" t="s">
        <v>925</v>
      </c>
      <c r="D76" s="167">
        <v>11002</v>
      </c>
      <c r="E76" s="167">
        <v>10</v>
      </c>
      <c r="F76" s="167">
        <v>0</v>
      </c>
      <c r="G76" s="167">
        <v>0</v>
      </c>
      <c r="H76" s="167">
        <v>1147</v>
      </c>
      <c r="I76" s="167">
        <v>1</v>
      </c>
      <c r="J76" s="167" t="s">
        <v>926</v>
      </c>
      <c r="K76" s="171">
        <v>11002</v>
      </c>
      <c r="L76">
        <v>150</v>
      </c>
      <c r="M76" t="b">
        <f t="shared" si="2"/>
        <v>0</v>
      </c>
    </row>
    <row r="77" customHeight="1" spans="1:13">
      <c r="A77" s="167">
        <v>10080</v>
      </c>
      <c r="B77" s="167">
        <v>4</v>
      </c>
      <c r="C77" s="168" t="s">
        <v>928</v>
      </c>
      <c r="D77" s="167">
        <v>40</v>
      </c>
      <c r="E77" s="167">
        <v>10</v>
      </c>
      <c r="F77" s="167">
        <v>0</v>
      </c>
      <c r="G77" s="167">
        <v>0</v>
      </c>
      <c r="H77" s="167">
        <v>1137</v>
      </c>
      <c r="I77" s="167">
        <v>1</v>
      </c>
      <c r="J77" s="167" t="s">
        <v>921</v>
      </c>
      <c r="K77" s="171">
        <v>0</v>
      </c>
      <c r="L77">
        <v>150</v>
      </c>
      <c r="M77">
        <f t="shared" si="2"/>
        <v>1</v>
      </c>
    </row>
    <row r="78" customHeight="1" spans="1:13">
      <c r="A78" s="167">
        <v>10081</v>
      </c>
      <c r="B78" s="167">
        <v>1</v>
      </c>
      <c r="C78" s="168" t="s">
        <v>930</v>
      </c>
      <c r="D78" s="167">
        <v>0</v>
      </c>
      <c r="E78" s="167">
        <v>4700</v>
      </c>
      <c r="F78" s="167">
        <v>0</v>
      </c>
      <c r="G78" s="167">
        <v>0</v>
      </c>
      <c r="H78" s="167">
        <v>1149</v>
      </c>
      <c r="I78" s="167">
        <v>1</v>
      </c>
      <c r="J78" s="167" t="s">
        <v>931</v>
      </c>
      <c r="K78" s="171">
        <v>0</v>
      </c>
      <c r="L78">
        <v>160</v>
      </c>
      <c r="M78" t="b">
        <f t="shared" si="2"/>
        <v>0</v>
      </c>
    </row>
    <row r="79" customHeight="1" spans="1:13">
      <c r="A79" s="167">
        <v>10082</v>
      </c>
      <c r="B79" s="167">
        <v>1</v>
      </c>
      <c r="C79" s="168" t="s">
        <v>932</v>
      </c>
      <c r="D79" s="167">
        <v>0</v>
      </c>
      <c r="E79" s="167">
        <v>3200</v>
      </c>
      <c r="F79" s="167">
        <v>120</v>
      </c>
      <c r="G79" s="167">
        <v>0</v>
      </c>
      <c r="H79" s="167">
        <v>1137</v>
      </c>
      <c r="I79" s="167">
        <v>1</v>
      </c>
      <c r="J79" s="167" t="s">
        <v>921</v>
      </c>
      <c r="K79" s="171">
        <v>0</v>
      </c>
      <c r="L79">
        <v>160</v>
      </c>
      <c r="M79" t="b">
        <f t="shared" si="2"/>
        <v>0</v>
      </c>
    </row>
    <row r="80" customHeight="1" spans="1:13">
      <c r="A80" s="167">
        <v>10083</v>
      </c>
      <c r="B80" s="167">
        <v>4</v>
      </c>
      <c r="C80" s="168" t="s">
        <v>928</v>
      </c>
      <c r="D80" s="167">
        <v>100</v>
      </c>
      <c r="E80" s="167">
        <v>5</v>
      </c>
      <c r="F80" s="167">
        <v>0</v>
      </c>
      <c r="G80" s="167">
        <v>0</v>
      </c>
      <c r="H80" s="167">
        <v>1147</v>
      </c>
      <c r="I80" s="167">
        <v>1</v>
      </c>
      <c r="J80" s="167" t="s">
        <v>926</v>
      </c>
      <c r="K80" s="171">
        <v>0</v>
      </c>
      <c r="L80">
        <v>160</v>
      </c>
      <c r="M80">
        <f t="shared" si="2"/>
        <v>1</v>
      </c>
    </row>
    <row r="81" customHeight="1" spans="1:13">
      <c r="A81" s="167">
        <v>10084</v>
      </c>
      <c r="B81" s="167">
        <v>5</v>
      </c>
      <c r="C81" s="168" t="s">
        <v>955</v>
      </c>
      <c r="D81" s="167">
        <v>0</v>
      </c>
      <c r="E81" s="167">
        <v>1</v>
      </c>
      <c r="F81" s="167">
        <v>0</v>
      </c>
      <c r="G81" s="167">
        <v>0</v>
      </c>
      <c r="H81" s="167">
        <v>1137</v>
      </c>
      <c r="I81" s="167">
        <v>1</v>
      </c>
      <c r="J81" s="167" t="s">
        <v>921</v>
      </c>
      <c r="K81" s="171">
        <v>0</v>
      </c>
      <c r="L81">
        <v>160</v>
      </c>
      <c r="M81" t="b">
        <f t="shared" si="2"/>
        <v>0</v>
      </c>
    </row>
    <row r="82" customHeight="1" spans="1:13">
      <c r="A82" s="167">
        <v>10085</v>
      </c>
      <c r="B82" s="167">
        <v>1</v>
      </c>
      <c r="C82" s="168" t="s">
        <v>930</v>
      </c>
      <c r="D82" s="167">
        <v>0</v>
      </c>
      <c r="E82" s="167">
        <v>4800</v>
      </c>
      <c r="F82" s="167">
        <v>0</v>
      </c>
      <c r="G82" s="167">
        <v>0</v>
      </c>
      <c r="H82" s="167">
        <v>1149</v>
      </c>
      <c r="I82" s="167">
        <v>1</v>
      </c>
      <c r="J82" s="167" t="s">
        <v>931</v>
      </c>
      <c r="K82" s="171">
        <v>0</v>
      </c>
      <c r="L82">
        <v>160</v>
      </c>
      <c r="M82" t="b">
        <f t="shared" si="2"/>
        <v>0</v>
      </c>
    </row>
    <row r="83" customHeight="1" spans="1:13">
      <c r="A83" s="167">
        <v>10086</v>
      </c>
      <c r="B83" s="167">
        <v>1</v>
      </c>
      <c r="C83" s="168" t="s">
        <v>932</v>
      </c>
      <c r="D83" s="167">
        <v>0</v>
      </c>
      <c r="E83" s="167">
        <v>3300</v>
      </c>
      <c r="F83" s="167">
        <v>120</v>
      </c>
      <c r="G83" s="167">
        <v>0</v>
      </c>
      <c r="H83" s="167">
        <v>1137</v>
      </c>
      <c r="I83" s="167">
        <v>1</v>
      </c>
      <c r="J83" s="167" t="s">
        <v>921</v>
      </c>
      <c r="K83" s="171">
        <v>0</v>
      </c>
      <c r="L83">
        <v>170</v>
      </c>
      <c r="M83" t="b">
        <f t="shared" si="2"/>
        <v>0</v>
      </c>
    </row>
    <row r="84" customHeight="1" spans="1:13">
      <c r="A84" s="167">
        <v>10087</v>
      </c>
      <c r="B84" s="167">
        <v>2</v>
      </c>
      <c r="C84" s="168" t="s">
        <v>925</v>
      </c>
      <c r="D84" s="167">
        <v>11012</v>
      </c>
      <c r="E84" s="167">
        <v>3</v>
      </c>
      <c r="F84" s="167">
        <v>0</v>
      </c>
      <c r="G84" s="167">
        <v>0</v>
      </c>
      <c r="H84" s="167">
        <v>1147</v>
      </c>
      <c r="I84" s="167">
        <v>1</v>
      </c>
      <c r="J84" s="167" t="s">
        <v>926</v>
      </c>
      <c r="K84" s="171">
        <v>11012</v>
      </c>
      <c r="L84">
        <v>170</v>
      </c>
      <c r="M84" t="b">
        <f t="shared" si="2"/>
        <v>0</v>
      </c>
    </row>
    <row r="85" customHeight="1" spans="1:13">
      <c r="A85" s="167">
        <v>10088</v>
      </c>
      <c r="B85" s="167">
        <v>5</v>
      </c>
      <c r="C85" s="168" t="s">
        <v>955</v>
      </c>
      <c r="D85" s="167">
        <v>0</v>
      </c>
      <c r="E85" s="167">
        <v>1</v>
      </c>
      <c r="F85" s="167">
        <v>0</v>
      </c>
      <c r="G85" s="167">
        <v>0</v>
      </c>
      <c r="H85" s="167">
        <v>1137</v>
      </c>
      <c r="I85" s="167">
        <v>1</v>
      </c>
      <c r="J85" s="167" t="s">
        <v>921</v>
      </c>
      <c r="K85" s="171">
        <v>0</v>
      </c>
      <c r="L85" s="59">
        <v>170</v>
      </c>
      <c r="M85" t="b">
        <f t="shared" si="2"/>
        <v>0</v>
      </c>
    </row>
    <row r="86" customHeight="1" spans="1:13">
      <c r="A86" s="167">
        <v>10089</v>
      </c>
      <c r="B86" s="167">
        <v>1</v>
      </c>
      <c r="C86" s="168" t="s">
        <v>930</v>
      </c>
      <c r="D86" s="167">
        <v>0</v>
      </c>
      <c r="E86" s="167">
        <v>4900</v>
      </c>
      <c r="F86" s="167">
        <v>0</v>
      </c>
      <c r="G86" s="167">
        <v>0</v>
      </c>
      <c r="H86" s="167">
        <v>1149</v>
      </c>
      <c r="I86" s="167">
        <v>1</v>
      </c>
      <c r="J86" s="167" t="s">
        <v>931</v>
      </c>
      <c r="K86" s="171">
        <v>0</v>
      </c>
      <c r="L86" s="59">
        <v>170</v>
      </c>
      <c r="M86" t="b">
        <f t="shared" si="2"/>
        <v>0</v>
      </c>
    </row>
    <row r="87" customHeight="1" spans="1:13">
      <c r="A87" s="167">
        <v>10090</v>
      </c>
      <c r="B87" s="167">
        <v>1</v>
      </c>
      <c r="C87" s="168" t="s">
        <v>932</v>
      </c>
      <c r="D87" s="167">
        <v>0</v>
      </c>
      <c r="E87" s="167">
        <v>3400</v>
      </c>
      <c r="F87" s="167">
        <v>120</v>
      </c>
      <c r="G87" s="167">
        <v>0</v>
      </c>
      <c r="H87" s="167">
        <v>1137</v>
      </c>
      <c r="I87" s="167">
        <v>1</v>
      </c>
      <c r="J87" s="167" t="s">
        <v>921</v>
      </c>
      <c r="K87" s="171">
        <v>0</v>
      </c>
      <c r="L87" s="59">
        <v>170</v>
      </c>
      <c r="M87" t="b">
        <f t="shared" si="2"/>
        <v>0</v>
      </c>
    </row>
    <row r="88" customHeight="1" spans="1:13">
      <c r="A88" s="167">
        <v>10091</v>
      </c>
      <c r="B88" s="167">
        <v>2</v>
      </c>
      <c r="C88" s="168" t="s">
        <v>925</v>
      </c>
      <c r="D88" s="167">
        <v>11013</v>
      </c>
      <c r="E88" s="167">
        <v>2</v>
      </c>
      <c r="F88" s="167">
        <v>0</v>
      </c>
      <c r="G88" s="167">
        <v>0</v>
      </c>
      <c r="H88" s="167">
        <v>1147</v>
      </c>
      <c r="I88" s="167">
        <v>1</v>
      </c>
      <c r="J88" s="167" t="s">
        <v>926</v>
      </c>
      <c r="K88" s="171">
        <v>11013</v>
      </c>
      <c r="L88" s="59">
        <v>180</v>
      </c>
      <c r="M88" t="b">
        <f t="shared" si="2"/>
        <v>0</v>
      </c>
    </row>
    <row r="89" customHeight="1" spans="1:13">
      <c r="A89" s="167">
        <v>10092</v>
      </c>
      <c r="B89" s="167">
        <v>9</v>
      </c>
      <c r="C89" s="168" t="s">
        <v>934</v>
      </c>
      <c r="D89" s="167">
        <v>0</v>
      </c>
      <c r="E89" s="167">
        <v>500</v>
      </c>
      <c r="F89" s="167">
        <v>0</v>
      </c>
      <c r="G89" s="167">
        <v>0</v>
      </c>
      <c r="H89" s="167">
        <v>1137</v>
      </c>
      <c r="I89" s="167">
        <v>1</v>
      </c>
      <c r="J89" s="167" t="s">
        <v>921</v>
      </c>
      <c r="K89" s="171">
        <v>0</v>
      </c>
      <c r="L89" s="59">
        <v>180</v>
      </c>
      <c r="M89" t="b">
        <f t="shared" si="2"/>
        <v>0</v>
      </c>
    </row>
    <row r="90" customHeight="1" spans="1:13">
      <c r="A90" s="167">
        <v>10093</v>
      </c>
      <c r="B90" s="167">
        <v>1</v>
      </c>
      <c r="C90" s="168" t="s">
        <v>930</v>
      </c>
      <c r="D90" s="167">
        <v>0</v>
      </c>
      <c r="E90" s="167">
        <v>5000</v>
      </c>
      <c r="F90" s="167">
        <v>0</v>
      </c>
      <c r="G90" s="167">
        <v>0</v>
      </c>
      <c r="H90" s="167">
        <v>1149</v>
      </c>
      <c r="I90" s="167">
        <v>1</v>
      </c>
      <c r="J90" s="167" t="s">
        <v>931</v>
      </c>
      <c r="K90" s="171">
        <v>0</v>
      </c>
      <c r="L90" s="59">
        <v>180</v>
      </c>
      <c r="M90" t="b">
        <f t="shared" si="2"/>
        <v>0</v>
      </c>
    </row>
    <row r="91" customHeight="1" spans="1:13">
      <c r="A91" s="167">
        <v>10094</v>
      </c>
      <c r="B91" s="167">
        <v>1</v>
      </c>
      <c r="C91" s="168" t="s">
        <v>932</v>
      </c>
      <c r="D91" s="167">
        <v>0</v>
      </c>
      <c r="E91" s="167">
        <v>3500</v>
      </c>
      <c r="F91" s="167">
        <v>120</v>
      </c>
      <c r="G91" s="167">
        <v>0</v>
      </c>
      <c r="H91" s="167">
        <v>1137</v>
      </c>
      <c r="I91" s="167">
        <v>1</v>
      </c>
      <c r="J91" s="167" t="s">
        <v>921</v>
      </c>
      <c r="K91" s="171">
        <v>0</v>
      </c>
      <c r="L91" s="59">
        <v>180</v>
      </c>
      <c r="M91" t="b">
        <f t="shared" si="2"/>
        <v>0</v>
      </c>
    </row>
    <row r="92" customHeight="1" spans="1:13">
      <c r="A92" s="167">
        <v>10095</v>
      </c>
      <c r="B92" s="167">
        <v>2</v>
      </c>
      <c r="C92" s="168" t="s">
        <v>925</v>
      </c>
      <c r="D92" s="167">
        <v>11012</v>
      </c>
      <c r="E92" s="167">
        <v>4</v>
      </c>
      <c r="F92" s="167">
        <v>0</v>
      </c>
      <c r="G92" s="167">
        <v>0</v>
      </c>
      <c r="H92" s="167">
        <v>1147</v>
      </c>
      <c r="I92" s="167">
        <v>1</v>
      </c>
      <c r="J92" s="167" t="s">
        <v>926</v>
      </c>
      <c r="K92" s="171">
        <v>11012</v>
      </c>
      <c r="L92" s="59">
        <v>180</v>
      </c>
      <c r="M92" t="b">
        <f t="shared" si="2"/>
        <v>0</v>
      </c>
    </row>
    <row r="93" customHeight="1" spans="1:13">
      <c r="A93" s="167">
        <v>10096</v>
      </c>
      <c r="B93" s="167">
        <v>4</v>
      </c>
      <c r="C93" s="168" t="s">
        <v>928</v>
      </c>
      <c r="D93" s="167">
        <v>80</v>
      </c>
      <c r="E93" s="167">
        <v>10</v>
      </c>
      <c r="F93" s="167">
        <v>0</v>
      </c>
      <c r="G93" s="167">
        <v>0</v>
      </c>
      <c r="H93" s="167">
        <v>1137</v>
      </c>
      <c r="I93" s="167">
        <v>1</v>
      </c>
      <c r="J93" s="167" t="s">
        <v>921</v>
      </c>
      <c r="K93" s="171">
        <v>0</v>
      </c>
      <c r="L93" s="59">
        <v>190</v>
      </c>
      <c r="M93">
        <f t="shared" si="2"/>
        <v>1</v>
      </c>
    </row>
    <row r="94" customHeight="1" spans="1:13">
      <c r="A94" s="167">
        <v>10097</v>
      </c>
      <c r="B94" s="167">
        <v>1</v>
      </c>
      <c r="C94" s="168" t="s">
        <v>930</v>
      </c>
      <c r="D94" s="167">
        <v>0</v>
      </c>
      <c r="E94" s="167">
        <v>5100</v>
      </c>
      <c r="F94" s="167">
        <v>0</v>
      </c>
      <c r="G94" s="167">
        <v>0</v>
      </c>
      <c r="H94" s="167">
        <v>1149</v>
      </c>
      <c r="I94" s="167">
        <v>1</v>
      </c>
      <c r="J94" s="167" t="s">
        <v>931</v>
      </c>
      <c r="K94" s="171">
        <v>0</v>
      </c>
      <c r="L94" s="59">
        <v>190</v>
      </c>
      <c r="M94" t="b">
        <f t="shared" si="2"/>
        <v>0</v>
      </c>
    </row>
    <row r="95" customHeight="1" spans="1:13">
      <c r="A95" s="167">
        <v>10098</v>
      </c>
      <c r="B95" s="167">
        <v>1</v>
      </c>
      <c r="C95" s="168" t="s">
        <v>932</v>
      </c>
      <c r="D95" s="167">
        <v>0</v>
      </c>
      <c r="E95" s="167">
        <v>3600</v>
      </c>
      <c r="F95" s="167">
        <v>120</v>
      </c>
      <c r="G95" s="167">
        <v>0</v>
      </c>
      <c r="H95" s="167">
        <v>1137</v>
      </c>
      <c r="I95" s="167">
        <v>1</v>
      </c>
      <c r="J95" s="167" t="s">
        <v>921</v>
      </c>
      <c r="K95" s="171">
        <v>0</v>
      </c>
      <c r="L95" s="59">
        <v>190</v>
      </c>
      <c r="M95" t="b">
        <f t="shared" si="2"/>
        <v>0</v>
      </c>
    </row>
    <row r="96" customHeight="1" spans="1:13">
      <c r="A96" s="167">
        <v>10099</v>
      </c>
      <c r="B96" s="167">
        <v>4</v>
      </c>
      <c r="C96" s="168" t="s">
        <v>928</v>
      </c>
      <c r="D96" s="167">
        <v>30</v>
      </c>
      <c r="E96" s="167">
        <v>20</v>
      </c>
      <c r="F96" s="167">
        <v>0</v>
      </c>
      <c r="G96" s="167">
        <v>0</v>
      </c>
      <c r="H96" s="167">
        <v>1147</v>
      </c>
      <c r="I96" s="167">
        <v>1</v>
      </c>
      <c r="J96" s="167" t="s">
        <v>926</v>
      </c>
      <c r="K96" s="171">
        <v>0</v>
      </c>
      <c r="L96" s="59">
        <v>190</v>
      </c>
      <c r="M96">
        <f t="shared" si="2"/>
        <v>1</v>
      </c>
    </row>
    <row r="97" customHeight="1" spans="1:13">
      <c r="A97" s="167">
        <v>10100</v>
      </c>
      <c r="B97" s="167">
        <v>5</v>
      </c>
      <c r="C97" s="168" t="s">
        <v>955</v>
      </c>
      <c r="D97" s="167">
        <v>0</v>
      </c>
      <c r="E97" s="167">
        <v>1</v>
      </c>
      <c r="F97" s="167">
        <v>0</v>
      </c>
      <c r="G97" s="167">
        <v>0</v>
      </c>
      <c r="H97" s="167">
        <v>1137</v>
      </c>
      <c r="I97" s="167">
        <v>1</v>
      </c>
      <c r="J97" s="167" t="s">
        <v>921</v>
      </c>
      <c r="K97" s="171">
        <v>0</v>
      </c>
      <c r="L97" s="59">
        <v>190</v>
      </c>
      <c r="M97" t="b">
        <f t="shared" si="2"/>
        <v>0</v>
      </c>
    </row>
    <row r="98" customHeight="1" spans="1:13">
      <c r="A98" s="167">
        <v>11001</v>
      </c>
      <c r="B98" s="167">
        <v>2</v>
      </c>
      <c r="C98" s="168" t="s">
        <v>925</v>
      </c>
      <c r="D98" s="167">
        <v>11002</v>
      </c>
      <c r="E98" s="167">
        <v>10</v>
      </c>
      <c r="F98" s="167">
        <v>0</v>
      </c>
      <c r="G98" s="167">
        <v>0</v>
      </c>
      <c r="H98" s="167">
        <v>47001</v>
      </c>
      <c r="I98" s="167">
        <v>1</v>
      </c>
      <c r="J98" s="167" t="s">
        <v>980</v>
      </c>
      <c r="K98" s="171">
        <v>11002</v>
      </c>
      <c r="L98" s="59">
        <v>200</v>
      </c>
      <c r="M98" t="b">
        <f t="shared" si="2"/>
        <v>0</v>
      </c>
    </row>
    <row r="99" customHeight="1" spans="1:13">
      <c r="A99" s="167">
        <v>11002</v>
      </c>
      <c r="B99" s="167">
        <v>4</v>
      </c>
      <c r="C99" s="168" t="s">
        <v>928</v>
      </c>
      <c r="D99" s="167">
        <v>30</v>
      </c>
      <c r="E99" s="167">
        <v>15</v>
      </c>
      <c r="F99" s="167">
        <v>0</v>
      </c>
      <c r="G99" s="167">
        <v>0</v>
      </c>
      <c r="H99" s="167">
        <v>1137</v>
      </c>
      <c r="I99" s="167">
        <v>1</v>
      </c>
      <c r="J99" s="167" t="s">
        <v>921</v>
      </c>
      <c r="K99" s="171">
        <v>0</v>
      </c>
      <c r="L99" s="59">
        <v>200</v>
      </c>
      <c r="M99">
        <f t="shared" si="2"/>
        <v>1</v>
      </c>
    </row>
    <row r="100" customHeight="1" spans="1:13">
      <c r="A100" s="167">
        <v>11003</v>
      </c>
      <c r="B100" s="167">
        <v>1</v>
      </c>
      <c r="C100" s="168" t="s">
        <v>930</v>
      </c>
      <c r="D100" s="167">
        <v>0</v>
      </c>
      <c r="E100" s="167">
        <v>3000</v>
      </c>
      <c r="F100" s="167">
        <v>0</v>
      </c>
      <c r="G100" s="167">
        <v>0</v>
      </c>
      <c r="H100" s="167">
        <v>47001</v>
      </c>
      <c r="I100" s="167">
        <v>1</v>
      </c>
      <c r="J100" s="167" t="s">
        <v>980</v>
      </c>
      <c r="K100" s="171">
        <v>0</v>
      </c>
      <c r="L100" s="59">
        <v>200</v>
      </c>
      <c r="M100" t="b">
        <f t="shared" si="2"/>
        <v>0</v>
      </c>
    </row>
    <row r="101" customHeight="1" spans="1:13">
      <c r="A101" s="167">
        <v>11004</v>
      </c>
      <c r="B101" s="167">
        <v>1</v>
      </c>
      <c r="C101" s="168" t="s">
        <v>932</v>
      </c>
      <c r="D101" s="167">
        <v>0</v>
      </c>
      <c r="E101" s="167">
        <v>2000</v>
      </c>
      <c r="F101" s="167">
        <v>120</v>
      </c>
      <c r="G101" s="167">
        <v>0</v>
      </c>
      <c r="H101" s="167">
        <v>1137</v>
      </c>
      <c r="I101" s="167">
        <v>1</v>
      </c>
      <c r="J101" s="167" t="s">
        <v>921</v>
      </c>
      <c r="K101" s="171">
        <v>0</v>
      </c>
      <c r="L101" s="59">
        <v>200</v>
      </c>
      <c r="M101" t="b">
        <f t="shared" si="2"/>
        <v>0</v>
      </c>
    </row>
    <row r="102" customHeight="1" spans="1:13">
      <c r="A102" s="167">
        <v>11005</v>
      </c>
      <c r="B102" s="167">
        <v>2</v>
      </c>
      <c r="C102" s="168" t="s">
        <v>925</v>
      </c>
      <c r="D102" s="167">
        <v>11003</v>
      </c>
      <c r="E102" s="167">
        <v>10</v>
      </c>
      <c r="F102" s="167">
        <v>0</v>
      </c>
      <c r="G102" s="167">
        <v>0</v>
      </c>
      <c r="H102" s="167">
        <v>47001</v>
      </c>
      <c r="I102" s="167">
        <v>1</v>
      </c>
      <c r="J102" s="167" t="s">
        <v>980</v>
      </c>
      <c r="K102" s="171">
        <v>11003</v>
      </c>
      <c r="L102" s="59">
        <v>200</v>
      </c>
      <c r="M102" t="b">
        <f t="shared" si="2"/>
        <v>0</v>
      </c>
    </row>
    <row r="103" customHeight="1" spans="1:13">
      <c r="A103" s="167">
        <v>11006</v>
      </c>
      <c r="B103" s="167">
        <v>2</v>
      </c>
      <c r="C103" s="168" t="s">
        <v>925</v>
      </c>
      <c r="D103" s="167">
        <v>11001</v>
      </c>
      <c r="E103" s="167">
        <v>10</v>
      </c>
      <c r="F103" s="167">
        <v>0</v>
      </c>
      <c r="G103" s="167">
        <v>0</v>
      </c>
      <c r="H103" s="167">
        <v>1137</v>
      </c>
      <c r="I103" s="167">
        <v>1</v>
      </c>
      <c r="J103" s="167" t="s">
        <v>921</v>
      </c>
      <c r="K103" s="171">
        <v>11001</v>
      </c>
      <c r="L103" s="59">
        <v>200</v>
      </c>
      <c r="M103" t="b">
        <f t="shared" si="2"/>
        <v>0</v>
      </c>
    </row>
    <row r="104" customHeight="1" spans="1:13">
      <c r="A104" s="167">
        <v>11007</v>
      </c>
      <c r="B104" s="167">
        <v>1</v>
      </c>
      <c r="C104" s="168" t="s">
        <v>930</v>
      </c>
      <c r="D104" s="167">
        <v>0</v>
      </c>
      <c r="E104" s="167">
        <v>4000</v>
      </c>
      <c r="F104" s="167">
        <v>0</v>
      </c>
      <c r="G104" s="167">
        <v>0</v>
      </c>
      <c r="H104" s="167">
        <v>47001</v>
      </c>
      <c r="I104" s="167">
        <v>1</v>
      </c>
      <c r="J104" s="167" t="s">
        <v>980</v>
      </c>
      <c r="K104" s="171">
        <v>0</v>
      </c>
      <c r="L104" s="59">
        <v>200</v>
      </c>
      <c r="M104" t="b">
        <f t="shared" si="2"/>
        <v>0</v>
      </c>
    </row>
    <row r="105" customHeight="1" spans="1:13">
      <c r="A105" s="167">
        <v>11008</v>
      </c>
      <c r="B105" s="167">
        <v>1</v>
      </c>
      <c r="C105" s="168" t="s">
        <v>932</v>
      </c>
      <c r="D105" s="167">
        <v>0</v>
      </c>
      <c r="E105" s="167">
        <v>3600</v>
      </c>
      <c r="F105" s="167">
        <v>120</v>
      </c>
      <c r="G105" s="167">
        <v>0</v>
      </c>
      <c r="H105" s="167">
        <v>1137</v>
      </c>
      <c r="I105" s="167">
        <v>1</v>
      </c>
      <c r="J105" s="167" t="s">
        <v>921</v>
      </c>
      <c r="K105" s="171">
        <v>0</v>
      </c>
      <c r="L105" s="59">
        <v>200</v>
      </c>
      <c r="M105" t="b">
        <f t="shared" si="2"/>
        <v>0</v>
      </c>
    </row>
    <row r="106" customHeight="1" spans="1:13">
      <c r="A106" s="167">
        <v>11009</v>
      </c>
      <c r="B106" s="167">
        <v>6</v>
      </c>
      <c r="C106" s="168" t="s">
        <v>988</v>
      </c>
      <c r="D106" s="167">
        <v>10</v>
      </c>
      <c r="E106" s="167">
        <v>1</v>
      </c>
      <c r="F106" s="167">
        <v>0</v>
      </c>
      <c r="G106" s="167">
        <v>0</v>
      </c>
      <c r="H106" s="167">
        <v>47001</v>
      </c>
      <c r="I106" s="167">
        <v>1</v>
      </c>
      <c r="J106" s="167" t="s">
        <v>980</v>
      </c>
      <c r="K106" s="171">
        <v>0</v>
      </c>
      <c r="L106" s="59">
        <v>200</v>
      </c>
      <c r="M106">
        <f t="shared" si="2"/>
        <v>1</v>
      </c>
    </row>
    <row r="107" customHeight="1" spans="1:13">
      <c r="A107" s="167">
        <v>11010</v>
      </c>
      <c r="B107" s="167">
        <v>9</v>
      </c>
      <c r="C107" s="168" t="s">
        <v>934</v>
      </c>
      <c r="D107" s="167">
        <v>0</v>
      </c>
      <c r="E107" s="167">
        <v>500</v>
      </c>
      <c r="F107" s="167">
        <v>0</v>
      </c>
      <c r="G107" s="167">
        <v>0</v>
      </c>
      <c r="H107" s="167">
        <v>1137</v>
      </c>
      <c r="I107" s="167">
        <v>1</v>
      </c>
      <c r="J107" s="167" t="s">
        <v>921</v>
      </c>
      <c r="K107" s="171">
        <v>0</v>
      </c>
      <c r="L107" s="59">
        <v>200</v>
      </c>
      <c r="M107" t="b">
        <f t="shared" si="2"/>
        <v>0</v>
      </c>
    </row>
    <row r="108" customHeight="1" spans="1:13">
      <c r="A108" s="167">
        <v>11011</v>
      </c>
      <c r="B108" s="167">
        <v>1</v>
      </c>
      <c r="C108" s="168" t="s">
        <v>930</v>
      </c>
      <c r="D108" s="167">
        <v>0</v>
      </c>
      <c r="E108" s="167">
        <v>5000</v>
      </c>
      <c r="F108" s="167">
        <v>0</v>
      </c>
      <c r="G108" s="167">
        <v>0</v>
      </c>
      <c r="H108" s="167">
        <v>47001</v>
      </c>
      <c r="I108" s="167">
        <v>1</v>
      </c>
      <c r="J108" s="167" t="s">
        <v>980</v>
      </c>
      <c r="K108" s="171">
        <v>0</v>
      </c>
      <c r="L108" s="59">
        <v>200</v>
      </c>
      <c r="M108" t="b">
        <f t="shared" si="2"/>
        <v>0</v>
      </c>
    </row>
    <row r="109" customHeight="1" spans="1:13">
      <c r="A109" s="167">
        <v>11012</v>
      </c>
      <c r="B109" s="167">
        <v>1</v>
      </c>
      <c r="C109" s="168" t="s">
        <v>932</v>
      </c>
      <c r="D109" s="167">
        <v>0</v>
      </c>
      <c r="E109" s="167">
        <v>3600</v>
      </c>
      <c r="F109" s="167">
        <v>120</v>
      </c>
      <c r="G109" s="167">
        <v>0</v>
      </c>
      <c r="H109" s="167">
        <v>1137</v>
      </c>
      <c r="I109" s="167">
        <v>1</v>
      </c>
      <c r="J109" s="167" t="s">
        <v>921</v>
      </c>
      <c r="K109" s="171">
        <v>0</v>
      </c>
      <c r="L109" s="59">
        <v>200</v>
      </c>
      <c r="M109" t="b">
        <f t="shared" si="2"/>
        <v>0</v>
      </c>
    </row>
    <row r="110" customHeight="1" spans="1:13">
      <c r="A110" s="167">
        <v>11013</v>
      </c>
      <c r="B110" s="167">
        <v>2</v>
      </c>
      <c r="C110" s="168" t="s">
        <v>925</v>
      </c>
      <c r="D110" s="167">
        <v>11010</v>
      </c>
      <c r="E110" s="167">
        <v>5</v>
      </c>
      <c r="F110" s="167">
        <v>0</v>
      </c>
      <c r="G110" s="167">
        <v>0</v>
      </c>
      <c r="H110" s="167">
        <v>47001</v>
      </c>
      <c r="I110" s="167">
        <v>1</v>
      </c>
      <c r="J110" s="167" t="s">
        <v>980</v>
      </c>
      <c r="K110" s="171">
        <v>11010</v>
      </c>
      <c r="L110" s="59">
        <v>200</v>
      </c>
      <c r="M110" t="b">
        <f t="shared" si="2"/>
        <v>0</v>
      </c>
    </row>
    <row r="111" customHeight="1" spans="1:13">
      <c r="A111" s="167">
        <v>11014</v>
      </c>
      <c r="B111" s="167">
        <v>4</v>
      </c>
      <c r="C111" s="168" t="s">
        <v>928</v>
      </c>
      <c r="D111" s="167">
        <v>35</v>
      </c>
      <c r="E111" s="167">
        <v>20</v>
      </c>
      <c r="F111" s="167">
        <v>0</v>
      </c>
      <c r="G111" s="167">
        <v>0</v>
      </c>
      <c r="H111" s="167">
        <v>1137</v>
      </c>
      <c r="I111" s="167">
        <v>1</v>
      </c>
      <c r="J111" s="167" t="s">
        <v>921</v>
      </c>
      <c r="K111" s="171">
        <v>0</v>
      </c>
      <c r="L111" s="59">
        <v>200</v>
      </c>
      <c r="M111">
        <f t="shared" si="2"/>
        <v>1</v>
      </c>
    </row>
    <row r="112" customHeight="1" spans="1:13">
      <c r="A112" s="167">
        <v>11015</v>
      </c>
      <c r="B112" s="167">
        <v>1</v>
      </c>
      <c r="C112" s="168" t="s">
        <v>930</v>
      </c>
      <c r="D112" s="167">
        <v>0</v>
      </c>
      <c r="E112" s="167">
        <v>5200</v>
      </c>
      <c r="F112" s="167">
        <v>0</v>
      </c>
      <c r="G112" s="167">
        <v>0</v>
      </c>
      <c r="H112" s="167">
        <v>47001</v>
      </c>
      <c r="I112" s="167">
        <v>1</v>
      </c>
      <c r="J112" s="167" t="s">
        <v>980</v>
      </c>
      <c r="K112" s="171">
        <v>0</v>
      </c>
      <c r="L112" s="59">
        <v>200</v>
      </c>
      <c r="M112" t="b">
        <f t="shared" si="2"/>
        <v>0</v>
      </c>
    </row>
    <row r="113" customHeight="1" spans="1:13">
      <c r="A113" s="167">
        <v>11016</v>
      </c>
      <c r="B113" s="167">
        <v>1</v>
      </c>
      <c r="C113" s="168" t="s">
        <v>932</v>
      </c>
      <c r="D113" s="167">
        <v>0</v>
      </c>
      <c r="E113" s="167">
        <v>3600</v>
      </c>
      <c r="F113" s="167">
        <v>120</v>
      </c>
      <c r="G113" s="167">
        <v>0</v>
      </c>
      <c r="H113" s="167">
        <v>1137</v>
      </c>
      <c r="I113" s="167">
        <v>1</v>
      </c>
      <c r="J113" s="167" t="s">
        <v>921</v>
      </c>
      <c r="K113" s="171">
        <v>0</v>
      </c>
      <c r="L113" s="59">
        <v>200</v>
      </c>
      <c r="M113" t="b">
        <f t="shared" si="2"/>
        <v>0</v>
      </c>
    </row>
    <row r="114" customHeight="1" spans="1:13">
      <c r="A114" s="167">
        <v>11017</v>
      </c>
      <c r="B114" s="167">
        <v>2</v>
      </c>
      <c r="C114" s="168" t="s">
        <v>925</v>
      </c>
      <c r="D114" s="167">
        <v>11006</v>
      </c>
      <c r="E114" s="167">
        <v>10</v>
      </c>
      <c r="F114" s="167">
        <v>0</v>
      </c>
      <c r="G114" s="167">
        <v>0</v>
      </c>
      <c r="H114" s="167">
        <v>47001</v>
      </c>
      <c r="I114" s="167">
        <v>1</v>
      </c>
      <c r="J114" s="167" t="s">
        <v>980</v>
      </c>
      <c r="K114" s="171">
        <v>11006</v>
      </c>
      <c r="L114" s="59">
        <v>200</v>
      </c>
      <c r="M114" t="b">
        <f t="shared" si="2"/>
        <v>0</v>
      </c>
    </row>
    <row r="115" customHeight="1" spans="1:13">
      <c r="A115" s="167">
        <v>11018</v>
      </c>
      <c r="B115" s="167">
        <v>2</v>
      </c>
      <c r="C115" s="168" t="s">
        <v>925</v>
      </c>
      <c r="D115" s="167">
        <v>11007</v>
      </c>
      <c r="E115" s="167">
        <v>10</v>
      </c>
      <c r="F115" s="167">
        <v>0</v>
      </c>
      <c r="G115" s="167">
        <v>0</v>
      </c>
      <c r="H115" s="167">
        <v>1137</v>
      </c>
      <c r="I115" s="167">
        <v>1</v>
      </c>
      <c r="J115" s="167" t="s">
        <v>921</v>
      </c>
      <c r="K115" s="171">
        <v>11007</v>
      </c>
      <c r="L115" s="59">
        <v>200</v>
      </c>
      <c r="M115" t="b">
        <f t="shared" si="2"/>
        <v>0</v>
      </c>
    </row>
    <row r="116" customHeight="1" spans="1:13">
      <c r="A116" s="167">
        <v>11019</v>
      </c>
      <c r="B116" s="167">
        <v>1</v>
      </c>
      <c r="C116" s="168" t="s">
        <v>930</v>
      </c>
      <c r="D116" s="167">
        <v>0</v>
      </c>
      <c r="E116" s="167">
        <v>5200</v>
      </c>
      <c r="F116" s="167">
        <v>0</v>
      </c>
      <c r="G116" s="167">
        <v>0</v>
      </c>
      <c r="H116" s="167">
        <v>47001</v>
      </c>
      <c r="I116" s="167">
        <v>1</v>
      </c>
      <c r="J116" s="167" t="s">
        <v>980</v>
      </c>
      <c r="K116" s="171">
        <v>0</v>
      </c>
      <c r="L116" s="59">
        <v>200</v>
      </c>
      <c r="M116" t="b">
        <f t="shared" si="2"/>
        <v>0</v>
      </c>
    </row>
    <row r="117" customHeight="1" spans="1:13">
      <c r="A117" s="167">
        <v>11020</v>
      </c>
      <c r="B117" s="167">
        <v>1</v>
      </c>
      <c r="C117" s="168" t="s">
        <v>932</v>
      </c>
      <c r="D117" s="167">
        <v>0</v>
      </c>
      <c r="E117" s="167">
        <v>3600</v>
      </c>
      <c r="F117" s="167">
        <v>120</v>
      </c>
      <c r="G117" s="167">
        <v>0</v>
      </c>
      <c r="H117" s="167">
        <v>1137</v>
      </c>
      <c r="I117" s="167">
        <v>1</v>
      </c>
      <c r="J117" s="167" t="s">
        <v>921</v>
      </c>
      <c r="K117" s="171">
        <v>0</v>
      </c>
      <c r="L117" s="59">
        <v>200</v>
      </c>
      <c r="M117" t="b">
        <f t="shared" si="2"/>
        <v>0</v>
      </c>
    </row>
    <row r="118" customHeight="1" spans="1:13">
      <c r="A118" s="167">
        <v>11021</v>
      </c>
      <c r="B118" s="167">
        <v>6</v>
      </c>
      <c r="C118" s="168" t="s">
        <v>988</v>
      </c>
      <c r="D118" s="167">
        <v>10</v>
      </c>
      <c r="E118" s="167">
        <v>1</v>
      </c>
      <c r="F118" s="167">
        <v>0</v>
      </c>
      <c r="G118" s="167">
        <v>0</v>
      </c>
      <c r="H118" s="167">
        <v>47001</v>
      </c>
      <c r="I118" s="167">
        <v>1</v>
      </c>
      <c r="J118" s="167" t="s">
        <v>980</v>
      </c>
      <c r="K118" s="171">
        <v>0</v>
      </c>
      <c r="L118" s="59">
        <v>200</v>
      </c>
      <c r="M118">
        <f t="shared" si="2"/>
        <v>1</v>
      </c>
    </row>
    <row r="119" customHeight="1" spans="1:13">
      <c r="A119" s="167">
        <v>11022</v>
      </c>
      <c r="B119" s="167">
        <v>9</v>
      </c>
      <c r="C119" s="168" t="s">
        <v>934</v>
      </c>
      <c r="D119" s="167">
        <v>0</v>
      </c>
      <c r="E119" s="167">
        <v>500</v>
      </c>
      <c r="F119" s="167">
        <v>0</v>
      </c>
      <c r="G119" s="167">
        <v>0</v>
      </c>
      <c r="H119" s="167">
        <v>1137</v>
      </c>
      <c r="I119" s="167">
        <v>1</v>
      </c>
      <c r="J119" s="167" t="s">
        <v>921</v>
      </c>
      <c r="K119" s="171">
        <v>0</v>
      </c>
      <c r="L119" s="59">
        <v>200</v>
      </c>
      <c r="M119" t="b">
        <f t="shared" si="2"/>
        <v>0</v>
      </c>
    </row>
    <row r="120" customHeight="1" spans="1:13">
      <c r="A120" s="167">
        <v>11023</v>
      </c>
      <c r="B120" s="167">
        <v>1</v>
      </c>
      <c r="C120" s="168" t="s">
        <v>930</v>
      </c>
      <c r="D120" s="167">
        <v>0</v>
      </c>
      <c r="E120" s="167">
        <v>5200</v>
      </c>
      <c r="F120" s="167">
        <v>0</v>
      </c>
      <c r="G120" s="167">
        <v>0</v>
      </c>
      <c r="H120" s="167">
        <v>47001</v>
      </c>
      <c r="I120" s="167">
        <v>1</v>
      </c>
      <c r="J120" s="167" t="s">
        <v>980</v>
      </c>
      <c r="K120" s="171">
        <v>0</v>
      </c>
      <c r="L120" s="59">
        <v>200</v>
      </c>
      <c r="M120" t="b">
        <f t="shared" si="2"/>
        <v>0</v>
      </c>
    </row>
    <row r="121" customHeight="1" spans="1:13">
      <c r="A121" s="167">
        <v>11024</v>
      </c>
      <c r="B121" s="167">
        <v>1</v>
      </c>
      <c r="C121" s="168" t="s">
        <v>932</v>
      </c>
      <c r="D121" s="167">
        <v>0</v>
      </c>
      <c r="E121" s="167">
        <v>3600</v>
      </c>
      <c r="F121" s="167">
        <v>120</v>
      </c>
      <c r="G121" s="167">
        <v>0</v>
      </c>
      <c r="H121" s="167">
        <v>1137</v>
      </c>
      <c r="I121" s="167">
        <v>1</v>
      </c>
      <c r="J121" s="167" t="s">
        <v>921</v>
      </c>
      <c r="K121" s="171">
        <v>0</v>
      </c>
      <c r="L121" s="59">
        <v>200</v>
      </c>
      <c r="M121" t="b">
        <f t="shared" si="2"/>
        <v>0</v>
      </c>
    </row>
    <row r="122" customHeight="1" spans="1:13">
      <c r="A122" s="167">
        <v>11025</v>
      </c>
      <c r="B122" s="167">
        <v>2</v>
      </c>
      <c r="C122" s="168" t="s">
        <v>925</v>
      </c>
      <c r="D122" s="167">
        <v>11012</v>
      </c>
      <c r="E122" s="167">
        <v>3</v>
      </c>
      <c r="F122" s="167">
        <v>0</v>
      </c>
      <c r="G122" s="167">
        <v>0</v>
      </c>
      <c r="H122" s="167">
        <v>47001</v>
      </c>
      <c r="I122" s="167">
        <v>1</v>
      </c>
      <c r="J122" s="167" t="s">
        <v>980</v>
      </c>
      <c r="K122" s="171">
        <v>11012</v>
      </c>
      <c r="L122" s="59">
        <v>200</v>
      </c>
      <c r="M122" t="b">
        <f t="shared" si="2"/>
        <v>0</v>
      </c>
    </row>
    <row r="123" customHeight="1" spans="1:13">
      <c r="A123" s="167">
        <v>11026</v>
      </c>
      <c r="B123" s="167">
        <v>4</v>
      </c>
      <c r="C123" s="168" t="s">
        <v>928</v>
      </c>
      <c r="D123" s="167">
        <v>20</v>
      </c>
      <c r="E123" s="167">
        <v>30</v>
      </c>
      <c r="F123" s="167">
        <v>0</v>
      </c>
      <c r="G123" s="167">
        <v>0</v>
      </c>
      <c r="H123" s="167">
        <v>1137</v>
      </c>
      <c r="I123" s="167">
        <v>1</v>
      </c>
      <c r="J123" s="167" t="s">
        <v>921</v>
      </c>
      <c r="K123" s="171">
        <v>0</v>
      </c>
      <c r="L123" s="59">
        <v>200</v>
      </c>
      <c r="M123">
        <f t="shared" si="2"/>
        <v>1</v>
      </c>
    </row>
    <row r="124" customHeight="1" spans="1:13">
      <c r="A124" s="167">
        <v>11027</v>
      </c>
      <c r="B124" s="167">
        <v>1</v>
      </c>
      <c r="C124" s="168" t="s">
        <v>930</v>
      </c>
      <c r="D124" s="167">
        <v>0</v>
      </c>
      <c r="E124" s="167">
        <v>5200</v>
      </c>
      <c r="F124" s="167">
        <v>0</v>
      </c>
      <c r="G124" s="167">
        <v>0</v>
      </c>
      <c r="H124" s="167">
        <v>47001</v>
      </c>
      <c r="I124" s="167">
        <v>1</v>
      </c>
      <c r="J124" s="167" t="s">
        <v>980</v>
      </c>
      <c r="K124" s="171">
        <v>0</v>
      </c>
      <c r="L124" s="59">
        <v>200</v>
      </c>
      <c r="M124" t="b">
        <f t="shared" si="2"/>
        <v>0</v>
      </c>
    </row>
    <row r="125" customHeight="1" spans="1:13">
      <c r="A125" s="167">
        <v>11028</v>
      </c>
      <c r="B125" s="167">
        <v>1</v>
      </c>
      <c r="C125" s="168" t="s">
        <v>932</v>
      </c>
      <c r="D125" s="167">
        <v>0</v>
      </c>
      <c r="E125" s="167">
        <v>3600</v>
      </c>
      <c r="F125" s="167">
        <v>120</v>
      </c>
      <c r="G125" s="167">
        <v>0</v>
      </c>
      <c r="H125" s="167">
        <v>1137</v>
      </c>
      <c r="I125" s="167">
        <v>1</v>
      </c>
      <c r="J125" s="167" t="s">
        <v>921</v>
      </c>
      <c r="K125" s="171">
        <v>0</v>
      </c>
      <c r="L125" s="59">
        <v>200</v>
      </c>
      <c r="M125" t="b">
        <f t="shared" si="2"/>
        <v>0</v>
      </c>
    </row>
    <row r="126" customHeight="1" spans="1:13">
      <c r="A126" s="167">
        <v>11029</v>
      </c>
      <c r="B126" s="167">
        <v>2</v>
      </c>
      <c r="C126" s="168" t="s">
        <v>925</v>
      </c>
      <c r="D126" s="167">
        <v>11013</v>
      </c>
      <c r="E126" s="167">
        <v>3</v>
      </c>
      <c r="F126" s="167">
        <v>0</v>
      </c>
      <c r="G126" s="167">
        <v>0</v>
      </c>
      <c r="H126" s="167">
        <v>47001</v>
      </c>
      <c r="I126" s="167">
        <v>1</v>
      </c>
      <c r="J126" s="167" t="s">
        <v>980</v>
      </c>
      <c r="K126" s="171">
        <v>11013</v>
      </c>
      <c r="L126" s="59">
        <v>200</v>
      </c>
      <c r="M126" t="b">
        <f t="shared" si="2"/>
        <v>0</v>
      </c>
    </row>
    <row r="127" customHeight="1" spans="1:13">
      <c r="A127" s="167">
        <v>11030</v>
      </c>
      <c r="B127" s="167">
        <v>2</v>
      </c>
      <c r="C127" s="168" t="s">
        <v>925</v>
      </c>
      <c r="D127" s="167">
        <v>11010</v>
      </c>
      <c r="E127" s="167">
        <v>3</v>
      </c>
      <c r="F127" s="167">
        <v>0</v>
      </c>
      <c r="G127" s="167">
        <v>0</v>
      </c>
      <c r="H127" s="167">
        <v>1137</v>
      </c>
      <c r="I127" s="167">
        <v>1</v>
      </c>
      <c r="J127" s="167" t="s">
        <v>921</v>
      </c>
      <c r="K127" s="171">
        <v>11010</v>
      </c>
      <c r="L127" s="59">
        <v>200</v>
      </c>
      <c r="M127" t="b">
        <f t="shared" si="2"/>
        <v>0</v>
      </c>
    </row>
    <row r="128" customHeight="1" spans="1:13">
      <c r="A128" s="167">
        <v>11031</v>
      </c>
      <c r="B128" s="167">
        <v>1</v>
      </c>
      <c r="C128" s="168" t="s">
        <v>930</v>
      </c>
      <c r="D128" s="167">
        <v>0</v>
      </c>
      <c r="E128" s="167">
        <v>5200</v>
      </c>
      <c r="F128" s="167">
        <v>0</v>
      </c>
      <c r="G128" s="167">
        <v>0</v>
      </c>
      <c r="H128" s="167">
        <v>47001</v>
      </c>
      <c r="I128" s="167">
        <v>1</v>
      </c>
      <c r="J128" s="167" t="s">
        <v>980</v>
      </c>
      <c r="K128" s="171">
        <v>0</v>
      </c>
      <c r="L128" s="59">
        <v>200</v>
      </c>
      <c r="M128" t="b">
        <f t="shared" si="2"/>
        <v>0</v>
      </c>
    </row>
    <row r="129" customHeight="1" spans="1:13">
      <c r="A129" s="167">
        <v>11032</v>
      </c>
      <c r="B129" s="167">
        <v>1</v>
      </c>
      <c r="C129" s="168" t="s">
        <v>932</v>
      </c>
      <c r="D129" s="167">
        <v>0</v>
      </c>
      <c r="E129" s="167">
        <v>3600</v>
      </c>
      <c r="F129" s="167">
        <v>120</v>
      </c>
      <c r="G129" s="167">
        <v>0</v>
      </c>
      <c r="H129" s="167">
        <v>1137</v>
      </c>
      <c r="I129" s="167">
        <v>1</v>
      </c>
      <c r="J129" s="167" t="s">
        <v>921</v>
      </c>
      <c r="K129" s="171">
        <v>0</v>
      </c>
      <c r="L129" s="59">
        <v>200</v>
      </c>
      <c r="M129" t="b">
        <f t="shared" si="2"/>
        <v>0</v>
      </c>
    </row>
    <row r="130" customHeight="1" spans="1:13">
      <c r="A130" s="167">
        <v>11033</v>
      </c>
      <c r="B130" s="167">
        <v>6</v>
      </c>
      <c r="C130" s="168" t="s">
        <v>988</v>
      </c>
      <c r="D130" s="167">
        <v>10</v>
      </c>
      <c r="E130" s="167">
        <v>1</v>
      </c>
      <c r="F130" s="167">
        <v>0</v>
      </c>
      <c r="G130" s="167">
        <v>0</v>
      </c>
      <c r="H130" s="167">
        <v>47001</v>
      </c>
      <c r="I130" s="167">
        <v>1</v>
      </c>
      <c r="J130" s="167" t="s">
        <v>980</v>
      </c>
      <c r="K130" s="171">
        <v>0</v>
      </c>
      <c r="L130" s="59">
        <v>200</v>
      </c>
      <c r="M130">
        <f t="shared" ref="M130:M193" si="3">IF(D130&lt;&gt;K130,1)</f>
        <v>1</v>
      </c>
    </row>
    <row r="131" customHeight="1" spans="1:13">
      <c r="A131" s="167">
        <v>11034</v>
      </c>
      <c r="B131" s="167">
        <v>9</v>
      </c>
      <c r="C131" s="168" t="s">
        <v>934</v>
      </c>
      <c r="D131" s="167">
        <v>0</v>
      </c>
      <c r="E131" s="167">
        <v>500</v>
      </c>
      <c r="F131" s="167">
        <v>0</v>
      </c>
      <c r="G131" s="167">
        <v>0</v>
      </c>
      <c r="H131" s="167">
        <v>1137</v>
      </c>
      <c r="I131" s="167">
        <v>1</v>
      </c>
      <c r="J131" s="167" t="s">
        <v>921</v>
      </c>
      <c r="K131" s="171">
        <v>0</v>
      </c>
      <c r="L131" s="59">
        <v>200</v>
      </c>
      <c r="M131" t="b">
        <f t="shared" si="3"/>
        <v>0</v>
      </c>
    </row>
    <row r="132" customHeight="1" spans="1:13">
      <c r="A132" s="167">
        <v>11035</v>
      </c>
      <c r="B132" s="167">
        <v>1</v>
      </c>
      <c r="C132" s="168" t="s">
        <v>930</v>
      </c>
      <c r="D132" s="167">
        <v>0</v>
      </c>
      <c r="E132" s="167">
        <v>5200</v>
      </c>
      <c r="F132" s="167">
        <v>0</v>
      </c>
      <c r="G132" s="167">
        <v>0</v>
      </c>
      <c r="H132" s="167">
        <v>47001</v>
      </c>
      <c r="I132" s="167">
        <v>1</v>
      </c>
      <c r="J132" s="167" t="s">
        <v>980</v>
      </c>
      <c r="K132" s="171">
        <v>0</v>
      </c>
      <c r="L132" s="59">
        <v>200</v>
      </c>
      <c r="M132" t="b">
        <f t="shared" si="3"/>
        <v>0</v>
      </c>
    </row>
    <row r="133" customHeight="1" spans="1:13">
      <c r="A133" s="167">
        <v>11036</v>
      </c>
      <c r="B133" s="167">
        <v>1</v>
      </c>
      <c r="C133" s="168" t="s">
        <v>932</v>
      </c>
      <c r="D133" s="167">
        <v>0</v>
      </c>
      <c r="E133" s="167">
        <v>3600</v>
      </c>
      <c r="F133" s="167">
        <v>120</v>
      </c>
      <c r="G133" s="167">
        <v>0</v>
      </c>
      <c r="H133" s="167">
        <v>1137</v>
      </c>
      <c r="I133" s="167">
        <v>1</v>
      </c>
      <c r="J133" s="167" t="s">
        <v>921</v>
      </c>
      <c r="K133" s="171">
        <v>0</v>
      </c>
      <c r="L133" s="59">
        <v>200</v>
      </c>
      <c r="M133" t="b">
        <f t="shared" si="3"/>
        <v>0</v>
      </c>
    </row>
    <row r="134" customHeight="1" spans="1:13">
      <c r="A134" s="167">
        <v>11037</v>
      </c>
      <c r="B134" s="167">
        <v>2</v>
      </c>
      <c r="C134" s="168" t="s">
        <v>925</v>
      </c>
      <c r="D134" s="167">
        <v>11006</v>
      </c>
      <c r="E134" s="167">
        <v>12</v>
      </c>
      <c r="F134" s="167">
        <v>0</v>
      </c>
      <c r="G134" s="167">
        <v>0</v>
      </c>
      <c r="H134" s="167">
        <v>47001</v>
      </c>
      <c r="I134" s="167">
        <v>1</v>
      </c>
      <c r="J134" s="167" t="s">
        <v>980</v>
      </c>
      <c r="K134" s="171">
        <v>11006</v>
      </c>
      <c r="L134" s="59">
        <v>200</v>
      </c>
      <c r="M134" t="b">
        <f t="shared" si="3"/>
        <v>0</v>
      </c>
    </row>
    <row r="135" customHeight="1" spans="1:13">
      <c r="A135" s="167">
        <v>11038</v>
      </c>
      <c r="B135" s="167">
        <v>4</v>
      </c>
      <c r="C135" s="168" t="s">
        <v>928</v>
      </c>
      <c r="D135" s="167">
        <v>50</v>
      </c>
      <c r="E135" s="167">
        <v>10</v>
      </c>
      <c r="F135" s="167">
        <v>0</v>
      </c>
      <c r="G135" s="167">
        <v>0</v>
      </c>
      <c r="H135" s="167">
        <v>1137</v>
      </c>
      <c r="I135" s="167">
        <v>1</v>
      </c>
      <c r="J135" s="167" t="s">
        <v>921</v>
      </c>
      <c r="K135" s="171">
        <v>0</v>
      </c>
      <c r="L135" s="59">
        <v>200</v>
      </c>
      <c r="M135">
        <f t="shared" si="3"/>
        <v>1</v>
      </c>
    </row>
    <row r="136" customHeight="1" spans="1:13">
      <c r="A136" s="167">
        <v>11039</v>
      </c>
      <c r="B136" s="167">
        <v>1</v>
      </c>
      <c r="C136" s="168" t="s">
        <v>930</v>
      </c>
      <c r="D136" s="167">
        <v>0</v>
      </c>
      <c r="E136" s="167">
        <v>5200</v>
      </c>
      <c r="F136" s="167">
        <v>0</v>
      </c>
      <c r="G136" s="167">
        <v>0</v>
      </c>
      <c r="H136" s="167">
        <v>47001</v>
      </c>
      <c r="I136" s="167">
        <v>1</v>
      </c>
      <c r="J136" s="167" t="s">
        <v>980</v>
      </c>
      <c r="K136" s="171">
        <v>0</v>
      </c>
      <c r="L136" s="59">
        <v>200</v>
      </c>
      <c r="M136" t="b">
        <f t="shared" si="3"/>
        <v>0</v>
      </c>
    </row>
    <row r="137" customHeight="1" spans="1:13">
      <c r="A137" s="167">
        <v>11040</v>
      </c>
      <c r="B137" s="167">
        <v>1</v>
      </c>
      <c r="C137" s="168" t="s">
        <v>932</v>
      </c>
      <c r="D137" s="167">
        <v>0</v>
      </c>
      <c r="E137" s="167">
        <v>3600</v>
      </c>
      <c r="F137" s="167">
        <v>120</v>
      </c>
      <c r="G137" s="167">
        <v>0</v>
      </c>
      <c r="H137" s="167">
        <v>1137</v>
      </c>
      <c r="I137" s="167">
        <v>1</v>
      </c>
      <c r="J137" s="167" t="s">
        <v>921</v>
      </c>
      <c r="K137" s="171">
        <v>0</v>
      </c>
      <c r="L137" s="59">
        <v>200</v>
      </c>
      <c r="M137" t="b">
        <f t="shared" si="3"/>
        <v>0</v>
      </c>
    </row>
    <row r="138" customHeight="1" spans="1:13">
      <c r="A138" s="177">
        <v>12001</v>
      </c>
      <c r="B138" s="177">
        <v>2</v>
      </c>
      <c r="C138" s="178" t="s">
        <v>925</v>
      </c>
      <c r="D138" s="177">
        <v>11001</v>
      </c>
      <c r="E138" s="177">
        <v>20</v>
      </c>
      <c r="F138" s="177">
        <v>0</v>
      </c>
      <c r="G138" s="177">
        <v>0</v>
      </c>
      <c r="H138" s="177">
        <v>1137</v>
      </c>
      <c r="I138" s="177">
        <v>1</v>
      </c>
      <c r="J138" s="177" t="s">
        <v>921</v>
      </c>
      <c r="K138" s="179">
        <v>11001</v>
      </c>
      <c r="L138" s="180">
        <v>300</v>
      </c>
      <c r="M138" s="183" t="b">
        <f t="shared" si="3"/>
        <v>0</v>
      </c>
    </row>
    <row r="139" customHeight="1" spans="1:13">
      <c r="A139" s="177">
        <v>12002</v>
      </c>
      <c r="B139" s="177">
        <v>6</v>
      </c>
      <c r="C139" s="178" t="s">
        <v>988</v>
      </c>
      <c r="D139" s="177">
        <v>10</v>
      </c>
      <c r="E139" s="177">
        <v>1</v>
      </c>
      <c r="F139" s="177">
        <v>0</v>
      </c>
      <c r="G139" s="177">
        <v>0</v>
      </c>
      <c r="H139" s="177">
        <v>1147</v>
      </c>
      <c r="I139" s="177">
        <v>1</v>
      </c>
      <c r="J139" s="177" t="s">
        <v>926</v>
      </c>
      <c r="K139" s="179">
        <v>0</v>
      </c>
      <c r="L139" s="180">
        <v>300</v>
      </c>
      <c r="M139" s="183">
        <f t="shared" si="3"/>
        <v>1</v>
      </c>
    </row>
    <row r="140" customHeight="1" spans="1:13">
      <c r="A140" s="177">
        <v>12003</v>
      </c>
      <c r="B140" s="177">
        <v>2</v>
      </c>
      <c r="C140" s="178" t="s">
        <v>925</v>
      </c>
      <c r="D140" s="177">
        <v>11002</v>
      </c>
      <c r="E140" s="177">
        <v>20</v>
      </c>
      <c r="F140" s="177">
        <v>0</v>
      </c>
      <c r="G140" s="177">
        <v>0</v>
      </c>
      <c r="H140" s="177">
        <v>1137</v>
      </c>
      <c r="I140" s="177">
        <v>1</v>
      </c>
      <c r="J140" s="177" t="s">
        <v>921</v>
      </c>
      <c r="K140" s="179">
        <v>11002</v>
      </c>
      <c r="L140" s="180">
        <v>300</v>
      </c>
      <c r="M140" s="183" t="b">
        <f t="shared" si="3"/>
        <v>0</v>
      </c>
    </row>
    <row r="141" customHeight="1" spans="1:13">
      <c r="A141" s="177">
        <v>12004</v>
      </c>
      <c r="B141" s="177">
        <v>1</v>
      </c>
      <c r="C141" s="178" t="s">
        <v>930</v>
      </c>
      <c r="D141" s="177">
        <v>0</v>
      </c>
      <c r="E141" s="177">
        <v>6000</v>
      </c>
      <c r="F141" s="177">
        <v>0</v>
      </c>
      <c r="G141" s="177">
        <v>0</v>
      </c>
      <c r="H141" s="177">
        <v>1145</v>
      </c>
      <c r="I141" s="177">
        <v>4</v>
      </c>
      <c r="J141" s="177" t="s">
        <v>927</v>
      </c>
      <c r="K141" s="179">
        <v>0</v>
      </c>
      <c r="L141" s="180">
        <v>300</v>
      </c>
      <c r="M141" s="183" t="b">
        <f t="shared" si="3"/>
        <v>0</v>
      </c>
    </row>
    <row r="142" customHeight="1" spans="1:13">
      <c r="A142" s="177">
        <v>12005</v>
      </c>
      <c r="B142" s="177">
        <v>2</v>
      </c>
      <c r="C142" s="178" t="s">
        <v>925</v>
      </c>
      <c r="D142" s="177">
        <v>11003</v>
      </c>
      <c r="E142" s="177">
        <v>20</v>
      </c>
      <c r="F142" s="177">
        <v>0</v>
      </c>
      <c r="G142" s="177">
        <v>0</v>
      </c>
      <c r="H142" s="177">
        <v>1137</v>
      </c>
      <c r="I142" s="177">
        <v>1</v>
      </c>
      <c r="J142" s="177" t="s">
        <v>921</v>
      </c>
      <c r="K142" s="179">
        <v>11003</v>
      </c>
      <c r="L142" s="180">
        <v>300</v>
      </c>
      <c r="M142" s="183" t="b">
        <f t="shared" si="3"/>
        <v>0</v>
      </c>
    </row>
    <row r="143" customHeight="1" spans="1:13">
      <c r="A143" s="177">
        <v>12006</v>
      </c>
      <c r="B143" s="177">
        <v>1</v>
      </c>
      <c r="C143" s="178" t="s">
        <v>930</v>
      </c>
      <c r="D143" s="177">
        <v>0</v>
      </c>
      <c r="E143" s="177">
        <v>6000</v>
      </c>
      <c r="F143" s="177">
        <v>0</v>
      </c>
      <c r="G143" s="177">
        <v>0</v>
      </c>
      <c r="H143" s="177">
        <v>1149</v>
      </c>
      <c r="I143" s="177">
        <v>4</v>
      </c>
      <c r="J143" s="177" t="s">
        <v>931</v>
      </c>
      <c r="K143" s="179">
        <v>0</v>
      </c>
      <c r="L143" s="180">
        <v>300</v>
      </c>
      <c r="M143" s="183" t="b">
        <f t="shared" si="3"/>
        <v>0</v>
      </c>
    </row>
    <row r="144" customHeight="1" spans="1:13">
      <c r="A144" s="177">
        <v>12007</v>
      </c>
      <c r="B144" s="177">
        <v>2</v>
      </c>
      <c r="C144" s="178" t="s">
        <v>925</v>
      </c>
      <c r="D144" s="177">
        <v>11006</v>
      </c>
      <c r="E144" s="177">
        <v>16</v>
      </c>
      <c r="F144" s="177">
        <v>0</v>
      </c>
      <c r="G144" s="177">
        <v>0</v>
      </c>
      <c r="H144" s="177">
        <v>1137</v>
      </c>
      <c r="I144" s="177">
        <v>1</v>
      </c>
      <c r="J144" s="177" t="s">
        <v>921</v>
      </c>
      <c r="K144" s="179">
        <v>11006</v>
      </c>
      <c r="L144" s="180">
        <v>300</v>
      </c>
      <c r="M144" s="183" t="b">
        <f t="shared" si="3"/>
        <v>0</v>
      </c>
    </row>
    <row r="145" customHeight="1" spans="1:13">
      <c r="A145" s="177">
        <v>12008</v>
      </c>
      <c r="B145" s="177">
        <v>1</v>
      </c>
      <c r="C145" s="178" t="s">
        <v>930</v>
      </c>
      <c r="D145" s="177">
        <v>0</v>
      </c>
      <c r="E145" s="177">
        <v>6000</v>
      </c>
      <c r="F145" s="177">
        <v>0</v>
      </c>
      <c r="G145" s="177">
        <v>0</v>
      </c>
      <c r="H145" s="177">
        <v>47001</v>
      </c>
      <c r="I145" s="177">
        <v>1</v>
      </c>
      <c r="J145" s="177" t="s">
        <v>980</v>
      </c>
      <c r="K145" s="179">
        <v>0</v>
      </c>
      <c r="L145" s="180">
        <v>300</v>
      </c>
      <c r="M145" s="183" t="b">
        <f t="shared" si="3"/>
        <v>0</v>
      </c>
    </row>
    <row r="146" customHeight="1" spans="1:13">
      <c r="A146" s="167">
        <v>20001</v>
      </c>
      <c r="B146" s="167">
        <v>4</v>
      </c>
      <c r="C146" s="168" t="s">
        <v>928</v>
      </c>
      <c r="D146" s="167">
        <v>100</v>
      </c>
      <c r="E146" s="167">
        <v>5</v>
      </c>
      <c r="F146" s="167">
        <v>0</v>
      </c>
      <c r="G146" s="167">
        <v>0</v>
      </c>
      <c r="H146" s="167">
        <v>1137</v>
      </c>
      <c r="I146" s="167">
        <v>2</v>
      </c>
      <c r="J146" s="167" t="s">
        <v>921</v>
      </c>
      <c r="K146" s="171">
        <v>0</v>
      </c>
      <c r="L146" s="59">
        <v>0</v>
      </c>
      <c r="M146">
        <f t="shared" si="3"/>
        <v>1</v>
      </c>
    </row>
    <row r="147" customHeight="1" spans="1:13">
      <c r="A147" s="167">
        <v>20002</v>
      </c>
      <c r="B147" s="167">
        <v>4</v>
      </c>
      <c r="C147" s="168" t="s">
        <v>928</v>
      </c>
      <c r="D147" s="167">
        <v>300</v>
      </c>
      <c r="E147" s="167">
        <v>5</v>
      </c>
      <c r="F147" s="167">
        <v>0</v>
      </c>
      <c r="G147" s="167">
        <v>0</v>
      </c>
      <c r="H147" s="167">
        <v>1147</v>
      </c>
      <c r="I147" s="167">
        <v>1</v>
      </c>
      <c r="J147" s="167" t="s">
        <v>926</v>
      </c>
      <c r="K147" s="171">
        <v>0</v>
      </c>
      <c r="L147" s="59">
        <v>10</v>
      </c>
      <c r="M147">
        <f t="shared" si="3"/>
        <v>1</v>
      </c>
    </row>
    <row r="148" customHeight="1" spans="1:13">
      <c r="A148" s="167">
        <v>20003</v>
      </c>
      <c r="B148" s="167">
        <v>1</v>
      </c>
      <c r="C148" s="168" t="s">
        <v>930</v>
      </c>
      <c r="D148" s="167">
        <v>0</v>
      </c>
      <c r="E148" s="167">
        <v>12000</v>
      </c>
      <c r="F148" s="167">
        <v>0</v>
      </c>
      <c r="G148" s="167">
        <v>0</v>
      </c>
      <c r="H148" s="167">
        <v>1137</v>
      </c>
      <c r="I148" s="167">
        <v>2</v>
      </c>
      <c r="J148" s="167" t="s">
        <v>921</v>
      </c>
      <c r="K148" s="171">
        <v>0</v>
      </c>
      <c r="L148" s="59">
        <v>20</v>
      </c>
      <c r="M148" t="b">
        <f t="shared" si="3"/>
        <v>0</v>
      </c>
    </row>
    <row r="149" customHeight="1" spans="1:13">
      <c r="A149" s="167">
        <v>20004</v>
      </c>
      <c r="B149" s="167">
        <v>1</v>
      </c>
      <c r="C149" s="168" t="s">
        <v>932</v>
      </c>
      <c r="D149" s="167">
        <v>0</v>
      </c>
      <c r="E149" s="167">
        <v>12000</v>
      </c>
      <c r="F149" s="167">
        <v>150</v>
      </c>
      <c r="G149" s="167">
        <v>0</v>
      </c>
      <c r="H149" s="167">
        <v>1137</v>
      </c>
      <c r="I149" s="167">
        <v>3</v>
      </c>
      <c r="J149" s="181" t="s">
        <v>921</v>
      </c>
      <c r="K149" s="171">
        <v>0</v>
      </c>
      <c r="L149" s="59">
        <v>20</v>
      </c>
      <c r="M149" t="b">
        <f t="shared" si="3"/>
        <v>0</v>
      </c>
    </row>
    <row r="150" customHeight="1" spans="1:13">
      <c r="A150" s="167">
        <v>20005</v>
      </c>
      <c r="B150" s="167">
        <v>2</v>
      </c>
      <c r="C150" s="168" t="s">
        <v>925</v>
      </c>
      <c r="D150" s="167">
        <v>11009</v>
      </c>
      <c r="E150" s="167">
        <v>5</v>
      </c>
      <c r="F150" s="167">
        <v>0</v>
      </c>
      <c r="G150" s="167">
        <v>0</v>
      </c>
      <c r="H150" s="167">
        <v>1145</v>
      </c>
      <c r="I150" s="167">
        <v>4</v>
      </c>
      <c r="J150" s="167" t="s">
        <v>927</v>
      </c>
      <c r="K150" s="171">
        <v>11009</v>
      </c>
      <c r="L150" s="59">
        <v>30</v>
      </c>
      <c r="M150" t="b">
        <f t="shared" si="3"/>
        <v>0</v>
      </c>
    </row>
    <row r="151" customHeight="1" spans="1:13">
      <c r="A151" s="167">
        <v>20006</v>
      </c>
      <c r="B151" s="167">
        <v>9</v>
      </c>
      <c r="C151" s="168" t="s">
        <v>934</v>
      </c>
      <c r="D151" s="167">
        <v>0</v>
      </c>
      <c r="E151" s="167">
        <v>2000</v>
      </c>
      <c r="F151" s="167">
        <v>0</v>
      </c>
      <c r="G151" s="167">
        <v>0</v>
      </c>
      <c r="H151" s="167">
        <v>1137</v>
      </c>
      <c r="I151" s="167">
        <v>2</v>
      </c>
      <c r="J151" s="167" t="s">
        <v>921</v>
      </c>
      <c r="K151" s="171">
        <v>0</v>
      </c>
      <c r="L151" s="59">
        <v>30</v>
      </c>
      <c r="M151" t="b">
        <f t="shared" si="3"/>
        <v>0</v>
      </c>
    </row>
    <row r="152" customHeight="1" spans="1:13">
      <c r="A152" s="167">
        <v>20007</v>
      </c>
      <c r="B152" s="167">
        <v>1</v>
      </c>
      <c r="C152" s="168" t="s">
        <v>930</v>
      </c>
      <c r="D152" s="167">
        <v>0</v>
      </c>
      <c r="E152" s="167">
        <v>15000</v>
      </c>
      <c r="F152" s="167">
        <v>0</v>
      </c>
      <c r="G152" s="167">
        <v>0</v>
      </c>
      <c r="H152" s="167">
        <v>1147</v>
      </c>
      <c r="I152" s="167">
        <v>4</v>
      </c>
      <c r="J152" s="167" t="s">
        <v>926</v>
      </c>
      <c r="K152" s="171">
        <v>0</v>
      </c>
      <c r="L152" s="59">
        <v>40</v>
      </c>
      <c r="M152" t="b">
        <f t="shared" si="3"/>
        <v>0</v>
      </c>
    </row>
    <row r="153" customHeight="1" spans="1:13">
      <c r="A153" s="167">
        <v>20008</v>
      </c>
      <c r="B153" s="167">
        <v>1</v>
      </c>
      <c r="C153" s="168" t="s">
        <v>932</v>
      </c>
      <c r="D153" s="167">
        <v>0</v>
      </c>
      <c r="E153" s="167">
        <v>15000</v>
      </c>
      <c r="F153" s="167">
        <v>150</v>
      </c>
      <c r="G153" s="167">
        <v>0</v>
      </c>
      <c r="H153" s="167">
        <v>1137</v>
      </c>
      <c r="I153" s="167">
        <v>3</v>
      </c>
      <c r="J153" s="181" t="s">
        <v>921</v>
      </c>
      <c r="K153" s="171">
        <v>0</v>
      </c>
      <c r="L153" s="59">
        <v>40</v>
      </c>
      <c r="M153" t="b">
        <f t="shared" si="3"/>
        <v>0</v>
      </c>
    </row>
    <row r="154" customHeight="1" spans="1:13">
      <c r="A154" s="167">
        <v>20009</v>
      </c>
      <c r="B154" s="167">
        <v>2</v>
      </c>
      <c r="C154" s="168" t="s">
        <v>925</v>
      </c>
      <c r="D154" s="167">
        <v>11009</v>
      </c>
      <c r="E154" s="167">
        <v>5</v>
      </c>
      <c r="F154" s="167">
        <v>0</v>
      </c>
      <c r="G154" s="167">
        <v>0</v>
      </c>
      <c r="H154" s="167">
        <v>1149</v>
      </c>
      <c r="I154" s="167">
        <v>4</v>
      </c>
      <c r="J154" s="167" t="s">
        <v>931</v>
      </c>
      <c r="K154" s="171">
        <v>11009</v>
      </c>
      <c r="L154" s="59">
        <v>50</v>
      </c>
      <c r="M154" t="b">
        <f t="shared" si="3"/>
        <v>0</v>
      </c>
    </row>
    <row r="155" customHeight="1" spans="1:13">
      <c r="A155" s="169">
        <v>20010</v>
      </c>
      <c r="B155" s="169">
        <v>9</v>
      </c>
      <c r="C155" s="170" t="s">
        <v>934</v>
      </c>
      <c r="D155" s="169">
        <v>0</v>
      </c>
      <c r="E155" s="169">
        <v>2500</v>
      </c>
      <c r="F155" s="169">
        <v>0</v>
      </c>
      <c r="G155" s="169">
        <v>0</v>
      </c>
      <c r="H155" s="169">
        <v>1137</v>
      </c>
      <c r="I155" s="167">
        <v>2</v>
      </c>
      <c r="J155" s="169" t="s">
        <v>921</v>
      </c>
      <c r="K155" s="171">
        <v>0</v>
      </c>
      <c r="L155" s="59">
        <v>50</v>
      </c>
      <c r="M155" t="b">
        <f t="shared" si="3"/>
        <v>0</v>
      </c>
    </row>
    <row r="156" customHeight="1" spans="1:14">
      <c r="A156" s="167">
        <v>20011</v>
      </c>
      <c r="B156" s="167">
        <v>1</v>
      </c>
      <c r="C156" s="168" t="s">
        <v>930</v>
      </c>
      <c r="D156" s="167">
        <v>0</v>
      </c>
      <c r="E156" s="167">
        <v>20000</v>
      </c>
      <c r="F156" s="167">
        <v>0</v>
      </c>
      <c r="G156" s="167">
        <v>0</v>
      </c>
      <c r="H156" s="167">
        <v>1145</v>
      </c>
      <c r="I156" s="167">
        <v>4</v>
      </c>
      <c r="J156" s="182" t="s">
        <v>927</v>
      </c>
      <c r="K156" s="171">
        <v>0</v>
      </c>
      <c r="L156" s="167">
        <v>60</v>
      </c>
      <c r="M156" t="b">
        <f t="shared" si="3"/>
        <v>0</v>
      </c>
      <c r="N156" s="167"/>
    </row>
    <row r="157" customHeight="1" spans="1:13">
      <c r="A157" s="167">
        <v>20012</v>
      </c>
      <c r="B157" s="167">
        <v>1</v>
      </c>
      <c r="C157" s="168" t="s">
        <v>932</v>
      </c>
      <c r="D157" s="167">
        <v>0</v>
      </c>
      <c r="E157" s="167">
        <v>20000</v>
      </c>
      <c r="F157" s="167">
        <v>150</v>
      </c>
      <c r="G157" s="167">
        <v>0</v>
      </c>
      <c r="H157" s="167">
        <v>1137</v>
      </c>
      <c r="I157" s="167">
        <v>3</v>
      </c>
      <c r="J157" s="181" t="s">
        <v>921</v>
      </c>
      <c r="K157" s="171">
        <v>0</v>
      </c>
      <c r="L157" s="59">
        <v>60</v>
      </c>
      <c r="M157" t="b">
        <f t="shared" si="3"/>
        <v>0</v>
      </c>
    </row>
    <row r="158" customHeight="1" spans="1:13">
      <c r="A158" s="167">
        <v>20013</v>
      </c>
      <c r="B158" s="167">
        <v>2</v>
      </c>
      <c r="C158" s="168" t="s">
        <v>925</v>
      </c>
      <c r="D158" s="167">
        <v>11010</v>
      </c>
      <c r="E158" s="167">
        <v>3</v>
      </c>
      <c r="F158" s="167">
        <v>0</v>
      </c>
      <c r="G158" s="167">
        <v>0</v>
      </c>
      <c r="H158" s="167">
        <v>1147</v>
      </c>
      <c r="I158" s="167">
        <v>4</v>
      </c>
      <c r="J158" s="182" t="s">
        <v>926</v>
      </c>
      <c r="K158" s="171">
        <v>11010</v>
      </c>
      <c r="L158" s="59">
        <v>70</v>
      </c>
      <c r="M158" t="b">
        <f t="shared" si="3"/>
        <v>0</v>
      </c>
    </row>
    <row r="159" customHeight="1" spans="1:13">
      <c r="A159" s="167">
        <v>20014</v>
      </c>
      <c r="B159" s="167">
        <v>9</v>
      </c>
      <c r="C159" s="168" t="s">
        <v>934</v>
      </c>
      <c r="D159" s="167">
        <v>0</v>
      </c>
      <c r="E159" s="167">
        <v>2800</v>
      </c>
      <c r="F159" s="167">
        <v>0</v>
      </c>
      <c r="G159" s="167">
        <v>0</v>
      </c>
      <c r="H159" s="167">
        <v>1137</v>
      </c>
      <c r="I159" s="167">
        <v>2</v>
      </c>
      <c r="J159" s="167" t="s">
        <v>921</v>
      </c>
      <c r="K159" s="171">
        <v>0</v>
      </c>
      <c r="L159" s="59">
        <v>70</v>
      </c>
      <c r="M159" t="b">
        <f t="shared" si="3"/>
        <v>0</v>
      </c>
    </row>
    <row r="160" customHeight="1" spans="1:13">
      <c r="A160" s="167">
        <v>20015</v>
      </c>
      <c r="B160" s="167">
        <v>1</v>
      </c>
      <c r="C160" s="168" t="s">
        <v>930</v>
      </c>
      <c r="D160" s="167">
        <v>0</v>
      </c>
      <c r="E160" s="167">
        <v>30000</v>
      </c>
      <c r="F160" s="167">
        <v>0</v>
      </c>
      <c r="G160" s="167">
        <v>0</v>
      </c>
      <c r="H160" s="167">
        <v>1149</v>
      </c>
      <c r="I160" s="167">
        <v>4</v>
      </c>
      <c r="J160" s="167" t="s">
        <v>931</v>
      </c>
      <c r="K160" s="171">
        <v>0</v>
      </c>
      <c r="L160" s="59">
        <v>80</v>
      </c>
      <c r="M160" t="b">
        <f t="shared" si="3"/>
        <v>0</v>
      </c>
    </row>
    <row r="161" customHeight="1" spans="1:13">
      <c r="A161" s="167">
        <v>20016</v>
      </c>
      <c r="B161" s="167">
        <v>1</v>
      </c>
      <c r="C161" s="168" t="s">
        <v>932</v>
      </c>
      <c r="D161" s="167">
        <v>0</v>
      </c>
      <c r="E161" s="167">
        <v>22000</v>
      </c>
      <c r="F161" s="167">
        <v>150</v>
      </c>
      <c r="G161" s="167">
        <v>0</v>
      </c>
      <c r="H161" s="167">
        <v>1137</v>
      </c>
      <c r="I161" s="167">
        <v>3</v>
      </c>
      <c r="J161" s="181" t="s">
        <v>921</v>
      </c>
      <c r="K161" s="171">
        <v>0</v>
      </c>
      <c r="L161" s="59">
        <v>80</v>
      </c>
      <c r="M161" t="b">
        <f t="shared" si="3"/>
        <v>0</v>
      </c>
    </row>
    <row r="162" customHeight="1" spans="1:13">
      <c r="A162" s="167">
        <v>20017</v>
      </c>
      <c r="B162" s="167">
        <v>4</v>
      </c>
      <c r="C162" s="168" t="s">
        <v>928</v>
      </c>
      <c r="D162" s="167">
        <v>500</v>
      </c>
      <c r="E162" s="167">
        <v>5</v>
      </c>
      <c r="F162" s="167">
        <v>0</v>
      </c>
      <c r="G162" s="167">
        <v>0</v>
      </c>
      <c r="H162" s="167">
        <v>1145</v>
      </c>
      <c r="I162" s="167">
        <v>4</v>
      </c>
      <c r="J162" s="167" t="s">
        <v>927</v>
      </c>
      <c r="K162" s="171">
        <v>0</v>
      </c>
      <c r="L162" s="59">
        <v>90</v>
      </c>
      <c r="M162">
        <f t="shared" si="3"/>
        <v>1</v>
      </c>
    </row>
    <row r="163" customHeight="1" spans="1:13">
      <c r="A163" s="167">
        <v>20018</v>
      </c>
      <c r="B163" s="167">
        <v>2</v>
      </c>
      <c r="C163" s="168" t="s">
        <v>925</v>
      </c>
      <c r="D163" s="167">
        <v>11007</v>
      </c>
      <c r="E163" s="167">
        <v>5</v>
      </c>
      <c r="F163" s="167">
        <v>0</v>
      </c>
      <c r="G163" s="167">
        <v>0</v>
      </c>
      <c r="H163" s="167">
        <v>1137</v>
      </c>
      <c r="I163" s="167">
        <v>2</v>
      </c>
      <c r="J163" s="167" t="s">
        <v>921</v>
      </c>
      <c r="K163" s="167">
        <v>11007</v>
      </c>
      <c r="L163" s="59">
        <v>90</v>
      </c>
      <c r="M163" t="b">
        <f t="shared" si="3"/>
        <v>0</v>
      </c>
    </row>
    <row r="164" customHeight="1" spans="1:13">
      <c r="A164" s="167">
        <v>20019</v>
      </c>
      <c r="B164" s="167">
        <v>1</v>
      </c>
      <c r="C164" s="168" t="s">
        <v>930</v>
      </c>
      <c r="D164" s="167">
        <v>0</v>
      </c>
      <c r="E164" s="167">
        <v>40000</v>
      </c>
      <c r="F164" s="167">
        <v>0</v>
      </c>
      <c r="G164" s="167">
        <v>0</v>
      </c>
      <c r="H164" s="167">
        <v>1147</v>
      </c>
      <c r="I164" s="167">
        <v>4</v>
      </c>
      <c r="J164" s="167" t="s">
        <v>926</v>
      </c>
      <c r="K164" s="171">
        <v>0</v>
      </c>
      <c r="L164" s="59">
        <v>100</v>
      </c>
      <c r="M164" t="b">
        <f t="shared" si="3"/>
        <v>0</v>
      </c>
    </row>
    <row r="165" customHeight="1" spans="1:13">
      <c r="A165" s="167">
        <v>20020</v>
      </c>
      <c r="B165" s="167">
        <v>1</v>
      </c>
      <c r="C165" s="168" t="s">
        <v>932</v>
      </c>
      <c r="D165" s="167">
        <v>0</v>
      </c>
      <c r="E165" s="167">
        <v>23000</v>
      </c>
      <c r="F165" s="167">
        <v>150</v>
      </c>
      <c r="G165" s="167">
        <v>0</v>
      </c>
      <c r="H165" s="167">
        <v>1137</v>
      </c>
      <c r="I165" s="167">
        <v>3</v>
      </c>
      <c r="J165" s="181" t="s">
        <v>921</v>
      </c>
      <c r="K165" s="171">
        <v>0</v>
      </c>
      <c r="L165" s="59">
        <v>100</v>
      </c>
      <c r="M165" t="b">
        <f t="shared" si="3"/>
        <v>0</v>
      </c>
    </row>
    <row r="166" customHeight="1" spans="1:13">
      <c r="A166" s="167">
        <v>20021</v>
      </c>
      <c r="B166" s="167">
        <v>2</v>
      </c>
      <c r="C166" s="168" t="s">
        <v>925</v>
      </c>
      <c r="D166" s="167">
        <v>11006</v>
      </c>
      <c r="E166" s="167">
        <v>8</v>
      </c>
      <c r="F166" s="167">
        <v>0</v>
      </c>
      <c r="G166" s="167">
        <v>0</v>
      </c>
      <c r="H166" s="167">
        <v>1149</v>
      </c>
      <c r="I166" s="167">
        <v>4</v>
      </c>
      <c r="J166" s="167" t="s">
        <v>931</v>
      </c>
      <c r="K166" s="171">
        <v>11006</v>
      </c>
      <c r="L166" s="59">
        <v>110</v>
      </c>
      <c r="M166" t="b">
        <f t="shared" si="3"/>
        <v>0</v>
      </c>
    </row>
    <row r="167" customHeight="1" spans="1:13">
      <c r="A167" s="167">
        <v>20022</v>
      </c>
      <c r="B167" s="167">
        <v>4</v>
      </c>
      <c r="C167" s="168" t="s">
        <v>928</v>
      </c>
      <c r="D167" s="167">
        <v>600</v>
      </c>
      <c r="E167" s="167">
        <v>5</v>
      </c>
      <c r="F167" s="167">
        <v>0</v>
      </c>
      <c r="G167" s="167">
        <v>0</v>
      </c>
      <c r="H167" s="167">
        <v>1137</v>
      </c>
      <c r="I167" s="167">
        <v>2</v>
      </c>
      <c r="J167" s="167" t="s">
        <v>921</v>
      </c>
      <c r="K167" s="171">
        <v>0</v>
      </c>
      <c r="L167" s="59">
        <v>110</v>
      </c>
      <c r="M167">
        <f t="shared" si="3"/>
        <v>1</v>
      </c>
    </row>
    <row r="168" customHeight="1" spans="1:13">
      <c r="A168" s="167">
        <v>20023</v>
      </c>
      <c r="B168" s="167">
        <v>1</v>
      </c>
      <c r="C168" s="168" t="s">
        <v>930</v>
      </c>
      <c r="D168" s="167">
        <v>0</v>
      </c>
      <c r="E168" s="167">
        <v>45000</v>
      </c>
      <c r="F168" s="167">
        <v>0</v>
      </c>
      <c r="G168" s="167">
        <v>0</v>
      </c>
      <c r="H168" s="167">
        <v>1145</v>
      </c>
      <c r="I168" s="167">
        <v>4</v>
      </c>
      <c r="J168" s="167" t="s">
        <v>927</v>
      </c>
      <c r="K168" s="171">
        <v>0</v>
      </c>
      <c r="L168" s="59">
        <v>120</v>
      </c>
      <c r="M168" t="b">
        <f t="shared" si="3"/>
        <v>0</v>
      </c>
    </row>
    <row r="169" customHeight="1" spans="1:13">
      <c r="A169" s="167">
        <v>20024</v>
      </c>
      <c r="B169" s="167">
        <v>1</v>
      </c>
      <c r="C169" s="168" t="s">
        <v>932</v>
      </c>
      <c r="D169" s="167">
        <v>0</v>
      </c>
      <c r="E169" s="167">
        <v>24000</v>
      </c>
      <c r="F169" s="167">
        <v>150</v>
      </c>
      <c r="G169" s="167">
        <v>0</v>
      </c>
      <c r="H169" s="167">
        <v>1137</v>
      </c>
      <c r="I169" s="167">
        <v>3</v>
      </c>
      <c r="J169" s="181" t="s">
        <v>921</v>
      </c>
      <c r="K169" s="171">
        <v>0</v>
      </c>
      <c r="L169" s="59">
        <v>120</v>
      </c>
      <c r="M169" t="b">
        <f t="shared" si="3"/>
        <v>0</v>
      </c>
    </row>
    <row r="170" customHeight="1" spans="1:13">
      <c r="A170" s="167">
        <v>20025</v>
      </c>
      <c r="B170" s="167">
        <v>2</v>
      </c>
      <c r="C170" s="168" t="s">
        <v>925</v>
      </c>
      <c r="D170" s="167">
        <v>11012</v>
      </c>
      <c r="E170" s="167">
        <v>4</v>
      </c>
      <c r="F170" s="167">
        <v>0</v>
      </c>
      <c r="G170" s="167">
        <v>0</v>
      </c>
      <c r="H170" s="167">
        <v>1147</v>
      </c>
      <c r="I170" s="167">
        <v>4</v>
      </c>
      <c r="J170" s="167" t="s">
        <v>926</v>
      </c>
      <c r="K170" s="171">
        <v>11012</v>
      </c>
      <c r="L170" s="59">
        <v>130</v>
      </c>
      <c r="M170" t="b">
        <f t="shared" si="3"/>
        <v>0</v>
      </c>
    </row>
    <row r="171" customHeight="1" spans="1:13">
      <c r="A171" s="167">
        <v>20026</v>
      </c>
      <c r="B171" s="167">
        <v>5</v>
      </c>
      <c r="C171" s="168" t="s">
        <v>955</v>
      </c>
      <c r="D171" s="167">
        <v>0</v>
      </c>
      <c r="E171" s="167">
        <v>1</v>
      </c>
      <c r="F171" s="167">
        <v>0</v>
      </c>
      <c r="G171" s="167">
        <v>0</v>
      </c>
      <c r="H171" s="167">
        <v>1137</v>
      </c>
      <c r="I171" s="167">
        <v>2</v>
      </c>
      <c r="J171" s="167" t="s">
        <v>921</v>
      </c>
      <c r="K171" s="171">
        <v>0</v>
      </c>
      <c r="L171" s="59">
        <v>130</v>
      </c>
      <c r="M171" t="b">
        <f t="shared" si="3"/>
        <v>0</v>
      </c>
    </row>
    <row r="172" customHeight="1" spans="1:13">
      <c r="A172" s="167">
        <v>20027</v>
      </c>
      <c r="B172" s="167">
        <v>1</v>
      </c>
      <c r="C172" s="168" t="s">
        <v>930</v>
      </c>
      <c r="D172" s="167">
        <v>0</v>
      </c>
      <c r="E172" s="167">
        <v>50000</v>
      </c>
      <c r="F172" s="167">
        <v>0</v>
      </c>
      <c r="G172" s="167">
        <v>0</v>
      </c>
      <c r="H172" s="167">
        <v>1149</v>
      </c>
      <c r="I172" s="167">
        <v>4</v>
      </c>
      <c r="J172" s="167" t="s">
        <v>931</v>
      </c>
      <c r="K172" s="171">
        <v>0</v>
      </c>
      <c r="L172" s="59">
        <v>140</v>
      </c>
      <c r="M172" t="b">
        <f t="shared" si="3"/>
        <v>0</v>
      </c>
    </row>
    <row r="173" customHeight="1" spans="1:13">
      <c r="A173" s="167">
        <v>20028</v>
      </c>
      <c r="B173" s="167">
        <v>1</v>
      </c>
      <c r="C173" s="168" t="s">
        <v>932</v>
      </c>
      <c r="D173" s="167">
        <v>0</v>
      </c>
      <c r="E173" s="167">
        <v>25000</v>
      </c>
      <c r="F173" s="167">
        <v>150</v>
      </c>
      <c r="G173" s="167">
        <v>0</v>
      </c>
      <c r="H173" s="167">
        <v>1137</v>
      </c>
      <c r="I173" s="167">
        <v>3</v>
      </c>
      <c r="J173" s="181" t="s">
        <v>921</v>
      </c>
      <c r="K173" s="171">
        <v>0</v>
      </c>
      <c r="L173" s="59">
        <v>140</v>
      </c>
      <c r="M173" t="b">
        <f t="shared" si="3"/>
        <v>0</v>
      </c>
    </row>
    <row r="174" customHeight="1" spans="1:13">
      <c r="A174" s="167">
        <v>20029</v>
      </c>
      <c r="B174" s="167">
        <v>2</v>
      </c>
      <c r="C174" s="168" t="s">
        <v>925</v>
      </c>
      <c r="D174" s="167">
        <v>11013</v>
      </c>
      <c r="E174" s="167">
        <v>4</v>
      </c>
      <c r="F174" s="167">
        <v>0</v>
      </c>
      <c r="G174" s="167">
        <v>0</v>
      </c>
      <c r="H174" s="167">
        <v>1145</v>
      </c>
      <c r="I174" s="167">
        <v>4</v>
      </c>
      <c r="J174" s="167" t="s">
        <v>927</v>
      </c>
      <c r="K174" s="171">
        <v>11013</v>
      </c>
      <c r="L174" s="59">
        <v>150</v>
      </c>
      <c r="M174" t="b">
        <f t="shared" si="3"/>
        <v>0</v>
      </c>
    </row>
    <row r="175" customHeight="1" spans="1:13">
      <c r="A175" s="167">
        <v>20030</v>
      </c>
      <c r="B175" s="167">
        <v>9</v>
      </c>
      <c r="C175" s="168" t="s">
        <v>934</v>
      </c>
      <c r="D175" s="167">
        <v>0</v>
      </c>
      <c r="E175" s="167">
        <v>3000</v>
      </c>
      <c r="F175" s="167">
        <v>0</v>
      </c>
      <c r="G175" s="167">
        <v>0</v>
      </c>
      <c r="H175" s="167">
        <v>1137</v>
      </c>
      <c r="I175" s="167">
        <v>2</v>
      </c>
      <c r="J175" s="167" t="s">
        <v>921</v>
      </c>
      <c r="K175" s="171">
        <v>0</v>
      </c>
      <c r="L175" s="59">
        <v>150</v>
      </c>
      <c r="M175" t="b">
        <f t="shared" si="3"/>
        <v>0</v>
      </c>
    </row>
    <row r="176" customHeight="1" spans="1:13">
      <c r="A176" s="167">
        <v>20031</v>
      </c>
      <c r="B176" s="167">
        <v>1</v>
      </c>
      <c r="C176" s="168" t="s">
        <v>930</v>
      </c>
      <c r="D176" s="167">
        <v>0</v>
      </c>
      <c r="E176" s="167">
        <v>55000</v>
      </c>
      <c r="F176" s="167">
        <v>0</v>
      </c>
      <c r="G176" s="167">
        <v>0</v>
      </c>
      <c r="H176" s="167">
        <v>1147</v>
      </c>
      <c r="I176" s="167">
        <v>4</v>
      </c>
      <c r="J176" s="167" t="s">
        <v>926</v>
      </c>
      <c r="K176" s="171">
        <v>0</v>
      </c>
      <c r="L176" s="59">
        <v>160</v>
      </c>
      <c r="M176" t="b">
        <f t="shared" si="3"/>
        <v>0</v>
      </c>
    </row>
    <row r="177" customHeight="1" spans="1:13">
      <c r="A177" s="167">
        <v>20032</v>
      </c>
      <c r="B177" s="167">
        <v>1</v>
      </c>
      <c r="C177" s="168" t="s">
        <v>932</v>
      </c>
      <c r="D177" s="167">
        <v>0</v>
      </c>
      <c r="E177" s="167">
        <v>26000</v>
      </c>
      <c r="F177" s="167">
        <v>150</v>
      </c>
      <c r="G177" s="167">
        <v>0</v>
      </c>
      <c r="H177" s="167">
        <v>1137</v>
      </c>
      <c r="I177" s="167">
        <v>3</v>
      </c>
      <c r="J177" s="181" t="s">
        <v>921</v>
      </c>
      <c r="K177" s="171">
        <v>0</v>
      </c>
      <c r="L177" s="59">
        <v>160</v>
      </c>
      <c r="M177" t="b">
        <f t="shared" si="3"/>
        <v>0</v>
      </c>
    </row>
    <row r="178" customHeight="1" spans="1:13">
      <c r="A178" s="167">
        <v>20033</v>
      </c>
      <c r="B178" s="167">
        <v>2</v>
      </c>
      <c r="C178" s="168" t="s">
        <v>925</v>
      </c>
      <c r="D178" s="167">
        <v>11010</v>
      </c>
      <c r="E178" s="167">
        <v>5</v>
      </c>
      <c r="F178" s="167">
        <v>0</v>
      </c>
      <c r="G178" s="167">
        <v>0</v>
      </c>
      <c r="H178" s="167">
        <v>1149</v>
      </c>
      <c r="I178" s="167">
        <v>4</v>
      </c>
      <c r="J178" s="167" t="s">
        <v>931</v>
      </c>
      <c r="K178" s="171">
        <v>11010</v>
      </c>
      <c r="L178" s="59">
        <v>170</v>
      </c>
      <c r="M178" t="b">
        <f t="shared" si="3"/>
        <v>0</v>
      </c>
    </row>
    <row r="179" customHeight="1" spans="1:13">
      <c r="A179" s="167">
        <v>20034</v>
      </c>
      <c r="B179" s="167">
        <v>9</v>
      </c>
      <c r="C179" s="168" t="s">
        <v>934</v>
      </c>
      <c r="D179" s="167">
        <v>0</v>
      </c>
      <c r="E179" s="167">
        <v>3200</v>
      </c>
      <c r="F179" s="167">
        <v>0</v>
      </c>
      <c r="G179" s="167">
        <v>0</v>
      </c>
      <c r="H179" s="167">
        <v>1137</v>
      </c>
      <c r="I179" s="167">
        <v>2</v>
      </c>
      <c r="J179" s="167" t="s">
        <v>921</v>
      </c>
      <c r="K179" s="171">
        <v>0</v>
      </c>
      <c r="L179" s="59">
        <v>170</v>
      </c>
      <c r="M179" t="b">
        <f t="shared" si="3"/>
        <v>0</v>
      </c>
    </row>
    <row r="180" customHeight="1" spans="1:13">
      <c r="A180" s="167">
        <v>20035</v>
      </c>
      <c r="B180" s="167">
        <v>1</v>
      </c>
      <c r="C180" s="168" t="s">
        <v>930</v>
      </c>
      <c r="D180" s="167">
        <v>0</v>
      </c>
      <c r="E180" s="167">
        <v>60000</v>
      </c>
      <c r="F180" s="167">
        <v>0</v>
      </c>
      <c r="G180" s="167">
        <v>0</v>
      </c>
      <c r="H180" s="167">
        <v>1145</v>
      </c>
      <c r="I180" s="167">
        <v>4</v>
      </c>
      <c r="J180" s="167" t="s">
        <v>927</v>
      </c>
      <c r="K180" s="171">
        <v>0</v>
      </c>
      <c r="L180" s="59">
        <v>180</v>
      </c>
      <c r="M180" t="b">
        <f t="shared" si="3"/>
        <v>0</v>
      </c>
    </row>
    <row r="181" customHeight="1" spans="1:13">
      <c r="A181" s="167">
        <v>20036</v>
      </c>
      <c r="B181" s="167">
        <v>1</v>
      </c>
      <c r="C181" s="168" t="s">
        <v>932</v>
      </c>
      <c r="D181" s="167">
        <v>0</v>
      </c>
      <c r="E181" s="167">
        <v>27000</v>
      </c>
      <c r="F181" s="167">
        <v>150</v>
      </c>
      <c r="G181" s="167">
        <v>0</v>
      </c>
      <c r="H181" s="167">
        <v>1137</v>
      </c>
      <c r="I181" s="167">
        <v>3</v>
      </c>
      <c r="J181" s="181" t="s">
        <v>921</v>
      </c>
      <c r="K181" s="171">
        <v>0</v>
      </c>
      <c r="L181" s="59">
        <v>180</v>
      </c>
      <c r="M181" t="b">
        <f t="shared" si="3"/>
        <v>0</v>
      </c>
    </row>
    <row r="182" customHeight="1" spans="1:13">
      <c r="A182" s="167">
        <v>20037</v>
      </c>
      <c r="B182" s="167">
        <v>4</v>
      </c>
      <c r="C182" s="168" t="s">
        <v>928</v>
      </c>
      <c r="D182" s="167">
        <v>800</v>
      </c>
      <c r="E182" s="167">
        <v>4</v>
      </c>
      <c r="F182" s="167">
        <v>0</v>
      </c>
      <c r="G182" s="167">
        <v>0</v>
      </c>
      <c r="H182" s="167">
        <v>1147</v>
      </c>
      <c r="I182" s="167">
        <v>4</v>
      </c>
      <c r="J182" s="167" t="s">
        <v>926</v>
      </c>
      <c r="K182" s="171">
        <v>0</v>
      </c>
      <c r="L182" s="59">
        <v>190</v>
      </c>
      <c r="M182">
        <f t="shared" si="3"/>
        <v>1</v>
      </c>
    </row>
    <row r="183" customHeight="1" spans="1:13">
      <c r="A183" s="167">
        <v>20038</v>
      </c>
      <c r="B183" s="167">
        <v>5</v>
      </c>
      <c r="C183" s="168" t="s">
        <v>955</v>
      </c>
      <c r="D183" s="167">
        <v>0</v>
      </c>
      <c r="E183" s="167">
        <v>1</v>
      </c>
      <c r="F183" s="167">
        <v>0</v>
      </c>
      <c r="G183" s="167">
        <v>0</v>
      </c>
      <c r="H183" s="167">
        <v>1137</v>
      </c>
      <c r="I183" s="167">
        <v>2</v>
      </c>
      <c r="J183" s="167" t="s">
        <v>921</v>
      </c>
      <c r="K183" s="171">
        <v>0</v>
      </c>
      <c r="L183" s="59">
        <v>190</v>
      </c>
      <c r="M183" t="b">
        <f t="shared" si="3"/>
        <v>0</v>
      </c>
    </row>
    <row r="184" customHeight="1" spans="1:13">
      <c r="A184" s="167">
        <v>20039</v>
      </c>
      <c r="B184" s="167">
        <v>1</v>
      </c>
      <c r="C184" s="168" t="s">
        <v>930</v>
      </c>
      <c r="D184" s="167">
        <v>0</v>
      </c>
      <c r="E184" s="167">
        <v>62000</v>
      </c>
      <c r="F184" s="167">
        <v>0</v>
      </c>
      <c r="G184" s="167">
        <v>0</v>
      </c>
      <c r="H184" s="167">
        <v>1149</v>
      </c>
      <c r="I184" s="167">
        <v>4</v>
      </c>
      <c r="J184" s="167" t="s">
        <v>931</v>
      </c>
      <c r="K184" s="171">
        <v>0</v>
      </c>
      <c r="L184" s="59">
        <v>200</v>
      </c>
      <c r="M184" t="b">
        <f t="shared" si="3"/>
        <v>0</v>
      </c>
    </row>
    <row r="185" customHeight="1" spans="1:13">
      <c r="A185" s="167">
        <v>20040</v>
      </c>
      <c r="B185" s="167">
        <v>1</v>
      </c>
      <c r="C185" s="168" t="s">
        <v>932</v>
      </c>
      <c r="D185" s="167">
        <v>0</v>
      </c>
      <c r="E185" s="167">
        <v>28000</v>
      </c>
      <c r="F185" s="167">
        <v>150</v>
      </c>
      <c r="G185" s="167">
        <v>0</v>
      </c>
      <c r="H185" s="167">
        <v>1137</v>
      </c>
      <c r="I185" s="167">
        <v>3</v>
      </c>
      <c r="J185" s="181" t="s">
        <v>921</v>
      </c>
      <c r="K185" s="171">
        <v>0</v>
      </c>
      <c r="L185" s="59">
        <v>200</v>
      </c>
      <c r="M185" t="b">
        <f t="shared" si="3"/>
        <v>0</v>
      </c>
    </row>
    <row r="186" customHeight="1" spans="1:13">
      <c r="A186" s="167">
        <v>20041</v>
      </c>
      <c r="B186" s="167">
        <v>4</v>
      </c>
      <c r="C186" s="168" t="s">
        <v>928</v>
      </c>
      <c r="D186" s="167">
        <v>650</v>
      </c>
      <c r="E186" s="167">
        <v>5</v>
      </c>
      <c r="F186" s="167">
        <v>0</v>
      </c>
      <c r="G186" s="167">
        <v>0</v>
      </c>
      <c r="H186" s="167">
        <v>1145</v>
      </c>
      <c r="I186" s="167">
        <v>4</v>
      </c>
      <c r="J186" s="167" t="s">
        <v>927</v>
      </c>
      <c r="K186" s="171">
        <v>0</v>
      </c>
      <c r="L186" s="59">
        <v>200</v>
      </c>
      <c r="M186">
        <f t="shared" si="3"/>
        <v>1</v>
      </c>
    </row>
    <row r="187" customHeight="1" spans="1:13">
      <c r="A187" s="167">
        <v>20042</v>
      </c>
      <c r="B187" s="167">
        <v>5</v>
      </c>
      <c r="C187" s="168" t="s">
        <v>955</v>
      </c>
      <c r="D187" s="167">
        <v>0</v>
      </c>
      <c r="E187" s="167">
        <v>1</v>
      </c>
      <c r="F187" s="167">
        <v>0</v>
      </c>
      <c r="G187" s="167">
        <v>0</v>
      </c>
      <c r="H187" s="167">
        <v>1137</v>
      </c>
      <c r="I187" s="167">
        <v>2</v>
      </c>
      <c r="J187" s="167" t="s">
        <v>921</v>
      </c>
      <c r="K187" s="171">
        <v>0</v>
      </c>
      <c r="L187" s="59">
        <v>200</v>
      </c>
      <c r="M187" t="b">
        <f t="shared" si="3"/>
        <v>0</v>
      </c>
    </row>
    <row r="188" customHeight="1" spans="1:13">
      <c r="A188" s="167">
        <v>20043</v>
      </c>
      <c r="B188" s="167">
        <v>1</v>
      </c>
      <c r="C188" s="168" t="s">
        <v>930</v>
      </c>
      <c r="D188" s="167">
        <v>0</v>
      </c>
      <c r="E188" s="167">
        <v>65000</v>
      </c>
      <c r="F188" s="167">
        <v>0</v>
      </c>
      <c r="G188" s="167">
        <v>0</v>
      </c>
      <c r="H188" s="167">
        <v>1147</v>
      </c>
      <c r="I188" s="167">
        <v>4</v>
      </c>
      <c r="J188" s="167" t="s">
        <v>926</v>
      </c>
      <c r="K188" s="171">
        <v>0</v>
      </c>
      <c r="L188" s="59">
        <v>200</v>
      </c>
      <c r="M188" t="b">
        <f t="shared" si="3"/>
        <v>0</v>
      </c>
    </row>
    <row r="189" customHeight="1" spans="1:13">
      <c r="A189" s="167">
        <v>20044</v>
      </c>
      <c r="B189" s="167">
        <v>1</v>
      </c>
      <c r="C189" s="168" t="s">
        <v>932</v>
      </c>
      <c r="D189" s="167">
        <v>0</v>
      </c>
      <c r="E189" s="167">
        <v>29000</v>
      </c>
      <c r="F189" s="167">
        <v>150</v>
      </c>
      <c r="G189" s="167">
        <v>0</v>
      </c>
      <c r="H189" s="167">
        <v>1137</v>
      </c>
      <c r="I189" s="167">
        <v>3</v>
      </c>
      <c r="J189" s="181" t="s">
        <v>921</v>
      </c>
      <c r="K189" s="171">
        <v>0</v>
      </c>
      <c r="L189" s="59">
        <v>200</v>
      </c>
      <c r="M189" t="b">
        <f t="shared" si="3"/>
        <v>0</v>
      </c>
    </row>
    <row r="190" customHeight="1" spans="1:13">
      <c r="A190" s="167">
        <v>20045</v>
      </c>
      <c r="B190" s="167">
        <v>2</v>
      </c>
      <c r="C190" s="168" t="s">
        <v>925</v>
      </c>
      <c r="D190" s="167">
        <v>11015</v>
      </c>
      <c r="E190" s="167">
        <v>4</v>
      </c>
      <c r="F190" s="167">
        <v>0</v>
      </c>
      <c r="G190" s="167">
        <v>0</v>
      </c>
      <c r="H190" s="167">
        <v>1149</v>
      </c>
      <c r="I190" s="167">
        <v>4</v>
      </c>
      <c r="J190" s="167" t="s">
        <v>931</v>
      </c>
      <c r="K190" s="171">
        <v>11015</v>
      </c>
      <c r="L190" s="59">
        <v>200</v>
      </c>
      <c r="M190" t="b">
        <f t="shared" si="3"/>
        <v>0</v>
      </c>
    </row>
    <row r="191" customHeight="1" spans="1:13">
      <c r="A191" s="167">
        <v>20046</v>
      </c>
      <c r="B191" s="167">
        <v>5</v>
      </c>
      <c r="C191" s="168" t="s">
        <v>955</v>
      </c>
      <c r="D191" s="167">
        <v>0</v>
      </c>
      <c r="E191" s="167">
        <v>1</v>
      </c>
      <c r="F191" s="167">
        <v>0</v>
      </c>
      <c r="G191" s="167">
        <v>0</v>
      </c>
      <c r="H191" s="167">
        <v>1137</v>
      </c>
      <c r="I191" s="167">
        <v>2</v>
      </c>
      <c r="J191" s="167" t="s">
        <v>921</v>
      </c>
      <c r="K191" s="171">
        <v>0</v>
      </c>
      <c r="L191" s="59">
        <v>210</v>
      </c>
      <c r="M191" t="b">
        <f t="shared" si="3"/>
        <v>0</v>
      </c>
    </row>
    <row r="192" customHeight="1" spans="1:13">
      <c r="A192" s="167">
        <v>20047</v>
      </c>
      <c r="B192" s="167">
        <v>1</v>
      </c>
      <c r="C192" s="168" t="s">
        <v>930</v>
      </c>
      <c r="D192" s="167">
        <v>0</v>
      </c>
      <c r="E192" s="167">
        <v>68000</v>
      </c>
      <c r="F192" s="167">
        <v>0</v>
      </c>
      <c r="G192" s="167">
        <v>0</v>
      </c>
      <c r="H192" s="167">
        <v>1145</v>
      </c>
      <c r="I192" s="167">
        <v>4</v>
      </c>
      <c r="J192" s="167" t="s">
        <v>927</v>
      </c>
      <c r="K192" s="171">
        <v>0</v>
      </c>
      <c r="L192" s="59">
        <v>210</v>
      </c>
      <c r="M192" t="b">
        <f t="shared" si="3"/>
        <v>0</v>
      </c>
    </row>
    <row r="193" customHeight="1" spans="1:13">
      <c r="A193" s="167">
        <v>20048</v>
      </c>
      <c r="B193" s="167">
        <v>1</v>
      </c>
      <c r="C193" s="168" t="s">
        <v>932</v>
      </c>
      <c r="D193" s="167">
        <v>0</v>
      </c>
      <c r="E193" s="167">
        <v>30000</v>
      </c>
      <c r="F193" s="167">
        <v>150</v>
      </c>
      <c r="G193" s="167">
        <v>0</v>
      </c>
      <c r="H193" s="167">
        <v>1137</v>
      </c>
      <c r="I193" s="167">
        <v>3</v>
      </c>
      <c r="J193" s="181" t="s">
        <v>921</v>
      </c>
      <c r="K193" s="171">
        <v>0</v>
      </c>
      <c r="L193" s="59">
        <v>210</v>
      </c>
      <c r="M193" t="b">
        <f t="shared" si="3"/>
        <v>0</v>
      </c>
    </row>
    <row r="194" customHeight="1" spans="1:13">
      <c r="A194" s="167">
        <v>20049</v>
      </c>
      <c r="B194" s="167">
        <v>2</v>
      </c>
      <c r="C194" s="168" t="s">
        <v>925</v>
      </c>
      <c r="D194" s="167">
        <v>11013</v>
      </c>
      <c r="E194" s="167">
        <v>4</v>
      </c>
      <c r="F194" s="167">
        <v>0</v>
      </c>
      <c r="G194" s="167">
        <v>0</v>
      </c>
      <c r="H194" s="167">
        <v>1147</v>
      </c>
      <c r="I194" s="167">
        <v>4</v>
      </c>
      <c r="J194" s="167" t="s">
        <v>926</v>
      </c>
      <c r="K194" s="171">
        <v>11013</v>
      </c>
      <c r="L194" s="59">
        <v>210</v>
      </c>
      <c r="M194" t="b">
        <f t="shared" ref="M194:M257" si="4">IF(D194&lt;&gt;K194,1)</f>
        <v>0</v>
      </c>
    </row>
    <row r="195" customHeight="1" spans="1:13">
      <c r="A195" s="169">
        <v>20050</v>
      </c>
      <c r="B195" s="169">
        <v>9</v>
      </c>
      <c r="C195" s="170" t="s">
        <v>934</v>
      </c>
      <c r="D195" s="169">
        <v>0</v>
      </c>
      <c r="E195" s="169">
        <v>3500</v>
      </c>
      <c r="F195" s="169">
        <v>0</v>
      </c>
      <c r="G195" s="169">
        <v>0</v>
      </c>
      <c r="H195" s="169">
        <v>1137</v>
      </c>
      <c r="I195" s="167">
        <v>2</v>
      </c>
      <c r="J195" s="169" t="s">
        <v>921</v>
      </c>
      <c r="K195" s="171">
        <v>0</v>
      </c>
      <c r="L195" s="59">
        <v>210</v>
      </c>
      <c r="M195" t="b">
        <f t="shared" si="4"/>
        <v>0</v>
      </c>
    </row>
    <row r="196" customHeight="1" spans="1:13">
      <c r="A196" s="167">
        <v>20051</v>
      </c>
      <c r="B196" s="167">
        <v>1</v>
      </c>
      <c r="C196" s="168" t="s">
        <v>930</v>
      </c>
      <c r="D196" s="167">
        <v>0</v>
      </c>
      <c r="E196" s="167">
        <v>70000</v>
      </c>
      <c r="F196" s="167">
        <v>0</v>
      </c>
      <c r="G196" s="167">
        <v>0</v>
      </c>
      <c r="H196" s="167">
        <v>1149</v>
      </c>
      <c r="I196" s="167">
        <v>4</v>
      </c>
      <c r="J196" s="167" t="s">
        <v>931</v>
      </c>
      <c r="K196" s="171">
        <v>0</v>
      </c>
      <c r="L196" s="59">
        <v>220</v>
      </c>
      <c r="M196" t="b">
        <f t="shared" si="4"/>
        <v>0</v>
      </c>
    </row>
    <row r="197" customHeight="1" spans="1:13">
      <c r="A197" s="167">
        <v>20052</v>
      </c>
      <c r="B197" s="167">
        <v>1</v>
      </c>
      <c r="C197" s="168" t="s">
        <v>932</v>
      </c>
      <c r="D197" s="167">
        <v>0</v>
      </c>
      <c r="E197" s="167">
        <v>32000</v>
      </c>
      <c r="F197" s="167">
        <v>150</v>
      </c>
      <c r="G197" s="167">
        <v>0</v>
      </c>
      <c r="H197" s="167">
        <v>1137</v>
      </c>
      <c r="I197" s="167">
        <v>3</v>
      </c>
      <c r="J197" s="181" t="s">
        <v>921</v>
      </c>
      <c r="K197" s="171">
        <v>0</v>
      </c>
      <c r="L197" s="59">
        <v>220</v>
      </c>
      <c r="M197" t="b">
        <f t="shared" si="4"/>
        <v>0</v>
      </c>
    </row>
    <row r="198" customHeight="1" spans="1:13">
      <c r="A198" s="167">
        <v>20053</v>
      </c>
      <c r="B198" s="167">
        <v>2</v>
      </c>
      <c r="C198" s="168" t="s">
        <v>925</v>
      </c>
      <c r="D198" s="167">
        <v>11012</v>
      </c>
      <c r="E198" s="167">
        <v>5</v>
      </c>
      <c r="F198" s="167">
        <v>0</v>
      </c>
      <c r="G198" s="167">
        <v>0</v>
      </c>
      <c r="H198" s="167">
        <v>1145</v>
      </c>
      <c r="I198" s="167">
        <v>4</v>
      </c>
      <c r="J198" s="167" t="s">
        <v>927</v>
      </c>
      <c r="K198" s="171">
        <v>11012</v>
      </c>
      <c r="L198" s="59">
        <v>220</v>
      </c>
      <c r="M198" t="b">
        <f t="shared" si="4"/>
        <v>0</v>
      </c>
    </row>
    <row r="199" customHeight="1" spans="1:13">
      <c r="A199" s="167">
        <v>20054</v>
      </c>
      <c r="B199" s="167">
        <v>4</v>
      </c>
      <c r="C199" s="168" t="s">
        <v>928</v>
      </c>
      <c r="D199" s="167">
        <v>700</v>
      </c>
      <c r="E199" s="167">
        <v>5</v>
      </c>
      <c r="F199" s="167">
        <v>0</v>
      </c>
      <c r="G199" s="167">
        <v>0</v>
      </c>
      <c r="H199" s="167">
        <v>1137</v>
      </c>
      <c r="I199" s="167">
        <v>2</v>
      </c>
      <c r="J199" s="167" t="s">
        <v>921</v>
      </c>
      <c r="K199" s="171">
        <v>0</v>
      </c>
      <c r="L199" s="59">
        <v>220</v>
      </c>
      <c r="M199">
        <f t="shared" si="4"/>
        <v>1</v>
      </c>
    </row>
    <row r="200" customHeight="1" spans="1:13">
      <c r="A200" s="167">
        <v>20055</v>
      </c>
      <c r="B200" s="167">
        <v>1</v>
      </c>
      <c r="C200" s="168" t="s">
        <v>930</v>
      </c>
      <c r="D200" s="167">
        <v>0</v>
      </c>
      <c r="E200" s="167">
        <v>72000</v>
      </c>
      <c r="F200" s="167">
        <v>0</v>
      </c>
      <c r="G200" s="167">
        <v>0</v>
      </c>
      <c r="H200" s="167">
        <v>1147</v>
      </c>
      <c r="I200" s="167">
        <v>4</v>
      </c>
      <c r="J200" s="167" t="s">
        <v>926</v>
      </c>
      <c r="K200" s="171">
        <v>0</v>
      </c>
      <c r="L200" s="59">
        <v>220</v>
      </c>
      <c r="M200" t="b">
        <f t="shared" si="4"/>
        <v>0</v>
      </c>
    </row>
    <row r="201" customHeight="1" spans="1:13">
      <c r="A201" s="167">
        <v>20056</v>
      </c>
      <c r="B201" s="167">
        <v>1</v>
      </c>
      <c r="C201" s="168" t="s">
        <v>932</v>
      </c>
      <c r="D201" s="167">
        <v>0</v>
      </c>
      <c r="E201" s="167">
        <v>34000</v>
      </c>
      <c r="F201" s="167">
        <v>150</v>
      </c>
      <c r="G201" s="167">
        <v>0</v>
      </c>
      <c r="H201" s="167">
        <v>1137</v>
      </c>
      <c r="I201" s="167">
        <v>3</v>
      </c>
      <c r="J201" s="181" t="s">
        <v>921</v>
      </c>
      <c r="K201" s="171">
        <v>0</v>
      </c>
      <c r="L201" s="59">
        <v>230</v>
      </c>
      <c r="M201" t="b">
        <f t="shared" si="4"/>
        <v>0</v>
      </c>
    </row>
    <row r="202" customHeight="1" spans="1:13">
      <c r="A202" s="167">
        <v>20057</v>
      </c>
      <c r="B202" s="167">
        <v>4</v>
      </c>
      <c r="C202" s="168" t="s">
        <v>928</v>
      </c>
      <c r="D202" s="167">
        <v>800</v>
      </c>
      <c r="E202" s="167">
        <v>5</v>
      </c>
      <c r="F202" s="167">
        <v>0</v>
      </c>
      <c r="G202" s="167">
        <v>0</v>
      </c>
      <c r="H202" s="167">
        <v>1149</v>
      </c>
      <c r="I202" s="167">
        <v>4</v>
      </c>
      <c r="J202" s="167" t="s">
        <v>931</v>
      </c>
      <c r="K202" s="171">
        <v>0</v>
      </c>
      <c r="L202" s="59">
        <v>230</v>
      </c>
      <c r="M202">
        <f t="shared" si="4"/>
        <v>1</v>
      </c>
    </row>
    <row r="203" customHeight="1" spans="1:13">
      <c r="A203" s="167">
        <v>20058</v>
      </c>
      <c r="B203" s="167">
        <v>5</v>
      </c>
      <c r="C203" s="168" t="s">
        <v>955</v>
      </c>
      <c r="D203" s="167">
        <v>0</v>
      </c>
      <c r="E203" s="167">
        <v>1</v>
      </c>
      <c r="F203" s="167">
        <v>0</v>
      </c>
      <c r="G203" s="167">
        <v>0</v>
      </c>
      <c r="H203" s="167">
        <v>1137</v>
      </c>
      <c r="I203" s="167">
        <v>2</v>
      </c>
      <c r="J203" s="167" t="s">
        <v>921</v>
      </c>
      <c r="K203" s="171">
        <v>0</v>
      </c>
      <c r="L203" s="59">
        <v>230</v>
      </c>
      <c r="M203" t="b">
        <f t="shared" si="4"/>
        <v>0</v>
      </c>
    </row>
    <row r="204" customHeight="1" spans="1:13">
      <c r="A204" s="169">
        <v>20059</v>
      </c>
      <c r="B204" s="169">
        <v>1</v>
      </c>
      <c r="C204" s="170" t="s">
        <v>930</v>
      </c>
      <c r="D204" s="169">
        <v>0</v>
      </c>
      <c r="E204" s="169">
        <v>75000</v>
      </c>
      <c r="F204" s="169">
        <v>0</v>
      </c>
      <c r="G204" s="169">
        <v>0</v>
      </c>
      <c r="H204" s="169">
        <v>1145</v>
      </c>
      <c r="I204" s="169">
        <v>4</v>
      </c>
      <c r="J204" s="169" t="s">
        <v>927</v>
      </c>
      <c r="K204" s="171">
        <v>0</v>
      </c>
      <c r="L204" s="59">
        <v>230</v>
      </c>
      <c r="M204" t="b">
        <f t="shared" si="4"/>
        <v>0</v>
      </c>
    </row>
    <row r="205" customHeight="1" spans="1:13">
      <c r="A205" s="167">
        <v>20060</v>
      </c>
      <c r="B205" s="167">
        <v>1</v>
      </c>
      <c r="C205" s="168" t="s">
        <v>932</v>
      </c>
      <c r="D205" s="167">
        <v>0</v>
      </c>
      <c r="E205" s="167">
        <v>35000</v>
      </c>
      <c r="F205" s="167">
        <v>150</v>
      </c>
      <c r="G205" s="167">
        <v>0</v>
      </c>
      <c r="H205" s="167">
        <v>1137</v>
      </c>
      <c r="I205" s="167">
        <v>3</v>
      </c>
      <c r="J205" s="181" t="s">
        <v>921</v>
      </c>
      <c r="K205" s="171">
        <v>0</v>
      </c>
      <c r="L205" s="59">
        <v>230</v>
      </c>
      <c r="M205" t="b">
        <f t="shared" si="4"/>
        <v>0</v>
      </c>
    </row>
    <row r="206" customHeight="1" spans="1:13">
      <c r="A206" s="167">
        <v>20061</v>
      </c>
      <c r="B206" s="167">
        <v>2</v>
      </c>
      <c r="C206" s="168" t="s">
        <v>925</v>
      </c>
      <c r="D206" s="167">
        <v>11017</v>
      </c>
      <c r="E206" s="167">
        <v>3</v>
      </c>
      <c r="F206" s="167">
        <v>0</v>
      </c>
      <c r="G206" s="167">
        <v>0</v>
      </c>
      <c r="H206" s="167">
        <v>1147</v>
      </c>
      <c r="I206" s="167">
        <v>4</v>
      </c>
      <c r="J206" s="167" t="s">
        <v>926</v>
      </c>
      <c r="K206" s="171">
        <v>11017</v>
      </c>
      <c r="L206" s="59">
        <v>240</v>
      </c>
      <c r="M206" t="b">
        <f t="shared" si="4"/>
        <v>0</v>
      </c>
    </row>
    <row r="207" customHeight="1" spans="1:13">
      <c r="A207" s="167">
        <v>20062</v>
      </c>
      <c r="B207" s="167">
        <v>5</v>
      </c>
      <c r="C207" s="168" t="s">
        <v>955</v>
      </c>
      <c r="D207" s="167">
        <v>0</v>
      </c>
      <c r="E207" s="167">
        <v>1</v>
      </c>
      <c r="F207" s="167">
        <v>0</v>
      </c>
      <c r="G207" s="167">
        <v>0</v>
      </c>
      <c r="H207" s="167">
        <v>1137</v>
      </c>
      <c r="I207" s="167">
        <v>2</v>
      </c>
      <c r="J207" s="167" t="s">
        <v>921</v>
      </c>
      <c r="K207" s="171">
        <v>0</v>
      </c>
      <c r="L207" s="59">
        <v>240</v>
      </c>
      <c r="M207" t="b">
        <f t="shared" si="4"/>
        <v>0</v>
      </c>
    </row>
    <row r="208" customHeight="1" spans="1:13">
      <c r="A208" s="167">
        <v>20063</v>
      </c>
      <c r="B208" s="167">
        <v>1</v>
      </c>
      <c r="C208" s="168" t="s">
        <v>930</v>
      </c>
      <c r="D208" s="167">
        <v>0</v>
      </c>
      <c r="E208" s="167">
        <v>78000</v>
      </c>
      <c r="F208" s="167">
        <v>0</v>
      </c>
      <c r="G208" s="167">
        <v>0</v>
      </c>
      <c r="H208" s="167">
        <v>1149</v>
      </c>
      <c r="I208" s="167">
        <v>4</v>
      </c>
      <c r="J208" s="167" t="s">
        <v>931</v>
      </c>
      <c r="K208" s="171">
        <v>0</v>
      </c>
      <c r="L208" s="59">
        <v>240</v>
      </c>
      <c r="M208" t="b">
        <f t="shared" si="4"/>
        <v>0</v>
      </c>
    </row>
    <row r="209" customHeight="1" spans="1:13">
      <c r="A209" s="167">
        <v>20064</v>
      </c>
      <c r="B209" s="167">
        <v>1</v>
      </c>
      <c r="C209" s="168" t="s">
        <v>932</v>
      </c>
      <c r="D209" s="167">
        <v>0</v>
      </c>
      <c r="E209" s="167">
        <v>38000</v>
      </c>
      <c r="F209" s="167">
        <v>150</v>
      </c>
      <c r="G209" s="167">
        <v>0</v>
      </c>
      <c r="H209" s="167">
        <v>1137</v>
      </c>
      <c r="I209" s="167">
        <v>3</v>
      </c>
      <c r="J209" s="181" t="s">
        <v>921</v>
      </c>
      <c r="K209" s="171">
        <v>0</v>
      </c>
      <c r="L209" s="59">
        <v>240</v>
      </c>
      <c r="M209" t="b">
        <f t="shared" si="4"/>
        <v>0</v>
      </c>
    </row>
    <row r="210" customHeight="1" spans="1:13">
      <c r="A210" s="167">
        <v>20065</v>
      </c>
      <c r="B210" s="167">
        <v>2</v>
      </c>
      <c r="C210" s="168" t="s">
        <v>925</v>
      </c>
      <c r="D210" s="167">
        <v>11018</v>
      </c>
      <c r="E210" s="167">
        <v>2</v>
      </c>
      <c r="F210" s="167">
        <v>0</v>
      </c>
      <c r="G210" s="167">
        <v>0</v>
      </c>
      <c r="H210" s="167">
        <v>1145</v>
      </c>
      <c r="I210" s="167">
        <v>4</v>
      </c>
      <c r="J210" s="167" t="s">
        <v>927</v>
      </c>
      <c r="K210" s="171">
        <v>11018</v>
      </c>
      <c r="L210" s="59">
        <v>240</v>
      </c>
      <c r="M210" t="b">
        <f t="shared" si="4"/>
        <v>0</v>
      </c>
    </row>
    <row r="211" customHeight="1" spans="1:13">
      <c r="A211" s="167">
        <v>20066</v>
      </c>
      <c r="B211" s="167">
        <v>9</v>
      </c>
      <c r="C211" s="168" t="s">
        <v>934</v>
      </c>
      <c r="D211" s="167">
        <v>0</v>
      </c>
      <c r="E211" s="167">
        <v>3800</v>
      </c>
      <c r="F211" s="167">
        <v>0</v>
      </c>
      <c r="G211" s="167">
        <v>0</v>
      </c>
      <c r="H211" s="167">
        <v>1137</v>
      </c>
      <c r="I211" s="167">
        <v>2</v>
      </c>
      <c r="J211" s="167" t="s">
        <v>921</v>
      </c>
      <c r="K211" s="171">
        <v>0</v>
      </c>
      <c r="L211" s="59">
        <v>250</v>
      </c>
      <c r="M211" t="b">
        <f t="shared" si="4"/>
        <v>0</v>
      </c>
    </row>
    <row r="212" customHeight="1" spans="1:13">
      <c r="A212" s="167">
        <v>20067</v>
      </c>
      <c r="B212" s="167">
        <v>1</v>
      </c>
      <c r="C212" s="168" t="s">
        <v>930</v>
      </c>
      <c r="D212" s="167">
        <v>0</v>
      </c>
      <c r="E212" s="167">
        <v>80000</v>
      </c>
      <c r="F212" s="167">
        <v>0</v>
      </c>
      <c r="G212" s="167">
        <v>0</v>
      </c>
      <c r="H212" s="167">
        <v>1147</v>
      </c>
      <c r="I212" s="167">
        <v>4</v>
      </c>
      <c r="J212" s="167" t="s">
        <v>926</v>
      </c>
      <c r="K212" s="171">
        <v>0</v>
      </c>
      <c r="L212" s="59">
        <v>250</v>
      </c>
      <c r="M212" t="b">
        <f t="shared" si="4"/>
        <v>0</v>
      </c>
    </row>
    <row r="213" customHeight="1" spans="1:13">
      <c r="A213" s="167">
        <v>20068</v>
      </c>
      <c r="B213" s="167">
        <v>1</v>
      </c>
      <c r="C213" s="168" t="s">
        <v>932</v>
      </c>
      <c r="D213" s="167">
        <v>0</v>
      </c>
      <c r="E213" s="167">
        <v>40000</v>
      </c>
      <c r="F213" s="167">
        <v>150</v>
      </c>
      <c r="G213" s="167">
        <v>0</v>
      </c>
      <c r="H213" s="167">
        <v>1137</v>
      </c>
      <c r="I213" s="167">
        <v>3</v>
      </c>
      <c r="J213" s="181" t="s">
        <v>921</v>
      </c>
      <c r="K213" s="171">
        <v>0</v>
      </c>
      <c r="L213" s="59">
        <v>250</v>
      </c>
      <c r="M213" t="b">
        <f t="shared" si="4"/>
        <v>0</v>
      </c>
    </row>
    <row r="214" customHeight="1" spans="1:13">
      <c r="A214" s="167">
        <v>20069</v>
      </c>
      <c r="B214" s="167">
        <v>2</v>
      </c>
      <c r="C214" s="168" t="s">
        <v>925</v>
      </c>
      <c r="D214" s="167">
        <v>11020</v>
      </c>
      <c r="E214" s="167">
        <v>2</v>
      </c>
      <c r="F214" s="167">
        <v>0</v>
      </c>
      <c r="G214" s="167">
        <v>0</v>
      </c>
      <c r="H214" s="167">
        <v>1149</v>
      </c>
      <c r="I214" s="167">
        <v>4</v>
      </c>
      <c r="J214" s="167" t="s">
        <v>931</v>
      </c>
      <c r="K214" s="171">
        <v>11020</v>
      </c>
      <c r="L214" s="59">
        <v>250</v>
      </c>
      <c r="M214" t="b">
        <f t="shared" si="4"/>
        <v>0</v>
      </c>
    </row>
    <row r="215" customHeight="1" spans="1:13">
      <c r="A215" s="167">
        <v>20070</v>
      </c>
      <c r="B215" s="167">
        <v>4</v>
      </c>
      <c r="C215" s="168" t="s">
        <v>928</v>
      </c>
      <c r="D215" s="167">
        <v>900</v>
      </c>
      <c r="E215" s="167">
        <v>5</v>
      </c>
      <c r="F215" s="167">
        <v>0</v>
      </c>
      <c r="G215" s="167">
        <v>0</v>
      </c>
      <c r="H215" s="167">
        <v>1137</v>
      </c>
      <c r="I215" s="167">
        <v>2</v>
      </c>
      <c r="J215" s="167" t="s">
        <v>921</v>
      </c>
      <c r="K215" s="171">
        <v>0</v>
      </c>
      <c r="L215" s="59">
        <v>250</v>
      </c>
      <c r="M215">
        <f t="shared" si="4"/>
        <v>1</v>
      </c>
    </row>
    <row r="216" customHeight="1" spans="1:13">
      <c r="A216" s="167">
        <v>20071</v>
      </c>
      <c r="B216" s="167">
        <v>1</v>
      </c>
      <c r="C216" s="168" t="s">
        <v>930</v>
      </c>
      <c r="D216" s="167">
        <v>0</v>
      </c>
      <c r="E216" s="167">
        <v>82000</v>
      </c>
      <c r="F216" s="167">
        <v>0</v>
      </c>
      <c r="G216" s="167">
        <v>0</v>
      </c>
      <c r="H216" s="167">
        <v>1145</v>
      </c>
      <c r="I216" s="167">
        <v>4</v>
      </c>
      <c r="J216" s="167" t="s">
        <v>927</v>
      </c>
      <c r="K216" s="171">
        <v>0</v>
      </c>
      <c r="L216" s="59">
        <v>260</v>
      </c>
      <c r="M216" t="b">
        <f t="shared" si="4"/>
        <v>0</v>
      </c>
    </row>
    <row r="217" customHeight="1" spans="1:13">
      <c r="A217" s="167">
        <v>20072</v>
      </c>
      <c r="B217" s="167">
        <v>1</v>
      </c>
      <c r="C217" s="168" t="s">
        <v>932</v>
      </c>
      <c r="D217" s="167">
        <v>0</v>
      </c>
      <c r="E217" s="167">
        <v>42000</v>
      </c>
      <c r="F217" s="167">
        <v>150</v>
      </c>
      <c r="G217" s="167">
        <v>0</v>
      </c>
      <c r="H217" s="167">
        <v>1137</v>
      </c>
      <c r="I217" s="167">
        <v>3</v>
      </c>
      <c r="J217" s="181" t="s">
        <v>921</v>
      </c>
      <c r="K217" s="171">
        <v>0</v>
      </c>
      <c r="L217" s="59">
        <v>260</v>
      </c>
      <c r="M217" t="b">
        <f t="shared" si="4"/>
        <v>0</v>
      </c>
    </row>
    <row r="218" customHeight="1" spans="1:13">
      <c r="A218" s="167">
        <v>20073</v>
      </c>
      <c r="B218" s="167">
        <v>4</v>
      </c>
      <c r="C218" s="168" t="s">
        <v>928</v>
      </c>
      <c r="D218" s="167">
        <v>1000</v>
      </c>
      <c r="E218" s="167">
        <v>5</v>
      </c>
      <c r="F218" s="167">
        <v>0</v>
      </c>
      <c r="G218" s="167">
        <v>0</v>
      </c>
      <c r="H218" s="167">
        <v>1147</v>
      </c>
      <c r="I218" s="167">
        <v>4</v>
      </c>
      <c r="J218" s="167" t="s">
        <v>926</v>
      </c>
      <c r="K218" s="171">
        <v>0</v>
      </c>
      <c r="L218" s="59">
        <v>260</v>
      </c>
      <c r="M218">
        <f t="shared" si="4"/>
        <v>1</v>
      </c>
    </row>
    <row r="219" customHeight="1" spans="1:13">
      <c r="A219" s="167">
        <v>20074</v>
      </c>
      <c r="B219" s="167">
        <v>5</v>
      </c>
      <c r="C219" s="168" t="s">
        <v>955</v>
      </c>
      <c r="D219" s="167">
        <v>0</v>
      </c>
      <c r="E219" s="167">
        <v>1</v>
      </c>
      <c r="F219" s="167">
        <v>0</v>
      </c>
      <c r="G219" s="167">
        <v>0</v>
      </c>
      <c r="H219" s="167">
        <v>1137</v>
      </c>
      <c r="I219" s="167">
        <v>2</v>
      </c>
      <c r="J219" s="167" t="s">
        <v>921</v>
      </c>
      <c r="K219" s="171">
        <v>0</v>
      </c>
      <c r="L219" s="59">
        <v>260</v>
      </c>
      <c r="M219" t="b">
        <f t="shared" si="4"/>
        <v>0</v>
      </c>
    </row>
    <row r="220" customHeight="1" spans="1:13">
      <c r="A220" s="167">
        <v>20075</v>
      </c>
      <c r="B220" s="167">
        <v>1</v>
      </c>
      <c r="C220" s="168" t="s">
        <v>930</v>
      </c>
      <c r="D220" s="167">
        <v>0</v>
      </c>
      <c r="E220" s="167">
        <v>85000</v>
      </c>
      <c r="F220" s="167">
        <v>0</v>
      </c>
      <c r="G220" s="167">
        <v>0</v>
      </c>
      <c r="H220" s="167">
        <v>1149</v>
      </c>
      <c r="I220" s="167">
        <v>4</v>
      </c>
      <c r="J220" s="167" t="s">
        <v>931</v>
      </c>
      <c r="K220" s="171">
        <v>0</v>
      </c>
      <c r="L220" s="59">
        <v>260</v>
      </c>
      <c r="M220" t="b">
        <f t="shared" si="4"/>
        <v>0</v>
      </c>
    </row>
    <row r="221" customHeight="1" spans="1:13">
      <c r="A221" s="167">
        <v>20076</v>
      </c>
      <c r="B221" s="167">
        <v>1</v>
      </c>
      <c r="C221" s="168" t="s">
        <v>932</v>
      </c>
      <c r="D221" s="167">
        <v>0</v>
      </c>
      <c r="E221" s="167">
        <v>45000</v>
      </c>
      <c r="F221" s="167">
        <v>150</v>
      </c>
      <c r="G221" s="167">
        <v>0</v>
      </c>
      <c r="H221" s="167">
        <v>1137</v>
      </c>
      <c r="I221" s="167">
        <v>3</v>
      </c>
      <c r="J221" s="181" t="s">
        <v>921</v>
      </c>
      <c r="K221" s="171">
        <v>0</v>
      </c>
      <c r="L221" s="59">
        <v>270</v>
      </c>
      <c r="M221" t="b">
        <f t="shared" si="4"/>
        <v>0</v>
      </c>
    </row>
    <row r="222" customHeight="1" spans="1:13">
      <c r="A222" s="167">
        <v>20077</v>
      </c>
      <c r="B222" s="167">
        <v>2</v>
      </c>
      <c r="C222" s="168" t="s">
        <v>925</v>
      </c>
      <c r="D222" s="167">
        <v>11012</v>
      </c>
      <c r="E222" s="167">
        <v>5</v>
      </c>
      <c r="F222" s="167">
        <v>0</v>
      </c>
      <c r="G222" s="167">
        <v>0</v>
      </c>
      <c r="H222" s="167">
        <v>1145</v>
      </c>
      <c r="I222" s="167">
        <v>4</v>
      </c>
      <c r="J222" s="167" t="s">
        <v>927</v>
      </c>
      <c r="K222" s="171">
        <v>11012</v>
      </c>
      <c r="L222" s="59">
        <v>270</v>
      </c>
      <c r="M222" t="b">
        <f t="shared" si="4"/>
        <v>0</v>
      </c>
    </row>
    <row r="223" customHeight="1" spans="1:13">
      <c r="A223" s="167">
        <v>20078</v>
      </c>
      <c r="B223" s="167">
        <v>5</v>
      </c>
      <c r="C223" s="168" t="s">
        <v>955</v>
      </c>
      <c r="D223" s="167">
        <v>0</v>
      </c>
      <c r="E223" s="167">
        <v>1</v>
      </c>
      <c r="F223" s="167">
        <v>0</v>
      </c>
      <c r="G223" s="167">
        <v>0</v>
      </c>
      <c r="H223" s="167">
        <v>1137</v>
      </c>
      <c r="I223" s="167">
        <v>2</v>
      </c>
      <c r="J223" s="167" t="s">
        <v>921</v>
      </c>
      <c r="K223" s="171">
        <v>0</v>
      </c>
      <c r="L223" s="59">
        <v>270</v>
      </c>
      <c r="M223" t="b">
        <f t="shared" si="4"/>
        <v>0</v>
      </c>
    </row>
    <row r="224" customHeight="1" spans="1:13">
      <c r="A224" s="167">
        <v>20079</v>
      </c>
      <c r="B224" s="167">
        <v>1</v>
      </c>
      <c r="C224" s="168" t="s">
        <v>930</v>
      </c>
      <c r="D224" s="167">
        <v>0</v>
      </c>
      <c r="E224" s="167">
        <v>88000</v>
      </c>
      <c r="F224" s="167">
        <v>0</v>
      </c>
      <c r="G224" s="167">
        <v>0</v>
      </c>
      <c r="H224" s="167">
        <v>1147</v>
      </c>
      <c r="I224" s="167">
        <v>4</v>
      </c>
      <c r="J224" s="167" t="s">
        <v>926</v>
      </c>
      <c r="K224" s="171">
        <v>0</v>
      </c>
      <c r="L224" s="59">
        <v>270</v>
      </c>
      <c r="M224" t="b">
        <f t="shared" si="4"/>
        <v>0</v>
      </c>
    </row>
    <row r="225" customHeight="1" spans="1:13">
      <c r="A225" s="167">
        <v>20080</v>
      </c>
      <c r="B225" s="167">
        <v>1</v>
      </c>
      <c r="C225" s="168" t="s">
        <v>932</v>
      </c>
      <c r="D225" s="167">
        <v>0</v>
      </c>
      <c r="E225" s="167">
        <v>48000</v>
      </c>
      <c r="F225" s="167">
        <v>150</v>
      </c>
      <c r="G225" s="167">
        <v>0</v>
      </c>
      <c r="H225" s="167">
        <v>1137</v>
      </c>
      <c r="I225" s="167">
        <v>3</v>
      </c>
      <c r="J225" s="181" t="s">
        <v>921</v>
      </c>
      <c r="K225" s="171">
        <v>0</v>
      </c>
      <c r="L225" s="59">
        <v>270</v>
      </c>
      <c r="M225" t="b">
        <f t="shared" si="4"/>
        <v>0</v>
      </c>
    </row>
    <row r="226" customHeight="1" spans="1:13">
      <c r="A226" s="167">
        <v>20081</v>
      </c>
      <c r="B226" s="167">
        <v>2</v>
      </c>
      <c r="C226" s="168" t="s">
        <v>925</v>
      </c>
      <c r="D226" s="167">
        <v>11013</v>
      </c>
      <c r="E226" s="167">
        <v>5</v>
      </c>
      <c r="F226" s="167">
        <v>0</v>
      </c>
      <c r="G226" s="167">
        <v>0</v>
      </c>
      <c r="H226" s="167">
        <v>1149</v>
      </c>
      <c r="I226" s="167">
        <v>4</v>
      </c>
      <c r="J226" s="167" t="s">
        <v>931</v>
      </c>
      <c r="K226" s="171">
        <v>11013</v>
      </c>
      <c r="L226" s="59">
        <v>280</v>
      </c>
      <c r="M226" t="b">
        <f t="shared" si="4"/>
        <v>0</v>
      </c>
    </row>
    <row r="227" customHeight="1" spans="1:13">
      <c r="A227" s="167">
        <v>20082</v>
      </c>
      <c r="B227" s="167">
        <v>9</v>
      </c>
      <c r="C227" s="168" t="s">
        <v>934</v>
      </c>
      <c r="D227" s="167">
        <v>0</v>
      </c>
      <c r="E227" s="167">
        <v>4000</v>
      </c>
      <c r="F227" s="167">
        <v>0</v>
      </c>
      <c r="G227" s="167">
        <v>0</v>
      </c>
      <c r="H227" s="167">
        <v>1137</v>
      </c>
      <c r="I227" s="167">
        <v>2</v>
      </c>
      <c r="J227" s="167" t="s">
        <v>921</v>
      </c>
      <c r="K227" s="171">
        <v>0</v>
      </c>
      <c r="L227" s="59">
        <v>280</v>
      </c>
      <c r="M227" t="b">
        <f t="shared" si="4"/>
        <v>0</v>
      </c>
    </row>
    <row r="228" customHeight="1" spans="1:13">
      <c r="A228" s="167">
        <v>20083</v>
      </c>
      <c r="B228" s="167">
        <v>1</v>
      </c>
      <c r="C228" s="168" t="s">
        <v>930</v>
      </c>
      <c r="D228" s="167">
        <v>0</v>
      </c>
      <c r="E228" s="167">
        <v>90000</v>
      </c>
      <c r="F228" s="167">
        <v>0</v>
      </c>
      <c r="G228" s="167">
        <v>0</v>
      </c>
      <c r="H228" s="167">
        <v>1145</v>
      </c>
      <c r="I228" s="167">
        <v>4</v>
      </c>
      <c r="J228" s="167" t="s">
        <v>927</v>
      </c>
      <c r="K228" s="171">
        <v>0</v>
      </c>
      <c r="L228" s="59">
        <v>280</v>
      </c>
      <c r="M228" t="b">
        <f t="shared" si="4"/>
        <v>0</v>
      </c>
    </row>
    <row r="229" customHeight="1" spans="1:13">
      <c r="A229" s="167">
        <v>20084</v>
      </c>
      <c r="B229" s="167">
        <v>1</v>
      </c>
      <c r="C229" s="168" t="s">
        <v>932</v>
      </c>
      <c r="D229" s="167">
        <v>0</v>
      </c>
      <c r="E229" s="167">
        <v>50000</v>
      </c>
      <c r="F229" s="167">
        <v>150</v>
      </c>
      <c r="G229" s="167">
        <v>0</v>
      </c>
      <c r="H229" s="167">
        <v>1137</v>
      </c>
      <c r="I229" s="167">
        <v>3</v>
      </c>
      <c r="J229" s="181" t="s">
        <v>921</v>
      </c>
      <c r="K229" s="171">
        <v>0</v>
      </c>
      <c r="L229" s="59">
        <v>280</v>
      </c>
      <c r="M229" t="b">
        <f t="shared" si="4"/>
        <v>0</v>
      </c>
    </row>
    <row r="230" customHeight="1" spans="1:13">
      <c r="A230" s="167">
        <v>20085</v>
      </c>
      <c r="B230" s="167">
        <v>2</v>
      </c>
      <c r="C230" s="168" t="s">
        <v>925</v>
      </c>
      <c r="D230" s="167">
        <v>11010</v>
      </c>
      <c r="E230" s="167">
        <v>6</v>
      </c>
      <c r="F230" s="167">
        <v>0</v>
      </c>
      <c r="G230" s="167">
        <v>0</v>
      </c>
      <c r="H230" s="167">
        <v>1147</v>
      </c>
      <c r="I230" s="167">
        <v>4</v>
      </c>
      <c r="J230" s="167" t="s">
        <v>926</v>
      </c>
      <c r="K230" s="171">
        <v>11010</v>
      </c>
      <c r="L230" s="59">
        <v>280</v>
      </c>
      <c r="M230" t="b">
        <f t="shared" si="4"/>
        <v>0</v>
      </c>
    </row>
    <row r="231" customHeight="1" spans="1:13">
      <c r="A231" s="167">
        <v>20086</v>
      </c>
      <c r="B231" s="167">
        <v>4</v>
      </c>
      <c r="C231" s="168" t="s">
        <v>928</v>
      </c>
      <c r="D231" s="167">
        <v>1200</v>
      </c>
      <c r="E231" s="167">
        <v>5</v>
      </c>
      <c r="F231" s="167">
        <v>0</v>
      </c>
      <c r="G231" s="167">
        <v>0</v>
      </c>
      <c r="H231" s="167">
        <v>1137</v>
      </c>
      <c r="I231" s="167">
        <v>2</v>
      </c>
      <c r="J231" s="167" t="s">
        <v>921</v>
      </c>
      <c r="K231" s="171">
        <v>0</v>
      </c>
      <c r="L231" s="59">
        <v>290</v>
      </c>
      <c r="M231">
        <f t="shared" si="4"/>
        <v>1</v>
      </c>
    </row>
    <row r="232" customHeight="1" spans="1:13">
      <c r="A232" s="167">
        <v>20087</v>
      </c>
      <c r="B232" s="167">
        <v>1</v>
      </c>
      <c r="C232" s="168" t="s">
        <v>930</v>
      </c>
      <c r="D232" s="167">
        <v>0</v>
      </c>
      <c r="E232" s="167">
        <v>100000</v>
      </c>
      <c r="F232" s="167">
        <v>0</v>
      </c>
      <c r="G232" s="167">
        <v>0</v>
      </c>
      <c r="H232" s="167">
        <v>1149</v>
      </c>
      <c r="I232" s="167">
        <v>4</v>
      </c>
      <c r="J232" s="167" t="s">
        <v>931</v>
      </c>
      <c r="K232" s="171">
        <v>0</v>
      </c>
      <c r="L232" s="59">
        <v>290</v>
      </c>
      <c r="M232" t="b">
        <f t="shared" si="4"/>
        <v>0</v>
      </c>
    </row>
    <row r="233" customHeight="1" spans="1:13">
      <c r="A233" s="167">
        <v>20088</v>
      </c>
      <c r="B233" s="167">
        <v>1</v>
      </c>
      <c r="C233" s="168" t="s">
        <v>932</v>
      </c>
      <c r="D233" s="167">
        <v>0</v>
      </c>
      <c r="E233" s="167">
        <v>52000</v>
      </c>
      <c r="F233" s="167">
        <v>150</v>
      </c>
      <c r="G233" s="167">
        <v>0</v>
      </c>
      <c r="H233" s="167">
        <v>1137</v>
      </c>
      <c r="I233" s="167">
        <v>3</v>
      </c>
      <c r="J233" s="181" t="s">
        <v>921</v>
      </c>
      <c r="K233" s="171">
        <v>0</v>
      </c>
      <c r="L233" s="59">
        <v>290</v>
      </c>
      <c r="M233" t="b">
        <f t="shared" si="4"/>
        <v>0</v>
      </c>
    </row>
    <row r="234" customHeight="1" spans="1:13">
      <c r="A234" s="167">
        <v>20089</v>
      </c>
      <c r="B234" s="167">
        <v>4</v>
      </c>
      <c r="C234" s="168" t="s">
        <v>928</v>
      </c>
      <c r="D234" s="167">
        <v>1400</v>
      </c>
      <c r="E234" s="167">
        <v>3</v>
      </c>
      <c r="F234" s="167">
        <v>0</v>
      </c>
      <c r="G234" s="167">
        <v>0</v>
      </c>
      <c r="H234" s="167">
        <v>1145</v>
      </c>
      <c r="I234" s="167">
        <v>4</v>
      </c>
      <c r="J234" s="167" t="s">
        <v>927</v>
      </c>
      <c r="K234" s="171">
        <v>0</v>
      </c>
      <c r="L234" s="59">
        <v>290</v>
      </c>
      <c r="M234">
        <f t="shared" si="4"/>
        <v>1</v>
      </c>
    </row>
    <row r="235" customHeight="1" spans="1:13">
      <c r="A235" s="167">
        <v>20090</v>
      </c>
      <c r="B235" s="167">
        <v>5</v>
      </c>
      <c r="C235" s="168" t="s">
        <v>955</v>
      </c>
      <c r="D235" s="167">
        <v>0</v>
      </c>
      <c r="E235" s="167">
        <v>1</v>
      </c>
      <c r="F235" s="167">
        <v>0</v>
      </c>
      <c r="G235" s="167">
        <v>0</v>
      </c>
      <c r="H235" s="167">
        <v>1137</v>
      </c>
      <c r="I235" s="167">
        <v>2</v>
      </c>
      <c r="J235" s="167" t="s">
        <v>921</v>
      </c>
      <c r="K235" s="171">
        <v>0</v>
      </c>
      <c r="L235" s="59">
        <v>290</v>
      </c>
      <c r="M235" t="b">
        <f t="shared" si="4"/>
        <v>0</v>
      </c>
    </row>
    <row r="236" customHeight="1" spans="1:13">
      <c r="A236" s="167">
        <v>20091</v>
      </c>
      <c r="B236" s="167">
        <v>1</v>
      </c>
      <c r="C236" s="168" t="s">
        <v>930</v>
      </c>
      <c r="D236" s="167">
        <v>0</v>
      </c>
      <c r="E236" s="167">
        <v>110000</v>
      </c>
      <c r="F236" s="167">
        <v>0</v>
      </c>
      <c r="G236" s="167">
        <v>0</v>
      </c>
      <c r="H236" s="167">
        <v>1147</v>
      </c>
      <c r="I236" s="167">
        <v>4</v>
      </c>
      <c r="J236" s="167" t="s">
        <v>926</v>
      </c>
      <c r="K236" s="171">
        <v>0</v>
      </c>
      <c r="L236" s="59">
        <v>300</v>
      </c>
      <c r="M236" t="b">
        <f t="shared" si="4"/>
        <v>0</v>
      </c>
    </row>
    <row r="237" customHeight="1" spans="1:13">
      <c r="A237" s="167">
        <v>20092</v>
      </c>
      <c r="B237" s="167">
        <v>1</v>
      </c>
      <c r="C237" s="168" t="s">
        <v>932</v>
      </c>
      <c r="D237" s="167">
        <v>0</v>
      </c>
      <c r="E237" s="167">
        <v>55000</v>
      </c>
      <c r="F237" s="167">
        <v>150</v>
      </c>
      <c r="G237" s="167">
        <v>0</v>
      </c>
      <c r="H237" s="167">
        <v>1137</v>
      </c>
      <c r="I237" s="167">
        <v>3</v>
      </c>
      <c r="J237" s="181" t="s">
        <v>921</v>
      </c>
      <c r="K237" s="171">
        <v>0</v>
      </c>
      <c r="L237" s="59">
        <v>300</v>
      </c>
      <c r="M237" t="b">
        <f t="shared" si="4"/>
        <v>0</v>
      </c>
    </row>
    <row r="238" customHeight="1" spans="1:13">
      <c r="A238" s="167">
        <v>20093</v>
      </c>
      <c r="B238" s="167">
        <v>2</v>
      </c>
      <c r="C238" s="168" t="s">
        <v>925</v>
      </c>
      <c r="D238" s="167">
        <v>11015</v>
      </c>
      <c r="E238" s="167">
        <v>5</v>
      </c>
      <c r="F238" s="167">
        <v>0</v>
      </c>
      <c r="G238" s="167">
        <v>0</v>
      </c>
      <c r="H238" s="167">
        <v>1149</v>
      </c>
      <c r="I238" s="167">
        <v>4</v>
      </c>
      <c r="J238" s="167" t="s">
        <v>931</v>
      </c>
      <c r="K238" s="171">
        <v>11015</v>
      </c>
      <c r="L238" s="59">
        <v>300</v>
      </c>
      <c r="M238" t="b">
        <f t="shared" si="4"/>
        <v>0</v>
      </c>
    </row>
    <row r="239" customHeight="1" spans="1:13">
      <c r="A239" s="167">
        <v>20094</v>
      </c>
      <c r="B239" s="167">
        <v>5</v>
      </c>
      <c r="C239" s="168" t="s">
        <v>955</v>
      </c>
      <c r="D239" s="167">
        <v>0</v>
      </c>
      <c r="E239" s="167">
        <v>1</v>
      </c>
      <c r="F239" s="167">
        <v>0</v>
      </c>
      <c r="G239" s="167">
        <v>0</v>
      </c>
      <c r="H239" s="167">
        <v>1137</v>
      </c>
      <c r="I239" s="167">
        <v>2</v>
      </c>
      <c r="J239" s="167" t="s">
        <v>921</v>
      </c>
      <c r="K239" s="171">
        <v>0</v>
      </c>
      <c r="L239" s="59">
        <v>300</v>
      </c>
      <c r="M239" t="b">
        <f t="shared" si="4"/>
        <v>0</v>
      </c>
    </row>
    <row r="240" customHeight="1" spans="1:13">
      <c r="A240" s="167">
        <v>20095</v>
      </c>
      <c r="B240" s="167">
        <v>1</v>
      </c>
      <c r="C240" s="168" t="s">
        <v>930</v>
      </c>
      <c r="D240" s="167">
        <v>0</v>
      </c>
      <c r="E240" s="167">
        <v>120000</v>
      </c>
      <c r="F240" s="167">
        <v>0</v>
      </c>
      <c r="G240" s="167">
        <v>0</v>
      </c>
      <c r="H240" s="167">
        <v>1145</v>
      </c>
      <c r="I240" s="167">
        <v>4</v>
      </c>
      <c r="J240" s="167" t="s">
        <v>927</v>
      </c>
      <c r="K240" s="171">
        <v>0</v>
      </c>
      <c r="L240" s="59">
        <v>300</v>
      </c>
      <c r="M240" t="b">
        <f t="shared" si="4"/>
        <v>0</v>
      </c>
    </row>
    <row r="241" customHeight="1" spans="1:13">
      <c r="A241" s="167">
        <v>20096</v>
      </c>
      <c r="B241" s="167">
        <v>1</v>
      </c>
      <c r="C241" s="168" t="s">
        <v>932</v>
      </c>
      <c r="D241" s="167">
        <v>0</v>
      </c>
      <c r="E241" s="167">
        <v>58000</v>
      </c>
      <c r="F241" s="167">
        <v>150</v>
      </c>
      <c r="G241" s="167">
        <v>0</v>
      </c>
      <c r="H241" s="167">
        <v>1137</v>
      </c>
      <c r="I241" s="167">
        <v>3</v>
      </c>
      <c r="J241" s="181" t="s">
        <v>921</v>
      </c>
      <c r="K241" s="171">
        <v>0</v>
      </c>
      <c r="L241" s="59">
        <v>300</v>
      </c>
      <c r="M241" t="b">
        <f t="shared" si="4"/>
        <v>0</v>
      </c>
    </row>
    <row r="242" customHeight="1" spans="1:13">
      <c r="A242" s="167">
        <v>20097</v>
      </c>
      <c r="B242" s="167">
        <v>4</v>
      </c>
      <c r="C242" s="168" t="s">
        <v>928</v>
      </c>
      <c r="D242" s="167">
        <v>700</v>
      </c>
      <c r="E242" s="167">
        <v>6</v>
      </c>
      <c r="F242" s="167">
        <v>0</v>
      </c>
      <c r="G242" s="167">
        <v>0</v>
      </c>
      <c r="H242" s="167">
        <v>1147</v>
      </c>
      <c r="I242" s="167">
        <v>4</v>
      </c>
      <c r="J242" s="167" t="s">
        <v>926</v>
      </c>
      <c r="K242" s="171">
        <v>0</v>
      </c>
      <c r="L242" s="59">
        <v>300</v>
      </c>
      <c r="M242">
        <f t="shared" si="4"/>
        <v>1</v>
      </c>
    </row>
    <row r="243" customHeight="1" spans="1:13">
      <c r="A243" s="167">
        <v>20098</v>
      </c>
      <c r="B243" s="167">
        <v>5</v>
      </c>
      <c r="C243" s="168" t="s">
        <v>955</v>
      </c>
      <c r="D243" s="167">
        <v>0</v>
      </c>
      <c r="E243" s="167">
        <v>1</v>
      </c>
      <c r="F243" s="167">
        <v>0</v>
      </c>
      <c r="G243" s="167">
        <v>0</v>
      </c>
      <c r="H243" s="167">
        <v>1137</v>
      </c>
      <c r="I243" s="167">
        <v>2</v>
      </c>
      <c r="J243" s="167" t="s">
        <v>921</v>
      </c>
      <c r="K243" s="171">
        <v>0</v>
      </c>
      <c r="L243" s="59">
        <v>300</v>
      </c>
      <c r="M243" t="b">
        <f t="shared" si="4"/>
        <v>0</v>
      </c>
    </row>
    <row r="244" customHeight="1" spans="1:13">
      <c r="A244" s="167">
        <v>20099</v>
      </c>
      <c r="B244" s="167">
        <v>1</v>
      </c>
      <c r="C244" s="168" t="s">
        <v>930</v>
      </c>
      <c r="D244" s="167">
        <v>0</v>
      </c>
      <c r="E244" s="167">
        <v>130000</v>
      </c>
      <c r="F244" s="167">
        <v>0</v>
      </c>
      <c r="G244" s="167">
        <v>0</v>
      </c>
      <c r="H244" s="167">
        <v>1149</v>
      </c>
      <c r="I244" s="167">
        <v>4</v>
      </c>
      <c r="J244" s="167" t="s">
        <v>931</v>
      </c>
      <c r="K244" s="171">
        <v>0</v>
      </c>
      <c r="L244" s="59">
        <v>300</v>
      </c>
      <c r="M244" t="b">
        <f t="shared" si="4"/>
        <v>0</v>
      </c>
    </row>
    <row r="245" customHeight="1" spans="1:13">
      <c r="A245" s="167">
        <v>20100</v>
      </c>
      <c r="B245" s="167">
        <v>1</v>
      </c>
      <c r="C245" s="168" t="s">
        <v>932</v>
      </c>
      <c r="D245" s="167">
        <v>0</v>
      </c>
      <c r="E245" s="167">
        <v>60000</v>
      </c>
      <c r="F245" s="167">
        <v>150</v>
      </c>
      <c r="G245" s="167">
        <v>0</v>
      </c>
      <c r="H245" s="167">
        <v>1137</v>
      </c>
      <c r="I245" s="167">
        <v>3</v>
      </c>
      <c r="J245" s="181" t="s">
        <v>921</v>
      </c>
      <c r="K245" s="171">
        <v>0</v>
      </c>
      <c r="L245" s="59">
        <v>300</v>
      </c>
      <c r="M245" t="b">
        <f t="shared" si="4"/>
        <v>0</v>
      </c>
    </row>
    <row r="246" customHeight="1" spans="1:13">
      <c r="A246" s="167">
        <v>21001</v>
      </c>
      <c r="B246" s="167">
        <v>2</v>
      </c>
      <c r="C246" s="168" t="s">
        <v>925</v>
      </c>
      <c r="D246" s="167">
        <v>11009</v>
      </c>
      <c r="E246" s="167">
        <v>10</v>
      </c>
      <c r="F246" s="167">
        <v>0</v>
      </c>
      <c r="G246" s="167">
        <v>0</v>
      </c>
      <c r="H246" s="167">
        <v>47002</v>
      </c>
      <c r="I246" s="167">
        <v>4</v>
      </c>
      <c r="J246" s="167" t="s">
        <v>981</v>
      </c>
      <c r="K246" s="171">
        <v>11009</v>
      </c>
      <c r="L246" s="59">
        <v>300</v>
      </c>
      <c r="M246" t="b">
        <f t="shared" si="4"/>
        <v>0</v>
      </c>
    </row>
    <row r="247" customHeight="1" spans="1:13">
      <c r="A247" s="167">
        <v>21002</v>
      </c>
      <c r="B247" s="167">
        <v>4</v>
      </c>
      <c r="C247" s="168" t="s">
        <v>928</v>
      </c>
      <c r="D247" s="167">
        <v>300</v>
      </c>
      <c r="E247" s="167">
        <v>20</v>
      </c>
      <c r="F247" s="167">
        <v>0</v>
      </c>
      <c r="G247" s="167">
        <v>0</v>
      </c>
      <c r="H247" s="167">
        <v>1137</v>
      </c>
      <c r="I247" s="167">
        <v>2</v>
      </c>
      <c r="J247" s="167" t="s">
        <v>921</v>
      </c>
      <c r="K247" s="171">
        <v>0</v>
      </c>
      <c r="L247" s="59">
        <v>300</v>
      </c>
      <c r="M247">
        <f t="shared" si="4"/>
        <v>1</v>
      </c>
    </row>
    <row r="248" customHeight="1" spans="1:13">
      <c r="A248" s="167">
        <v>21003</v>
      </c>
      <c r="B248" s="167">
        <v>1</v>
      </c>
      <c r="C248" s="168" t="s">
        <v>930</v>
      </c>
      <c r="D248" s="167">
        <v>0</v>
      </c>
      <c r="E248" s="167">
        <v>140000</v>
      </c>
      <c r="F248" s="167">
        <v>0</v>
      </c>
      <c r="G248" s="167">
        <v>0</v>
      </c>
      <c r="H248" s="167">
        <v>47002</v>
      </c>
      <c r="I248" s="167">
        <v>4</v>
      </c>
      <c r="J248" s="167" t="s">
        <v>981</v>
      </c>
      <c r="K248" s="171">
        <v>0</v>
      </c>
      <c r="L248" s="59">
        <v>300</v>
      </c>
      <c r="M248" t="b">
        <f t="shared" si="4"/>
        <v>0</v>
      </c>
    </row>
    <row r="249" customHeight="1" spans="1:13">
      <c r="A249" s="167">
        <v>21004</v>
      </c>
      <c r="B249" s="167">
        <v>1</v>
      </c>
      <c r="C249" s="168" t="s">
        <v>932</v>
      </c>
      <c r="D249" s="167">
        <v>0</v>
      </c>
      <c r="E249" s="167">
        <v>65000</v>
      </c>
      <c r="F249" s="167">
        <v>150</v>
      </c>
      <c r="G249" s="167">
        <v>0</v>
      </c>
      <c r="H249" s="167">
        <v>1137</v>
      </c>
      <c r="I249" s="167">
        <v>2</v>
      </c>
      <c r="J249" s="167" t="s">
        <v>921</v>
      </c>
      <c r="K249" s="171">
        <v>0</v>
      </c>
      <c r="L249" s="59">
        <v>300</v>
      </c>
      <c r="M249" t="b">
        <f t="shared" si="4"/>
        <v>0</v>
      </c>
    </row>
    <row r="250" customHeight="1" spans="1:13">
      <c r="A250" s="167">
        <v>21005</v>
      </c>
      <c r="B250" s="167">
        <v>2</v>
      </c>
      <c r="C250" s="168" t="s">
        <v>925</v>
      </c>
      <c r="D250" s="167">
        <v>11013</v>
      </c>
      <c r="E250" s="167">
        <v>5</v>
      </c>
      <c r="F250" s="167">
        <v>0</v>
      </c>
      <c r="G250" s="167">
        <v>0</v>
      </c>
      <c r="H250" s="167">
        <v>47002</v>
      </c>
      <c r="I250" s="167">
        <v>4</v>
      </c>
      <c r="J250" s="167" t="s">
        <v>981</v>
      </c>
      <c r="K250" s="171">
        <v>11013</v>
      </c>
      <c r="L250" s="59">
        <v>300</v>
      </c>
      <c r="M250" t="b">
        <f t="shared" si="4"/>
        <v>0</v>
      </c>
    </row>
    <row r="251" customHeight="1" spans="1:13">
      <c r="A251" s="167">
        <v>21006</v>
      </c>
      <c r="B251" s="167">
        <v>5</v>
      </c>
      <c r="C251" s="168" t="s">
        <v>955</v>
      </c>
      <c r="D251" s="167">
        <v>0</v>
      </c>
      <c r="E251" s="167">
        <v>1</v>
      </c>
      <c r="F251" s="167">
        <v>0</v>
      </c>
      <c r="G251" s="167">
        <v>0</v>
      </c>
      <c r="H251" s="167">
        <v>1137</v>
      </c>
      <c r="I251" s="167">
        <v>2</v>
      </c>
      <c r="J251" s="167" t="s">
        <v>921</v>
      </c>
      <c r="K251" s="171">
        <v>0</v>
      </c>
      <c r="L251" s="59">
        <v>300</v>
      </c>
      <c r="M251" t="b">
        <f t="shared" si="4"/>
        <v>0</v>
      </c>
    </row>
    <row r="252" customHeight="1" spans="1:13">
      <c r="A252" s="167">
        <v>21007</v>
      </c>
      <c r="B252" s="167">
        <v>1</v>
      </c>
      <c r="C252" s="168" t="s">
        <v>930</v>
      </c>
      <c r="D252" s="167">
        <v>0</v>
      </c>
      <c r="E252" s="167">
        <v>140000</v>
      </c>
      <c r="F252" s="167">
        <v>0</v>
      </c>
      <c r="G252" s="167">
        <v>0</v>
      </c>
      <c r="H252" s="167">
        <v>47002</v>
      </c>
      <c r="I252" s="167">
        <v>4</v>
      </c>
      <c r="J252" s="167" t="s">
        <v>981</v>
      </c>
      <c r="K252" s="171">
        <v>0</v>
      </c>
      <c r="L252" s="59">
        <v>300</v>
      </c>
      <c r="M252" t="b">
        <f t="shared" si="4"/>
        <v>0</v>
      </c>
    </row>
    <row r="253" customHeight="1" spans="1:13">
      <c r="A253" s="167">
        <v>21008</v>
      </c>
      <c r="B253" s="167">
        <v>1</v>
      </c>
      <c r="C253" s="168" t="s">
        <v>932</v>
      </c>
      <c r="D253" s="167">
        <v>0</v>
      </c>
      <c r="E253" s="167">
        <v>65000</v>
      </c>
      <c r="F253" s="167">
        <v>150</v>
      </c>
      <c r="G253" s="167">
        <v>0</v>
      </c>
      <c r="H253" s="167">
        <v>1137</v>
      </c>
      <c r="I253" s="167">
        <v>2</v>
      </c>
      <c r="J253" s="167" t="s">
        <v>921</v>
      </c>
      <c r="K253" s="171">
        <v>0</v>
      </c>
      <c r="L253" s="59">
        <v>300</v>
      </c>
      <c r="M253" t="b">
        <f t="shared" si="4"/>
        <v>0</v>
      </c>
    </row>
    <row r="254" customHeight="1" spans="1:13">
      <c r="A254" s="167">
        <v>21009</v>
      </c>
      <c r="B254" s="167">
        <v>2</v>
      </c>
      <c r="C254" s="168" t="s">
        <v>925</v>
      </c>
      <c r="D254" s="167">
        <v>11012</v>
      </c>
      <c r="E254" s="167">
        <v>5</v>
      </c>
      <c r="F254" s="167">
        <v>0</v>
      </c>
      <c r="G254" s="167">
        <v>0</v>
      </c>
      <c r="H254" s="167">
        <v>47002</v>
      </c>
      <c r="I254" s="167">
        <v>4</v>
      </c>
      <c r="J254" s="167" t="s">
        <v>981</v>
      </c>
      <c r="K254" s="171">
        <v>11012</v>
      </c>
      <c r="L254" s="59">
        <v>300</v>
      </c>
      <c r="M254" t="b">
        <f t="shared" si="4"/>
        <v>0</v>
      </c>
    </row>
    <row r="255" customHeight="1" spans="1:13">
      <c r="A255" s="167">
        <v>21010</v>
      </c>
      <c r="B255" s="167">
        <v>9</v>
      </c>
      <c r="C255" s="168" t="s">
        <v>934</v>
      </c>
      <c r="D255" s="167">
        <v>0</v>
      </c>
      <c r="E255" s="167">
        <v>4500</v>
      </c>
      <c r="F255" s="167">
        <v>0</v>
      </c>
      <c r="G255" s="167">
        <v>0</v>
      </c>
      <c r="H255" s="167">
        <v>1137</v>
      </c>
      <c r="I255" s="167">
        <v>2</v>
      </c>
      <c r="J255" s="167" t="s">
        <v>921</v>
      </c>
      <c r="K255" s="171">
        <v>0</v>
      </c>
      <c r="L255" s="59">
        <v>300</v>
      </c>
      <c r="M255" t="b">
        <f t="shared" si="4"/>
        <v>0</v>
      </c>
    </row>
    <row r="256" customHeight="1" spans="1:13">
      <c r="A256" s="167">
        <v>21011</v>
      </c>
      <c r="B256" s="167">
        <v>1</v>
      </c>
      <c r="C256" s="168" t="s">
        <v>930</v>
      </c>
      <c r="D256" s="167">
        <v>0</v>
      </c>
      <c r="E256" s="167">
        <v>140000</v>
      </c>
      <c r="F256" s="167">
        <v>0</v>
      </c>
      <c r="G256" s="167">
        <v>0</v>
      </c>
      <c r="H256" s="167">
        <v>47002</v>
      </c>
      <c r="I256" s="167">
        <v>4</v>
      </c>
      <c r="J256" s="167" t="s">
        <v>981</v>
      </c>
      <c r="K256" s="171">
        <v>0</v>
      </c>
      <c r="L256" s="59">
        <v>300</v>
      </c>
      <c r="M256" t="b">
        <f t="shared" si="4"/>
        <v>0</v>
      </c>
    </row>
    <row r="257" customHeight="1" spans="1:13">
      <c r="A257" s="167">
        <v>21012</v>
      </c>
      <c r="B257" s="167">
        <v>1</v>
      </c>
      <c r="C257" s="168" t="s">
        <v>932</v>
      </c>
      <c r="D257" s="167">
        <v>0</v>
      </c>
      <c r="E257" s="167">
        <v>65000</v>
      </c>
      <c r="F257" s="167">
        <v>150</v>
      </c>
      <c r="G257" s="167">
        <v>0</v>
      </c>
      <c r="H257" s="167">
        <v>1137</v>
      </c>
      <c r="I257" s="167">
        <v>2</v>
      </c>
      <c r="J257" s="167" t="s">
        <v>921</v>
      </c>
      <c r="K257" s="171">
        <v>0</v>
      </c>
      <c r="L257" s="59">
        <v>300</v>
      </c>
      <c r="M257" t="b">
        <f t="shared" si="4"/>
        <v>0</v>
      </c>
    </row>
    <row r="258" customHeight="1" spans="1:13">
      <c r="A258" s="167">
        <v>21013</v>
      </c>
      <c r="B258" s="167">
        <v>2</v>
      </c>
      <c r="C258" s="168" t="s">
        <v>925</v>
      </c>
      <c r="D258" s="167">
        <v>11010</v>
      </c>
      <c r="E258" s="167">
        <v>5</v>
      </c>
      <c r="F258" s="167">
        <v>0</v>
      </c>
      <c r="G258" s="167">
        <v>0</v>
      </c>
      <c r="H258" s="167">
        <v>47002</v>
      </c>
      <c r="I258" s="167">
        <v>4</v>
      </c>
      <c r="J258" s="167" t="s">
        <v>981</v>
      </c>
      <c r="K258" s="171">
        <v>11010</v>
      </c>
      <c r="L258" s="59">
        <v>300</v>
      </c>
      <c r="M258" t="b">
        <f t="shared" ref="M258:M321" si="5">IF(D258&lt;&gt;K258,1)</f>
        <v>0</v>
      </c>
    </row>
    <row r="259" customHeight="1" spans="1:13">
      <c r="A259" s="167">
        <v>21014</v>
      </c>
      <c r="B259" s="167">
        <v>4</v>
      </c>
      <c r="C259" s="168" t="s">
        <v>928</v>
      </c>
      <c r="D259" s="167">
        <v>500</v>
      </c>
      <c r="E259" s="167">
        <v>20</v>
      </c>
      <c r="F259" s="167">
        <v>0</v>
      </c>
      <c r="G259" s="167">
        <v>0</v>
      </c>
      <c r="H259" s="167">
        <v>1137</v>
      </c>
      <c r="I259" s="167">
        <v>2</v>
      </c>
      <c r="J259" s="167" t="s">
        <v>921</v>
      </c>
      <c r="K259" s="171">
        <v>0</v>
      </c>
      <c r="L259" s="59">
        <v>300</v>
      </c>
      <c r="M259">
        <f t="shared" si="5"/>
        <v>1</v>
      </c>
    </row>
    <row r="260" customHeight="1" spans="1:13">
      <c r="A260" s="167">
        <v>21015</v>
      </c>
      <c r="B260" s="167">
        <v>1</v>
      </c>
      <c r="C260" s="168" t="s">
        <v>930</v>
      </c>
      <c r="D260" s="167">
        <v>0</v>
      </c>
      <c r="E260" s="167">
        <v>140000</v>
      </c>
      <c r="F260" s="167">
        <v>0</v>
      </c>
      <c r="G260" s="167">
        <v>0</v>
      </c>
      <c r="H260" s="167">
        <v>47002</v>
      </c>
      <c r="I260" s="167">
        <v>4</v>
      </c>
      <c r="J260" s="167" t="s">
        <v>981</v>
      </c>
      <c r="K260" s="171">
        <v>0</v>
      </c>
      <c r="L260" s="59">
        <v>300</v>
      </c>
      <c r="M260" t="b">
        <f t="shared" si="5"/>
        <v>0</v>
      </c>
    </row>
    <row r="261" customHeight="1" spans="1:13">
      <c r="A261" s="167">
        <v>21016</v>
      </c>
      <c r="B261" s="167">
        <v>1</v>
      </c>
      <c r="C261" s="168" t="s">
        <v>932</v>
      </c>
      <c r="D261" s="167">
        <v>0</v>
      </c>
      <c r="E261" s="167">
        <v>65000</v>
      </c>
      <c r="F261" s="167">
        <v>150</v>
      </c>
      <c r="G261" s="167">
        <v>0</v>
      </c>
      <c r="H261" s="167">
        <v>1137</v>
      </c>
      <c r="I261" s="167">
        <v>2</v>
      </c>
      <c r="J261" s="167" t="s">
        <v>921</v>
      </c>
      <c r="K261" s="171">
        <v>0</v>
      </c>
      <c r="L261" s="59">
        <v>300</v>
      </c>
      <c r="M261" t="b">
        <f t="shared" si="5"/>
        <v>0</v>
      </c>
    </row>
    <row r="262" customHeight="1" spans="1:13">
      <c r="A262" s="167">
        <v>21017</v>
      </c>
      <c r="B262" s="167">
        <v>2</v>
      </c>
      <c r="C262" s="168" t="s">
        <v>925</v>
      </c>
      <c r="D262" s="167">
        <v>11015</v>
      </c>
      <c r="E262" s="167">
        <v>5</v>
      </c>
      <c r="F262" s="167">
        <v>0</v>
      </c>
      <c r="G262" s="167">
        <v>0</v>
      </c>
      <c r="H262" s="167">
        <v>47002</v>
      </c>
      <c r="I262" s="167">
        <v>4</v>
      </c>
      <c r="J262" s="167" t="s">
        <v>981</v>
      </c>
      <c r="K262" s="171">
        <v>11015</v>
      </c>
      <c r="L262" s="59">
        <v>300</v>
      </c>
      <c r="M262" t="b">
        <f t="shared" si="5"/>
        <v>0</v>
      </c>
    </row>
    <row r="263" customHeight="1" spans="1:13">
      <c r="A263" s="167">
        <v>21018</v>
      </c>
      <c r="B263" s="167">
        <v>5</v>
      </c>
      <c r="C263" s="168" t="s">
        <v>955</v>
      </c>
      <c r="D263" s="167">
        <v>0</v>
      </c>
      <c r="E263" s="167">
        <v>1</v>
      </c>
      <c r="F263" s="167">
        <v>0</v>
      </c>
      <c r="G263" s="167">
        <v>0</v>
      </c>
      <c r="H263" s="167">
        <v>1137</v>
      </c>
      <c r="I263" s="167">
        <v>2</v>
      </c>
      <c r="J263" s="167" t="s">
        <v>921</v>
      </c>
      <c r="K263" s="171">
        <v>0</v>
      </c>
      <c r="L263" s="59">
        <v>300</v>
      </c>
      <c r="M263" t="b">
        <f t="shared" si="5"/>
        <v>0</v>
      </c>
    </row>
    <row r="264" customHeight="1" spans="1:13">
      <c r="A264" s="167">
        <v>21019</v>
      </c>
      <c r="B264" s="167">
        <v>1</v>
      </c>
      <c r="C264" s="168" t="s">
        <v>930</v>
      </c>
      <c r="D264" s="167">
        <v>0</v>
      </c>
      <c r="E264" s="167">
        <v>140000</v>
      </c>
      <c r="F264" s="167">
        <v>0</v>
      </c>
      <c r="G264" s="167">
        <v>0</v>
      </c>
      <c r="H264" s="167">
        <v>47002</v>
      </c>
      <c r="I264" s="167">
        <v>4</v>
      </c>
      <c r="J264" s="167" t="s">
        <v>981</v>
      </c>
      <c r="K264" s="171">
        <v>0</v>
      </c>
      <c r="L264" s="59">
        <v>300</v>
      </c>
      <c r="M264" t="b">
        <f t="shared" si="5"/>
        <v>0</v>
      </c>
    </row>
    <row r="265" customHeight="1" spans="1:13">
      <c r="A265" s="167">
        <v>21020</v>
      </c>
      <c r="B265" s="167">
        <v>1</v>
      </c>
      <c r="C265" s="168" t="s">
        <v>932</v>
      </c>
      <c r="D265" s="167">
        <v>0</v>
      </c>
      <c r="E265" s="167">
        <v>65000</v>
      </c>
      <c r="F265" s="167">
        <v>150</v>
      </c>
      <c r="G265" s="167">
        <v>0</v>
      </c>
      <c r="H265" s="167">
        <v>1137</v>
      </c>
      <c r="I265" s="167">
        <v>2</v>
      </c>
      <c r="J265" s="167" t="s">
        <v>921</v>
      </c>
      <c r="K265" s="171">
        <v>0</v>
      </c>
      <c r="L265" s="59">
        <v>300</v>
      </c>
      <c r="M265" t="b">
        <f t="shared" si="5"/>
        <v>0</v>
      </c>
    </row>
    <row r="266" customHeight="1" spans="1:13">
      <c r="A266" s="167">
        <v>21021</v>
      </c>
      <c r="B266" s="167">
        <v>2</v>
      </c>
      <c r="C266" s="168" t="s">
        <v>925</v>
      </c>
      <c r="D266" s="167">
        <v>11018</v>
      </c>
      <c r="E266" s="167">
        <v>1</v>
      </c>
      <c r="F266" s="167">
        <v>0</v>
      </c>
      <c r="G266" s="167">
        <v>0</v>
      </c>
      <c r="H266" s="167">
        <v>47002</v>
      </c>
      <c r="I266" s="167">
        <v>4</v>
      </c>
      <c r="J266" s="167" t="s">
        <v>981</v>
      </c>
      <c r="K266" s="171">
        <v>11018</v>
      </c>
      <c r="L266" s="59">
        <v>300</v>
      </c>
      <c r="M266" t="b">
        <f t="shared" si="5"/>
        <v>0</v>
      </c>
    </row>
    <row r="267" customHeight="1" spans="1:13">
      <c r="A267" s="167">
        <v>21022</v>
      </c>
      <c r="B267" s="167">
        <v>9</v>
      </c>
      <c r="C267" s="168" t="s">
        <v>934</v>
      </c>
      <c r="D267" s="167">
        <v>0</v>
      </c>
      <c r="E267" s="167">
        <v>4500</v>
      </c>
      <c r="F267" s="167">
        <v>0</v>
      </c>
      <c r="G267" s="167">
        <v>0</v>
      </c>
      <c r="H267" s="167">
        <v>1137</v>
      </c>
      <c r="I267" s="167">
        <v>2</v>
      </c>
      <c r="J267" s="167" t="s">
        <v>921</v>
      </c>
      <c r="K267" s="171">
        <v>0</v>
      </c>
      <c r="L267" s="59">
        <v>300</v>
      </c>
      <c r="M267" t="b">
        <f t="shared" si="5"/>
        <v>0</v>
      </c>
    </row>
    <row r="268" customHeight="1" spans="1:13">
      <c r="A268" s="167">
        <v>21023</v>
      </c>
      <c r="B268" s="167">
        <v>1</v>
      </c>
      <c r="C268" s="168" t="s">
        <v>930</v>
      </c>
      <c r="D268" s="167">
        <v>0</v>
      </c>
      <c r="E268" s="167">
        <v>140000</v>
      </c>
      <c r="F268" s="167">
        <v>0</v>
      </c>
      <c r="G268" s="167">
        <v>0</v>
      </c>
      <c r="H268" s="167">
        <v>47002</v>
      </c>
      <c r="I268" s="167">
        <v>4</v>
      </c>
      <c r="J268" s="167" t="s">
        <v>981</v>
      </c>
      <c r="K268" s="171">
        <v>0</v>
      </c>
      <c r="L268" s="59">
        <v>300</v>
      </c>
      <c r="M268" t="b">
        <f t="shared" si="5"/>
        <v>0</v>
      </c>
    </row>
    <row r="269" customHeight="1" spans="1:13">
      <c r="A269" s="167">
        <v>21024</v>
      </c>
      <c r="B269" s="167">
        <v>1</v>
      </c>
      <c r="C269" s="168" t="s">
        <v>932</v>
      </c>
      <c r="D269" s="167">
        <v>0</v>
      </c>
      <c r="E269" s="167">
        <v>65000</v>
      </c>
      <c r="F269" s="167">
        <v>150</v>
      </c>
      <c r="G269" s="167">
        <v>0</v>
      </c>
      <c r="H269" s="167">
        <v>1137</v>
      </c>
      <c r="I269" s="167">
        <v>2</v>
      </c>
      <c r="J269" s="167" t="s">
        <v>921</v>
      </c>
      <c r="K269" s="171">
        <v>0</v>
      </c>
      <c r="L269" s="59">
        <v>300</v>
      </c>
      <c r="M269" t="b">
        <f t="shared" si="5"/>
        <v>0</v>
      </c>
    </row>
    <row r="270" customHeight="1" spans="1:13">
      <c r="A270" s="167">
        <v>21025</v>
      </c>
      <c r="B270" s="167">
        <v>2</v>
      </c>
      <c r="C270" s="168" t="s">
        <v>925</v>
      </c>
      <c r="D270" s="167">
        <v>11017</v>
      </c>
      <c r="E270" s="167">
        <v>3</v>
      </c>
      <c r="F270" s="167">
        <v>0</v>
      </c>
      <c r="G270" s="167">
        <v>0</v>
      </c>
      <c r="H270" s="167">
        <v>47002</v>
      </c>
      <c r="I270" s="167">
        <v>4</v>
      </c>
      <c r="J270" s="167" t="s">
        <v>981</v>
      </c>
      <c r="K270" s="171">
        <v>11017</v>
      </c>
      <c r="L270" s="59">
        <v>300</v>
      </c>
      <c r="M270" t="b">
        <f t="shared" si="5"/>
        <v>0</v>
      </c>
    </row>
    <row r="271" customHeight="1" spans="1:13">
      <c r="A271" s="167">
        <v>21026</v>
      </c>
      <c r="B271" s="167">
        <v>4</v>
      </c>
      <c r="C271" s="168" t="s">
        <v>928</v>
      </c>
      <c r="D271" s="167">
        <v>800</v>
      </c>
      <c r="E271" s="167">
        <v>15</v>
      </c>
      <c r="F271" s="167">
        <v>0</v>
      </c>
      <c r="G271" s="167">
        <v>0</v>
      </c>
      <c r="H271" s="167">
        <v>1137</v>
      </c>
      <c r="I271" s="167">
        <v>2</v>
      </c>
      <c r="J271" s="167" t="s">
        <v>921</v>
      </c>
      <c r="K271" s="171">
        <v>0</v>
      </c>
      <c r="L271" s="59">
        <v>300</v>
      </c>
      <c r="M271">
        <f t="shared" si="5"/>
        <v>1</v>
      </c>
    </row>
    <row r="272" customHeight="1" spans="1:13">
      <c r="A272" s="167">
        <v>21027</v>
      </c>
      <c r="B272" s="167">
        <v>1</v>
      </c>
      <c r="C272" s="168" t="s">
        <v>930</v>
      </c>
      <c r="D272" s="167">
        <v>0</v>
      </c>
      <c r="E272" s="167">
        <v>140000</v>
      </c>
      <c r="F272" s="167">
        <v>0</v>
      </c>
      <c r="G272" s="167">
        <v>0</v>
      </c>
      <c r="H272" s="167">
        <v>47002</v>
      </c>
      <c r="I272" s="167">
        <v>4</v>
      </c>
      <c r="J272" s="167" t="s">
        <v>981</v>
      </c>
      <c r="K272" s="171">
        <v>0</v>
      </c>
      <c r="L272" s="59">
        <v>300</v>
      </c>
      <c r="M272" t="b">
        <f t="shared" si="5"/>
        <v>0</v>
      </c>
    </row>
    <row r="273" customHeight="1" spans="1:13">
      <c r="A273" s="167">
        <v>21028</v>
      </c>
      <c r="B273" s="167">
        <v>1</v>
      </c>
      <c r="C273" s="168" t="s">
        <v>932</v>
      </c>
      <c r="D273" s="167">
        <v>0</v>
      </c>
      <c r="E273" s="167">
        <v>65000</v>
      </c>
      <c r="F273" s="167">
        <v>150</v>
      </c>
      <c r="G273" s="167">
        <v>0</v>
      </c>
      <c r="H273" s="167">
        <v>1137</v>
      </c>
      <c r="I273" s="167">
        <v>2</v>
      </c>
      <c r="J273" s="167" t="s">
        <v>921</v>
      </c>
      <c r="K273" s="171">
        <v>0</v>
      </c>
      <c r="L273" s="59">
        <v>300</v>
      </c>
      <c r="M273" t="b">
        <f t="shared" si="5"/>
        <v>0</v>
      </c>
    </row>
    <row r="274" customHeight="1" spans="1:13">
      <c r="A274" s="167">
        <v>21029</v>
      </c>
      <c r="B274" s="167">
        <v>2</v>
      </c>
      <c r="C274" s="168" t="s">
        <v>925</v>
      </c>
      <c r="D274" s="167">
        <v>11012</v>
      </c>
      <c r="E274" s="167">
        <v>5</v>
      </c>
      <c r="F274" s="167">
        <v>0</v>
      </c>
      <c r="G274" s="167">
        <v>0</v>
      </c>
      <c r="H274" s="167">
        <v>47002</v>
      </c>
      <c r="I274" s="167">
        <v>4</v>
      </c>
      <c r="J274" s="167" t="s">
        <v>981</v>
      </c>
      <c r="K274" s="171">
        <v>11012</v>
      </c>
      <c r="L274" s="59">
        <v>300</v>
      </c>
      <c r="M274" t="b">
        <f t="shared" si="5"/>
        <v>0</v>
      </c>
    </row>
    <row r="275" customHeight="1" spans="1:13">
      <c r="A275" s="167">
        <v>21030</v>
      </c>
      <c r="B275" s="167">
        <v>5</v>
      </c>
      <c r="C275" s="168" t="s">
        <v>955</v>
      </c>
      <c r="D275" s="167">
        <v>0</v>
      </c>
      <c r="E275" s="167">
        <v>1</v>
      </c>
      <c r="F275" s="167">
        <v>0</v>
      </c>
      <c r="G275" s="167">
        <v>0</v>
      </c>
      <c r="H275" s="167">
        <v>1137</v>
      </c>
      <c r="I275" s="167">
        <v>2</v>
      </c>
      <c r="J275" s="167" t="s">
        <v>921</v>
      </c>
      <c r="K275" s="171">
        <v>0</v>
      </c>
      <c r="L275" s="59">
        <v>300</v>
      </c>
      <c r="M275" t="b">
        <f t="shared" si="5"/>
        <v>0</v>
      </c>
    </row>
    <row r="276" customHeight="1" spans="1:13">
      <c r="A276" s="167">
        <v>21031</v>
      </c>
      <c r="B276" s="167">
        <v>1</v>
      </c>
      <c r="C276" s="168" t="s">
        <v>930</v>
      </c>
      <c r="D276" s="167">
        <v>0</v>
      </c>
      <c r="E276" s="167">
        <v>140000</v>
      </c>
      <c r="F276" s="167">
        <v>0</v>
      </c>
      <c r="G276" s="167">
        <v>0</v>
      </c>
      <c r="H276" s="167">
        <v>47002</v>
      </c>
      <c r="I276" s="167">
        <v>4</v>
      </c>
      <c r="J276" s="167" t="s">
        <v>981</v>
      </c>
      <c r="K276" s="171">
        <v>0</v>
      </c>
      <c r="L276" s="59">
        <v>300</v>
      </c>
      <c r="M276" t="b">
        <f t="shared" si="5"/>
        <v>0</v>
      </c>
    </row>
    <row r="277" customHeight="1" spans="1:13">
      <c r="A277" s="167">
        <v>21032</v>
      </c>
      <c r="B277" s="167">
        <v>1</v>
      </c>
      <c r="C277" s="168" t="s">
        <v>932</v>
      </c>
      <c r="D277" s="167">
        <v>0</v>
      </c>
      <c r="E277" s="167">
        <v>65000</v>
      </c>
      <c r="F277" s="167">
        <v>150</v>
      </c>
      <c r="G277" s="167">
        <v>0</v>
      </c>
      <c r="H277" s="167">
        <v>1137</v>
      </c>
      <c r="I277" s="167">
        <v>2</v>
      </c>
      <c r="J277" s="167" t="s">
        <v>921</v>
      </c>
      <c r="K277" s="171">
        <v>0</v>
      </c>
      <c r="L277" s="59">
        <v>300</v>
      </c>
      <c r="M277" t="b">
        <f t="shared" si="5"/>
        <v>0</v>
      </c>
    </row>
    <row r="278" customHeight="1" spans="1:13">
      <c r="A278" s="167">
        <v>21033</v>
      </c>
      <c r="B278" s="167">
        <v>2</v>
      </c>
      <c r="C278" s="168" t="s">
        <v>925</v>
      </c>
      <c r="D278" s="167">
        <v>11009</v>
      </c>
      <c r="E278" s="167">
        <v>10</v>
      </c>
      <c r="F278" s="167">
        <v>0</v>
      </c>
      <c r="G278" s="167">
        <v>0</v>
      </c>
      <c r="H278" s="167">
        <v>47002</v>
      </c>
      <c r="I278" s="167">
        <v>4</v>
      </c>
      <c r="J278" s="167" t="s">
        <v>981</v>
      </c>
      <c r="K278" s="171">
        <v>11009</v>
      </c>
      <c r="L278" s="59">
        <v>300</v>
      </c>
      <c r="M278" t="b">
        <f t="shared" si="5"/>
        <v>0</v>
      </c>
    </row>
    <row r="279" customHeight="1" spans="1:13">
      <c r="A279" s="167">
        <v>21034</v>
      </c>
      <c r="B279" s="167">
        <v>9</v>
      </c>
      <c r="C279" s="168" t="s">
        <v>934</v>
      </c>
      <c r="D279" s="167">
        <v>0</v>
      </c>
      <c r="E279" s="167">
        <v>4500</v>
      </c>
      <c r="F279" s="167">
        <v>0</v>
      </c>
      <c r="G279" s="167">
        <v>0</v>
      </c>
      <c r="H279" s="167">
        <v>1137</v>
      </c>
      <c r="I279" s="167">
        <v>2</v>
      </c>
      <c r="J279" s="167" t="s">
        <v>921</v>
      </c>
      <c r="K279" s="171">
        <v>0</v>
      </c>
      <c r="L279" s="59">
        <v>300</v>
      </c>
      <c r="M279" t="b">
        <f t="shared" si="5"/>
        <v>0</v>
      </c>
    </row>
    <row r="280" customHeight="1" spans="1:13">
      <c r="A280" s="167">
        <v>21035</v>
      </c>
      <c r="B280" s="167">
        <v>1</v>
      </c>
      <c r="C280" s="168" t="s">
        <v>930</v>
      </c>
      <c r="D280" s="167">
        <v>0</v>
      </c>
      <c r="E280" s="167">
        <v>140000</v>
      </c>
      <c r="F280" s="167">
        <v>0</v>
      </c>
      <c r="G280" s="167">
        <v>0</v>
      </c>
      <c r="H280" s="167">
        <v>47002</v>
      </c>
      <c r="I280" s="167">
        <v>4</v>
      </c>
      <c r="J280" s="167" t="s">
        <v>981</v>
      </c>
      <c r="K280" s="171">
        <v>0</v>
      </c>
      <c r="L280" s="59">
        <v>300</v>
      </c>
      <c r="M280" t="b">
        <f t="shared" si="5"/>
        <v>0</v>
      </c>
    </row>
    <row r="281" customHeight="1" spans="1:13">
      <c r="A281" s="167">
        <v>21036</v>
      </c>
      <c r="B281" s="167">
        <v>1</v>
      </c>
      <c r="C281" s="168" t="s">
        <v>932</v>
      </c>
      <c r="D281" s="167">
        <v>0</v>
      </c>
      <c r="E281" s="167">
        <v>65000</v>
      </c>
      <c r="F281" s="167">
        <v>150</v>
      </c>
      <c r="G281" s="167">
        <v>0</v>
      </c>
      <c r="H281" s="167">
        <v>1137</v>
      </c>
      <c r="I281" s="167">
        <v>2</v>
      </c>
      <c r="J281" s="167" t="s">
        <v>921</v>
      </c>
      <c r="K281" s="171">
        <v>0</v>
      </c>
      <c r="L281" s="59">
        <v>300</v>
      </c>
      <c r="M281" t="b">
        <f t="shared" si="5"/>
        <v>0</v>
      </c>
    </row>
    <row r="282" customHeight="1" spans="1:13">
      <c r="A282" s="167">
        <v>21037</v>
      </c>
      <c r="B282" s="167">
        <v>2</v>
      </c>
      <c r="C282" s="168" t="s">
        <v>925</v>
      </c>
      <c r="D282" s="167">
        <v>11008</v>
      </c>
      <c r="E282" s="167">
        <v>15</v>
      </c>
      <c r="F282" s="167">
        <v>0</v>
      </c>
      <c r="G282" s="167">
        <v>0</v>
      </c>
      <c r="H282" s="167">
        <v>47002</v>
      </c>
      <c r="I282" s="167">
        <v>4</v>
      </c>
      <c r="J282" s="167" t="s">
        <v>981</v>
      </c>
      <c r="K282" s="171">
        <v>11008</v>
      </c>
      <c r="L282" s="59">
        <v>300</v>
      </c>
      <c r="M282" t="b">
        <f t="shared" si="5"/>
        <v>0</v>
      </c>
    </row>
    <row r="283" customHeight="1" spans="1:13">
      <c r="A283" s="167">
        <v>21038</v>
      </c>
      <c r="B283" s="167">
        <v>4</v>
      </c>
      <c r="C283" s="168" t="s">
        <v>928</v>
      </c>
      <c r="D283" s="167">
        <v>300</v>
      </c>
      <c r="E283" s="167">
        <v>30</v>
      </c>
      <c r="F283" s="167">
        <v>0</v>
      </c>
      <c r="G283" s="167">
        <v>0</v>
      </c>
      <c r="H283" s="167">
        <v>1137</v>
      </c>
      <c r="I283" s="167">
        <v>2</v>
      </c>
      <c r="J283" s="167" t="s">
        <v>921</v>
      </c>
      <c r="K283" s="171">
        <v>0</v>
      </c>
      <c r="L283" s="59">
        <v>300</v>
      </c>
      <c r="M283">
        <f t="shared" si="5"/>
        <v>1</v>
      </c>
    </row>
    <row r="284" customHeight="1" spans="1:13">
      <c r="A284" s="167">
        <v>21039</v>
      </c>
      <c r="B284" s="167">
        <v>1</v>
      </c>
      <c r="C284" s="168" t="s">
        <v>930</v>
      </c>
      <c r="D284" s="167">
        <v>0</v>
      </c>
      <c r="E284" s="167">
        <v>140000</v>
      </c>
      <c r="F284" s="167">
        <v>0</v>
      </c>
      <c r="G284" s="167">
        <v>0</v>
      </c>
      <c r="H284" s="167">
        <v>47002</v>
      </c>
      <c r="I284" s="167">
        <v>4</v>
      </c>
      <c r="J284" s="167" t="s">
        <v>981</v>
      </c>
      <c r="K284" s="171">
        <v>0</v>
      </c>
      <c r="L284" s="59">
        <v>300</v>
      </c>
      <c r="M284" t="b">
        <f t="shared" si="5"/>
        <v>0</v>
      </c>
    </row>
    <row r="285" customHeight="1" spans="1:13">
      <c r="A285" s="167">
        <v>21040</v>
      </c>
      <c r="B285" s="167">
        <v>1</v>
      </c>
      <c r="C285" s="168" t="s">
        <v>932</v>
      </c>
      <c r="D285" s="167">
        <v>0</v>
      </c>
      <c r="E285" s="167">
        <v>65000</v>
      </c>
      <c r="F285" s="167">
        <v>150</v>
      </c>
      <c r="G285" s="167">
        <v>0</v>
      </c>
      <c r="H285" s="167">
        <v>1137</v>
      </c>
      <c r="I285" s="167">
        <v>2</v>
      </c>
      <c r="J285" s="167" t="s">
        <v>921</v>
      </c>
      <c r="K285" s="171">
        <v>0</v>
      </c>
      <c r="L285" s="59">
        <v>300</v>
      </c>
      <c r="M285" t="b">
        <f t="shared" si="5"/>
        <v>0</v>
      </c>
    </row>
    <row r="286" customHeight="1" spans="1:13">
      <c r="A286" s="177">
        <v>22001</v>
      </c>
      <c r="B286" s="177">
        <v>2</v>
      </c>
      <c r="C286" s="178" t="s">
        <v>925</v>
      </c>
      <c r="D286" s="177">
        <v>11010</v>
      </c>
      <c r="E286" s="177">
        <v>12</v>
      </c>
      <c r="F286" s="177">
        <v>0</v>
      </c>
      <c r="G286" s="177">
        <v>0</v>
      </c>
      <c r="H286" s="177">
        <v>47012</v>
      </c>
      <c r="I286" s="177">
        <v>2</v>
      </c>
      <c r="J286" s="177" t="s">
        <v>989</v>
      </c>
      <c r="K286" s="179">
        <v>11010</v>
      </c>
      <c r="L286" s="180">
        <v>300</v>
      </c>
      <c r="M286" t="b">
        <f t="shared" si="5"/>
        <v>0</v>
      </c>
    </row>
    <row r="287" customHeight="1" spans="1:13">
      <c r="A287" s="177">
        <v>22002</v>
      </c>
      <c r="B287" s="177">
        <v>4</v>
      </c>
      <c r="C287" s="178" t="s">
        <v>928</v>
      </c>
      <c r="D287" s="177">
        <v>600</v>
      </c>
      <c r="E287" s="177">
        <v>20</v>
      </c>
      <c r="F287" s="177">
        <v>0</v>
      </c>
      <c r="G287" s="177">
        <v>0</v>
      </c>
      <c r="H287" s="177">
        <v>1137</v>
      </c>
      <c r="I287" s="177">
        <v>2</v>
      </c>
      <c r="J287" s="177" t="s">
        <v>921</v>
      </c>
      <c r="K287" s="179">
        <v>0</v>
      </c>
      <c r="L287" s="180">
        <v>300</v>
      </c>
      <c r="M287">
        <f t="shared" si="5"/>
        <v>1</v>
      </c>
    </row>
    <row r="288" customHeight="1" spans="1:13">
      <c r="A288" s="177">
        <v>22003</v>
      </c>
      <c r="B288" s="177">
        <v>1</v>
      </c>
      <c r="C288" s="178" t="s">
        <v>930</v>
      </c>
      <c r="D288" s="177">
        <v>0</v>
      </c>
      <c r="E288" s="177">
        <v>160000</v>
      </c>
      <c r="F288" s="177">
        <v>0</v>
      </c>
      <c r="G288" s="177">
        <v>0</v>
      </c>
      <c r="H288" s="177">
        <v>47012</v>
      </c>
      <c r="I288" s="177">
        <v>2</v>
      </c>
      <c r="J288" s="177" t="s">
        <v>989</v>
      </c>
      <c r="K288" s="179">
        <v>0</v>
      </c>
      <c r="L288" s="180">
        <v>300</v>
      </c>
      <c r="M288" t="b">
        <f t="shared" si="5"/>
        <v>0</v>
      </c>
    </row>
    <row r="289" customHeight="1" spans="1:13">
      <c r="A289" s="177">
        <v>22004</v>
      </c>
      <c r="B289" s="177">
        <v>2</v>
      </c>
      <c r="C289" s="178" t="s">
        <v>925</v>
      </c>
      <c r="D289" s="177">
        <v>11012</v>
      </c>
      <c r="E289" s="177">
        <v>6</v>
      </c>
      <c r="F289" s="177">
        <v>0</v>
      </c>
      <c r="G289" s="177">
        <v>0</v>
      </c>
      <c r="H289" s="177">
        <v>1137</v>
      </c>
      <c r="I289" s="177">
        <v>2</v>
      </c>
      <c r="J289" s="177" t="s">
        <v>921</v>
      </c>
      <c r="K289" s="179">
        <v>11012</v>
      </c>
      <c r="L289" s="180">
        <v>300</v>
      </c>
      <c r="M289" t="b">
        <f t="shared" si="5"/>
        <v>0</v>
      </c>
    </row>
    <row r="290" customHeight="1" spans="1:13">
      <c r="A290" s="177">
        <v>22005</v>
      </c>
      <c r="B290" s="177">
        <v>6</v>
      </c>
      <c r="C290" s="178" t="s">
        <v>988</v>
      </c>
      <c r="D290" s="177">
        <v>10</v>
      </c>
      <c r="E290" s="177">
        <v>1</v>
      </c>
      <c r="F290" s="177">
        <v>0</v>
      </c>
      <c r="G290" s="177">
        <v>0</v>
      </c>
      <c r="H290" s="177">
        <v>47012</v>
      </c>
      <c r="I290" s="177">
        <v>2</v>
      </c>
      <c r="J290" s="177" t="s">
        <v>989</v>
      </c>
      <c r="K290" s="179">
        <v>0</v>
      </c>
      <c r="L290" s="180">
        <v>300</v>
      </c>
      <c r="M290">
        <f t="shared" si="5"/>
        <v>1</v>
      </c>
    </row>
    <row r="291" customHeight="1" spans="1:13">
      <c r="A291" s="177">
        <v>22006</v>
      </c>
      <c r="B291" s="177">
        <v>1</v>
      </c>
      <c r="C291" s="178" t="s">
        <v>930</v>
      </c>
      <c r="D291" s="177">
        <v>0</v>
      </c>
      <c r="E291" s="177">
        <v>160000</v>
      </c>
      <c r="F291" s="177">
        <v>0</v>
      </c>
      <c r="G291" s="177">
        <v>0</v>
      </c>
      <c r="H291" s="177">
        <v>1137</v>
      </c>
      <c r="I291" s="177">
        <v>2</v>
      </c>
      <c r="J291" s="177" t="s">
        <v>921</v>
      </c>
      <c r="K291" s="179">
        <v>0</v>
      </c>
      <c r="L291" s="180">
        <v>300</v>
      </c>
      <c r="M291" t="b">
        <f t="shared" si="5"/>
        <v>0</v>
      </c>
    </row>
    <row r="292" customHeight="1" spans="1:13">
      <c r="A292" s="177">
        <v>22007</v>
      </c>
      <c r="B292" s="177">
        <v>2</v>
      </c>
      <c r="C292" s="178" t="s">
        <v>925</v>
      </c>
      <c r="D292" s="177">
        <v>11013</v>
      </c>
      <c r="E292" s="177">
        <v>6</v>
      </c>
      <c r="F292" s="177">
        <v>0</v>
      </c>
      <c r="G292" s="177">
        <v>0</v>
      </c>
      <c r="H292" s="177">
        <v>47012</v>
      </c>
      <c r="I292" s="177">
        <v>2</v>
      </c>
      <c r="J292" s="177" t="s">
        <v>989</v>
      </c>
      <c r="K292" s="179">
        <v>11013</v>
      </c>
      <c r="L292" s="180">
        <v>300</v>
      </c>
      <c r="M292" t="b">
        <f t="shared" si="5"/>
        <v>0</v>
      </c>
    </row>
    <row r="293" customHeight="1" spans="1:13">
      <c r="A293" s="177">
        <v>22008</v>
      </c>
      <c r="B293" s="177">
        <v>9</v>
      </c>
      <c r="C293" s="178" t="s">
        <v>934</v>
      </c>
      <c r="D293" s="177">
        <v>0</v>
      </c>
      <c r="E293" s="177">
        <v>100000</v>
      </c>
      <c r="F293" s="177">
        <v>0</v>
      </c>
      <c r="G293" s="177">
        <v>0</v>
      </c>
      <c r="H293" s="177">
        <v>1137</v>
      </c>
      <c r="I293" s="177">
        <v>2</v>
      </c>
      <c r="J293" s="177" t="s">
        <v>921</v>
      </c>
      <c r="K293" s="179">
        <v>0</v>
      </c>
      <c r="L293" s="180">
        <v>300</v>
      </c>
      <c r="M293" t="b">
        <f t="shared" si="5"/>
        <v>0</v>
      </c>
    </row>
    <row r="294" customHeight="1" spans="1:13">
      <c r="A294" s="177">
        <v>22009</v>
      </c>
      <c r="B294" s="177">
        <v>1</v>
      </c>
      <c r="C294" s="178" t="s">
        <v>930</v>
      </c>
      <c r="D294" s="177">
        <v>0</v>
      </c>
      <c r="E294" s="177">
        <v>160000</v>
      </c>
      <c r="F294" s="177">
        <v>0</v>
      </c>
      <c r="G294" s="177">
        <v>0</v>
      </c>
      <c r="H294" s="177">
        <v>47012</v>
      </c>
      <c r="I294" s="177">
        <v>2</v>
      </c>
      <c r="J294" s="177" t="s">
        <v>989</v>
      </c>
      <c r="K294" s="179">
        <v>0</v>
      </c>
      <c r="L294" s="180">
        <v>300</v>
      </c>
      <c r="M294" t="b">
        <f t="shared" si="5"/>
        <v>0</v>
      </c>
    </row>
    <row r="295" customHeight="1" spans="1:13">
      <c r="A295" s="167">
        <v>30001</v>
      </c>
      <c r="B295" s="167">
        <v>1</v>
      </c>
      <c r="C295" s="168" t="s">
        <v>930</v>
      </c>
      <c r="D295" s="167">
        <v>0</v>
      </c>
      <c r="E295" s="167">
        <v>200000</v>
      </c>
      <c r="F295" s="167">
        <v>0</v>
      </c>
      <c r="G295" s="167">
        <v>0</v>
      </c>
      <c r="H295" s="167">
        <v>1137</v>
      </c>
      <c r="I295" s="167">
        <v>3</v>
      </c>
      <c r="J295" s="167" t="s">
        <v>921</v>
      </c>
      <c r="K295" s="171">
        <v>0</v>
      </c>
      <c r="L295" s="59">
        <v>0</v>
      </c>
      <c r="M295" t="b">
        <f t="shared" si="5"/>
        <v>0</v>
      </c>
    </row>
    <row r="296" customHeight="1" spans="1:13">
      <c r="A296" s="167">
        <v>30002</v>
      </c>
      <c r="B296" s="167">
        <v>4</v>
      </c>
      <c r="C296" s="168" t="s">
        <v>928</v>
      </c>
      <c r="D296" s="167">
        <v>1500</v>
      </c>
      <c r="E296" s="167">
        <v>30</v>
      </c>
      <c r="F296" s="167">
        <v>0</v>
      </c>
      <c r="G296" s="167">
        <v>0</v>
      </c>
      <c r="H296" s="167">
        <v>1150</v>
      </c>
      <c r="I296" s="167">
        <v>3</v>
      </c>
      <c r="J296" s="167" t="s">
        <v>935</v>
      </c>
      <c r="K296" s="171">
        <v>0</v>
      </c>
      <c r="L296" s="59">
        <v>10</v>
      </c>
      <c r="M296">
        <f t="shared" si="5"/>
        <v>1</v>
      </c>
    </row>
    <row r="297" customHeight="1" spans="1:13">
      <c r="A297" s="167">
        <v>30003</v>
      </c>
      <c r="B297" s="167">
        <v>1</v>
      </c>
      <c r="C297" s="168" t="s">
        <v>930</v>
      </c>
      <c r="D297" s="167">
        <v>0</v>
      </c>
      <c r="E297" s="167">
        <v>300000</v>
      </c>
      <c r="F297" s="167">
        <v>0</v>
      </c>
      <c r="G297" s="167">
        <v>0</v>
      </c>
      <c r="H297" s="167">
        <v>1137</v>
      </c>
      <c r="I297" s="167">
        <v>3</v>
      </c>
      <c r="J297" s="167" t="s">
        <v>921</v>
      </c>
      <c r="K297" s="171">
        <v>0</v>
      </c>
      <c r="L297" s="59">
        <v>20</v>
      </c>
      <c r="M297" t="b">
        <f t="shared" si="5"/>
        <v>0</v>
      </c>
    </row>
    <row r="298" customHeight="1" spans="1:13">
      <c r="A298" s="167">
        <v>30004</v>
      </c>
      <c r="B298" s="167">
        <v>1</v>
      </c>
      <c r="C298" s="168" t="s">
        <v>930</v>
      </c>
      <c r="D298" s="167">
        <v>0</v>
      </c>
      <c r="E298" s="167">
        <v>400000</v>
      </c>
      <c r="F298" s="167">
        <v>0</v>
      </c>
      <c r="G298" s="167">
        <v>0</v>
      </c>
      <c r="H298" s="167">
        <v>1137</v>
      </c>
      <c r="I298" s="167">
        <v>3</v>
      </c>
      <c r="J298" s="167" t="s">
        <v>921</v>
      </c>
      <c r="K298" s="171">
        <v>0</v>
      </c>
      <c r="L298" s="59">
        <v>20</v>
      </c>
      <c r="M298" t="b">
        <f t="shared" si="5"/>
        <v>0</v>
      </c>
    </row>
    <row r="299" customHeight="1" spans="1:13">
      <c r="A299" s="167">
        <v>30005</v>
      </c>
      <c r="B299" s="167">
        <v>2</v>
      </c>
      <c r="C299" s="168" t="s">
        <v>925</v>
      </c>
      <c r="D299" s="167">
        <v>11009</v>
      </c>
      <c r="E299" s="167">
        <v>20</v>
      </c>
      <c r="F299" s="167">
        <v>0</v>
      </c>
      <c r="G299" s="167">
        <v>0</v>
      </c>
      <c r="H299" s="167">
        <v>1145</v>
      </c>
      <c r="I299" s="167">
        <v>20</v>
      </c>
      <c r="J299" s="167" t="s">
        <v>927</v>
      </c>
      <c r="K299" s="167">
        <v>11009</v>
      </c>
      <c r="L299" s="59">
        <v>30</v>
      </c>
      <c r="M299" t="b">
        <f t="shared" si="5"/>
        <v>0</v>
      </c>
    </row>
    <row r="300" customHeight="1" spans="1:13">
      <c r="A300" s="167">
        <v>30006</v>
      </c>
      <c r="B300" s="167">
        <v>5</v>
      </c>
      <c r="C300" s="168" t="s">
        <v>955</v>
      </c>
      <c r="D300" s="167">
        <v>0</v>
      </c>
      <c r="E300" s="167">
        <v>1</v>
      </c>
      <c r="F300" s="167">
        <v>0</v>
      </c>
      <c r="G300" s="167">
        <v>0</v>
      </c>
      <c r="H300" s="167">
        <v>1137</v>
      </c>
      <c r="I300" s="167">
        <v>3</v>
      </c>
      <c r="J300" s="167" t="s">
        <v>921</v>
      </c>
      <c r="K300" s="171">
        <v>0</v>
      </c>
      <c r="L300" s="59">
        <v>30</v>
      </c>
      <c r="M300" t="b">
        <f t="shared" si="5"/>
        <v>0</v>
      </c>
    </row>
    <row r="301" customHeight="1" spans="1:13">
      <c r="A301" s="167">
        <v>30007</v>
      </c>
      <c r="B301" s="167">
        <v>1</v>
      </c>
      <c r="C301" s="168" t="s">
        <v>930</v>
      </c>
      <c r="D301" s="167">
        <v>0</v>
      </c>
      <c r="E301" s="167">
        <v>450000</v>
      </c>
      <c r="F301" s="167">
        <v>0</v>
      </c>
      <c r="G301" s="167">
        <v>0</v>
      </c>
      <c r="H301" s="167">
        <v>1147</v>
      </c>
      <c r="I301" s="167">
        <v>20</v>
      </c>
      <c r="J301" s="167" t="s">
        <v>926</v>
      </c>
      <c r="K301" s="171">
        <v>0</v>
      </c>
      <c r="L301" s="59">
        <v>40</v>
      </c>
      <c r="M301" t="b">
        <f t="shared" si="5"/>
        <v>0</v>
      </c>
    </row>
    <row r="302" customHeight="1" spans="1:13">
      <c r="A302" s="167">
        <v>30008</v>
      </c>
      <c r="B302" s="167">
        <v>1</v>
      </c>
      <c r="C302" s="168" t="s">
        <v>932</v>
      </c>
      <c r="D302" s="167">
        <v>0</v>
      </c>
      <c r="E302" s="167">
        <v>200000</v>
      </c>
      <c r="F302" s="167">
        <v>180</v>
      </c>
      <c r="G302" s="167">
        <v>0</v>
      </c>
      <c r="H302" s="167">
        <v>1137</v>
      </c>
      <c r="I302" s="167">
        <v>4</v>
      </c>
      <c r="J302" s="181" t="s">
        <v>921</v>
      </c>
      <c r="K302" s="171">
        <v>0</v>
      </c>
      <c r="L302" s="59">
        <v>40</v>
      </c>
      <c r="M302" t="b">
        <f t="shared" si="5"/>
        <v>0</v>
      </c>
    </row>
    <row r="303" customHeight="1" spans="1:13">
      <c r="A303" s="167">
        <v>30009</v>
      </c>
      <c r="B303" s="167">
        <v>2</v>
      </c>
      <c r="C303" s="168" t="s">
        <v>925</v>
      </c>
      <c r="D303" s="167">
        <v>11002</v>
      </c>
      <c r="E303" s="167">
        <v>15</v>
      </c>
      <c r="F303" s="167">
        <v>0</v>
      </c>
      <c r="G303" s="167">
        <v>0</v>
      </c>
      <c r="H303" s="167">
        <v>1149</v>
      </c>
      <c r="I303" s="167">
        <v>20</v>
      </c>
      <c r="J303" s="167" t="s">
        <v>931</v>
      </c>
      <c r="K303" s="167">
        <v>11002</v>
      </c>
      <c r="L303" s="59">
        <v>50</v>
      </c>
      <c r="M303" t="b">
        <f t="shared" si="5"/>
        <v>0</v>
      </c>
    </row>
    <row r="304" customHeight="1" spans="1:13">
      <c r="A304" s="169">
        <v>30010</v>
      </c>
      <c r="B304" s="169">
        <v>9</v>
      </c>
      <c r="C304" s="170" t="s">
        <v>934</v>
      </c>
      <c r="D304" s="169">
        <v>0</v>
      </c>
      <c r="E304" s="169">
        <v>30000</v>
      </c>
      <c r="F304" s="169">
        <v>0</v>
      </c>
      <c r="G304" s="169">
        <v>0</v>
      </c>
      <c r="H304" s="169">
        <v>1137</v>
      </c>
      <c r="I304" s="167">
        <v>3</v>
      </c>
      <c r="J304" s="169" t="s">
        <v>921</v>
      </c>
      <c r="K304" s="171">
        <v>0</v>
      </c>
      <c r="L304" s="59">
        <v>50</v>
      </c>
      <c r="M304" t="b">
        <f t="shared" si="5"/>
        <v>0</v>
      </c>
    </row>
    <row r="305" customHeight="1" spans="1:13">
      <c r="A305" s="167">
        <v>30011</v>
      </c>
      <c r="B305" s="167">
        <v>1</v>
      </c>
      <c r="C305" s="168" t="s">
        <v>930</v>
      </c>
      <c r="D305" s="167">
        <v>0</v>
      </c>
      <c r="E305" s="167">
        <v>500000</v>
      </c>
      <c r="F305" s="167">
        <v>0</v>
      </c>
      <c r="G305" s="167">
        <v>0</v>
      </c>
      <c r="H305" s="167">
        <v>1150</v>
      </c>
      <c r="I305" s="167">
        <v>3</v>
      </c>
      <c r="J305" s="167" t="s">
        <v>935</v>
      </c>
      <c r="K305" s="171">
        <v>0</v>
      </c>
      <c r="L305" s="59">
        <v>60</v>
      </c>
      <c r="M305" t="b">
        <f t="shared" si="5"/>
        <v>0</v>
      </c>
    </row>
    <row r="306" customHeight="1" spans="1:13">
      <c r="A306" s="167">
        <v>30012</v>
      </c>
      <c r="B306" s="167">
        <v>1</v>
      </c>
      <c r="C306" s="168" t="s">
        <v>932</v>
      </c>
      <c r="D306" s="167">
        <v>0</v>
      </c>
      <c r="E306" s="167">
        <v>220000</v>
      </c>
      <c r="F306" s="167">
        <v>180</v>
      </c>
      <c r="G306" s="167">
        <v>0</v>
      </c>
      <c r="H306" s="167">
        <v>1137</v>
      </c>
      <c r="I306" s="167">
        <v>4</v>
      </c>
      <c r="J306" s="181" t="s">
        <v>921</v>
      </c>
      <c r="K306" s="171">
        <v>0</v>
      </c>
      <c r="L306" s="59">
        <v>60</v>
      </c>
      <c r="M306" t="b">
        <f t="shared" si="5"/>
        <v>0</v>
      </c>
    </row>
    <row r="307" customHeight="1" spans="1:13">
      <c r="A307" s="167">
        <v>30013</v>
      </c>
      <c r="B307" s="167">
        <v>2</v>
      </c>
      <c r="C307" s="168" t="s">
        <v>925</v>
      </c>
      <c r="D307" s="167">
        <v>11087</v>
      </c>
      <c r="E307" s="167">
        <v>4</v>
      </c>
      <c r="F307" s="167">
        <v>0</v>
      </c>
      <c r="G307" s="167">
        <v>0</v>
      </c>
      <c r="H307" s="167">
        <v>1145</v>
      </c>
      <c r="I307" s="167">
        <v>21</v>
      </c>
      <c r="J307" s="167" t="s">
        <v>927</v>
      </c>
      <c r="K307" s="171">
        <v>11087</v>
      </c>
      <c r="L307" s="59">
        <v>70</v>
      </c>
      <c r="M307" t="b">
        <f t="shared" si="5"/>
        <v>0</v>
      </c>
    </row>
    <row r="308" customHeight="1" spans="1:13">
      <c r="A308" s="167">
        <v>30014</v>
      </c>
      <c r="B308" s="167">
        <v>9</v>
      </c>
      <c r="C308" s="168" t="s">
        <v>934</v>
      </c>
      <c r="D308" s="167">
        <v>0</v>
      </c>
      <c r="E308" s="167">
        <v>35000</v>
      </c>
      <c r="F308" s="167">
        <v>0</v>
      </c>
      <c r="G308" s="167">
        <v>0</v>
      </c>
      <c r="H308" s="167">
        <v>1137</v>
      </c>
      <c r="I308" s="167">
        <v>3</v>
      </c>
      <c r="J308" s="167" t="s">
        <v>921</v>
      </c>
      <c r="K308" s="171">
        <v>0</v>
      </c>
      <c r="L308" s="59">
        <v>70</v>
      </c>
      <c r="M308" t="b">
        <f t="shared" si="5"/>
        <v>0</v>
      </c>
    </row>
    <row r="309" customHeight="1" spans="1:13">
      <c r="A309" s="167">
        <v>30015</v>
      </c>
      <c r="B309" s="167">
        <v>1</v>
      </c>
      <c r="C309" s="168" t="s">
        <v>930</v>
      </c>
      <c r="D309" s="167">
        <v>0</v>
      </c>
      <c r="E309" s="167">
        <v>550000</v>
      </c>
      <c r="F309" s="167">
        <v>0</v>
      </c>
      <c r="G309" s="167">
        <v>0</v>
      </c>
      <c r="H309" s="167">
        <v>1147</v>
      </c>
      <c r="I309" s="167">
        <v>21</v>
      </c>
      <c r="J309" s="167" t="s">
        <v>926</v>
      </c>
      <c r="K309" s="171">
        <v>0</v>
      </c>
      <c r="L309" s="59">
        <v>80</v>
      </c>
      <c r="M309" t="b">
        <f t="shared" si="5"/>
        <v>0</v>
      </c>
    </row>
    <row r="310" customHeight="1" spans="1:13">
      <c r="A310" s="167">
        <v>30016</v>
      </c>
      <c r="B310" s="167">
        <v>1</v>
      </c>
      <c r="C310" s="168" t="s">
        <v>932</v>
      </c>
      <c r="D310" s="167">
        <v>0</v>
      </c>
      <c r="E310" s="167">
        <v>240000</v>
      </c>
      <c r="F310" s="167">
        <v>180</v>
      </c>
      <c r="G310" s="167">
        <v>0</v>
      </c>
      <c r="H310" s="167">
        <v>1137</v>
      </c>
      <c r="I310" s="167">
        <v>4</v>
      </c>
      <c r="J310" s="181" t="s">
        <v>921</v>
      </c>
      <c r="K310" s="171">
        <v>0</v>
      </c>
      <c r="L310" s="59">
        <v>80</v>
      </c>
      <c r="M310" t="b">
        <f t="shared" si="5"/>
        <v>0</v>
      </c>
    </row>
    <row r="311" customHeight="1" spans="1:13">
      <c r="A311" s="167">
        <v>30017</v>
      </c>
      <c r="B311" s="167">
        <v>4</v>
      </c>
      <c r="C311" s="168" t="s">
        <v>928</v>
      </c>
      <c r="D311" s="167">
        <v>5000</v>
      </c>
      <c r="E311" s="167">
        <v>5</v>
      </c>
      <c r="F311" s="167">
        <v>0</v>
      </c>
      <c r="G311" s="167">
        <v>0</v>
      </c>
      <c r="H311" s="167">
        <v>1149</v>
      </c>
      <c r="I311" s="167">
        <v>21</v>
      </c>
      <c r="J311" s="167" t="s">
        <v>931</v>
      </c>
      <c r="K311" s="171">
        <v>0</v>
      </c>
      <c r="L311" s="59">
        <v>90</v>
      </c>
      <c r="M311">
        <f t="shared" si="5"/>
        <v>1</v>
      </c>
    </row>
    <row r="312" customHeight="1" spans="1:13">
      <c r="A312" s="167">
        <v>30018</v>
      </c>
      <c r="B312" s="167">
        <v>5</v>
      </c>
      <c r="C312" s="168" t="s">
        <v>955</v>
      </c>
      <c r="D312" s="167">
        <v>0</v>
      </c>
      <c r="E312" s="167">
        <v>1</v>
      </c>
      <c r="F312" s="167">
        <v>0</v>
      </c>
      <c r="G312" s="167">
        <v>0</v>
      </c>
      <c r="H312" s="167">
        <v>1137</v>
      </c>
      <c r="I312" s="167">
        <v>3</v>
      </c>
      <c r="J312" s="167" t="s">
        <v>921</v>
      </c>
      <c r="K312" s="171">
        <v>0</v>
      </c>
      <c r="L312" s="59">
        <v>90</v>
      </c>
      <c r="M312" t="b">
        <f t="shared" si="5"/>
        <v>0</v>
      </c>
    </row>
    <row r="313" customHeight="1" spans="1:13">
      <c r="A313" s="167">
        <v>30019</v>
      </c>
      <c r="B313" s="167">
        <v>1</v>
      </c>
      <c r="C313" s="168" t="s">
        <v>930</v>
      </c>
      <c r="D313" s="167">
        <v>0</v>
      </c>
      <c r="E313" s="167">
        <v>600000</v>
      </c>
      <c r="F313" s="167">
        <v>0</v>
      </c>
      <c r="G313" s="167">
        <v>0</v>
      </c>
      <c r="H313" s="167">
        <v>1150</v>
      </c>
      <c r="I313" s="167">
        <v>4</v>
      </c>
      <c r="J313" s="167" t="s">
        <v>935</v>
      </c>
      <c r="K313" s="171">
        <v>0</v>
      </c>
      <c r="L313" s="59">
        <v>100</v>
      </c>
      <c r="M313" t="b">
        <f t="shared" si="5"/>
        <v>0</v>
      </c>
    </row>
    <row r="314" customHeight="1" spans="1:13">
      <c r="A314" s="167">
        <v>30020</v>
      </c>
      <c r="B314" s="167">
        <v>1</v>
      </c>
      <c r="C314" s="168" t="s">
        <v>932</v>
      </c>
      <c r="D314" s="167">
        <v>0</v>
      </c>
      <c r="E314" s="167">
        <v>260000</v>
      </c>
      <c r="F314" s="167">
        <v>180</v>
      </c>
      <c r="G314" s="167">
        <v>0</v>
      </c>
      <c r="H314" s="167">
        <v>1137</v>
      </c>
      <c r="I314" s="167">
        <v>4</v>
      </c>
      <c r="J314" s="181" t="s">
        <v>921</v>
      </c>
      <c r="K314" s="171">
        <v>0</v>
      </c>
      <c r="L314" s="59">
        <v>100</v>
      </c>
      <c r="M314" t="b">
        <f t="shared" si="5"/>
        <v>0</v>
      </c>
    </row>
    <row r="315" customHeight="1" spans="1:13">
      <c r="A315" s="167">
        <v>30021</v>
      </c>
      <c r="B315" s="167">
        <v>2</v>
      </c>
      <c r="C315" s="168" t="s">
        <v>925</v>
      </c>
      <c r="D315" s="167">
        <v>11088</v>
      </c>
      <c r="E315" s="167">
        <v>4</v>
      </c>
      <c r="F315" s="167">
        <v>0</v>
      </c>
      <c r="G315" s="167">
        <v>0</v>
      </c>
      <c r="H315" s="167">
        <v>1145</v>
      </c>
      <c r="I315" s="167">
        <v>22</v>
      </c>
      <c r="J315" s="167" t="s">
        <v>927</v>
      </c>
      <c r="K315" s="171">
        <v>11088</v>
      </c>
      <c r="L315" s="59">
        <v>110</v>
      </c>
      <c r="M315" t="b">
        <f t="shared" si="5"/>
        <v>0</v>
      </c>
    </row>
    <row r="316" customHeight="1" spans="1:13">
      <c r="A316" s="167">
        <v>30022</v>
      </c>
      <c r="B316" s="167">
        <v>4</v>
      </c>
      <c r="C316" s="168" t="s">
        <v>928</v>
      </c>
      <c r="D316" s="167">
        <v>6000</v>
      </c>
      <c r="E316" s="167">
        <v>5</v>
      </c>
      <c r="F316" s="167">
        <v>0</v>
      </c>
      <c r="G316" s="167">
        <v>0</v>
      </c>
      <c r="H316" s="167">
        <v>1137</v>
      </c>
      <c r="I316" s="167">
        <v>3</v>
      </c>
      <c r="J316" s="167" t="s">
        <v>921</v>
      </c>
      <c r="K316" s="171">
        <v>0</v>
      </c>
      <c r="L316" s="59">
        <v>110</v>
      </c>
      <c r="M316">
        <f t="shared" si="5"/>
        <v>1</v>
      </c>
    </row>
    <row r="317" customHeight="1" spans="1:13">
      <c r="A317" s="167">
        <v>30023</v>
      </c>
      <c r="B317" s="167">
        <v>1</v>
      </c>
      <c r="C317" s="168" t="s">
        <v>930</v>
      </c>
      <c r="D317" s="167">
        <v>0</v>
      </c>
      <c r="E317" s="167">
        <v>650000</v>
      </c>
      <c r="F317" s="167">
        <v>0</v>
      </c>
      <c r="G317" s="167">
        <v>0</v>
      </c>
      <c r="H317" s="167">
        <v>1147</v>
      </c>
      <c r="I317" s="167">
        <v>22</v>
      </c>
      <c r="J317" s="167" t="s">
        <v>926</v>
      </c>
      <c r="K317" s="171">
        <v>0</v>
      </c>
      <c r="L317" s="59">
        <v>120</v>
      </c>
      <c r="M317" t="b">
        <f t="shared" si="5"/>
        <v>0</v>
      </c>
    </row>
    <row r="318" customHeight="1" spans="1:13">
      <c r="A318" s="167">
        <v>30024</v>
      </c>
      <c r="B318" s="167">
        <v>1</v>
      </c>
      <c r="C318" s="168" t="s">
        <v>932</v>
      </c>
      <c r="D318" s="167">
        <v>0</v>
      </c>
      <c r="E318" s="167">
        <v>280000</v>
      </c>
      <c r="F318" s="167">
        <v>180</v>
      </c>
      <c r="G318" s="167">
        <v>0</v>
      </c>
      <c r="H318" s="167">
        <v>1137</v>
      </c>
      <c r="I318" s="167">
        <v>4</v>
      </c>
      <c r="J318" s="181" t="s">
        <v>921</v>
      </c>
      <c r="K318" s="171">
        <v>0</v>
      </c>
      <c r="L318" s="59">
        <v>120</v>
      </c>
      <c r="M318" t="b">
        <f t="shared" si="5"/>
        <v>0</v>
      </c>
    </row>
    <row r="319" customHeight="1" spans="1:13">
      <c r="A319" s="167">
        <v>30025</v>
      </c>
      <c r="B319" s="167">
        <v>3</v>
      </c>
      <c r="C319" s="168" t="s">
        <v>990</v>
      </c>
      <c r="D319" s="167">
        <v>0</v>
      </c>
      <c r="E319" s="167">
        <v>1</v>
      </c>
      <c r="F319" s="167">
        <v>0</v>
      </c>
      <c r="G319" s="167">
        <v>0</v>
      </c>
      <c r="H319" s="167">
        <v>1149</v>
      </c>
      <c r="I319" s="167">
        <v>22</v>
      </c>
      <c r="J319" s="167" t="s">
        <v>931</v>
      </c>
      <c r="K319" s="171">
        <v>0</v>
      </c>
      <c r="L319" s="59">
        <v>130</v>
      </c>
      <c r="M319" t="b">
        <f t="shared" si="5"/>
        <v>0</v>
      </c>
    </row>
    <row r="320" customHeight="1" spans="1:13">
      <c r="A320" s="167">
        <v>30026</v>
      </c>
      <c r="B320" s="167">
        <v>5</v>
      </c>
      <c r="C320" s="168" t="s">
        <v>955</v>
      </c>
      <c r="D320" s="167">
        <v>0</v>
      </c>
      <c r="E320" s="167">
        <v>2</v>
      </c>
      <c r="F320" s="167">
        <v>0</v>
      </c>
      <c r="G320" s="167">
        <v>0</v>
      </c>
      <c r="H320" s="167">
        <v>1137</v>
      </c>
      <c r="I320" s="167">
        <v>3</v>
      </c>
      <c r="J320" s="167" t="s">
        <v>921</v>
      </c>
      <c r="K320" s="171">
        <v>0</v>
      </c>
      <c r="L320" s="59">
        <v>130</v>
      </c>
      <c r="M320" t="b">
        <f t="shared" si="5"/>
        <v>0</v>
      </c>
    </row>
    <row r="321" customHeight="1" spans="1:13">
      <c r="A321" s="167">
        <v>30027</v>
      </c>
      <c r="B321" s="167">
        <v>1</v>
      </c>
      <c r="C321" s="168" t="s">
        <v>930</v>
      </c>
      <c r="D321" s="167">
        <v>0</v>
      </c>
      <c r="E321" s="167">
        <v>700000</v>
      </c>
      <c r="F321" s="167">
        <v>0</v>
      </c>
      <c r="G321" s="167">
        <v>0</v>
      </c>
      <c r="H321" s="167">
        <v>1150</v>
      </c>
      <c r="I321" s="167">
        <v>4</v>
      </c>
      <c r="J321" s="167" t="s">
        <v>935</v>
      </c>
      <c r="K321" s="171">
        <v>0</v>
      </c>
      <c r="L321" s="59">
        <v>140</v>
      </c>
      <c r="M321" t="b">
        <f t="shared" si="5"/>
        <v>0</v>
      </c>
    </row>
    <row r="322" customHeight="1" spans="1:13">
      <c r="A322" s="167">
        <v>30028</v>
      </c>
      <c r="B322" s="167">
        <v>1</v>
      </c>
      <c r="C322" s="168" t="s">
        <v>932</v>
      </c>
      <c r="D322" s="167">
        <v>0</v>
      </c>
      <c r="E322" s="167">
        <v>300000</v>
      </c>
      <c r="F322" s="167">
        <v>180</v>
      </c>
      <c r="G322" s="167">
        <v>0</v>
      </c>
      <c r="H322" s="167">
        <v>1137</v>
      </c>
      <c r="I322" s="167">
        <v>4</v>
      </c>
      <c r="J322" s="181" t="s">
        <v>921</v>
      </c>
      <c r="K322" s="171">
        <v>0</v>
      </c>
      <c r="L322" s="59">
        <v>140</v>
      </c>
      <c r="M322" t="b">
        <f t="shared" ref="M322:M385" si="6">IF(D322&lt;&gt;K322,1)</f>
        <v>0</v>
      </c>
    </row>
    <row r="323" customHeight="1" spans="1:13">
      <c r="A323" s="167">
        <v>30029</v>
      </c>
      <c r="B323" s="167">
        <v>2</v>
      </c>
      <c r="C323" s="168" t="s">
        <v>925</v>
      </c>
      <c r="D323" s="167">
        <v>11089</v>
      </c>
      <c r="E323" s="167">
        <v>4</v>
      </c>
      <c r="F323" s="167">
        <v>0</v>
      </c>
      <c r="G323" s="167">
        <v>0</v>
      </c>
      <c r="H323" s="167">
        <v>1145</v>
      </c>
      <c r="I323" s="167">
        <v>23</v>
      </c>
      <c r="J323" s="167" t="s">
        <v>927</v>
      </c>
      <c r="K323" s="171">
        <v>11089</v>
      </c>
      <c r="L323" s="59">
        <v>150</v>
      </c>
      <c r="M323" t="b">
        <f t="shared" si="6"/>
        <v>0</v>
      </c>
    </row>
    <row r="324" customHeight="1" spans="1:13">
      <c r="A324" s="167">
        <v>30030</v>
      </c>
      <c r="B324" s="167">
        <v>9</v>
      </c>
      <c r="C324" s="168" t="s">
        <v>934</v>
      </c>
      <c r="D324" s="167">
        <v>0</v>
      </c>
      <c r="E324" s="167">
        <v>40000</v>
      </c>
      <c r="F324" s="167">
        <v>0</v>
      </c>
      <c r="G324" s="167">
        <v>0</v>
      </c>
      <c r="H324" s="167">
        <v>1137</v>
      </c>
      <c r="I324" s="167">
        <v>3</v>
      </c>
      <c r="J324" s="167" t="s">
        <v>921</v>
      </c>
      <c r="K324" s="171">
        <v>0</v>
      </c>
      <c r="L324" s="59">
        <v>150</v>
      </c>
      <c r="M324" t="b">
        <f t="shared" si="6"/>
        <v>0</v>
      </c>
    </row>
    <row r="325" customHeight="1" spans="1:13">
      <c r="A325" s="167">
        <v>30031</v>
      </c>
      <c r="B325" s="167">
        <v>1</v>
      </c>
      <c r="C325" s="168" t="s">
        <v>930</v>
      </c>
      <c r="D325" s="167">
        <v>0</v>
      </c>
      <c r="E325" s="167">
        <v>750000</v>
      </c>
      <c r="F325" s="167">
        <v>0</v>
      </c>
      <c r="G325" s="167">
        <v>0</v>
      </c>
      <c r="H325" s="167">
        <v>1147</v>
      </c>
      <c r="I325" s="167">
        <v>23</v>
      </c>
      <c r="J325" s="167" t="s">
        <v>926</v>
      </c>
      <c r="K325" s="171">
        <v>0</v>
      </c>
      <c r="L325" s="59">
        <v>160</v>
      </c>
      <c r="M325" t="b">
        <f t="shared" si="6"/>
        <v>0</v>
      </c>
    </row>
    <row r="326" customHeight="1" spans="1:13">
      <c r="A326" s="167">
        <v>30032</v>
      </c>
      <c r="B326" s="167">
        <v>1</v>
      </c>
      <c r="C326" s="168" t="s">
        <v>932</v>
      </c>
      <c r="D326" s="167">
        <v>0</v>
      </c>
      <c r="E326" s="167">
        <v>320000</v>
      </c>
      <c r="F326" s="167">
        <v>180</v>
      </c>
      <c r="G326" s="167">
        <v>0</v>
      </c>
      <c r="H326" s="167">
        <v>1137</v>
      </c>
      <c r="I326" s="167">
        <v>4</v>
      </c>
      <c r="J326" s="181" t="s">
        <v>921</v>
      </c>
      <c r="K326" s="171">
        <v>0</v>
      </c>
      <c r="L326" s="59">
        <v>160</v>
      </c>
      <c r="M326" t="b">
        <f t="shared" si="6"/>
        <v>0</v>
      </c>
    </row>
    <row r="327" customHeight="1" spans="1:13">
      <c r="A327" s="167">
        <v>30033</v>
      </c>
      <c r="B327" s="167">
        <v>2</v>
      </c>
      <c r="C327" s="168" t="s">
        <v>925</v>
      </c>
      <c r="D327" s="167">
        <v>11003</v>
      </c>
      <c r="E327" s="167">
        <v>15</v>
      </c>
      <c r="F327" s="167">
        <v>0</v>
      </c>
      <c r="G327" s="167">
        <v>0</v>
      </c>
      <c r="H327" s="167">
        <v>1149</v>
      </c>
      <c r="I327" s="167">
        <v>23</v>
      </c>
      <c r="J327" s="167" t="s">
        <v>931</v>
      </c>
      <c r="K327" s="171">
        <v>11003</v>
      </c>
      <c r="L327" s="59">
        <v>170</v>
      </c>
      <c r="M327" t="b">
        <f t="shared" si="6"/>
        <v>0</v>
      </c>
    </row>
    <row r="328" customHeight="1" spans="1:13">
      <c r="A328" s="167">
        <v>30034</v>
      </c>
      <c r="B328" s="167">
        <v>9</v>
      </c>
      <c r="C328" s="168" t="s">
        <v>934</v>
      </c>
      <c r="D328" s="167">
        <v>0</v>
      </c>
      <c r="E328" s="167">
        <v>45000</v>
      </c>
      <c r="F328" s="167">
        <v>0</v>
      </c>
      <c r="G328" s="167">
        <v>0</v>
      </c>
      <c r="H328" s="167">
        <v>1137</v>
      </c>
      <c r="I328" s="167">
        <v>3</v>
      </c>
      <c r="J328" s="167" t="s">
        <v>921</v>
      </c>
      <c r="K328" s="171">
        <v>0</v>
      </c>
      <c r="L328" s="59">
        <v>170</v>
      </c>
      <c r="M328" t="b">
        <f t="shared" si="6"/>
        <v>0</v>
      </c>
    </row>
    <row r="329" customHeight="1" spans="1:13">
      <c r="A329" s="167">
        <v>30035</v>
      </c>
      <c r="B329" s="167">
        <v>1</v>
      </c>
      <c r="C329" s="168" t="s">
        <v>930</v>
      </c>
      <c r="D329" s="167">
        <v>0</v>
      </c>
      <c r="E329" s="167">
        <v>800000</v>
      </c>
      <c r="F329" s="167">
        <v>0</v>
      </c>
      <c r="G329" s="167">
        <v>0</v>
      </c>
      <c r="H329" s="167">
        <v>1150</v>
      </c>
      <c r="I329" s="167">
        <v>5</v>
      </c>
      <c r="J329" s="167" t="s">
        <v>935</v>
      </c>
      <c r="K329" s="171">
        <v>0</v>
      </c>
      <c r="L329" s="59">
        <v>180</v>
      </c>
      <c r="M329" t="b">
        <f t="shared" si="6"/>
        <v>0</v>
      </c>
    </row>
    <row r="330" customHeight="1" spans="1:13">
      <c r="A330" s="167">
        <v>30036</v>
      </c>
      <c r="B330" s="167">
        <v>1</v>
      </c>
      <c r="C330" s="168" t="s">
        <v>932</v>
      </c>
      <c r="D330" s="167">
        <v>0</v>
      </c>
      <c r="E330" s="167">
        <v>340000</v>
      </c>
      <c r="F330" s="167">
        <v>180</v>
      </c>
      <c r="G330" s="167">
        <v>0</v>
      </c>
      <c r="H330" s="167">
        <v>1137</v>
      </c>
      <c r="I330" s="167">
        <v>4</v>
      </c>
      <c r="J330" s="181" t="s">
        <v>921</v>
      </c>
      <c r="K330" s="171">
        <v>0</v>
      </c>
      <c r="L330" s="59">
        <v>180</v>
      </c>
      <c r="M330" t="b">
        <f t="shared" si="6"/>
        <v>0</v>
      </c>
    </row>
    <row r="331" customHeight="1" spans="1:13">
      <c r="A331" s="167">
        <v>30037</v>
      </c>
      <c r="B331" s="167">
        <v>4</v>
      </c>
      <c r="C331" s="168" t="s">
        <v>928</v>
      </c>
      <c r="D331" s="167">
        <v>8000</v>
      </c>
      <c r="E331" s="167">
        <v>3</v>
      </c>
      <c r="F331" s="167">
        <v>0</v>
      </c>
      <c r="G331" s="167">
        <v>0</v>
      </c>
      <c r="H331" s="167">
        <v>1145</v>
      </c>
      <c r="I331" s="167">
        <v>23</v>
      </c>
      <c r="J331" s="167" t="s">
        <v>927</v>
      </c>
      <c r="K331" s="171">
        <v>0</v>
      </c>
      <c r="L331" s="59">
        <v>190</v>
      </c>
      <c r="M331">
        <f t="shared" si="6"/>
        <v>1</v>
      </c>
    </row>
    <row r="332" customHeight="1" spans="1:13">
      <c r="A332" s="167">
        <v>30038</v>
      </c>
      <c r="B332" s="167">
        <v>5</v>
      </c>
      <c r="C332" s="168" t="s">
        <v>955</v>
      </c>
      <c r="D332" s="167">
        <v>0</v>
      </c>
      <c r="E332" s="167">
        <v>2</v>
      </c>
      <c r="F332" s="167">
        <v>0</v>
      </c>
      <c r="G332" s="167">
        <v>0</v>
      </c>
      <c r="H332" s="167">
        <v>1137</v>
      </c>
      <c r="I332" s="167">
        <v>3</v>
      </c>
      <c r="J332" s="167" t="s">
        <v>921</v>
      </c>
      <c r="K332" s="171">
        <v>0</v>
      </c>
      <c r="L332" s="59">
        <v>190</v>
      </c>
      <c r="M332" t="b">
        <f t="shared" si="6"/>
        <v>0</v>
      </c>
    </row>
    <row r="333" customHeight="1" spans="1:13">
      <c r="A333" s="167">
        <v>30039</v>
      </c>
      <c r="B333" s="167">
        <v>1</v>
      </c>
      <c r="C333" s="168" t="s">
        <v>930</v>
      </c>
      <c r="D333" s="167">
        <v>0</v>
      </c>
      <c r="E333" s="167">
        <v>850000</v>
      </c>
      <c r="F333" s="167">
        <v>0</v>
      </c>
      <c r="G333" s="167">
        <v>0</v>
      </c>
      <c r="H333" s="167">
        <v>1147</v>
      </c>
      <c r="I333" s="167">
        <v>23</v>
      </c>
      <c r="J333" s="167" t="s">
        <v>926</v>
      </c>
      <c r="K333" s="171">
        <v>0</v>
      </c>
      <c r="L333" s="59">
        <v>200</v>
      </c>
      <c r="M333" t="b">
        <f t="shared" si="6"/>
        <v>0</v>
      </c>
    </row>
    <row r="334" customHeight="1" spans="1:13">
      <c r="A334" s="167">
        <v>30040</v>
      </c>
      <c r="B334" s="167">
        <v>1</v>
      </c>
      <c r="C334" s="168" t="s">
        <v>932</v>
      </c>
      <c r="D334" s="167">
        <v>0</v>
      </c>
      <c r="E334" s="167">
        <v>360000</v>
      </c>
      <c r="F334" s="167">
        <v>180</v>
      </c>
      <c r="G334" s="167">
        <v>0</v>
      </c>
      <c r="H334" s="167">
        <v>1137</v>
      </c>
      <c r="I334" s="167">
        <v>4</v>
      </c>
      <c r="J334" s="181" t="s">
        <v>921</v>
      </c>
      <c r="K334" s="171">
        <v>0</v>
      </c>
      <c r="L334" s="59">
        <v>200</v>
      </c>
      <c r="M334" t="b">
        <f t="shared" si="6"/>
        <v>0</v>
      </c>
    </row>
    <row r="335" customHeight="1" spans="1:13">
      <c r="A335" s="167">
        <v>30041</v>
      </c>
      <c r="B335" s="167">
        <v>2</v>
      </c>
      <c r="C335" s="168" t="s">
        <v>925</v>
      </c>
      <c r="D335" s="167">
        <v>11022</v>
      </c>
      <c r="E335" s="167">
        <v>3</v>
      </c>
      <c r="F335" s="167">
        <v>0</v>
      </c>
      <c r="G335" s="167">
        <v>0</v>
      </c>
      <c r="H335" s="167">
        <v>1149</v>
      </c>
      <c r="I335" s="167">
        <v>23</v>
      </c>
      <c r="J335" s="167" t="s">
        <v>931</v>
      </c>
      <c r="K335" s="171">
        <v>11022</v>
      </c>
      <c r="L335" s="59">
        <v>200</v>
      </c>
      <c r="M335" t="b">
        <f t="shared" si="6"/>
        <v>0</v>
      </c>
    </row>
    <row r="336" customHeight="1" spans="1:13">
      <c r="A336" s="167">
        <v>30042</v>
      </c>
      <c r="B336" s="167">
        <v>4</v>
      </c>
      <c r="C336" s="168" t="s">
        <v>928</v>
      </c>
      <c r="D336" s="167">
        <v>9000</v>
      </c>
      <c r="E336" s="167">
        <v>3</v>
      </c>
      <c r="F336" s="167">
        <v>0</v>
      </c>
      <c r="G336" s="167">
        <v>0</v>
      </c>
      <c r="H336" s="167">
        <v>1137</v>
      </c>
      <c r="I336" s="167">
        <v>3</v>
      </c>
      <c r="J336" s="167" t="s">
        <v>921</v>
      </c>
      <c r="K336" s="171">
        <v>0</v>
      </c>
      <c r="L336" s="59">
        <v>200</v>
      </c>
      <c r="M336">
        <f t="shared" si="6"/>
        <v>1</v>
      </c>
    </row>
    <row r="337" customHeight="1" spans="1:13">
      <c r="A337" s="167">
        <v>30043</v>
      </c>
      <c r="B337" s="167">
        <v>1</v>
      </c>
      <c r="C337" s="168" t="s">
        <v>930</v>
      </c>
      <c r="D337" s="167">
        <v>0</v>
      </c>
      <c r="E337" s="167">
        <v>900000</v>
      </c>
      <c r="F337" s="167">
        <v>0</v>
      </c>
      <c r="G337" s="167">
        <v>0</v>
      </c>
      <c r="H337" s="167">
        <v>1150</v>
      </c>
      <c r="I337" s="167">
        <v>5</v>
      </c>
      <c r="J337" s="167" t="s">
        <v>935</v>
      </c>
      <c r="K337" s="171">
        <v>0</v>
      </c>
      <c r="L337" s="59">
        <v>200</v>
      </c>
      <c r="M337" t="b">
        <f t="shared" si="6"/>
        <v>0</v>
      </c>
    </row>
    <row r="338" customHeight="1" spans="1:13">
      <c r="A338" s="167">
        <v>30044</v>
      </c>
      <c r="B338" s="167">
        <v>1</v>
      </c>
      <c r="C338" s="168" t="s">
        <v>932</v>
      </c>
      <c r="D338" s="167">
        <v>0</v>
      </c>
      <c r="E338" s="167">
        <v>380000</v>
      </c>
      <c r="F338" s="167">
        <v>180</v>
      </c>
      <c r="G338" s="167">
        <v>0</v>
      </c>
      <c r="H338" s="167">
        <v>1137</v>
      </c>
      <c r="I338" s="167">
        <v>4</v>
      </c>
      <c r="J338" s="181" t="s">
        <v>921</v>
      </c>
      <c r="K338" s="171">
        <v>0</v>
      </c>
      <c r="L338" s="59">
        <v>200</v>
      </c>
      <c r="M338" t="b">
        <f t="shared" si="6"/>
        <v>0</v>
      </c>
    </row>
    <row r="339" customHeight="1" spans="1:13">
      <c r="A339" s="167">
        <v>30045</v>
      </c>
      <c r="B339" s="167">
        <v>3</v>
      </c>
      <c r="C339" s="168" t="s">
        <v>990</v>
      </c>
      <c r="D339" s="167">
        <v>0</v>
      </c>
      <c r="E339" s="167">
        <v>1</v>
      </c>
      <c r="F339" s="167">
        <v>0</v>
      </c>
      <c r="G339" s="167">
        <v>0</v>
      </c>
      <c r="H339" s="167">
        <v>1145</v>
      </c>
      <c r="I339" s="167">
        <v>24</v>
      </c>
      <c r="J339" s="167" t="s">
        <v>927</v>
      </c>
      <c r="K339" s="171">
        <v>0</v>
      </c>
      <c r="L339" s="59">
        <v>200</v>
      </c>
      <c r="M339" t="b">
        <f t="shared" si="6"/>
        <v>0</v>
      </c>
    </row>
    <row r="340" customHeight="1" spans="1:13">
      <c r="A340" s="167">
        <v>30046</v>
      </c>
      <c r="B340" s="167">
        <v>5</v>
      </c>
      <c r="C340" s="168" t="s">
        <v>955</v>
      </c>
      <c r="D340" s="167">
        <v>0</v>
      </c>
      <c r="E340" s="167">
        <v>2</v>
      </c>
      <c r="F340" s="167">
        <v>0</v>
      </c>
      <c r="G340" s="167">
        <v>0</v>
      </c>
      <c r="H340" s="167">
        <v>1137</v>
      </c>
      <c r="I340" s="167">
        <v>3</v>
      </c>
      <c r="J340" s="167" t="s">
        <v>921</v>
      </c>
      <c r="K340" s="171">
        <v>0</v>
      </c>
      <c r="L340" s="59">
        <v>210</v>
      </c>
      <c r="M340" t="b">
        <f t="shared" si="6"/>
        <v>0</v>
      </c>
    </row>
    <row r="341" customHeight="1" spans="1:13">
      <c r="A341" s="167">
        <v>30047</v>
      </c>
      <c r="B341" s="167">
        <v>1</v>
      </c>
      <c r="C341" s="168" t="s">
        <v>930</v>
      </c>
      <c r="D341" s="167">
        <v>0</v>
      </c>
      <c r="E341" s="167">
        <v>950000</v>
      </c>
      <c r="F341" s="167">
        <v>0</v>
      </c>
      <c r="G341" s="167">
        <v>0</v>
      </c>
      <c r="H341" s="167">
        <v>1147</v>
      </c>
      <c r="I341" s="167">
        <v>24</v>
      </c>
      <c r="J341" s="167" t="s">
        <v>926</v>
      </c>
      <c r="K341" s="171">
        <v>0</v>
      </c>
      <c r="L341" s="59">
        <v>210</v>
      </c>
      <c r="M341" t="b">
        <f t="shared" si="6"/>
        <v>0</v>
      </c>
    </row>
    <row r="342" customHeight="1" spans="1:13">
      <c r="A342" s="167">
        <v>30048</v>
      </c>
      <c r="B342" s="167">
        <v>1</v>
      </c>
      <c r="C342" s="168" t="s">
        <v>932</v>
      </c>
      <c r="D342" s="167">
        <v>0</v>
      </c>
      <c r="E342" s="167">
        <v>400000</v>
      </c>
      <c r="F342" s="167">
        <v>180</v>
      </c>
      <c r="G342" s="167">
        <v>0</v>
      </c>
      <c r="H342" s="167">
        <v>1137</v>
      </c>
      <c r="I342" s="167">
        <v>4</v>
      </c>
      <c r="J342" s="181" t="s">
        <v>921</v>
      </c>
      <c r="K342" s="171">
        <v>0</v>
      </c>
      <c r="L342" s="59">
        <v>220</v>
      </c>
      <c r="M342" t="b">
        <f t="shared" si="6"/>
        <v>0</v>
      </c>
    </row>
    <row r="343" customHeight="1" spans="1:13">
      <c r="A343" s="167">
        <v>30049</v>
      </c>
      <c r="B343" s="167">
        <v>2</v>
      </c>
      <c r="C343" s="168" t="s">
        <v>925</v>
      </c>
      <c r="D343" s="167">
        <v>11014</v>
      </c>
      <c r="E343" s="167">
        <v>4</v>
      </c>
      <c r="F343" s="167">
        <v>0</v>
      </c>
      <c r="G343" s="167">
        <v>0</v>
      </c>
      <c r="H343" s="167">
        <v>1149</v>
      </c>
      <c r="I343" s="167">
        <v>24</v>
      </c>
      <c r="J343" s="167" t="s">
        <v>931</v>
      </c>
      <c r="K343" s="171">
        <v>11014</v>
      </c>
      <c r="L343" s="59">
        <v>220</v>
      </c>
      <c r="M343" t="b">
        <f t="shared" si="6"/>
        <v>0</v>
      </c>
    </row>
    <row r="344" customHeight="1" spans="1:13">
      <c r="A344" s="169">
        <v>30050</v>
      </c>
      <c r="B344" s="169">
        <v>9</v>
      </c>
      <c r="C344" s="170" t="s">
        <v>934</v>
      </c>
      <c r="D344" s="169">
        <v>0</v>
      </c>
      <c r="E344" s="169">
        <v>50000</v>
      </c>
      <c r="F344" s="169">
        <v>0</v>
      </c>
      <c r="G344" s="169">
        <v>0</v>
      </c>
      <c r="H344" s="169">
        <v>1137</v>
      </c>
      <c r="I344" s="167">
        <v>3</v>
      </c>
      <c r="J344" s="169" t="s">
        <v>921</v>
      </c>
      <c r="K344" s="171">
        <v>0</v>
      </c>
      <c r="L344" s="59">
        <v>220</v>
      </c>
      <c r="M344" t="b">
        <f t="shared" si="6"/>
        <v>0</v>
      </c>
    </row>
    <row r="345" customHeight="1" spans="1:13">
      <c r="A345" s="167">
        <v>30051</v>
      </c>
      <c r="B345" s="167">
        <v>1</v>
      </c>
      <c r="C345" s="168" t="s">
        <v>930</v>
      </c>
      <c r="D345" s="167">
        <v>0</v>
      </c>
      <c r="E345" s="167">
        <v>1000000</v>
      </c>
      <c r="F345" s="167">
        <v>0</v>
      </c>
      <c r="G345" s="167">
        <v>0</v>
      </c>
      <c r="H345" s="167">
        <v>1150</v>
      </c>
      <c r="I345" s="167">
        <v>6</v>
      </c>
      <c r="J345" s="167" t="s">
        <v>935</v>
      </c>
      <c r="K345" s="171">
        <v>0</v>
      </c>
      <c r="L345" s="59">
        <v>230</v>
      </c>
      <c r="M345" t="b">
        <f t="shared" si="6"/>
        <v>0</v>
      </c>
    </row>
    <row r="346" customHeight="1" spans="1:13">
      <c r="A346" s="167">
        <v>30052</v>
      </c>
      <c r="B346" s="167">
        <v>1</v>
      </c>
      <c r="C346" s="168" t="s">
        <v>932</v>
      </c>
      <c r="D346" s="167">
        <v>0</v>
      </c>
      <c r="E346" s="167">
        <v>420000</v>
      </c>
      <c r="F346" s="167">
        <v>180</v>
      </c>
      <c r="G346" s="167">
        <v>0</v>
      </c>
      <c r="H346" s="167">
        <v>1137</v>
      </c>
      <c r="I346" s="167">
        <v>4</v>
      </c>
      <c r="J346" s="181" t="s">
        <v>921</v>
      </c>
      <c r="K346" s="171">
        <v>0</v>
      </c>
      <c r="L346" s="59">
        <v>230</v>
      </c>
      <c r="M346" t="b">
        <f t="shared" si="6"/>
        <v>0</v>
      </c>
    </row>
    <row r="347" customHeight="1" spans="1:13">
      <c r="A347" s="167">
        <v>30053</v>
      </c>
      <c r="B347" s="167">
        <v>2</v>
      </c>
      <c r="C347" s="168" t="s">
        <v>925</v>
      </c>
      <c r="D347" s="167">
        <v>11091</v>
      </c>
      <c r="E347" s="167">
        <v>1</v>
      </c>
      <c r="F347" s="167">
        <v>0</v>
      </c>
      <c r="G347" s="167">
        <v>0</v>
      </c>
      <c r="H347" s="167">
        <v>1145</v>
      </c>
      <c r="I347" s="167">
        <v>25</v>
      </c>
      <c r="J347" s="167" t="s">
        <v>927</v>
      </c>
      <c r="K347" s="167">
        <v>11091</v>
      </c>
      <c r="L347" s="59">
        <v>240</v>
      </c>
      <c r="M347" t="b">
        <f t="shared" si="6"/>
        <v>0</v>
      </c>
    </row>
    <row r="348" customHeight="1" spans="1:13">
      <c r="A348" s="167">
        <v>30054</v>
      </c>
      <c r="B348" s="167">
        <v>9</v>
      </c>
      <c r="C348" s="168" t="s">
        <v>934</v>
      </c>
      <c r="D348" s="167">
        <v>0</v>
      </c>
      <c r="E348" s="167">
        <v>60000</v>
      </c>
      <c r="F348" s="167">
        <v>0</v>
      </c>
      <c r="G348" s="167">
        <v>0</v>
      </c>
      <c r="H348" s="167">
        <v>1137</v>
      </c>
      <c r="I348" s="167">
        <v>3</v>
      </c>
      <c r="J348" s="167" t="s">
        <v>921</v>
      </c>
      <c r="K348" s="171">
        <v>0</v>
      </c>
      <c r="L348" s="59">
        <v>240</v>
      </c>
      <c r="M348" t="b">
        <f t="shared" si="6"/>
        <v>0</v>
      </c>
    </row>
    <row r="349" customHeight="1" spans="1:13">
      <c r="A349" s="167">
        <v>30055</v>
      </c>
      <c r="B349" s="167">
        <v>1</v>
      </c>
      <c r="C349" s="168" t="s">
        <v>930</v>
      </c>
      <c r="D349" s="167">
        <v>0</v>
      </c>
      <c r="E349" s="167">
        <v>1050000</v>
      </c>
      <c r="F349" s="167">
        <v>0</v>
      </c>
      <c r="G349" s="167">
        <v>0</v>
      </c>
      <c r="H349" s="167">
        <v>1147</v>
      </c>
      <c r="I349" s="167">
        <v>25</v>
      </c>
      <c r="J349" s="167" t="s">
        <v>926</v>
      </c>
      <c r="K349" s="171">
        <v>0</v>
      </c>
      <c r="L349" s="59">
        <v>240</v>
      </c>
      <c r="M349" t="b">
        <f t="shared" si="6"/>
        <v>0</v>
      </c>
    </row>
    <row r="350" customHeight="1" spans="1:13">
      <c r="A350" s="167">
        <v>30056</v>
      </c>
      <c r="B350" s="167">
        <v>1</v>
      </c>
      <c r="C350" s="168" t="s">
        <v>932</v>
      </c>
      <c r="D350" s="167">
        <v>0</v>
      </c>
      <c r="E350" s="167">
        <v>440000</v>
      </c>
      <c r="F350" s="167">
        <v>180</v>
      </c>
      <c r="G350" s="167">
        <v>0</v>
      </c>
      <c r="H350" s="167">
        <v>1137</v>
      </c>
      <c r="I350" s="167">
        <v>4</v>
      </c>
      <c r="J350" s="181" t="s">
        <v>921</v>
      </c>
      <c r="K350" s="171">
        <v>0</v>
      </c>
      <c r="L350" s="59">
        <v>250</v>
      </c>
      <c r="M350" t="b">
        <f t="shared" si="6"/>
        <v>0</v>
      </c>
    </row>
    <row r="351" customHeight="1" spans="1:13">
      <c r="A351" s="167">
        <v>30057</v>
      </c>
      <c r="B351" s="167">
        <v>4</v>
      </c>
      <c r="C351" s="168" t="s">
        <v>928</v>
      </c>
      <c r="D351" s="167">
        <v>10000</v>
      </c>
      <c r="E351" s="167">
        <v>2</v>
      </c>
      <c r="F351" s="167">
        <v>0</v>
      </c>
      <c r="G351" s="167">
        <v>0</v>
      </c>
      <c r="H351" s="167">
        <v>1149</v>
      </c>
      <c r="I351" s="167">
        <v>25</v>
      </c>
      <c r="J351" s="167" t="s">
        <v>931</v>
      </c>
      <c r="K351" s="171">
        <v>0</v>
      </c>
      <c r="L351" s="59">
        <v>250</v>
      </c>
      <c r="M351">
        <f t="shared" si="6"/>
        <v>1</v>
      </c>
    </row>
    <row r="352" customHeight="1" spans="1:13">
      <c r="A352" s="167">
        <v>30058</v>
      </c>
      <c r="B352" s="167">
        <v>5</v>
      </c>
      <c r="C352" s="168" t="s">
        <v>955</v>
      </c>
      <c r="D352" s="167">
        <v>0</v>
      </c>
      <c r="E352" s="167">
        <v>2</v>
      </c>
      <c r="F352" s="167">
        <v>0</v>
      </c>
      <c r="G352" s="167">
        <v>0</v>
      </c>
      <c r="H352" s="167">
        <v>1137</v>
      </c>
      <c r="I352" s="167">
        <v>3</v>
      </c>
      <c r="J352" s="167" t="s">
        <v>921</v>
      </c>
      <c r="K352" s="171">
        <v>0</v>
      </c>
      <c r="L352" s="59">
        <v>260</v>
      </c>
      <c r="M352" t="b">
        <f t="shared" si="6"/>
        <v>0</v>
      </c>
    </row>
    <row r="353" customHeight="1" spans="1:13">
      <c r="A353" s="169">
        <v>30059</v>
      </c>
      <c r="B353" s="169">
        <v>1</v>
      </c>
      <c r="C353" s="170" t="s">
        <v>930</v>
      </c>
      <c r="D353" s="169">
        <v>0</v>
      </c>
      <c r="E353" s="169">
        <v>1100000</v>
      </c>
      <c r="F353" s="169">
        <v>0</v>
      </c>
      <c r="G353" s="169">
        <v>0</v>
      </c>
      <c r="H353" s="169">
        <v>1150</v>
      </c>
      <c r="I353" s="169">
        <v>6</v>
      </c>
      <c r="J353" s="169" t="s">
        <v>935</v>
      </c>
      <c r="K353" s="171">
        <v>0</v>
      </c>
      <c r="L353" s="59">
        <v>260</v>
      </c>
      <c r="M353" t="b">
        <f t="shared" si="6"/>
        <v>0</v>
      </c>
    </row>
    <row r="354" customHeight="1" spans="1:13">
      <c r="A354" s="167">
        <v>30060</v>
      </c>
      <c r="B354" s="167">
        <v>1</v>
      </c>
      <c r="C354" s="168" t="s">
        <v>932</v>
      </c>
      <c r="D354" s="167">
        <v>0</v>
      </c>
      <c r="E354" s="167">
        <v>460000</v>
      </c>
      <c r="F354" s="167">
        <v>180</v>
      </c>
      <c r="G354" s="167">
        <v>0</v>
      </c>
      <c r="H354" s="167">
        <v>1137</v>
      </c>
      <c r="I354" s="167">
        <v>4</v>
      </c>
      <c r="J354" s="181" t="s">
        <v>921</v>
      </c>
      <c r="K354" s="171">
        <v>0</v>
      </c>
      <c r="L354" s="59">
        <v>260</v>
      </c>
      <c r="M354" t="b">
        <f t="shared" si="6"/>
        <v>0</v>
      </c>
    </row>
    <row r="355" customHeight="1" spans="1:13">
      <c r="A355" s="167">
        <v>30061</v>
      </c>
      <c r="B355" s="167">
        <v>2</v>
      </c>
      <c r="C355" s="168" t="s">
        <v>925</v>
      </c>
      <c r="D355" s="167">
        <v>11019</v>
      </c>
      <c r="E355" s="167">
        <v>2</v>
      </c>
      <c r="F355" s="167">
        <v>0</v>
      </c>
      <c r="G355" s="167">
        <v>0</v>
      </c>
      <c r="H355" s="167">
        <v>1145</v>
      </c>
      <c r="I355" s="167">
        <v>26</v>
      </c>
      <c r="J355" s="167" t="s">
        <v>927</v>
      </c>
      <c r="K355" s="171">
        <v>11019</v>
      </c>
      <c r="L355" s="59">
        <v>270</v>
      </c>
      <c r="M355" t="b">
        <f t="shared" si="6"/>
        <v>0</v>
      </c>
    </row>
    <row r="356" customHeight="1" spans="1:13">
      <c r="A356" s="167">
        <v>30062</v>
      </c>
      <c r="B356" s="167">
        <v>9</v>
      </c>
      <c r="C356" s="168" t="s">
        <v>934</v>
      </c>
      <c r="D356" s="167">
        <v>0</v>
      </c>
      <c r="E356" s="167">
        <v>70000</v>
      </c>
      <c r="F356" s="167">
        <v>0</v>
      </c>
      <c r="G356" s="167">
        <v>0</v>
      </c>
      <c r="H356" s="167">
        <v>1137</v>
      </c>
      <c r="I356" s="167">
        <v>3</v>
      </c>
      <c r="J356" s="167" t="s">
        <v>921</v>
      </c>
      <c r="K356" s="171">
        <v>0</v>
      </c>
      <c r="L356" s="59">
        <v>270</v>
      </c>
      <c r="M356" t="b">
        <f t="shared" si="6"/>
        <v>0</v>
      </c>
    </row>
    <row r="357" customHeight="1" spans="1:13">
      <c r="A357" s="167">
        <v>30063</v>
      </c>
      <c r="B357" s="167">
        <v>1</v>
      </c>
      <c r="C357" s="168" t="s">
        <v>930</v>
      </c>
      <c r="D357" s="167">
        <v>0</v>
      </c>
      <c r="E357" s="167">
        <v>1150000</v>
      </c>
      <c r="F357" s="167">
        <v>0</v>
      </c>
      <c r="G357" s="167">
        <v>0</v>
      </c>
      <c r="H357" s="167">
        <v>1147</v>
      </c>
      <c r="I357" s="167">
        <v>26</v>
      </c>
      <c r="J357" s="167" t="s">
        <v>926</v>
      </c>
      <c r="K357" s="171">
        <v>0</v>
      </c>
      <c r="L357" s="59">
        <v>280</v>
      </c>
      <c r="M357" t="b">
        <f t="shared" si="6"/>
        <v>0</v>
      </c>
    </row>
    <row r="358" customHeight="1" spans="1:13">
      <c r="A358" s="167">
        <v>30064</v>
      </c>
      <c r="B358" s="167">
        <v>1</v>
      </c>
      <c r="C358" s="168" t="s">
        <v>932</v>
      </c>
      <c r="D358" s="167">
        <v>0</v>
      </c>
      <c r="E358" s="167">
        <v>480000</v>
      </c>
      <c r="F358" s="167">
        <v>180</v>
      </c>
      <c r="G358" s="167">
        <v>0</v>
      </c>
      <c r="H358" s="167">
        <v>1137</v>
      </c>
      <c r="I358" s="167">
        <v>4</v>
      </c>
      <c r="J358" s="181" t="s">
        <v>921</v>
      </c>
      <c r="K358" s="171">
        <v>0</v>
      </c>
      <c r="L358" s="59">
        <v>280</v>
      </c>
      <c r="M358" t="b">
        <f t="shared" si="6"/>
        <v>0</v>
      </c>
    </row>
    <row r="359" customHeight="1" spans="1:13">
      <c r="A359" s="167">
        <v>30065</v>
      </c>
      <c r="B359" s="167">
        <v>4</v>
      </c>
      <c r="C359" s="168" t="s">
        <v>928</v>
      </c>
      <c r="D359" s="167">
        <v>8000</v>
      </c>
      <c r="E359" s="167">
        <v>3</v>
      </c>
      <c r="F359" s="167">
        <v>0</v>
      </c>
      <c r="G359" s="167">
        <v>0</v>
      </c>
      <c r="H359" s="167">
        <v>1149</v>
      </c>
      <c r="I359" s="167">
        <v>26</v>
      </c>
      <c r="J359" s="167" t="s">
        <v>931</v>
      </c>
      <c r="K359" s="171">
        <v>0</v>
      </c>
      <c r="L359" s="59">
        <v>280</v>
      </c>
      <c r="M359">
        <f t="shared" si="6"/>
        <v>1</v>
      </c>
    </row>
    <row r="360" customHeight="1" spans="1:13">
      <c r="A360" s="167">
        <v>30066</v>
      </c>
      <c r="B360" s="167">
        <v>5</v>
      </c>
      <c r="C360" s="168" t="s">
        <v>955</v>
      </c>
      <c r="D360" s="167">
        <v>0</v>
      </c>
      <c r="E360" s="167">
        <v>2</v>
      </c>
      <c r="F360" s="167">
        <v>0</v>
      </c>
      <c r="G360" s="167">
        <v>0</v>
      </c>
      <c r="H360" s="167">
        <v>1137</v>
      </c>
      <c r="I360" s="167">
        <v>3</v>
      </c>
      <c r="J360" s="167" t="s">
        <v>921</v>
      </c>
      <c r="K360" s="171">
        <v>0</v>
      </c>
      <c r="L360" s="59">
        <v>290</v>
      </c>
      <c r="M360" t="b">
        <f t="shared" si="6"/>
        <v>0</v>
      </c>
    </row>
    <row r="361" customHeight="1" spans="1:13">
      <c r="A361" s="167">
        <v>30067</v>
      </c>
      <c r="B361" s="167">
        <v>1</v>
      </c>
      <c r="C361" s="168" t="s">
        <v>930</v>
      </c>
      <c r="D361" s="167">
        <v>0</v>
      </c>
      <c r="E361" s="167">
        <v>1200000</v>
      </c>
      <c r="F361" s="167">
        <v>0</v>
      </c>
      <c r="G361" s="167">
        <v>0</v>
      </c>
      <c r="H361" s="167">
        <v>1150</v>
      </c>
      <c r="I361" s="167">
        <v>7</v>
      </c>
      <c r="J361" s="167" t="s">
        <v>935</v>
      </c>
      <c r="K361" s="171">
        <v>0</v>
      </c>
      <c r="L361" s="59">
        <v>290</v>
      </c>
      <c r="M361" t="b">
        <f t="shared" si="6"/>
        <v>0</v>
      </c>
    </row>
    <row r="362" customHeight="1" spans="1:13">
      <c r="A362" s="167">
        <v>30068</v>
      </c>
      <c r="B362" s="167">
        <v>1</v>
      </c>
      <c r="C362" s="168" t="s">
        <v>932</v>
      </c>
      <c r="D362" s="167">
        <v>0</v>
      </c>
      <c r="E362" s="167">
        <v>500000</v>
      </c>
      <c r="F362" s="167">
        <v>180</v>
      </c>
      <c r="G362" s="167">
        <v>0</v>
      </c>
      <c r="H362" s="167">
        <v>1137</v>
      </c>
      <c r="I362" s="167">
        <v>4</v>
      </c>
      <c r="J362" s="181" t="s">
        <v>921</v>
      </c>
      <c r="K362" s="171">
        <v>0</v>
      </c>
      <c r="L362" s="59">
        <v>300</v>
      </c>
      <c r="M362" t="b">
        <f t="shared" si="6"/>
        <v>0</v>
      </c>
    </row>
    <row r="363" customHeight="1" spans="1:13">
      <c r="A363" s="167">
        <v>30069</v>
      </c>
      <c r="B363" s="167">
        <v>2</v>
      </c>
      <c r="C363" s="168" t="s">
        <v>925</v>
      </c>
      <c r="D363" s="167">
        <v>11008</v>
      </c>
      <c r="E363" s="167">
        <v>10</v>
      </c>
      <c r="F363" s="167">
        <v>0</v>
      </c>
      <c r="G363" s="167">
        <v>0</v>
      </c>
      <c r="H363" s="167">
        <v>1145</v>
      </c>
      <c r="I363" s="167">
        <v>27</v>
      </c>
      <c r="J363" s="167" t="s">
        <v>927</v>
      </c>
      <c r="K363" s="171">
        <v>11008</v>
      </c>
      <c r="L363" s="59">
        <v>300</v>
      </c>
      <c r="M363" t="b">
        <f t="shared" si="6"/>
        <v>0</v>
      </c>
    </row>
    <row r="364" customHeight="1" spans="1:13">
      <c r="A364" s="167">
        <v>30070</v>
      </c>
      <c r="B364" s="167">
        <v>9</v>
      </c>
      <c r="C364" s="168" t="s">
        <v>934</v>
      </c>
      <c r="D364" s="167">
        <v>0</v>
      </c>
      <c r="E364" s="167">
        <v>80000</v>
      </c>
      <c r="F364" s="167">
        <v>0</v>
      </c>
      <c r="G364" s="167">
        <v>0</v>
      </c>
      <c r="H364" s="167">
        <v>1137</v>
      </c>
      <c r="I364" s="167">
        <v>3</v>
      </c>
      <c r="J364" s="167" t="s">
        <v>921</v>
      </c>
      <c r="K364" s="171">
        <v>0</v>
      </c>
      <c r="L364" s="59">
        <v>300</v>
      </c>
      <c r="M364" t="b">
        <f t="shared" si="6"/>
        <v>0</v>
      </c>
    </row>
    <row r="365" customHeight="1" spans="1:13">
      <c r="A365" s="167">
        <v>30071</v>
      </c>
      <c r="B365" s="167">
        <v>1</v>
      </c>
      <c r="C365" s="168" t="s">
        <v>930</v>
      </c>
      <c r="D365" s="167">
        <v>0</v>
      </c>
      <c r="E365" s="167">
        <v>1250000</v>
      </c>
      <c r="F365" s="167">
        <v>0</v>
      </c>
      <c r="G365" s="167">
        <v>0</v>
      </c>
      <c r="H365" s="167">
        <v>1147</v>
      </c>
      <c r="I365" s="167">
        <v>27</v>
      </c>
      <c r="J365" s="167" t="s">
        <v>926</v>
      </c>
      <c r="K365" s="171">
        <v>0</v>
      </c>
      <c r="L365" s="59">
        <v>310</v>
      </c>
      <c r="M365" t="b">
        <f t="shared" si="6"/>
        <v>0</v>
      </c>
    </row>
    <row r="366" customHeight="1" spans="1:13">
      <c r="A366" s="167">
        <v>30072</v>
      </c>
      <c r="B366" s="167">
        <v>1</v>
      </c>
      <c r="C366" s="168" t="s">
        <v>932</v>
      </c>
      <c r="D366" s="167">
        <v>0</v>
      </c>
      <c r="E366" s="167">
        <v>520000</v>
      </c>
      <c r="F366" s="167">
        <v>180</v>
      </c>
      <c r="G366" s="167">
        <v>0</v>
      </c>
      <c r="H366" s="167">
        <v>1137</v>
      </c>
      <c r="I366" s="167">
        <v>4</v>
      </c>
      <c r="J366" s="181" t="s">
        <v>921</v>
      </c>
      <c r="K366" s="171">
        <v>0</v>
      </c>
      <c r="L366" s="59">
        <v>310</v>
      </c>
      <c r="M366" t="b">
        <f t="shared" si="6"/>
        <v>0</v>
      </c>
    </row>
    <row r="367" customHeight="1" spans="1:13">
      <c r="A367" s="167">
        <v>30073</v>
      </c>
      <c r="B367" s="167">
        <v>4</v>
      </c>
      <c r="C367" s="168" t="s">
        <v>928</v>
      </c>
      <c r="D367" s="167">
        <v>6000</v>
      </c>
      <c r="E367" s="167">
        <v>3</v>
      </c>
      <c r="F367" s="167">
        <v>0</v>
      </c>
      <c r="G367" s="167">
        <v>0</v>
      </c>
      <c r="H367" s="167">
        <v>1149</v>
      </c>
      <c r="I367" s="167">
        <v>27</v>
      </c>
      <c r="J367" s="167" t="s">
        <v>931</v>
      </c>
      <c r="K367" s="171">
        <v>0</v>
      </c>
      <c r="L367" s="59">
        <v>320</v>
      </c>
      <c r="M367">
        <f t="shared" si="6"/>
        <v>1</v>
      </c>
    </row>
    <row r="368" customHeight="1" spans="1:13">
      <c r="A368" s="167">
        <v>30074</v>
      </c>
      <c r="B368" s="167">
        <v>5</v>
      </c>
      <c r="C368" s="168" t="s">
        <v>955</v>
      </c>
      <c r="D368" s="167">
        <v>0</v>
      </c>
      <c r="E368" s="167">
        <v>2</v>
      </c>
      <c r="F368" s="167">
        <v>0</v>
      </c>
      <c r="G368" s="167">
        <v>0</v>
      </c>
      <c r="H368" s="167">
        <v>1137</v>
      </c>
      <c r="I368" s="167">
        <v>3</v>
      </c>
      <c r="J368" s="167" t="s">
        <v>921</v>
      </c>
      <c r="K368" s="171">
        <v>0</v>
      </c>
      <c r="L368" s="59">
        <v>320</v>
      </c>
      <c r="M368" t="b">
        <f t="shared" si="6"/>
        <v>0</v>
      </c>
    </row>
    <row r="369" customHeight="1" spans="1:13">
      <c r="A369" s="167">
        <v>30075</v>
      </c>
      <c r="B369" s="167">
        <v>1</v>
      </c>
      <c r="C369" s="168" t="s">
        <v>930</v>
      </c>
      <c r="D369" s="167">
        <v>0</v>
      </c>
      <c r="E369" s="167">
        <v>1300000</v>
      </c>
      <c r="F369" s="167">
        <v>0</v>
      </c>
      <c r="G369" s="167">
        <v>0</v>
      </c>
      <c r="H369" s="167">
        <v>1150</v>
      </c>
      <c r="I369" s="167">
        <v>7</v>
      </c>
      <c r="J369" s="167" t="s">
        <v>935</v>
      </c>
      <c r="K369" s="171">
        <v>0</v>
      </c>
      <c r="L369" s="59">
        <v>320</v>
      </c>
      <c r="M369" t="b">
        <f t="shared" si="6"/>
        <v>0</v>
      </c>
    </row>
    <row r="370" customHeight="1" spans="1:13">
      <c r="A370" s="167">
        <v>30076</v>
      </c>
      <c r="B370" s="167">
        <v>1</v>
      </c>
      <c r="C370" s="168" t="s">
        <v>932</v>
      </c>
      <c r="D370" s="167">
        <v>0</v>
      </c>
      <c r="E370" s="167">
        <v>540000</v>
      </c>
      <c r="F370" s="167">
        <v>180</v>
      </c>
      <c r="G370" s="167">
        <v>0</v>
      </c>
      <c r="H370" s="167">
        <v>1137</v>
      </c>
      <c r="I370" s="167">
        <v>4</v>
      </c>
      <c r="J370" s="181" t="s">
        <v>921</v>
      </c>
      <c r="K370" s="171">
        <v>0</v>
      </c>
      <c r="L370" s="59">
        <v>330</v>
      </c>
      <c r="M370" t="b">
        <f t="shared" si="6"/>
        <v>0</v>
      </c>
    </row>
    <row r="371" customHeight="1" spans="1:13">
      <c r="A371" s="167">
        <v>30077</v>
      </c>
      <c r="B371" s="167">
        <v>2</v>
      </c>
      <c r="C371" s="168" t="s">
        <v>925</v>
      </c>
      <c r="D371" s="167">
        <v>11009</v>
      </c>
      <c r="E371" s="167">
        <v>6</v>
      </c>
      <c r="F371" s="167">
        <v>0</v>
      </c>
      <c r="G371" s="167">
        <v>0</v>
      </c>
      <c r="H371" s="167">
        <v>1145</v>
      </c>
      <c r="I371" s="167">
        <v>27</v>
      </c>
      <c r="J371" s="167" t="s">
        <v>927</v>
      </c>
      <c r="K371" s="171">
        <v>11009</v>
      </c>
      <c r="L371" s="59">
        <v>330</v>
      </c>
      <c r="M371" t="b">
        <f t="shared" si="6"/>
        <v>0</v>
      </c>
    </row>
    <row r="372" customHeight="1" spans="1:13">
      <c r="A372" s="167">
        <v>30078</v>
      </c>
      <c r="B372" s="167">
        <v>9</v>
      </c>
      <c r="C372" s="168" t="s">
        <v>934</v>
      </c>
      <c r="D372" s="167">
        <v>0</v>
      </c>
      <c r="E372" s="167">
        <v>90000</v>
      </c>
      <c r="F372" s="167">
        <v>0</v>
      </c>
      <c r="G372" s="167">
        <v>0</v>
      </c>
      <c r="H372" s="167">
        <v>1137</v>
      </c>
      <c r="I372" s="167">
        <v>3</v>
      </c>
      <c r="J372" s="167" t="s">
        <v>921</v>
      </c>
      <c r="K372" s="171">
        <v>0</v>
      </c>
      <c r="L372" s="59">
        <v>330</v>
      </c>
      <c r="M372" t="b">
        <f t="shared" si="6"/>
        <v>0</v>
      </c>
    </row>
    <row r="373" customHeight="1" spans="1:13">
      <c r="A373" s="167">
        <v>30079</v>
      </c>
      <c r="B373" s="167">
        <v>1</v>
      </c>
      <c r="C373" s="168" t="s">
        <v>930</v>
      </c>
      <c r="D373" s="167">
        <v>0</v>
      </c>
      <c r="E373" s="167">
        <v>1350000</v>
      </c>
      <c r="F373" s="167">
        <v>0</v>
      </c>
      <c r="G373" s="167">
        <v>0</v>
      </c>
      <c r="H373" s="167">
        <v>1147</v>
      </c>
      <c r="I373" s="167">
        <v>27</v>
      </c>
      <c r="J373" s="167" t="s">
        <v>926</v>
      </c>
      <c r="K373" s="171">
        <v>0</v>
      </c>
      <c r="L373" s="59">
        <v>330</v>
      </c>
      <c r="M373" t="b">
        <f t="shared" si="6"/>
        <v>0</v>
      </c>
    </row>
    <row r="374" customHeight="1" spans="1:13">
      <c r="A374" s="167">
        <v>30080</v>
      </c>
      <c r="B374" s="167">
        <v>1</v>
      </c>
      <c r="C374" s="168" t="s">
        <v>932</v>
      </c>
      <c r="D374" s="167">
        <v>0</v>
      </c>
      <c r="E374" s="167">
        <v>550000</v>
      </c>
      <c r="F374" s="167">
        <v>180</v>
      </c>
      <c r="G374" s="167">
        <v>0</v>
      </c>
      <c r="H374" s="167">
        <v>1137</v>
      </c>
      <c r="I374" s="167">
        <v>4</v>
      </c>
      <c r="J374" s="181" t="s">
        <v>921</v>
      </c>
      <c r="K374" s="171">
        <v>0</v>
      </c>
      <c r="L374" s="59">
        <v>330</v>
      </c>
      <c r="M374" t="b">
        <f t="shared" si="6"/>
        <v>0</v>
      </c>
    </row>
    <row r="375" customHeight="1" spans="1:13">
      <c r="A375" s="167">
        <v>30081</v>
      </c>
      <c r="B375" s="167">
        <v>4</v>
      </c>
      <c r="C375" s="168" t="s">
        <v>928</v>
      </c>
      <c r="D375" s="167">
        <v>7000</v>
      </c>
      <c r="E375" s="167">
        <v>3</v>
      </c>
      <c r="F375" s="167">
        <v>0</v>
      </c>
      <c r="G375" s="167">
        <v>0</v>
      </c>
      <c r="H375" s="167">
        <v>1149</v>
      </c>
      <c r="I375" s="167">
        <v>27</v>
      </c>
      <c r="J375" s="167" t="s">
        <v>931</v>
      </c>
      <c r="K375" s="171">
        <v>0</v>
      </c>
      <c r="L375">
        <v>340</v>
      </c>
      <c r="M375">
        <f t="shared" si="6"/>
        <v>1</v>
      </c>
    </row>
    <row r="376" customHeight="1" spans="1:13">
      <c r="A376" s="167">
        <v>30082</v>
      </c>
      <c r="B376" s="167">
        <v>5</v>
      </c>
      <c r="C376" s="168" t="s">
        <v>955</v>
      </c>
      <c r="D376" s="167">
        <v>0</v>
      </c>
      <c r="E376" s="167">
        <v>3</v>
      </c>
      <c r="F376" s="167">
        <v>0</v>
      </c>
      <c r="G376" s="167">
        <v>0</v>
      </c>
      <c r="H376" s="167">
        <v>1137</v>
      </c>
      <c r="I376" s="167">
        <v>3</v>
      </c>
      <c r="J376" s="167" t="s">
        <v>921</v>
      </c>
      <c r="K376" s="171">
        <v>0</v>
      </c>
      <c r="L376">
        <v>340</v>
      </c>
      <c r="M376" t="b">
        <f t="shared" si="6"/>
        <v>0</v>
      </c>
    </row>
    <row r="377" customHeight="1" spans="1:13">
      <c r="A377" s="167">
        <v>30083</v>
      </c>
      <c r="B377" s="167">
        <v>1</v>
      </c>
      <c r="C377" s="168" t="s">
        <v>930</v>
      </c>
      <c r="D377" s="167">
        <v>0</v>
      </c>
      <c r="E377" s="167">
        <v>1400000</v>
      </c>
      <c r="F377" s="167">
        <v>0</v>
      </c>
      <c r="G377" s="167">
        <v>0</v>
      </c>
      <c r="H377" s="167">
        <v>1150</v>
      </c>
      <c r="I377" s="167">
        <v>8</v>
      </c>
      <c r="J377" s="167" t="s">
        <v>935</v>
      </c>
      <c r="K377" s="171">
        <v>0</v>
      </c>
      <c r="L377">
        <v>340</v>
      </c>
      <c r="M377" t="b">
        <f t="shared" si="6"/>
        <v>0</v>
      </c>
    </row>
    <row r="378" customHeight="1" spans="1:13">
      <c r="A378" s="167">
        <v>30084</v>
      </c>
      <c r="B378" s="167">
        <v>1</v>
      </c>
      <c r="C378" s="168" t="s">
        <v>932</v>
      </c>
      <c r="D378" s="167">
        <v>0</v>
      </c>
      <c r="E378" s="167">
        <v>560000</v>
      </c>
      <c r="F378" s="167">
        <v>180</v>
      </c>
      <c r="G378" s="167">
        <v>0</v>
      </c>
      <c r="H378" s="167">
        <v>1137</v>
      </c>
      <c r="I378" s="167">
        <v>4</v>
      </c>
      <c r="J378" s="181" t="s">
        <v>921</v>
      </c>
      <c r="K378" s="171">
        <v>0</v>
      </c>
      <c r="L378">
        <v>340</v>
      </c>
      <c r="M378" t="b">
        <f t="shared" si="6"/>
        <v>0</v>
      </c>
    </row>
    <row r="379" customHeight="1" spans="1:13">
      <c r="A379" s="167">
        <v>30085</v>
      </c>
      <c r="B379" s="167">
        <v>2</v>
      </c>
      <c r="C379" s="168" t="s">
        <v>925</v>
      </c>
      <c r="D379" s="167">
        <v>11011</v>
      </c>
      <c r="E379" s="167">
        <v>4</v>
      </c>
      <c r="F379" s="167">
        <v>0</v>
      </c>
      <c r="G379" s="167">
        <v>0</v>
      </c>
      <c r="H379" s="167">
        <v>1145</v>
      </c>
      <c r="I379" s="167">
        <v>28</v>
      </c>
      <c r="J379" s="167" t="s">
        <v>927</v>
      </c>
      <c r="K379" s="171">
        <v>11011</v>
      </c>
      <c r="L379">
        <v>340</v>
      </c>
      <c r="M379" t="b">
        <f t="shared" si="6"/>
        <v>0</v>
      </c>
    </row>
    <row r="380" customHeight="1" spans="1:13">
      <c r="A380" s="167">
        <v>30086</v>
      </c>
      <c r="B380" s="167">
        <v>9</v>
      </c>
      <c r="C380" s="168" t="s">
        <v>934</v>
      </c>
      <c r="D380" s="167">
        <v>0</v>
      </c>
      <c r="E380" s="167">
        <v>100000</v>
      </c>
      <c r="F380" s="167">
        <v>0</v>
      </c>
      <c r="G380" s="167">
        <v>0</v>
      </c>
      <c r="H380" s="167">
        <v>1137</v>
      </c>
      <c r="I380" s="167">
        <v>3</v>
      </c>
      <c r="J380" s="167" t="s">
        <v>921</v>
      </c>
      <c r="K380" s="171">
        <v>0</v>
      </c>
      <c r="L380">
        <v>350</v>
      </c>
      <c r="M380" t="b">
        <f t="shared" si="6"/>
        <v>0</v>
      </c>
    </row>
    <row r="381" customHeight="1" spans="1:13">
      <c r="A381" s="167">
        <v>30087</v>
      </c>
      <c r="B381" s="167">
        <v>1</v>
      </c>
      <c r="C381" s="168" t="s">
        <v>930</v>
      </c>
      <c r="D381" s="167">
        <v>0</v>
      </c>
      <c r="E381" s="167">
        <v>1450000</v>
      </c>
      <c r="F381" s="167">
        <v>0</v>
      </c>
      <c r="G381" s="167">
        <v>0</v>
      </c>
      <c r="H381" s="167">
        <v>1147</v>
      </c>
      <c r="I381" s="167">
        <v>28</v>
      </c>
      <c r="J381" s="167" t="s">
        <v>926</v>
      </c>
      <c r="K381" s="171">
        <v>0</v>
      </c>
      <c r="L381">
        <v>350</v>
      </c>
      <c r="M381" t="b">
        <f t="shared" si="6"/>
        <v>0</v>
      </c>
    </row>
    <row r="382" customHeight="1" spans="1:13">
      <c r="A382" s="167">
        <v>30088</v>
      </c>
      <c r="B382" s="167">
        <v>1</v>
      </c>
      <c r="C382" s="168" t="s">
        <v>932</v>
      </c>
      <c r="D382" s="167">
        <v>0</v>
      </c>
      <c r="E382" s="167">
        <v>570000</v>
      </c>
      <c r="F382" s="167">
        <v>180</v>
      </c>
      <c r="G382" s="167">
        <v>0</v>
      </c>
      <c r="H382" s="167">
        <v>1137</v>
      </c>
      <c r="I382" s="167">
        <v>4</v>
      </c>
      <c r="J382" s="181" t="s">
        <v>921</v>
      </c>
      <c r="K382" s="171">
        <v>0</v>
      </c>
      <c r="L382">
        <v>350</v>
      </c>
      <c r="M382" t="b">
        <f t="shared" si="6"/>
        <v>0</v>
      </c>
    </row>
    <row r="383" customHeight="1" spans="1:13">
      <c r="A383" s="167">
        <v>30089</v>
      </c>
      <c r="B383" s="167">
        <v>4</v>
      </c>
      <c r="C383" s="168" t="s">
        <v>928</v>
      </c>
      <c r="D383" s="167">
        <v>5000</v>
      </c>
      <c r="E383" s="167">
        <v>10</v>
      </c>
      <c r="F383" s="167">
        <v>0</v>
      </c>
      <c r="G383" s="167">
        <v>0</v>
      </c>
      <c r="H383" s="167">
        <v>1149</v>
      </c>
      <c r="I383" s="167">
        <v>28</v>
      </c>
      <c r="J383" s="167" t="s">
        <v>931</v>
      </c>
      <c r="K383" s="171">
        <v>0</v>
      </c>
      <c r="L383">
        <v>350</v>
      </c>
      <c r="M383">
        <f t="shared" si="6"/>
        <v>1</v>
      </c>
    </row>
    <row r="384" customHeight="1" spans="1:13">
      <c r="A384" s="167">
        <v>30090</v>
      </c>
      <c r="B384" s="167">
        <v>5</v>
      </c>
      <c r="C384" s="168" t="s">
        <v>955</v>
      </c>
      <c r="D384" s="167">
        <v>0</v>
      </c>
      <c r="E384" s="167">
        <v>3</v>
      </c>
      <c r="F384" s="167">
        <v>0</v>
      </c>
      <c r="G384" s="167">
        <v>0</v>
      </c>
      <c r="H384" s="167">
        <v>1137</v>
      </c>
      <c r="I384" s="167">
        <v>3</v>
      </c>
      <c r="J384" s="167" t="s">
        <v>921</v>
      </c>
      <c r="K384" s="171">
        <v>0</v>
      </c>
      <c r="L384">
        <v>350</v>
      </c>
      <c r="M384" t="b">
        <f t="shared" si="6"/>
        <v>0</v>
      </c>
    </row>
    <row r="385" customHeight="1" spans="1:13">
      <c r="A385" s="167">
        <v>30091</v>
      </c>
      <c r="B385" s="167">
        <v>1</v>
      </c>
      <c r="C385" s="168" t="s">
        <v>930</v>
      </c>
      <c r="D385" s="167">
        <v>0</v>
      </c>
      <c r="E385" s="167">
        <v>1500000</v>
      </c>
      <c r="F385" s="167">
        <v>0</v>
      </c>
      <c r="G385" s="167">
        <v>0</v>
      </c>
      <c r="H385" s="167">
        <v>1150</v>
      </c>
      <c r="I385" s="167">
        <v>8</v>
      </c>
      <c r="J385" s="167" t="s">
        <v>935</v>
      </c>
      <c r="K385" s="171">
        <v>0</v>
      </c>
      <c r="L385">
        <v>400</v>
      </c>
      <c r="M385" t="b">
        <f t="shared" si="6"/>
        <v>0</v>
      </c>
    </row>
    <row r="386" customHeight="1" spans="1:13">
      <c r="A386" s="167">
        <v>30092</v>
      </c>
      <c r="B386" s="167">
        <v>1</v>
      </c>
      <c r="C386" s="168" t="s">
        <v>932</v>
      </c>
      <c r="D386" s="167">
        <v>0</v>
      </c>
      <c r="E386" s="167">
        <v>580000</v>
      </c>
      <c r="F386" s="167">
        <v>180</v>
      </c>
      <c r="G386" s="167">
        <v>0</v>
      </c>
      <c r="H386" s="167">
        <v>1137</v>
      </c>
      <c r="I386" s="167">
        <v>4</v>
      </c>
      <c r="J386" s="181" t="s">
        <v>921</v>
      </c>
      <c r="K386" s="171">
        <v>0</v>
      </c>
      <c r="L386">
        <v>400</v>
      </c>
      <c r="M386" t="b">
        <f t="shared" ref="M386:M449" si="7">IF(D386&lt;&gt;K386,1)</f>
        <v>0</v>
      </c>
    </row>
    <row r="387" customHeight="1" spans="1:13">
      <c r="A387" s="167">
        <v>30093</v>
      </c>
      <c r="B387" s="167">
        <v>2</v>
      </c>
      <c r="C387" s="168" t="s">
        <v>925</v>
      </c>
      <c r="D387" s="167">
        <v>11014</v>
      </c>
      <c r="E387" s="167">
        <v>4</v>
      </c>
      <c r="F387" s="167">
        <v>0</v>
      </c>
      <c r="G387" s="167">
        <v>0</v>
      </c>
      <c r="H387" s="167">
        <v>1145</v>
      </c>
      <c r="I387" s="167">
        <v>29</v>
      </c>
      <c r="J387" s="167" t="s">
        <v>927</v>
      </c>
      <c r="K387" s="167">
        <v>11014</v>
      </c>
      <c r="L387">
        <v>400</v>
      </c>
      <c r="M387" t="b">
        <f t="shared" si="7"/>
        <v>0</v>
      </c>
    </row>
    <row r="388" customHeight="1" spans="1:13">
      <c r="A388" s="167">
        <v>30094</v>
      </c>
      <c r="B388" s="167">
        <v>9</v>
      </c>
      <c r="C388" s="168" t="s">
        <v>934</v>
      </c>
      <c r="D388" s="167">
        <v>0</v>
      </c>
      <c r="E388" s="167">
        <v>110000</v>
      </c>
      <c r="F388" s="167">
        <v>0</v>
      </c>
      <c r="G388" s="167">
        <v>0</v>
      </c>
      <c r="H388" s="167">
        <v>1137</v>
      </c>
      <c r="I388" s="167">
        <v>3</v>
      </c>
      <c r="J388" s="167" t="s">
        <v>921</v>
      </c>
      <c r="K388" s="171">
        <v>0</v>
      </c>
      <c r="L388">
        <v>400</v>
      </c>
      <c r="M388" t="b">
        <f t="shared" si="7"/>
        <v>0</v>
      </c>
    </row>
    <row r="389" customHeight="1" spans="1:13">
      <c r="A389" s="167">
        <v>30095</v>
      </c>
      <c r="B389" s="167">
        <v>1</v>
      </c>
      <c r="C389" s="168" t="s">
        <v>930</v>
      </c>
      <c r="D389" s="167">
        <v>0</v>
      </c>
      <c r="E389" s="167">
        <v>1550000</v>
      </c>
      <c r="F389" s="167">
        <v>0</v>
      </c>
      <c r="G389" s="167">
        <v>0</v>
      </c>
      <c r="H389" s="167">
        <v>1147</v>
      </c>
      <c r="I389" s="167">
        <v>29</v>
      </c>
      <c r="J389" s="167" t="s">
        <v>926</v>
      </c>
      <c r="K389" s="171">
        <v>0</v>
      </c>
      <c r="L389">
        <v>400</v>
      </c>
      <c r="M389" t="b">
        <f t="shared" si="7"/>
        <v>0</v>
      </c>
    </row>
    <row r="390" customHeight="1" spans="1:13">
      <c r="A390" s="167">
        <v>30096</v>
      </c>
      <c r="B390" s="167">
        <v>1</v>
      </c>
      <c r="C390" s="168" t="s">
        <v>932</v>
      </c>
      <c r="D390" s="167">
        <v>0</v>
      </c>
      <c r="E390" s="167">
        <v>590000</v>
      </c>
      <c r="F390" s="167">
        <v>180</v>
      </c>
      <c r="G390" s="167">
        <v>0</v>
      </c>
      <c r="H390" s="167">
        <v>1137</v>
      </c>
      <c r="I390" s="167">
        <v>4</v>
      </c>
      <c r="J390" s="181" t="s">
        <v>921</v>
      </c>
      <c r="K390" s="171">
        <v>0</v>
      </c>
      <c r="L390">
        <v>400</v>
      </c>
      <c r="M390" t="b">
        <f t="shared" si="7"/>
        <v>0</v>
      </c>
    </row>
    <row r="391" customHeight="1" spans="1:13">
      <c r="A391" s="167">
        <v>30097</v>
      </c>
      <c r="B391" s="167">
        <v>4</v>
      </c>
      <c r="C391" s="168" t="s">
        <v>928</v>
      </c>
      <c r="D391" s="167">
        <v>4000</v>
      </c>
      <c r="E391" s="167">
        <v>20</v>
      </c>
      <c r="F391" s="167">
        <v>0</v>
      </c>
      <c r="G391" s="167">
        <v>0</v>
      </c>
      <c r="H391" s="167">
        <v>1149</v>
      </c>
      <c r="I391" s="167">
        <v>29</v>
      </c>
      <c r="J391" s="167" t="s">
        <v>931</v>
      </c>
      <c r="K391" s="171">
        <v>0</v>
      </c>
      <c r="L391">
        <v>400</v>
      </c>
      <c r="M391">
        <f t="shared" si="7"/>
        <v>1</v>
      </c>
    </row>
    <row r="392" customHeight="1" spans="1:13">
      <c r="A392" s="167">
        <v>30098</v>
      </c>
      <c r="B392" s="167">
        <v>5</v>
      </c>
      <c r="C392" s="168" t="s">
        <v>955</v>
      </c>
      <c r="D392" s="167">
        <v>0</v>
      </c>
      <c r="E392" s="167">
        <v>3</v>
      </c>
      <c r="F392" s="167">
        <v>0</v>
      </c>
      <c r="G392" s="167">
        <v>0</v>
      </c>
      <c r="H392" s="167">
        <v>1137</v>
      </c>
      <c r="I392" s="167">
        <v>3</v>
      </c>
      <c r="J392" s="167" t="s">
        <v>921</v>
      </c>
      <c r="K392" s="171">
        <v>0</v>
      </c>
      <c r="L392">
        <v>400</v>
      </c>
      <c r="M392" t="b">
        <f t="shared" si="7"/>
        <v>0</v>
      </c>
    </row>
    <row r="393" customHeight="1" spans="1:13">
      <c r="A393" s="167">
        <v>30099</v>
      </c>
      <c r="B393" s="167">
        <v>1</v>
      </c>
      <c r="C393" s="168" t="s">
        <v>930</v>
      </c>
      <c r="D393" s="167">
        <v>0</v>
      </c>
      <c r="E393" s="167">
        <v>1600000</v>
      </c>
      <c r="F393" s="167">
        <v>0</v>
      </c>
      <c r="G393" s="167">
        <v>0</v>
      </c>
      <c r="H393" s="167">
        <v>1150</v>
      </c>
      <c r="I393" s="167">
        <v>9</v>
      </c>
      <c r="J393" s="167" t="s">
        <v>935</v>
      </c>
      <c r="K393" s="171">
        <v>0</v>
      </c>
      <c r="L393">
        <v>400</v>
      </c>
      <c r="M393" t="b">
        <f t="shared" si="7"/>
        <v>0</v>
      </c>
    </row>
    <row r="394" customHeight="1" spans="1:13">
      <c r="A394" s="167">
        <v>30100</v>
      </c>
      <c r="B394" s="167">
        <v>1</v>
      </c>
      <c r="C394" s="168" t="s">
        <v>932</v>
      </c>
      <c r="D394" s="167">
        <v>0</v>
      </c>
      <c r="E394" s="167">
        <v>600000</v>
      </c>
      <c r="F394" s="167">
        <v>180</v>
      </c>
      <c r="G394" s="167">
        <v>0</v>
      </c>
      <c r="H394" s="167">
        <v>1137</v>
      </c>
      <c r="I394" s="167">
        <v>4</v>
      </c>
      <c r="J394" s="181" t="s">
        <v>921</v>
      </c>
      <c r="K394" s="171">
        <v>0</v>
      </c>
      <c r="L394">
        <v>400</v>
      </c>
      <c r="M394" t="b">
        <f t="shared" si="7"/>
        <v>0</v>
      </c>
    </row>
    <row r="395" customHeight="1" spans="1:13">
      <c r="A395" s="167">
        <v>31001</v>
      </c>
      <c r="B395" s="167">
        <v>2</v>
      </c>
      <c r="C395" s="168" t="s">
        <v>925</v>
      </c>
      <c r="D395" s="167">
        <v>11019</v>
      </c>
      <c r="E395" s="167">
        <v>2</v>
      </c>
      <c r="F395" s="167">
        <v>0</v>
      </c>
      <c r="G395" s="167">
        <v>0</v>
      </c>
      <c r="H395" s="167">
        <v>47003</v>
      </c>
      <c r="I395" s="167">
        <v>30</v>
      </c>
      <c r="J395" s="167" t="s">
        <v>982</v>
      </c>
      <c r="K395" s="171">
        <v>11019</v>
      </c>
      <c r="L395">
        <v>400</v>
      </c>
      <c r="M395" t="b">
        <f t="shared" si="7"/>
        <v>0</v>
      </c>
    </row>
    <row r="396" customHeight="1" spans="1:13">
      <c r="A396" s="167">
        <v>31002</v>
      </c>
      <c r="B396" s="167">
        <v>9</v>
      </c>
      <c r="C396" s="168" t="s">
        <v>934</v>
      </c>
      <c r="D396" s="167">
        <v>0</v>
      </c>
      <c r="E396" s="167">
        <v>120000</v>
      </c>
      <c r="F396" s="167">
        <v>0</v>
      </c>
      <c r="G396" s="167">
        <v>0</v>
      </c>
      <c r="H396" s="167">
        <v>1137</v>
      </c>
      <c r="I396" s="167">
        <v>3</v>
      </c>
      <c r="J396" s="167" t="s">
        <v>921</v>
      </c>
      <c r="K396" s="171">
        <v>0</v>
      </c>
      <c r="L396">
        <v>400</v>
      </c>
      <c r="M396" t="b">
        <f t="shared" si="7"/>
        <v>0</v>
      </c>
    </row>
    <row r="397" customHeight="1" spans="1:13">
      <c r="A397" s="167">
        <v>31003</v>
      </c>
      <c r="B397" s="167">
        <v>1</v>
      </c>
      <c r="C397" s="168" t="s">
        <v>930</v>
      </c>
      <c r="D397" s="167">
        <v>0</v>
      </c>
      <c r="E397" s="167">
        <v>1600000</v>
      </c>
      <c r="F397" s="167">
        <v>0</v>
      </c>
      <c r="G397" s="167">
        <v>0</v>
      </c>
      <c r="H397" s="167">
        <v>47003</v>
      </c>
      <c r="I397" s="167">
        <v>30</v>
      </c>
      <c r="J397" s="167" t="s">
        <v>982</v>
      </c>
      <c r="K397" s="171">
        <v>0</v>
      </c>
      <c r="L397">
        <v>400</v>
      </c>
      <c r="M397" t="b">
        <f t="shared" si="7"/>
        <v>0</v>
      </c>
    </row>
    <row r="398" customHeight="1" spans="1:13">
      <c r="A398" s="167">
        <v>31004</v>
      </c>
      <c r="B398" s="167">
        <v>1</v>
      </c>
      <c r="C398" s="168" t="s">
        <v>932</v>
      </c>
      <c r="D398" s="167">
        <v>0</v>
      </c>
      <c r="E398" s="167">
        <v>600000</v>
      </c>
      <c r="F398" s="167">
        <v>180</v>
      </c>
      <c r="G398" s="167">
        <v>0</v>
      </c>
      <c r="H398" s="167">
        <v>1137</v>
      </c>
      <c r="I398" s="167">
        <v>3</v>
      </c>
      <c r="J398" s="167" t="s">
        <v>921</v>
      </c>
      <c r="K398" s="171">
        <v>0</v>
      </c>
      <c r="L398">
        <v>400</v>
      </c>
      <c r="M398" t="b">
        <f t="shared" si="7"/>
        <v>0</v>
      </c>
    </row>
    <row r="399" customHeight="1" spans="1:13">
      <c r="A399" s="167">
        <v>31005</v>
      </c>
      <c r="B399" s="167">
        <v>3</v>
      </c>
      <c r="C399" s="168" t="s">
        <v>990</v>
      </c>
      <c r="D399" s="167">
        <v>0</v>
      </c>
      <c r="E399" s="167">
        <v>1</v>
      </c>
      <c r="F399" s="167">
        <v>0</v>
      </c>
      <c r="G399" s="167">
        <v>0</v>
      </c>
      <c r="H399" s="167">
        <v>47003</v>
      </c>
      <c r="I399" s="167">
        <v>30</v>
      </c>
      <c r="J399" s="167" t="s">
        <v>982</v>
      </c>
      <c r="K399" s="171">
        <v>0</v>
      </c>
      <c r="L399">
        <v>400</v>
      </c>
      <c r="M399" t="b">
        <f t="shared" si="7"/>
        <v>0</v>
      </c>
    </row>
    <row r="400" customHeight="1" spans="1:13">
      <c r="A400" s="167">
        <v>31006</v>
      </c>
      <c r="B400" s="167">
        <v>5</v>
      </c>
      <c r="C400" s="168" t="s">
        <v>955</v>
      </c>
      <c r="D400" s="167">
        <v>0</v>
      </c>
      <c r="E400" s="167">
        <v>3</v>
      </c>
      <c r="F400" s="167">
        <v>0</v>
      </c>
      <c r="G400" s="167">
        <v>0</v>
      </c>
      <c r="H400" s="167">
        <v>1137</v>
      </c>
      <c r="I400" s="167">
        <v>3</v>
      </c>
      <c r="J400" s="167" t="s">
        <v>921</v>
      </c>
      <c r="K400" s="171">
        <v>0</v>
      </c>
      <c r="L400">
        <v>400</v>
      </c>
      <c r="M400" t="b">
        <f t="shared" si="7"/>
        <v>0</v>
      </c>
    </row>
    <row r="401" customHeight="1" spans="1:13">
      <c r="A401" s="167">
        <v>31007</v>
      </c>
      <c r="B401" s="167">
        <v>1</v>
      </c>
      <c r="C401" s="168" t="s">
        <v>930</v>
      </c>
      <c r="D401" s="167">
        <v>0</v>
      </c>
      <c r="E401" s="167">
        <v>1600000</v>
      </c>
      <c r="F401" s="167">
        <v>0</v>
      </c>
      <c r="G401" s="167">
        <v>0</v>
      </c>
      <c r="H401" s="167">
        <v>47003</v>
      </c>
      <c r="I401" s="167">
        <v>30</v>
      </c>
      <c r="J401" s="167" t="s">
        <v>982</v>
      </c>
      <c r="K401" s="171">
        <v>0</v>
      </c>
      <c r="L401">
        <v>400</v>
      </c>
      <c r="M401" t="b">
        <f t="shared" si="7"/>
        <v>0</v>
      </c>
    </row>
    <row r="402" customHeight="1" spans="1:13">
      <c r="A402" s="167">
        <v>31008</v>
      </c>
      <c r="B402" s="167">
        <v>1</v>
      </c>
      <c r="C402" s="168" t="s">
        <v>932</v>
      </c>
      <c r="D402" s="167">
        <v>0</v>
      </c>
      <c r="E402" s="167">
        <v>600000</v>
      </c>
      <c r="F402" s="167">
        <v>180</v>
      </c>
      <c r="G402" s="167">
        <v>0</v>
      </c>
      <c r="H402" s="167">
        <v>1137</v>
      </c>
      <c r="I402" s="167">
        <v>3</v>
      </c>
      <c r="J402" s="167" t="s">
        <v>921</v>
      </c>
      <c r="K402" s="171">
        <v>0</v>
      </c>
      <c r="L402">
        <v>400</v>
      </c>
      <c r="M402" t="b">
        <f t="shared" si="7"/>
        <v>0</v>
      </c>
    </row>
    <row r="403" customHeight="1" spans="1:13">
      <c r="A403" s="167">
        <v>31009</v>
      </c>
      <c r="B403" s="167">
        <v>4</v>
      </c>
      <c r="C403" s="168" t="s">
        <v>928</v>
      </c>
      <c r="D403" s="167">
        <v>2000</v>
      </c>
      <c r="E403" s="167">
        <v>20</v>
      </c>
      <c r="F403" s="167">
        <v>0</v>
      </c>
      <c r="G403" s="167">
        <v>0</v>
      </c>
      <c r="H403" s="167">
        <v>47003</v>
      </c>
      <c r="I403" s="167">
        <v>30</v>
      </c>
      <c r="J403" s="167" t="s">
        <v>982</v>
      </c>
      <c r="K403" s="171">
        <v>0</v>
      </c>
      <c r="L403">
        <v>400</v>
      </c>
      <c r="M403">
        <f t="shared" si="7"/>
        <v>1</v>
      </c>
    </row>
    <row r="404" customHeight="1" spans="1:13">
      <c r="A404" s="167">
        <v>31010</v>
      </c>
      <c r="B404" s="167">
        <v>5</v>
      </c>
      <c r="C404" s="168" t="s">
        <v>955</v>
      </c>
      <c r="D404" s="167">
        <v>0</v>
      </c>
      <c r="E404" s="167">
        <v>3</v>
      </c>
      <c r="F404" s="167">
        <v>0</v>
      </c>
      <c r="G404" s="167">
        <v>0</v>
      </c>
      <c r="H404" s="167">
        <v>1137</v>
      </c>
      <c r="I404" s="167">
        <v>3</v>
      </c>
      <c r="J404" s="167" t="s">
        <v>921</v>
      </c>
      <c r="K404" s="171">
        <v>0</v>
      </c>
      <c r="L404">
        <v>400</v>
      </c>
      <c r="M404" t="b">
        <f t="shared" si="7"/>
        <v>0</v>
      </c>
    </row>
    <row r="405" customHeight="1" spans="1:13">
      <c r="A405" s="167">
        <v>31011</v>
      </c>
      <c r="B405" s="167">
        <v>1</v>
      </c>
      <c r="C405" s="168" t="s">
        <v>930</v>
      </c>
      <c r="D405" s="167">
        <v>0</v>
      </c>
      <c r="E405" s="167">
        <v>1600000</v>
      </c>
      <c r="F405" s="167">
        <v>0</v>
      </c>
      <c r="G405" s="167">
        <v>0</v>
      </c>
      <c r="H405" s="167">
        <v>47003</v>
      </c>
      <c r="I405" s="167">
        <v>30</v>
      </c>
      <c r="J405" s="167" t="s">
        <v>982</v>
      </c>
      <c r="K405" s="171">
        <v>0</v>
      </c>
      <c r="L405">
        <v>400</v>
      </c>
      <c r="M405" t="b">
        <f t="shared" si="7"/>
        <v>0</v>
      </c>
    </row>
    <row r="406" customHeight="1" spans="1:13">
      <c r="A406" s="167">
        <v>31012</v>
      </c>
      <c r="B406" s="167">
        <v>1</v>
      </c>
      <c r="C406" s="168" t="s">
        <v>932</v>
      </c>
      <c r="D406" s="167">
        <v>0</v>
      </c>
      <c r="E406" s="167">
        <v>600000</v>
      </c>
      <c r="F406" s="167">
        <v>180</v>
      </c>
      <c r="G406" s="167">
        <v>0</v>
      </c>
      <c r="H406" s="167">
        <v>1137</v>
      </c>
      <c r="I406" s="167">
        <v>3</v>
      </c>
      <c r="J406" s="167" t="s">
        <v>921</v>
      </c>
      <c r="K406" s="171">
        <v>0</v>
      </c>
      <c r="L406">
        <v>400</v>
      </c>
      <c r="M406" t="b">
        <f t="shared" si="7"/>
        <v>0</v>
      </c>
    </row>
    <row r="407" customHeight="1" spans="1:13">
      <c r="A407" s="167">
        <v>31013</v>
      </c>
      <c r="B407" s="167">
        <v>2</v>
      </c>
      <c r="C407" s="168" t="s">
        <v>925</v>
      </c>
      <c r="D407" s="167">
        <v>11021</v>
      </c>
      <c r="E407" s="167">
        <v>2</v>
      </c>
      <c r="F407" s="167">
        <v>0</v>
      </c>
      <c r="G407" s="167">
        <v>0</v>
      </c>
      <c r="H407" s="167">
        <v>47003</v>
      </c>
      <c r="I407" s="167">
        <v>30</v>
      </c>
      <c r="J407" s="167" t="s">
        <v>982</v>
      </c>
      <c r="K407" s="171">
        <v>11021</v>
      </c>
      <c r="L407">
        <v>400</v>
      </c>
      <c r="M407" t="b">
        <f t="shared" si="7"/>
        <v>0</v>
      </c>
    </row>
    <row r="408" customHeight="1" spans="1:13">
      <c r="A408" s="167">
        <v>31014</v>
      </c>
      <c r="B408" s="167">
        <v>9</v>
      </c>
      <c r="C408" s="168" t="s">
        <v>934</v>
      </c>
      <c r="D408" s="167">
        <v>0</v>
      </c>
      <c r="E408" s="167">
        <v>120000</v>
      </c>
      <c r="F408" s="167">
        <v>0</v>
      </c>
      <c r="G408" s="167">
        <v>0</v>
      </c>
      <c r="H408" s="167">
        <v>1137</v>
      </c>
      <c r="I408" s="167">
        <v>3</v>
      </c>
      <c r="J408" s="167" t="s">
        <v>921</v>
      </c>
      <c r="K408" s="171">
        <v>0</v>
      </c>
      <c r="L408">
        <v>400</v>
      </c>
      <c r="M408" t="b">
        <f t="shared" si="7"/>
        <v>0</v>
      </c>
    </row>
    <row r="409" customHeight="1" spans="1:13">
      <c r="A409" s="167">
        <v>31015</v>
      </c>
      <c r="B409" s="167">
        <v>1</v>
      </c>
      <c r="C409" s="168" t="s">
        <v>930</v>
      </c>
      <c r="D409" s="167">
        <v>0</v>
      </c>
      <c r="E409" s="167">
        <v>1600000</v>
      </c>
      <c r="F409" s="167">
        <v>0</v>
      </c>
      <c r="G409" s="167">
        <v>0</v>
      </c>
      <c r="H409" s="167">
        <v>47003</v>
      </c>
      <c r="I409" s="167">
        <v>30</v>
      </c>
      <c r="J409" s="167" t="s">
        <v>982</v>
      </c>
      <c r="K409" s="171">
        <v>0</v>
      </c>
      <c r="L409">
        <v>400</v>
      </c>
      <c r="M409" t="b">
        <f t="shared" si="7"/>
        <v>0</v>
      </c>
    </row>
    <row r="410" customHeight="1" spans="1:13">
      <c r="A410" s="167">
        <v>31016</v>
      </c>
      <c r="B410" s="167">
        <v>1</v>
      </c>
      <c r="C410" s="168" t="s">
        <v>932</v>
      </c>
      <c r="D410" s="167">
        <v>0</v>
      </c>
      <c r="E410" s="167">
        <v>600000</v>
      </c>
      <c r="F410" s="167">
        <v>180</v>
      </c>
      <c r="G410" s="167">
        <v>0</v>
      </c>
      <c r="H410" s="167">
        <v>1137</v>
      </c>
      <c r="I410" s="167">
        <v>3</v>
      </c>
      <c r="J410" s="167" t="s">
        <v>921</v>
      </c>
      <c r="K410" s="171">
        <v>0</v>
      </c>
      <c r="L410">
        <v>400</v>
      </c>
      <c r="M410" t="b">
        <f t="shared" si="7"/>
        <v>0</v>
      </c>
    </row>
    <row r="411" customHeight="1" spans="1:13">
      <c r="A411" s="167">
        <v>31017</v>
      </c>
      <c r="B411" s="167">
        <v>3</v>
      </c>
      <c r="C411" s="168" t="s">
        <v>990</v>
      </c>
      <c r="D411" s="167">
        <v>0</v>
      </c>
      <c r="E411" s="167">
        <v>1</v>
      </c>
      <c r="F411" s="167">
        <v>0</v>
      </c>
      <c r="G411" s="167">
        <v>0</v>
      </c>
      <c r="H411" s="167">
        <v>47003</v>
      </c>
      <c r="I411" s="167">
        <v>30</v>
      </c>
      <c r="J411" s="167" t="s">
        <v>982</v>
      </c>
      <c r="K411" s="171">
        <v>0</v>
      </c>
      <c r="L411">
        <v>400</v>
      </c>
      <c r="M411" t="b">
        <f t="shared" si="7"/>
        <v>0</v>
      </c>
    </row>
    <row r="412" customHeight="1" spans="1:13">
      <c r="A412" s="167">
        <v>31018</v>
      </c>
      <c r="B412" s="167">
        <v>5</v>
      </c>
      <c r="C412" s="168" t="s">
        <v>955</v>
      </c>
      <c r="D412" s="167">
        <v>0</v>
      </c>
      <c r="E412" s="167">
        <v>3</v>
      </c>
      <c r="F412" s="167">
        <v>0</v>
      </c>
      <c r="G412" s="167">
        <v>0</v>
      </c>
      <c r="H412" s="167">
        <v>1137</v>
      </c>
      <c r="I412" s="167">
        <v>3</v>
      </c>
      <c r="J412" s="167" t="s">
        <v>921</v>
      </c>
      <c r="K412" s="171">
        <v>0</v>
      </c>
      <c r="L412">
        <v>400</v>
      </c>
      <c r="M412" t="b">
        <f t="shared" si="7"/>
        <v>0</v>
      </c>
    </row>
    <row r="413" customHeight="1" spans="1:13">
      <c r="A413" s="167">
        <v>31019</v>
      </c>
      <c r="B413" s="167">
        <v>1</v>
      </c>
      <c r="C413" s="168" t="s">
        <v>930</v>
      </c>
      <c r="D413" s="167">
        <v>0</v>
      </c>
      <c r="E413" s="167">
        <v>1600000</v>
      </c>
      <c r="F413" s="167">
        <v>0</v>
      </c>
      <c r="G413" s="167">
        <v>0</v>
      </c>
      <c r="H413" s="167">
        <v>47003</v>
      </c>
      <c r="I413" s="167">
        <v>30</v>
      </c>
      <c r="J413" s="167" t="s">
        <v>982</v>
      </c>
      <c r="K413" s="171">
        <v>0</v>
      </c>
      <c r="L413">
        <v>400</v>
      </c>
      <c r="M413" t="b">
        <f t="shared" si="7"/>
        <v>0</v>
      </c>
    </row>
    <row r="414" customHeight="1" spans="1:13">
      <c r="A414" s="167">
        <v>31020</v>
      </c>
      <c r="B414" s="167">
        <v>1</v>
      </c>
      <c r="C414" s="168" t="s">
        <v>932</v>
      </c>
      <c r="D414" s="167">
        <v>0</v>
      </c>
      <c r="E414" s="167">
        <v>600000</v>
      </c>
      <c r="F414" s="167">
        <v>180</v>
      </c>
      <c r="G414" s="167">
        <v>0</v>
      </c>
      <c r="H414" s="167">
        <v>1137</v>
      </c>
      <c r="I414" s="167">
        <v>3</v>
      </c>
      <c r="J414" s="167" t="s">
        <v>921</v>
      </c>
      <c r="K414" s="171">
        <v>0</v>
      </c>
      <c r="L414">
        <v>400</v>
      </c>
      <c r="M414" t="b">
        <f t="shared" si="7"/>
        <v>0</v>
      </c>
    </row>
    <row r="415" customHeight="1" spans="1:13">
      <c r="A415" s="167">
        <v>31021</v>
      </c>
      <c r="B415" s="167">
        <v>4</v>
      </c>
      <c r="C415" s="168" t="s">
        <v>928</v>
      </c>
      <c r="D415" s="167">
        <v>8000</v>
      </c>
      <c r="E415" s="167">
        <v>3</v>
      </c>
      <c r="F415" s="167">
        <v>0</v>
      </c>
      <c r="G415" s="167">
        <v>0</v>
      </c>
      <c r="H415" s="167">
        <v>47003</v>
      </c>
      <c r="I415" s="167">
        <v>30</v>
      </c>
      <c r="J415" s="167" t="s">
        <v>982</v>
      </c>
      <c r="K415" s="171">
        <v>0</v>
      </c>
      <c r="L415">
        <v>400</v>
      </c>
      <c r="M415">
        <f t="shared" si="7"/>
        <v>1</v>
      </c>
    </row>
    <row r="416" customHeight="1" spans="1:13">
      <c r="A416" s="167">
        <v>31022</v>
      </c>
      <c r="B416" s="167">
        <v>5</v>
      </c>
      <c r="C416" s="168" t="s">
        <v>955</v>
      </c>
      <c r="D416" s="167">
        <v>0</v>
      </c>
      <c r="E416" s="167">
        <v>3</v>
      </c>
      <c r="F416" s="167">
        <v>0</v>
      </c>
      <c r="G416" s="167">
        <v>0</v>
      </c>
      <c r="H416" s="167">
        <v>1137</v>
      </c>
      <c r="I416" s="167">
        <v>3</v>
      </c>
      <c r="J416" s="167" t="s">
        <v>921</v>
      </c>
      <c r="K416" s="171">
        <v>0</v>
      </c>
      <c r="L416">
        <v>400</v>
      </c>
      <c r="M416" t="b">
        <f t="shared" si="7"/>
        <v>0</v>
      </c>
    </row>
    <row r="417" customHeight="1" spans="1:13">
      <c r="A417" s="167">
        <v>31023</v>
      </c>
      <c r="B417" s="167">
        <v>1</v>
      </c>
      <c r="C417" s="168" t="s">
        <v>930</v>
      </c>
      <c r="D417" s="167">
        <v>0</v>
      </c>
      <c r="E417" s="167">
        <v>1600000</v>
      </c>
      <c r="F417" s="167">
        <v>0</v>
      </c>
      <c r="G417" s="167">
        <v>0</v>
      </c>
      <c r="H417" s="167">
        <v>47003</v>
      </c>
      <c r="I417" s="167">
        <v>30</v>
      </c>
      <c r="J417" s="167" t="s">
        <v>982</v>
      </c>
      <c r="K417" s="171">
        <v>0</v>
      </c>
      <c r="L417">
        <v>400</v>
      </c>
      <c r="M417" t="b">
        <f t="shared" si="7"/>
        <v>0</v>
      </c>
    </row>
    <row r="418" customHeight="1" spans="1:13">
      <c r="A418" s="167">
        <v>31024</v>
      </c>
      <c r="B418" s="167">
        <v>1</v>
      </c>
      <c r="C418" s="168" t="s">
        <v>932</v>
      </c>
      <c r="D418" s="167">
        <v>0</v>
      </c>
      <c r="E418" s="167">
        <v>600000</v>
      </c>
      <c r="F418" s="167">
        <v>180</v>
      </c>
      <c r="G418" s="167">
        <v>0</v>
      </c>
      <c r="H418" s="167">
        <v>1137</v>
      </c>
      <c r="I418" s="167">
        <v>3</v>
      </c>
      <c r="J418" s="167" t="s">
        <v>921</v>
      </c>
      <c r="K418" s="171">
        <v>0</v>
      </c>
      <c r="L418">
        <v>400</v>
      </c>
      <c r="M418" t="b">
        <f t="shared" si="7"/>
        <v>0</v>
      </c>
    </row>
    <row r="419" customHeight="1" spans="1:13">
      <c r="A419" s="167">
        <v>31025</v>
      </c>
      <c r="B419" s="167">
        <v>2</v>
      </c>
      <c r="C419" s="168" t="s">
        <v>925</v>
      </c>
      <c r="D419" s="167">
        <v>11022</v>
      </c>
      <c r="E419" s="167">
        <v>1</v>
      </c>
      <c r="F419" s="167">
        <v>0</v>
      </c>
      <c r="G419" s="167">
        <v>0</v>
      </c>
      <c r="H419" s="167">
        <v>47003</v>
      </c>
      <c r="I419" s="167">
        <v>30</v>
      </c>
      <c r="J419" s="167" t="s">
        <v>982</v>
      </c>
      <c r="K419" s="171">
        <v>11022</v>
      </c>
      <c r="L419">
        <v>400</v>
      </c>
      <c r="M419" t="b">
        <f t="shared" si="7"/>
        <v>0</v>
      </c>
    </row>
    <row r="420" customHeight="1" spans="1:13">
      <c r="A420" s="167">
        <v>31026</v>
      </c>
      <c r="B420" s="167">
        <v>9</v>
      </c>
      <c r="C420" s="168" t="s">
        <v>934</v>
      </c>
      <c r="D420" s="167">
        <v>0</v>
      </c>
      <c r="E420" s="167">
        <v>120000</v>
      </c>
      <c r="F420" s="167">
        <v>0</v>
      </c>
      <c r="G420" s="167">
        <v>0</v>
      </c>
      <c r="H420" s="167">
        <v>1137</v>
      </c>
      <c r="I420" s="167">
        <v>3</v>
      </c>
      <c r="J420" s="167" t="s">
        <v>921</v>
      </c>
      <c r="K420" s="171">
        <v>0</v>
      </c>
      <c r="L420">
        <v>400</v>
      </c>
      <c r="M420" t="b">
        <f t="shared" si="7"/>
        <v>0</v>
      </c>
    </row>
    <row r="421" customHeight="1" spans="1:13">
      <c r="A421" s="167">
        <v>31027</v>
      </c>
      <c r="B421" s="167">
        <v>1</v>
      </c>
      <c r="C421" s="168" t="s">
        <v>930</v>
      </c>
      <c r="D421" s="167">
        <v>0</v>
      </c>
      <c r="E421" s="167">
        <v>1600000</v>
      </c>
      <c r="F421" s="167">
        <v>0</v>
      </c>
      <c r="G421" s="167">
        <v>0</v>
      </c>
      <c r="H421" s="167">
        <v>47003</v>
      </c>
      <c r="I421" s="167">
        <v>30</v>
      </c>
      <c r="J421" s="167" t="s">
        <v>982</v>
      </c>
      <c r="K421" s="171">
        <v>0</v>
      </c>
      <c r="L421">
        <v>400</v>
      </c>
      <c r="M421" t="b">
        <f t="shared" si="7"/>
        <v>0</v>
      </c>
    </row>
    <row r="422" customHeight="1" spans="1:13">
      <c r="A422" s="167">
        <v>31028</v>
      </c>
      <c r="B422" s="167">
        <v>1</v>
      </c>
      <c r="C422" s="168" t="s">
        <v>932</v>
      </c>
      <c r="D422" s="167">
        <v>0</v>
      </c>
      <c r="E422" s="167">
        <v>600000</v>
      </c>
      <c r="F422" s="167">
        <v>180</v>
      </c>
      <c r="G422" s="167">
        <v>0</v>
      </c>
      <c r="H422" s="167">
        <v>1137</v>
      </c>
      <c r="I422" s="167">
        <v>3</v>
      </c>
      <c r="J422" s="167" t="s">
        <v>921</v>
      </c>
      <c r="K422" s="171">
        <v>0</v>
      </c>
      <c r="L422">
        <v>400</v>
      </c>
      <c r="M422" t="b">
        <f t="shared" si="7"/>
        <v>0</v>
      </c>
    </row>
    <row r="423" customHeight="1" spans="1:13">
      <c r="A423" s="167">
        <v>31029</v>
      </c>
      <c r="B423" s="167">
        <v>3</v>
      </c>
      <c r="C423" s="168" t="s">
        <v>990</v>
      </c>
      <c r="D423" s="167">
        <v>0</v>
      </c>
      <c r="E423" s="167">
        <v>1</v>
      </c>
      <c r="F423" s="167">
        <v>0</v>
      </c>
      <c r="G423" s="167">
        <v>0</v>
      </c>
      <c r="H423" s="167">
        <v>47003</v>
      </c>
      <c r="I423" s="167">
        <v>30</v>
      </c>
      <c r="J423" s="167" t="s">
        <v>982</v>
      </c>
      <c r="K423" s="171">
        <v>0</v>
      </c>
      <c r="L423">
        <v>400</v>
      </c>
      <c r="M423" t="b">
        <f t="shared" si="7"/>
        <v>0</v>
      </c>
    </row>
    <row r="424" customHeight="1" spans="1:13">
      <c r="A424" s="167">
        <v>31030</v>
      </c>
      <c r="B424" s="167">
        <v>5</v>
      </c>
      <c r="C424" s="168" t="s">
        <v>955</v>
      </c>
      <c r="D424" s="167">
        <v>0</v>
      </c>
      <c r="E424" s="167">
        <v>3</v>
      </c>
      <c r="F424" s="167">
        <v>0</v>
      </c>
      <c r="G424" s="167">
        <v>0</v>
      </c>
      <c r="H424" s="167">
        <v>1137</v>
      </c>
      <c r="I424" s="167">
        <v>3</v>
      </c>
      <c r="J424" s="167" t="s">
        <v>921</v>
      </c>
      <c r="K424" s="171">
        <v>0</v>
      </c>
      <c r="L424">
        <v>400</v>
      </c>
      <c r="M424" t="b">
        <f t="shared" si="7"/>
        <v>0</v>
      </c>
    </row>
    <row r="425" customHeight="1" spans="1:13">
      <c r="A425" s="167">
        <v>31031</v>
      </c>
      <c r="B425" s="167">
        <v>1</v>
      </c>
      <c r="C425" s="168" t="s">
        <v>930</v>
      </c>
      <c r="D425" s="167">
        <v>0</v>
      </c>
      <c r="E425" s="167">
        <v>1600000</v>
      </c>
      <c r="F425" s="167">
        <v>0</v>
      </c>
      <c r="G425" s="167">
        <v>0</v>
      </c>
      <c r="H425" s="167">
        <v>47003</v>
      </c>
      <c r="I425" s="167">
        <v>30</v>
      </c>
      <c r="J425" s="167" t="s">
        <v>982</v>
      </c>
      <c r="K425" s="171">
        <v>0</v>
      </c>
      <c r="L425">
        <v>400</v>
      </c>
      <c r="M425" t="b">
        <f t="shared" si="7"/>
        <v>0</v>
      </c>
    </row>
    <row r="426" customHeight="1" spans="1:13">
      <c r="A426" s="167">
        <v>31032</v>
      </c>
      <c r="B426" s="167">
        <v>1</v>
      </c>
      <c r="C426" s="168" t="s">
        <v>932</v>
      </c>
      <c r="D426" s="167">
        <v>0</v>
      </c>
      <c r="E426" s="167">
        <v>600000</v>
      </c>
      <c r="F426" s="167">
        <v>180</v>
      </c>
      <c r="G426" s="167">
        <v>0</v>
      </c>
      <c r="H426" s="167">
        <v>1137</v>
      </c>
      <c r="I426" s="167">
        <v>3</v>
      </c>
      <c r="J426" s="167" t="s">
        <v>921</v>
      </c>
      <c r="K426" s="171">
        <v>0</v>
      </c>
      <c r="L426">
        <v>400</v>
      </c>
      <c r="M426" t="b">
        <f t="shared" si="7"/>
        <v>0</v>
      </c>
    </row>
    <row r="427" customHeight="1" spans="1:13">
      <c r="A427" s="167">
        <v>31033</v>
      </c>
      <c r="B427" s="167">
        <v>4</v>
      </c>
      <c r="C427" s="168" t="s">
        <v>928</v>
      </c>
      <c r="D427" s="167">
        <v>4000</v>
      </c>
      <c r="E427" s="167">
        <v>15</v>
      </c>
      <c r="F427" s="167">
        <v>0</v>
      </c>
      <c r="G427" s="167">
        <v>0</v>
      </c>
      <c r="H427" s="167">
        <v>47003</v>
      </c>
      <c r="I427" s="167">
        <v>30</v>
      </c>
      <c r="J427" s="167" t="s">
        <v>982</v>
      </c>
      <c r="K427" s="171">
        <v>0</v>
      </c>
      <c r="L427">
        <v>400</v>
      </c>
      <c r="M427">
        <f t="shared" si="7"/>
        <v>1</v>
      </c>
    </row>
    <row r="428" customHeight="1" spans="1:13">
      <c r="A428" s="167">
        <v>31034</v>
      </c>
      <c r="B428" s="167">
        <v>5</v>
      </c>
      <c r="C428" s="168" t="s">
        <v>955</v>
      </c>
      <c r="D428" s="167">
        <v>0</v>
      </c>
      <c r="E428" s="167">
        <v>3</v>
      </c>
      <c r="F428" s="167">
        <v>0</v>
      </c>
      <c r="G428" s="167">
        <v>0</v>
      </c>
      <c r="H428" s="167">
        <v>1137</v>
      </c>
      <c r="I428" s="167">
        <v>3</v>
      </c>
      <c r="J428" s="167" t="s">
        <v>921</v>
      </c>
      <c r="K428" s="171">
        <v>0</v>
      </c>
      <c r="L428">
        <v>400</v>
      </c>
      <c r="M428" t="b">
        <f t="shared" si="7"/>
        <v>0</v>
      </c>
    </row>
    <row r="429" customHeight="1" spans="1:13">
      <c r="A429" s="167">
        <v>31035</v>
      </c>
      <c r="B429" s="167">
        <v>1</v>
      </c>
      <c r="C429" s="168" t="s">
        <v>930</v>
      </c>
      <c r="D429" s="167">
        <v>0</v>
      </c>
      <c r="E429" s="167">
        <v>1600000</v>
      </c>
      <c r="F429" s="167">
        <v>0</v>
      </c>
      <c r="G429" s="167">
        <v>0</v>
      </c>
      <c r="H429" s="167">
        <v>47003</v>
      </c>
      <c r="I429" s="167">
        <v>30</v>
      </c>
      <c r="J429" s="167" t="s">
        <v>982</v>
      </c>
      <c r="K429" s="171">
        <v>0</v>
      </c>
      <c r="L429">
        <v>400</v>
      </c>
      <c r="M429" t="b">
        <f t="shared" si="7"/>
        <v>0</v>
      </c>
    </row>
    <row r="430" customHeight="1" spans="1:13">
      <c r="A430" s="167">
        <v>31036</v>
      </c>
      <c r="B430" s="167">
        <v>1</v>
      </c>
      <c r="C430" s="168" t="s">
        <v>932</v>
      </c>
      <c r="D430" s="167">
        <v>0</v>
      </c>
      <c r="E430" s="167">
        <v>600000</v>
      </c>
      <c r="F430" s="167">
        <v>180</v>
      </c>
      <c r="G430" s="167">
        <v>0</v>
      </c>
      <c r="H430" s="167">
        <v>1137</v>
      </c>
      <c r="I430" s="167">
        <v>3</v>
      </c>
      <c r="J430" s="167" t="s">
        <v>921</v>
      </c>
      <c r="K430" s="171">
        <v>0</v>
      </c>
      <c r="L430">
        <v>400</v>
      </c>
      <c r="M430" t="b">
        <f t="shared" si="7"/>
        <v>0</v>
      </c>
    </row>
    <row r="431" customHeight="1" spans="1:13">
      <c r="A431" s="167">
        <v>31037</v>
      </c>
      <c r="B431" s="167">
        <v>2</v>
      </c>
      <c r="C431" s="168" t="s">
        <v>925</v>
      </c>
      <c r="D431" s="167">
        <v>11089</v>
      </c>
      <c r="E431" s="167">
        <v>1</v>
      </c>
      <c r="F431" s="167">
        <v>0</v>
      </c>
      <c r="G431" s="167">
        <v>0</v>
      </c>
      <c r="H431" s="167">
        <v>47003</v>
      </c>
      <c r="I431" s="167">
        <v>30</v>
      </c>
      <c r="J431" s="167" t="s">
        <v>982</v>
      </c>
      <c r="K431" s="171">
        <v>11089</v>
      </c>
      <c r="L431">
        <v>400</v>
      </c>
      <c r="M431" t="b">
        <f t="shared" si="7"/>
        <v>0</v>
      </c>
    </row>
    <row r="432" customHeight="1" spans="1:13">
      <c r="A432" s="167">
        <v>31038</v>
      </c>
      <c r="B432" s="167">
        <v>9</v>
      </c>
      <c r="C432" s="168" t="s">
        <v>934</v>
      </c>
      <c r="D432" s="167">
        <v>0</v>
      </c>
      <c r="E432" s="167">
        <v>120000</v>
      </c>
      <c r="F432" s="167">
        <v>0</v>
      </c>
      <c r="G432" s="167">
        <v>0</v>
      </c>
      <c r="H432" s="167">
        <v>1137</v>
      </c>
      <c r="I432" s="167">
        <v>3</v>
      </c>
      <c r="J432" s="167" t="s">
        <v>921</v>
      </c>
      <c r="K432" s="171">
        <v>0</v>
      </c>
      <c r="L432">
        <v>400</v>
      </c>
      <c r="M432" t="b">
        <f t="shared" si="7"/>
        <v>0</v>
      </c>
    </row>
    <row r="433" customHeight="1" spans="1:13">
      <c r="A433" s="167">
        <v>31039</v>
      </c>
      <c r="B433" s="167">
        <v>1</v>
      </c>
      <c r="C433" s="168" t="s">
        <v>930</v>
      </c>
      <c r="D433" s="167">
        <v>0</v>
      </c>
      <c r="E433" s="167">
        <v>1600000</v>
      </c>
      <c r="F433" s="167">
        <v>0</v>
      </c>
      <c r="G433" s="167">
        <v>0</v>
      </c>
      <c r="H433" s="167">
        <v>47003</v>
      </c>
      <c r="I433" s="167">
        <v>30</v>
      </c>
      <c r="J433" s="167" t="s">
        <v>982</v>
      </c>
      <c r="K433" s="171">
        <v>0</v>
      </c>
      <c r="L433">
        <v>400</v>
      </c>
      <c r="M433" t="b">
        <f t="shared" si="7"/>
        <v>0</v>
      </c>
    </row>
    <row r="434" customHeight="1" spans="1:13">
      <c r="A434" s="167">
        <v>31040</v>
      </c>
      <c r="B434" s="167">
        <v>1</v>
      </c>
      <c r="C434" s="168" t="s">
        <v>932</v>
      </c>
      <c r="D434" s="167">
        <v>0</v>
      </c>
      <c r="E434" s="167">
        <v>600000</v>
      </c>
      <c r="F434" s="167">
        <v>180</v>
      </c>
      <c r="G434" s="167">
        <v>0</v>
      </c>
      <c r="H434" s="167">
        <v>1137</v>
      </c>
      <c r="I434" s="167">
        <v>3</v>
      </c>
      <c r="J434" s="167" t="s">
        <v>921</v>
      </c>
      <c r="K434" s="171">
        <v>0</v>
      </c>
      <c r="L434">
        <v>400</v>
      </c>
      <c r="M434" t="b">
        <f t="shared" si="7"/>
        <v>0</v>
      </c>
    </row>
    <row r="435" customHeight="1" spans="1:13">
      <c r="A435" s="167">
        <v>32001</v>
      </c>
      <c r="B435" s="167">
        <v>2</v>
      </c>
      <c r="C435" s="168" t="s">
        <v>925</v>
      </c>
      <c r="D435" s="167">
        <v>11009</v>
      </c>
      <c r="E435" s="167">
        <v>20</v>
      </c>
      <c r="F435" s="167">
        <v>0</v>
      </c>
      <c r="G435" s="167">
        <v>0</v>
      </c>
      <c r="H435" s="167">
        <v>47013</v>
      </c>
      <c r="I435" s="167">
        <v>20</v>
      </c>
      <c r="J435" s="167" t="s">
        <v>985</v>
      </c>
      <c r="K435" s="167">
        <v>11009</v>
      </c>
      <c r="L435" s="59">
        <v>60</v>
      </c>
      <c r="M435" t="b">
        <f t="shared" si="7"/>
        <v>0</v>
      </c>
    </row>
    <row r="436" customHeight="1" spans="1:13">
      <c r="A436" s="167">
        <v>32002</v>
      </c>
      <c r="B436" s="167">
        <v>9</v>
      </c>
      <c r="C436" s="168" t="s">
        <v>934</v>
      </c>
      <c r="D436" s="167">
        <v>0</v>
      </c>
      <c r="E436" s="167">
        <v>100000</v>
      </c>
      <c r="F436" s="167">
        <v>0</v>
      </c>
      <c r="G436" s="167">
        <v>0</v>
      </c>
      <c r="H436" s="167">
        <v>1137</v>
      </c>
      <c r="I436" s="167">
        <v>3</v>
      </c>
      <c r="J436" s="167" t="s">
        <v>921</v>
      </c>
      <c r="K436" s="171">
        <v>0</v>
      </c>
      <c r="L436" s="59">
        <v>60</v>
      </c>
      <c r="M436" t="b">
        <f t="shared" si="7"/>
        <v>0</v>
      </c>
    </row>
    <row r="437" customHeight="1" spans="1:13">
      <c r="A437" s="167">
        <v>32003</v>
      </c>
      <c r="B437" s="167">
        <v>1</v>
      </c>
      <c r="C437" s="168" t="s">
        <v>930</v>
      </c>
      <c r="D437" s="167">
        <v>0</v>
      </c>
      <c r="E437" s="167">
        <v>1000000</v>
      </c>
      <c r="F437" s="167">
        <v>0</v>
      </c>
      <c r="G437" s="167">
        <v>0</v>
      </c>
      <c r="H437" s="167">
        <v>47013</v>
      </c>
      <c r="I437" s="167">
        <v>20</v>
      </c>
      <c r="J437" s="167" t="s">
        <v>985</v>
      </c>
      <c r="K437" s="171">
        <v>0</v>
      </c>
      <c r="L437" s="59">
        <v>60</v>
      </c>
      <c r="M437" t="b">
        <f t="shared" si="7"/>
        <v>0</v>
      </c>
    </row>
    <row r="438" customHeight="1" spans="1:13">
      <c r="A438" s="167">
        <v>32004</v>
      </c>
      <c r="B438" s="167">
        <v>2</v>
      </c>
      <c r="C438" s="168" t="s">
        <v>925</v>
      </c>
      <c r="D438" s="167">
        <v>11011</v>
      </c>
      <c r="E438" s="167">
        <v>15</v>
      </c>
      <c r="F438" s="167">
        <v>0</v>
      </c>
      <c r="G438" s="167">
        <v>0</v>
      </c>
      <c r="H438" s="167">
        <v>1137</v>
      </c>
      <c r="I438" s="167">
        <v>3</v>
      </c>
      <c r="J438" s="167" t="s">
        <v>921</v>
      </c>
      <c r="K438" s="167">
        <v>11011</v>
      </c>
      <c r="L438" s="59">
        <v>60</v>
      </c>
      <c r="M438" t="b">
        <f t="shared" si="7"/>
        <v>0</v>
      </c>
    </row>
    <row r="439" customHeight="1" spans="1:13">
      <c r="A439" s="167">
        <v>32005</v>
      </c>
      <c r="B439" s="167">
        <v>6</v>
      </c>
      <c r="C439" s="168" t="s">
        <v>988</v>
      </c>
      <c r="D439" s="167">
        <v>10</v>
      </c>
      <c r="E439" s="167">
        <v>1</v>
      </c>
      <c r="F439" s="167">
        <v>0</v>
      </c>
      <c r="G439" s="167">
        <v>0</v>
      </c>
      <c r="H439" s="167">
        <v>47013</v>
      </c>
      <c r="I439" s="167">
        <v>20</v>
      </c>
      <c r="J439" s="167" t="s">
        <v>985</v>
      </c>
      <c r="K439" s="171">
        <v>0</v>
      </c>
      <c r="L439" s="59">
        <v>60</v>
      </c>
      <c r="M439">
        <f t="shared" si="7"/>
        <v>1</v>
      </c>
    </row>
    <row r="440" customHeight="1" spans="1:13">
      <c r="A440" s="167">
        <v>32006</v>
      </c>
      <c r="B440" s="167">
        <v>1</v>
      </c>
      <c r="C440" s="168" t="s">
        <v>930</v>
      </c>
      <c r="D440" s="167">
        <v>0</v>
      </c>
      <c r="E440" s="167">
        <v>1000000</v>
      </c>
      <c r="F440" s="167">
        <v>0</v>
      </c>
      <c r="G440" s="167">
        <v>0</v>
      </c>
      <c r="H440" s="167">
        <v>1137</v>
      </c>
      <c r="I440" s="167">
        <v>3</v>
      </c>
      <c r="J440" s="167" t="s">
        <v>921</v>
      </c>
      <c r="K440" s="171">
        <v>0</v>
      </c>
      <c r="L440" s="59">
        <v>60</v>
      </c>
      <c r="M440" t="b">
        <f t="shared" si="7"/>
        <v>0</v>
      </c>
    </row>
    <row r="441" customHeight="1" spans="1:13">
      <c r="A441" s="167">
        <v>32007</v>
      </c>
      <c r="B441" s="167">
        <v>4</v>
      </c>
      <c r="C441" s="168" t="s">
        <v>928</v>
      </c>
      <c r="D441" s="167">
        <v>2000</v>
      </c>
      <c r="E441" s="167">
        <v>20</v>
      </c>
      <c r="F441" s="167">
        <v>0</v>
      </c>
      <c r="G441" s="167">
        <v>0</v>
      </c>
      <c r="H441" s="167">
        <v>47013</v>
      </c>
      <c r="I441" s="167">
        <v>20</v>
      </c>
      <c r="J441" s="167" t="s">
        <v>985</v>
      </c>
      <c r="K441" s="171">
        <v>0</v>
      </c>
      <c r="L441" s="59">
        <v>60</v>
      </c>
      <c r="M441">
        <f t="shared" si="7"/>
        <v>1</v>
      </c>
    </row>
    <row r="442" customHeight="1" spans="1:13">
      <c r="A442" s="167">
        <v>32008</v>
      </c>
      <c r="B442" s="167">
        <v>5</v>
      </c>
      <c r="C442" s="168" t="s">
        <v>955</v>
      </c>
      <c r="D442" s="167">
        <v>0</v>
      </c>
      <c r="E442" s="167">
        <v>2</v>
      </c>
      <c r="F442" s="167">
        <v>0</v>
      </c>
      <c r="G442" s="167">
        <v>0</v>
      </c>
      <c r="H442" s="167">
        <v>1137</v>
      </c>
      <c r="I442" s="167">
        <v>3</v>
      </c>
      <c r="J442" s="167" t="s">
        <v>921</v>
      </c>
      <c r="K442" s="171">
        <v>0</v>
      </c>
      <c r="L442" s="59">
        <v>60</v>
      </c>
      <c r="M442" t="b">
        <f t="shared" si="7"/>
        <v>0</v>
      </c>
    </row>
    <row r="443" customHeight="1" spans="1:13">
      <c r="A443" s="167">
        <v>32009</v>
      </c>
      <c r="B443" s="167">
        <v>1</v>
      </c>
      <c r="C443" s="168" t="s">
        <v>930</v>
      </c>
      <c r="D443" s="167">
        <v>0</v>
      </c>
      <c r="E443" s="167">
        <v>1000000</v>
      </c>
      <c r="F443" s="167">
        <v>0</v>
      </c>
      <c r="G443" s="167">
        <v>0</v>
      </c>
      <c r="H443" s="167">
        <v>47013</v>
      </c>
      <c r="I443" s="167">
        <v>20</v>
      </c>
      <c r="J443" s="167" t="s">
        <v>985</v>
      </c>
      <c r="K443" s="171">
        <v>0</v>
      </c>
      <c r="L443" s="59">
        <v>60</v>
      </c>
      <c r="M443" t="b">
        <f t="shared" si="7"/>
        <v>0</v>
      </c>
    </row>
    <row r="444" customHeight="1" spans="1:13">
      <c r="A444" s="167">
        <v>40001</v>
      </c>
      <c r="B444" s="167">
        <v>1</v>
      </c>
      <c r="C444" s="168" t="s">
        <v>930</v>
      </c>
      <c r="D444" s="167">
        <v>0</v>
      </c>
      <c r="E444" s="167">
        <v>500000</v>
      </c>
      <c r="F444" s="167">
        <v>0</v>
      </c>
      <c r="G444" s="167">
        <v>0</v>
      </c>
      <c r="H444" s="167">
        <v>1137</v>
      </c>
      <c r="I444" s="167">
        <v>4</v>
      </c>
      <c r="J444" s="167" t="s">
        <v>921</v>
      </c>
      <c r="K444" s="171">
        <v>0</v>
      </c>
      <c r="L444">
        <v>10</v>
      </c>
      <c r="M444" t="b">
        <f t="shared" si="7"/>
        <v>0</v>
      </c>
    </row>
    <row r="445" customHeight="1" spans="1:13">
      <c r="A445" s="167">
        <v>40002</v>
      </c>
      <c r="B445" s="167">
        <v>4</v>
      </c>
      <c r="C445" s="168" t="s">
        <v>928</v>
      </c>
      <c r="D445" s="167">
        <v>10000</v>
      </c>
      <c r="E445" s="167">
        <v>10</v>
      </c>
      <c r="F445" s="167">
        <v>0</v>
      </c>
      <c r="G445" s="167">
        <v>0</v>
      </c>
      <c r="H445" s="167">
        <v>1152</v>
      </c>
      <c r="I445" s="167">
        <v>10</v>
      </c>
      <c r="J445" s="167" t="s">
        <v>937</v>
      </c>
      <c r="K445" s="171">
        <v>0</v>
      </c>
      <c r="L445">
        <v>20</v>
      </c>
      <c r="M445">
        <f t="shared" si="7"/>
        <v>1</v>
      </c>
    </row>
    <row r="446" customHeight="1" spans="1:13">
      <c r="A446" s="167">
        <v>40003</v>
      </c>
      <c r="B446" s="167">
        <v>1</v>
      </c>
      <c r="C446" s="168" t="s">
        <v>930</v>
      </c>
      <c r="D446" s="167">
        <v>0</v>
      </c>
      <c r="E446" s="167">
        <v>1000000</v>
      </c>
      <c r="F446" s="167">
        <v>0</v>
      </c>
      <c r="G446" s="167">
        <v>0</v>
      </c>
      <c r="H446" s="167">
        <v>1137</v>
      </c>
      <c r="I446" s="167">
        <v>4</v>
      </c>
      <c r="J446" s="167" t="s">
        <v>921</v>
      </c>
      <c r="K446" s="171">
        <v>0</v>
      </c>
      <c r="L446">
        <v>40</v>
      </c>
      <c r="M446" t="b">
        <f t="shared" si="7"/>
        <v>0</v>
      </c>
    </row>
    <row r="447" customHeight="1" spans="1:13">
      <c r="A447" s="167">
        <v>40004</v>
      </c>
      <c r="B447" s="167">
        <v>1</v>
      </c>
      <c r="C447" s="168" t="s">
        <v>930</v>
      </c>
      <c r="D447" s="167">
        <v>0</v>
      </c>
      <c r="E447" s="167">
        <v>2500000</v>
      </c>
      <c r="F447" s="167">
        <v>0</v>
      </c>
      <c r="G447" s="167">
        <v>0</v>
      </c>
      <c r="H447" s="167">
        <v>1137</v>
      </c>
      <c r="I447" s="167">
        <v>4</v>
      </c>
      <c r="J447" s="167" t="s">
        <v>921</v>
      </c>
      <c r="K447" s="171">
        <v>0</v>
      </c>
      <c r="L447">
        <v>60</v>
      </c>
      <c r="M447" t="b">
        <f t="shared" si="7"/>
        <v>0</v>
      </c>
    </row>
    <row r="448" customHeight="1" spans="1:13">
      <c r="A448" s="167">
        <v>40005</v>
      </c>
      <c r="B448" s="167">
        <v>2</v>
      </c>
      <c r="C448" s="168" t="s">
        <v>925</v>
      </c>
      <c r="D448" s="167">
        <v>11004</v>
      </c>
      <c r="E448" s="167">
        <v>20</v>
      </c>
      <c r="F448" s="167">
        <v>0</v>
      </c>
      <c r="G448" s="167">
        <v>0</v>
      </c>
      <c r="H448" s="167">
        <v>1150</v>
      </c>
      <c r="I448" s="167">
        <v>10</v>
      </c>
      <c r="J448" s="167" t="s">
        <v>935</v>
      </c>
      <c r="K448" s="171">
        <v>11004</v>
      </c>
      <c r="L448">
        <v>70</v>
      </c>
      <c r="M448" t="b">
        <f t="shared" si="7"/>
        <v>0</v>
      </c>
    </row>
    <row r="449" customHeight="1" spans="1:13">
      <c r="A449" s="167">
        <v>40006</v>
      </c>
      <c r="B449" s="167">
        <v>5</v>
      </c>
      <c r="C449" s="168" t="s">
        <v>955</v>
      </c>
      <c r="D449" s="167">
        <v>0</v>
      </c>
      <c r="E449" s="167">
        <v>1</v>
      </c>
      <c r="F449" s="167">
        <v>0</v>
      </c>
      <c r="G449" s="167">
        <v>0</v>
      </c>
      <c r="H449" s="167">
        <v>1137</v>
      </c>
      <c r="I449" s="167">
        <v>4</v>
      </c>
      <c r="J449" s="167" t="s">
        <v>921</v>
      </c>
      <c r="K449" s="171">
        <v>0</v>
      </c>
      <c r="L449">
        <v>80</v>
      </c>
      <c r="M449" t="b">
        <f t="shared" si="7"/>
        <v>0</v>
      </c>
    </row>
    <row r="450" customHeight="1" spans="1:13">
      <c r="A450" s="167">
        <v>40007</v>
      </c>
      <c r="B450" s="167">
        <v>1</v>
      </c>
      <c r="C450" s="168" t="s">
        <v>930</v>
      </c>
      <c r="D450" s="167">
        <v>0</v>
      </c>
      <c r="E450" s="167">
        <v>2000000</v>
      </c>
      <c r="F450" s="167">
        <v>0</v>
      </c>
      <c r="G450" s="167">
        <v>0</v>
      </c>
      <c r="H450" s="167">
        <v>1145</v>
      </c>
      <c r="I450" s="167">
        <v>60</v>
      </c>
      <c r="J450" s="167" t="s">
        <v>927</v>
      </c>
      <c r="K450" s="171">
        <v>0</v>
      </c>
      <c r="L450">
        <v>90</v>
      </c>
      <c r="M450" t="b">
        <f t="shared" ref="M450:M513" si="8">IF(D450&lt;&gt;K450,1)</f>
        <v>0</v>
      </c>
    </row>
    <row r="451" customHeight="1" spans="1:13">
      <c r="A451" s="167">
        <v>40008</v>
      </c>
      <c r="B451" s="167">
        <v>1</v>
      </c>
      <c r="C451" s="168" t="s">
        <v>932</v>
      </c>
      <c r="D451" s="167">
        <v>0</v>
      </c>
      <c r="E451" s="167">
        <v>1500000</v>
      </c>
      <c r="F451" s="167">
        <v>210</v>
      </c>
      <c r="G451" s="167">
        <v>0</v>
      </c>
      <c r="H451" s="167">
        <v>1137</v>
      </c>
      <c r="I451" s="167">
        <v>5</v>
      </c>
      <c r="J451" s="181" t="s">
        <v>921</v>
      </c>
      <c r="K451" s="171">
        <v>0</v>
      </c>
      <c r="L451">
        <v>100</v>
      </c>
      <c r="M451" t="b">
        <f t="shared" si="8"/>
        <v>0</v>
      </c>
    </row>
    <row r="452" customHeight="1" spans="1:13">
      <c r="A452" s="167">
        <v>40009</v>
      </c>
      <c r="B452" s="167">
        <v>2</v>
      </c>
      <c r="C452" s="168" t="s">
        <v>925</v>
      </c>
      <c r="D452" s="167">
        <v>11005</v>
      </c>
      <c r="E452" s="167">
        <v>20</v>
      </c>
      <c r="F452" s="167">
        <v>0</v>
      </c>
      <c r="G452" s="167">
        <v>0</v>
      </c>
      <c r="H452" s="167">
        <v>1147</v>
      </c>
      <c r="I452" s="167">
        <v>62</v>
      </c>
      <c r="J452" s="167" t="s">
        <v>926</v>
      </c>
      <c r="K452" s="171">
        <v>11005</v>
      </c>
      <c r="L452">
        <v>110</v>
      </c>
      <c r="M452" t="b">
        <f t="shared" si="8"/>
        <v>0</v>
      </c>
    </row>
    <row r="453" customHeight="1" spans="1:13">
      <c r="A453" s="169">
        <v>40010</v>
      </c>
      <c r="B453" s="169">
        <v>9</v>
      </c>
      <c r="C453" s="170" t="s">
        <v>934</v>
      </c>
      <c r="D453" s="169">
        <v>0</v>
      </c>
      <c r="E453" s="169">
        <v>50000</v>
      </c>
      <c r="F453" s="169">
        <v>0</v>
      </c>
      <c r="G453" s="169">
        <v>0</v>
      </c>
      <c r="H453" s="169">
        <v>1137</v>
      </c>
      <c r="I453" s="167">
        <v>4</v>
      </c>
      <c r="J453" s="169" t="s">
        <v>921</v>
      </c>
      <c r="K453" s="171">
        <v>0</v>
      </c>
      <c r="L453">
        <v>120</v>
      </c>
      <c r="M453" t="b">
        <f t="shared" si="8"/>
        <v>0</v>
      </c>
    </row>
    <row r="454" customHeight="1" spans="1:13">
      <c r="A454" s="167">
        <v>40011</v>
      </c>
      <c r="B454" s="167">
        <v>1</v>
      </c>
      <c r="C454" s="168" t="s">
        <v>930</v>
      </c>
      <c r="D454" s="167">
        <v>0</v>
      </c>
      <c r="E454" s="167">
        <v>3000000</v>
      </c>
      <c r="F454" s="167">
        <v>0</v>
      </c>
      <c r="G454" s="167">
        <v>0</v>
      </c>
      <c r="H454" s="167">
        <v>1149</v>
      </c>
      <c r="I454" s="167">
        <v>62</v>
      </c>
      <c r="J454" s="167" t="s">
        <v>931</v>
      </c>
      <c r="K454" s="171">
        <v>0</v>
      </c>
      <c r="L454">
        <v>130</v>
      </c>
      <c r="M454" t="b">
        <f t="shared" si="8"/>
        <v>0</v>
      </c>
    </row>
    <row r="455" customHeight="1" spans="1:13">
      <c r="A455" s="167">
        <v>40012</v>
      </c>
      <c r="B455" s="167">
        <v>1</v>
      </c>
      <c r="C455" s="168" t="s">
        <v>932</v>
      </c>
      <c r="D455" s="167">
        <v>0</v>
      </c>
      <c r="E455" s="167">
        <v>1600000</v>
      </c>
      <c r="F455" s="167">
        <v>210</v>
      </c>
      <c r="G455" s="167">
        <v>0</v>
      </c>
      <c r="H455" s="167">
        <v>1137</v>
      </c>
      <c r="I455" s="167">
        <v>5</v>
      </c>
      <c r="J455" s="181" t="s">
        <v>921</v>
      </c>
      <c r="K455" s="171">
        <v>0</v>
      </c>
      <c r="L455">
        <v>140</v>
      </c>
      <c r="M455" t="b">
        <f t="shared" si="8"/>
        <v>0</v>
      </c>
    </row>
    <row r="456" customHeight="1" spans="1:13">
      <c r="A456" s="167">
        <v>40013</v>
      </c>
      <c r="B456" s="167">
        <v>2</v>
      </c>
      <c r="C456" s="168" t="s">
        <v>925</v>
      </c>
      <c r="D456" s="167">
        <v>11092</v>
      </c>
      <c r="E456" s="167">
        <v>8</v>
      </c>
      <c r="F456" s="167">
        <v>0</v>
      </c>
      <c r="G456" s="167">
        <v>0</v>
      </c>
      <c r="H456" s="167">
        <v>1152</v>
      </c>
      <c r="I456" s="167">
        <v>11</v>
      </c>
      <c r="J456" s="167" t="s">
        <v>937</v>
      </c>
      <c r="K456" s="171">
        <v>11092</v>
      </c>
      <c r="L456">
        <v>150</v>
      </c>
      <c r="M456" t="b">
        <f t="shared" si="8"/>
        <v>0</v>
      </c>
    </row>
    <row r="457" customHeight="1" spans="1:13">
      <c r="A457" s="167">
        <v>40014</v>
      </c>
      <c r="B457" s="167">
        <v>9</v>
      </c>
      <c r="C457" s="168" t="s">
        <v>934</v>
      </c>
      <c r="D457" s="167">
        <v>0</v>
      </c>
      <c r="E457" s="167">
        <v>60000</v>
      </c>
      <c r="F457" s="167">
        <v>0</v>
      </c>
      <c r="G457" s="167">
        <v>0</v>
      </c>
      <c r="H457" s="167">
        <v>1137</v>
      </c>
      <c r="I457" s="167">
        <v>4</v>
      </c>
      <c r="J457" s="167" t="s">
        <v>921</v>
      </c>
      <c r="K457" s="171">
        <v>0</v>
      </c>
      <c r="L457">
        <v>160</v>
      </c>
      <c r="M457" t="b">
        <f t="shared" si="8"/>
        <v>0</v>
      </c>
    </row>
    <row r="458" customHeight="1" spans="1:13">
      <c r="A458" s="167">
        <v>40015</v>
      </c>
      <c r="B458" s="167">
        <v>1</v>
      </c>
      <c r="C458" s="168" t="s">
        <v>930</v>
      </c>
      <c r="D458" s="167">
        <v>0</v>
      </c>
      <c r="E458" s="167">
        <v>4000000</v>
      </c>
      <c r="F458" s="167">
        <v>0</v>
      </c>
      <c r="G458" s="167">
        <v>0</v>
      </c>
      <c r="H458" s="167">
        <v>1150</v>
      </c>
      <c r="I458" s="167">
        <v>11</v>
      </c>
      <c r="J458" s="167" t="s">
        <v>935</v>
      </c>
      <c r="K458" s="171">
        <v>0</v>
      </c>
      <c r="L458">
        <v>170</v>
      </c>
      <c r="M458" t="b">
        <f t="shared" si="8"/>
        <v>0</v>
      </c>
    </row>
    <row r="459" customHeight="1" spans="1:13">
      <c r="A459" s="167">
        <v>40016</v>
      </c>
      <c r="B459" s="167">
        <v>1</v>
      </c>
      <c r="C459" s="168" t="s">
        <v>932</v>
      </c>
      <c r="D459" s="167">
        <v>0</v>
      </c>
      <c r="E459" s="167">
        <v>1700000</v>
      </c>
      <c r="F459" s="167">
        <v>210</v>
      </c>
      <c r="G459" s="167">
        <v>0</v>
      </c>
      <c r="H459" s="167">
        <v>1137</v>
      </c>
      <c r="I459" s="167">
        <v>5</v>
      </c>
      <c r="J459" s="181" t="s">
        <v>921</v>
      </c>
      <c r="K459" s="171">
        <v>0</v>
      </c>
      <c r="L459">
        <v>180</v>
      </c>
      <c r="M459" t="b">
        <f t="shared" si="8"/>
        <v>0</v>
      </c>
    </row>
    <row r="460" customHeight="1" spans="1:13">
      <c r="A460" s="167">
        <v>40017</v>
      </c>
      <c r="B460" s="167">
        <v>4</v>
      </c>
      <c r="C460" s="168" t="s">
        <v>928</v>
      </c>
      <c r="D460" s="167">
        <v>12000</v>
      </c>
      <c r="E460" s="167">
        <v>30</v>
      </c>
      <c r="F460" s="167">
        <v>0</v>
      </c>
      <c r="G460" s="167">
        <v>0</v>
      </c>
      <c r="H460" s="167">
        <v>1145</v>
      </c>
      <c r="I460" s="167">
        <v>64</v>
      </c>
      <c r="J460" s="167" t="s">
        <v>927</v>
      </c>
      <c r="K460" s="171">
        <v>0</v>
      </c>
      <c r="L460">
        <v>190</v>
      </c>
      <c r="M460">
        <f t="shared" si="8"/>
        <v>1</v>
      </c>
    </row>
    <row r="461" customHeight="1" spans="1:13">
      <c r="A461" s="167">
        <v>40018</v>
      </c>
      <c r="B461" s="167">
        <v>5</v>
      </c>
      <c r="C461" s="168" t="s">
        <v>955</v>
      </c>
      <c r="D461" s="167">
        <v>0</v>
      </c>
      <c r="E461" s="167">
        <v>1</v>
      </c>
      <c r="F461" s="167">
        <v>0</v>
      </c>
      <c r="G461" s="167">
        <v>0</v>
      </c>
      <c r="H461" s="167">
        <v>1137</v>
      </c>
      <c r="I461" s="167">
        <v>4</v>
      </c>
      <c r="J461" s="167" t="s">
        <v>921</v>
      </c>
      <c r="K461" s="171">
        <v>0</v>
      </c>
      <c r="L461">
        <v>200</v>
      </c>
      <c r="M461" t="b">
        <f t="shared" si="8"/>
        <v>0</v>
      </c>
    </row>
    <row r="462" customHeight="1" spans="1:13">
      <c r="A462" s="167">
        <v>40019</v>
      </c>
      <c r="B462" s="167">
        <v>1</v>
      </c>
      <c r="C462" s="168" t="s">
        <v>930</v>
      </c>
      <c r="D462" s="167">
        <v>0</v>
      </c>
      <c r="E462" s="167">
        <v>4500000</v>
      </c>
      <c r="F462" s="167">
        <v>0</v>
      </c>
      <c r="G462" s="167">
        <v>0</v>
      </c>
      <c r="H462" s="167">
        <v>1147</v>
      </c>
      <c r="I462" s="167">
        <v>64</v>
      </c>
      <c r="J462" s="167" t="s">
        <v>926</v>
      </c>
      <c r="K462" s="171">
        <v>0</v>
      </c>
      <c r="L462">
        <v>210</v>
      </c>
      <c r="M462" t="b">
        <f t="shared" si="8"/>
        <v>0</v>
      </c>
    </row>
    <row r="463" customHeight="1" spans="1:13">
      <c r="A463" s="167">
        <v>40020</v>
      </c>
      <c r="B463" s="167">
        <v>1</v>
      </c>
      <c r="C463" s="168" t="s">
        <v>932</v>
      </c>
      <c r="D463" s="167">
        <v>0</v>
      </c>
      <c r="E463" s="167">
        <v>1800000</v>
      </c>
      <c r="F463" s="167">
        <v>210</v>
      </c>
      <c r="G463" s="167">
        <v>0</v>
      </c>
      <c r="H463" s="167">
        <v>1137</v>
      </c>
      <c r="I463" s="167">
        <v>5</v>
      </c>
      <c r="J463" s="181" t="s">
        <v>921</v>
      </c>
      <c r="K463" s="171">
        <v>0</v>
      </c>
      <c r="L463">
        <v>220</v>
      </c>
      <c r="M463" t="b">
        <f t="shared" si="8"/>
        <v>0</v>
      </c>
    </row>
    <row r="464" customHeight="1" spans="1:13">
      <c r="A464" s="167">
        <v>40021</v>
      </c>
      <c r="B464" s="167">
        <v>2</v>
      </c>
      <c r="C464" s="168" t="s">
        <v>925</v>
      </c>
      <c r="D464" s="167">
        <v>11088</v>
      </c>
      <c r="E464" s="167">
        <v>10</v>
      </c>
      <c r="F464" s="167">
        <v>0</v>
      </c>
      <c r="G464" s="167">
        <v>0</v>
      </c>
      <c r="H464" s="167">
        <v>1149</v>
      </c>
      <c r="I464" s="167">
        <v>66</v>
      </c>
      <c r="J464" s="167" t="s">
        <v>931</v>
      </c>
      <c r="K464" s="171">
        <v>11088</v>
      </c>
      <c r="L464">
        <v>230</v>
      </c>
      <c r="M464" t="b">
        <f t="shared" si="8"/>
        <v>0</v>
      </c>
    </row>
    <row r="465" customHeight="1" spans="1:13">
      <c r="A465" s="167">
        <v>40022</v>
      </c>
      <c r="B465" s="167">
        <v>4</v>
      </c>
      <c r="C465" s="168" t="s">
        <v>928</v>
      </c>
      <c r="D465" s="167">
        <v>14000</v>
      </c>
      <c r="E465" s="167">
        <v>20</v>
      </c>
      <c r="F465" s="167">
        <v>0</v>
      </c>
      <c r="G465" s="167">
        <v>0</v>
      </c>
      <c r="H465" s="167">
        <v>1137</v>
      </c>
      <c r="I465" s="167">
        <v>4</v>
      </c>
      <c r="J465" s="167" t="s">
        <v>921</v>
      </c>
      <c r="K465" s="171">
        <v>0</v>
      </c>
      <c r="L465">
        <v>240</v>
      </c>
      <c r="M465">
        <f t="shared" si="8"/>
        <v>1</v>
      </c>
    </row>
    <row r="466" customHeight="1" spans="1:13">
      <c r="A466" s="167">
        <v>40023</v>
      </c>
      <c r="B466" s="167">
        <v>1</v>
      </c>
      <c r="C466" s="168" t="s">
        <v>930</v>
      </c>
      <c r="D466" s="167">
        <v>0</v>
      </c>
      <c r="E466" s="167">
        <v>5000000</v>
      </c>
      <c r="F466" s="167">
        <v>0</v>
      </c>
      <c r="G466" s="167">
        <v>0</v>
      </c>
      <c r="H466" s="167">
        <v>1152</v>
      </c>
      <c r="I466" s="167">
        <v>12</v>
      </c>
      <c r="J466" s="167" t="s">
        <v>937</v>
      </c>
      <c r="K466" s="171">
        <v>0</v>
      </c>
      <c r="L466">
        <v>250</v>
      </c>
      <c r="M466" t="b">
        <f t="shared" si="8"/>
        <v>0</v>
      </c>
    </row>
    <row r="467" customHeight="1" spans="1:13">
      <c r="A467" s="167">
        <v>40024</v>
      </c>
      <c r="B467" s="167">
        <v>1</v>
      </c>
      <c r="C467" s="168" t="s">
        <v>932</v>
      </c>
      <c r="D467" s="167">
        <v>0</v>
      </c>
      <c r="E467" s="167">
        <v>1900000</v>
      </c>
      <c r="F467" s="167">
        <v>210</v>
      </c>
      <c r="G467" s="167">
        <v>0</v>
      </c>
      <c r="H467" s="167">
        <v>1137</v>
      </c>
      <c r="I467" s="167">
        <v>5</v>
      </c>
      <c r="J467" s="181" t="s">
        <v>921</v>
      </c>
      <c r="K467" s="171">
        <v>0</v>
      </c>
      <c r="L467">
        <v>260</v>
      </c>
      <c r="M467" t="b">
        <f t="shared" si="8"/>
        <v>0</v>
      </c>
    </row>
    <row r="468" customHeight="1" spans="1:13">
      <c r="A468" s="167">
        <v>40025</v>
      </c>
      <c r="B468" s="167">
        <v>3</v>
      </c>
      <c r="C468" s="168" t="s">
        <v>990</v>
      </c>
      <c r="D468" s="167">
        <v>0</v>
      </c>
      <c r="E468" s="167">
        <v>1</v>
      </c>
      <c r="F468" s="167">
        <v>0</v>
      </c>
      <c r="G468" s="167">
        <v>0</v>
      </c>
      <c r="H468" s="167">
        <v>1145</v>
      </c>
      <c r="I468" s="167">
        <v>68</v>
      </c>
      <c r="J468" s="167" t="s">
        <v>927</v>
      </c>
      <c r="K468" s="171">
        <v>0</v>
      </c>
      <c r="L468">
        <v>270</v>
      </c>
      <c r="M468" t="b">
        <f t="shared" si="8"/>
        <v>0</v>
      </c>
    </row>
    <row r="469" customHeight="1" spans="1:13">
      <c r="A469" s="167">
        <v>40026</v>
      </c>
      <c r="B469" s="167">
        <v>5</v>
      </c>
      <c r="C469" s="168" t="s">
        <v>955</v>
      </c>
      <c r="D469" s="167">
        <v>0</v>
      </c>
      <c r="E469" s="167">
        <v>1</v>
      </c>
      <c r="F469" s="167">
        <v>0</v>
      </c>
      <c r="G469" s="167">
        <v>0</v>
      </c>
      <c r="H469" s="167">
        <v>1137</v>
      </c>
      <c r="I469" s="167">
        <v>4</v>
      </c>
      <c r="J469" s="167" t="s">
        <v>921</v>
      </c>
      <c r="K469" s="171">
        <v>0</v>
      </c>
      <c r="L469">
        <v>280</v>
      </c>
      <c r="M469" t="b">
        <f t="shared" si="8"/>
        <v>0</v>
      </c>
    </row>
    <row r="470" customHeight="1" spans="1:13">
      <c r="A470" s="167">
        <v>40027</v>
      </c>
      <c r="B470" s="167">
        <v>1</v>
      </c>
      <c r="C470" s="168" t="s">
        <v>930</v>
      </c>
      <c r="D470" s="167">
        <v>0</v>
      </c>
      <c r="E470" s="167">
        <v>5200000</v>
      </c>
      <c r="F470" s="167">
        <v>0</v>
      </c>
      <c r="G470" s="167">
        <v>0</v>
      </c>
      <c r="H470" s="167">
        <v>1147</v>
      </c>
      <c r="I470" s="167">
        <v>68</v>
      </c>
      <c r="J470" s="167" t="s">
        <v>926</v>
      </c>
      <c r="K470" s="171">
        <v>0</v>
      </c>
      <c r="L470">
        <v>290</v>
      </c>
      <c r="M470" t="b">
        <f t="shared" si="8"/>
        <v>0</v>
      </c>
    </row>
    <row r="471" customHeight="1" spans="1:13">
      <c r="A471" s="167">
        <v>40028</v>
      </c>
      <c r="B471" s="167">
        <v>1</v>
      </c>
      <c r="C471" s="168" t="s">
        <v>932</v>
      </c>
      <c r="D471" s="167">
        <v>0</v>
      </c>
      <c r="E471" s="167">
        <v>2000000</v>
      </c>
      <c r="F471" s="167">
        <v>210</v>
      </c>
      <c r="G471" s="167">
        <v>0</v>
      </c>
      <c r="H471" s="167">
        <v>1137</v>
      </c>
      <c r="I471" s="167">
        <v>5</v>
      </c>
      <c r="J471" s="181" t="s">
        <v>921</v>
      </c>
      <c r="K471" s="171">
        <v>0</v>
      </c>
      <c r="L471">
        <v>300</v>
      </c>
      <c r="M471" t="b">
        <f t="shared" si="8"/>
        <v>0</v>
      </c>
    </row>
    <row r="472" customHeight="1" spans="1:13">
      <c r="A472" s="167">
        <v>40029</v>
      </c>
      <c r="B472" s="167">
        <v>2</v>
      </c>
      <c r="C472" s="168" t="s">
        <v>925</v>
      </c>
      <c r="D472" s="167">
        <v>11085</v>
      </c>
      <c r="E472" s="167">
        <v>20</v>
      </c>
      <c r="F472" s="167">
        <v>0</v>
      </c>
      <c r="G472" s="167">
        <v>0</v>
      </c>
      <c r="H472" s="167">
        <v>1149</v>
      </c>
      <c r="I472" s="167">
        <v>70</v>
      </c>
      <c r="J472" s="167" t="s">
        <v>931</v>
      </c>
      <c r="K472" s="171">
        <v>11085</v>
      </c>
      <c r="L472">
        <v>310</v>
      </c>
      <c r="M472" t="b">
        <f t="shared" si="8"/>
        <v>0</v>
      </c>
    </row>
    <row r="473" customHeight="1" spans="1:13">
      <c r="A473" s="167">
        <v>40030</v>
      </c>
      <c r="B473" s="167">
        <v>9</v>
      </c>
      <c r="C473" s="168" t="s">
        <v>934</v>
      </c>
      <c r="D473" s="167">
        <v>0</v>
      </c>
      <c r="E473" s="167">
        <v>80000</v>
      </c>
      <c r="F473" s="167">
        <v>0</v>
      </c>
      <c r="G473" s="167">
        <v>0</v>
      </c>
      <c r="H473" s="167">
        <v>1137</v>
      </c>
      <c r="I473" s="167">
        <v>4</v>
      </c>
      <c r="J473" s="167" t="s">
        <v>921</v>
      </c>
      <c r="K473" s="171">
        <v>0</v>
      </c>
      <c r="L473">
        <v>320</v>
      </c>
      <c r="M473" t="b">
        <f t="shared" si="8"/>
        <v>0</v>
      </c>
    </row>
    <row r="474" customHeight="1" spans="1:13">
      <c r="A474" s="167">
        <v>40031</v>
      </c>
      <c r="B474" s="167">
        <v>1</v>
      </c>
      <c r="C474" s="168" t="s">
        <v>930</v>
      </c>
      <c r="D474" s="167">
        <v>0</v>
      </c>
      <c r="E474" s="167">
        <v>5400000</v>
      </c>
      <c r="F474" s="167">
        <v>0</v>
      </c>
      <c r="G474" s="167">
        <v>0</v>
      </c>
      <c r="H474" s="167">
        <v>1150</v>
      </c>
      <c r="I474" s="167">
        <v>13</v>
      </c>
      <c r="J474" s="167" t="s">
        <v>935</v>
      </c>
      <c r="K474" s="171">
        <v>0</v>
      </c>
      <c r="L474">
        <v>330</v>
      </c>
      <c r="M474" t="b">
        <f t="shared" si="8"/>
        <v>0</v>
      </c>
    </row>
    <row r="475" customHeight="1" spans="1:13">
      <c r="A475" s="167">
        <v>40032</v>
      </c>
      <c r="B475" s="167">
        <v>1</v>
      </c>
      <c r="C475" s="168" t="s">
        <v>932</v>
      </c>
      <c r="D475" s="167">
        <v>0</v>
      </c>
      <c r="E475" s="167">
        <v>2100000</v>
      </c>
      <c r="F475" s="167">
        <v>210</v>
      </c>
      <c r="G475" s="167">
        <v>0</v>
      </c>
      <c r="H475" s="167">
        <v>1137</v>
      </c>
      <c r="I475" s="167">
        <v>5</v>
      </c>
      <c r="J475" s="181" t="s">
        <v>921</v>
      </c>
      <c r="K475" s="171">
        <v>0</v>
      </c>
      <c r="L475">
        <v>340</v>
      </c>
      <c r="M475" t="b">
        <f t="shared" si="8"/>
        <v>0</v>
      </c>
    </row>
    <row r="476" customHeight="1" spans="1:13">
      <c r="A476" s="167">
        <v>40033</v>
      </c>
      <c r="B476" s="167">
        <v>2</v>
      </c>
      <c r="C476" s="168" t="s">
        <v>925</v>
      </c>
      <c r="D476" s="167">
        <v>11088</v>
      </c>
      <c r="E476" s="167">
        <v>10</v>
      </c>
      <c r="F476" s="167">
        <v>0</v>
      </c>
      <c r="G476" s="167">
        <v>0</v>
      </c>
      <c r="H476" s="167">
        <v>1145</v>
      </c>
      <c r="I476" s="167">
        <v>72</v>
      </c>
      <c r="J476" s="167" t="s">
        <v>927</v>
      </c>
      <c r="K476" s="171">
        <v>11088</v>
      </c>
      <c r="L476">
        <v>350</v>
      </c>
      <c r="M476" t="b">
        <f t="shared" si="8"/>
        <v>0</v>
      </c>
    </row>
    <row r="477" customHeight="1" spans="1:13">
      <c r="A477" s="167">
        <v>40034</v>
      </c>
      <c r="B477" s="167">
        <v>9</v>
      </c>
      <c r="C477" s="168" t="s">
        <v>934</v>
      </c>
      <c r="D477" s="167">
        <v>0</v>
      </c>
      <c r="E477" s="167">
        <v>100000</v>
      </c>
      <c r="F477" s="167">
        <v>0</v>
      </c>
      <c r="G477" s="167">
        <v>0</v>
      </c>
      <c r="H477" s="167">
        <v>1137</v>
      </c>
      <c r="I477" s="167">
        <v>4</v>
      </c>
      <c r="J477" s="167" t="s">
        <v>921</v>
      </c>
      <c r="K477" s="171">
        <v>0</v>
      </c>
      <c r="L477">
        <v>360</v>
      </c>
      <c r="M477" t="b">
        <f t="shared" si="8"/>
        <v>0</v>
      </c>
    </row>
    <row r="478" customHeight="1" spans="1:13">
      <c r="A478" s="167">
        <v>40035</v>
      </c>
      <c r="B478" s="167">
        <v>1</v>
      </c>
      <c r="C478" s="168" t="s">
        <v>930</v>
      </c>
      <c r="D478" s="167">
        <v>0</v>
      </c>
      <c r="E478" s="167">
        <v>5600000</v>
      </c>
      <c r="F478" s="167">
        <v>0</v>
      </c>
      <c r="G478" s="167">
        <v>0</v>
      </c>
      <c r="H478" s="167">
        <v>1147</v>
      </c>
      <c r="I478" s="167">
        <v>72</v>
      </c>
      <c r="J478" s="167" t="s">
        <v>926</v>
      </c>
      <c r="K478" s="171">
        <v>0</v>
      </c>
      <c r="L478">
        <v>370</v>
      </c>
      <c r="M478" t="b">
        <f t="shared" si="8"/>
        <v>0</v>
      </c>
    </row>
    <row r="479" customHeight="1" spans="1:13">
      <c r="A479" s="167">
        <v>40036</v>
      </c>
      <c r="B479" s="167">
        <v>1</v>
      </c>
      <c r="C479" s="168" t="s">
        <v>932</v>
      </c>
      <c r="D479" s="167">
        <v>0</v>
      </c>
      <c r="E479" s="167">
        <v>2200000</v>
      </c>
      <c r="F479" s="167">
        <v>210</v>
      </c>
      <c r="G479" s="167">
        <v>0</v>
      </c>
      <c r="H479" s="167">
        <v>1137</v>
      </c>
      <c r="I479" s="167">
        <v>5</v>
      </c>
      <c r="J479" s="181" t="s">
        <v>921</v>
      </c>
      <c r="K479" s="171">
        <v>0</v>
      </c>
      <c r="L479">
        <v>380</v>
      </c>
      <c r="M479" t="b">
        <f t="shared" si="8"/>
        <v>0</v>
      </c>
    </row>
    <row r="480" customHeight="1" spans="1:13">
      <c r="A480" s="167">
        <v>40037</v>
      </c>
      <c r="B480" s="167">
        <v>4</v>
      </c>
      <c r="C480" s="168" t="s">
        <v>928</v>
      </c>
      <c r="D480" s="167">
        <v>16000</v>
      </c>
      <c r="E480" s="167">
        <v>20</v>
      </c>
      <c r="F480" s="167">
        <v>0</v>
      </c>
      <c r="G480" s="167">
        <v>0</v>
      </c>
      <c r="H480" s="167">
        <v>1149</v>
      </c>
      <c r="I480" s="167">
        <v>74</v>
      </c>
      <c r="J480" s="167" t="s">
        <v>931</v>
      </c>
      <c r="K480" s="171">
        <v>0</v>
      </c>
      <c r="L480">
        <v>380</v>
      </c>
      <c r="M480">
        <f t="shared" si="8"/>
        <v>1</v>
      </c>
    </row>
    <row r="481" customHeight="1" spans="1:13">
      <c r="A481" s="167">
        <v>40038</v>
      </c>
      <c r="B481" s="167">
        <v>5</v>
      </c>
      <c r="C481" s="168" t="s">
        <v>955</v>
      </c>
      <c r="D481" s="167">
        <v>0</v>
      </c>
      <c r="E481" s="167">
        <v>2</v>
      </c>
      <c r="F481" s="167">
        <v>0</v>
      </c>
      <c r="G481" s="167">
        <v>0</v>
      </c>
      <c r="H481" s="167">
        <v>1137</v>
      </c>
      <c r="I481" s="167">
        <v>4</v>
      </c>
      <c r="J481" s="167" t="s">
        <v>921</v>
      </c>
      <c r="K481" s="171">
        <v>0</v>
      </c>
      <c r="L481">
        <v>390</v>
      </c>
      <c r="M481" t="b">
        <f t="shared" si="8"/>
        <v>0</v>
      </c>
    </row>
    <row r="482" customHeight="1" spans="1:13">
      <c r="A482" s="167">
        <v>40039</v>
      </c>
      <c r="B482" s="167">
        <v>1</v>
      </c>
      <c r="C482" s="168" t="s">
        <v>930</v>
      </c>
      <c r="D482" s="167">
        <v>0</v>
      </c>
      <c r="E482" s="167">
        <v>5800000</v>
      </c>
      <c r="F482" s="167">
        <v>0</v>
      </c>
      <c r="G482" s="167">
        <v>0</v>
      </c>
      <c r="H482" s="167">
        <v>1152</v>
      </c>
      <c r="I482" s="167">
        <v>14</v>
      </c>
      <c r="J482" s="167" t="s">
        <v>937</v>
      </c>
      <c r="K482" s="171">
        <v>0</v>
      </c>
      <c r="L482">
        <v>390</v>
      </c>
      <c r="M482" t="b">
        <f t="shared" si="8"/>
        <v>0</v>
      </c>
    </row>
    <row r="483" customHeight="1" spans="1:13">
      <c r="A483" s="167">
        <v>40040</v>
      </c>
      <c r="B483" s="167">
        <v>1</v>
      </c>
      <c r="C483" s="168" t="s">
        <v>932</v>
      </c>
      <c r="D483" s="167">
        <v>0</v>
      </c>
      <c r="E483" s="167">
        <v>2300000</v>
      </c>
      <c r="F483" s="167">
        <v>210</v>
      </c>
      <c r="G483" s="167">
        <v>0</v>
      </c>
      <c r="H483" s="167">
        <v>1137</v>
      </c>
      <c r="I483" s="167">
        <v>5</v>
      </c>
      <c r="J483" s="181" t="s">
        <v>921</v>
      </c>
      <c r="K483" s="171">
        <v>0</v>
      </c>
      <c r="L483">
        <v>400</v>
      </c>
      <c r="M483" t="b">
        <f t="shared" si="8"/>
        <v>0</v>
      </c>
    </row>
    <row r="484" customHeight="1" spans="1:13">
      <c r="A484" s="167">
        <v>40041</v>
      </c>
      <c r="B484" s="167">
        <v>2</v>
      </c>
      <c r="C484" s="168" t="s">
        <v>925</v>
      </c>
      <c r="D484" s="167">
        <v>11092</v>
      </c>
      <c r="E484" s="167">
        <v>2</v>
      </c>
      <c r="F484" s="167">
        <v>0</v>
      </c>
      <c r="G484" s="167">
        <v>0</v>
      </c>
      <c r="H484" s="167">
        <v>1145</v>
      </c>
      <c r="I484" s="167">
        <v>76</v>
      </c>
      <c r="J484" s="167" t="s">
        <v>927</v>
      </c>
      <c r="K484" s="171">
        <v>11092</v>
      </c>
      <c r="L484">
        <v>400</v>
      </c>
      <c r="M484" t="b">
        <f t="shared" si="8"/>
        <v>0</v>
      </c>
    </row>
    <row r="485" customHeight="1" spans="1:13">
      <c r="A485" s="167">
        <v>40042</v>
      </c>
      <c r="B485" s="167">
        <v>4</v>
      </c>
      <c r="C485" s="168" t="s">
        <v>928</v>
      </c>
      <c r="D485" s="167">
        <v>16000</v>
      </c>
      <c r="E485" s="167">
        <v>20</v>
      </c>
      <c r="F485" s="167">
        <v>0</v>
      </c>
      <c r="G485" s="167">
        <v>0</v>
      </c>
      <c r="H485" s="167">
        <v>1137</v>
      </c>
      <c r="I485" s="167">
        <v>4</v>
      </c>
      <c r="J485" s="167" t="s">
        <v>921</v>
      </c>
      <c r="K485" s="171">
        <v>0</v>
      </c>
      <c r="L485">
        <v>400</v>
      </c>
      <c r="M485">
        <f t="shared" si="8"/>
        <v>1</v>
      </c>
    </row>
    <row r="486" customHeight="1" spans="1:13">
      <c r="A486" s="167">
        <v>40043</v>
      </c>
      <c r="B486" s="167">
        <v>1</v>
      </c>
      <c r="C486" s="168" t="s">
        <v>930</v>
      </c>
      <c r="D486" s="167">
        <v>0</v>
      </c>
      <c r="E486" s="167">
        <v>6000000</v>
      </c>
      <c r="F486" s="167">
        <v>0</v>
      </c>
      <c r="G486" s="167">
        <v>0</v>
      </c>
      <c r="H486" s="167">
        <v>1147</v>
      </c>
      <c r="I486" s="167">
        <v>76</v>
      </c>
      <c r="J486" s="167" t="s">
        <v>926</v>
      </c>
      <c r="K486" s="171">
        <v>0</v>
      </c>
      <c r="L486">
        <v>400</v>
      </c>
      <c r="M486" t="b">
        <f t="shared" si="8"/>
        <v>0</v>
      </c>
    </row>
    <row r="487" customHeight="1" spans="1:13">
      <c r="A487" s="167">
        <v>40044</v>
      </c>
      <c r="B487" s="167">
        <v>1</v>
      </c>
      <c r="C487" s="168" t="s">
        <v>932</v>
      </c>
      <c r="D487" s="167">
        <v>0</v>
      </c>
      <c r="E487" s="167">
        <v>2400000</v>
      </c>
      <c r="F487" s="167">
        <v>210</v>
      </c>
      <c r="G487" s="167">
        <v>0</v>
      </c>
      <c r="H487" s="167">
        <v>1137</v>
      </c>
      <c r="I487" s="167">
        <v>5</v>
      </c>
      <c r="J487" s="181" t="s">
        <v>921</v>
      </c>
      <c r="K487" s="171">
        <v>0</v>
      </c>
      <c r="L487">
        <v>400</v>
      </c>
      <c r="M487" t="b">
        <f t="shared" si="8"/>
        <v>0</v>
      </c>
    </row>
    <row r="488" customHeight="1" spans="1:13">
      <c r="A488" s="167">
        <v>40045</v>
      </c>
      <c r="B488" s="167">
        <v>3</v>
      </c>
      <c r="C488" s="168" t="s">
        <v>990</v>
      </c>
      <c r="D488" s="167">
        <v>0</v>
      </c>
      <c r="E488" s="167">
        <v>1</v>
      </c>
      <c r="F488" s="167">
        <v>0</v>
      </c>
      <c r="G488" s="167">
        <v>0</v>
      </c>
      <c r="H488" s="167">
        <v>1149</v>
      </c>
      <c r="I488" s="167">
        <v>78</v>
      </c>
      <c r="J488" s="167" t="s">
        <v>931</v>
      </c>
      <c r="K488" s="171">
        <v>0</v>
      </c>
      <c r="L488">
        <v>400</v>
      </c>
      <c r="M488" t="b">
        <f t="shared" si="8"/>
        <v>0</v>
      </c>
    </row>
    <row r="489" customHeight="1" spans="1:13">
      <c r="A489" s="167">
        <v>40046</v>
      </c>
      <c r="B489" s="167">
        <v>5</v>
      </c>
      <c r="C489" s="168" t="s">
        <v>955</v>
      </c>
      <c r="D489" s="167">
        <v>0</v>
      </c>
      <c r="E489" s="167">
        <v>2</v>
      </c>
      <c r="F489" s="167">
        <v>0</v>
      </c>
      <c r="G489" s="167">
        <v>0</v>
      </c>
      <c r="H489" s="167">
        <v>1137</v>
      </c>
      <c r="I489" s="167">
        <v>4</v>
      </c>
      <c r="J489" s="167" t="s">
        <v>921</v>
      </c>
      <c r="K489" s="171">
        <v>0</v>
      </c>
      <c r="L489">
        <v>400</v>
      </c>
      <c r="M489" t="b">
        <f t="shared" si="8"/>
        <v>0</v>
      </c>
    </row>
    <row r="490" customHeight="1" spans="1:13">
      <c r="A490" s="167">
        <v>40047</v>
      </c>
      <c r="B490" s="167">
        <v>1</v>
      </c>
      <c r="C490" s="168" t="s">
        <v>930</v>
      </c>
      <c r="D490" s="167">
        <v>0</v>
      </c>
      <c r="E490" s="167">
        <v>5200000</v>
      </c>
      <c r="F490" s="167">
        <v>0</v>
      </c>
      <c r="G490" s="167">
        <v>0</v>
      </c>
      <c r="H490" s="167">
        <v>1150</v>
      </c>
      <c r="I490" s="167">
        <v>15</v>
      </c>
      <c r="J490" s="167" t="s">
        <v>935</v>
      </c>
      <c r="K490" s="171">
        <v>0</v>
      </c>
      <c r="L490">
        <v>400</v>
      </c>
      <c r="M490" t="b">
        <f t="shared" si="8"/>
        <v>0</v>
      </c>
    </row>
    <row r="491" customHeight="1" spans="1:13">
      <c r="A491" s="167">
        <v>40048</v>
      </c>
      <c r="B491" s="167">
        <v>1</v>
      </c>
      <c r="C491" s="168" t="s">
        <v>932</v>
      </c>
      <c r="D491" s="167">
        <v>0</v>
      </c>
      <c r="E491" s="167">
        <v>2500000</v>
      </c>
      <c r="F491" s="167">
        <v>210</v>
      </c>
      <c r="G491" s="167">
        <v>0</v>
      </c>
      <c r="H491" s="167">
        <v>1137</v>
      </c>
      <c r="I491" s="167">
        <v>5</v>
      </c>
      <c r="J491" s="181" t="s">
        <v>921</v>
      </c>
      <c r="K491" s="171">
        <v>0</v>
      </c>
      <c r="L491">
        <v>400</v>
      </c>
      <c r="M491" t="b">
        <f t="shared" si="8"/>
        <v>0</v>
      </c>
    </row>
    <row r="492" customHeight="1" spans="1:13">
      <c r="A492" s="167">
        <v>40049</v>
      </c>
      <c r="B492" s="167">
        <v>2</v>
      </c>
      <c r="C492" s="168" t="s">
        <v>925</v>
      </c>
      <c r="D492" s="167">
        <v>11090</v>
      </c>
      <c r="E492" s="167">
        <v>5</v>
      </c>
      <c r="F492" s="167">
        <v>0</v>
      </c>
      <c r="G492" s="167">
        <v>0</v>
      </c>
      <c r="H492" s="167">
        <v>1145</v>
      </c>
      <c r="I492" s="167">
        <v>80</v>
      </c>
      <c r="J492" s="167" t="s">
        <v>927</v>
      </c>
      <c r="K492" s="171">
        <v>11090</v>
      </c>
      <c r="L492">
        <v>400</v>
      </c>
      <c r="M492" t="b">
        <f t="shared" si="8"/>
        <v>0</v>
      </c>
    </row>
    <row r="493" customHeight="1" spans="1:13">
      <c r="A493" s="169">
        <v>40050</v>
      </c>
      <c r="B493" s="169">
        <v>9</v>
      </c>
      <c r="C493" s="170" t="s">
        <v>934</v>
      </c>
      <c r="D493" s="169">
        <v>0</v>
      </c>
      <c r="E493" s="169">
        <v>120000</v>
      </c>
      <c r="F493" s="169">
        <v>0</v>
      </c>
      <c r="G493" s="169">
        <v>0</v>
      </c>
      <c r="H493" s="169">
        <v>1137</v>
      </c>
      <c r="I493" s="167">
        <v>4</v>
      </c>
      <c r="J493" s="169" t="s">
        <v>921</v>
      </c>
      <c r="K493" s="171">
        <v>0</v>
      </c>
      <c r="L493">
        <v>410</v>
      </c>
      <c r="M493" t="b">
        <f t="shared" si="8"/>
        <v>0</v>
      </c>
    </row>
    <row r="494" customHeight="1" spans="1:13">
      <c r="A494" s="167">
        <v>40051</v>
      </c>
      <c r="B494" s="167">
        <v>1</v>
      </c>
      <c r="C494" s="168" t="s">
        <v>930</v>
      </c>
      <c r="D494" s="167">
        <v>0</v>
      </c>
      <c r="E494" s="167">
        <v>5400000</v>
      </c>
      <c r="F494" s="167">
        <v>0</v>
      </c>
      <c r="G494" s="167">
        <v>0</v>
      </c>
      <c r="H494" s="167">
        <v>1147</v>
      </c>
      <c r="I494" s="167">
        <v>80</v>
      </c>
      <c r="J494" s="167" t="s">
        <v>926</v>
      </c>
      <c r="K494" s="171">
        <v>0</v>
      </c>
      <c r="L494">
        <v>410</v>
      </c>
      <c r="M494" t="b">
        <f t="shared" si="8"/>
        <v>0</v>
      </c>
    </row>
    <row r="495" customHeight="1" spans="1:13">
      <c r="A495" s="167">
        <v>40052</v>
      </c>
      <c r="B495" s="167">
        <v>1</v>
      </c>
      <c r="C495" s="168" t="s">
        <v>932</v>
      </c>
      <c r="D495" s="167">
        <v>0</v>
      </c>
      <c r="E495" s="167">
        <v>2600000</v>
      </c>
      <c r="F495" s="167">
        <v>210</v>
      </c>
      <c r="G495" s="167">
        <v>0</v>
      </c>
      <c r="H495" s="167">
        <v>1137</v>
      </c>
      <c r="I495" s="167">
        <v>5</v>
      </c>
      <c r="J495" s="181" t="s">
        <v>921</v>
      </c>
      <c r="K495" s="171">
        <v>0</v>
      </c>
      <c r="L495">
        <v>410</v>
      </c>
      <c r="M495" t="b">
        <f t="shared" si="8"/>
        <v>0</v>
      </c>
    </row>
    <row r="496" customHeight="1" spans="1:13">
      <c r="A496" s="167">
        <v>40053</v>
      </c>
      <c r="B496" s="167">
        <v>2</v>
      </c>
      <c r="C496" s="168" t="s">
        <v>925</v>
      </c>
      <c r="D496" s="167">
        <v>11015</v>
      </c>
      <c r="E496" s="167">
        <v>5</v>
      </c>
      <c r="F496" s="167">
        <v>0</v>
      </c>
      <c r="G496" s="167">
        <v>0</v>
      </c>
      <c r="H496" s="167">
        <v>1149</v>
      </c>
      <c r="I496" s="167">
        <v>82</v>
      </c>
      <c r="J496" s="167" t="s">
        <v>931</v>
      </c>
      <c r="K496" s="171">
        <v>11015</v>
      </c>
      <c r="L496">
        <v>410</v>
      </c>
      <c r="M496" t="b">
        <f t="shared" si="8"/>
        <v>0</v>
      </c>
    </row>
    <row r="497" customHeight="1" spans="1:13">
      <c r="A497" s="167">
        <v>40054</v>
      </c>
      <c r="B497" s="167">
        <v>9</v>
      </c>
      <c r="C497" s="168" t="s">
        <v>934</v>
      </c>
      <c r="D497" s="167">
        <v>0</v>
      </c>
      <c r="E497" s="167">
        <v>140000</v>
      </c>
      <c r="F497" s="167">
        <v>0</v>
      </c>
      <c r="G497" s="167">
        <v>0</v>
      </c>
      <c r="H497" s="167">
        <v>1137</v>
      </c>
      <c r="I497" s="167">
        <v>4</v>
      </c>
      <c r="J497" s="167" t="s">
        <v>921</v>
      </c>
      <c r="K497" s="171">
        <v>0</v>
      </c>
      <c r="L497">
        <v>410</v>
      </c>
      <c r="M497" t="b">
        <f t="shared" si="8"/>
        <v>0</v>
      </c>
    </row>
    <row r="498" customHeight="1" spans="1:13">
      <c r="A498" s="167">
        <v>40055</v>
      </c>
      <c r="B498" s="167">
        <v>1</v>
      </c>
      <c r="C498" s="168" t="s">
        <v>930</v>
      </c>
      <c r="D498" s="167">
        <v>0</v>
      </c>
      <c r="E498" s="167">
        <v>5600000</v>
      </c>
      <c r="F498" s="167">
        <v>0</v>
      </c>
      <c r="G498" s="167">
        <v>0</v>
      </c>
      <c r="H498" s="167">
        <v>1152</v>
      </c>
      <c r="I498" s="167">
        <v>16</v>
      </c>
      <c r="J498" s="167" t="s">
        <v>937</v>
      </c>
      <c r="K498" s="171">
        <v>0</v>
      </c>
      <c r="L498">
        <v>410</v>
      </c>
      <c r="M498" t="b">
        <f t="shared" si="8"/>
        <v>0</v>
      </c>
    </row>
    <row r="499" customHeight="1" spans="1:13">
      <c r="A499" s="167">
        <v>40056</v>
      </c>
      <c r="B499" s="167">
        <v>1</v>
      </c>
      <c r="C499" s="168" t="s">
        <v>932</v>
      </c>
      <c r="D499" s="167">
        <v>0</v>
      </c>
      <c r="E499" s="167">
        <v>2700000</v>
      </c>
      <c r="F499" s="167">
        <v>210</v>
      </c>
      <c r="G499" s="167">
        <v>0</v>
      </c>
      <c r="H499" s="167">
        <v>1137</v>
      </c>
      <c r="I499" s="167">
        <v>5</v>
      </c>
      <c r="J499" s="181" t="s">
        <v>921</v>
      </c>
      <c r="K499" s="171">
        <v>0</v>
      </c>
      <c r="L499">
        <v>410</v>
      </c>
      <c r="M499" t="b">
        <f t="shared" si="8"/>
        <v>0</v>
      </c>
    </row>
    <row r="500" customHeight="1" spans="1:13">
      <c r="A500" s="167">
        <v>40057</v>
      </c>
      <c r="B500" s="167">
        <v>4</v>
      </c>
      <c r="C500" s="168" t="s">
        <v>928</v>
      </c>
      <c r="D500" s="167">
        <v>18000</v>
      </c>
      <c r="E500" s="167">
        <v>15</v>
      </c>
      <c r="F500" s="167">
        <v>0</v>
      </c>
      <c r="G500" s="167">
        <v>0</v>
      </c>
      <c r="H500" s="167">
        <v>1145</v>
      </c>
      <c r="I500" s="167">
        <v>84</v>
      </c>
      <c r="J500" s="167" t="s">
        <v>927</v>
      </c>
      <c r="K500" s="171">
        <v>0</v>
      </c>
      <c r="L500">
        <v>410</v>
      </c>
      <c r="M500">
        <f t="shared" si="8"/>
        <v>1</v>
      </c>
    </row>
    <row r="501" customHeight="1" spans="1:13">
      <c r="A501" s="167">
        <v>40058</v>
      </c>
      <c r="B501" s="167">
        <v>5</v>
      </c>
      <c r="C501" s="168" t="s">
        <v>955</v>
      </c>
      <c r="D501" s="167">
        <v>0</v>
      </c>
      <c r="E501" s="167">
        <v>2</v>
      </c>
      <c r="F501" s="167">
        <v>0</v>
      </c>
      <c r="G501" s="167">
        <v>0</v>
      </c>
      <c r="H501" s="167">
        <v>1137</v>
      </c>
      <c r="I501" s="167">
        <v>4</v>
      </c>
      <c r="J501" s="167" t="s">
        <v>921</v>
      </c>
      <c r="K501" s="171">
        <v>0</v>
      </c>
      <c r="L501">
        <v>410</v>
      </c>
      <c r="M501" t="b">
        <f t="shared" si="8"/>
        <v>0</v>
      </c>
    </row>
    <row r="502" customHeight="1" spans="1:13">
      <c r="A502" s="169">
        <v>40059</v>
      </c>
      <c r="B502" s="169">
        <v>1</v>
      </c>
      <c r="C502" s="170" t="s">
        <v>930</v>
      </c>
      <c r="D502" s="169">
        <v>0</v>
      </c>
      <c r="E502" s="169">
        <v>5800000</v>
      </c>
      <c r="F502" s="169">
        <v>0</v>
      </c>
      <c r="G502" s="169">
        <v>0</v>
      </c>
      <c r="H502" s="169">
        <v>1147</v>
      </c>
      <c r="I502" s="169">
        <v>84</v>
      </c>
      <c r="J502" s="169" t="s">
        <v>926</v>
      </c>
      <c r="K502" s="171">
        <v>0</v>
      </c>
      <c r="L502">
        <v>410</v>
      </c>
      <c r="M502" t="b">
        <f t="shared" si="8"/>
        <v>0</v>
      </c>
    </row>
    <row r="503" customHeight="1" spans="1:13">
      <c r="A503" s="167">
        <v>40060</v>
      </c>
      <c r="B503" s="167">
        <v>1</v>
      </c>
      <c r="C503" s="168" t="s">
        <v>932</v>
      </c>
      <c r="D503" s="167">
        <v>0</v>
      </c>
      <c r="E503" s="167">
        <v>2800000</v>
      </c>
      <c r="F503" s="167">
        <v>210</v>
      </c>
      <c r="G503" s="167">
        <v>0</v>
      </c>
      <c r="H503" s="167">
        <v>1137</v>
      </c>
      <c r="I503" s="167">
        <v>5</v>
      </c>
      <c r="J503" s="181" t="s">
        <v>921</v>
      </c>
      <c r="K503" s="171">
        <v>0</v>
      </c>
      <c r="L503">
        <v>420</v>
      </c>
      <c r="M503" t="b">
        <f t="shared" si="8"/>
        <v>0</v>
      </c>
    </row>
    <row r="504" customHeight="1" spans="1:13">
      <c r="A504" s="167">
        <v>40061</v>
      </c>
      <c r="B504" s="167">
        <v>2</v>
      </c>
      <c r="C504" s="168" t="s">
        <v>925</v>
      </c>
      <c r="D504" s="167">
        <v>11016</v>
      </c>
      <c r="E504" s="167">
        <v>5</v>
      </c>
      <c r="F504" s="167">
        <v>0</v>
      </c>
      <c r="G504" s="167">
        <v>0</v>
      </c>
      <c r="H504" s="167">
        <v>1149</v>
      </c>
      <c r="I504" s="167">
        <v>86</v>
      </c>
      <c r="J504" s="167" t="s">
        <v>931</v>
      </c>
      <c r="K504" s="171">
        <v>11016</v>
      </c>
      <c r="L504">
        <v>420</v>
      </c>
      <c r="M504" t="b">
        <f t="shared" si="8"/>
        <v>0</v>
      </c>
    </row>
    <row r="505" customHeight="1" spans="1:13">
      <c r="A505" s="167">
        <v>40062</v>
      </c>
      <c r="B505" s="167">
        <v>4</v>
      </c>
      <c r="C505" s="168" t="s">
        <v>928</v>
      </c>
      <c r="D505" s="167">
        <v>20000</v>
      </c>
      <c r="E505" s="167">
        <v>10</v>
      </c>
      <c r="F505" s="167">
        <v>0</v>
      </c>
      <c r="G505" s="167">
        <v>0</v>
      </c>
      <c r="H505" s="167">
        <v>1137</v>
      </c>
      <c r="I505" s="167">
        <v>4</v>
      </c>
      <c r="J505" s="167" t="s">
        <v>921</v>
      </c>
      <c r="K505" s="171">
        <v>0</v>
      </c>
      <c r="L505">
        <v>420</v>
      </c>
      <c r="M505">
        <f t="shared" si="8"/>
        <v>1</v>
      </c>
    </row>
    <row r="506" customHeight="1" spans="1:13">
      <c r="A506" s="167">
        <v>40063</v>
      </c>
      <c r="B506" s="167">
        <v>1</v>
      </c>
      <c r="C506" s="168" t="s">
        <v>930</v>
      </c>
      <c r="D506" s="167">
        <v>0</v>
      </c>
      <c r="E506" s="167">
        <v>6000000</v>
      </c>
      <c r="F506" s="167">
        <v>0</v>
      </c>
      <c r="G506" s="167">
        <v>0</v>
      </c>
      <c r="H506" s="167">
        <v>1150</v>
      </c>
      <c r="I506" s="167">
        <v>17</v>
      </c>
      <c r="J506" s="167" t="s">
        <v>935</v>
      </c>
      <c r="K506" s="171">
        <v>0</v>
      </c>
      <c r="L506">
        <v>420</v>
      </c>
      <c r="M506" t="b">
        <f t="shared" si="8"/>
        <v>0</v>
      </c>
    </row>
    <row r="507" customHeight="1" spans="1:13">
      <c r="A507" s="167">
        <v>40064</v>
      </c>
      <c r="B507" s="167">
        <v>1</v>
      </c>
      <c r="C507" s="168" t="s">
        <v>932</v>
      </c>
      <c r="D507" s="167">
        <v>0</v>
      </c>
      <c r="E507" s="167">
        <v>2900000</v>
      </c>
      <c r="F507" s="167">
        <v>210</v>
      </c>
      <c r="G507" s="167">
        <v>0</v>
      </c>
      <c r="H507" s="167">
        <v>1137</v>
      </c>
      <c r="I507" s="167">
        <v>5</v>
      </c>
      <c r="J507" s="181" t="s">
        <v>921</v>
      </c>
      <c r="K507" s="171">
        <v>0</v>
      </c>
      <c r="L507">
        <v>420</v>
      </c>
      <c r="M507" t="b">
        <f t="shared" si="8"/>
        <v>0</v>
      </c>
    </row>
    <row r="508" customHeight="1" spans="1:13">
      <c r="A508" s="167">
        <v>40065</v>
      </c>
      <c r="B508" s="167">
        <v>3</v>
      </c>
      <c r="C508" s="168" t="s">
        <v>990</v>
      </c>
      <c r="D508" s="167">
        <v>0</v>
      </c>
      <c r="E508" s="167">
        <v>1</v>
      </c>
      <c r="F508" s="167">
        <v>0</v>
      </c>
      <c r="G508" s="167">
        <v>0</v>
      </c>
      <c r="H508" s="167">
        <v>1145</v>
      </c>
      <c r="I508" s="167">
        <v>88</v>
      </c>
      <c r="J508" s="167" t="s">
        <v>927</v>
      </c>
      <c r="K508" s="171">
        <v>0</v>
      </c>
      <c r="L508">
        <v>420</v>
      </c>
      <c r="M508" t="b">
        <f t="shared" si="8"/>
        <v>0</v>
      </c>
    </row>
    <row r="509" customHeight="1" spans="1:13">
      <c r="A509" s="167">
        <v>40066</v>
      </c>
      <c r="B509" s="167">
        <v>5</v>
      </c>
      <c r="C509" s="168" t="s">
        <v>955</v>
      </c>
      <c r="D509" s="167">
        <v>0</v>
      </c>
      <c r="E509" s="167">
        <v>2</v>
      </c>
      <c r="F509" s="167">
        <v>0</v>
      </c>
      <c r="G509" s="167">
        <v>0</v>
      </c>
      <c r="H509" s="167">
        <v>1137</v>
      </c>
      <c r="I509" s="167">
        <v>4</v>
      </c>
      <c r="J509" s="167" t="s">
        <v>921</v>
      </c>
      <c r="K509" s="171">
        <v>0</v>
      </c>
      <c r="L509">
        <v>420</v>
      </c>
      <c r="M509" t="b">
        <f t="shared" si="8"/>
        <v>0</v>
      </c>
    </row>
    <row r="510" customHeight="1" spans="1:13">
      <c r="A510" s="167">
        <v>40067</v>
      </c>
      <c r="B510" s="167">
        <v>1</v>
      </c>
      <c r="C510" s="168" t="s">
        <v>930</v>
      </c>
      <c r="D510" s="167">
        <v>0</v>
      </c>
      <c r="E510" s="167">
        <v>6200000</v>
      </c>
      <c r="F510" s="167">
        <v>0</v>
      </c>
      <c r="G510" s="167">
        <v>0</v>
      </c>
      <c r="H510" s="167">
        <v>1147</v>
      </c>
      <c r="I510" s="167">
        <v>88</v>
      </c>
      <c r="J510" s="167" t="s">
        <v>926</v>
      </c>
      <c r="K510" s="171">
        <v>0</v>
      </c>
      <c r="L510">
        <v>420</v>
      </c>
      <c r="M510" t="b">
        <f t="shared" si="8"/>
        <v>0</v>
      </c>
    </row>
    <row r="511" customHeight="1" spans="1:13">
      <c r="A511" s="167">
        <v>40068</v>
      </c>
      <c r="B511" s="167">
        <v>1</v>
      </c>
      <c r="C511" s="168" t="s">
        <v>932</v>
      </c>
      <c r="D511" s="167">
        <v>0</v>
      </c>
      <c r="E511" s="167">
        <v>3000000</v>
      </c>
      <c r="F511" s="167">
        <v>210</v>
      </c>
      <c r="G511" s="167">
        <v>0</v>
      </c>
      <c r="H511" s="167">
        <v>1137</v>
      </c>
      <c r="I511" s="167">
        <v>5</v>
      </c>
      <c r="J511" s="181" t="s">
        <v>921</v>
      </c>
      <c r="K511" s="171">
        <v>0</v>
      </c>
      <c r="L511">
        <v>420</v>
      </c>
      <c r="M511" t="b">
        <f t="shared" si="8"/>
        <v>0</v>
      </c>
    </row>
    <row r="512" customHeight="1" spans="1:13">
      <c r="A512" s="167">
        <v>40069</v>
      </c>
      <c r="B512" s="167">
        <v>2</v>
      </c>
      <c r="C512" s="168" t="s">
        <v>925</v>
      </c>
      <c r="D512" s="167">
        <v>11086</v>
      </c>
      <c r="E512" s="167">
        <v>6</v>
      </c>
      <c r="F512" s="167">
        <v>0</v>
      </c>
      <c r="G512" s="167">
        <v>0</v>
      </c>
      <c r="H512" s="167">
        <v>1149</v>
      </c>
      <c r="I512" s="167">
        <v>90</v>
      </c>
      <c r="J512" s="167" t="s">
        <v>931</v>
      </c>
      <c r="K512" s="171">
        <v>11086</v>
      </c>
      <c r="L512">
        <v>420</v>
      </c>
      <c r="M512" t="b">
        <f t="shared" si="8"/>
        <v>0</v>
      </c>
    </row>
    <row r="513" customHeight="1" spans="1:13">
      <c r="A513" s="167">
        <v>40070</v>
      </c>
      <c r="B513" s="167">
        <v>9</v>
      </c>
      <c r="C513" s="168" t="s">
        <v>934</v>
      </c>
      <c r="D513" s="167">
        <v>0</v>
      </c>
      <c r="E513" s="167">
        <v>160000</v>
      </c>
      <c r="F513" s="167">
        <v>0</v>
      </c>
      <c r="G513" s="167">
        <v>0</v>
      </c>
      <c r="H513" s="167">
        <v>1137</v>
      </c>
      <c r="I513" s="167">
        <v>4</v>
      </c>
      <c r="J513" s="167" t="s">
        <v>921</v>
      </c>
      <c r="K513" s="171">
        <v>0</v>
      </c>
      <c r="L513">
        <v>430</v>
      </c>
      <c r="M513" t="b">
        <f t="shared" si="8"/>
        <v>0</v>
      </c>
    </row>
    <row r="514" customHeight="1" spans="1:13">
      <c r="A514" s="167">
        <v>40071</v>
      </c>
      <c r="B514" s="167">
        <v>1</v>
      </c>
      <c r="C514" s="168" t="s">
        <v>930</v>
      </c>
      <c r="D514" s="167">
        <v>0</v>
      </c>
      <c r="E514" s="167">
        <v>6400000</v>
      </c>
      <c r="F514" s="167">
        <v>0</v>
      </c>
      <c r="G514" s="167">
        <v>0</v>
      </c>
      <c r="H514" s="167">
        <v>1152</v>
      </c>
      <c r="I514" s="167">
        <v>18</v>
      </c>
      <c r="J514" s="167" t="s">
        <v>937</v>
      </c>
      <c r="K514" s="171">
        <v>0</v>
      </c>
      <c r="L514">
        <v>430</v>
      </c>
      <c r="M514" t="b">
        <f t="shared" ref="M514:M577" si="9">IF(D514&lt;&gt;K514,1)</f>
        <v>0</v>
      </c>
    </row>
    <row r="515" customHeight="1" spans="1:13">
      <c r="A515" s="167">
        <v>40072</v>
      </c>
      <c r="B515" s="167">
        <v>1</v>
      </c>
      <c r="C515" s="168" t="s">
        <v>932</v>
      </c>
      <c r="D515" s="167">
        <v>0</v>
      </c>
      <c r="E515" s="167">
        <v>3000000</v>
      </c>
      <c r="F515" s="167">
        <v>210</v>
      </c>
      <c r="G515" s="167">
        <v>0</v>
      </c>
      <c r="H515" s="167">
        <v>1137</v>
      </c>
      <c r="I515" s="167">
        <v>5</v>
      </c>
      <c r="J515" s="181" t="s">
        <v>921</v>
      </c>
      <c r="K515" s="171">
        <v>0</v>
      </c>
      <c r="L515">
        <v>430</v>
      </c>
      <c r="M515" t="b">
        <f t="shared" si="9"/>
        <v>0</v>
      </c>
    </row>
    <row r="516" customHeight="1" spans="1:13">
      <c r="A516" s="167">
        <v>40073</v>
      </c>
      <c r="B516" s="167">
        <v>2</v>
      </c>
      <c r="C516" s="168" t="s">
        <v>925</v>
      </c>
      <c r="D516" s="167">
        <v>11018</v>
      </c>
      <c r="E516" s="167">
        <v>3</v>
      </c>
      <c r="F516" s="167">
        <v>0</v>
      </c>
      <c r="G516" s="167">
        <v>0</v>
      </c>
      <c r="H516" s="167">
        <v>1145</v>
      </c>
      <c r="I516" s="167">
        <v>92</v>
      </c>
      <c r="J516" s="167" t="s">
        <v>927</v>
      </c>
      <c r="K516" s="171">
        <v>11018</v>
      </c>
      <c r="L516">
        <v>430</v>
      </c>
      <c r="M516" t="b">
        <f t="shared" si="9"/>
        <v>0</v>
      </c>
    </row>
    <row r="517" customHeight="1" spans="1:13">
      <c r="A517" s="167">
        <v>40074</v>
      </c>
      <c r="B517" s="167">
        <v>9</v>
      </c>
      <c r="C517" s="168" t="s">
        <v>934</v>
      </c>
      <c r="D517" s="167">
        <v>0</v>
      </c>
      <c r="E517" s="167">
        <v>180000</v>
      </c>
      <c r="F517" s="167">
        <v>0</v>
      </c>
      <c r="G517" s="167">
        <v>0</v>
      </c>
      <c r="H517" s="167">
        <v>1137</v>
      </c>
      <c r="I517" s="167">
        <v>4</v>
      </c>
      <c r="J517" s="167" t="s">
        <v>921</v>
      </c>
      <c r="K517" s="171">
        <v>0</v>
      </c>
      <c r="L517">
        <v>430</v>
      </c>
      <c r="M517" t="b">
        <f t="shared" si="9"/>
        <v>0</v>
      </c>
    </row>
    <row r="518" customHeight="1" spans="1:13">
      <c r="A518" s="167">
        <v>40075</v>
      </c>
      <c r="B518" s="167">
        <v>1</v>
      </c>
      <c r="C518" s="168" t="s">
        <v>930</v>
      </c>
      <c r="D518" s="167">
        <v>0</v>
      </c>
      <c r="E518" s="167">
        <v>6600000</v>
      </c>
      <c r="F518" s="167">
        <v>0</v>
      </c>
      <c r="G518" s="167">
        <v>0</v>
      </c>
      <c r="H518" s="167">
        <v>1147</v>
      </c>
      <c r="I518" s="167">
        <v>92</v>
      </c>
      <c r="J518" s="167" t="s">
        <v>926</v>
      </c>
      <c r="K518" s="171">
        <v>0</v>
      </c>
      <c r="L518">
        <v>430</v>
      </c>
      <c r="M518" t="b">
        <f t="shared" si="9"/>
        <v>0</v>
      </c>
    </row>
    <row r="519" customHeight="1" spans="1:13">
      <c r="A519" s="167">
        <v>40076</v>
      </c>
      <c r="B519" s="167">
        <v>1</v>
      </c>
      <c r="C519" s="168" t="s">
        <v>932</v>
      </c>
      <c r="D519" s="167">
        <v>0</v>
      </c>
      <c r="E519" s="167">
        <v>3100000</v>
      </c>
      <c r="F519" s="167">
        <v>210</v>
      </c>
      <c r="G519" s="167">
        <v>0</v>
      </c>
      <c r="H519" s="167">
        <v>1137</v>
      </c>
      <c r="I519" s="167">
        <v>5</v>
      </c>
      <c r="J519" s="181" t="s">
        <v>921</v>
      </c>
      <c r="K519" s="171">
        <v>0</v>
      </c>
      <c r="L519">
        <v>430</v>
      </c>
      <c r="M519" t="b">
        <f t="shared" si="9"/>
        <v>0</v>
      </c>
    </row>
    <row r="520" customHeight="1" spans="1:13">
      <c r="A520" s="167">
        <v>40077</v>
      </c>
      <c r="B520" s="167">
        <v>4</v>
      </c>
      <c r="C520" s="168" t="s">
        <v>928</v>
      </c>
      <c r="D520" s="167">
        <v>24000</v>
      </c>
      <c r="E520" s="167">
        <v>5</v>
      </c>
      <c r="F520" s="167">
        <v>0</v>
      </c>
      <c r="G520" s="167">
        <v>0</v>
      </c>
      <c r="H520" s="167">
        <v>1149</v>
      </c>
      <c r="I520" s="167">
        <v>94</v>
      </c>
      <c r="J520" s="167" t="s">
        <v>931</v>
      </c>
      <c r="K520" s="171">
        <v>0</v>
      </c>
      <c r="L520">
        <v>430</v>
      </c>
      <c r="M520">
        <f t="shared" si="9"/>
        <v>1</v>
      </c>
    </row>
    <row r="521" customHeight="1" spans="1:13">
      <c r="A521" s="167">
        <v>40078</v>
      </c>
      <c r="B521" s="167">
        <v>5</v>
      </c>
      <c r="C521" s="168" t="s">
        <v>955</v>
      </c>
      <c r="D521" s="167">
        <v>0</v>
      </c>
      <c r="E521" s="167">
        <v>3</v>
      </c>
      <c r="F521" s="167">
        <v>0</v>
      </c>
      <c r="G521" s="167">
        <v>0</v>
      </c>
      <c r="H521" s="167">
        <v>1137</v>
      </c>
      <c r="I521" s="167">
        <v>4</v>
      </c>
      <c r="J521" s="167" t="s">
        <v>921</v>
      </c>
      <c r="K521" s="171">
        <v>0</v>
      </c>
      <c r="L521">
        <v>430</v>
      </c>
      <c r="M521" t="b">
        <f t="shared" si="9"/>
        <v>0</v>
      </c>
    </row>
    <row r="522" customHeight="1" spans="1:13">
      <c r="A522" s="167">
        <v>40079</v>
      </c>
      <c r="B522" s="167">
        <v>1</v>
      </c>
      <c r="C522" s="168" t="s">
        <v>930</v>
      </c>
      <c r="D522" s="167">
        <v>0</v>
      </c>
      <c r="E522" s="167">
        <v>6800000</v>
      </c>
      <c r="F522" s="167">
        <v>0</v>
      </c>
      <c r="G522" s="167">
        <v>0</v>
      </c>
      <c r="H522" s="167">
        <v>1150</v>
      </c>
      <c r="I522" s="167">
        <v>19</v>
      </c>
      <c r="J522" s="167" t="s">
        <v>935</v>
      </c>
      <c r="K522" s="171">
        <v>0</v>
      </c>
      <c r="L522">
        <v>430</v>
      </c>
      <c r="M522" t="b">
        <f t="shared" si="9"/>
        <v>0</v>
      </c>
    </row>
    <row r="523" customHeight="1" spans="1:13">
      <c r="A523" s="167">
        <v>40080</v>
      </c>
      <c r="B523" s="167">
        <v>1</v>
      </c>
      <c r="C523" s="168" t="s">
        <v>932</v>
      </c>
      <c r="D523" s="167">
        <v>0</v>
      </c>
      <c r="E523" s="167">
        <v>3100000</v>
      </c>
      <c r="F523" s="167">
        <v>210</v>
      </c>
      <c r="G523" s="167">
        <v>0</v>
      </c>
      <c r="H523" s="167">
        <v>1137</v>
      </c>
      <c r="I523" s="167">
        <v>5</v>
      </c>
      <c r="J523" s="181" t="s">
        <v>921</v>
      </c>
      <c r="K523" s="171">
        <v>0</v>
      </c>
      <c r="L523">
        <v>440</v>
      </c>
      <c r="M523" t="b">
        <f t="shared" si="9"/>
        <v>0</v>
      </c>
    </row>
    <row r="524" customHeight="1" spans="1:13">
      <c r="A524" s="167">
        <v>40081</v>
      </c>
      <c r="B524" s="167">
        <v>2</v>
      </c>
      <c r="C524" s="168" t="s">
        <v>925</v>
      </c>
      <c r="D524" s="167">
        <v>11091</v>
      </c>
      <c r="E524" s="167">
        <v>2</v>
      </c>
      <c r="F524" s="167">
        <v>0</v>
      </c>
      <c r="G524" s="167">
        <v>0</v>
      </c>
      <c r="H524" s="167">
        <v>1145</v>
      </c>
      <c r="I524" s="167">
        <v>96</v>
      </c>
      <c r="J524" s="167" t="s">
        <v>927</v>
      </c>
      <c r="K524" s="171">
        <v>11091</v>
      </c>
      <c r="L524">
        <v>440</v>
      </c>
      <c r="M524" t="b">
        <f t="shared" si="9"/>
        <v>0</v>
      </c>
    </row>
    <row r="525" customHeight="1" spans="1:13">
      <c r="A525" s="167">
        <v>40082</v>
      </c>
      <c r="B525" s="167">
        <v>9</v>
      </c>
      <c r="C525" s="168" t="s">
        <v>934</v>
      </c>
      <c r="D525" s="167">
        <v>0</v>
      </c>
      <c r="E525" s="167">
        <v>200000</v>
      </c>
      <c r="F525" s="167">
        <v>0</v>
      </c>
      <c r="G525" s="167">
        <v>0</v>
      </c>
      <c r="H525" s="167">
        <v>1137</v>
      </c>
      <c r="I525" s="167">
        <v>4</v>
      </c>
      <c r="J525" s="167" t="s">
        <v>921</v>
      </c>
      <c r="K525" s="171">
        <v>0</v>
      </c>
      <c r="L525">
        <v>440</v>
      </c>
      <c r="M525" t="b">
        <f t="shared" si="9"/>
        <v>0</v>
      </c>
    </row>
    <row r="526" customHeight="1" spans="1:13">
      <c r="A526" s="167">
        <v>40083</v>
      </c>
      <c r="B526" s="167">
        <v>1</v>
      </c>
      <c r="C526" s="168" t="s">
        <v>930</v>
      </c>
      <c r="D526" s="167">
        <v>0</v>
      </c>
      <c r="E526" s="167">
        <v>7000000</v>
      </c>
      <c r="F526" s="167">
        <v>0</v>
      </c>
      <c r="G526" s="167">
        <v>0</v>
      </c>
      <c r="H526" s="167">
        <v>1147</v>
      </c>
      <c r="I526" s="167">
        <v>96</v>
      </c>
      <c r="J526" s="167" t="s">
        <v>926</v>
      </c>
      <c r="K526" s="171">
        <v>0</v>
      </c>
      <c r="L526">
        <v>440</v>
      </c>
      <c r="M526" t="b">
        <f t="shared" si="9"/>
        <v>0</v>
      </c>
    </row>
    <row r="527" customHeight="1" spans="1:13">
      <c r="A527" s="167">
        <v>40084</v>
      </c>
      <c r="B527" s="167">
        <v>1</v>
      </c>
      <c r="C527" s="168" t="s">
        <v>932</v>
      </c>
      <c r="D527" s="167">
        <v>0</v>
      </c>
      <c r="E527" s="167">
        <v>3200000</v>
      </c>
      <c r="F527" s="167">
        <v>210</v>
      </c>
      <c r="G527" s="167">
        <v>0</v>
      </c>
      <c r="H527" s="167">
        <v>1137</v>
      </c>
      <c r="I527" s="167">
        <v>5</v>
      </c>
      <c r="J527" s="181" t="s">
        <v>921</v>
      </c>
      <c r="K527" s="171">
        <v>0</v>
      </c>
      <c r="L527">
        <v>440</v>
      </c>
      <c r="M527" t="b">
        <f t="shared" si="9"/>
        <v>0</v>
      </c>
    </row>
    <row r="528" customHeight="1" spans="1:13">
      <c r="A528" s="167">
        <v>40085</v>
      </c>
      <c r="B528" s="167">
        <v>4</v>
      </c>
      <c r="C528" s="168" t="s">
        <v>928</v>
      </c>
      <c r="D528" s="167">
        <v>26000</v>
      </c>
      <c r="E528" s="167">
        <v>3</v>
      </c>
      <c r="F528" s="167">
        <v>0</v>
      </c>
      <c r="G528" s="167">
        <v>0</v>
      </c>
      <c r="H528" s="167">
        <v>1149</v>
      </c>
      <c r="I528" s="167">
        <v>98</v>
      </c>
      <c r="J528" s="167" t="s">
        <v>931</v>
      </c>
      <c r="K528" s="171">
        <v>0</v>
      </c>
      <c r="L528">
        <v>440</v>
      </c>
      <c r="M528">
        <f t="shared" si="9"/>
        <v>1</v>
      </c>
    </row>
    <row r="529" customHeight="1" spans="1:13">
      <c r="A529" s="167">
        <v>40086</v>
      </c>
      <c r="B529" s="167">
        <v>5</v>
      </c>
      <c r="C529" s="168" t="s">
        <v>955</v>
      </c>
      <c r="D529" s="167">
        <v>0</v>
      </c>
      <c r="E529" s="167">
        <v>3</v>
      </c>
      <c r="F529" s="167">
        <v>0</v>
      </c>
      <c r="G529" s="167">
        <v>0</v>
      </c>
      <c r="H529" s="167">
        <v>1137</v>
      </c>
      <c r="I529" s="167">
        <v>4</v>
      </c>
      <c r="J529" s="167" t="s">
        <v>921</v>
      </c>
      <c r="K529" s="171">
        <v>0</v>
      </c>
      <c r="L529">
        <v>440</v>
      </c>
      <c r="M529" t="b">
        <f t="shared" si="9"/>
        <v>0</v>
      </c>
    </row>
    <row r="530" customHeight="1" spans="1:13">
      <c r="A530" s="167">
        <v>40087</v>
      </c>
      <c r="B530" s="167">
        <v>1</v>
      </c>
      <c r="C530" s="168" t="s">
        <v>930</v>
      </c>
      <c r="D530" s="167">
        <v>0</v>
      </c>
      <c r="E530" s="167">
        <v>7200000</v>
      </c>
      <c r="F530" s="167">
        <v>0</v>
      </c>
      <c r="G530" s="167">
        <v>0</v>
      </c>
      <c r="H530" s="167">
        <v>1152</v>
      </c>
      <c r="I530" s="167">
        <v>20</v>
      </c>
      <c r="J530" s="167" t="s">
        <v>937</v>
      </c>
      <c r="K530" s="171">
        <v>0</v>
      </c>
      <c r="L530">
        <v>440</v>
      </c>
      <c r="M530" t="b">
        <f t="shared" si="9"/>
        <v>0</v>
      </c>
    </row>
    <row r="531" customHeight="1" spans="1:13">
      <c r="A531" s="167">
        <v>40088</v>
      </c>
      <c r="B531" s="167">
        <v>1</v>
      </c>
      <c r="C531" s="168" t="s">
        <v>932</v>
      </c>
      <c r="D531" s="167">
        <v>0</v>
      </c>
      <c r="E531" s="167">
        <v>3200000</v>
      </c>
      <c r="F531" s="167">
        <v>210</v>
      </c>
      <c r="G531" s="167">
        <v>0</v>
      </c>
      <c r="H531" s="167">
        <v>1137</v>
      </c>
      <c r="I531" s="167">
        <v>5</v>
      </c>
      <c r="J531" s="181" t="s">
        <v>921</v>
      </c>
      <c r="K531" s="171">
        <v>0</v>
      </c>
      <c r="L531">
        <v>440</v>
      </c>
      <c r="M531" t="b">
        <f t="shared" si="9"/>
        <v>0</v>
      </c>
    </row>
    <row r="532" customHeight="1" spans="1:13">
      <c r="A532" s="167">
        <v>40089</v>
      </c>
      <c r="B532" s="167">
        <v>2</v>
      </c>
      <c r="C532" s="168" t="s">
        <v>925</v>
      </c>
      <c r="D532" s="167">
        <v>11021</v>
      </c>
      <c r="E532" s="167">
        <v>3</v>
      </c>
      <c r="F532" s="167">
        <v>0</v>
      </c>
      <c r="G532" s="167">
        <v>0</v>
      </c>
      <c r="H532" s="167">
        <v>1145</v>
      </c>
      <c r="I532" s="167">
        <v>100</v>
      </c>
      <c r="J532" s="167" t="s">
        <v>927</v>
      </c>
      <c r="K532" s="171">
        <v>11021</v>
      </c>
      <c r="L532">
        <v>440</v>
      </c>
      <c r="M532" t="b">
        <f t="shared" si="9"/>
        <v>0</v>
      </c>
    </row>
    <row r="533" customHeight="1" spans="1:13">
      <c r="A533" s="167">
        <v>40090</v>
      </c>
      <c r="B533" s="167">
        <v>9</v>
      </c>
      <c r="C533" s="168" t="s">
        <v>934</v>
      </c>
      <c r="D533" s="167">
        <v>0</v>
      </c>
      <c r="E533" s="167">
        <v>250000</v>
      </c>
      <c r="F533" s="167">
        <v>0</v>
      </c>
      <c r="G533" s="167">
        <v>0</v>
      </c>
      <c r="H533" s="167">
        <v>1137</v>
      </c>
      <c r="I533" s="167">
        <v>4</v>
      </c>
      <c r="J533" s="167" t="s">
        <v>921</v>
      </c>
      <c r="K533" s="171">
        <v>0</v>
      </c>
      <c r="L533">
        <v>450</v>
      </c>
      <c r="M533" t="b">
        <f t="shared" si="9"/>
        <v>0</v>
      </c>
    </row>
    <row r="534" customHeight="1" spans="1:13">
      <c r="A534" s="167">
        <v>40091</v>
      </c>
      <c r="B534" s="167">
        <v>1</v>
      </c>
      <c r="C534" s="168" t="s">
        <v>930</v>
      </c>
      <c r="D534" s="167">
        <v>0</v>
      </c>
      <c r="E534" s="167">
        <v>7400000</v>
      </c>
      <c r="F534" s="167">
        <v>0</v>
      </c>
      <c r="G534" s="167">
        <v>0</v>
      </c>
      <c r="H534" s="167">
        <v>1147</v>
      </c>
      <c r="I534" s="167">
        <v>100</v>
      </c>
      <c r="J534" s="167" t="s">
        <v>926</v>
      </c>
      <c r="K534" s="171">
        <v>0</v>
      </c>
      <c r="L534">
        <v>450</v>
      </c>
      <c r="M534" t="b">
        <f t="shared" si="9"/>
        <v>0</v>
      </c>
    </row>
    <row r="535" customHeight="1" spans="1:13">
      <c r="A535" s="167">
        <v>40092</v>
      </c>
      <c r="B535" s="167">
        <v>1</v>
      </c>
      <c r="C535" s="168" t="s">
        <v>932</v>
      </c>
      <c r="D535" s="167">
        <v>0</v>
      </c>
      <c r="E535" s="167">
        <v>3300000</v>
      </c>
      <c r="F535" s="167">
        <v>210</v>
      </c>
      <c r="G535" s="167">
        <v>0</v>
      </c>
      <c r="H535" s="167">
        <v>1137</v>
      </c>
      <c r="I535" s="167">
        <v>5</v>
      </c>
      <c r="J535" s="181" t="s">
        <v>921</v>
      </c>
      <c r="K535" s="171">
        <v>0</v>
      </c>
      <c r="L535">
        <v>450</v>
      </c>
      <c r="M535" t="b">
        <f t="shared" si="9"/>
        <v>0</v>
      </c>
    </row>
    <row r="536" customHeight="1" spans="1:13">
      <c r="A536" s="167">
        <v>40093</v>
      </c>
      <c r="B536" s="167">
        <v>4</v>
      </c>
      <c r="C536" s="168" t="s">
        <v>928</v>
      </c>
      <c r="D536" s="167">
        <v>28000</v>
      </c>
      <c r="E536" s="167">
        <v>2</v>
      </c>
      <c r="F536" s="167">
        <v>0</v>
      </c>
      <c r="G536" s="167">
        <v>0</v>
      </c>
      <c r="H536" s="167">
        <v>1149</v>
      </c>
      <c r="I536" s="167">
        <v>102</v>
      </c>
      <c r="J536" s="167" t="s">
        <v>931</v>
      </c>
      <c r="K536" s="171">
        <v>0</v>
      </c>
      <c r="L536">
        <v>450</v>
      </c>
      <c r="M536">
        <f t="shared" si="9"/>
        <v>1</v>
      </c>
    </row>
    <row r="537" customHeight="1" spans="1:13">
      <c r="A537" s="167">
        <v>40094</v>
      </c>
      <c r="B537" s="167">
        <v>5</v>
      </c>
      <c r="C537" s="168" t="s">
        <v>955</v>
      </c>
      <c r="D537" s="167">
        <v>0</v>
      </c>
      <c r="E537" s="167">
        <v>3</v>
      </c>
      <c r="F537" s="167">
        <v>0</v>
      </c>
      <c r="G537" s="167">
        <v>0</v>
      </c>
      <c r="H537" s="167">
        <v>1137</v>
      </c>
      <c r="I537" s="167">
        <v>4</v>
      </c>
      <c r="J537" s="167" t="s">
        <v>921</v>
      </c>
      <c r="K537" s="171">
        <v>0</v>
      </c>
      <c r="L537">
        <v>450</v>
      </c>
      <c r="M537" t="b">
        <f t="shared" si="9"/>
        <v>0</v>
      </c>
    </row>
    <row r="538" customHeight="1" spans="1:13">
      <c r="A538" s="167">
        <v>40095</v>
      </c>
      <c r="B538" s="167">
        <v>1</v>
      </c>
      <c r="C538" s="168" t="s">
        <v>930</v>
      </c>
      <c r="D538" s="167">
        <v>0</v>
      </c>
      <c r="E538" s="167">
        <v>7600000</v>
      </c>
      <c r="F538" s="167">
        <v>0</v>
      </c>
      <c r="G538" s="167">
        <v>0</v>
      </c>
      <c r="H538" s="167">
        <v>1150</v>
      </c>
      <c r="I538" s="167">
        <v>21</v>
      </c>
      <c r="J538" s="167" t="s">
        <v>935</v>
      </c>
      <c r="K538" s="171">
        <v>0</v>
      </c>
      <c r="L538">
        <v>450</v>
      </c>
      <c r="M538" t="b">
        <f t="shared" si="9"/>
        <v>0</v>
      </c>
    </row>
    <row r="539" customHeight="1" spans="1:13">
      <c r="A539" s="167">
        <v>40096</v>
      </c>
      <c r="B539" s="167">
        <v>1</v>
      </c>
      <c r="C539" s="168" t="s">
        <v>932</v>
      </c>
      <c r="D539" s="167">
        <v>0</v>
      </c>
      <c r="E539" s="167">
        <v>3300000</v>
      </c>
      <c r="F539" s="167">
        <v>210</v>
      </c>
      <c r="G539" s="167">
        <v>0</v>
      </c>
      <c r="H539" s="167">
        <v>1137</v>
      </c>
      <c r="I539" s="167">
        <v>5</v>
      </c>
      <c r="J539" s="181" t="s">
        <v>921</v>
      </c>
      <c r="K539" s="171">
        <v>0</v>
      </c>
      <c r="L539">
        <v>450</v>
      </c>
      <c r="M539" t="b">
        <f t="shared" si="9"/>
        <v>0</v>
      </c>
    </row>
    <row r="540" customHeight="1" spans="1:13">
      <c r="A540" s="167">
        <v>40097</v>
      </c>
      <c r="B540" s="167">
        <v>2</v>
      </c>
      <c r="C540" s="168" t="s">
        <v>925</v>
      </c>
      <c r="D540" s="167">
        <v>11023</v>
      </c>
      <c r="E540" s="167">
        <v>3</v>
      </c>
      <c r="F540" s="167">
        <v>0</v>
      </c>
      <c r="G540" s="167">
        <v>0</v>
      </c>
      <c r="H540" s="167">
        <v>1145</v>
      </c>
      <c r="I540" s="167">
        <v>104</v>
      </c>
      <c r="J540" s="167" t="s">
        <v>927</v>
      </c>
      <c r="K540" s="171">
        <v>11023</v>
      </c>
      <c r="L540">
        <v>450</v>
      </c>
      <c r="M540" t="b">
        <f t="shared" si="9"/>
        <v>0</v>
      </c>
    </row>
    <row r="541" customHeight="1" spans="1:13">
      <c r="A541" s="167">
        <v>40098</v>
      </c>
      <c r="B541" s="167">
        <v>9</v>
      </c>
      <c r="C541" s="168" t="s">
        <v>934</v>
      </c>
      <c r="D541" s="167">
        <v>0</v>
      </c>
      <c r="E541" s="167">
        <v>300000</v>
      </c>
      <c r="F541" s="167">
        <v>0</v>
      </c>
      <c r="G541" s="167">
        <v>0</v>
      </c>
      <c r="H541" s="167">
        <v>1137</v>
      </c>
      <c r="I541" s="167">
        <v>4</v>
      </c>
      <c r="J541" s="167" t="s">
        <v>921</v>
      </c>
      <c r="K541" s="171">
        <v>0</v>
      </c>
      <c r="L541">
        <v>450</v>
      </c>
      <c r="M541" t="b">
        <f t="shared" si="9"/>
        <v>0</v>
      </c>
    </row>
    <row r="542" customHeight="1" spans="1:13">
      <c r="A542" s="167">
        <v>40099</v>
      </c>
      <c r="B542" s="167">
        <v>1</v>
      </c>
      <c r="C542" s="168" t="s">
        <v>930</v>
      </c>
      <c r="D542" s="167">
        <v>0</v>
      </c>
      <c r="E542" s="167">
        <v>7800000</v>
      </c>
      <c r="F542" s="167">
        <v>0</v>
      </c>
      <c r="G542" s="167">
        <v>0</v>
      </c>
      <c r="H542" s="167">
        <v>1147</v>
      </c>
      <c r="I542" s="167">
        <v>104</v>
      </c>
      <c r="J542" s="167" t="s">
        <v>926</v>
      </c>
      <c r="K542" s="171">
        <v>0</v>
      </c>
      <c r="L542">
        <v>450</v>
      </c>
      <c r="M542" t="b">
        <f t="shared" si="9"/>
        <v>0</v>
      </c>
    </row>
    <row r="543" customHeight="1" spans="1:13">
      <c r="A543" s="167">
        <v>40100</v>
      </c>
      <c r="B543" s="167">
        <v>1</v>
      </c>
      <c r="C543" s="168" t="s">
        <v>932</v>
      </c>
      <c r="D543" s="167">
        <v>0</v>
      </c>
      <c r="E543" s="167">
        <v>3400000</v>
      </c>
      <c r="F543" s="167">
        <v>210</v>
      </c>
      <c r="G543" s="167">
        <v>0</v>
      </c>
      <c r="H543" s="167">
        <v>1137</v>
      </c>
      <c r="I543" s="167">
        <v>5</v>
      </c>
      <c r="J543" s="181" t="s">
        <v>921</v>
      </c>
      <c r="K543" s="171">
        <v>0</v>
      </c>
      <c r="L543">
        <v>500</v>
      </c>
      <c r="M543" t="b">
        <f t="shared" si="9"/>
        <v>0</v>
      </c>
    </row>
    <row r="544" customHeight="1" spans="1:13">
      <c r="A544" s="167">
        <v>41001</v>
      </c>
      <c r="B544" s="167">
        <v>2</v>
      </c>
      <c r="C544" s="168" t="s">
        <v>925</v>
      </c>
      <c r="D544" s="167">
        <v>11016</v>
      </c>
      <c r="E544" s="167">
        <v>3</v>
      </c>
      <c r="F544" s="167">
        <v>0</v>
      </c>
      <c r="G544" s="167">
        <v>0</v>
      </c>
      <c r="H544" s="167">
        <v>47004</v>
      </c>
      <c r="I544" s="167">
        <v>100</v>
      </c>
      <c r="J544" s="167" t="s">
        <v>983</v>
      </c>
      <c r="K544" s="171">
        <v>11016</v>
      </c>
      <c r="L544">
        <v>500</v>
      </c>
      <c r="M544" t="b">
        <f t="shared" si="9"/>
        <v>0</v>
      </c>
    </row>
    <row r="545" customHeight="1" spans="1:13">
      <c r="A545" s="167">
        <v>41002</v>
      </c>
      <c r="B545" s="167">
        <v>4</v>
      </c>
      <c r="C545" s="168" t="s">
        <v>928</v>
      </c>
      <c r="D545" s="167">
        <v>20000</v>
      </c>
      <c r="E545" s="167">
        <v>10</v>
      </c>
      <c r="F545" s="167">
        <v>0</v>
      </c>
      <c r="G545" s="167">
        <v>0</v>
      </c>
      <c r="H545" s="167">
        <v>1137</v>
      </c>
      <c r="I545" s="167">
        <v>4</v>
      </c>
      <c r="J545" s="167" t="s">
        <v>921</v>
      </c>
      <c r="K545" s="171">
        <v>0</v>
      </c>
      <c r="L545">
        <v>500</v>
      </c>
      <c r="M545">
        <f t="shared" si="9"/>
        <v>1</v>
      </c>
    </row>
    <row r="546" customHeight="1" spans="1:13">
      <c r="A546" s="167">
        <v>41003</v>
      </c>
      <c r="B546" s="167">
        <v>1</v>
      </c>
      <c r="C546" s="168" t="s">
        <v>930</v>
      </c>
      <c r="D546" s="167">
        <v>0</v>
      </c>
      <c r="E546" s="167">
        <v>8000000</v>
      </c>
      <c r="F546" s="167">
        <v>0</v>
      </c>
      <c r="G546" s="167">
        <v>0</v>
      </c>
      <c r="H546" s="167">
        <v>47004</v>
      </c>
      <c r="I546" s="167">
        <v>100</v>
      </c>
      <c r="J546" s="167" t="s">
        <v>983</v>
      </c>
      <c r="K546" s="171">
        <v>0</v>
      </c>
      <c r="L546">
        <v>500</v>
      </c>
      <c r="M546" t="b">
        <f t="shared" si="9"/>
        <v>0</v>
      </c>
    </row>
    <row r="547" customHeight="1" spans="1:13">
      <c r="A547" s="167">
        <v>41004</v>
      </c>
      <c r="B547" s="167">
        <v>1</v>
      </c>
      <c r="C547" s="168" t="s">
        <v>932</v>
      </c>
      <c r="D547" s="167">
        <v>0</v>
      </c>
      <c r="E547" s="167">
        <v>3500000</v>
      </c>
      <c r="F547" s="167">
        <v>210</v>
      </c>
      <c r="G547" s="167">
        <v>0</v>
      </c>
      <c r="H547" s="167">
        <v>1137</v>
      </c>
      <c r="I547" s="167">
        <v>4</v>
      </c>
      <c r="J547" s="167" t="s">
        <v>921</v>
      </c>
      <c r="K547" s="171">
        <v>0</v>
      </c>
      <c r="L547">
        <v>500</v>
      </c>
      <c r="M547" t="b">
        <f t="shared" si="9"/>
        <v>0</v>
      </c>
    </row>
    <row r="548" customHeight="1" spans="1:13">
      <c r="A548" s="167">
        <v>41005</v>
      </c>
      <c r="B548" s="167">
        <v>3</v>
      </c>
      <c r="C548" s="168" t="s">
        <v>990</v>
      </c>
      <c r="D548" s="167">
        <v>0</v>
      </c>
      <c r="E548" s="167">
        <v>1</v>
      </c>
      <c r="F548" s="167">
        <v>0</v>
      </c>
      <c r="G548" s="167">
        <v>0</v>
      </c>
      <c r="H548" s="167">
        <v>47004</v>
      </c>
      <c r="I548" s="167">
        <v>100</v>
      </c>
      <c r="J548" s="167" t="s">
        <v>983</v>
      </c>
      <c r="K548" s="171">
        <v>0</v>
      </c>
      <c r="L548">
        <v>500</v>
      </c>
      <c r="M548" t="b">
        <f t="shared" si="9"/>
        <v>0</v>
      </c>
    </row>
    <row r="549" customHeight="1" spans="1:13">
      <c r="A549" s="167">
        <v>41006</v>
      </c>
      <c r="B549" s="167">
        <v>5</v>
      </c>
      <c r="C549" s="168" t="s">
        <v>955</v>
      </c>
      <c r="D549" s="167">
        <v>0</v>
      </c>
      <c r="E549" s="167">
        <v>3</v>
      </c>
      <c r="F549" s="167">
        <v>0</v>
      </c>
      <c r="G549" s="167">
        <v>0</v>
      </c>
      <c r="H549" s="167">
        <v>1137</v>
      </c>
      <c r="I549" s="167">
        <v>4</v>
      </c>
      <c r="J549" s="167" t="s">
        <v>921</v>
      </c>
      <c r="K549" s="171">
        <v>0</v>
      </c>
      <c r="L549">
        <v>500</v>
      </c>
      <c r="M549" t="b">
        <f t="shared" si="9"/>
        <v>0</v>
      </c>
    </row>
    <row r="550" customHeight="1" spans="1:13">
      <c r="A550" s="167">
        <v>41007</v>
      </c>
      <c r="B550" s="167">
        <v>1</v>
      </c>
      <c r="C550" s="168" t="s">
        <v>930</v>
      </c>
      <c r="D550" s="167">
        <v>0</v>
      </c>
      <c r="E550" s="167">
        <v>8000000</v>
      </c>
      <c r="F550" s="167">
        <v>0</v>
      </c>
      <c r="G550" s="167">
        <v>0</v>
      </c>
      <c r="H550" s="167">
        <v>47004</v>
      </c>
      <c r="I550" s="167">
        <v>100</v>
      </c>
      <c r="J550" s="167" t="s">
        <v>983</v>
      </c>
      <c r="K550" s="171">
        <v>0</v>
      </c>
      <c r="L550">
        <v>500</v>
      </c>
      <c r="M550" t="b">
        <f t="shared" si="9"/>
        <v>0</v>
      </c>
    </row>
    <row r="551" customHeight="1" spans="1:13">
      <c r="A551" s="167">
        <v>41008</v>
      </c>
      <c r="B551" s="167">
        <v>1</v>
      </c>
      <c r="C551" s="168" t="s">
        <v>932</v>
      </c>
      <c r="D551" s="167">
        <v>0</v>
      </c>
      <c r="E551" s="167">
        <v>3500000</v>
      </c>
      <c r="F551" s="167">
        <v>210</v>
      </c>
      <c r="G551" s="167">
        <v>0</v>
      </c>
      <c r="H551" s="167">
        <v>1137</v>
      </c>
      <c r="I551" s="167">
        <v>4</v>
      </c>
      <c r="J551" s="167" t="s">
        <v>921</v>
      </c>
      <c r="K551" s="171">
        <v>0</v>
      </c>
      <c r="L551">
        <v>500</v>
      </c>
      <c r="M551" t="b">
        <f t="shared" si="9"/>
        <v>0</v>
      </c>
    </row>
    <row r="552" customHeight="1" spans="1:13">
      <c r="A552" s="167">
        <v>41009</v>
      </c>
      <c r="B552" s="167">
        <v>2</v>
      </c>
      <c r="C552" s="168" t="s">
        <v>925</v>
      </c>
      <c r="D552" s="167">
        <v>11091</v>
      </c>
      <c r="E552" s="167">
        <v>2</v>
      </c>
      <c r="F552" s="167">
        <v>0</v>
      </c>
      <c r="G552" s="167">
        <v>0</v>
      </c>
      <c r="H552" s="167">
        <v>47004</v>
      </c>
      <c r="I552" s="167">
        <v>100</v>
      </c>
      <c r="J552" s="167" t="s">
        <v>983</v>
      </c>
      <c r="K552" s="171">
        <v>11091</v>
      </c>
      <c r="L552">
        <v>500</v>
      </c>
      <c r="M552" t="b">
        <f t="shared" si="9"/>
        <v>0</v>
      </c>
    </row>
    <row r="553" customHeight="1" spans="1:13">
      <c r="A553" s="167">
        <v>41010</v>
      </c>
      <c r="B553" s="167">
        <v>9</v>
      </c>
      <c r="C553" s="168" t="s">
        <v>934</v>
      </c>
      <c r="D553" s="167">
        <v>0</v>
      </c>
      <c r="E553" s="167">
        <v>400000</v>
      </c>
      <c r="F553" s="167">
        <v>0</v>
      </c>
      <c r="G553" s="167">
        <v>0</v>
      </c>
      <c r="H553" s="167">
        <v>1137</v>
      </c>
      <c r="I553" s="167">
        <v>4</v>
      </c>
      <c r="J553" s="167" t="s">
        <v>921</v>
      </c>
      <c r="K553" s="171">
        <v>0</v>
      </c>
      <c r="L553">
        <v>500</v>
      </c>
      <c r="M553" t="b">
        <f t="shared" si="9"/>
        <v>0</v>
      </c>
    </row>
    <row r="554" customHeight="1" spans="1:13">
      <c r="A554" s="167">
        <v>41011</v>
      </c>
      <c r="B554" s="167">
        <v>1</v>
      </c>
      <c r="C554" s="168" t="s">
        <v>930</v>
      </c>
      <c r="D554" s="167">
        <v>0</v>
      </c>
      <c r="E554" s="167">
        <v>8000000</v>
      </c>
      <c r="F554" s="167">
        <v>0</v>
      </c>
      <c r="G554" s="167">
        <v>0</v>
      </c>
      <c r="H554" s="167">
        <v>47004</v>
      </c>
      <c r="I554" s="167">
        <v>100</v>
      </c>
      <c r="J554" s="167" t="s">
        <v>983</v>
      </c>
      <c r="K554" s="171">
        <v>0</v>
      </c>
      <c r="L554">
        <v>500</v>
      </c>
      <c r="M554" t="b">
        <f t="shared" si="9"/>
        <v>0</v>
      </c>
    </row>
    <row r="555" customHeight="1" spans="1:13">
      <c r="A555" s="167">
        <v>41012</v>
      </c>
      <c r="B555" s="167">
        <v>1</v>
      </c>
      <c r="C555" s="168" t="s">
        <v>932</v>
      </c>
      <c r="D555" s="167">
        <v>0</v>
      </c>
      <c r="E555" s="167">
        <v>3500000</v>
      </c>
      <c r="F555" s="167">
        <v>210</v>
      </c>
      <c r="G555" s="167">
        <v>0</v>
      </c>
      <c r="H555" s="167">
        <v>1137</v>
      </c>
      <c r="I555" s="167">
        <v>4</v>
      </c>
      <c r="J555" s="167" t="s">
        <v>921</v>
      </c>
      <c r="K555" s="171">
        <v>0</v>
      </c>
      <c r="L555">
        <v>500</v>
      </c>
      <c r="M555" t="b">
        <f t="shared" si="9"/>
        <v>0</v>
      </c>
    </row>
    <row r="556" customHeight="1" spans="1:13">
      <c r="A556" s="167">
        <v>41013</v>
      </c>
      <c r="B556" s="167">
        <v>2</v>
      </c>
      <c r="C556" s="168" t="s">
        <v>925</v>
      </c>
      <c r="D556" s="167">
        <v>11016</v>
      </c>
      <c r="E556" s="167">
        <v>5</v>
      </c>
      <c r="F556" s="167">
        <v>0</v>
      </c>
      <c r="G556" s="167">
        <v>0</v>
      </c>
      <c r="H556" s="167">
        <v>47004</v>
      </c>
      <c r="I556" s="167">
        <v>100</v>
      </c>
      <c r="J556" s="167" t="s">
        <v>983</v>
      </c>
      <c r="K556" s="171">
        <v>11016</v>
      </c>
      <c r="L556">
        <v>500</v>
      </c>
      <c r="M556" t="b">
        <f t="shared" si="9"/>
        <v>0</v>
      </c>
    </row>
    <row r="557" customHeight="1" spans="1:13">
      <c r="A557" s="167">
        <v>41014</v>
      </c>
      <c r="B557" s="167">
        <v>4</v>
      </c>
      <c r="C557" s="168" t="s">
        <v>928</v>
      </c>
      <c r="D557" s="167">
        <v>10000</v>
      </c>
      <c r="E557" s="167">
        <v>20</v>
      </c>
      <c r="F557" s="167">
        <v>0</v>
      </c>
      <c r="G557" s="167">
        <v>0</v>
      </c>
      <c r="H557" s="167">
        <v>1137</v>
      </c>
      <c r="I557" s="167">
        <v>4</v>
      </c>
      <c r="J557" s="167" t="s">
        <v>921</v>
      </c>
      <c r="K557" s="171">
        <v>0</v>
      </c>
      <c r="L557">
        <v>500</v>
      </c>
      <c r="M557">
        <f t="shared" si="9"/>
        <v>1</v>
      </c>
    </row>
    <row r="558" customHeight="1" spans="1:13">
      <c r="A558" s="167">
        <v>41015</v>
      </c>
      <c r="B558" s="167">
        <v>1</v>
      </c>
      <c r="C558" s="168" t="s">
        <v>930</v>
      </c>
      <c r="D558" s="167">
        <v>0</v>
      </c>
      <c r="E558" s="167">
        <v>8000000</v>
      </c>
      <c r="F558" s="167">
        <v>0</v>
      </c>
      <c r="G558" s="167">
        <v>0</v>
      </c>
      <c r="H558" s="167">
        <v>47004</v>
      </c>
      <c r="I558" s="167">
        <v>100</v>
      </c>
      <c r="J558" s="167" t="s">
        <v>983</v>
      </c>
      <c r="K558" s="171">
        <v>0</v>
      </c>
      <c r="L558">
        <v>500</v>
      </c>
      <c r="M558" t="b">
        <f t="shared" si="9"/>
        <v>0</v>
      </c>
    </row>
    <row r="559" customHeight="1" spans="1:13">
      <c r="A559" s="167">
        <v>41016</v>
      </c>
      <c r="B559" s="167">
        <v>1</v>
      </c>
      <c r="C559" s="168" t="s">
        <v>932</v>
      </c>
      <c r="D559" s="167">
        <v>0</v>
      </c>
      <c r="E559" s="167">
        <v>3500000</v>
      </c>
      <c r="F559" s="167">
        <v>210</v>
      </c>
      <c r="G559" s="167">
        <v>0</v>
      </c>
      <c r="H559" s="167">
        <v>1137</v>
      </c>
      <c r="I559" s="167">
        <v>4</v>
      </c>
      <c r="J559" s="167" t="s">
        <v>921</v>
      </c>
      <c r="K559" s="171">
        <v>0</v>
      </c>
      <c r="L559">
        <v>500</v>
      </c>
      <c r="M559" t="b">
        <f t="shared" si="9"/>
        <v>0</v>
      </c>
    </row>
    <row r="560" customHeight="1" spans="1:13">
      <c r="A560" s="167">
        <v>41017</v>
      </c>
      <c r="B560" s="167">
        <v>3</v>
      </c>
      <c r="C560" s="168" t="s">
        <v>990</v>
      </c>
      <c r="D560" s="167">
        <v>0</v>
      </c>
      <c r="E560" s="167">
        <v>1</v>
      </c>
      <c r="F560" s="167">
        <v>0</v>
      </c>
      <c r="G560" s="167">
        <v>0</v>
      </c>
      <c r="H560" s="167">
        <v>47004</v>
      </c>
      <c r="I560" s="167">
        <v>100</v>
      </c>
      <c r="J560" s="167" t="s">
        <v>983</v>
      </c>
      <c r="K560" s="171">
        <v>0</v>
      </c>
      <c r="L560">
        <v>500</v>
      </c>
      <c r="M560" t="b">
        <f t="shared" si="9"/>
        <v>0</v>
      </c>
    </row>
    <row r="561" customHeight="1" spans="1:13">
      <c r="A561" s="167">
        <v>41018</v>
      </c>
      <c r="B561" s="167">
        <v>5</v>
      </c>
      <c r="C561" s="168" t="s">
        <v>955</v>
      </c>
      <c r="D561" s="167">
        <v>0</v>
      </c>
      <c r="E561" s="167">
        <v>3</v>
      </c>
      <c r="F561" s="167">
        <v>0</v>
      </c>
      <c r="G561" s="167">
        <v>0</v>
      </c>
      <c r="H561" s="167">
        <v>1137</v>
      </c>
      <c r="I561" s="167">
        <v>4</v>
      </c>
      <c r="J561" s="167" t="s">
        <v>921</v>
      </c>
      <c r="K561" s="171">
        <v>0</v>
      </c>
      <c r="L561">
        <v>500</v>
      </c>
      <c r="M561" t="b">
        <f t="shared" si="9"/>
        <v>0</v>
      </c>
    </row>
    <row r="562" customHeight="1" spans="1:13">
      <c r="A562" s="167">
        <v>41019</v>
      </c>
      <c r="B562" s="167">
        <v>1</v>
      </c>
      <c r="C562" s="168" t="s">
        <v>930</v>
      </c>
      <c r="D562" s="167">
        <v>0</v>
      </c>
      <c r="E562" s="167">
        <v>8000000</v>
      </c>
      <c r="F562" s="167">
        <v>0</v>
      </c>
      <c r="G562" s="167">
        <v>0</v>
      </c>
      <c r="H562" s="167">
        <v>47004</v>
      </c>
      <c r="I562" s="167">
        <v>100</v>
      </c>
      <c r="J562" s="167" t="s">
        <v>983</v>
      </c>
      <c r="K562" s="171">
        <v>0</v>
      </c>
      <c r="L562">
        <v>500</v>
      </c>
      <c r="M562" t="b">
        <f t="shared" si="9"/>
        <v>0</v>
      </c>
    </row>
    <row r="563" customHeight="1" spans="1:13">
      <c r="A563" s="167">
        <v>41020</v>
      </c>
      <c r="B563" s="167">
        <v>1</v>
      </c>
      <c r="C563" s="168" t="s">
        <v>932</v>
      </c>
      <c r="D563" s="167">
        <v>0</v>
      </c>
      <c r="E563" s="167">
        <v>3500000</v>
      </c>
      <c r="F563" s="167">
        <v>210</v>
      </c>
      <c r="G563" s="167">
        <v>0</v>
      </c>
      <c r="H563" s="167">
        <v>1137</v>
      </c>
      <c r="I563" s="167">
        <v>4</v>
      </c>
      <c r="J563" s="167" t="s">
        <v>921</v>
      </c>
      <c r="K563" s="171">
        <v>0</v>
      </c>
      <c r="L563">
        <v>500</v>
      </c>
      <c r="M563" t="b">
        <f t="shared" si="9"/>
        <v>0</v>
      </c>
    </row>
    <row r="564" customHeight="1" spans="1:13">
      <c r="A564" s="167">
        <v>41021</v>
      </c>
      <c r="B564" s="167">
        <v>2</v>
      </c>
      <c r="C564" s="168" t="s">
        <v>925</v>
      </c>
      <c r="D564" s="167">
        <v>11088</v>
      </c>
      <c r="E564" s="167">
        <v>4</v>
      </c>
      <c r="F564" s="167">
        <v>0</v>
      </c>
      <c r="G564" s="167">
        <v>0</v>
      </c>
      <c r="H564" s="167">
        <v>47004</v>
      </c>
      <c r="I564" s="167">
        <v>100</v>
      </c>
      <c r="J564" s="167" t="s">
        <v>983</v>
      </c>
      <c r="K564" s="171">
        <v>11088</v>
      </c>
      <c r="L564">
        <v>500</v>
      </c>
      <c r="M564" t="b">
        <f t="shared" si="9"/>
        <v>0</v>
      </c>
    </row>
    <row r="565" customHeight="1" spans="1:13">
      <c r="A565" s="167">
        <v>41022</v>
      </c>
      <c r="B565" s="167">
        <v>9</v>
      </c>
      <c r="C565" s="168" t="s">
        <v>934</v>
      </c>
      <c r="D565" s="167">
        <v>0</v>
      </c>
      <c r="E565" s="167">
        <v>400000</v>
      </c>
      <c r="F565" s="167">
        <v>0</v>
      </c>
      <c r="G565" s="167">
        <v>0</v>
      </c>
      <c r="H565" s="167">
        <v>1137</v>
      </c>
      <c r="I565" s="167">
        <v>4</v>
      </c>
      <c r="J565" s="167" t="s">
        <v>921</v>
      </c>
      <c r="K565" s="171">
        <v>0</v>
      </c>
      <c r="L565">
        <v>500</v>
      </c>
      <c r="M565" t="b">
        <f t="shared" si="9"/>
        <v>0</v>
      </c>
    </row>
    <row r="566" customHeight="1" spans="1:13">
      <c r="A566" s="167">
        <v>41023</v>
      </c>
      <c r="B566" s="167">
        <v>1</v>
      </c>
      <c r="C566" s="168" t="s">
        <v>930</v>
      </c>
      <c r="D566" s="167">
        <v>0</v>
      </c>
      <c r="E566" s="167">
        <v>8000000</v>
      </c>
      <c r="F566" s="167">
        <v>0</v>
      </c>
      <c r="G566" s="167">
        <v>0</v>
      </c>
      <c r="H566" s="167">
        <v>47004</v>
      </c>
      <c r="I566" s="167">
        <v>100</v>
      </c>
      <c r="J566" s="167" t="s">
        <v>983</v>
      </c>
      <c r="K566" s="171">
        <v>0</v>
      </c>
      <c r="L566">
        <v>500</v>
      </c>
      <c r="M566" t="b">
        <f t="shared" si="9"/>
        <v>0</v>
      </c>
    </row>
    <row r="567" customHeight="1" spans="1:13">
      <c r="A567" s="167">
        <v>41024</v>
      </c>
      <c r="B567" s="167">
        <v>1</v>
      </c>
      <c r="C567" s="168" t="s">
        <v>932</v>
      </c>
      <c r="D567" s="167">
        <v>0</v>
      </c>
      <c r="E567" s="167">
        <v>3500000</v>
      </c>
      <c r="F567" s="167">
        <v>210</v>
      </c>
      <c r="G567" s="167">
        <v>0</v>
      </c>
      <c r="H567" s="167">
        <v>1137</v>
      </c>
      <c r="I567" s="167">
        <v>4</v>
      </c>
      <c r="J567" s="167" t="s">
        <v>921</v>
      </c>
      <c r="K567" s="171">
        <v>0</v>
      </c>
      <c r="L567">
        <v>500</v>
      </c>
      <c r="M567" t="b">
        <f t="shared" si="9"/>
        <v>0</v>
      </c>
    </row>
    <row r="568" customHeight="1" spans="1:13">
      <c r="A568" s="167">
        <v>41025</v>
      </c>
      <c r="B568" s="167">
        <v>2</v>
      </c>
      <c r="C568" s="168" t="s">
        <v>925</v>
      </c>
      <c r="D568" s="167">
        <v>11015</v>
      </c>
      <c r="E568" s="167">
        <v>5</v>
      </c>
      <c r="F568" s="167">
        <v>0</v>
      </c>
      <c r="G568" s="167">
        <v>0</v>
      </c>
      <c r="H568" s="167">
        <v>47004</v>
      </c>
      <c r="I568" s="167">
        <v>100</v>
      </c>
      <c r="J568" s="167" t="s">
        <v>983</v>
      </c>
      <c r="K568" s="171">
        <v>11015</v>
      </c>
      <c r="L568">
        <v>500</v>
      </c>
      <c r="M568" t="b">
        <f t="shared" si="9"/>
        <v>0</v>
      </c>
    </row>
    <row r="569" customHeight="1" spans="1:13">
      <c r="A569" s="167">
        <v>41026</v>
      </c>
      <c r="B569" s="167">
        <v>4</v>
      </c>
      <c r="C569" s="168" t="s">
        <v>928</v>
      </c>
      <c r="D569" s="167">
        <v>14000</v>
      </c>
      <c r="E569" s="167">
        <v>10</v>
      </c>
      <c r="F569" s="167">
        <v>0</v>
      </c>
      <c r="G569" s="167">
        <v>0</v>
      </c>
      <c r="H569" s="167">
        <v>1137</v>
      </c>
      <c r="I569" s="167">
        <v>4</v>
      </c>
      <c r="J569" s="167" t="s">
        <v>921</v>
      </c>
      <c r="K569" s="171">
        <v>0</v>
      </c>
      <c r="L569">
        <v>500</v>
      </c>
      <c r="M569">
        <f t="shared" si="9"/>
        <v>1</v>
      </c>
    </row>
    <row r="570" customHeight="1" spans="1:13">
      <c r="A570" s="167">
        <v>41027</v>
      </c>
      <c r="B570" s="167">
        <v>1</v>
      </c>
      <c r="C570" s="168" t="s">
        <v>930</v>
      </c>
      <c r="D570" s="167">
        <v>0</v>
      </c>
      <c r="E570" s="167">
        <v>8000000</v>
      </c>
      <c r="F570" s="167">
        <v>0</v>
      </c>
      <c r="G570" s="167">
        <v>0</v>
      </c>
      <c r="H570" s="167">
        <v>47004</v>
      </c>
      <c r="I570" s="167">
        <v>100</v>
      </c>
      <c r="J570" s="167" t="s">
        <v>983</v>
      </c>
      <c r="K570" s="171">
        <v>0</v>
      </c>
      <c r="L570">
        <v>500</v>
      </c>
      <c r="M570" t="b">
        <f t="shared" si="9"/>
        <v>0</v>
      </c>
    </row>
    <row r="571" customHeight="1" spans="1:13">
      <c r="A571" s="167">
        <v>41028</v>
      </c>
      <c r="B571" s="167">
        <v>1</v>
      </c>
      <c r="C571" s="168" t="s">
        <v>932</v>
      </c>
      <c r="D571" s="167">
        <v>0</v>
      </c>
      <c r="E571" s="167">
        <v>3500000</v>
      </c>
      <c r="F571" s="167">
        <v>210</v>
      </c>
      <c r="G571" s="167">
        <v>0</v>
      </c>
      <c r="H571" s="167">
        <v>1137</v>
      </c>
      <c r="I571" s="167">
        <v>4</v>
      </c>
      <c r="J571" s="167" t="s">
        <v>921</v>
      </c>
      <c r="K571" s="171">
        <v>0</v>
      </c>
      <c r="L571">
        <v>500</v>
      </c>
      <c r="M571" t="b">
        <f t="shared" si="9"/>
        <v>0</v>
      </c>
    </row>
    <row r="572" customHeight="1" spans="1:13">
      <c r="A572" s="167">
        <v>41029</v>
      </c>
      <c r="B572" s="167">
        <v>3</v>
      </c>
      <c r="C572" s="168" t="s">
        <v>990</v>
      </c>
      <c r="D572" s="167">
        <v>0</v>
      </c>
      <c r="E572" s="167">
        <v>1</v>
      </c>
      <c r="F572" s="167">
        <v>0</v>
      </c>
      <c r="G572" s="167">
        <v>0</v>
      </c>
      <c r="H572" s="167">
        <v>47004</v>
      </c>
      <c r="I572" s="167">
        <v>100</v>
      </c>
      <c r="J572" s="167" t="s">
        <v>983</v>
      </c>
      <c r="K572" s="171">
        <v>0</v>
      </c>
      <c r="L572">
        <v>500</v>
      </c>
      <c r="M572" t="b">
        <f t="shared" si="9"/>
        <v>0</v>
      </c>
    </row>
    <row r="573" customHeight="1" spans="1:13">
      <c r="A573" s="167">
        <v>41030</v>
      </c>
      <c r="B573" s="167">
        <v>5</v>
      </c>
      <c r="C573" s="168" t="s">
        <v>955</v>
      </c>
      <c r="D573" s="167">
        <v>0</v>
      </c>
      <c r="E573" s="167">
        <v>3</v>
      </c>
      <c r="F573" s="167">
        <v>0</v>
      </c>
      <c r="G573" s="167">
        <v>0</v>
      </c>
      <c r="H573" s="167">
        <v>1137</v>
      </c>
      <c r="I573" s="167">
        <v>4</v>
      </c>
      <c r="J573" s="167" t="s">
        <v>921</v>
      </c>
      <c r="K573" s="171">
        <v>0</v>
      </c>
      <c r="L573">
        <v>500</v>
      </c>
      <c r="M573" t="b">
        <f t="shared" si="9"/>
        <v>0</v>
      </c>
    </row>
    <row r="574" customHeight="1" spans="1:13">
      <c r="A574" s="167">
        <v>41031</v>
      </c>
      <c r="B574" s="167">
        <v>1</v>
      </c>
      <c r="C574" s="168" t="s">
        <v>930</v>
      </c>
      <c r="D574" s="167">
        <v>0</v>
      </c>
      <c r="E574" s="167">
        <v>8000000</v>
      </c>
      <c r="F574" s="167">
        <v>0</v>
      </c>
      <c r="G574" s="167">
        <v>0</v>
      </c>
      <c r="H574" s="167">
        <v>47004</v>
      </c>
      <c r="I574" s="167">
        <v>100</v>
      </c>
      <c r="J574" s="167" t="s">
        <v>983</v>
      </c>
      <c r="K574" s="171">
        <v>0</v>
      </c>
      <c r="L574">
        <v>500</v>
      </c>
      <c r="M574" t="b">
        <f t="shared" si="9"/>
        <v>0</v>
      </c>
    </row>
    <row r="575" customHeight="1" spans="1:13">
      <c r="A575" s="167">
        <v>41032</v>
      </c>
      <c r="B575" s="167">
        <v>1</v>
      </c>
      <c r="C575" s="168" t="s">
        <v>932</v>
      </c>
      <c r="D575" s="167">
        <v>0</v>
      </c>
      <c r="E575" s="167">
        <v>3500000</v>
      </c>
      <c r="F575" s="167">
        <v>210</v>
      </c>
      <c r="G575" s="167">
        <v>0</v>
      </c>
      <c r="H575" s="167">
        <v>1137</v>
      </c>
      <c r="I575" s="167">
        <v>4</v>
      </c>
      <c r="J575" s="167" t="s">
        <v>921</v>
      </c>
      <c r="K575" s="171">
        <v>0</v>
      </c>
      <c r="L575">
        <v>500</v>
      </c>
      <c r="M575" t="b">
        <f t="shared" si="9"/>
        <v>0</v>
      </c>
    </row>
    <row r="576" customHeight="1" spans="1:13">
      <c r="A576" s="167">
        <v>41033</v>
      </c>
      <c r="B576" s="167">
        <v>2</v>
      </c>
      <c r="C576" s="168" t="s">
        <v>925</v>
      </c>
      <c r="D576" s="167">
        <v>11011</v>
      </c>
      <c r="E576" s="167">
        <v>5</v>
      </c>
      <c r="F576" s="167">
        <v>0</v>
      </c>
      <c r="G576" s="167">
        <v>0</v>
      </c>
      <c r="H576" s="167">
        <v>47004</v>
      </c>
      <c r="I576" s="167">
        <v>100</v>
      </c>
      <c r="J576" s="167" t="s">
        <v>983</v>
      </c>
      <c r="K576" s="171">
        <v>11011</v>
      </c>
      <c r="L576">
        <v>500</v>
      </c>
      <c r="M576" t="b">
        <f t="shared" si="9"/>
        <v>0</v>
      </c>
    </row>
    <row r="577" customHeight="1" spans="1:13">
      <c r="A577" s="167">
        <v>41034</v>
      </c>
      <c r="B577" s="167">
        <v>9</v>
      </c>
      <c r="C577" s="168" t="s">
        <v>934</v>
      </c>
      <c r="D577" s="167">
        <v>0</v>
      </c>
      <c r="E577" s="167">
        <v>400000</v>
      </c>
      <c r="F577" s="167">
        <v>0</v>
      </c>
      <c r="G577" s="167">
        <v>0</v>
      </c>
      <c r="H577" s="167">
        <v>1137</v>
      </c>
      <c r="I577" s="167">
        <v>4</v>
      </c>
      <c r="J577" s="167" t="s">
        <v>921</v>
      </c>
      <c r="K577" s="171">
        <v>0</v>
      </c>
      <c r="L577">
        <v>500</v>
      </c>
      <c r="M577" t="b">
        <f t="shared" si="9"/>
        <v>0</v>
      </c>
    </row>
    <row r="578" customHeight="1" spans="1:13">
      <c r="A578" s="167">
        <v>41035</v>
      </c>
      <c r="B578" s="167">
        <v>1</v>
      </c>
      <c r="C578" s="168" t="s">
        <v>930</v>
      </c>
      <c r="D578" s="167">
        <v>0</v>
      </c>
      <c r="E578" s="167">
        <v>8000000</v>
      </c>
      <c r="F578" s="167">
        <v>0</v>
      </c>
      <c r="G578" s="167">
        <v>0</v>
      </c>
      <c r="H578" s="167">
        <v>47004</v>
      </c>
      <c r="I578" s="167">
        <v>100</v>
      </c>
      <c r="J578" s="167" t="s">
        <v>983</v>
      </c>
      <c r="K578" s="171">
        <v>0</v>
      </c>
      <c r="L578">
        <v>500</v>
      </c>
      <c r="M578" t="b">
        <f t="shared" ref="M578:M641" si="10">IF(D578&lt;&gt;K578,1)</f>
        <v>0</v>
      </c>
    </row>
    <row r="579" customHeight="1" spans="1:13">
      <c r="A579" s="167">
        <v>41036</v>
      </c>
      <c r="B579" s="167">
        <v>1</v>
      </c>
      <c r="C579" s="168" t="s">
        <v>932</v>
      </c>
      <c r="D579" s="167">
        <v>0</v>
      </c>
      <c r="E579" s="167">
        <v>3500000</v>
      </c>
      <c r="F579" s="167">
        <v>210</v>
      </c>
      <c r="G579" s="167">
        <v>0</v>
      </c>
      <c r="H579" s="167">
        <v>1137</v>
      </c>
      <c r="I579" s="167">
        <v>4</v>
      </c>
      <c r="J579" s="167" t="s">
        <v>921</v>
      </c>
      <c r="K579" s="171">
        <v>0</v>
      </c>
      <c r="L579">
        <v>500</v>
      </c>
      <c r="M579" t="b">
        <f t="shared" si="10"/>
        <v>0</v>
      </c>
    </row>
    <row r="580" customHeight="1" spans="1:13">
      <c r="A580" s="167">
        <v>41037</v>
      </c>
      <c r="B580" s="167">
        <v>2</v>
      </c>
      <c r="C580" s="168" t="s">
        <v>925</v>
      </c>
      <c r="D580" s="167">
        <v>11014</v>
      </c>
      <c r="E580" s="167">
        <v>5</v>
      </c>
      <c r="F580" s="167">
        <v>0</v>
      </c>
      <c r="G580" s="167">
        <v>0</v>
      </c>
      <c r="H580" s="167">
        <v>47004</v>
      </c>
      <c r="I580" s="167">
        <v>100</v>
      </c>
      <c r="J580" s="167" t="s">
        <v>983</v>
      </c>
      <c r="K580" s="171">
        <v>11014</v>
      </c>
      <c r="L580">
        <v>500</v>
      </c>
      <c r="M580" t="b">
        <f t="shared" si="10"/>
        <v>0</v>
      </c>
    </row>
    <row r="581" customHeight="1" spans="1:13">
      <c r="A581" s="167">
        <v>41038</v>
      </c>
      <c r="B581" s="167">
        <v>4</v>
      </c>
      <c r="C581" s="168" t="s">
        <v>928</v>
      </c>
      <c r="D581" s="167">
        <v>10000</v>
      </c>
      <c r="E581" s="167">
        <v>20</v>
      </c>
      <c r="F581" s="167">
        <v>0</v>
      </c>
      <c r="G581" s="167">
        <v>0</v>
      </c>
      <c r="H581" s="167">
        <v>1137</v>
      </c>
      <c r="I581" s="167">
        <v>4</v>
      </c>
      <c r="J581" s="167" t="s">
        <v>921</v>
      </c>
      <c r="K581" s="171">
        <v>0</v>
      </c>
      <c r="L581">
        <v>500</v>
      </c>
      <c r="M581">
        <f t="shared" si="10"/>
        <v>1</v>
      </c>
    </row>
    <row r="582" customHeight="1" spans="1:13">
      <c r="A582" s="167">
        <v>41039</v>
      </c>
      <c r="B582" s="167">
        <v>1</v>
      </c>
      <c r="C582" s="168" t="s">
        <v>930</v>
      </c>
      <c r="D582" s="167">
        <v>0</v>
      </c>
      <c r="E582" s="167">
        <v>8000000</v>
      </c>
      <c r="F582" s="167">
        <v>0</v>
      </c>
      <c r="G582" s="167">
        <v>0</v>
      </c>
      <c r="H582" s="167">
        <v>47004</v>
      </c>
      <c r="I582" s="167">
        <v>100</v>
      </c>
      <c r="J582" s="167" t="s">
        <v>983</v>
      </c>
      <c r="K582" s="171">
        <v>0</v>
      </c>
      <c r="L582">
        <v>500</v>
      </c>
      <c r="M582" t="b">
        <f t="shared" si="10"/>
        <v>0</v>
      </c>
    </row>
    <row r="583" customHeight="1" spans="1:13">
      <c r="A583" s="167">
        <v>41040</v>
      </c>
      <c r="B583" s="167">
        <v>1</v>
      </c>
      <c r="C583" s="168" t="s">
        <v>932</v>
      </c>
      <c r="D583" s="167">
        <v>0</v>
      </c>
      <c r="E583" s="167">
        <v>3500000</v>
      </c>
      <c r="F583" s="167">
        <v>210</v>
      </c>
      <c r="G583" s="167">
        <v>0</v>
      </c>
      <c r="H583" s="167">
        <v>1137</v>
      </c>
      <c r="I583" s="167">
        <v>4</v>
      </c>
      <c r="J583" s="167" t="s">
        <v>921</v>
      </c>
      <c r="K583" s="171">
        <v>0</v>
      </c>
      <c r="L583">
        <v>0</v>
      </c>
      <c r="M583" t="b">
        <f t="shared" si="10"/>
        <v>0</v>
      </c>
    </row>
    <row r="584" customHeight="1" spans="1:13">
      <c r="A584" s="167">
        <v>42001</v>
      </c>
      <c r="B584" s="167">
        <v>2</v>
      </c>
      <c r="C584" s="168" t="s">
        <v>925</v>
      </c>
      <c r="D584" s="167">
        <v>11085</v>
      </c>
      <c r="E584" s="167">
        <v>10</v>
      </c>
      <c r="F584" s="167">
        <v>0</v>
      </c>
      <c r="G584" s="167">
        <v>0</v>
      </c>
      <c r="H584" s="167">
        <v>47014</v>
      </c>
      <c r="I584" s="167">
        <v>50</v>
      </c>
      <c r="J584" s="167" t="s">
        <v>986</v>
      </c>
      <c r="K584" s="171">
        <v>11085</v>
      </c>
      <c r="L584" s="59">
        <v>60</v>
      </c>
      <c r="M584" t="b">
        <f t="shared" si="10"/>
        <v>0</v>
      </c>
    </row>
    <row r="585" customHeight="1" spans="1:13">
      <c r="A585" s="167">
        <v>42002</v>
      </c>
      <c r="B585" s="167">
        <v>4</v>
      </c>
      <c r="C585" s="168" t="s">
        <v>928</v>
      </c>
      <c r="D585" s="167">
        <v>10000</v>
      </c>
      <c r="E585" s="167">
        <v>20</v>
      </c>
      <c r="F585" s="167">
        <v>0</v>
      </c>
      <c r="G585" s="167">
        <v>0</v>
      </c>
      <c r="H585" s="167">
        <v>1137</v>
      </c>
      <c r="I585" s="167">
        <v>4</v>
      </c>
      <c r="J585" s="167" t="s">
        <v>921</v>
      </c>
      <c r="K585" s="171">
        <v>0</v>
      </c>
      <c r="L585" s="59">
        <v>60</v>
      </c>
      <c r="M585">
        <f t="shared" si="10"/>
        <v>1</v>
      </c>
    </row>
    <row r="586" customHeight="1" spans="1:13">
      <c r="A586" s="167">
        <v>42003</v>
      </c>
      <c r="B586" s="167">
        <v>1</v>
      </c>
      <c r="C586" s="168" t="s">
        <v>930</v>
      </c>
      <c r="D586" s="167">
        <v>0</v>
      </c>
      <c r="E586" s="167">
        <v>3000000</v>
      </c>
      <c r="F586" s="167">
        <v>0</v>
      </c>
      <c r="G586" s="167">
        <v>0</v>
      </c>
      <c r="H586" s="167">
        <v>47014</v>
      </c>
      <c r="I586" s="167">
        <v>50</v>
      </c>
      <c r="J586" s="167" t="s">
        <v>986</v>
      </c>
      <c r="K586" s="171">
        <v>0</v>
      </c>
      <c r="L586" s="59">
        <v>60</v>
      </c>
      <c r="M586" t="b">
        <f t="shared" si="10"/>
        <v>0</v>
      </c>
    </row>
    <row r="587" customHeight="1" spans="1:13">
      <c r="A587" s="167">
        <v>42004</v>
      </c>
      <c r="B587" s="167">
        <v>2</v>
      </c>
      <c r="C587" s="168" t="s">
        <v>925</v>
      </c>
      <c r="D587" s="167">
        <v>11016</v>
      </c>
      <c r="E587" s="167">
        <v>3</v>
      </c>
      <c r="F587" s="167">
        <v>0</v>
      </c>
      <c r="G587" s="167">
        <v>0</v>
      </c>
      <c r="H587" s="167">
        <v>1137</v>
      </c>
      <c r="I587" s="167">
        <v>4</v>
      </c>
      <c r="J587" s="167" t="s">
        <v>921</v>
      </c>
      <c r="K587" s="171">
        <v>11016</v>
      </c>
      <c r="L587" s="59">
        <v>60</v>
      </c>
      <c r="M587" t="b">
        <f t="shared" si="10"/>
        <v>0</v>
      </c>
    </row>
    <row r="588" customHeight="1" spans="1:13">
      <c r="A588" s="167">
        <v>42005</v>
      </c>
      <c r="B588" s="167">
        <v>6</v>
      </c>
      <c r="C588" s="168" t="s">
        <v>988</v>
      </c>
      <c r="D588" s="167">
        <v>10</v>
      </c>
      <c r="E588" s="167">
        <v>1</v>
      </c>
      <c r="F588" s="167">
        <v>0</v>
      </c>
      <c r="G588" s="167">
        <v>0</v>
      </c>
      <c r="H588" s="167">
        <v>47014</v>
      </c>
      <c r="I588" s="167">
        <v>50</v>
      </c>
      <c r="J588" s="167" t="s">
        <v>986</v>
      </c>
      <c r="K588" s="171">
        <v>0</v>
      </c>
      <c r="L588" s="59">
        <v>60</v>
      </c>
      <c r="M588">
        <f t="shared" si="10"/>
        <v>1</v>
      </c>
    </row>
    <row r="589" customHeight="1" spans="1:13">
      <c r="A589" s="167">
        <v>42006</v>
      </c>
      <c r="B589" s="167">
        <v>1</v>
      </c>
      <c r="C589" s="168" t="s">
        <v>930</v>
      </c>
      <c r="D589" s="167">
        <v>0</v>
      </c>
      <c r="E589" s="167">
        <v>3000000</v>
      </c>
      <c r="F589" s="167">
        <v>0</v>
      </c>
      <c r="G589" s="167">
        <v>0</v>
      </c>
      <c r="H589" s="167">
        <v>1137</v>
      </c>
      <c r="I589" s="167">
        <v>4</v>
      </c>
      <c r="J589" s="167" t="s">
        <v>921</v>
      </c>
      <c r="K589" s="171">
        <v>0</v>
      </c>
      <c r="L589" s="59">
        <v>60</v>
      </c>
      <c r="M589" t="b">
        <f t="shared" si="10"/>
        <v>0</v>
      </c>
    </row>
    <row r="590" customHeight="1" spans="1:13">
      <c r="A590" s="167">
        <v>42007</v>
      </c>
      <c r="B590" s="167">
        <v>2</v>
      </c>
      <c r="C590" s="168" t="s">
        <v>925</v>
      </c>
      <c r="D590" s="167">
        <v>11005</v>
      </c>
      <c r="E590" s="167">
        <v>10</v>
      </c>
      <c r="F590" s="167">
        <v>0</v>
      </c>
      <c r="G590" s="167">
        <v>0</v>
      </c>
      <c r="H590" s="167">
        <v>47014</v>
      </c>
      <c r="I590" s="167">
        <v>50</v>
      </c>
      <c r="J590" s="167" t="s">
        <v>986</v>
      </c>
      <c r="K590" s="171">
        <v>11005</v>
      </c>
      <c r="L590" s="59">
        <v>60</v>
      </c>
      <c r="M590" t="b">
        <f t="shared" si="10"/>
        <v>0</v>
      </c>
    </row>
    <row r="591" customHeight="1" spans="1:13">
      <c r="A591" s="167">
        <v>42008</v>
      </c>
      <c r="B591" s="167">
        <v>9</v>
      </c>
      <c r="C591" s="168" t="s">
        <v>934</v>
      </c>
      <c r="D591" s="167">
        <v>0</v>
      </c>
      <c r="E591" s="167">
        <v>100000</v>
      </c>
      <c r="F591" s="167">
        <v>0</v>
      </c>
      <c r="G591" s="167">
        <v>0</v>
      </c>
      <c r="H591" s="167">
        <v>1137</v>
      </c>
      <c r="I591" s="167">
        <v>4</v>
      </c>
      <c r="J591" s="167" t="s">
        <v>921</v>
      </c>
      <c r="K591" s="171">
        <v>0</v>
      </c>
      <c r="L591" s="59">
        <v>60</v>
      </c>
      <c r="M591" t="b">
        <f t="shared" si="10"/>
        <v>0</v>
      </c>
    </row>
    <row r="592" customHeight="1" spans="1:13">
      <c r="A592" s="167">
        <v>42009</v>
      </c>
      <c r="B592" s="167">
        <v>1</v>
      </c>
      <c r="C592" s="168" t="s">
        <v>930</v>
      </c>
      <c r="D592" s="167">
        <v>0</v>
      </c>
      <c r="E592" s="167">
        <v>3000000</v>
      </c>
      <c r="F592" s="167">
        <v>0</v>
      </c>
      <c r="G592" s="167">
        <v>0</v>
      </c>
      <c r="H592" s="167">
        <v>47014</v>
      </c>
      <c r="I592" s="167">
        <v>50</v>
      </c>
      <c r="J592" s="167" t="s">
        <v>986</v>
      </c>
      <c r="K592" s="171">
        <v>0</v>
      </c>
      <c r="L592" s="59">
        <v>60</v>
      </c>
      <c r="M592" t="b">
        <f t="shared" si="10"/>
        <v>0</v>
      </c>
    </row>
    <row r="593" customHeight="1" spans="1:13">
      <c r="A593" s="167">
        <v>50001</v>
      </c>
      <c r="B593" s="167">
        <v>1</v>
      </c>
      <c r="C593" s="168" t="s">
        <v>930</v>
      </c>
      <c r="D593" s="167">
        <v>0</v>
      </c>
      <c r="E593" s="167">
        <v>1500000</v>
      </c>
      <c r="F593" s="167">
        <v>0</v>
      </c>
      <c r="G593" s="167">
        <v>0</v>
      </c>
      <c r="H593" s="167">
        <v>1137</v>
      </c>
      <c r="I593" s="167">
        <v>5</v>
      </c>
      <c r="J593" s="167" t="s">
        <v>921</v>
      </c>
      <c r="K593" s="171">
        <v>0</v>
      </c>
      <c r="L593" s="59">
        <v>0</v>
      </c>
      <c r="M593" t="b">
        <f t="shared" si="10"/>
        <v>0</v>
      </c>
    </row>
    <row r="594" customHeight="1" spans="1:13">
      <c r="A594" s="167">
        <v>50002</v>
      </c>
      <c r="B594" s="167">
        <v>4</v>
      </c>
      <c r="C594" s="168" t="s">
        <v>928</v>
      </c>
      <c r="D594" s="167">
        <v>25000</v>
      </c>
      <c r="E594" s="167">
        <v>10</v>
      </c>
      <c r="F594" s="167">
        <v>0</v>
      </c>
      <c r="G594" s="167">
        <v>0</v>
      </c>
      <c r="H594" s="167">
        <v>1150</v>
      </c>
      <c r="I594" s="167">
        <v>30</v>
      </c>
      <c r="J594" s="167" t="s">
        <v>935</v>
      </c>
      <c r="K594" s="171">
        <v>0</v>
      </c>
      <c r="L594">
        <v>10</v>
      </c>
      <c r="M594">
        <f t="shared" si="10"/>
        <v>1</v>
      </c>
    </row>
    <row r="595" customHeight="1" spans="1:13">
      <c r="A595" s="167">
        <v>50003</v>
      </c>
      <c r="B595" s="167">
        <v>1</v>
      </c>
      <c r="C595" s="168" t="s">
        <v>930</v>
      </c>
      <c r="D595" s="167">
        <v>0</v>
      </c>
      <c r="E595" s="167">
        <v>2000000</v>
      </c>
      <c r="F595" s="167">
        <v>0</v>
      </c>
      <c r="G595" s="167">
        <v>0</v>
      </c>
      <c r="H595" s="167">
        <v>1137</v>
      </c>
      <c r="I595" s="167">
        <v>5</v>
      </c>
      <c r="J595" s="167" t="s">
        <v>921</v>
      </c>
      <c r="K595" s="171">
        <v>0</v>
      </c>
      <c r="L595">
        <v>30</v>
      </c>
      <c r="M595" t="b">
        <f t="shared" si="10"/>
        <v>0</v>
      </c>
    </row>
    <row r="596" customHeight="1" spans="1:13">
      <c r="A596" s="167">
        <v>50004</v>
      </c>
      <c r="B596" s="167">
        <v>1</v>
      </c>
      <c r="C596" s="168" t="s">
        <v>930</v>
      </c>
      <c r="D596" s="167">
        <v>0</v>
      </c>
      <c r="E596" s="167">
        <v>2500000</v>
      </c>
      <c r="F596" s="167">
        <v>0</v>
      </c>
      <c r="G596" s="167">
        <v>0</v>
      </c>
      <c r="H596" s="167">
        <v>1137</v>
      </c>
      <c r="I596" s="167">
        <v>5</v>
      </c>
      <c r="J596" s="167" t="s">
        <v>921</v>
      </c>
      <c r="K596" s="171">
        <v>0</v>
      </c>
      <c r="L596">
        <v>60</v>
      </c>
      <c r="M596" t="b">
        <f t="shared" si="10"/>
        <v>0</v>
      </c>
    </row>
    <row r="597" customHeight="1" spans="1:13">
      <c r="A597" s="167">
        <v>50005</v>
      </c>
      <c r="B597" s="167">
        <v>2</v>
      </c>
      <c r="C597" s="168" t="s">
        <v>925</v>
      </c>
      <c r="D597" s="167">
        <v>11007</v>
      </c>
      <c r="E597" s="167">
        <v>10</v>
      </c>
      <c r="F597" s="167">
        <v>0</v>
      </c>
      <c r="G597" s="167">
        <v>0</v>
      </c>
      <c r="H597" s="167">
        <v>1152</v>
      </c>
      <c r="I597" s="167">
        <v>30</v>
      </c>
      <c r="J597" s="167" t="s">
        <v>937</v>
      </c>
      <c r="K597" s="171">
        <v>11007</v>
      </c>
      <c r="L597">
        <v>90</v>
      </c>
      <c r="M597" t="b">
        <f t="shared" si="10"/>
        <v>0</v>
      </c>
    </row>
    <row r="598" customHeight="1" spans="1:13">
      <c r="A598" s="167">
        <v>50006</v>
      </c>
      <c r="B598" s="167">
        <v>5</v>
      </c>
      <c r="C598" s="168" t="s">
        <v>955</v>
      </c>
      <c r="D598" s="167">
        <v>0</v>
      </c>
      <c r="E598" s="167">
        <v>1</v>
      </c>
      <c r="F598" s="167">
        <v>0</v>
      </c>
      <c r="G598" s="167">
        <v>0</v>
      </c>
      <c r="H598" s="167">
        <v>1137</v>
      </c>
      <c r="I598" s="167">
        <v>5</v>
      </c>
      <c r="J598" s="167" t="s">
        <v>921</v>
      </c>
      <c r="K598" s="171">
        <v>0</v>
      </c>
      <c r="L598">
        <v>120</v>
      </c>
      <c r="M598" t="b">
        <f t="shared" si="10"/>
        <v>0</v>
      </c>
    </row>
    <row r="599" customHeight="1" spans="1:13">
      <c r="A599" s="167">
        <v>50007</v>
      </c>
      <c r="B599" s="167">
        <v>1</v>
      </c>
      <c r="C599" s="168" t="s">
        <v>930</v>
      </c>
      <c r="D599" s="167">
        <v>0</v>
      </c>
      <c r="E599" s="167">
        <v>3000000</v>
      </c>
      <c r="F599" s="167">
        <v>0</v>
      </c>
      <c r="G599" s="167">
        <v>0</v>
      </c>
      <c r="H599" s="167">
        <v>1152</v>
      </c>
      <c r="I599" s="167">
        <v>30</v>
      </c>
      <c r="J599" s="167" t="s">
        <v>937</v>
      </c>
      <c r="K599" s="171">
        <v>0</v>
      </c>
      <c r="L599">
        <v>150</v>
      </c>
      <c r="M599" t="b">
        <f t="shared" si="10"/>
        <v>0</v>
      </c>
    </row>
    <row r="600" customHeight="1" spans="1:13">
      <c r="A600" s="167">
        <v>50008</v>
      </c>
      <c r="B600" s="167">
        <v>1</v>
      </c>
      <c r="C600" s="168" t="s">
        <v>932</v>
      </c>
      <c r="D600" s="167">
        <v>0</v>
      </c>
      <c r="E600" s="167">
        <v>3000000</v>
      </c>
      <c r="F600" s="167">
        <v>240</v>
      </c>
      <c r="G600" s="167">
        <v>0</v>
      </c>
      <c r="H600" s="167">
        <v>1137</v>
      </c>
      <c r="I600" s="167">
        <v>6</v>
      </c>
      <c r="J600" s="181" t="s">
        <v>921</v>
      </c>
      <c r="K600" s="171">
        <v>0</v>
      </c>
      <c r="L600">
        <v>180</v>
      </c>
      <c r="M600" t="b">
        <f t="shared" si="10"/>
        <v>0</v>
      </c>
    </row>
    <row r="601" customHeight="1" spans="1:13">
      <c r="A601" s="167">
        <v>50009</v>
      </c>
      <c r="B601" s="167">
        <v>2</v>
      </c>
      <c r="C601" s="168" t="s">
        <v>925</v>
      </c>
      <c r="D601" s="167">
        <v>11086</v>
      </c>
      <c r="E601" s="167">
        <v>15</v>
      </c>
      <c r="F601" s="167">
        <v>0</v>
      </c>
      <c r="G601" s="167">
        <v>0</v>
      </c>
      <c r="H601" s="167">
        <v>1147</v>
      </c>
      <c r="I601" s="167">
        <v>150</v>
      </c>
      <c r="J601" s="167" t="s">
        <v>926</v>
      </c>
      <c r="K601" s="171">
        <v>11086</v>
      </c>
      <c r="L601">
        <v>200</v>
      </c>
      <c r="M601" t="b">
        <f t="shared" si="10"/>
        <v>0</v>
      </c>
    </row>
    <row r="602" customHeight="1" spans="1:13">
      <c r="A602" s="169">
        <v>50010</v>
      </c>
      <c r="B602" s="169">
        <v>9</v>
      </c>
      <c r="C602" s="170" t="s">
        <v>934</v>
      </c>
      <c r="D602" s="169">
        <v>0</v>
      </c>
      <c r="E602" s="169">
        <v>200000</v>
      </c>
      <c r="F602" s="169">
        <v>0</v>
      </c>
      <c r="G602" s="169">
        <v>0</v>
      </c>
      <c r="H602" s="169">
        <v>1137</v>
      </c>
      <c r="I602" s="167">
        <v>5</v>
      </c>
      <c r="J602" s="169" t="s">
        <v>921</v>
      </c>
      <c r="K602" s="171">
        <v>0</v>
      </c>
      <c r="L602">
        <v>220</v>
      </c>
      <c r="M602" t="b">
        <f t="shared" si="10"/>
        <v>0</v>
      </c>
    </row>
    <row r="603" customHeight="1" spans="1:13">
      <c r="A603" s="167">
        <v>50011</v>
      </c>
      <c r="B603" s="167">
        <v>1</v>
      </c>
      <c r="C603" s="168" t="s">
        <v>930</v>
      </c>
      <c r="D603" s="167">
        <v>0</v>
      </c>
      <c r="E603" s="167">
        <v>3500000</v>
      </c>
      <c r="F603" s="167">
        <v>0</v>
      </c>
      <c r="G603" s="167">
        <v>0</v>
      </c>
      <c r="H603" s="167">
        <v>1145</v>
      </c>
      <c r="I603" s="167">
        <v>150</v>
      </c>
      <c r="J603" s="167" t="s">
        <v>927</v>
      </c>
      <c r="K603" s="171">
        <v>0</v>
      </c>
      <c r="L603">
        <v>250</v>
      </c>
      <c r="M603" t="b">
        <f t="shared" si="10"/>
        <v>0</v>
      </c>
    </row>
    <row r="604" customHeight="1" spans="1:13">
      <c r="A604" s="167">
        <v>50012</v>
      </c>
      <c r="B604" s="167">
        <v>1</v>
      </c>
      <c r="C604" s="168" t="s">
        <v>932</v>
      </c>
      <c r="D604" s="167">
        <v>0</v>
      </c>
      <c r="E604" s="167">
        <v>3500000</v>
      </c>
      <c r="F604" s="167">
        <v>240</v>
      </c>
      <c r="G604" s="167">
        <v>0</v>
      </c>
      <c r="H604" s="167">
        <v>1137</v>
      </c>
      <c r="I604" s="167">
        <v>6</v>
      </c>
      <c r="J604" s="181" t="s">
        <v>921</v>
      </c>
      <c r="K604" s="171">
        <v>0</v>
      </c>
      <c r="L604">
        <v>280</v>
      </c>
      <c r="M604" t="b">
        <f t="shared" si="10"/>
        <v>0</v>
      </c>
    </row>
    <row r="605" customHeight="1" spans="1:13">
      <c r="A605" s="167">
        <v>50013</v>
      </c>
      <c r="B605" s="167">
        <v>2</v>
      </c>
      <c r="C605" s="168" t="s">
        <v>925</v>
      </c>
      <c r="D605" s="167">
        <v>11012</v>
      </c>
      <c r="E605" s="167">
        <v>5</v>
      </c>
      <c r="F605" s="167">
        <v>0</v>
      </c>
      <c r="G605" s="167">
        <v>0</v>
      </c>
      <c r="H605" s="167">
        <v>1152</v>
      </c>
      <c r="I605" s="167">
        <v>31</v>
      </c>
      <c r="J605" s="167" t="s">
        <v>937</v>
      </c>
      <c r="K605" s="171">
        <v>11012</v>
      </c>
      <c r="L605">
        <v>300</v>
      </c>
      <c r="M605" t="b">
        <f t="shared" si="10"/>
        <v>0</v>
      </c>
    </row>
    <row r="606" customHeight="1" spans="1:13">
      <c r="A606" s="167">
        <v>50014</v>
      </c>
      <c r="B606" s="167">
        <v>9</v>
      </c>
      <c r="C606" s="168" t="s">
        <v>934</v>
      </c>
      <c r="D606" s="167">
        <v>0</v>
      </c>
      <c r="E606" s="167">
        <v>250000</v>
      </c>
      <c r="F606" s="167">
        <v>0</v>
      </c>
      <c r="G606" s="167">
        <v>0</v>
      </c>
      <c r="H606" s="167">
        <v>1137</v>
      </c>
      <c r="I606" s="167">
        <v>5</v>
      </c>
      <c r="J606" s="167" t="s">
        <v>921</v>
      </c>
      <c r="K606" s="171">
        <v>0</v>
      </c>
      <c r="L606">
        <v>320</v>
      </c>
      <c r="M606" t="b">
        <f t="shared" si="10"/>
        <v>0</v>
      </c>
    </row>
    <row r="607" customHeight="1" spans="1:13">
      <c r="A607" s="167">
        <v>50015</v>
      </c>
      <c r="B607" s="167">
        <v>1</v>
      </c>
      <c r="C607" s="168" t="s">
        <v>930</v>
      </c>
      <c r="D607" s="167">
        <v>0</v>
      </c>
      <c r="E607" s="167">
        <v>4000000</v>
      </c>
      <c r="F607" s="167">
        <v>0</v>
      </c>
      <c r="G607" s="167">
        <v>0</v>
      </c>
      <c r="H607" s="167">
        <v>1150</v>
      </c>
      <c r="I607" s="167">
        <v>31</v>
      </c>
      <c r="J607" s="167" t="s">
        <v>935</v>
      </c>
      <c r="K607" s="171">
        <v>0</v>
      </c>
      <c r="L607">
        <v>340</v>
      </c>
      <c r="M607" t="b">
        <f t="shared" si="10"/>
        <v>0</v>
      </c>
    </row>
    <row r="608" customHeight="1" spans="1:13">
      <c r="A608" s="167">
        <v>50016</v>
      </c>
      <c r="B608" s="167">
        <v>1</v>
      </c>
      <c r="C608" s="168" t="s">
        <v>932</v>
      </c>
      <c r="D608" s="167">
        <v>0</v>
      </c>
      <c r="E608" s="167">
        <v>4000000</v>
      </c>
      <c r="F608" s="167">
        <v>240</v>
      </c>
      <c r="G608" s="167">
        <v>0</v>
      </c>
      <c r="H608" s="167">
        <v>1137</v>
      </c>
      <c r="I608" s="167">
        <v>6</v>
      </c>
      <c r="J608" s="181" t="s">
        <v>921</v>
      </c>
      <c r="K608" s="171">
        <v>0</v>
      </c>
      <c r="L608">
        <v>350</v>
      </c>
      <c r="M608" t="b">
        <f t="shared" si="10"/>
        <v>0</v>
      </c>
    </row>
    <row r="609" customHeight="1" spans="1:13">
      <c r="A609" s="167">
        <v>50017</v>
      </c>
      <c r="B609" s="167">
        <v>4</v>
      </c>
      <c r="C609" s="168" t="s">
        <v>928</v>
      </c>
      <c r="D609" s="167">
        <v>30000</v>
      </c>
      <c r="E609" s="167">
        <v>20</v>
      </c>
      <c r="F609" s="167">
        <v>0</v>
      </c>
      <c r="G609" s="167">
        <v>0</v>
      </c>
      <c r="H609" s="167">
        <v>1149</v>
      </c>
      <c r="I609" s="167">
        <v>152</v>
      </c>
      <c r="J609" s="167" t="s">
        <v>931</v>
      </c>
      <c r="K609" s="171">
        <v>0</v>
      </c>
      <c r="L609">
        <v>360</v>
      </c>
      <c r="M609">
        <f t="shared" si="10"/>
        <v>1</v>
      </c>
    </row>
    <row r="610" customHeight="1" spans="1:13">
      <c r="A610" s="167">
        <v>50018</v>
      </c>
      <c r="B610" s="167">
        <v>5</v>
      </c>
      <c r="C610" s="168" t="s">
        <v>955</v>
      </c>
      <c r="D610" s="167">
        <v>0</v>
      </c>
      <c r="E610" s="167">
        <v>1</v>
      </c>
      <c r="F610" s="167">
        <v>0</v>
      </c>
      <c r="G610" s="167">
        <v>0</v>
      </c>
      <c r="H610" s="167">
        <v>1137</v>
      </c>
      <c r="I610" s="167">
        <v>5</v>
      </c>
      <c r="J610" s="167" t="s">
        <v>921</v>
      </c>
      <c r="K610" s="171">
        <v>0</v>
      </c>
      <c r="L610">
        <v>370</v>
      </c>
      <c r="M610" t="b">
        <f t="shared" si="10"/>
        <v>0</v>
      </c>
    </row>
    <row r="611" customHeight="1" spans="1:13">
      <c r="A611" s="167">
        <v>50019</v>
      </c>
      <c r="B611" s="167">
        <v>1</v>
      </c>
      <c r="C611" s="168" t="s">
        <v>930</v>
      </c>
      <c r="D611" s="167">
        <v>0</v>
      </c>
      <c r="E611" s="167">
        <v>5000000</v>
      </c>
      <c r="F611" s="167">
        <v>0</v>
      </c>
      <c r="G611" s="167">
        <v>0</v>
      </c>
      <c r="H611" s="167">
        <v>1147</v>
      </c>
      <c r="I611" s="167">
        <v>152</v>
      </c>
      <c r="J611" s="167" t="s">
        <v>926</v>
      </c>
      <c r="K611" s="171">
        <v>0</v>
      </c>
      <c r="L611">
        <v>370</v>
      </c>
      <c r="M611" t="b">
        <f t="shared" si="10"/>
        <v>0</v>
      </c>
    </row>
    <row r="612" customHeight="1" spans="1:13">
      <c r="A612" s="167">
        <v>50020</v>
      </c>
      <c r="B612" s="167">
        <v>1</v>
      </c>
      <c r="C612" s="168" t="s">
        <v>932</v>
      </c>
      <c r="D612" s="167">
        <v>0</v>
      </c>
      <c r="E612" s="167">
        <v>5000000</v>
      </c>
      <c r="F612" s="167">
        <v>240</v>
      </c>
      <c r="G612" s="167">
        <v>0</v>
      </c>
      <c r="H612" s="167">
        <v>1137</v>
      </c>
      <c r="I612" s="167">
        <v>6</v>
      </c>
      <c r="J612" s="181" t="s">
        <v>921</v>
      </c>
      <c r="K612" s="171">
        <v>0</v>
      </c>
      <c r="L612">
        <v>380</v>
      </c>
      <c r="M612" t="b">
        <f t="shared" si="10"/>
        <v>0</v>
      </c>
    </row>
    <row r="613" customHeight="1" spans="1:13">
      <c r="A613" s="167">
        <v>50021</v>
      </c>
      <c r="B613" s="167">
        <v>2</v>
      </c>
      <c r="C613" s="168" t="s">
        <v>925</v>
      </c>
      <c r="D613" s="167">
        <v>11087</v>
      </c>
      <c r="E613" s="167">
        <v>8</v>
      </c>
      <c r="F613" s="167">
        <v>0</v>
      </c>
      <c r="G613" s="167">
        <v>0</v>
      </c>
      <c r="H613" s="167">
        <v>1145</v>
      </c>
      <c r="I613" s="167">
        <v>154</v>
      </c>
      <c r="J613" s="167" t="s">
        <v>927</v>
      </c>
      <c r="K613" s="171">
        <v>11087</v>
      </c>
      <c r="L613">
        <v>380</v>
      </c>
      <c r="M613" t="b">
        <f t="shared" si="10"/>
        <v>0</v>
      </c>
    </row>
    <row r="614" customHeight="1" spans="1:13">
      <c r="A614" s="167">
        <v>50022</v>
      </c>
      <c r="B614" s="167">
        <v>4</v>
      </c>
      <c r="C614" s="168" t="s">
        <v>928</v>
      </c>
      <c r="D614" s="167">
        <v>35000</v>
      </c>
      <c r="E614" s="167">
        <v>20</v>
      </c>
      <c r="F614" s="167">
        <v>0</v>
      </c>
      <c r="G614" s="167">
        <v>0</v>
      </c>
      <c r="H614" s="167">
        <v>1137</v>
      </c>
      <c r="I614" s="167">
        <v>5</v>
      </c>
      <c r="J614" s="167" t="s">
        <v>921</v>
      </c>
      <c r="K614" s="171">
        <v>0</v>
      </c>
      <c r="L614">
        <v>380</v>
      </c>
      <c r="M614">
        <f t="shared" si="10"/>
        <v>1</v>
      </c>
    </row>
    <row r="615" customHeight="1" spans="1:13">
      <c r="A615" s="167">
        <v>50023</v>
      </c>
      <c r="B615" s="167">
        <v>1</v>
      </c>
      <c r="C615" s="168" t="s">
        <v>930</v>
      </c>
      <c r="D615" s="167">
        <v>0</v>
      </c>
      <c r="E615" s="167">
        <v>6000000</v>
      </c>
      <c r="F615" s="167">
        <v>0</v>
      </c>
      <c r="G615" s="167">
        <v>0</v>
      </c>
      <c r="H615" s="167">
        <v>1149</v>
      </c>
      <c r="I615" s="167">
        <v>154</v>
      </c>
      <c r="J615" s="167" t="s">
        <v>931</v>
      </c>
      <c r="K615" s="171">
        <v>0</v>
      </c>
      <c r="L615">
        <v>380</v>
      </c>
      <c r="M615" t="b">
        <f t="shared" si="10"/>
        <v>0</v>
      </c>
    </row>
    <row r="616" customHeight="1" spans="1:13">
      <c r="A616" s="167">
        <v>50024</v>
      </c>
      <c r="B616" s="167">
        <v>1</v>
      </c>
      <c r="C616" s="168" t="s">
        <v>932</v>
      </c>
      <c r="D616" s="167">
        <v>0</v>
      </c>
      <c r="E616" s="167">
        <v>6000000</v>
      </c>
      <c r="F616" s="167">
        <v>240</v>
      </c>
      <c r="G616" s="167">
        <v>0</v>
      </c>
      <c r="H616" s="167">
        <v>1137</v>
      </c>
      <c r="I616" s="167">
        <v>6</v>
      </c>
      <c r="J616" s="181" t="s">
        <v>921</v>
      </c>
      <c r="K616" s="171">
        <v>0</v>
      </c>
      <c r="L616">
        <v>380</v>
      </c>
      <c r="M616" t="b">
        <f t="shared" si="10"/>
        <v>0</v>
      </c>
    </row>
    <row r="617" customHeight="1" spans="1:13">
      <c r="A617" s="167">
        <v>50025</v>
      </c>
      <c r="B617" s="167">
        <v>3</v>
      </c>
      <c r="C617" s="168" t="s">
        <v>990</v>
      </c>
      <c r="D617" s="167">
        <v>0</v>
      </c>
      <c r="E617" s="167">
        <v>1</v>
      </c>
      <c r="F617" s="167">
        <v>0</v>
      </c>
      <c r="G617" s="167">
        <v>0</v>
      </c>
      <c r="H617" s="167">
        <v>1150</v>
      </c>
      <c r="I617" s="167">
        <v>32</v>
      </c>
      <c r="J617" s="167" t="s">
        <v>935</v>
      </c>
      <c r="K617" s="171">
        <v>0</v>
      </c>
      <c r="L617">
        <v>390</v>
      </c>
      <c r="M617" t="b">
        <f t="shared" si="10"/>
        <v>0</v>
      </c>
    </row>
    <row r="618" customHeight="1" spans="1:13">
      <c r="A618" s="167">
        <v>50026</v>
      </c>
      <c r="B618" s="167">
        <v>5</v>
      </c>
      <c r="C618" s="168" t="s">
        <v>955</v>
      </c>
      <c r="D618" s="167">
        <v>0</v>
      </c>
      <c r="E618" s="167">
        <v>1</v>
      </c>
      <c r="F618" s="167">
        <v>0</v>
      </c>
      <c r="G618" s="167">
        <v>0</v>
      </c>
      <c r="H618" s="167">
        <v>1137</v>
      </c>
      <c r="I618" s="167">
        <v>5</v>
      </c>
      <c r="J618" s="167" t="s">
        <v>921</v>
      </c>
      <c r="K618" s="171">
        <v>0</v>
      </c>
      <c r="L618">
        <v>390</v>
      </c>
      <c r="M618" t="b">
        <f t="shared" si="10"/>
        <v>0</v>
      </c>
    </row>
    <row r="619" customHeight="1" spans="1:13">
      <c r="A619" s="167">
        <v>50027</v>
      </c>
      <c r="B619" s="167">
        <v>1</v>
      </c>
      <c r="C619" s="168" t="s">
        <v>930</v>
      </c>
      <c r="D619" s="167">
        <v>0</v>
      </c>
      <c r="E619" s="167">
        <v>7000000</v>
      </c>
      <c r="F619" s="167">
        <v>0</v>
      </c>
      <c r="G619" s="167">
        <v>0</v>
      </c>
      <c r="H619" s="167">
        <v>1152</v>
      </c>
      <c r="I619" s="167">
        <v>32</v>
      </c>
      <c r="J619" s="167" t="s">
        <v>937</v>
      </c>
      <c r="K619" s="171">
        <v>0</v>
      </c>
      <c r="L619">
        <v>390</v>
      </c>
      <c r="M619" t="b">
        <f t="shared" si="10"/>
        <v>0</v>
      </c>
    </row>
    <row r="620" customHeight="1" spans="1:13">
      <c r="A620" s="167">
        <v>50028</v>
      </c>
      <c r="B620" s="167">
        <v>1</v>
      </c>
      <c r="C620" s="168" t="s">
        <v>932</v>
      </c>
      <c r="D620" s="167">
        <v>0</v>
      </c>
      <c r="E620" s="167">
        <v>7000000</v>
      </c>
      <c r="F620" s="167">
        <v>240</v>
      </c>
      <c r="G620" s="167">
        <v>0</v>
      </c>
      <c r="H620" s="167">
        <v>1137</v>
      </c>
      <c r="I620" s="167">
        <v>6</v>
      </c>
      <c r="J620" s="181" t="s">
        <v>921</v>
      </c>
      <c r="K620" s="171">
        <v>0</v>
      </c>
      <c r="L620">
        <v>390</v>
      </c>
      <c r="M620" t="b">
        <f t="shared" si="10"/>
        <v>0</v>
      </c>
    </row>
    <row r="621" customHeight="1" spans="1:13">
      <c r="A621" s="167">
        <v>50029</v>
      </c>
      <c r="B621" s="167">
        <v>2</v>
      </c>
      <c r="C621" s="168" t="s">
        <v>925</v>
      </c>
      <c r="D621" s="167">
        <v>11085</v>
      </c>
      <c r="E621" s="167">
        <v>5</v>
      </c>
      <c r="F621" s="167">
        <v>0</v>
      </c>
      <c r="G621" s="167">
        <v>0</v>
      </c>
      <c r="H621" s="167">
        <v>1147</v>
      </c>
      <c r="I621" s="167">
        <v>156</v>
      </c>
      <c r="J621" s="167" t="s">
        <v>926</v>
      </c>
      <c r="K621" s="171">
        <v>11085</v>
      </c>
      <c r="L621">
        <v>390</v>
      </c>
      <c r="M621" t="b">
        <f t="shared" si="10"/>
        <v>0</v>
      </c>
    </row>
    <row r="622" customHeight="1" spans="1:13">
      <c r="A622" s="167">
        <v>50030</v>
      </c>
      <c r="B622" s="167">
        <v>9</v>
      </c>
      <c r="C622" s="168" t="s">
        <v>934</v>
      </c>
      <c r="D622" s="167">
        <v>0</v>
      </c>
      <c r="E622" s="167">
        <v>300000</v>
      </c>
      <c r="F622" s="167">
        <v>0</v>
      </c>
      <c r="G622" s="167">
        <v>0</v>
      </c>
      <c r="H622" s="167">
        <v>1137</v>
      </c>
      <c r="I622" s="167">
        <v>5</v>
      </c>
      <c r="J622" s="167" t="s">
        <v>921</v>
      </c>
      <c r="K622" s="171">
        <v>0</v>
      </c>
      <c r="L622">
        <v>400</v>
      </c>
      <c r="M622" t="b">
        <f t="shared" si="10"/>
        <v>0</v>
      </c>
    </row>
    <row r="623" customHeight="1" spans="1:13">
      <c r="A623" s="167">
        <v>50031</v>
      </c>
      <c r="B623" s="167">
        <v>1</v>
      </c>
      <c r="C623" s="168" t="s">
        <v>930</v>
      </c>
      <c r="D623" s="167">
        <v>0</v>
      </c>
      <c r="E623" s="167">
        <v>8000000</v>
      </c>
      <c r="F623" s="167">
        <v>0</v>
      </c>
      <c r="G623" s="167">
        <v>0</v>
      </c>
      <c r="H623" s="167">
        <v>1145</v>
      </c>
      <c r="I623" s="167">
        <v>156</v>
      </c>
      <c r="J623" s="167" t="s">
        <v>927</v>
      </c>
      <c r="K623" s="171">
        <v>0</v>
      </c>
      <c r="L623">
        <v>400</v>
      </c>
      <c r="M623" t="b">
        <f t="shared" si="10"/>
        <v>0</v>
      </c>
    </row>
    <row r="624" customHeight="1" spans="1:13">
      <c r="A624" s="167">
        <v>50032</v>
      </c>
      <c r="B624" s="167">
        <v>1</v>
      </c>
      <c r="C624" s="168" t="s">
        <v>932</v>
      </c>
      <c r="D624" s="167">
        <v>0</v>
      </c>
      <c r="E624" s="167">
        <v>8000000</v>
      </c>
      <c r="F624" s="167">
        <v>240</v>
      </c>
      <c r="G624" s="167">
        <v>0</v>
      </c>
      <c r="H624" s="167">
        <v>1137</v>
      </c>
      <c r="I624" s="167">
        <v>6</v>
      </c>
      <c r="J624" s="181" t="s">
        <v>921</v>
      </c>
      <c r="K624" s="171">
        <v>0</v>
      </c>
      <c r="L624">
        <v>400</v>
      </c>
      <c r="M624" t="b">
        <f t="shared" si="10"/>
        <v>0</v>
      </c>
    </row>
    <row r="625" customHeight="1" spans="1:13">
      <c r="A625" s="167">
        <v>50033</v>
      </c>
      <c r="B625" s="167">
        <v>2</v>
      </c>
      <c r="C625" s="168" t="s">
        <v>925</v>
      </c>
      <c r="D625" s="167">
        <v>11089</v>
      </c>
      <c r="E625" s="167">
        <v>8</v>
      </c>
      <c r="F625" s="167">
        <v>0</v>
      </c>
      <c r="G625" s="167">
        <v>0</v>
      </c>
      <c r="H625" s="167">
        <v>1152</v>
      </c>
      <c r="I625" s="167">
        <v>33</v>
      </c>
      <c r="J625" s="167" t="s">
        <v>937</v>
      </c>
      <c r="K625" s="171">
        <v>11089</v>
      </c>
      <c r="L625">
        <v>400</v>
      </c>
      <c r="M625" t="b">
        <f t="shared" si="10"/>
        <v>0</v>
      </c>
    </row>
    <row r="626" customHeight="1" spans="1:13">
      <c r="A626" s="167">
        <v>50034</v>
      </c>
      <c r="B626" s="167">
        <v>9</v>
      </c>
      <c r="C626" s="168" t="s">
        <v>934</v>
      </c>
      <c r="D626" s="167">
        <v>0</v>
      </c>
      <c r="E626" s="167">
        <v>400000</v>
      </c>
      <c r="F626" s="167">
        <v>0</v>
      </c>
      <c r="G626" s="167">
        <v>0</v>
      </c>
      <c r="H626" s="167">
        <v>1137</v>
      </c>
      <c r="I626" s="167">
        <v>5</v>
      </c>
      <c r="J626" s="167" t="s">
        <v>921</v>
      </c>
      <c r="K626" s="171">
        <v>0</v>
      </c>
      <c r="L626">
        <v>400</v>
      </c>
      <c r="M626" t="b">
        <f t="shared" si="10"/>
        <v>0</v>
      </c>
    </row>
    <row r="627" customHeight="1" spans="1:13">
      <c r="A627" s="167">
        <v>50035</v>
      </c>
      <c r="B627" s="167">
        <v>1</v>
      </c>
      <c r="C627" s="168" t="s">
        <v>930</v>
      </c>
      <c r="D627" s="167">
        <v>0</v>
      </c>
      <c r="E627" s="167">
        <v>9000000</v>
      </c>
      <c r="F627" s="167">
        <v>0</v>
      </c>
      <c r="G627" s="167">
        <v>0</v>
      </c>
      <c r="H627" s="167">
        <v>1150</v>
      </c>
      <c r="I627" s="167">
        <v>33</v>
      </c>
      <c r="J627" s="167" t="s">
        <v>935</v>
      </c>
      <c r="K627" s="171">
        <v>0</v>
      </c>
      <c r="L627">
        <v>410</v>
      </c>
      <c r="M627" t="b">
        <f t="shared" si="10"/>
        <v>0</v>
      </c>
    </row>
    <row r="628" customHeight="1" spans="1:13">
      <c r="A628" s="167">
        <v>50036</v>
      </c>
      <c r="B628" s="167">
        <v>1</v>
      </c>
      <c r="C628" s="168" t="s">
        <v>932</v>
      </c>
      <c r="D628" s="167">
        <v>0</v>
      </c>
      <c r="E628" s="167">
        <v>8200000</v>
      </c>
      <c r="F628" s="167">
        <v>240</v>
      </c>
      <c r="G628" s="167">
        <v>0</v>
      </c>
      <c r="H628" s="167">
        <v>1137</v>
      </c>
      <c r="I628" s="167">
        <v>6</v>
      </c>
      <c r="J628" s="181" t="s">
        <v>921</v>
      </c>
      <c r="K628" s="171">
        <v>0</v>
      </c>
      <c r="L628">
        <v>410</v>
      </c>
      <c r="M628" t="b">
        <f t="shared" si="10"/>
        <v>0</v>
      </c>
    </row>
    <row r="629" customHeight="1" spans="1:13">
      <c r="A629" s="167">
        <v>50037</v>
      </c>
      <c r="B629" s="167">
        <v>4</v>
      </c>
      <c r="C629" s="168" t="s">
        <v>928</v>
      </c>
      <c r="D629" s="167">
        <v>45000</v>
      </c>
      <c r="E629" s="167">
        <v>20</v>
      </c>
      <c r="F629" s="167">
        <v>0</v>
      </c>
      <c r="G629" s="167">
        <v>0</v>
      </c>
      <c r="H629" s="167">
        <v>1149</v>
      </c>
      <c r="I629" s="167">
        <v>158</v>
      </c>
      <c r="J629" s="167" t="s">
        <v>931</v>
      </c>
      <c r="K629" s="171">
        <v>0</v>
      </c>
      <c r="L629">
        <v>410</v>
      </c>
      <c r="M629">
        <f t="shared" si="10"/>
        <v>1</v>
      </c>
    </row>
    <row r="630" customHeight="1" spans="1:13">
      <c r="A630" s="167">
        <v>50038</v>
      </c>
      <c r="B630" s="167">
        <v>5</v>
      </c>
      <c r="C630" s="168" t="s">
        <v>955</v>
      </c>
      <c r="D630" s="167">
        <v>0</v>
      </c>
      <c r="E630" s="167">
        <v>2</v>
      </c>
      <c r="F630" s="167">
        <v>0</v>
      </c>
      <c r="G630" s="167">
        <v>0</v>
      </c>
      <c r="H630" s="167">
        <v>1137</v>
      </c>
      <c r="I630" s="167">
        <v>5</v>
      </c>
      <c r="J630" s="167" t="s">
        <v>921</v>
      </c>
      <c r="K630" s="171">
        <v>0</v>
      </c>
      <c r="L630">
        <v>410</v>
      </c>
      <c r="M630" t="b">
        <f t="shared" si="10"/>
        <v>0</v>
      </c>
    </row>
    <row r="631" customHeight="1" spans="1:13">
      <c r="A631" s="167">
        <v>50039</v>
      </c>
      <c r="B631" s="167">
        <v>1</v>
      </c>
      <c r="C631" s="168" t="s">
        <v>930</v>
      </c>
      <c r="D631" s="167">
        <v>0</v>
      </c>
      <c r="E631" s="167">
        <v>10000000</v>
      </c>
      <c r="F631" s="167">
        <v>0</v>
      </c>
      <c r="G631" s="167">
        <v>0</v>
      </c>
      <c r="H631" s="167">
        <v>1147</v>
      </c>
      <c r="I631" s="167">
        <v>158</v>
      </c>
      <c r="J631" s="167" t="s">
        <v>926</v>
      </c>
      <c r="K631" s="171">
        <v>0</v>
      </c>
      <c r="L631">
        <v>410</v>
      </c>
      <c r="M631" t="b">
        <f t="shared" si="10"/>
        <v>0</v>
      </c>
    </row>
    <row r="632" customHeight="1" spans="1:13">
      <c r="A632" s="167">
        <v>50040</v>
      </c>
      <c r="B632" s="167">
        <v>1</v>
      </c>
      <c r="C632" s="168" t="s">
        <v>932</v>
      </c>
      <c r="D632" s="167">
        <v>0</v>
      </c>
      <c r="E632" s="167">
        <v>8400000</v>
      </c>
      <c r="F632" s="167">
        <v>240</v>
      </c>
      <c r="G632" s="167">
        <v>0</v>
      </c>
      <c r="H632" s="167">
        <v>1137</v>
      </c>
      <c r="I632" s="167">
        <v>6</v>
      </c>
      <c r="J632" s="181" t="s">
        <v>921</v>
      </c>
      <c r="K632" s="171">
        <v>0</v>
      </c>
      <c r="L632">
        <v>410</v>
      </c>
      <c r="M632" t="b">
        <f t="shared" si="10"/>
        <v>0</v>
      </c>
    </row>
    <row r="633" customHeight="1" spans="1:13">
      <c r="A633" s="167">
        <v>50041</v>
      </c>
      <c r="B633" s="167">
        <v>2</v>
      </c>
      <c r="C633" s="168" t="s">
        <v>925</v>
      </c>
      <c r="D633" s="167">
        <v>11086</v>
      </c>
      <c r="E633" s="167">
        <v>6</v>
      </c>
      <c r="F633" s="167">
        <v>0</v>
      </c>
      <c r="G633" s="167">
        <v>0</v>
      </c>
      <c r="H633" s="167">
        <v>1145</v>
      </c>
      <c r="I633" s="167">
        <v>160</v>
      </c>
      <c r="J633" s="167" t="s">
        <v>927</v>
      </c>
      <c r="K633" s="171">
        <v>11086</v>
      </c>
      <c r="L633">
        <v>420</v>
      </c>
      <c r="M633" t="b">
        <f t="shared" si="10"/>
        <v>0</v>
      </c>
    </row>
    <row r="634" customHeight="1" spans="1:13">
      <c r="A634" s="167">
        <v>50042</v>
      </c>
      <c r="B634" s="167">
        <v>4</v>
      </c>
      <c r="C634" s="168" t="s">
        <v>928</v>
      </c>
      <c r="D634" s="167">
        <v>50000</v>
      </c>
      <c r="E634" s="167">
        <v>15</v>
      </c>
      <c r="F634" s="167">
        <v>0</v>
      </c>
      <c r="G634" s="167">
        <v>0</v>
      </c>
      <c r="H634" s="167">
        <v>1137</v>
      </c>
      <c r="I634" s="167">
        <v>5</v>
      </c>
      <c r="J634" s="167" t="s">
        <v>921</v>
      </c>
      <c r="K634" s="171">
        <v>0</v>
      </c>
      <c r="L634">
        <v>420</v>
      </c>
      <c r="M634">
        <f t="shared" si="10"/>
        <v>1</v>
      </c>
    </row>
    <row r="635" customHeight="1" spans="1:13">
      <c r="A635" s="167">
        <v>50043</v>
      </c>
      <c r="B635" s="167">
        <v>1</v>
      </c>
      <c r="C635" s="168" t="s">
        <v>930</v>
      </c>
      <c r="D635" s="167">
        <v>0</v>
      </c>
      <c r="E635" s="167">
        <v>12000000</v>
      </c>
      <c r="F635" s="167">
        <v>0</v>
      </c>
      <c r="G635" s="167">
        <v>0</v>
      </c>
      <c r="H635" s="167">
        <v>1152</v>
      </c>
      <c r="I635" s="167">
        <v>34</v>
      </c>
      <c r="J635" s="167" t="s">
        <v>937</v>
      </c>
      <c r="K635" s="171">
        <v>0</v>
      </c>
      <c r="L635">
        <v>420</v>
      </c>
      <c r="M635" t="b">
        <f t="shared" si="10"/>
        <v>0</v>
      </c>
    </row>
    <row r="636" customHeight="1" spans="1:13">
      <c r="A636" s="167">
        <v>50044</v>
      </c>
      <c r="B636" s="167">
        <v>1</v>
      </c>
      <c r="C636" s="168" t="s">
        <v>932</v>
      </c>
      <c r="D636" s="167">
        <v>0</v>
      </c>
      <c r="E636" s="167">
        <v>8500000</v>
      </c>
      <c r="F636" s="167">
        <v>240</v>
      </c>
      <c r="G636" s="167">
        <v>0</v>
      </c>
      <c r="H636" s="167">
        <v>1137</v>
      </c>
      <c r="I636" s="167">
        <v>6</v>
      </c>
      <c r="J636" s="181" t="s">
        <v>921</v>
      </c>
      <c r="K636" s="171">
        <v>0</v>
      </c>
      <c r="L636">
        <v>420</v>
      </c>
      <c r="M636" t="b">
        <f t="shared" si="10"/>
        <v>0</v>
      </c>
    </row>
    <row r="637" customHeight="1" spans="1:13">
      <c r="A637" s="167">
        <v>50045</v>
      </c>
      <c r="B637" s="167">
        <v>3</v>
      </c>
      <c r="C637" s="168" t="s">
        <v>990</v>
      </c>
      <c r="D637" s="167">
        <v>0</v>
      </c>
      <c r="E637" s="167">
        <v>1</v>
      </c>
      <c r="F637" s="167">
        <v>0</v>
      </c>
      <c r="G637" s="167">
        <v>0</v>
      </c>
      <c r="H637" s="167">
        <v>1150</v>
      </c>
      <c r="I637" s="167">
        <v>34</v>
      </c>
      <c r="J637" s="167" t="s">
        <v>935</v>
      </c>
      <c r="K637" s="171">
        <v>0</v>
      </c>
      <c r="L637">
        <v>420</v>
      </c>
      <c r="M637" t="b">
        <f t="shared" si="10"/>
        <v>0</v>
      </c>
    </row>
    <row r="638" customHeight="1" spans="1:13">
      <c r="A638" s="167">
        <v>50046</v>
      </c>
      <c r="B638" s="167">
        <v>5</v>
      </c>
      <c r="C638" s="168" t="s">
        <v>955</v>
      </c>
      <c r="D638" s="167">
        <v>0</v>
      </c>
      <c r="E638" s="167">
        <v>2</v>
      </c>
      <c r="F638" s="167">
        <v>0</v>
      </c>
      <c r="G638" s="167">
        <v>0</v>
      </c>
      <c r="H638" s="167">
        <v>1137</v>
      </c>
      <c r="I638" s="167">
        <v>5</v>
      </c>
      <c r="J638" s="167" t="s">
        <v>921</v>
      </c>
      <c r="K638" s="171">
        <v>0</v>
      </c>
      <c r="L638">
        <v>420</v>
      </c>
      <c r="M638" t="b">
        <f t="shared" si="10"/>
        <v>0</v>
      </c>
    </row>
    <row r="639" customHeight="1" spans="1:13">
      <c r="A639" s="167">
        <v>50047</v>
      </c>
      <c r="B639" s="167">
        <v>1</v>
      </c>
      <c r="C639" s="168" t="s">
        <v>930</v>
      </c>
      <c r="D639" s="167">
        <v>0</v>
      </c>
      <c r="E639" s="167">
        <v>13000000</v>
      </c>
      <c r="F639" s="167">
        <v>0</v>
      </c>
      <c r="G639" s="167">
        <v>0</v>
      </c>
      <c r="H639" s="167">
        <v>1149</v>
      </c>
      <c r="I639" s="167">
        <v>162</v>
      </c>
      <c r="J639" s="167" t="s">
        <v>931</v>
      </c>
      <c r="K639" s="171">
        <v>0</v>
      </c>
      <c r="L639">
        <v>420</v>
      </c>
      <c r="M639" t="b">
        <f t="shared" si="10"/>
        <v>0</v>
      </c>
    </row>
    <row r="640" customHeight="1" spans="1:13">
      <c r="A640" s="167">
        <v>50048</v>
      </c>
      <c r="B640" s="167">
        <v>1</v>
      </c>
      <c r="C640" s="168" t="s">
        <v>932</v>
      </c>
      <c r="D640" s="167">
        <v>0</v>
      </c>
      <c r="E640" s="167">
        <v>8600000</v>
      </c>
      <c r="F640" s="167">
        <v>240</v>
      </c>
      <c r="G640" s="167">
        <v>0</v>
      </c>
      <c r="H640" s="167">
        <v>1137</v>
      </c>
      <c r="I640" s="167">
        <v>6</v>
      </c>
      <c r="J640" s="181" t="s">
        <v>921</v>
      </c>
      <c r="K640" s="171">
        <v>0</v>
      </c>
      <c r="L640">
        <v>420</v>
      </c>
      <c r="M640" t="b">
        <f t="shared" si="10"/>
        <v>0</v>
      </c>
    </row>
    <row r="641" customHeight="1" spans="1:13">
      <c r="A641" s="167">
        <v>50049</v>
      </c>
      <c r="B641" s="167">
        <v>2</v>
      </c>
      <c r="C641" s="168" t="s">
        <v>925</v>
      </c>
      <c r="D641" s="167">
        <v>11023</v>
      </c>
      <c r="E641" s="167">
        <v>5</v>
      </c>
      <c r="F641" s="167">
        <v>0</v>
      </c>
      <c r="G641" s="167">
        <v>0</v>
      </c>
      <c r="H641" s="167">
        <v>1147</v>
      </c>
      <c r="I641" s="167">
        <v>164</v>
      </c>
      <c r="J641" s="167" t="s">
        <v>926</v>
      </c>
      <c r="K641" s="171">
        <v>11023</v>
      </c>
      <c r="L641">
        <v>420</v>
      </c>
      <c r="M641" t="b">
        <f t="shared" si="10"/>
        <v>0</v>
      </c>
    </row>
    <row r="642" customHeight="1" spans="1:13">
      <c r="A642" s="169">
        <v>50050</v>
      </c>
      <c r="B642" s="169">
        <v>9</v>
      </c>
      <c r="C642" s="170" t="s">
        <v>934</v>
      </c>
      <c r="D642" s="169">
        <v>0</v>
      </c>
      <c r="E642" s="169">
        <v>500000</v>
      </c>
      <c r="F642" s="169">
        <v>0</v>
      </c>
      <c r="G642" s="169">
        <v>0</v>
      </c>
      <c r="H642" s="169">
        <v>1137</v>
      </c>
      <c r="I642" s="167">
        <v>5</v>
      </c>
      <c r="J642" s="169" t="s">
        <v>921</v>
      </c>
      <c r="K642" s="171">
        <v>0</v>
      </c>
      <c r="L642">
        <v>420</v>
      </c>
      <c r="M642" t="b">
        <f t="shared" ref="M642:M705" si="11">IF(D642&lt;&gt;K642,1)</f>
        <v>0</v>
      </c>
    </row>
    <row r="643" customHeight="1" spans="1:13">
      <c r="A643" s="167">
        <v>50051</v>
      </c>
      <c r="B643" s="167">
        <v>1</v>
      </c>
      <c r="C643" s="168" t="s">
        <v>930</v>
      </c>
      <c r="D643" s="167">
        <v>0</v>
      </c>
      <c r="E643" s="167">
        <v>14000000</v>
      </c>
      <c r="F643" s="167">
        <v>0</v>
      </c>
      <c r="G643" s="167">
        <v>0</v>
      </c>
      <c r="H643" s="167">
        <v>1145</v>
      </c>
      <c r="I643" s="167">
        <v>164</v>
      </c>
      <c r="J643" s="167" t="s">
        <v>927</v>
      </c>
      <c r="K643" s="171">
        <v>0</v>
      </c>
      <c r="L643">
        <v>430</v>
      </c>
      <c r="M643" t="b">
        <f t="shared" si="11"/>
        <v>0</v>
      </c>
    </row>
    <row r="644" customHeight="1" spans="1:13">
      <c r="A644" s="167">
        <v>50052</v>
      </c>
      <c r="B644" s="167">
        <v>1</v>
      </c>
      <c r="C644" s="168" t="s">
        <v>932</v>
      </c>
      <c r="D644" s="167">
        <v>0</v>
      </c>
      <c r="E644" s="167">
        <v>8700000</v>
      </c>
      <c r="F644" s="167">
        <v>240</v>
      </c>
      <c r="G644" s="167">
        <v>0</v>
      </c>
      <c r="H644" s="167">
        <v>1137</v>
      </c>
      <c r="I644" s="167">
        <v>6</v>
      </c>
      <c r="J644" s="181" t="s">
        <v>921</v>
      </c>
      <c r="K644" s="171">
        <v>0</v>
      </c>
      <c r="L644">
        <v>430</v>
      </c>
      <c r="M644" t="b">
        <f t="shared" si="11"/>
        <v>0</v>
      </c>
    </row>
    <row r="645" customHeight="1" spans="1:13">
      <c r="A645" s="167">
        <v>50053</v>
      </c>
      <c r="B645" s="167">
        <v>2</v>
      </c>
      <c r="C645" s="168" t="s">
        <v>925</v>
      </c>
      <c r="D645" s="167">
        <v>11090</v>
      </c>
      <c r="E645" s="167">
        <v>2</v>
      </c>
      <c r="F645" s="167">
        <v>0</v>
      </c>
      <c r="G645" s="167">
        <v>0</v>
      </c>
      <c r="H645" s="167">
        <v>1152</v>
      </c>
      <c r="I645" s="167">
        <v>35</v>
      </c>
      <c r="J645" s="167" t="s">
        <v>937</v>
      </c>
      <c r="K645" s="171">
        <v>11090</v>
      </c>
      <c r="L645">
        <v>430</v>
      </c>
      <c r="M645" t="b">
        <f t="shared" si="11"/>
        <v>0</v>
      </c>
    </row>
    <row r="646" customHeight="1" spans="1:13">
      <c r="A646" s="167">
        <v>50054</v>
      </c>
      <c r="B646" s="167">
        <v>9</v>
      </c>
      <c r="C646" s="168" t="s">
        <v>934</v>
      </c>
      <c r="D646" s="167">
        <v>0</v>
      </c>
      <c r="E646" s="167">
        <v>600000</v>
      </c>
      <c r="F646" s="167">
        <v>0</v>
      </c>
      <c r="G646" s="167">
        <v>0</v>
      </c>
      <c r="H646" s="167">
        <v>1137</v>
      </c>
      <c r="I646" s="167">
        <v>5</v>
      </c>
      <c r="J646" s="167" t="s">
        <v>921</v>
      </c>
      <c r="K646" s="171">
        <v>0</v>
      </c>
      <c r="L646">
        <v>430</v>
      </c>
      <c r="M646" t="b">
        <f t="shared" si="11"/>
        <v>0</v>
      </c>
    </row>
    <row r="647" customHeight="1" spans="1:13">
      <c r="A647" s="167">
        <v>50055</v>
      </c>
      <c r="B647" s="167">
        <v>1</v>
      </c>
      <c r="C647" s="168" t="s">
        <v>930</v>
      </c>
      <c r="D647" s="167">
        <v>0</v>
      </c>
      <c r="E647" s="167">
        <v>15000000</v>
      </c>
      <c r="F647" s="167">
        <v>0</v>
      </c>
      <c r="G647" s="167">
        <v>0</v>
      </c>
      <c r="H647" s="167">
        <v>1150</v>
      </c>
      <c r="I647" s="167">
        <v>35</v>
      </c>
      <c r="J647" s="167" t="s">
        <v>935</v>
      </c>
      <c r="K647" s="171">
        <v>0</v>
      </c>
      <c r="L647">
        <v>430</v>
      </c>
      <c r="M647" t="b">
        <f t="shared" si="11"/>
        <v>0</v>
      </c>
    </row>
    <row r="648" customHeight="1" spans="1:13">
      <c r="A648" s="167">
        <v>50056</v>
      </c>
      <c r="B648" s="167">
        <v>1</v>
      </c>
      <c r="C648" s="168" t="s">
        <v>932</v>
      </c>
      <c r="D648" s="167">
        <v>0</v>
      </c>
      <c r="E648" s="167">
        <v>8800000</v>
      </c>
      <c r="F648" s="167">
        <v>240</v>
      </c>
      <c r="G648" s="167">
        <v>0</v>
      </c>
      <c r="H648" s="167">
        <v>1137</v>
      </c>
      <c r="I648" s="167">
        <v>6</v>
      </c>
      <c r="J648" s="181" t="s">
        <v>921</v>
      </c>
      <c r="K648" s="171">
        <v>0</v>
      </c>
      <c r="L648">
        <v>430</v>
      </c>
      <c r="M648" t="b">
        <f t="shared" si="11"/>
        <v>0</v>
      </c>
    </row>
    <row r="649" customHeight="1" spans="1:13">
      <c r="A649" s="167">
        <v>50057</v>
      </c>
      <c r="B649" s="167">
        <v>4</v>
      </c>
      <c r="C649" s="168" t="s">
        <v>928</v>
      </c>
      <c r="D649" s="167">
        <v>60000</v>
      </c>
      <c r="E649" s="167">
        <v>10</v>
      </c>
      <c r="F649" s="167">
        <v>0</v>
      </c>
      <c r="G649" s="167">
        <v>0</v>
      </c>
      <c r="H649" s="167">
        <v>1149</v>
      </c>
      <c r="I649" s="167">
        <v>166</v>
      </c>
      <c r="J649" s="167" t="s">
        <v>931</v>
      </c>
      <c r="K649" s="171">
        <v>0</v>
      </c>
      <c r="L649">
        <v>430</v>
      </c>
      <c r="M649">
        <f t="shared" si="11"/>
        <v>1</v>
      </c>
    </row>
    <row r="650" customHeight="1" spans="1:13">
      <c r="A650" s="167">
        <v>50058</v>
      </c>
      <c r="B650" s="167">
        <v>5</v>
      </c>
      <c r="C650" s="168" t="s">
        <v>955</v>
      </c>
      <c r="D650" s="167">
        <v>0</v>
      </c>
      <c r="E650" s="167">
        <v>2</v>
      </c>
      <c r="F650" s="167">
        <v>0</v>
      </c>
      <c r="G650" s="167">
        <v>0</v>
      </c>
      <c r="H650" s="167">
        <v>1137</v>
      </c>
      <c r="I650" s="167">
        <v>5</v>
      </c>
      <c r="J650" s="167" t="s">
        <v>921</v>
      </c>
      <c r="K650" s="171">
        <v>0</v>
      </c>
      <c r="L650">
        <v>430</v>
      </c>
      <c r="M650" t="b">
        <f t="shared" si="11"/>
        <v>0</v>
      </c>
    </row>
    <row r="651" customHeight="1" spans="1:13">
      <c r="A651" s="169">
        <v>50059</v>
      </c>
      <c r="B651" s="169">
        <v>1</v>
      </c>
      <c r="C651" s="170" t="s">
        <v>930</v>
      </c>
      <c r="D651" s="169">
        <v>0</v>
      </c>
      <c r="E651" s="169">
        <v>16000000</v>
      </c>
      <c r="F651" s="169">
        <v>0</v>
      </c>
      <c r="G651" s="169">
        <v>0</v>
      </c>
      <c r="H651" s="169">
        <v>1147</v>
      </c>
      <c r="I651" s="169">
        <v>166</v>
      </c>
      <c r="J651" s="169" t="s">
        <v>926</v>
      </c>
      <c r="K651" s="171">
        <v>0</v>
      </c>
      <c r="L651">
        <v>430</v>
      </c>
      <c r="M651" t="b">
        <f t="shared" si="11"/>
        <v>0</v>
      </c>
    </row>
    <row r="652" customHeight="1" spans="1:13">
      <c r="A652">
        <v>50060</v>
      </c>
      <c r="B652">
        <v>1</v>
      </c>
      <c r="C652" s="161" t="s">
        <v>932</v>
      </c>
      <c r="D652">
        <v>0</v>
      </c>
      <c r="E652">
        <v>8900000</v>
      </c>
      <c r="F652">
        <v>240</v>
      </c>
      <c r="G652">
        <v>0</v>
      </c>
      <c r="H652" s="167">
        <v>1137</v>
      </c>
      <c r="I652" s="167">
        <v>6</v>
      </c>
      <c r="J652" s="181" t="s">
        <v>921</v>
      </c>
      <c r="K652" s="171">
        <v>0</v>
      </c>
      <c r="L652">
        <v>430</v>
      </c>
      <c r="M652" t="b">
        <f t="shared" si="11"/>
        <v>0</v>
      </c>
    </row>
    <row r="653" customHeight="1" spans="1:13">
      <c r="A653">
        <v>50061</v>
      </c>
      <c r="B653">
        <v>2</v>
      </c>
      <c r="C653" s="161" t="s">
        <v>925</v>
      </c>
      <c r="D653">
        <v>11091</v>
      </c>
      <c r="E653">
        <v>2</v>
      </c>
      <c r="F653">
        <v>0</v>
      </c>
      <c r="G653">
        <v>0</v>
      </c>
      <c r="H653">
        <v>1145</v>
      </c>
      <c r="I653">
        <v>168</v>
      </c>
      <c r="J653" t="s">
        <v>927</v>
      </c>
      <c r="K653" s="171">
        <v>11091</v>
      </c>
      <c r="L653">
        <v>440</v>
      </c>
      <c r="M653" t="b">
        <f t="shared" si="11"/>
        <v>0</v>
      </c>
    </row>
    <row r="654" customHeight="1" spans="1:13">
      <c r="A654">
        <v>50062</v>
      </c>
      <c r="B654">
        <v>4</v>
      </c>
      <c r="C654" s="161" t="s">
        <v>928</v>
      </c>
      <c r="D654">
        <v>80000</v>
      </c>
      <c r="E654">
        <v>5</v>
      </c>
      <c r="F654">
        <v>0</v>
      </c>
      <c r="G654">
        <v>0</v>
      </c>
      <c r="H654">
        <v>1137</v>
      </c>
      <c r="I654" s="167">
        <v>5</v>
      </c>
      <c r="J654" t="s">
        <v>921</v>
      </c>
      <c r="K654" s="171">
        <v>0</v>
      </c>
      <c r="L654">
        <v>440</v>
      </c>
      <c r="M654">
        <f t="shared" si="11"/>
        <v>1</v>
      </c>
    </row>
    <row r="655" customHeight="1" spans="1:13">
      <c r="A655">
        <v>50063</v>
      </c>
      <c r="B655">
        <v>1</v>
      </c>
      <c r="C655" s="161" t="s">
        <v>930</v>
      </c>
      <c r="D655">
        <v>0</v>
      </c>
      <c r="E655">
        <v>17000000</v>
      </c>
      <c r="F655">
        <v>0</v>
      </c>
      <c r="G655">
        <v>0</v>
      </c>
      <c r="H655">
        <v>1149</v>
      </c>
      <c r="I655">
        <v>168</v>
      </c>
      <c r="J655" t="s">
        <v>931</v>
      </c>
      <c r="K655" s="171">
        <v>0</v>
      </c>
      <c r="L655">
        <v>440</v>
      </c>
      <c r="M655" t="b">
        <f t="shared" si="11"/>
        <v>0</v>
      </c>
    </row>
    <row r="656" customHeight="1" spans="1:13">
      <c r="A656">
        <v>50064</v>
      </c>
      <c r="B656">
        <v>1</v>
      </c>
      <c r="C656" s="161" t="s">
        <v>932</v>
      </c>
      <c r="D656">
        <v>0</v>
      </c>
      <c r="E656">
        <v>9000000</v>
      </c>
      <c r="F656">
        <v>240</v>
      </c>
      <c r="G656">
        <v>0</v>
      </c>
      <c r="H656" s="167">
        <v>1137</v>
      </c>
      <c r="I656" s="167">
        <v>6</v>
      </c>
      <c r="J656" s="181" t="s">
        <v>921</v>
      </c>
      <c r="K656" s="171">
        <v>0</v>
      </c>
      <c r="L656">
        <v>440</v>
      </c>
      <c r="M656" t="b">
        <f t="shared" si="11"/>
        <v>0</v>
      </c>
    </row>
    <row r="657" customHeight="1" spans="1:13">
      <c r="A657">
        <v>50065</v>
      </c>
      <c r="B657">
        <v>3</v>
      </c>
      <c r="C657" s="161" t="s">
        <v>990</v>
      </c>
      <c r="D657">
        <v>0</v>
      </c>
      <c r="E657">
        <v>1</v>
      </c>
      <c r="F657">
        <v>0</v>
      </c>
      <c r="G657">
        <v>0</v>
      </c>
      <c r="H657">
        <v>1150</v>
      </c>
      <c r="I657">
        <v>36</v>
      </c>
      <c r="J657" t="s">
        <v>935</v>
      </c>
      <c r="K657" s="171">
        <v>0</v>
      </c>
      <c r="L657">
        <v>440</v>
      </c>
      <c r="M657" t="b">
        <f t="shared" si="11"/>
        <v>0</v>
      </c>
    </row>
    <row r="658" customHeight="1" spans="1:13">
      <c r="A658">
        <v>50066</v>
      </c>
      <c r="B658">
        <v>5</v>
      </c>
      <c r="C658" s="161" t="s">
        <v>955</v>
      </c>
      <c r="D658">
        <v>0</v>
      </c>
      <c r="E658">
        <v>2</v>
      </c>
      <c r="F658">
        <v>0</v>
      </c>
      <c r="G658">
        <v>0</v>
      </c>
      <c r="H658">
        <v>1137</v>
      </c>
      <c r="I658" s="167">
        <v>5</v>
      </c>
      <c r="J658" t="s">
        <v>921</v>
      </c>
      <c r="K658" s="171">
        <v>0</v>
      </c>
      <c r="L658">
        <v>440</v>
      </c>
      <c r="M658" t="b">
        <f t="shared" si="11"/>
        <v>0</v>
      </c>
    </row>
    <row r="659" customHeight="1" spans="1:13">
      <c r="A659">
        <v>50067</v>
      </c>
      <c r="B659">
        <v>1</v>
      </c>
      <c r="C659" s="161" t="s">
        <v>930</v>
      </c>
      <c r="D659">
        <v>0</v>
      </c>
      <c r="E659">
        <v>18000000</v>
      </c>
      <c r="F659">
        <v>0</v>
      </c>
      <c r="G659">
        <v>0</v>
      </c>
      <c r="H659">
        <v>1149</v>
      </c>
      <c r="I659">
        <v>170</v>
      </c>
      <c r="J659" t="s">
        <v>931</v>
      </c>
      <c r="K659" s="171">
        <v>0</v>
      </c>
      <c r="L659">
        <v>440</v>
      </c>
      <c r="M659" t="b">
        <f t="shared" si="11"/>
        <v>0</v>
      </c>
    </row>
    <row r="660" customHeight="1" spans="1:13">
      <c r="A660">
        <v>50068</v>
      </c>
      <c r="B660">
        <v>1</v>
      </c>
      <c r="C660" s="161" t="s">
        <v>932</v>
      </c>
      <c r="D660">
        <v>0</v>
      </c>
      <c r="E660">
        <v>10000000</v>
      </c>
      <c r="F660">
        <v>240</v>
      </c>
      <c r="G660">
        <v>0</v>
      </c>
      <c r="H660" s="167">
        <v>1137</v>
      </c>
      <c r="I660" s="167">
        <v>6</v>
      </c>
      <c r="J660" s="181" t="s">
        <v>921</v>
      </c>
      <c r="K660" s="171">
        <v>0</v>
      </c>
      <c r="L660">
        <v>440</v>
      </c>
      <c r="M660" t="b">
        <f t="shared" si="11"/>
        <v>0</v>
      </c>
    </row>
    <row r="661" customHeight="1" spans="1:13">
      <c r="A661">
        <v>50069</v>
      </c>
      <c r="B661">
        <v>2</v>
      </c>
      <c r="C661" s="161" t="s">
        <v>925</v>
      </c>
      <c r="D661">
        <v>11025</v>
      </c>
      <c r="E661">
        <v>4</v>
      </c>
      <c r="F661">
        <v>0</v>
      </c>
      <c r="G661">
        <v>0</v>
      </c>
      <c r="H661">
        <v>1147</v>
      </c>
      <c r="I661">
        <v>172</v>
      </c>
      <c r="J661" t="s">
        <v>926</v>
      </c>
      <c r="K661" s="171">
        <v>11025</v>
      </c>
      <c r="L661">
        <v>440</v>
      </c>
      <c r="M661" t="b">
        <f t="shared" si="11"/>
        <v>0</v>
      </c>
    </row>
    <row r="662" customHeight="1" spans="1:13">
      <c r="A662">
        <v>50070</v>
      </c>
      <c r="B662">
        <v>9</v>
      </c>
      <c r="C662" s="161" t="s">
        <v>934</v>
      </c>
      <c r="D662">
        <v>0</v>
      </c>
      <c r="E662">
        <v>700000</v>
      </c>
      <c r="F662">
        <v>0</v>
      </c>
      <c r="G662">
        <v>0</v>
      </c>
      <c r="H662">
        <v>1137</v>
      </c>
      <c r="I662" s="167">
        <v>5</v>
      </c>
      <c r="J662" t="s">
        <v>921</v>
      </c>
      <c r="K662" s="171">
        <v>0</v>
      </c>
      <c r="L662">
        <v>440</v>
      </c>
      <c r="M662" t="b">
        <f t="shared" si="11"/>
        <v>0</v>
      </c>
    </row>
    <row r="663" customHeight="1" spans="1:13">
      <c r="A663">
        <v>50071</v>
      </c>
      <c r="B663">
        <v>1</v>
      </c>
      <c r="C663" s="161" t="s">
        <v>930</v>
      </c>
      <c r="D663">
        <v>0</v>
      </c>
      <c r="E663">
        <v>19000000</v>
      </c>
      <c r="F663">
        <v>0</v>
      </c>
      <c r="G663">
        <v>0</v>
      </c>
      <c r="H663">
        <v>1145</v>
      </c>
      <c r="I663">
        <v>172</v>
      </c>
      <c r="J663" t="s">
        <v>927</v>
      </c>
      <c r="K663" s="171">
        <v>0</v>
      </c>
      <c r="L663">
        <v>460</v>
      </c>
      <c r="M663" t="b">
        <f t="shared" si="11"/>
        <v>0</v>
      </c>
    </row>
    <row r="664" customHeight="1" spans="1:13">
      <c r="A664">
        <v>50072</v>
      </c>
      <c r="B664">
        <v>1</v>
      </c>
      <c r="C664" s="161" t="s">
        <v>932</v>
      </c>
      <c r="D664">
        <v>0</v>
      </c>
      <c r="E664">
        <v>10500000</v>
      </c>
      <c r="F664">
        <v>240</v>
      </c>
      <c r="G664">
        <v>0</v>
      </c>
      <c r="H664" s="167">
        <v>1137</v>
      </c>
      <c r="I664" s="167">
        <v>6</v>
      </c>
      <c r="J664" s="181" t="s">
        <v>921</v>
      </c>
      <c r="K664" s="171">
        <v>0</v>
      </c>
      <c r="L664">
        <v>460</v>
      </c>
      <c r="M664" t="b">
        <f t="shared" si="11"/>
        <v>0</v>
      </c>
    </row>
    <row r="665" customHeight="1" spans="1:13">
      <c r="A665">
        <v>50073</v>
      </c>
      <c r="B665">
        <v>2</v>
      </c>
      <c r="C665" s="161" t="s">
        <v>925</v>
      </c>
      <c r="D665">
        <v>11026</v>
      </c>
      <c r="E665">
        <v>4</v>
      </c>
      <c r="F665">
        <v>0</v>
      </c>
      <c r="G665">
        <v>0</v>
      </c>
      <c r="H665">
        <v>1152</v>
      </c>
      <c r="I665">
        <v>37</v>
      </c>
      <c r="J665" t="s">
        <v>937</v>
      </c>
      <c r="K665" s="171">
        <v>11026</v>
      </c>
      <c r="L665">
        <v>460</v>
      </c>
      <c r="M665" t="b">
        <f t="shared" si="11"/>
        <v>0</v>
      </c>
    </row>
    <row r="666" customHeight="1" spans="1:13">
      <c r="A666">
        <v>50074</v>
      </c>
      <c r="B666">
        <v>9</v>
      </c>
      <c r="C666" s="161" t="s">
        <v>934</v>
      </c>
      <c r="D666">
        <v>0</v>
      </c>
      <c r="E666">
        <v>800000</v>
      </c>
      <c r="F666">
        <v>0</v>
      </c>
      <c r="G666">
        <v>0</v>
      </c>
      <c r="H666">
        <v>1137</v>
      </c>
      <c r="I666" s="167">
        <v>5</v>
      </c>
      <c r="J666" t="s">
        <v>921</v>
      </c>
      <c r="K666" s="171">
        <v>0</v>
      </c>
      <c r="L666">
        <v>460</v>
      </c>
      <c r="M666" t="b">
        <f t="shared" si="11"/>
        <v>0</v>
      </c>
    </row>
    <row r="667" customHeight="1" spans="1:13">
      <c r="A667">
        <v>50075</v>
      </c>
      <c r="B667">
        <v>1</v>
      </c>
      <c r="C667" s="161" t="s">
        <v>930</v>
      </c>
      <c r="D667">
        <v>0</v>
      </c>
      <c r="E667">
        <v>20000000</v>
      </c>
      <c r="F667">
        <v>0</v>
      </c>
      <c r="G667">
        <v>0</v>
      </c>
      <c r="H667">
        <v>1150</v>
      </c>
      <c r="I667">
        <v>37</v>
      </c>
      <c r="J667" t="s">
        <v>935</v>
      </c>
      <c r="K667" s="171">
        <v>0</v>
      </c>
      <c r="L667">
        <v>460</v>
      </c>
      <c r="M667" t="b">
        <f t="shared" si="11"/>
        <v>0</v>
      </c>
    </row>
    <row r="668" customHeight="1" spans="1:13">
      <c r="A668">
        <v>50076</v>
      </c>
      <c r="B668">
        <v>1</v>
      </c>
      <c r="C668" s="161" t="s">
        <v>932</v>
      </c>
      <c r="D668">
        <v>0</v>
      </c>
      <c r="E668">
        <v>11000000</v>
      </c>
      <c r="F668">
        <v>240</v>
      </c>
      <c r="G668">
        <v>0</v>
      </c>
      <c r="H668" s="167">
        <v>1137</v>
      </c>
      <c r="I668" s="167">
        <v>6</v>
      </c>
      <c r="J668" s="181" t="s">
        <v>921</v>
      </c>
      <c r="K668" s="171">
        <v>0</v>
      </c>
      <c r="L668">
        <v>460</v>
      </c>
      <c r="M668" t="b">
        <f t="shared" si="11"/>
        <v>0</v>
      </c>
    </row>
    <row r="669" customHeight="1" spans="1:13">
      <c r="A669">
        <v>50077</v>
      </c>
      <c r="B669">
        <v>4</v>
      </c>
      <c r="C669" s="161" t="s">
        <v>928</v>
      </c>
      <c r="D669">
        <v>80000</v>
      </c>
      <c r="E669">
        <v>5</v>
      </c>
      <c r="F669">
        <v>0</v>
      </c>
      <c r="G669">
        <v>0</v>
      </c>
      <c r="H669">
        <v>1149</v>
      </c>
      <c r="I669">
        <v>174</v>
      </c>
      <c r="J669" t="s">
        <v>931</v>
      </c>
      <c r="K669" s="171">
        <v>0</v>
      </c>
      <c r="L669">
        <v>460</v>
      </c>
      <c r="M669">
        <f t="shared" si="11"/>
        <v>1</v>
      </c>
    </row>
    <row r="670" customHeight="1" spans="1:13">
      <c r="A670">
        <v>50078</v>
      </c>
      <c r="B670">
        <v>5</v>
      </c>
      <c r="C670" s="161" t="s">
        <v>955</v>
      </c>
      <c r="D670">
        <v>0</v>
      </c>
      <c r="E670">
        <v>3</v>
      </c>
      <c r="F670">
        <v>0</v>
      </c>
      <c r="G670">
        <v>0</v>
      </c>
      <c r="H670">
        <v>1137</v>
      </c>
      <c r="I670" s="167">
        <v>5</v>
      </c>
      <c r="J670" t="s">
        <v>921</v>
      </c>
      <c r="K670" s="171">
        <v>0</v>
      </c>
      <c r="L670">
        <v>460</v>
      </c>
      <c r="M670" t="b">
        <f t="shared" si="11"/>
        <v>0</v>
      </c>
    </row>
    <row r="671" customHeight="1" spans="1:13">
      <c r="A671">
        <v>50079</v>
      </c>
      <c r="B671">
        <v>1</v>
      </c>
      <c r="C671" s="161" t="s">
        <v>930</v>
      </c>
      <c r="D671">
        <v>0</v>
      </c>
      <c r="E671">
        <v>21000000</v>
      </c>
      <c r="F671">
        <v>0</v>
      </c>
      <c r="G671">
        <v>0</v>
      </c>
      <c r="H671">
        <v>1147</v>
      </c>
      <c r="I671">
        <v>174</v>
      </c>
      <c r="J671" t="s">
        <v>926</v>
      </c>
      <c r="K671" s="171">
        <v>0</v>
      </c>
      <c r="L671">
        <v>460</v>
      </c>
      <c r="M671" t="b">
        <f t="shared" si="11"/>
        <v>0</v>
      </c>
    </row>
    <row r="672" customHeight="1" spans="1:13">
      <c r="A672">
        <v>50080</v>
      </c>
      <c r="B672">
        <v>1</v>
      </c>
      <c r="C672" s="161" t="s">
        <v>932</v>
      </c>
      <c r="D672">
        <v>0</v>
      </c>
      <c r="E672">
        <v>11500000</v>
      </c>
      <c r="F672">
        <v>240</v>
      </c>
      <c r="G672">
        <v>0</v>
      </c>
      <c r="H672" s="167">
        <v>1137</v>
      </c>
      <c r="I672" s="167">
        <v>6</v>
      </c>
      <c r="J672" s="181" t="s">
        <v>921</v>
      </c>
      <c r="K672" s="171">
        <v>0</v>
      </c>
      <c r="L672">
        <v>460</v>
      </c>
      <c r="M672" t="b">
        <f t="shared" si="11"/>
        <v>0</v>
      </c>
    </row>
    <row r="673" customHeight="1" spans="1:13">
      <c r="A673">
        <v>50081</v>
      </c>
      <c r="B673">
        <v>2</v>
      </c>
      <c r="C673" s="161" t="s">
        <v>925</v>
      </c>
      <c r="D673">
        <v>11026</v>
      </c>
      <c r="E673">
        <v>2</v>
      </c>
      <c r="F673">
        <v>0</v>
      </c>
      <c r="G673">
        <v>0</v>
      </c>
      <c r="H673">
        <v>1145</v>
      </c>
      <c r="I673">
        <v>176</v>
      </c>
      <c r="J673" t="s">
        <v>927</v>
      </c>
      <c r="K673" s="171">
        <v>11026</v>
      </c>
      <c r="L673">
        <v>480</v>
      </c>
      <c r="M673" t="b">
        <f t="shared" si="11"/>
        <v>0</v>
      </c>
    </row>
    <row r="674" customHeight="1" spans="1:13">
      <c r="A674">
        <v>50082</v>
      </c>
      <c r="B674">
        <v>9</v>
      </c>
      <c r="C674" s="161" t="s">
        <v>934</v>
      </c>
      <c r="D674">
        <v>0</v>
      </c>
      <c r="E674">
        <v>900000</v>
      </c>
      <c r="F674">
        <v>0</v>
      </c>
      <c r="G674">
        <v>0</v>
      </c>
      <c r="H674">
        <v>1137</v>
      </c>
      <c r="I674" s="167">
        <v>5</v>
      </c>
      <c r="J674" t="s">
        <v>921</v>
      </c>
      <c r="K674" s="171">
        <v>0</v>
      </c>
      <c r="L674">
        <v>480</v>
      </c>
      <c r="M674" t="b">
        <f t="shared" si="11"/>
        <v>0</v>
      </c>
    </row>
    <row r="675" customHeight="1" spans="1:13">
      <c r="A675">
        <v>50083</v>
      </c>
      <c r="B675">
        <v>1</v>
      </c>
      <c r="C675" s="161" t="s">
        <v>930</v>
      </c>
      <c r="D675">
        <v>0</v>
      </c>
      <c r="E675">
        <v>22000000</v>
      </c>
      <c r="F675">
        <v>0</v>
      </c>
      <c r="G675">
        <v>0</v>
      </c>
      <c r="H675">
        <v>1147</v>
      </c>
      <c r="I675">
        <v>176</v>
      </c>
      <c r="J675" t="s">
        <v>926</v>
      </c>
      <c r="K675" s="171">
        <v>0</v>
      </c>
      <c r="L675">
        <v>480</v>
      </c>
      <c r="M675" t="b">
        <f t="shared" si="11"/>
        <v>0</v>
      </c>
    </row>
    <row r="676" customHeight="1" spans="1:13">
      <c r="A676">
        <v>50084</v>
      </c>
      <c r="B676">
        <v>1</v>
      </c>
      <c r="C676" s="161" t="s">
        <v>932</v>
      </c>
      <c r="D676">
        <v>0</v>
      </c>
      <c r="E676">
        <v>12000000</v>
      </c>
      <c r="F676">
        <v>240</v>
      </c>
      <c r="G676">
        <v>0</v>
      </c>
      <c r="H676" s="167">
        <v>1137</v>
      </c>
      <c r="I676" s="167">
        <v>6</v>
      </c>
      <c r="J676" s="181" t="s">
        <v>921</v>
      </c>
      <c r="K676" s="171">
        <v>0</v>
      </c>
      <c r="L676">
        <v>480</v>
      </c>
      <c r="M676" t="b">
        <f t="shared" si="11"/>
        <v>0</v>
      </c>
    </row>
    <row r="677" customHeight="1" spans="1:13">
      <c r="A677">
        <v>50085</v>
      </c>
      <c r="B677">
        <v>4</v>
      </c>
      <c r="C677" s="161" t="s">
        <v>928</v>
      </c>
      <c r="D677">
        <v>90000</v>
      </c>
      <c r="E677">
        <v>5</v>
      </c>
      <c r="F677">
        <v>0</v>
      </c>
      <c r="G677">
        <v>0</v>
      </c>
      <c r="H677">
        <v>1149</v>
      </c>
      <c r="I677">
        <v>178</v>
      </c>
      <c r="J677" t="s">
        <v>931</v>
      </c>
      <c r="K677" s="171">
        <v>0</v>
      </c>
      <c r="L677">
        <v>480</v>
      </c>
      <c r="M677">
        <f t="shared" si="11"/>
        <v>1</v>
      </c>
    </row>
    <row r="678" customHeight="1" spans="1:13">
      <c r="A678">
        <v>50086</v>
      </c>
      <c r="B678">
        <v>5</v>
      </c>
      <c r="C678" s="161" t="s">
        <v>955</v>
      </c>
      <c r="D678">
        <v>0</v>
      </c>
      <c r="E678">
        <v>3</v>
      </c>
      <c r="F678">
        <v>0</v>
      </c>
      <c r="G678">
        <v>0</v>
      </c>
      <c r="H678">
        <v>1137</v>
      </c>
      <c r="I678" s="167">
        <v>5</v>
      </c>
      <c r="J678" t="s">
        <v>921</v>
      </c>
      <c r="K678" s="171">
        <v>0</v>
      </c>
      <c r="L678">
        <v>480</v>
      </c>
      <c r="M678" t="b">
        <f t="shared" si="11"/>
        <v>0</v>
      </c>
    </row>
    <row r="679" customHeight="1" spans="1:13">
      <c r="A679">
        <v>50087</v>
      </c>
      <c r="B679">
        <v>1</v>
      </c>
      <c r="C679" s="161" t="s">
        <v>930</v>
      </c>
      <c r="D679">
        <v>0</v>
      </c>
      <c r="E679">
        <v>23000000</v>
      </c>
      <c r="F679">
        <v>0</v>
      </c>
      <c r="G679">
        <v>0</v>
      </c>
      <c r="H679">
        <v>1147</v>
      </c>
      <c r="I679">
        <v>178</v>
      </c>
      <c r="J679" t="s">
        <v>926</v>
      </c>
      <c r="K679" s="171">
        <v>0</v>
      </c>
      <c r="L679">
        <v>480</v>
      </c>
      <c r="M679" t="b">
        <f t="shared" si="11"/>
        <v>0</v>
      </c>
    </row>
    <row r="680" customHeight="1" spans="1:13">
      <c r="A680">
        <v>50088</v>
      </c>
      <c r="B680">
        <v>1</v>
      </c>
      <c r="C680" s="161" t="s">
        <v>932</v>
      </c>
      <c r="D680">
        <v>0</v>
      </c>
      <c r="E680">
        <v>12500000</v>
      </c>
      <c r="F680">
        <v>240</v>
      </c>
      <c r="G680">
        <v>0</v>
      </c>
      <c r="H680" s="167">
        <v>1137</v>
      </c>
      <c r="I680" s="167">
        <v>6</v>
      </c>
      <c r="J680" s="181" t="s">
        <v>921</v>
      </c>
      <c r="K680" s="171">
        <v>0</v>
      </c>
      <c r="L680">
        <v>480</v>
      </c>
      <c r="M680" t="b">
        <f t="shared" si="11"/>
        <v>0</v>
      </c>
    </row>
    <row r="681" customHeight="1" spans="1:13">
      <c r="A681">
        <v>50089</v>
      </c>
      <c r="B681">
        <v>2</v>
      </c>
      <c r="C681" s="161" t="s">
        <v>925</v>
      </c>
      <c r="D681">
        <v>11026</v>
      </c>
      <c r="E681">
        <v>4</v>
      </c>
      <c r="F681">
        <v>0</v>
      </c>
      <c r="G681">
        <v>0</v>
      </c>
      <c r="H681">
        <v>1152</v>
      </c>
      <c r="I681">
        <v>37</v>
      </c>
      <c r="J681" t="s">
        <v>937</v>
      </c>
      <c r="K681" s="171">
        <v>11026</v>
      </c>
      <c r="L681">
        <v>480</v>
      </c>
      <c r="M681" t="b">
        <f t="shared" si="11"/>
        <v>0</v>
      </c>
    </row>
    <row r="682" customHeight="1" spans="1:13">
      <c r="A682">
        <v>50090</v>
      </c>
      <c r="B682">
        <v>9</v>
      </c>
      <c r="C682" s="161" t="s">
        <v>934</v>
      </c>
      <c r="D682">
        <v>0</v>
      </c>
      <c r="E682">
        <v>1000000</v>
      </c>
      <c r="F682">
        <v>0</v>
      </c>
      <c r="G682">
        <v>0</v>
      </c>
      <c r="H682">
        <v>1137</v>
      </c>
      <c r="I682" s="167">
        <v>5</v>
      </c>
      <c r="J682" t="s">
        <v>921</v>
      </c>
      <c r="K682" s="171">
        <v>0</v>
      </c>
      <c r="L682">
        <v>480</v>
      </c>
      <c r="M682" t="b">
        <f t="shared" si="11"/>
        <v>0</v>
      </c>
    </row>
    <row r="683" customHeight="1" spans="1:13">
      <c r="A683">
        <v>50091</v>
      </c>
      <c r="B683">
        <v>1</v>
      </c>
      <c r="C683" s="161" t="s">
        <v>930</v>
      </c>
      <c r="D683">
        <v>0</v>
      </c>
      <c r="E683">
        <v>24000000</v>
      </c>
      <c r="F683">
        <v>0</v>
      </c>
      <c r="G683">
        <v>0</v>
      </c>
      <c r="H683">
        <v>1150</v>
      </c>
      <c r="I683">
        <v>37</v>
      </c>
      <c r="J683" t="s">
        <v>935</v>
      </c>
      <c r="K683" s="171">
        <v>0</v>
      </c>
      <c r="L683">
        <v>500</v>
      </c>
      <c r="M683" t="b">
        <f t="shared" si="11"/>
        <v>0</v>
      </c>
    </row>
    <row r="684" customHeight="1" spans="1:13">
      <c r="A684">
        <v>50092</v>
      </c>
      <c r="B684">
        <v>1</v>
      </c>
      <c r="C684" s="161" t="s">
        <v>932</v>
      </c>
      <c r="D684">
        <v>0</v>
      </c>
      <c r="E684">
        <v>13000000</v>
      </c>
      <c r="F684">
        <v>240</v>
      </c>
      <c r="G684">
        <v>0</v>
      </c>
      <c r="H684" s="167">
        <v>1137</v>
      </c>
      <c r="I684" s="167">
        <v>6</v>
      </c>
      <c r="J684" s="181" t="s">
        <v>921</v>
      </c>
      <c r="K684" s="171">
        <v>0</v>
      </c>
      <c r="L684">
        <v>500</v>
      </c>
      <c r="M684" t="b">
        <f t="shared" si="11"/>
        <v>0</v>
      </c>
    </row>
    <row r="685" customHeight="1" spans="1:13">
      <c r="A685">
        <v>50093</v>
      </c>
      <c r="B685">
        <v>4</v>
      </c>
      <c r="C685" s="161" t="s">
        <v>928</v>
      </c>
      <c r="D685">
        <v>100000</v>
      </c>
      <c r="E685">
        <v>5</v>
      </c>
      <c r="F685">
        <v>0</v>
      </c>
      <c r="G685">
        <v>0</v>
      </c>
      <c r="H685">
        <v>1149</v>
      </c>
      <c r="I685">
        <v>180</v>
      </c>
      <c r="J685" t="s">
        <v>931</v>
      </c>
      <c r="K685" s="171">
        <v>0</v>
      </c>
      <c r="L685">
        <v>500</v>
      </c>
      <c r="M685">
        <f t="shared" si="11"/>
        <v>1</v>
      </c>
    </row>
    <row r="686" customHeight="1" spans="1:13">
      <c r="A686">
        <v>50094</v>
      </c>
      <c r="B686">
        <v>5</v>
      </c>
      <c r="C686" s="161" t="s">
        <v>955</v>
      </c>
      <c r="D686">
        <v>0</v>
      </c>
      <c r="E686">
        <v>4</v>
      </c>
      <c r="F686">
        <v>0</v>
      </c>
      <c r="G686">
        <v>0</v>
      </c>
      <c r="H686">
        <v>1137</v>
      </c>
      <c r="I686" s="167">
        <v>5</v>
      </c>
      <c r="J686" t="s">
        <v>921</v>
      </c>
      <c r="K686" s="171">
        <v>0</v>
      </c>
      <c r="L686">
        <v>500</v>
      </c>
      <c r="M686" t="b">
        <f t="shared" si="11"/>
        <v>0</v>
      </c>
    </row>
    <row r="687" customHeight="1" spans="1:13">
      <c r="A687">
        <v>50095</v>
      </c>
      <c r="B687">
        <v>1</v>
      </c>
      <c r="C687" s="161" t="s">
        <v>930</v>
      </c>
      <c r="D687">
        <v>0</v>
      </c>
      <c r="E687">
        <v>25000000</v>
      </c>
      <c r="F687">
        <v>0</v>
      </c>
      <c r="G687">
        <v>0</v>
      </c>
      <c r="H687">
        <v>1147</v>
      </c>
      <c r="I687">
        <v>180</v>
      </c>
      <c r="J687" t="s">
        <v>926</v>
      </c>
      <c r="K687" s="171">
        <v>0</v>
      </c>
      <c r="L687">
        <v>500</v>
      </c>
      <c r="M687" t="b">
        <f t="shared" si="11"/>
        <v>0</v>
      </c>
    </row>
    <row r="688" customHeight="1" spans="1:13">
      <c r="A688">
        <v>50096</v>
      </c>
      <c r="B688">
        <v>1</v>
      </c>
      <c r="C688" s="161" t="s">
        <v>932</v>
      </c>
      <c r="D688">
        <v>0</v>
      </c>
      <c r="E688">
        <v>13500000</v>
      </c>
      <c r="F688">
        <v>240</v>
      </c>
      <c r="G688">
        <v>0</v>
      </c>
      <c r="H688" s="167">
        <v>1137</v>
      </c>
      <c r="I688" s="167">
        <v>6</v>
      </c>
      <c r="J688" s="181" t="s">
        <v>921</v>
      </c>
      <c r="K688" s="171">
        <v>0</v>
      </c>
      <c r="L688">
        <v>500</v>
      </c>
      <c r="M688" t="b">
        <f t="shared" si="11"/>
        <v>0</v>
      </c>
    </row>
    <row r="689" customHeight="1" spans="1:13">
      <c r="A689">
        <v>50097</v>
      </c>
      <c r="B689">
        <v>2</v>
      </c>
      <c r="C689" s="161" t="s">
        <v>925</v>
      </c>
      <c r="D689">
        <v>11026</v>
      </c>
      <c r="E689">
        <v>4</v>
      </c>
      <c r="F689">
        <v>0</v>
      </c>
      <c r="G689">
        <v>0</v>
      </c>
      <c r="H689">
        <v>1152</v>
      </c>
      <c r="I689">
        <v>38</v>
      </c>
      <c r="J689" t="s">
        <v>937</v>
      </c>
      <c r="K689" s="171">
        <v>11026</v>
      </c>
      <c r="L689">
        <v>500</v>
      </c>
      <c r="M689" t="b">
        <f t="shared" si="11"/>
        <v>0</v>
      </c>
    </row>
    <row r="690" customHeight="1" spans="1:13">
      <c r="A690">
        <v>50098</v>
      </c>
      <c r="B690">
        <v>9</v>
      </c>
      <c r="C690" s="161" t="s">
        <v>934</v>
      </c>
      <c r="D690">
        <v>0</v>
      </c>
      <c r="E690">
        <v>1200000</v>
      </c>
      <c r="F690">
        <v>0</v>
      </c>
      <c r="G690">
        <v>0</v>
      </c>
      <c r="H690">
        <v>1137</v>
      </c>
      <c r="I690" s="167">
        <v>5</v>
      </c>
      <c r="J690" t="s">
        <v>921</v>
      </c>
      <c r="K690" s="171">
        <v>0</v>
      </c>
      <c r="L690">
        <v>500</v>
      </c>
      <c r="M690" t="b">
        <f t="shared" si="11"/>
        <v>0</v>
      </c>
    </row>
    <row r="691" customHeight="1" spans="1:13">
      <c r="A691">
        <v>50099</v>
      </c>
      <c r="B691">
        <v>1</v>
      </c>
      <c r="C691" s="161" t="s">
        <v>930</v>
      </c>
      <c r="D691">
        <v>0</v>
      </c>
      <c r="E691">
        <v>26000000</v>
      </c>
      <c r="F691">
        <v>0</v>
      </c>
      <c r="G691">
        <v>0</v>
      </c>
      <c r="H691">
        <v>1150</v>
      </c>
      <c r="I691">
        <v>38</v>
      </c>
      <c r="J691" t="s">
        <v>935</v>
      </c>
      <c r="K691" s="171">
        <v>0</v>
      </c>
      <c r="L691">
        <v>500</v>
      </c>
      <c r="M691" t="b">
        <f t="shared" si="11"/>
        <v>0</v>
      </c>
    </row>
    <row r="692" customHeight="1" spans="1:13">
      <c r="A692">
        <v>50100</v>
      </c>
      <c r="B692">
        <v>1</v>
      </c>
      <c r="C692" s="161" t="s">
        <v>932</v>
      </c>
      <c r="D692">
        <v>0</v>
      </c>
      <c r="E692">
        <v>14000000</v>
      </c>
      <c r="F692">
        <v>240</v>
      </c>
      <c r="G692">
        <v>0</v>
      </c>
      <c r="H692" s="167">
        <v>1137</v>
      </c>
      <c r="I692" s="167">
        <v>6</v>
      </c>
      <c r="J692" s="181" t="s">
        <v>921</v>
      </c>
      <c r="K692" s="171">
        <v>0</v>
      </c>
      <c r="L692">
        <v>500</v>
      </c>
      <c r="M692" t="b">
        <f t="shared" si="11"/>
        <v>0</v>
      </c>
    </row>
    <row r="693" customHeight="1" spans="1:13">
      <c r="A693">
        <v>51001</v>
      </c>
      <c r="B693">
        <v>2</v>
      </c>
      <c r="C693" s="161" t="s">
        <v>925</v>
      </c>
      <c r="D693">
        <v>11020</v>
      </c>
      <c r="E693">
        <v>5</v>
      </c>
      <c r="F693">
        <v>0</v>
      </c>
      <c r="G693">
        <v>0</v>
      </c>
      <c r="H693">
        <v>47005</v>
      </c>
      <c r="I693">
        <v>180</v>
      </c>
      <c r="J693" t="s">
        <v>984</v>
      </c>
      <c r="K693" s="171">
        <v>11020</v>
      </c>
      <c r="L693">
        <v>600</v>
      </c>
      <c r="M693" t="b">
        <f t="shared" si="11"/>
        <v>0</v>
      </c>
    </row>
    <row r="694" customHeight="1" spans="1:13">
      <c r="A694">
        <v>51002</v>
      </c>
      <c r="B694">
        <v>4</v>
      </c>
      <c r="C694" s="161" t="s">
        <v>928</v>
      </c>
      <c r="D694">
        <v>50000</v>
      </c>
      <c r="E694">
        <v>15</v>
      </c>
      <c r="F694">
        <v>0</v>
      </c>
      <c r="G694">
        <v>0</v>
      </c>
      <c r="H694">
        <v>1137</v>
      </c>
      <c r="I694" s="167">
        <v>5</v>
      </c>
      <c r="J694" t="s">
        <v>921</v>
      </c>
      <c r="K694" s="171">
        <v>0</v>
      </c>
      <c r="L694">
        <v>600</v>
      </c>
      <c r="M694">
        <f t="shared" si="11"/>
        <v>1</v>
      </c>
    </row>
    <row r="695" customHeight="1" spans="1:13">
      <c r="A695">
        <v>51003</v>
      </c>
      <c r="B695">
        <v>1</v>
      </c>
      <c r="C695" s="161" t="s">
        <v>930</v>
      </c>
      <c r="D695">
        <v>0</v>
      </c>
      <c r="E695">
        <v>28000000</v>
      </c>
      <c r="F695">
        <v>0</v>
      </c>
      <c r="G695">
        <v>0</v>
      </c>
      <c r="H695">
        <v>47005</v>
      </c>
      <c r="I695">
        <v>180</v>
      </c>
      <c r="J695" t="s">
        <v>984</v>
      </c>
      <c r="K695" s="171">
        <v>0</v>
      </c>
      <c r="L695">
        <v>600</v>
      </c>
      <c r="M695" t="b">
        <f t="shared" si="11"/>
        <v>0</v>
      </c>
    </row>
    <row r="696" customHeight="1" spans="1:13">
      <c r="A696">
        <v>51004</v>
      </c>
      <c r="B696">
        <v>1</v>
      </c>
      <c r="C696" s="161" t="s">
        <v>932</v>
      </c>
      <c r="D696">
        <v>0</v>
      </c>
      <c r="E696">
        <v>15000000</v>
      </c>
      <c r="F696">
        <v>240</v>
      </c>
      <c r="G696">
        <v>0</v>
      </c>
      <c r="H696">
        <v>1137</v>
      </c>
      <c r="I696" s="167">
        <v>5</v>
      </c>
      <c r="J696" t="s">
        <v>921</v>
      </c>
      <c r="K696" s="171">
        <v>0</v>
      </c>
      <c r="L696">
        <v>600</v>
      </c>
      <c r="M696" t="b">
        <f t="shared" si="11"/>
        <v>0</v>
      </c>
    </row>
    <row r="697" customHeight="1" spans="1:13">
      <c r="A697">
        <v>51005</v>
      </c>
      <c r="B697">
        <v>3</v>
      </c>
      <c r="C697" s="161" t="s">
        <v>990</v>
      </c>
      <c r="D697">
        <v>0</v>
      </c>
      <c r="E697">
        <v>1</v>
      </c>
      <c r="F697">
        <v>0</v>
      </c>
      <c r="G697">
        <v>0</v>
      </c>
      <c r="H697">
        <v>47005</v>
      </c>
      <c r="I697">
        <v>180</v>
      </c>
      <c r="J697" t="s">
        <v>984</v>
      </c>
      <c r="K697" s="171">
        <v>0</v>
      </c>
      <c r="L697">
        <v>600</v>
      </c>
      <c r="M697" t="b">
        <f t="shared" si="11"/>
        <v>0</v>
      </c>
    </row>
    <row r="698" customHeight="1" spans="1:13">
      <c r="A698">
        <v>51006</v>
      </c>
      <c r="B698">
        <v>5</v>
      </c>
      <c r="C698" s="161" t="s">
        <v>955</v>
      </c>
      <c r="D698">
        <v>0</v>
      </c>
      <c r="E698">
        <v>4</v>
      </c>
      <c r="F698">
        <v>0</v>
      </c>
      <c r="G698">
        <v>0</v>
      </c>
      <c r="H698">
        <v>1137</v>
      </c>
      <c r="I698" s="167">
        <v>5</v>
      </c>
      <c r="J698" t="s">
        <v>921</v>
      </c>
      <c r="K698" s="171">
        <v>0</v>
      </c>
      <c r="L698">
        <v>600</v>
      </c>
      <c r="M698" t="b">
        <f t="shared" si="11"/>
        <v>0</v>
      </c>
    </row>
    <row r="699" customHeight="1" spans="1:13">
      <c r="A699">
        <v>51007</v>
      </c>
      <c r="B699">
        <v>1</v>
      </c>
      <c r="C699" s="161" t="s">
        <v>930</v>
      </c>
      <c r="D699">
        <v>0</v>
      </c>
      <c r="E699">
        <v>28000000</v>
      </c>
      <c r="F699">
        <v>0</v>
      </c>
      <c r="G699">
        <v>0</v>
      </c>
      <c r="H699">
        <v>47005</v>
      </c>
      <c r="I699">
        <v>180</v>
      </c>
      <c r="J699" t="s">
        <v>984</v>
      </c>
      <c r="K699" s="171">
        <v>0</v>
      </c>
      <c r="L699">
        <v>600</v>
      </c>
      <c r="M699" t="b">
        <f t="shared" si="11"/>
        <v>0</v>
      </c>
    </row>
    <row r="700" customHeight="1" spans="1:13">
      <c r="A700">
        <v>51008</v>
      </c>
      <c r="B700">
        <v>1</v>
      </c>
      <c r="C700" s="161" t="s">
        <v>932</v>
      </c>
      <c r="D700">
        <v>0</v>
      </c>
      <c r="E700">
        <v>15000000</v>
      </c>
      <c r="F700">
        <v>240</v>
      </c>
      <c r="G700">
        <v>0</v>
      </c>
      <c r="H700">
        <v>1137</v>
      </c>
      <c r="I700" s="167">
        <v>5</v>
      </c>
      <c r="J700" t="s">
        <v>921</v>
      </c>
      <c r="K700" s="171">
        <v>0</v>
      </c>
      <c r="L700">
        <v>600</v>
      </c>
      <c r="M700" t="b">
        <f t="shared" si="11"/>
        <v>0</v>
      </c>
    </row>
    <row r="701" customHeight="1" spans="1:13">
      <c r="A701">
        <v>51009</v>
      </c>
      <c r="B701">
        <v>2</v>
      </c>
      <c r="C701" s="161" t="s">
        <v>925</v>
      </c>
      <c r="D701">
        <v>11085</v>
      </c>
      <c r="E701">
        <v>30</v>
      </c>
      <c r="F701">
        <v>0</v>
      </c>
      <c r="G701">
        <v>0</v>
      </c>
      <c r="H701">
        <v>47005</v>
      </c>
      <c r="I701">
        <v>180</v>
      </c>
      <c r="J701" t="s">
        <v>984</v>
      </c>
      <c r="K701" s="171">
        <v>11085</v>
      </c>
      <c r="L701">
        <v>600</v>
      </c>
      <c r="M701" t="b">
        <f t="shared" si="11"/>
        <v>0</v>
      </c>
    </row>
    <row r="702" customHeight="1" spans="1:13">
      <c r="A702">
        <v>51010</v>
      </c>
      <c r="B702">
        <v>9</v>
      </c>
      <c r="C702" s="161" t="s">
        <v>934</v>
      </c>
      <c r="D702">
        <v>0</v>
      </c>
      <c r="E702">
        <v>1500000</v>
      </c>
      <c r="F702">
        <v>0</v>
      </c>
      <c r="G702">
        <v>0</v>
      </c>
      <c r="H702">
        <v>1137</v>
      </c>
      <c r="I702" s="167">
        <v>5</v>
      </c>
      <c r="J702" t="s">
        <v>921</v>
      </c>
      <c r="K702" s="171">
        <v>0</v>
      </c>
      <c r="L702">
        <v>600</v>
      </c>
      <c r="M702" t="b">
        <f t="shared" si="11"/>
        <v>0</v>
      </c>
    </row>
    <row r="703" customHeight="1" spans="1:13">
      <c r="A703">
        <v>51011</v>
      </c>
      <c r="B703">
        <v>1</v>
      </c>
      <c r="C703" s="161" t="s">
        <v>930</v>
      </c>
      <c r="D703">
        <v>0</v>
      </c>
      <c r="E703">
        <v>28000000</v>
      </c>
      <c r="F703">
        <v>0</v>
      </c>
      <c r="G703">
        <v>0</v>
      </c>
      <c r="H703">
        <v>47005</v>
      </c>
      <c r="I703">
        <v>180</v>
      </c>
      <c r="J703" t="s">
        <v>984</v>
      </c>
      <c r="K703" s="171">
        <v>0</v>
      </c>
      <c r="L703">
        <v>600</v>
      </c>
      <c r="M703" t="b">
        <f t="shared" si="11"/>
        <v>0</v>
      </c>
    </row>
    <row r="704" customHeight="1" spans="1:13">
      <c r="A704">
        <v>51012</v>
      </c>
      <c r="B704">
        <v>1</v>
      </c>
      <c r="C704" s="161" t="s">
        <v>932</v>
      </c>
      <c r="D704">
        <v>0</v>
      </c>
      <c r="E704">
        <v>15000000</v>
      </c>
      <c r="F704">
        <v>240</v>
      </c>
      <c r="G704">
        <v>0</v>
      </c>
      <c r="H704">
        <v>1137</v>
      </c>
      <c r="I704" s="167">
        <v>5</v>
      </c>
      <c r="J704" t="s">
        <v>921</v>
      </c>
      <c r="K704" s="171">
        <v>0</v>
      </c>
      <c r="L704">
        <v>600</v>
      </c>
      <c r="M704" t="b">
        <f t="shared" si="11"/>
        <v>0</v>
      </c>
    </row>
    <row r="705" customHeight="1" spans="1:13">
      <c r="A705">
        <v>51013</v>
      </c>
      <c r="B705">
        <v>2</v>
      </c>
      <c r="C705" s="161" t="s">
        <v>925</v>
      </c>
      <c r="D705">
        <v>11086</v>
      </c>
      <c r="E705">
        <v>30</v>
      </c>
      <c r="F705">
        <v>0</v>
      </c>
      <c r="G705">
        <v>0</v>
      </c>
      <c r="H705">
        <v>47005</v>
      </c>
      <c r="I705">
        <v>180</v>
      </c>
      <c r="J705" t="s">
        <v>984</v>
      </c>
      <c r="K705" s="171">
        <v>11086</v>
      </c>
      <c r="L705">
        <v>600</v>
      </c>
      <c r="M705" t="b">
        <f t="shared" si="11"/>
        <v>0</v>
      </c>
    </row>
    <row r="706" customHeight="1" spans="1:13">
      <c r="A706">
        <v>51014</v>
      </c>
      <c r="B706">
        <v>4</v>
      </c>
      <c r="C706" s="161" t="s">
        <v>928</v>
      </c>
      <c r="D706">
        <v>25000</v>
      </c>
      <c r="E706">
        <v>20</v>
      </c>
      <c r="F706">
        <v>0</v>
      </c>
      <c r="G706">
        <v>0</v>
      </c>
      <c r="H706">
        <v>1137</v>
      </c>
      <c r="I706" s="167">
        <v>5</v>
      </c>
      <c r="J706" t="s">
        <v>921</v>
      </c>
      <c r="K706" s="171">
        <v>0</v>
      </c>
      <c r="L706">
        <v>600</v>
      </c>
      <c r="M706">
        <f t="shared" ref="M706:M741" si="12">IF(D706&lt;&gt;K706,1)</f>
        <v>1</v>
      </c>
    </row>
    <row r="707" customHeight="1" spans="1:13">
      <c r="A707">
        <v>51015</v>
      </c>
      <c r="B707">
        <v>1</v>
      </c>
      <c r="C707" s="161" t="s">
        <v>930</v>
      </c>
      <c r="D707">
        <v>0</v>
      </c>
      <c r="E707">
        <v>28000000</v>
      </c>
      <c r="F707">
        <v>0</v>
      </c>
      <c r="G707">
        <v>0</v>
      </c>
      <c r="H707">
        <v>47005</v>
      </c>
      <c r="I707">
        <v>180</v>
      </c>
      <c r="J707" t="s">
        <v>984</v>
      </c>
      <c r="K707" s="171">
        <v>0</v>
      </c>
      <c r="L707">
        <v>600</v>
      </c>
      <c r="M707" t="b">
        <f t="shared" si="12"/>
        <v>0</v>
      </c>
    </row>
    <row r="708" customHeight="1" spans="1:13">
      <c r="A708">
        <v>51016</v>
      </c>
      <c r="B708">
        <v>1</v>
      </c>
      <c r="C708" s="161" t="s">
        <v>932</v>
      </c>
      <c r="D708">
        <v>0</v>
      </c>
      <c r="E708">
        <v>15000000</v>
      </c>
      <c r="F708">
        <v>240</v>
      </c>
      <c r="G708">
        <v>0</v>
      </c>
      <c r="H708">
        <v>1137</v>
      </c>
      <c r="I708" s="167">
        <v>5</v>
      </c>
      <c r="J708" t="s">
        <v>921</v>
      </c>
      <c r="K708" s="171">
        <v>0</v>
      </c>
      <c r="L708">
        <v>600</v>
      </c>
      <c r="M708" t="b">
        <f t="shared" si="12"/>
        <v>0</v>
      </c>
    </row>
    <row r="709" customHeight="1" spans="1:13">
      <c r="A709">
        <v>51017</v>
      </c>
      <c r="B709">
        <v>3</v>
      </c>
      <c r="C709" s="161" t="s">
        <v>990</v>
      </c>
      <c r="D709">
        <v>0</v>
      </c>
      <c r="E709">
        <v>1</v>
      </c>
      <c r="F709">
        <v>0</v>
      </c>
      <c r="G709">
        <v>0</v>
      </c>
      <c r="H709">
        <v>47005</v>
      </c>
      <c r="I709">
        <v>180</v>
      </c>
      <c r="J709" t="s">
        <v>984</v>
      </c>
      <c r="K709" s="171">
        <v>0</v>
      </c>
      <c r="L709">
        <v>600</v>
      </c>
      <c r="M709" t="b">
        <f t="shared" si="12"/>
        <v>0</v>
      </c>
    </row>
    <row r="710" customHeight="1" spans="1:13">
      <c r="A710">
        <v>51018</v>
      </c>
      <c r="B710">
        <v>5</v>
      </c>
      <c r="C710" s="161" t="s">
        <v>955</v>
      </c>
      <c r="D710">
        <v>0</v>
      </c>
      <c r="E710">
        <v>4</v>
      </c>
      <c r="F710">
        <v>0</v>
      </c>
      <c r="G710">
        <v>0</v>
      </c>
      <c r="H710">
        <v>1137</v>
      </c>
      <c r="I710" s="167">
        <v>5</v>
      </c>
      <c r="J710" t="s">
        <v>921</v>
      </c>
      <c r="K710" s="171">
        <v>0</v>
      </c>
      <c r="L710">
        <v>600</v>
      </c>
      <c r="M710" t="b">
        <f t="shared" si="12"/>
        <v>0</v>
      </c>
    </row>
    <row r="711" customHeight="1" spans="1:13">
      <c r="A711">
        <v>51019</v>
      </c>
      <c r="B711">
        <v>1</v>
      </c>
      <c r="C711" s="161" t="s">
        <v>930</v>
      </c>
      <c r="D711">
        <v>0</v>
      </c>
      <c r="E711">
        <v>28000000</v>
      </c>
      <c r="F711">
        <v>0</v>
      </c>
      <c r="G711">
        <v>0</v>
      </c>
      <c r="H711">
        <v>47005</v>
      </c>
      <c r="I711">
        <v>180</v>
      </c>
      <c r="J711" t="s">
        <v>984</v>
      </c>
      <c r="K711" s="171">
        <v>0</v>
      </c>
      <c r="L711">
        <v>600</v>
      </c>
      <c r="M711" t="b">
        <f t="shared" si="12"/>
        <v>0</v>
      </c>
    </row>
    <row r="712" customHeight="1" spans="1:13">
      <c r="A712">
        <v>51020</v>
      </c>
      <c r="B712">
        <v>1</v>
      </c>
      <c r="C712" s="161" t="s">
        <v>932</v>
      </c>
      <c r="D712">
        <v>0</v>
      </c>
      <c r="E712">
        <v>15000000</v>
      </c>
      <c r="F712">
        <v>240</v>
      </c>
      <c r="G712">
        <v>0</v>
      </c>
      <c r="H712">
        <v>1137</v>
      </c>
      <c r="I712" s="167">
        <v>5</v>
      </c>
      <c r="J712" t="s">
        <v>921</v>
      </c>
      <c r="K712" s="171">
        <v>0</v>
      </c>
      <c r="L712">
        <v>600</v>
      </c>
      <c r="M712" t="b">
        <f t="shared" si="12"/>
        <v>0</v>
      </c>
    </row>
    <row r="713" customHeight="1" spans="1:13">
      <c r="A713">
        <v>51021</v>
      </c>
      <c r="B713">
        <v>2</v>
      </c>
      <c r="C713" s="161" t="s">
        <v>925</v>
      </c>
      <c r="D713">
        <v>11087</v>
      </c>
      <c r="E713">
        <v>5</v>
      </c>
      <c r="F713">
        <v>0</v>
      </c>
      <c r="G713">
        <v>0</v>
      </c>
      <c r="H713">
        <v>47005</v>
      </c>
      <c r="I713">
        <v>180</v>
      </c>
      <c r="J713" t="s">
        <v>984</v>
      </c>
      <c r="K713" s="171">
        <v>11087</v>
      </c>
      <c r="L713">
        <v>600</v>
      </c>
      <c r="M713" t="b">
        <f t="shared" si="12"/>
        <v>0</v>
      </c>
    </row>
    <row r="714" customHeight="1" spans="1:13">
      <c r="A714">
        <v>51022</v>
      </c>
      <c r="B714">
        <v>9</v>
      </c>
      <c r="C714" s="161" t="s">
        <v>934</v>
      </c>
      <c r="D714">
        <v>0</v>
      </c>
      <c r="E714">
        <v>1500000</v>
      </c>
      <c r="F714">
        <v>0</v>
      </c>
      <c r="G714">
        <v>0</v>
      </c>
      <c r="H714">
        <v>1137</v>
      </c>
      <c r="I714" s="167">
        <v>5</v>
      </c>
      <c r="J714" t="s">
        <v>921</v>
      </c>
      <c r="K714" s="171">
        <v>0</v>
      </c>
      <c r="L714">
        <v>600</v>
      </c>
      <c r="M714" t="b">
        <f t="shared" si="12"/>
        <v>0</v>
      </c>
    </row>
    <row r="715" customHeight="1" spans="1:13">
      <c r="A715">
        <v>51023</v>
      </c>
      <c r="B715">
        <v>1</v>
      </c>
      <c r="C715" s="161" t="s">
        <v>930</v>
      </c>
      <c r="D715">
        <v>0</v>
      </c>
      <c r="E715">
        <v>28000000</v>
      </c>
      <c r="F715">
        <v>0</v>
      </c>
      <c r="G715">
        <v>0</v>
      </c>
      <c r="H715">
        <v>47005</v>
      </c>
      <c r="I715">
        <v>180</v>
      </c>
      <c r="J715" t="s">
        <v>984</v>
      </c>
      <c r="K715" s="171">
        <v>0</v>
      </c>
      <c r="L715">
        <v>600</v>
      </c>
      <c r="M715" t="b">
        <f t="shared" si="12"/>
        <v>0</v>
      </c>
    </row>
    <row r="716" customHeight="1" spans="1:13">
      <c r="A716">
        <v>51024</v>
      </c>
      <c r="B716">
        <v>1</v>
      </c>
      <c r="C716" s="161" t="s">
        <v>932</v>
      </c>
      <c r="D716">
        <v>0</v>
      </c>
      <c r="E716">
        <v>15000000</v>
      </c>
      <c r="F716">
        <v>240</v>
      </c>
      <c r="G716">
        <v>0</v>
      </c>
      <c r="H716">
        <v>1137</v>
      </c>
      <c r="I716" s="167">
        <v>5</v>
      </c>
      <c r="J716" t="s">
        <v>921</v>
      </c>
      <c r="K716" s="171">
        <v>0</v>
      </c>
      <c r="L716">
        <v>600</v>
      </c>
      <c r="M716" t="b">
        <f t="shared" si="12"/>
        <v>0</v>
      </c>
    </row>
    <row r="717" customHeight="1" spans="1:13">
      <c r="A717">
        <v>51025</v>
      </c>
      <c r="B717">
        <v>2</v>
      </c>
      <c r="C717" s="161" t="s">
        <v>925</v>
      </c>
      <c r="D717">
        <v>11089</v>
      </c>
      <c r="E717">
        <v>3</v>
      </c>
      <c r="F717">
        <v>0</v>
      </c>
      <c r="G717">
        <v>0</v>
      </c>
      <c r="H717">
        <v>47005</v>
      </c>
      <c r="I717">
        <v>180</v>
      </c>
      <c r="J717" t="s">
        <v>984</v>
      </c>
      <c r="K717" s="171">
        <v>11089</v>
      </c>
      <c r="L717">
        <v>600</v>
      </c>
      <c r="M717" t="b">
        <f t="shared" si="12"/>
        <v>0</v>
      </c>
    </row>
    <row r="718" customHeight="1" spans="1:13">
      <c r="A718">
        <v>51026</v>
      </c>
      <c r="B718">
        <v>4</v>
      </c>
      <c r="C718" s="161" t="s">
        <v>928</v>
      </c>
      <c r="D718">
        <v>30000</v>
      </c>
      <c r="E718">
        <v>30</v>
      </c>
      <c r="F718">
        <v>0</v>
      </c>
      <c r="G718">
        <v>0</v>
      </c>
      <c r="H718">
        <v>1137</v>
      </c>
      <c r="I718" s="167">
        <v>5</v>
      </c>
      <c r="J718" t="s">
        <v>921</v>
      </c>
      <c r="K718" s="171">
        <v>0</v>
      </c>
      <c r="L718">
        <v>600</v>
      </c>
      <c r="M718">
        <f t="shared" si="12"/>
        <v>1</v>
      </c>
    </row>
    <row r="719" customHeight="1" spans="1:13">
      <c r="A719">
        <v>51027</v>
      </c>
      <c r="B719">
        <v>1</v>
      </c>
      <c r="C719" s="161" t="s">
        <v>930</v>
      </c>
      <c r="D719">
        <v>0</v>
      </c>
      <c r="E719">
        <v>28000000</v>
      </c>
      <c r="F719">
        <v>0</v>
      </c>
      <c r="G719">
        <v>0</v>
      </c>
      <c r="H719">
        <v>47005</v>
      </c>
      <c r="I719">
        <v>180</v>
      </c>
      <c r="J719" t="s">
        <v>984</v>
      </c>
      <c r="K719" s="171">
        <v>0</v>
      </c>
      <c r="L719">
        <v>600</v>
      </c>
      <c r="M719" t="b">
        <f t="shared" si="12"/>
        <v>0</v>
      </c>
    </row>
    <row r="720" customHeight="1" spans="1:13">
      <c r="A720">
        <v>51028</v>
      </c>
      <c r="B720">
        <v>1</v>
      </c>
      <c r="C720" s="161" t="s">
        <v>932</v>
      </c>
      <c r="D720">
        <v>0</v>
      </c>
      <c r="E720">
        <v>15000000</v>
      </c>
      <c r="F720">
        <v>240</v>
      </c>
      <c r="G720">
        <v>0</v>
      </c>
      <c r="H720">
        <v>1137</v>
      </c>
      <c r="I720" s="167">
        <v>5</v>
      </c>
      <c r="J720" t="s">
        <v>921</v>
      </c>
      <c r="K720" s="171">
        <v>0</v>
      </c>
      <c r="L720">
        <v>600</v>
      </c>
      <c r="M720" t="b">
        <f t="shared" si="12"/>
        <v>0</v>
      </c>
    </row>
    <row r="721" customHeight="1" spans="1:13">
      <c r="A721">
        <v>51029</v>
      </c>
      <c r="B721">
        <v>3</v>
      </c>
      <c r="C721" s="161" t="s">
        <v>990</v>
      </c>
      <c r="D721">
        <v>0</v>
      </c>
      <c r="E721">
        <v>1</v>
      </c>
      <c r="F721">
        <v>0</v>
      </c>
      <c r="G721">
        <v>0</v>
      </c>
      <c r="H721">
        <v>47005</v>
      </c>
      <c r="I721">
        <v>180</v>
      </c>
      <c r="J721" t="s">
        <v>984</v>
      </c>
      <c r="K721" s="171">
        <v>0</v>
      </c>
      <c r="L721">
        <v>600</v>
      </c>
      <c r="M721" t="b">
        <f t="shared" si="12"/>
        <v>0</v>
      </c>
    </row>
    <row r="722" customHeight="1" spans="1:13">
      <c r="A722">
        <v>51030</v>
      </c>
      <c r="B722">
        <v>5</v>
      </c>
      <c r="C722" s="161" t="s">
        <v>955</v>
      </c>
      <c r="D722">
        <v>0</v>
      </c>
      <c r="E722">
        <v>4</v>
      </c>
      <c r="F722">
        <v>0</v>
      </c>
      <c r="G722">
        <v>0</v>
      </c>
      <c r="H722">
        <v>1137</v>
      </c>
      <c r="I722" s="167">
        <v>5</v>
      </c>
      <c r="J722" t="s">
        <v>921</v>
      </c>
      <c r="K722" s="171">
        <v>0</v>
      </c>
      <c r="L722">
        <v>600</v>
      </c>
      <c r="M722" t="b">
        <f t="shared" si="12"/>
        <v>0</v>
      </c>
    </row>
    <row r="723" customHeight="1" spans="1:13">
      <c r="A723">
        <v>51031</v>
      </c>
      <c r="B723">
        <v>1</v>
      </c>
      <c r="C723" s="161" t="s">
        <v>930</v>
      </c>
      <c r="D723">
        <v>0</v>
      </c>
      <c r="E723">
        <v>28000000</v>
      </c>
      <c r="F723">
        <v>0</v>
      </c>
      <c r="G723">
        <v>0</v>
      </c>
      <c r="H723">
        <v>47005</v>
      </c>
      <c r="I723">
        <v>180</v>
      </c>
      <c r="J723" t="s">
        <v>984</v>
      </c>
      <c r="K723" s="171">
        <v>0</v>
      </c>
      <c r="L723">
        <v>600</v>
      </c>
      <c r="M723" t="b">
        <f t="shared" si="12"/>
        <v>0</v>
      </c>
    </row>
    <row r="724" customHeight="1" spans="1:13">
      <c r="A724">
        <v>51032</v>
      </c>
      <c r="B724">
        <v>1</v>
      </c>
      <c r="C724" s="161" t="s">
        <v>932</v>
      </c>
      <c r="D724">
        <v>0</v>
      </c>
      <c r="E724">
        <v>15000000</v>
      </c>
      <c r="F724">
        <v>240</v>
      </c>
      <c r="G724">
        <v>0</v>
      </c>
      <c r="H724">
        <v>1137</v>
      </c>
      <c r="I724" s="167">
        <v>5</v>
      </c>
      <c r="J724" t="s">
        <v>921</v>
      </c>
      <c r="K724" s="171">
        <v>0</v>
      </c>
      <c r="L724">
        <v>600</v>
      </c>
      <c r="M724" t="b">
        <f t="shared" si="12"/>
        <v>0</v>
      </c>
    </row>
    <row r="725" customHeight="1" spans="1:13">
      <c r="A725">
        <v>51033</v>
      </c>
      <c r="B725">
        <v>2</v>
      </c>
      <c r="C725" s="161" t="s">
        <v>925</v>
      </c>
      <c r="D725">
        <v>11012</v>
      </c>
      <c r="E725">
        <v>6</v>
      </c>
      <c r="F725">
        <v>0</v>
      </c>
      <c r="G725">
        <v>0</v>
      </c>
      <c r="H725">
        <v>47005</v>
      </c>
      <c r="I725">
        <v>180</v>
      </c>
      <c r="J725" t="s">
        <v>984</v>
      </c>
      <c r="K725" s="171">
        <v>11012</v>
      </c>
      <c r="L725">
        <v>600</v>
      </c>
      <c r="M725" t="b">
        <f t="shared" si="12"/>
        <v>0</v>
      </c>
    </row>
    <row r="726" customHeight="1" spans="1:13">
      <c r="A726">
        <v>51034</v>
      </c>
      <c r="B726">
        <v>9</v>
      </c>
      <c r="C726" s="161" t="s">
        <v>934</v>
      </c>
      <c r="D726">
        <v>0</v>
      </c>
      <c r="E726">
        <v>1500000</v>
      </c>
      <c r="F726">
        <v>0</v>
      </c>
      <c r="G726">
        <v>0</v>
      </c>
      <c r="H726">
        <v>1137</v>
      </c>
      <c r="I726" s="167">
        <v>5</v>
      </c>
      <c r="J726" t="s">
        <v>921</v>
      </c>
      <c r="K726" s="171">
        <v>0</v>
      </c>
      <c r="L726">
        <v>600</v>
      </c>
      <c r="M726" t="b">
        <f t="shared" si="12"/>
        <v>0</v>
      </c>
    </row>
    <row r="727" customHeight="1" spans="1:13">
      <c r="A727">
        <v>51035</v>
      </c>
      <c r="B727">
        <v>1</v>
      </c>
      <c r="C727" s="161" t="s">
        <v>930</v>
      </c>
      <c r="D727">
        <v>0</v>
      </c>
      <c r="E727">
        <v>28000000</v>
      </c>
      <c r="F727">
        <v>0</v>
      </c>
      <c r="G727">
        <v>0</v>
      </c>
      <c r="H727">
        <v>47005</v>
      </c>
      <c r="I727">
        <v>180</v>
      </c>
      <c r="J727" t="s">
        <v>984</v>
      </c>
      <c r="K727" s="171">
        <v>0</v>
      </c>
      <c r="L727">
        <v>600</v>
      </c>
      <c r="M727" t="b">
        <f t="shared" si="12"/>
        <v>0</v>
      </c>
    </row>
    <row r="728" customHeight="1" spans="1:13">
      <c r="A728">
        <v>51036</v>
      </c>
      <c r="B728">
        <v>1</v>
      </c>
      <c r="C728" s="161" t="s">
        <v>932</v>
      </c>
      <c r="D728">
        <v>0</v>
      </c>
      <c r="E728">
        <v>15000000</v>
      </c>
      <c r="F728">
        <v>240</v>
      </c>
      <c r="G728">
        <v>0</v>
      </c>
      <c r="H728">
        <v>1137</v>
      </c>
      <c r="I728" s="167">
        <v>5</v>
      </c>
      <c r="J728" t="s">
        <v>921</v>
      </c>
      <c r="K728" s="171">
        <v>0</v>
      </c>
      <c r="L728">
        <v>600</v>
      </c>
      <c r="M728" t="b">
        <f t="shared" si="12"/>
        <v>0</v>
      </c>
    </row>
    <row r="729" customHeight="1" spans="1:13">
      <c r="A729">
        <v>51037</v>
      </c>
      <c r="B729">
        <v>2</v>
      </c>
      <c r="C729" s="161" t="s">
        <v>925</v>
      </c>
      <c r="D729">
        <v>11089</v>
      </c>
      <c r="E729">
        <v>8</v>
      </c>
      <c r="F729">
        <v>0</v>
      </c>
      <c r="G729">
        <v>0</v>
      </c>
      <c r="H729">
        <v>47005</v>
      </c>
      <c r="I729">
        <v>180</v>
      </c>
      <c r="J729" t="s">
        <v>984</v>
      </c>
      <c r="K729" s="171">
        <v>11089</v>
      </c>
      <c r="L729">
        <v>600</v>
      </c>
      <c r="M729" t="b">
        <f t="shared" si="12"/>
        <v>0</v>
      </c>
    </row>
    <row r="730" customHeight="1" spans="1:13">
      <c r="A730">
        <v>51038</v>
      </c>
      <c r="B730">
        <v>4</v>
      </c>
      <c r="C730" s="161" t="s">
        <v>928</v>
      </c>
      <c r="D730">
        <v>40000</v>
      </c>
      <c r="E730">
        <v>20</v>
      </c>
      <c r="F730">
        <v>0</v>
      </c>
      <c r="G730">
        <v>0</v>
      </c>
      <c r="H730">
        <v>1137</v>
      </c>
      <c r="I730" s="167">
        <v>5</v>
      </c>
      <c r="J730" t="s">
        <v>921</v>
      </c>
      <c r="K730" s="171">
        <v>0</v>
      </c>
      <c r="L730">
        <v>600</v>
      </c>
      <c r="M730">
        <f t="shared" si="12"/>
        <v>1</v>
      </c>
    </row>
    <row r="731" customHeight="1" spans="1:13">
      <c r="A731">
        <v>51039</v>
      </c>
      <c r="B731">
        <v>1</v>
      </c>
      <c r="C731" s="161" t="s">
        <v>930</v>
      </c>
      <c r="D731">
        <v>0</v>
      </c>
      <c r="E731">
        <v>28000000</v>
      </c>
      <c r="F731">
        <v>0</v>
      </c>
      <c r="G731">
        <v>0</v>
      </c>
      <c r="H731">
        <v>47005</v>
      </c>
      <c r="I731">
        <v>180</v>
      </c>
      <c r="J731" t="s">
        <v>984</v>
      </c>
      <c r="K731" s="171">
        <v>0</v>
      </c>
      <c r="L731">
        <v>600</v>
      </c>
      <c r="M731" t="b">
        <f t="shared" si="12"/>
        <v>0</v>
      </c>
    </row>
    <row r="732" customHeight="1" spans="1:13">
      <c r="A732">
        <v>51040</v>
      </c>
      <c r="B732">
        <v>1</v>
      </c>
      <c r="C732" s="161" t="s">
        <v>932</v>
      </c>
      <c r="D732">
        <v>0</v>
      </c>
      <c r="E732">
        <v>15000000</v>
      </c>
      <c r="F732">
        <v>240</v>
      </c>
      <c r="G732">
        <v>0</v>
      </c>
      <c r="H732">
        <v>1137</v>
      </c>
      <c r="I732" s="167">
        <v>5</v>
      </c>
      <c r="J732" t="s">
        <v>921</v>
      </c>
      <c r="K732" s="171">
        <v>0</v>
      </c>
      <c r="L732">
        <v>600</v>
      </c>
      <c r="M732" t="b">
        <f t="shared" si="12"/>
        <v>0</v>
      </c>
    </row>
    <row r="733" customHeight="1" spans="1:13">
      <c r="A733">
        <v>52001</v>
      </c>
      <c r="B733">
        <v>2</v>
      </c>
      <c r="C733" s="161" t="s">
        <v>925</v>
      </c>
      <c r="D733">
        <v>11085</v>
      </c>
      <c r="E733">
        <v>30</v>
      </c>
      <c r="F733">
        <v>0</v>
      </c>
      <c r="G733">
        <v>0</v>
      </c>
      <c r="H733">
        <v>47015</v>
      </c>
      <c r="I733">
        <v>100</v>
      </c>
      <c r="J733" t="s">
        <v>987</v>
      </c>
      <c r="K733" s="171">
        <v>11085</v>
      </c>
      <c r="L733" s="59">
        <v>60</v>
      </c>
      <c r="M733" t="b">
        <f t="shared" si="12"/>
        <v>0</v>
      </c>
    </row>
    <row r="734" customHeight="1" spans="1:13">
      <c r="A734">
        <v>52002</v>
      </c>
      <c r="B734">
        <v>4</v>
      </c>
      <c r="C734" s="161" t="s">
        <v>928</v>
      </c>
      <c r="D734">
        <v>25000</v>
      </c>
      <c r="E734">
        <v>30</v>
      </c>
      <c r="F734">
        <v>0</v>
      </c>
      <c r="G734">
        <v>0</v>
      </c>
      <c r="H734">
        <v>1137</v>
      </c>
      <c r="I734" s="167">
        <v>5</v>
      </c>
      <c r="J734" t="s">
        <v>921</v>
      </c>
      <c r="K734" s="171">
        <v>0</v>
      </c>
      <c r="L734" s="59">
        <v>60</v>
      </c>
      <c r="M734">
        <f t="shared" si="12"/>
        <v>1</v>
      </c>
    </row>
    <row r="735" customHeight="1" spans="1:13">
      <c r="A735">
        <v>52003</v>
      </c>
      <c r="B735">
        <v>1</v>
      </c>
      <c r="C735" s="161" t="s">
        <v>930</v>
      </c>
      <c r="D735">
        <v>0</v>
      </c>
      <c r="E735">
        <v>5000000</v>
      </c>
      <c r="F735">
        <v>0</v>
      </c>
      <c r="G735">
        <v>0</v>
      </c>
      <c r="H735">
        <v>47015</v>
      </c>
      <c r="I735">
        <v>100</v>
      </c>
      <c r="J735" t="s">
        <v>987</v>
      </c>
      <c r="K735" s="171">
        <v>0</v>
      </c>
      <c r="L735" s="59">
        <v>60</v>
      </c>
      <c r="M735" t="b">
        <f t="shared" si="12"/>
        <v>0</v>
      </c>
    </row>
    <row r="736" customHeight="1" spans="1:13">
      <c r="A736">
        <v>52004</v>
      </c>
      <c r="B736">
        <v>2</v>
      </c>
      <c r="C736" s="161" t="s">
        <v>925</v>
      </c>
      <c r="D736">
        <v>11086</v>
      </c>
      <c r="E736">
        <v>30</v>
      </c>
      <c r="F736">
        <v>0</v>
      </c>
      <c r="G736">
        <v>0</v>
      </c>
      <c r="H736">
        <v>1137</v>
      </c>
      <c r="I736" s="167">
        <v>5</v>
      </c>
      <c r="J736" t="s">
        <v>921</v>
      </c>
      <c r="K736" s="171">
        <v>11086</v>
      </c>
      <c r="L736" s="59">
        <v>60</v>
      </c>
      <c r="M736" t="b">
        <f t="shared" si="12"/>
        <v>0</v>
      </c>
    </row>
    <row r="737" customHeight="1" spans="1:13">
      <c r="A737">
        <v>52005</v>
      </c>
      <c r="B737">
        <v>6</v>
      </c>
      <c r="C737" s="161" t="s">
        <v>988</v>
      </c>
      <c r="D737">
        <v>10</v>
      </c>
      <c r="E737">
        <v>1</v>
      </c>
      <c r="F737">
        <v>0</v>
      </c>
      <c r="G737">
        <v>0</v>
      </c>
      <c r="H737">
        <v>47015</v>
      </c>
      <c r="I737">
        <v>100</v>
      </c>
      <c r="J737" t="s">
        <v>987</v>
      </c>
      <c r="K737" s="171">
        <v>0</v>
      </c>
      <c r="L737" s="59">
        <v>60</v>
      </c>
      <c r="M737">
        <f t="shared" si="12"/>
        <v>1</v>
      </c>
    </row>
    <row r="738" customHeight="1" spans="1:13">
      <c r="A738">
        <v>52006</v>
      </c>
      <c r="B738">
        <v>1</v>
      </c>
      <c r="C738" s="161" t="s">
        <v>930</v>
      </c>
      <c r="D738">
        <v>0</v>
      </c>
      <c r="E738">
        <v>5000000</v>
      </c>
      <c r="F738">
        <v>0</v>
      </c>
      <c r="G738">
        <v>0</v>
      </c>
      <c r="H738">
        <v>1137</v>
      </c>
      <c r="I738" s="167">
        <v>5</v>
      </c>
      <c r="J738" t="s">
        <v>921</v>
      </c>
      <c r="K738" s="171">
        <v>0</v>
      </c>
      <c r="L738" s="59">
        <v>60</v>
      </c>
      <c r="M738" t="b">
        <f t="shared" si="12"/>
        <v>0</v>
      </c>
    </row>
    <row r="739" customHeight="1" spans="1:13">
      <c r="A739">
        <v>52007</v>
      </c>
      <c r="B739">
        <v>2</v>
      </c>
      <c r="C739" s="161" t="s">
        <v>925</v>
      </c>
      <c r="D739">
        <v>11087</v>
      </c>
      <c r="E739">
        <v>8</v>
      </c>
      <c r="F739">
        <v>0</v>
      </c>
      <c r="G739">
        <v>0</v>
      </c>
      <c r="H739">
        <v>47015</v>
      </c>
      <c r="I739">
        <v>100</v>
      </c>
      <c r="J739" t="s">
        <v>987</v>
      </c>
      <c r="K739" s="171">
        <v>11087</v>
      </c>
      <c r="L739" s="59">
        <v>60</v>
      </c>
      <c r="M739" t="b">
        <f t="shared" si="12"/>
        <v>0</v>
      </c>
    </row>
    <row r="740" customHeight="1" spans="1:13">
      <c r="A740">
        <v>52008</v>
      </c>
      <c r="B740">
        <v>9</v>
      </c>
      <c r="C740" s="161" t="s">
        <v>934</v>
      </c>
      <c r="D740">
        <v>0</v>
      </c>
      <c r="E740">
        <v>200000</v>
      </c>
      <c r="F740">
        <v>0</v>
      </c>
      <c r="G740">
        <v>0</v>
      </c>
      <c r="H740">
        <v>1137</v>
      </c>
      <c r="I740" s="167">
        <v>5</v>
      </c>
      <c r="J740" t="s">
        <v>921</v>
      </c>
      <c r="K740" s="171">
        <v>0</v>
      </c>
      <c r="L740" s="59">
        <v>60</v>
      </c>
      <c r="M740" t="b">
        <f t="shared" si="12"/>
        <v>0</v>
      </c>
    </row>
    <row r="741" customHeight="1" spans="1:13">
      <c r="A741">
        <v>52009</v>
      </c>
      <c r="B741">
        <v>1</v>
      </c>
      <c r="C741" s="161" t="s">
        <v>930</v>
      </c>
      <c r="D741">
        <v>0</v>
      </c>
      <c r="E741">
        <v>5000000</v>
      </c>
      <c r="F741">
        <v>0</v>
      </c>
      <c r="G741">
        <v>0</v>
      </c>
      <c r="H741">
        <v>47015</v>
      </c>
      <c r="I741">
        <v>100</v>
      </c>
      <c r="J741" t="s">
        <v>987</v>
      </c>
      <c r="K741" s="171">
        <v>0</v>
      </c>
      <c r="L741" s="59">
        <v>60</v>
      </c>
      <c r="M741" t="b">
        <f t="shared" si="12"/>
        <v>0</v>
      </c>
    </row>
  </sheetData>
  <dataValidations count="9">
    <dataValidation type="list" allowBlank="1" showInputMessage="1" showErrorMessage="1" sqref="B1 B8:B1048576">
      <formula1>$N$2:$N$15</formula1>
    </dataValidation>
    <dataValidation allowBlank="1" showInputMessage="1" showErrorMessage="1" sqref="C1 C8:C1048576"/>
    <dataValidation type="list" allowBlank="1" showInputMessage="1" showErrorMessage="1" sqref="H1 L156 H8:H19 H28:H1048576">
      <formula1>$O$1:$O$64</formula1>
    </dataValidation>
    <dataValidation type="whole" operator="between" allowBlank="1" showInputMessage="1" showErrorMessage="1" sqref="K12 K25 K163 K299 K303 K347 D498 D647 D8:E371">
      <formula1>0</formula1>
      <formula2>999999999</formula2>
    </dataValidation>
    <dataValidation type="whole" operator="between" allowBlank="1" showInputMessage="1" showErrorMessage="1" sqref="I374 I376 I378 I380 I382 I384 I386 I388 I390 I392 I394 I396 I398 I400 I402 I404 I406 I408 I410 I412 I414 I416 I418 I420 I422 I424 I426 I428 I430 I432 I434 I436 I438 I440 I442 I444 I449 I453 I457 I461 I465 I469 I473 I477 I481 I485 I489 I493 I497 I501 I505 I509 I513 I517 I521 I525 I529 I533 I537 I541 I545 I547 I549 I551 I553 I555 I557 I559 I561 I563 I565 I567 I569 I571 I573 I575 I577 I579 I581 I583 I585 I587 I589 I591 I8:I372 I446:I447">
      <formula1>0</formula1>
      <formula2>99999</formula2>
    </dataValidation>
    <dataValidation type="whole" operator="between" allowBlank="1" showInputMessage="1" showErrorMessage="1" sqref="A8:A371">
      <formula1>10001</formula1>
      <formula2>99999</formula2>
    </dataValidation>
    <dataValidation type="whole" operator="between" allowBlank="1" showInputMessage="1" showErrorMessage="1" sqref="F8:F371">
      <formula1>0</formula1>
      <formula2>3600</formula2>
    </dataValidation>
    <dataValidation type="whole" operator="between" allowBlank="1" showInputMessage="1" showErrorMessage="1" sqref="G8:G371">
      <formula1>0</formula1>
      <formula2>99</formula2>
    </dataValidation>
    <dataValidation type="list" allowBlank="1" showInputMessage="1" showErrorMessage="1" sqref="H20:H27">
      <formula1>$BA$1:$BA$64</formula1>
    </dataValidation>
  </dataValidations>
  <pageMargins left="0.75" right="0.75" top="1" bottom="1" header="0.5" footer="0.5"/>
  <headerFooter/>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D7"/>
  <sheetViews>
    <sheetView topLeftCell="A5" workbookViewId="0">
      <selection activeCell="B6" sqref="B6"/>
    </sheetView>
  </sheetViews>
  <sheetFormatPr defaultColWidth="11.0986842105263" defaultRowHeight="134.25" customHeight="1" outlineLevelRow="6" outlineLevelCol="3"/>
  <cols>
    <col min="1" max="1" width="10.5986842105263" customWidth="1"/>
    <col min="2" max="2" width="79.0986842105263" customWidth="1"/>
    <col min="3" max="3" width="46" customWidth="1"/>
    <col min="4" max="4" width="33.6973684210526" customWidth="1"/>
  </cols>
  <sheetData>
    <row r="1" ht="34.5" customHeight="1" spans="1:4">
      <c r="A1" s="64" t="s">
        <v>991</v>
      </c>
      <c r="B1" s="64" t="s">
        <v>992</v>
      </c>
      <c r="C1" s="64" t="s">
        <v>993</v>
      </c>
      <c r="D1" s="64" t="s">
        <v>994</v>
      </c>
    </row>
    <row r="2" customHeight="1" spans="1:4">
      <c r="A2" s="64">
        <v>44001</v>
      </c>
      <c r="B2" s="160" t="s">
        <v>995</v>
      </c>
      <c r="C2" s="64" t="s">
        <v>996</v>
      </c>
      <c r="D2" s="160" t="s">
        <v>997</v>
      </c>
    </row>
    <row r="3" customHeight="1" spans="1:4">
      <c r="A3" s="64">
        <v>44002</v>
      </c>
      <c r="B3" s="160" t="s">
        <v>998</v>
      </c>
      <c r="C3" s="64" t="s">
        <v>999</v>
      </c>
      <c r="D3" s="64" t="s">
        <v>1000</v>
      </c>
    </row>
    <row r="4" customHeight="1" spans="1:4">
      <c r="A4" s="64">
        <v>44003</v>
      </c>
      <c r="B4" s="64" t="s">
        <v>1001</v>
      </c>
      <c r="C4" s="64" t="s">
        <v>1002</v>
      </c>
      <c r="D4" s="160" t="s">
        <v>1003</v>
      </c>
    </row>
    <row r="5" customHeight="1" spans="1:4">
      <c r="A5" s="64">
        <v>44004</v>
      </c>
      <c r="B5" s="64" t="s">
        <v>1004</v>
      </c>
      <c r="C5" s="64" t="s">
        <v>1005</v>
      </c>
      <c r="D5" s="64" t="s">
        <v>1006</v>
      </c>
    </row>
    <row r="6" customHeight="1" spans="1:4">
      <c r="A6" s="64">
        <v>44005</v>
      </c>
      <c r="B6" s="64" t="s">
        <v>1007</v>
      </c>
      <c r="C6" s="64" t="s">
        <v>1008</v>
      </c>
      <c r="D6" s="64" t="s">
        <v>1009</v>
      </c>
    </row>
    <row r="7" customHeight="1" spans="1:4">
      <c r="A7" s="64">
        <v>44499</v>
      </c>
      <c r="B7" s="64" t="s">
        <v>1010</v>
      </c>
      <c r="C7" s="160" t="s">
        <v>589</v>
      </c>
      <c r="D7" s="160" t="s">
        <v>589</v>
      </c>
    </row>
  </sheetData>
  <pageMargins left="0.75" right="0.75" top="1" bottom="1" header="0.5" footer="0.5"/>
  <pageSetup paperSize="9" orientation="portrait"/>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57"/>
  <sheetViews>
    <sheetView topLeftCell="A34" workbookViewId="0">
      <selection activeCell="H51" sqref="H51"/>
    </sheetView>
  </sheetViews>
  <sheetFormatPr defaultColWidth="11.0986842105263" defaultRowHeight="21" customHeight="1" outlineLevelCol="6"/>
  <sheetData>
    <row r="1" customHeight="1" spans="1:7">
      <c r="A1" s="1" t="s">
        <v>892</v>
      </c>
      <c r="B1" s="1" t="s">
        <v>28</v>
      </c>
      <c r="C1" s="1" t="s">
        <v>910</v>
      </c>
      <c r="D1" s="1" t="s">
        <v>1011</v>
      </c>
      <c r="E1" s="1" t="s">
        <v>824</v>
      </c>
      <c r="F1" s="1" t="s">
        <v>1011</v>
      </c>
      <c r="G1" s="1" t="s">
        <v>824</v>
      </c>
    </row>
    <row r="2" customHeight="1" spans="1:7">
      <c r="A2" s="1" t="s">
        <v>39</v>
      </c>
      <c r="B2" s="1" t="s">
        <v>39</v>
      </c>
      <c r="C2" s="1" t="s">
        <v>39</v>
      </c>
      <c r="D2" s="1" t="s">
        <v>39</v>
      </c>
      <c r="E2" s="1" t="s">
        <v>39</v>
      </c>
      <c r="F2" s="1" t="s">
        <v>39</v>
      </c>
      <c r="G2" s="1" t="s">
        <v>39</v>
      </c>
    </row>
    <row r="3" customHeight="1" spans="1:7">
      <c r="A3" s="1">
        <v>1000</v>
      </c>
      <c r="B3" s="1">
        <v>1</v>
      </c>
      <c r="C3" s="1">
        <v>1</v>
      </c>
      <c r="D3" s="1">
        <v>101</v>
      </c>
      <c r="E3" s="1">
        <v>10000</v>
      </c>
      <c r="F3" s="1"/>
      <c r="G3" s="1"/>
    </row>
    <row r="4" customHeight="1" spans="1:7">
      <c r="A4" s="1">
        <v>1001</v>
      </c>
      <c r="B4" s="1">
        <v>1</v>
      </c>
      <c r="C4" s="1">
        <v>2</v>
      </c>
      <c r="D4" s="1">
        <v>32402</v>
      </c>
      <c r="E4" s="1">
        <v>1</v>
      </c>
      <c r="F4" s="1"/>
      <c r="G4" s="1"/>
    </row>
    <row r="5" customHeight="1" spans="1:7">
      <c r="A5" s="1">
        <v>1002</v>
      </c>
      <c r="B5" s="1">
        <v>1</v>
      </c>
      <c r="C5" s="1">
        <v>3</v>
      </c>
      <c r="D5" s="1">
        <v>101</v>
      </c>
      <c r="E5" s="1">
        <v>10000</v>
      </c>
      <c r="F5" s="1"/>
      <c r="G5" s="1"/>
    </row>
    <row r="6" customHeight="1" spans="1:7">
      <c r="A6" s="1">
        <v>1003</v>
      </c>
      <c r="B6" s="1">
        <v>1</v>
      </c>
      <c r="C6" s="1">
        <v>4</v>
      </c>
      <c r="D6" s="1">
        <v>33402</v>
      </c>
      <c r="E6" s="1">
        <v>1</v>
      </c>
      <c r="F6" s="1"/>
      <c r="G6" s="1"/>
    </row>
    <row r="7" customHeight="1" spans="1:7">
      <c r="A7" s="1">
        <v>1004</v>
      </c>
      <c r="B7" s="1">
        <v>1</v>
      </c>
      <c r="C7" s="1">
        <v>4</v>
      </c>
      <c r="D7" s="1">
        <v>101</v>
      </c>
      <c r="E7" s="1">
        <v>20000</v>
      </c>
      <c r="F7" s="1">
        <v>3106</v>
      </c>
      <c r="G7" s="1">
        <v>100</v>
      </c>
    </row>
    <row r="8" customHeight="1" spans="1:7">
      <c r="A8" s="1">
        <v>1005</v>
      </c>
      <c r="B8" s="1">
        <v>1</v>
      </c>
      <c r="C8" s="1">
        <v>5</v>
      </c>
      <c r="D8" s="1">
        <v>101</v>
      </c>
      <c r="E8" s="1">
        <v>10000</v>
      </c>
      <c r="F8" s="1"/>
      <c r="G8" s="1"/>
    </row>
    <row r="9" customHeight="1" spans="1:7">
      <c r="A9" s="1">
        <v>1006</v>
      </c>
      <c r="B9" s="1">
        <v>1</v>
      </c>
      <c r="C9" s="1">
        <v>6</v>
      </c>
      <c r="D9" s="1">
        <v>32402</v>
      </c>
      <c r="E9" s="1">
        <v>1</v>
      </c>
      <c r="F9" s="1"/>
      <c r="G9" s="1"/>
    </row>
    <row r="10" customHeight="1" spans="1:7">
      <c r="A10" s="1">
        <v>1007</v>
      </c>
      <c r="B10" s="1">
        <v>1</v>
      </c>
      <c r="C10" s="1">
        <v>7</v>
      </c>
      <c r="D10" s="1">
        <v>101</v>
      </c>
      <c r="E10" s="1">
        <v>10000</v>
      </c>
      <c r="F10" s="1"/>
      <c r="G10" s="1"/>
    </row>
    <row r="11" customHeight="1" spans="1:7">
      <c r="A11" s="1">
        <v>1008</v>
      </c>
      <c r="B11" s="1">
        <v>1</v>
      </c>
      <c r="C11" s="1">
        <v>8</v>
      </c>
      <c r="D11" s="1">
        <v>33402</v>
      </c>
      <c r="E11" s="1">
        <v>1</v>
      </c>
      <c r="F11" s="1"/>
      <c r="G11" s="1"/>
    </row>
    <row r="12" customHeight="1" spans="1:7">
      <c r="A12" s="1">
        <v>1009</v>
      </c>
      <c r="B12" s="1">
        <v>1</v>
      </c>
      <c r="C12" s="1">
        <v>8</v>
      </c>
      <c r="D12" s="1">
        <v>101</v>
      </c>
      <c r="E12" s="1">
        <v>20000</v>
      </c>
      <c r="F12" s="1">
        <v>3106</v>
      </c>
      <c r="G12" s="1">
        <v>120</v>
      </c>
    </row>
    <row r="13" customHeight="1" spans="1:7">
      <c r="A13" s="1">
        <v>1010</v>
      </c>
      <c r="B13" s="1">
        <v>1</v>
      </c>
      <c r="C13" s="1">
        <v>9</v>
      </c>
      <c r="D13" s="1">
        <v>101</v>
      </c>
      <c r="E13" s="1">
        <v>10000</v>
      </c>
      <c r="F13" s="1"/>
      <c r="G13" s="1"/>
    </row>
    <row r="14" customHeight="1" spans="1:7">
      <c r="A14" s="1">
        <v>1011</v>
      </c>
      <c r="B14" s="1">
        <v>1</v>
      </c>
      <c r="C14" s="1">
        <v>10</v>
      </c>
      <c r="D14" s="1">
        <v>32402</v>
      </c>
      <c r="E14" s="1">
        <v>1</v>
      </c>
      <c r="F14" s="1"/>
      <c r="G14" s="1"/>
    </row>
    <row r="15" customHeight="1" spans="1:7">
      <c r="A15" s="1">
        <v>1012</v>
      </c>
      <c r="B15" s="1">
        <v>1</v>
      </c>
      <c r="C15" s="1">
        <v>11</v>
      </c>
      <c r="D15" s="1">
        <v>101</v>
      </c>
      <c r="E15" s="1">
        <v>10000</v>
      </c>
      <c r="F15" s="1"/>
      <c r="G15" s="1"/>
    </row>
    <row r="16" customHeight="1" spans="1:7">
      <c r="A16" s="1">
        <v>1013</v>
      </c>
      <c r="B16" s="1">
        <v>1</v>
      </c>
      <c r="C16" s="1">
        <v>12</v>
      </c>
      <c r="D16" s="1">
        <v>33402</v>
      </c>
      <c r="E16" s="1">
        <v>1</v>
      </c>
      <c r="F16" s="1"/>
      <c r="G16" s="1"/>
    </row>
    <row r="17" customHeight="1" spans="1:7">
      <c r="A17" s="1">
        <v>1014</v>
      </c>
      <c r="B17" s="1">
        <v>1</v>
      </c>
      <c r="C17" s="1">
        <v>12</v>
      </c>
      <c r="D17" s="1">
        <v>101</v>
      </c>
      <c r="E17" s="1">
        <v>20000</v>
      </c>
      <c r="F17" s="1">
        <v>3106</v>
      </c>
      <c r="G17" s="1">
        <v>120</v>
      </c>
    </row>
    <row r="18" customHeight="1" spans="1:7">
      <c r="A18" s="1">
        <v>1015</v>
      </c>
      <c r="B18" s="1">
        <v>1</v>
      </c>
      <c r="C18" s="1">
        <v>13</v>
      </c>
      <c r="D18" s="1">
        <v>101</v>
      </c>
      <c r="E18" s="1">
        <v>10000</v>
      </c>
      <c r="F18" s="1"/>
      <c r="G18" s="1"/>
    </row>
    <row r="19" customHeight="1" spans="1:7">
      <c r="A19" s="1">
        <v>1016</v>
      </c>
      <c r="B19" s="1">
        <v>1</v>
      </c>
      <c r="C19" s="1">
        <v>14</v>
      </c>
      <c r="D19" s="1">
        <v>32402</v>
      </c>
      <c r="E19" s="1">
        <v>1</v>
      </c>
      <c r="F19" s="1"/>
      <c r="G19" s="1"/>
    </row>
    <row r="20" customHeight="1" spans="1:7">
      <c r="A20" s="1">
        <v>1017</v>
      </c>
      <c r="B20" s="1">
        <v>1</v>
      </c>
      <c r="C20" s="1">
        <v>15</v>
      </c>
      <c r="D20" s="1">
        <v>101</v>
      </c>
      <c r="E20" s="1">
        <v>10000</v>
      </c>
      <c r="F20" s="1"/>
      <c r="G20" s="1"/>
    </row>
    <row r="21" customHeight="1" spans="1:7">
      <c r="A21" s="1">
        <v>1018</v>
      </c>
      <c r="B21" s="1">
        <v>1</v>
      </c>
      <c r="C21" s="1">
        <v>16</v>
      </c>
      <c r="D21" s="1">
        <v>33402</v>
      </c>
      <c r="E21" s="1">
        <v>1</v>
      </c>
      <c r="F21" s="1"/>
      <c r="G21" s="1"/>
    </row>
    <row r="22" customHeight="1" spans="1:7">
      <c r="A22" s="1">
        <v>1019</v>
      </c>
      <c r="B22" s="1">
        <v>1</v>
      </c>
      <c r="C22" s="1">
        <v>16</v>
      </c>
      <c r="D22" s="1">
        <v>101</v>
      </c>
      <c r="E22" s="1">
        <v>20000</v>
      </c>
      <c r="F22" s="1">
        <v>3106</v>
      </c>
      <c r="G22" s="1">
        <v>120</v>
      </c>
    </row>
    <row r="23" customHeight="1" spans="1:7">
      <c r="A23" s="1">
        <v>1020</v>
      </c>
      <c r="B23" s="1">
        <v>1</v>
      </c>
      <c r="C23" s="1">
        <v>17</v>
      </c>
      <c r="D23" s="1">
        <v>101</v>
      </c>
      <c r="E23" s="1">
        <v>10000</v>
      </c>
      <c r="F23" s="1"/>
      <c r="G23" s="1"/>
    </row>
    <row r="24" customHeight="1" spans="1:7">
      <c r="A24" s="1">
        <v>1021</v>
      </c>
      <c r="B24" s="1">
        <v>1</v>
      </c>
      <c r="C24" s="1">
        <v>18</v>
      </c>
      <c r="D24" s="1">
        <v>32402</v>
      </c>
      <c r="E24" s="1">
        <v>1</v>
      </c>
      <c r="F24" s="1"/>
      <c r="G24" s="1"/>
    </row>
    <row r="25" customHeight="1" spans="1:7">
      <c r="A25" s="1">
        <v>1022</v>
      </c>
      <c r="B25" s="1">
        <v>1</v>
      </c>
      <c r="C25" s="1">
        <v>19</v>
      </c>
      <c r="D25" s="1">
        <v>101</v>
      </c>
      <c r="E25" s="1">
        <v>10000</v>
      </c>
      <c r="F25" s="1"/>
      <c r="G25" s="1"/>
    </row>
    <row r="26" customHeight="1" spans="1:7">
      <c r="A26" s="1">
        <v>1023</v>
      </c>
      <c r="B26" s="1">
        <v>1</v>
      </c>
      <c r="C26" s="1">
        <v>20</v>
      </c>
      <c r="D26" s="1">
        <v>33402</v>
      </c>
      <c r="E26" s="1">
        <v>1</v>
      </c>
      <c r="F26" s="1"/>
      <c r="G26" s="1"/>
    </row>
    <row r="27" customHeight="1" spans="1:7">
      <c r="A27" s="1">
        <v>1024</v>
      </c>
      <c r="B27" s="1">
        <v>1</v>
      </c>
      <c r="C27" s="1">
        <v>20</v>
      </c>
      <c r="D27" s="1">
        <v>101</v>
      </c>
      <c r="E27" s="1">
        <v>20000</v>
      </c>
      <c r="F27" s="1">
        <v>3106</v>
      </c>
      <c r="G27" s="1">
        <v>120</v>
      </c>
    </row>
    <row r="28" customHeight="1" spans="1:7">
      <c r="A28" s="1">
        <v>1025</v>
      </c>
      <c r="B28" s="1">
        <v>1</v>
      </c>
      <c r="C28" s="158">
        <v>21</v>
      </c>
      <c r="D28" s="1">
        <v>101</v>
      </c>
      <c r="E28" s="1">
        <v>10000</v>
      </c>
      <c r="F28" s="1"/>
      <c r="G28" s="1"/>
    </row>
    <row r="29" customHeight="1" spans="1:7">
      <c r="A29" s="1">
        <v>1026</v>
      </c>
      <c r="B29" s="1">
        <v>1</v>
      </c>
      <c r="C29" s="1">
        <v>22</v>
      </c>
      <c r="D29" s="1">
        <v>32402</v>
      </c>
      <c r="E29" s="1">
        <v>1</v>
      </c>
      <c r="F29" s="1"/>
      <c r="G29" s="1"/>
    </row>
    <row r="30" customHeight="1" spans="1:7">
      <c r="A30" s="1">
        <v>1027</v>
      </c>
      <c r="B30" s="1">
        <v>1</v>
      </c>
      <c r="C30" s="158">
        <v>23</v>
      </c>
      <c r="D30" s="1">
        <v>101</v>
      </c>
      <c r="E30" s="1">
        <v>10000</v>
      </c>
      <c r="F30" s="1"/>
      <c r="G30" s="1"/>
    </row>
    <row r="31" customHeight="1" spans="1:7">
      <c r="A31" s="1">
        <v>1028</v>
      </c>
      <c r="B31" s="1">
        <v>1</v>
      </c>
      <c r="C31" s="1">
        <v>24</v>
      </c>
      <c r="D31" s="1">
        <v>33402</v>
      </c>
      <c r="E31" s="1">
        <v>1</v>
      </c>
      <c r="F31" s="1"/>
      <c r="G31" s="1"/>
    </row>
    <row r="32" customHeight="1" spans="1:7">
      <c r="A32" s="1">
        <v>1029</v>
      </c>
      <c r="B32" s="1">
        <v>1</v>
      </c>
      <c r="C32" s="158">
        <v>24</v>
      </c>
      <c r="D32" s="1">
        <v>101</v>
      </c>
      <c r="E32" s="1">
        <v>20000</v>
      </c>
      <c r="F32" s="1">
        <v>3106</v>
      </c>
      <c r="G32" s="1">
        <v>120</v>
      </c>
    </row>
    <row r="33" customHeight="1" spans="1:7">
      <c r="A33" s="1">
        <v>1030</v>
      </c>
      <c r="B33" s="1">
        <v>1</v>
      </c>
      <c r="C33" s="1">
        <v>25</v>
      </c>
      <c r="D33" s="1">
        <v>101</v>
      </c>
      <c r="E33" s="1">
        <v>10000</v>
      </c>
      <c r="F33" s="1"/>
      <c r="G33" s="1"/>
    </row>
    <row r="34" customHeight="1" spans="1:7">
      <c r="A34" s="1">
        <v>1031</v>
      </c>
      <c r="B34" s="1">
        <v>1</v>
      </c>
      <c r="C34" s="158">
        <v>26</v>
      </c>
      <c r="D34" s="1">
        <v>32402</v>
      </c>
      <c r="E34" s="1">
        <v>1</v>
      </c>
      <c r="F34" s="1"/>
      <c r="G34" s="1"/>
    </row>
    <row r="35" customHeight="1" spans="1:7">
      <c r="A35" s="1">
        <v>1032</v>
      </c>
      <c r="B35" s="1">
        <v>1</v>
      </c>
      <c r="C35" s="1">
        <v>27</v>
      </c>
      <c r="D35" s="1">
        <v>101</v>
      </c>
      <c r="E35" s="1">
        <v>10000</v>
      </c>
      <c r="F35" s="1"/>
      <c r="G35" s="1"/>
    </row>
    <row r="36" customHeight="1" spans="1:7">
      <c r="A36" s="1">
        <v>1033</v>
      </c>
      <c r="B36" s="1">
        <v>1</v>
      </c>
      <c r="C36" s="158">
        <v>28</v>
      </c>
      <c r="D36" s="1">
        <v>33402</v>
      </c>
      <c r="E36" s="1">
        <v>1</v>
      </c>
      <c r="F36" s="1"/>
      <c r="G36" s="1"/>
    </row>
    <row r="37" customHeight="1" spans="1:7">
      <c r="A37" s="1">
        <v>1034</v>
      </c>
      <c r="B37" s="1">
        <v>1</v>
      </c>
      <c r="C37" s="1">
        <v>28</v>
      </c>
      <c r="D37" s="1">
        <v>101</v>
      </c>
      <c r="E37" s="1">
        <v>20000</v>
      </c>
      <c r="F37" s="1">
        <v>3106</v>
      </c>
      <c r="G37" s="1">
        <v>120</v>
      </c>
    </row>
    <row r="38" customHeight="1" spans="1:7">
      <c r="A38" s="1">
        <v>1035</v>
      </c>
      <c r="B38" s="1">
        <v>1</v>
      </c>
      <c r="C38" s="158">
        <v>29</v>
      </c>
      <c r="D38" s="1">
        <v>101</v>
      </c>
      <c r="E38" s="1">
        <v>10000</v>
      </c>
      <c r="F38" s="1"/>
      <c r="G38" s="1"/>
    </row>
    <row r="39" customHeight="1" spans="1:7">
      <c r="A39" s="1">
        <v>1036</v>
      </c>
      <c r="B39" s="1">
        <v>1</v>
      </c>
      <c r="C39" s="1">
        <v>30</v>
      </c>
      <c r="D39" s="1">
        <v>32402</v>
      </c>
      <c r="E39" s="1">
        <v>1</v>
      </c>
      <c r="F39" s="1"/>
      <c r="G39" s="1"/>
    </row>
    <row r="40" customHeight="1" spans="1:7">
      <c r="A40" s="1">
        <v>1037</v>
      </c>
      <c r="B40" s="1">
        <v>1</v>
      </c>
      <c r="C40" s="158">
        <v>31</v>
      </c>
      <c r="D40" s="1">
        <v>101</v>
      </c>
      <c r="E40" s="1">
        <v>10000</v>
      </c>
      <c r="F40" s="1"/>
      <c r="G40" s="1"/>
    </row>
    <row r="41" customHeight="1" spans="1:7">
      <c r="A41" s="1">
        <v>1038</v>
      </c>
      <c r="B41" s="1">
        <v>1</v>
      </c>
      <c r="C41" s="1">
        <v>32</v>
      </c>
      <c r="D41" s="1">
        <v>33402</v>
      </c>
      <c r="E41" s="1">
        <v>1</v>
      </c>
      <c r="F41" s="1"/>
      <c r="G41" s="1"/>
    </row>
    <row r="42" customHeight="1" spans="1:7">
      <c r="A42" s="1">
        <v>1039</v>
      </c>
      <c r="B42" s="1">
        <v>1</v>
      </c>
      <c r="C42" s="158">
        <v>32</v>
      </c>
      <c r="D42" s="1">
        <v>101</v>
      </c>
      <c r="E42" s="1">
        <v>20000</v>
      </c>
      <c r="F42" s="1">
        <v>3106</v>
      </c>
      <c r="G42" s="1">
        <v>120</v>
      </c>
    </row>
    <row r="43" customHeight="1" spans="1:7">
      <c r="A43" s="1">
        <v>1040</v>
      </c>
      <c r="B43" s="1">
        <v>1</v>
      </c>
      <c r="C43" s="1">
        <v>33</v>
      </c>
      <c r="D43" s="1">
        <v>101</v>
      </c>
      <c r="E43" s="1">
        <v>10000</v>
      </c>
      <c r="F43" s="1"/>
      <c r="G43" s="1"/>
    </row>
    <row r="44" customHeight="1" spans="1:7">
      <c r="A44" s="1">
        <v>1041</v>
      </c>
      <c r="B44" s="1">
        <v>1</v>
      </c>
      <c r="C44" s="158">
        <v>34</v>
      </c>
      <c r="D44" s="1">
        <v>32402</v>
      </c>
      <c r="E44" s="1">
        <v>1</v>
      </c>
      <c r="F44" s="1"/>
      <c r="G44" s="1"/>
    </row>
    <row r="45" customHeight="1" spans="1:7">
      <c r="A45" s="1">
        <v>1042</v>
      </c>
      <c r="B45" s="1">
        <v>1</v>
      </c>
      <c r="C45" s="1">
        <v>35</v>
      </c>
      <c r="D45" s="1">
        <v>101</v>
      </c>
      <c r="E45" s="1">
        <v>10000</v>
      </c>
      <c r="F45" s="1"/>
      <c r="G45" s="1"/>
    </row>
    <row r="46" customHeight="1" spans="1:7">
      <c r="A46" s="1">
        <v>1043</v>
      </c>
      <c r="B46" s="1">
        <v>1</v>
      </c>
      <c r="C46" s="158">
        <v>36</v>
      </c>
      <c r="D46" s="1">
        <v>33402</v>
      </c>
      <c r="E46" s="1">
        <v>1</v>
      </c>
      <c r="F46" s="1"/>
      <c r="G46" s="1"/>
    </row>
    <row r="47" customHeight="1" spans="1:7">
      <c r="A47" s="1">
        <v>1044</v>
      </c>
      <c r="B47" s="1">
        <v>1</v>
      </c>
      <c r="C47" s="1">
        <v>36</v>
      </c>
      <c r="D47" s="1">
        <v>101</v>
      </c>
      <c r="E47" s="1">
        <v>20000</v>
      </c>
      <c r="F47" s="1">
        <v>3106</v>
      </c>
      <c r="G47" s="1">
        <v>120</v>
      </c>
    </row>
    <row r="48" customHeight="1" spans="1:7">
      <c r="A48" s="1">
        <v>1045</v>
      </c>
      <c r="B48" s="1">
        <v>1</v>
      </c>
      <c r="C48" s="158">
        <v>37</v>
      </c>
      <c r="D48" s="1">
        <v>101</v>
      </c>
      <c r="E48" s="1">
        <v>10000</v>
      </c>
      <c r="F48" s="1"/>
      <c r="G48" s="1"/>
    </row>
    <row r="49" customHeight="1" spans="1:7">
      <c r="A49" s="1">
        <v>1046</v>
      </c>
      <c r="B49" s="1">
        <v>1</v>
      </c>
      <c r="C49" s="1">
        <v>38</v>
      </c>
      <c r="D49" s="1">
        <v>32402</v>
      </c>
      <c r="E49" s="1">
        <v>1</v>
      </c>
      <c r="F49" s="1"/>
      <c r="G49" s="1"/>
    </row>
    <row r="50" customHeight="1" spans="1:7">
      <c r="A50" s="1">
        <v>1047</v>
      </c>
      <c r="B50" s="1">
        <v>1</v>
      </c>
      <c r="C50" s="158">
        <v>39</v>
      </c>
      <c r="D50" s="1">
        <v>101</v>
      </c>
      <c r="E50" s="1">
        <v>10000</v>
      </c>
      <c r="F50" s="1"/>
      <c r="G50" s="1"/>
    </row>
    <row r="51" customHeight="1" spans="1:7">
      <c r="A51" s="1">
        <v>1048</v>
      </c>
      <c r="B51" s="1">
        <v>1</v>
      </c>
      <c r="C51" s="1">
        <v>40</v>
      </c>
      <c r="D51" s="1">
        <v>33402</v>
      </c>
      <c r="E51" s="1">
        <v>1</v>
      </c>
      <c r="F51" s="1"/>
      <c r="G51" s="1"/>
    </row>
    <row r="52" customHeight="1" spans="1:7">
      <c r="A52" s="1">
        <v>1049</v>
      </c>
      <c r="B52" s="1">
        <v>1</v>
      </c>
      <c r="C52" s="159">
        <v>40</v>
      </c>
      <c r="D52" s="1">
        <v>101</v>
      </c>
      <c r="E52" s="1">
        <v>20000</v>
      </c>
      <c r="F52" s="1">
        <v>3106</v>
      </c>
      <c r="G52" s="1">
        <v>120</v>
      </c>
    </row>
    <row r="53" customHeight="1" spans="1:7">
      <c r="A53" s="1">
        <v>2000</v>
      </c>
      <c r="B53" s="1">
        <v>2</v>
      </c>
      <c r="C53" s="1">
        <v>1</v>
      </c>
      <c r="D53" s="1">
        <v>101</v>
      </c>
      <c r="E53" s="1">
        <v>2000</v>
      </c>
      <c r="F53" s="1"/>
      <c r="G53" s="1"/>
    </row>
    <row r="54" customHeight="1" spans="1:7">
      <c r="A54" s="1">
        <v>2001</v>
      </c>
      <c r="B54" s="1">
        <v>2</v>
      </c>
      <c r="C54" s="1">
        <v>2</v>
      </c>
      <c r="D54" s="1">
        <v>32402</v>
      </c>
      <c r="E54" s="1">
        <v>1</v>
      </c>
      <c r="F54" s="1"/>
      <c r="G54" s="1"/>
    </row>
    <row r="55" customHeight="1" spans="1:7">
      <c r="A55" s="1">
        <v>2002</v>
      </c>
      <c r="B55" s="1">
        <v>2</v>
      </c>
      <c r="C55" s="1">
        <v>3</v>
      </c>
      <c r="D55" s="1">
        <v>101</v>
      </c>
      <c r="E55" s="1">
        <v>2000</v>
      </c>
      <c r="F55" s="1"/>
      <c r="G55" s="1"/>
    </row>
    <row r="56" customHeight="1" spans="1:7">
      <c r="A56" s="1">
        <v>2003</v>
      </c>
      <c r="B56" s="1">
        <v>2</v>
      </c>
      <c r="C56" s="1">
        <v>4</v>
      </c>
      <c r="D56" s="1">
        <v>32402</v>
      </c>
      <c r="E56" s="1">
        <v>1</v>
      </c>
      <c r="F56" s="1"/>
      <c r="G56" s="1"/>
    </row>
    <row r="57" customHeight="1" spans="1:7">
      <c r="A57" s="1">
        <v>2004</v>
      </c>
      <c r="B57" s="1">
        <v>2</v>
      </c>
      <c r="C57" s="1">
        <v>4</v>
      </c>
      <c r="D57" s="1">
        <v>101</v>
      </c>
      <c r="E57" s="1">
        <v>5000</v>
      </c>
      <c r="F57" s="1">
        <v>3106</v>
      </c>
      <c r="G57" s="1">
        <v>50</v>
      </c>
    </row>
  </sheetData>
  <conditionalFormatting sqref="A3:G57">
    <cfRule type="cellIs" dxfId="1" priority="1" stopIfTrue="1" operator="notEqual">
      <formula>INDIRECT("Dummy_for_Comparison2!"&amp;ADDRESS(ROW(),COLUMN()))</formula>
    </cfRule>
  </conditionalFormatting>
  <pageMargins left="0.75" right="0.75" top="1" bottom="1" header="0.5" footer="0.5"/>
  <pageSetup paperSize="9" orientation="portrait"/>
  <headerFooter/>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Q40"/>
  <sheetViews>
    <sheetView workbookViewId="0">
      <selection activeCell="A1" sqref="A1:Q40"/>
    </sheetView>
  </sheetViews>
  <sheetFormatPr defaultColWidth="10.5986842105263" defaultRowHeight="23.1" customHeight="1"/>
  <cols>
    <col min="1" max="1" width="18" style="2" customWidth="1"/>
    <col min="2" max="16384" width="10.5986842105263" style="2"/>
  </cols>
  <sheetData>
    <row r="1" customHeight="1" spans="1:11">
      <c r="A1" s="80" t="s">
        <v>1012</v>
      </c>
      <c r="B1" s="80" t="s">
        <v>1013</v>
      </c>
      <c r="C1" s="80" t="s">
        <v>846</v>
      </c>
      <c r="D1" s="80" t="s">
        <v>1013</v>
      </c>
      <c r="E1" s="80" t="s">
        <v>846</v>
      </c>
      <c r="F1" s="152" t="s">
        <v>1013</v>
      </c>
      <c r="G1" s="152" t="s">
        <v>846</v>
      </c>
      <c r="H1" s="80" t="s">
        <v>1013</v>
      </c>
      <c r="I1" s="80" t="s">
        <v>846</v>
      </c>
      <c r="J1" s="80" t="s">
        <v>1013</v>
      </c>
      <c r="K1" s="80" t="s">
        <v>846</v>
      </c>
    </row>
    <row r="2" customHeight="1" spans="1:11">
      <c r="A2" s="80" t="s">
        <v>39</v>
      </c>
      <c r="B2" s="80" t="s">
        <v>39</v>
      </c>
      <c r="C2" s="80" t="s">
        <v>39</v>
      </c>
      <c r="D2" s="80" t="s">
        <v>39</v>
      </c>
      <c r="E2" s="80" t="s">
        <v>39</v>
      </c>
      <c r="F2" s="152" t="s">
        <v>39</v>
      </c>
      <c r="G2" s="152" t="s">
        <v>39</v>
      </c>
      <c r="H2" s="80" t="s">
        <v>39</v>
      </c>
      <c r="I2" s="80" t="s">
        <v>39</v>
      </c>
      <c r="J2" s="80" t="s">
        <v>39</v>
      </c>
      <c r="K2" s="80" t="s">
        <v>39</v>
      </c>
    </row>
    <row r="3" customHeight="1" spans="1:17">
      <c r="A3" s="80" t="s">
        <v>1014</v>
      </c>
      <c r="B3" s="80" t="s">
        <v>1015</v>
      </c>
      <c r="C3" s="80" t="s">
        <v>513</v>
      </c>
      <c r="D3" s="80" t="s">
        <v>1015</v>
      </c>
      <c r="E3" s="80" t="s">
        <v>513</v>
      </c>
      <c r="F3" s="152" t="s">
        <v>1015</v>
      </c>
      <c r="G3" s="152" t="s">
        <v>513</v>
      </c>
      <c r="H3" s="80" t="s">
        <v>1015</v>
      </c>
      <c r="I3" s="80" t="s">
        <v>513</v>
      </c>
      <c r="J3" s="80" t="s">
        <v>1015</v>
      </c>
      <c r="K3" s="80" t="s">
        <v>513</v>
      </c>
      <c r="M3" s="153" t="s">
        <v>0</v>
      </c>
      <c r="N3" s="154" t="s">
        <v>1016</v>
      </c>
      <c r="O3" s="155" t="s">
        <v>1017</v>
      </c>
      <c r="P3" s="154" t="s">
        <v>1018</v>
      </c>
      <c r="Q3" s="156" t="s">
        <v>1019</v>
      </c>
    </row>
    <row r="4" customHeight="1" spans="1:17">
      <c r="A4" s="145" t="s">
        <v>1020</v>
      </c>
      <c r="B4" s="145">
        <v>60000</v>
      </c>
      <c r="C4" s="145">
        <v>2000</v>
      </c>
      <c r="D4" s="145">
        <v>80000</v>
      </c>
      <c r="E4" s="145">
        <v>2000</v>
      </c>
      <c r="F4" s="145">
        <v>120000</v>
      </c>
      <c r="G4" s="145">
        <v>3000</v>
      </c>
      <c r="H4" s="145">
        <v>240000</v>
      </c>
      <c r="I4" s="145">
        <v>1500</v>
      </c>
      <c r="J4" s="145">
        <v>400000</v>
      </c>
      <c r="K4" s="145">
        <v>1500</v>
      </c>
      <c r="L4" s="153"/>
      <c r="M4" s="153" t="s">
        <v>1021</v>
      </c>
      <c r="N4" s="153">
        <f t="shared" ref="N4:N40" si="0">(B4*C4+D4*E4+F4*G4+H4*I4+J4*K4)/10000</f>
        <v>160000</v>
      </c>
      <c r="O4" s="153">
        <v>8</v>
      </c>
      <c r="P4" s="153">
        <v>80000</v>
      </c>
      <c r="Q4" s="157">
        <f t="shared" ref="Q4:Q26" si="1">(N4+P4)/O4/10000</f>
        <v>3</v>
      </c>
    </row>
    <row r="5" customHeight="1" spans="1:17">
      <c r="A5" s="145" t="s">
        <v>1022</v>
      </c>
      <c r="B5" s="145">
        <v>90000</v>
      </c>
      <c r="C5" s="145">
        <v>2000</v>
      </c>
      <c r="D5" s="145">
        <v>120000</v>
      </c>
      <c r="E5" s="145">
        <v>2000</v>
      </c>
      <c r="F5" s="145">
        <v>180000</v>
      </c>
      <c r="G5" s="145">
        <v>3000</v>
      </c>
      <c r="H5" s="145">
        <v>360000</v>
      </c>
      <c r="I5" s="145">
        <v>1500</v>
      </c>
      <c r="J5" s="145">
        <v>600000</v>
      </c>
      <c r="K5" s="145">
        <v>1500</v>
      </c>
      <c r="L5" s="153"/>
      <c r="M5" s="153" t="s">
        <v>1023</v>
      </c>
      <c r="N5" s="153">
        <f t="shared" si="0"/>
        <v>240000</v>
      </c>
      <c r="O5" s="153">
        <v>12</v>
      </c>
      <c r="P5" s="153">
        <v>120000</v>
      </c>
      <c r="Q5" s="157">
        <f t="shared" si="1"/>
        <v>3</v>
      </c>
    </row>
    <row r="6" customHeight="1" spans="1:17">
      <c r="A6" s="145" t="s">
        <v>1024</v>
      </c>
      <c r="B6" s="145">
        <v>225000</v>
      </c>
      <c r="C6" s="145">
        <v>2000</v>
      </c>
      <c r="D6" s="145">
        <v>300000</v>
      </c>
      <c r="E6" s="145">
        <v>2000</v>
      </c>
      <c r="F6" s="145">
        <v>450000</v>
      </c>
      <c r="G6" s="145">
        <v>3000</v>
      </c>
      <c r="H6" s="145">
        <v>900000</v>
      </c>
      <c r="I6" s="145">
        <v>1500</v>
      </c>
      <c r="J6" s="145">
        <v>1500000</v>
      </c>
      <c r="K6" s="145">
        <v>1500</v>
      </c>
      <c r="L6" s="153"/>
      <c r="M6" s="153" t="s">
        <v>1025</v>
      </c>
      <c r="N6" s="153">
        <f t="shared" si="0"/>
        <v>600000</v>
      </c>
      <c r="O6" s="153">
        <v>30</v>
      </c>
      <c r="P6" s="153">
        <v>300000</v>
      </c>
      <c r="Q6" s="157">
        <f t="shared" si="1"/>
        <v>3</v>
      </c>
    </row>
    <row r="7" customHeight="1" spans="1:17">
      <c r="A7" s="145" t="s">
        <v>1026</v>
      </c>
      <c r="B7" s="145">
        <v>510000</v>
      </c>
      <c r="C7" s="145">
        <v>2000</v>
      </c>
      <c r="D7" s="145">
        <v>680000</v>
      </c>
      <c r="E7" s="145">
        <v>2000</v>
      </c>
      <c r="F7" s="145">
        <v>1020000</v>
      </c>
      <c r="G7" s="145">
        <v>3000</v>
      </c>
      <c r="H7" s="145">
        <v>2040000</v>
      </c>
      <c r="I7" s="145">
        <v>1500</v>
      </c>
      <c r="J7" s="145">
        <v>3400000</v>
      </c>
      <c r="K7" s="145">
        <v>1500</v>
      </c>
      <c r="L7" s="153"/>
      <c r="M7" s="153" t="s">
        <v>1027</v>
      </c>
      <c r="N7" s="153">
        <f t="shared" si="0"/>
        <v>1360000</v>
      </c>
      <c r="O7" s="153">
        <v>68</v>
      </c>
      <c r="P7" s="153">
        <v>680000</v>
      </c>
      <c r="Q7" s="157">
        <f t="shared" si="1"/>
        <v>3</v>
      </c>
    </row>
    <row r="8" customHeight="1" spans="1:17">
      <c r="A8" s="145" t="s">
        <v>1028</v>
      </c>
      <c r="B8" s="145">
        <v>1280000</v>
      </c>
      <c r="C8" s="145">
        <v>2000</v>
      </c>
      <c r="D8" s="145">
        <v>1920000</v>
      </c>
      <c r="E8" s="145">
        <v>2000</v>
      </c>
      <c r="F8" s="145">
        <v>2560000</v>
      </c>
      <c r="G8" s="145">
        <v>3000</v>
      </c>
      <c r="H8" s="145">
        <v>3200000</v>
      </c>
      <c r="I8" s="145">
        <v>1500</v>
      </c>
      <c r="J8" s="145">
        <v>4480000</v>
      </c>
      <c r="K8" s="145">
        <v>1500</v>
      </c>
      <c r="L8" s="153"/>
      <c r="M8" s="153" t="s">
        <v>1029</v>
      </c>
      <c r="N8" s="153">
        <f t="shared" si="0"/>
        <v>2560000</v>
      </c>
      <c r="O8" s="153">
        <v>128</v>
      </c>
      <c r="P8" s="153">
        <v>1280000</v>
      </c>
      <c r="Q8" s="157">
        <f t="shared" si="1"/>
        <v>3</v>
      </c>
    </row>
    <row r="9" customHeight="1" spans="1:17">
      <c r="A9" s="145" t="s">
        <v>1030</v>
      </c>
      <c r="B9" s="145">
        <v>1980000</v>
      </c>
      <c r="C9" s="145">
        <v>2000</v>
      </c>
      <c r="D9" s="145">
        <v>2970000</v>
      </c>
      <c r="E9" s="145">
        <v>2000</v>
      </c>
      <c r="F9" s="145">
        <v>3960000</v>
      </c>
      <c r="G9" s="145">
        <v>3000</v>
      </c>
      <c r="H9" s="145">
        <v>4950000</v>
      </c>
      <c r="I9" s="145">
        <v>1500</v>
      </c>
      <c r="J9" s="145">
        <v>6930000</v>
      </c>
      <c r="K9" s="145">
        <v>1500</v>
      </c>
      <c r="L9" s="153"/>
      <c r="M9" s="153" t="s">
        <v>1031</v>
      </c>
      <c r="N9" s="153">
        <f t="shared" si="0"/>
        <v>3960000</v>
      </c>
      <c r="O9" s="153">
        <v>198</v>
      </c>
      <c r="P9" s="153">
        <v>1980000</v>
      </c>
      <c r="Q9" s="157">
        <f t="shared" si="1"/>
        <v>3</v>
      </c>
    </row>
    <row r="10" customHeight="1" spans="1:17">
      <c r="A10" s="145" t="s">
        <v>1032</v>
      </c>
      <c r="B10" s="145">
        <v>3280000</v>
      </c>
      <c r="C10" s="145">
        <v>2000</v>
      </c>
      <c r="D10" s="145">
        <v>4920000</v>
      </c>
      <c r="E10" s="145">
        <v>2000</v>
      </c>
      <c r="F10" s="145">
        <v>6560000</v>
      </c>
      <c r="G10" s="145">
        <v>3000</v>
      </c>
      <c r="H10" s="145">
        <v>8200000</v>
      </c>
      <c r="I10" s="145">
        <v>1500</v>
      </c>
      <c r="J10" s="145">
        <v>11480000</v>
      </c>
      <c r="K10" s="145">
        <v>1500</v>
      </c>
      <c r="L10" s="153"/>
      <c r="M10" s="153" t="s">
        <v>1033</v>
      </c>
      <c r="N10" s="153">
        <f t="shared" si="0"/>
        <v>6560000</v>
      </c>
      <c r="O10" s="153">
        <v>328</v>
      </c>
      <c r="P10" s="153">
        <v>3280000</v>
      </c>
      <c r="Q10" s="157">
        <f t="shared" si="1"/>
        <v>3</v>
      </c>
    </row>
    <row r="11" customHeight="1" spans="1:17">
      <c r="A11" s="145" t="s">
        <v>1034</v>
      </c>
      <c r="B11" s="145">
        <v>6480000</v>
      </c>
      <c r="C11" s="145">
        <v>2000</v>
      </c>
      <c r="D11" s="145">
        <v>9720000</v>
      </c>
      <c r="E11" s="145">
        <v>2000</v>
      </c>
      <c r="F11" s="145">
        <v>12960000</v>
      </c>
      <c r="G11" s="145">
        <v>3000</v>
      </c>
      <c r="H11" s="145">
        <v>16200000</v>
      </c>
      <c r="I11" s="145">
        <v>1500</v>
      </c>
      <c r="J11" s="145">
        <v>22680000</v>
      </c>
      <c r="K11" s="145">
        <v>1500</v>
      </c>
      <c r="L11" s="153"/>
      <c r="M11" s="153" t="s">
        <v>1035</v>
      </c>
      <c r="N11" s="153">
        <f t="shared" si="0"/>
        <v>12960000</v>
      </c>
      <c r="O11" s="153">
        <v>648</v>
      </c>
      <c r="P11" s="153">
        <v>6480000</v>
      </c>
      <c r="Q11" s="157">
        <f t="shared" si="1"/>
        <v>3</v>
      </c>
    </row>
    <row r="12" customHeight="1" spans="1:17">
      <c r="A12" s="145" t="s">
        <v>1036</v>
      </c>
      <c r="B12" s="145">
        <v>50000</v>
      </c>
      <c r="C12" s="145">
        <v>2000</v>
      </c>
      <c r="D12" s="145">
        <v>50000</v>
      </c>
      <c r="E12" s="145">
        <v>2000</v>
      </c>
      <c r="F12" s="145">
        <v>50000</v>
      </c>
      <c r="G12" s="145">
        <v>2000</v>
      </c>
      <c r="H12" s="145">
        <v>50000</v>
      </c>
      <c r="I12" s="145">
        <v>2000</v>
      </c>
      <c r="J12" s="145">
        <v>50000</v>
      </c>
      <c r="K12" s="145">
        <v>2000</v>
      </c>
      <c r="L12" s="153"/>
      <c r="M12" s="153" t="s">
        <v>1037</v>
      </c>
      <c r="N12" s="153">
        <f t="shared" si="0"/>
        <v>50000</v>
      </c>
      <c r="O12" s="153">
        <v>8</v>
      </c>
      <c r="P12" s="153">
        <v>200000</v>
      </c>
      <c r="Q12" s="157">
        <f t="shared" si="1"/>
        <v>3.125</v>
      </c>
    </row>
    <row r="13" customHeight="1" spans="1:17">
      <c r="A13" s="146" t="s">
        <v>1038</v>
      </c>
      <c r="B13" s="145">
        <v>100000</v>
      </c>
      <c r="C13" s="145">
        <v>2000</v>
      </c>
      <c r="D13" s="145">
        <v>100000</v>
      </c>
      <c r="E13" s="145">
        <v>2000</v>
      </c>
      <c r="F13" s="145">
        <v>100000</v>
      </c>
      <c r="G13" s="145">
        <v>2000</v>
      </c>
      <c r="H13" s="145">
        <v>100000</v>
      </c>
      <c r="I13" s="145">
        <v>2000</v>
      </c>
      <c r="J13" s="145">
        <v>100000</v>
      </c>
      <c r="K13" s="145">
        <v>2000</v>
      </c>
      <c r="L13" s="153"/>
      <c r="M13" s="153" t="s">
        <v>1039</v>
      </c>
      <c r="N13" s="153">
        <f t="shared" si="0"/>
        <v>100000</v>
      </c>
      <c r="O13" s="153">
        <v>30</v>
      </c>
      <c r="P13" s="153">
        <v>600000</v>
      </c>
      <c r="Q13" s="157">
        <f t="shared" si="1"/>
        <v>2.33333333333333</v>
      </c>
    </row>
    <row r="14" customHeight="1" spans="1:17">
      <c r="A14" s="146" t="s">
        <v>1040</v>
      </c>
      <c r="B14" s="145">
        <v>476000</v>
      </c>
      <c r="C14" s="145">
        <v>2000</v>
      </c>
      <c r="D14" s="145">
        <v>544000</v>
      </c>
      <c r="E14" s="145">
        <v>2000</v>
      </c>
      <c r="F14" s="145">
        <v>680000</v>
      </c>
      <c r="G14" s="145">
        <v>3000</v>
      </c>
      <c r="H14" s="145">
        <v>1224000</v>
      </c>
      <c r="I14" s="145">
        <v>1500</v>
      </c>
      <c r="J14" s="145">
        <v>1700000</v>
      </c>
      <c r="K14" s="145">
        <v>1500</v>
      </c>
      <c r="L14" s="153"/>
      <c r="M14" s="153" t="s">
        <v>1041</v>
      </c>
      <c r="N14" s="153">
        <f t="shared" si="0"/>
        <v>846600</v>
      </c>
      <c r="O14" s="153">
        <v>68</v>
      </c>
      <c r="P14" s="153">
        <v>1000000</v>
      </c>
      <c r="Q14" s="157">
        <f t="shared" si="1"/>
        <v>2.71558823529412</v>
      </c>
    </row>
    <row r="15" customHeight="1" spans="1:17">
      <c r="A15" s="146" t="s">
        <v>1042</v>
      </c>
      <c r="B15" s="145">
        <v>1386000</v>
      </c>
      <c r="C15" s="145">
        <v>2000</v>
      </c>
      <c r="D15" s="145">
        <v>1584000</v>
      </c>
      <c r="E15" s="145">
        <v>2000</v>
      </c>
      <c r="F15" s="145">
        <v>1980000</v>
      </c>
      <c r="G15" s="145">
        <v>3000</v>
      </c>
      <c r="H15" s="145">
        <v>3564000</v>
      </c>
      <c r="I15" s="145">
        <v>1500</v>
      </c>
      <c r="J15" s="145">
        <v>4950000</v>
      </c>
      <c r="K15" s="145">
        <v>1500</v>
      </c>
      <c r="L15" s="153"/>
      <c r="M15" s="153" t="s">
        <v>1041</v>
      </c>
      <c r="N15" s="153">
        <f t="shared" si="0"/>
        <v>2465100</v>
      </c>
      <c r="O15" s="153">
        <v>198</v>
      </c>
      <c r="P15" s="153">
        <v>3000000</v>
      </c>
      <c r="Q15" s="157">
        <f t="shared" si="1"/>
        <v>2.76015151515152</v>
      </c>
    </row>
    <row r="16" customHeight="1" spans="1:17">
      <c r="A16" s="146" t="s">
        <v>1043</v>
      </c>
      <c r="B16" s="145">
        <v>2296000</v>
      </c>
      <c r="C16" s="145">
        <v>2000</v>
      </c>
      <c r="D16" s="145">
        <v>2624000</v>
      </c>
      <c r="E16" s="145">
        <v>2000</v>
      </c>
      <c r="F16" s="145">
        <v>3280000</v>
      </c>
      <c r="G16" s="145">
        <v>3000</v>
      </c>
      <c r="H16" s="145">
        <v>5904000</v>
      </c>
      <c r="I16" s="145">
        <v>1500</v>
      </c>
      <c r="J16" s="145">
        <v>8200000</v>
      </c>
      <c r="K16" s="145">
        <v>1500</v>
      </c>
      <c r="L16" s="153"/>
      <c r="M16" s="153" t="s">
        <v>1041</v>
      </c>
      <c r="N16" s="153">
        <f t="shared" si="0"/>
        <v>4083600</v>
      </c>
      <c r="O16" s="153">
        <v>328</v>
      </c>
      <c r="P16" s="153">
        <v>5000000</v>
      </c>
      <c r="Q16" s="157">
        <f t="shared" si="1"/>
        <v>2.76939024390244</v>
      </c>
    </row>
    <row r="17" customHeight="1" spans="1:17">
      <c r="A17" s="147" t="s">
        <v>1044</v>
      </c>
      <c r="B17" s="145">
        <v>4536000</v>
      </c>
      <c r="C17" s="145">
        <v>2000</v>
      </c>
      <c r="D17" s="145">
        <v>4536000</v>
      </c>
      <c r="E17" s="145">
        <v>2000</v>
      </c>
      <c r="F17" s="145">
        <v>5184000</v>
      </c>
      <c r="G17" s="145">
        <v>3000</v>
      </c>
      <c r="H17" s="145">
        <v>9720000</v>
      </c>
      <c r="I17" s="145">
        <v>1500</v>
      </c>
      <c r="J17" s="145">
        <v>12960000</v>
      </c>
      <c r="K17" s="145">
        <v>1500</v>
      </c>
      <c r="L17" s="153"/>
      <c r="M17" s="153" t="s">
        <v>1041</v>
      </c>
      <c r="N17" s="153">
        <f t="shared" si="0"/>
        <v>6771600</v>
      </c>
      <c r="O17" s="153">
        <v>648</v>
      </c>
      <c r="P17" s="153">
        <v>12000000</v>
      </c>
      <c r="Q17" s="157">
        <f t="shared" si="1"/>
        <v>2.89685185185185</v>
      </c>
    </row>
    <row r="18" customHeight="1" spans="1:17">
      <c r="A18" s="147" t="s">
        <v>1045</v>
      </c>
      <c r="B18" s="145">
        <v>32000</v>
      </c>
      <c r="C18" s="145">
        <v>2000</v>
      </c>
      <c r="D18" s="145">
        <v>56000</v>
      </c>
      <c r="E18" s="145">
        <v>2000</v>
      </c>
      <c r="F18" s="145">
        <v>64000</v>
      </c>
      <c r="G18" s="145">
        <v>3000</v>
      </c>
      <c r="H18" s="145">
        <v>120000</v>
      </c>
      <c r="I18" s="145">
        <v>1500</v>
      </c>
      <c r="J18" s="145">
        <v>240000</v>
      </c>
      <c r="K18" s="145">
        <v>1500</v>
      </c>
      <c r="L18" s="153"/>
      <c r="M18" s="153" t="s">
        <v>1041</v>
      </c>
      <c r="N18" s="153">
        <f t="shared" si="0"/>
        <v>90800</v>
      </c>
      <c r="O18" s="153">
        <v>8</v>
      </c>
      <c r="P18" s="153">
        <v>160000</v>
      </c>
      <c r="Q18" s="157">
        <f t="shared" si="1"/>
        <v>3.135</v>
      </c>
    </row>
    <row r="19" customHeight="1" spans="1:17">
      <c r="A19" s="147" t="s">
        <v>1046</v>
      </c>
      <c r="B19" s="145">
        <v>28000</v>
      </c>
      <c r="C19" s="145">
        <v>2000</v>
      </c>
      <c r="D19" s="145">
        <v>40000</v>
      </c>
      <c r="E19" s="145">
        <v>2000</v>
      </c>
      <c r="F19" s="145">
        <v>48000</v>
      </c>
      <c r="G19" s="145">
        <v>3000</v>
      </c>
      <c r="H19" s="145">
        <v>80000</v>
      </c>
      <c r="I19" s="145">
        <v>1500</v>
      </c>
      <c r="J19" s="145">
        <v>120000</v>
      </c>
      <c r="K19" s="145">
        <v>1500</v>
      </c>
      <c r="L19" s="153"/>
      <c r="M19" s="153" t="s">
        <v>1047</v>
      </c>
      <c r="N19" s="153">
        <f t="shared" si="0"/>
        <v>58000</v>
      </c>
      <c r="O19" s="153">
        <v>8</v>
      </c>
      <c r="P19" s="153">
        <v>120000</v>
      </c>
      <c r="Q19" s="157">
        <f t="shared" si="1"/>
        <v>2.225</v>
      </c>
    </row>
    <row r="20" customHeight="1" spans="1:17">
      <c r="A20" s="147" t="s">
        <v>1048</v>
      </c>
      <c r="B20" s="145">
        <v>120000</v>
      </c>
      <c r="C20" s="145">
        <v>2000</v>
      </c>
      <c r="D20" s="145">
        <v>150000</v>
      </c>
      <c r="E20" s="145">
        <v>2000</v>
      </c>
      <c r="F20" s="145">
        <v>180000</v>
      </c>
      <c r="G20" s="145">
        <v>3000</v>
      </c>
      <c r="H20" s="145">
        <v>360000</v>
      </c>
      <c r="I20" s="145">
        <v>1500</v>
      </c>
      <c r="J20" s="145">
        <v>540000</v>
      </c>
      <c r="K20" s="145">
        <v>1500</v>
      </c>
      <c r="L20" s="153"/>
      <c r="M20" s="153" t="s">
        <v>1049</v>
      </c>
      <c r="N20" s="153">
        <f t="shared" si="0"/>
        <v>243000</v>
      </c>
      <c r="O20" s="153">
        <v>30</v>
      </c>
      <c r="P20" s="153">
        <v>450000</v>
      </c>
      <c r="Q20" s="157">
        <f t="shared" si="1"/>
        <v>2.31</v>
      </c>
    </row>
    <row r="21" customHeight="1" spans="1:17">
      <c r="A21" s="147" t="s">
        <v>1050</v>
      </c>
      <c r="B21" s="145">
        <v>441000</v>
      </c>
      <c r="C21" s="145">
        <v>2000</v>
      </c>
      <c r="D21" s="145">
        <v>539000</v>
      </c>
      <c r="E21" s="145">
        <v>2000</v>
      </c>
      <c r="F21" s="145">
        <v>686000</v>
      </c>
      <c r="G21" s="145">
        <v>3000</v>
      </c>
      <c r="H21" s="145">
        <v>980000</v>
      </c>
      <c r="I21" s="145">
        <v>1500</v>
      </c>
      <c r="J21" s="145">
        <v>1568000</v>
      </c>
      <c r="K21" s="145">
        <v>1500</v>
      </c>
      <c r="L21" s="153"/>
      <c r="M21" s="153" t="s">
        <v>1051</v>
      </c>
      <c r="N21" s="153">
        <f t="shared" si="0"/>
        <v>784000</v>
      </c>
      <c r="O21" s="153">
        <v>98</v>
      </c>
      <c r="P21" s="153">
        <v>1500000</v>
      </c>
      <c r="Q21" s="157">
        <f t="shared" si="1"/>
        <v>2.33061224489796</v>
      </c>
    </row>
    <row r="22" customHeight="1" spans="1:17">
      <c r="A22" s="147" t="s">
        <v>1052</v>
      </c>
      <c r="B22" s="145">
        <v>2099200</v>
      </c>
      <c r="C22" s="145">
        <v>2000</v>
      </c>
      <c r="D22" s="145">
        <v>2296000</v>
      </c>
      <c r="E22" s="145">
        <v>2000</v>
      </c>
      <c r="F22" s="145">
        <v>2624000</v>
      </c>
      <c r="G22" s="145">
        <v>3000</v>
      </c>
      <c r="H22" s="145">
        <v>4920000</v>
      </c>
      <c r="I22" s="145">
        <v>1500</v>
      </c>
      <c r="J22" s="145">
        <v>5904000</v>
      </c>
      <c r="K22" s="145">
        <v>1500</v>
      </c>
      <c r="L22" s="153"/>
      <c r="M22" s="153" t="s">
        <v>1053</v>
      </c>
      <c r="N22" s="153">
        <f t="shared" si="0"/>
        <v>3289840</v>
      </c>
      <c r="O22" s="153">
        <v>328</v>
      </c>
      <c r="P22" s="153">
        <v>4800000</v>
      </c>
      <c r="Q22" s="157">
        <f t="shared" si="1"/>
        <v>2.46641463414634</v>
      </c>
    </row>
    <row r="23" customHeight="1" spans="1:17">
      <c r="A23" s="147" t="s">
        <v>1054</v>
      </c>
      <c r="B23" s="145">
        <v>4536000</v>
      </c>
      <c r="C23" s="145">
        <v>2000</v>
      </c>
      <c r="D23" s="145">
        <v>5184000</v>
      </c>
      <c r="E23" s="145">
        <v>2000</v>
      </c>
      <c r="F23" s="145">
        <v>5832000</v>
      </c>
      <c r="G23" s="145">
        <v>3000</v>
      </c>
      <c r="H23" s="145">
        <v>9720000</v>
      </c>
      <c r="I23" s="145">
        <v>1500</v>
      </c>
      <c r="J23" s="145">
        <v>12960000</v>
      </c>
      <c r="K23" s="145">
        <v>1500</v>
      </c>
      <c r="L23" s="153"/>
      <c r="M23" s="153" t="s">
        <v>1055</v>
      </c>
      <c r="N23" s="153">
        <f t="shared" si="0"/>
        <v>7095600</v>
      </c>
      <c r="O23" s="153">
        <v>648</v>
      </c>
      <c r="P23" s="153">
        <v>10000000</v>
      </c>
      <c r="Q23" s="157">
        <f t="shared" si="1"/>
        <v>2.63820987654321</v>
      </c>
    </row>
    <row r="24" customHeight="1" spans="1:17">
      <c r="A24" s="147" t="s">
        <v>1056</v>
      </c>
      <c r="B24" s="145">
        <v>819200</v>
      </c>
      <c r="C24" s="145">
        <v>1500</v>
      </c>
      <c r="D24" s="145">
        <v>1024000</v>
      </c>
      <c r="E24" s="145">
        <v>1500</v>
      </c>
      <c r="F24" s="145">
        <v>1024000</v>
      </c>
      <c r="G24" s="145">
        <v>4000</v>
      </c>
      <c r="H24" s="145">
        <v>1728000</v>
      </c>
      <c r="I24" s="145">
        <v>1500</v>
      </c>
      <c r="J24" s="145">
        <v>2304000</v>
      </c>
      <c r="K24" s="145">
        <v>1500</v>
      </c>
      <c r="L24" s="153"/>
      <c r="M24" s="153" t="s">
        <v>1057</v>
      </c>
      <c r="N24" s="153">
        <f t="shared" si="0"/>
        <v>1290880</v>
      </c>
      <c r="O24" s="153">
        <v>128</v>
      </c>
      <c r="P24" s="153">
        <v>1880000</v>
      </c>
      <c r="Q24" s="157">
        <f t="shared" si="1"/>
        <v>2.47725</v>
      </c>
    </row>
    <row r="25" customHeight="1" spans="1:17">
      <c r="A25" s="147" t="s">
        <v>1058</v>
      </c>
      <c r="B25" s="145">
        <v>4536000</v>
      </c>
      <c r="C25" s="145">
        <v>1500</v>
      </c>
      <c r="D25" s="145">
        <v>4536000</v>
      </c>
      <c r="E25" s="145">
        <v>1500</v>
      </c>
      <c r="F25" s="145">
        <v>5184000</v>
      </c>
      <c r="G25" s="145">
        <v>4000</v>
      </c>
      <c r="H25" s="145">
        <v>6480000</v>
      </c>
      <c r="I25" s="145">
        <v>1500</v>
      </c>
      <c r="J25" s="145">
        <v>9720000</v>
      </c>
      <c r="K25" s="145">
        <v>1500</v>
      </c>
      <c r="L25" s="153"/>
      <c r="M25" s="153" t="s">
        <v>1059</v>
      </c>
      <c r="N25" s="153">
        <f t="shared" si="0"/>
        <v>5864400</v>
      </c>
      <c r="O25" s="153">
        <v>648</v>
      </c>
      <c r="P25" s="153">
        <v>10000000</v>
      </c>
      <c r="Q25" s="157">
        <f t="shared" si="1"/>
        <v>2.44820987654321</v>
      </c>
    </row>
    <row r="26" customHeight="1" spans="1:17">
      <c r="A26" s="147" t="s">
        <v>1060</v>
      </c>
      <c r="B26" s="145">
        <v>7000</v>
      </c>
      <c r="C26" s="145">
        <v>2000</v>
      </c>
      <c r="D26" s="145">
        <v>8000</v>
      </c>
      <c r="E26" s="145">
        <v>2000</v>
      </c>
      <c r="F26" s="145">
        <v>10000</v>
      </c>
      <c r="G26" s="145">
        <v>3000</v>
      </c>
      <c r="H26" s="145">
        <v>15000</v>
      </c>
      <c r="I26" s="145">
        <v>1500</v>
      </c>
      <c r="J26" s="145">
        <v>20000</v>
      </c>
      <c r="K26" s="145">
        <v>1500</v>
      </c>
      <c r="L26" s="153"/>
      <c r="M26" s="153" t="s">
        <v>1041</v>
      </c>
      <c r="N26" s="153">
        <f t="shared" si="0"/>
        <v>11250</v>
      </c>
      <c r="O26" s="153">
        <v>1</v>
      </c>
      <c r="P26" s="153">
        <v>28888</v>
      </c>
      <c r="Q26" s="157">
        <f t="shared" si="1"/>
        <v>4.0138</v>
      </c>
    </row>
    <row r="27" customHeight="1" spans="1:17">
      <c r="A27" s="147" t="s">
        <v>1061</v>
      </c>
      <c r="B27" s="145">
        <v>32000</v>
      </c>
      <c r="C27" s="145">
        <v>2000</v>
      </c>
      <c r="D27" s="145">
        <v>56000</v>
      </c>
      <c r="E27" s="145">
        <v>2000</v>
      </c>
      <c r="F27" s="145">
        <v>64000</v>
      </c>
      <c r="G27" s="145">
        <v>3000</v>
      </c>
      <c r="H27" s="145">
        <v>120000</v>
      </c>
      <c r="I27" s="145">
        <v>1500</v>
      </c>
      <c r="J27" s="145">
        <v>160000</v>
      </c>
      <c r="K27" s="145">
        <v>1500</v>
      </c>
      <c r="L27" s="153"/>
      <c r="M27" s="153" t="s">
        <v>1062</v>
      </c>
      <c r="N27" s="153">
        <f t="shared" si="0"/>
        <v>78800</v>
      </c>
      <c r="O27" s="153">
        <v>8</v>
      </c>
      <c r="P27" s="153">
        <v>0</v>
      </c>
      <c r="Q27" s="157"/>
    </row>
    <row r="28" customHeight="1" spans="1:14">
      <c r="A28" s="148" t="s">
        <v>1063</v>
      </c>
      <c r="B28" s="80">
        <v>90000</v>
      </c>
      <c r="C28" s="80">
        <v>2000</v>
      </c>
      <c r="D28" s="80">
        <v>120000</v>
      </c>
      <c r="E28" s="80">
        <v>2000</v>
      </c>
      <c r="F28" s="152">
        <v>150000</v>
      </c>
      <c r="G28" s="152">
        <v>3000</v>
      </c>
      <c r="H28" s="80">
        <v>180000</v>
      </c>
      <c r="I28" s="80">
        <v>1500</v>
      </c>
      <c r="J28" s="80">
        <v>240000</v>
      </c>
      <c r="K28" s="80">
        <v>1500</v>
      </c>
      <c r="M28" s="153"/>
      <c r="N28" s="153">
        <f t="shared" si="0"/>
        <v>150000</v>
      </c>
    </row>
    <row r="29" customHeight="1" spans="1:14">
      <c r="A29" s="113" t="s">
        <v>1064</v>
      </c>
      <c r="B29" s="80">
        <v>180000</v>
      </c>
      <c r="C29" s="80">
        <v>2000</v>
      </c>
      <c r="D29" s="80">
        <v>240000</v>
      </c>
      <c r="E29" s="80">
        <v>2000</v>
      </c>
      <c r="F29" s="152">
        <v>300000</v>
      </c>
      <c r="G29" s="152">
        <v>3000</v>
      </c>
      <c r="H29" s="80">
        <v>360000</v>
      </c>
      <c r="I29" s="80">
        <v>1500</v>
      </c>
      <c r="J29" s="80">
        <v>480000</v>
      </c>
      <c r="K29" s="80">
        <v>1500</v>
      </c>
      <c r="M29" s="153"/>
      <c r="N29" s="153">
        <f t="shared" si="0"/>
        <v>300000</v>
      </c>
    </row>
    <row r="30" customHeight="1" spans="1:14">
      <c r="A30" s="113" t="s">
        <v>1065</v>
      </c>
      <c r="B30" s="149">
        <v>360000</v>
      </c>
      <c r="C30" s="80">
        <v>2000</v>
      </c>
      <c r="D30" s="80">
        <v>480000</v>
      </c>
      <c r="E30" s="80">
        <v>2000</v>
      </c>
      <c r="F30" s="152">
        <v>600000</v>
      </c>
      <c r="G30" s="152">
        <v>3000</v>
      </c>
      <c r="H30" s="80">
        <v>720000</v>
      </c>
      <c r="I30" s="80">
        <v>1500</v>
      </c>
      <c r="J30" s="80">
        <v>960000</v>
      </c>
      <c r="K30" s="80">
        <v>1500</v>
      </c>
      <c r="M30" s="153"/>
      <c r="N30" s="153">
        <f t="shared" si="0"/>
        <v>600000</v>
      </c>
    </row>
    <row r="31" customHeight="1" spans="1:17">
      <c r="A31" s="150" t="s">
        <v>1066</v>
      </c>
      <c r="B31" s="145">
        <v>32000</v>
      </c>
      <c r="C31" s="145">
        <v>2000</v>
      </c>
      <c r="D31" s="145">
        <v>56000</v>
      </c>
      <c r="E31" s="145">
        <v>2000</v>
      </c>
      <c r="F31" s="145">
        <v>64000</v>
      </c>
      <c r="G31" s="145">
        <v>3000</v>
      </c>
      <c r="H31" s="145">
        <v>120000</v>
      </c>
      <c r="I31" s="145">
        <v>1500</v>
      </c>
      <c r="J31" s="145">
        <v>240000</v>
      </c>
      <c r="K31" s="145">
        <v>1500</v>
      </c>
      <c r="M31" s="153" t="s">
        <v>1041</v>
      </c>
      <c r="N31" s="153">
        <f t="shared" si="0"/>
        <v>90800</v>
      </c>
      <c r="O31" s="2">
        <v>8</v>
      </c>
      <c r="P31" s="2">
        <v>240000</v>
      </c>
      <c r="Q31" s="157">
        <f t="shared" ref="Q31:Q40" si="2">(N31+P31)/O31/10000</f>
        <v>4.135</v>
      </c>
    </row>
    <row r="32" customHeight="1" spans="1:17">
      <c r="A32" s="113" t="s">
        <v>1067</v>
      </c>
      <c r="B32" s="145">
        <v>32000</v>
      </c>
      <c r="C32" s="145">
        <v>2000</v>
      </c>
      <c r="D32" s="145">
        <v>56000</v>
      </c>
      <c r="E32" s="145">
        <v>2000</v>
      </c>
      <c r="F32" s="145">
        <v>64000</v>
      </c>
      <c r="G32" s="145">
        <v>3000</v>
      </c>
      <c r="H32" s="145">
        <v>120000</v>
      </c>
      <c r="I32" s="145">
        <v>1500</v>
      </c>
      <c r="J32" s="145">
        <v>240000</v>
      </c>
      <c r="K32" s="145">
        <v>1500</v>
      </c>
      <c r="M32" s="153" t="s">
        <v>1041</v>
      </c>
      <c r="N32" s="153">
        <f t="shared" si="0"/>
        <v>90800</v>
      </c>
      <c r="O32" s="2">
        <v>8</v>
      </c>
      <c r="P32" s="2">
        <v>360000</v>
      </c>
      <c r="Q32" s="157">
        <f t="shared" si="2"/>
        <v>5.635</v>
      </c>
    </row>
    <row r="33" customHeight="1" spans="1:17">
      <c r="A33" s="113" t="s">
        <v>1068</v>
      </c>
      <c r="B33" s="145">
        <v>476000</v>
      </c>
      <c r="C33" s="145">
        <v>2000</v>
      </c>
      <c r="D33" s="145">
        <v>544000</v>
      </c>
      <c r="E33" s="145">
        <v>2000</v>
      </c>
      <c r="F33" s="145">
        <v>680000</v>
      </c>
      <c r="G33" s="145">
        <v>3000</v>
      </c>
      <c r="H33" s="145">
        <v>1224000</v>
      </c>
      <c r="I33" s="145">
        <v>1500</v>
      </c>
      <c r="J33" s="145">
        <v>1700000</v>
      </c>
      <c r="K33" s="145">
        <v>1500</v>
      </c>
      <c r="M33" s="153" t="s">
        <v>1041</v>
      </c>
      <c r="N33" s="153">
        <f t="shared" si="0"/>
        <v>846600</v>
      </c>
      <c r="O33" s="2">
        <v>68</v>
      </c>
      <c r="P33" s="2">
        <v>1500000</v>
      </c>
      <c r="Q33" s="157">
        <f t="shared" si="2"/>
        <v>3.45088235294118</v>
      </c>
    </row>
    <row r="34" customHeight="1" spans="1:17">
      <c r="A34" s="113" t="s">
        <v>1069</v>
      </c>
      <c r="B34" s="145">
        <v>476000</v>
      </c>
      <c r="C34" s="145">
        <v>2000</v>
      </c>
      <c r="D34" s="145">
        <v>544000</v>
      </c>
      <c r="E34" s="145">
        <v>2000</v>
      </c>
      <c r="F34" s="145">
        <v>680000</v>
      </c>
      <c r="G34" s="145">
        <v>3000</v>
      </c>
      <c r="H34" s="145">
        <v>1224000</v>
      </c>
      <c r="I34" s="145">
        <v>1500</v>
      </c>
      <c r="J34" s="145">
        <v>1700000</v>
      </c>
      <c r="K34" s="145">
        <v>1500</v>
      </c>
      <c r="M34" s="153" t="s">
        <v>1041</v>
      </c>
      <c r="N34" s="153">
        <f t="shared" si="0"/>
        <v>846600</v>
      </c>
      <c r="O34" s="2">
        <v>68</v>
      </c>
      <c r="P34" s="2">
        <v>2400000</v>
      </c>
      <c r="Q34" s="157">
        <f t="shared" si="2"/>
        <v>4.77441176470588</v>
      </c>
    </row>
    <row r="35" customHeight="1" spans="1:17">
      <c r="A35" s="113" t="s">
        <v>1070</v>
      </c>
      <c r="B35" s="145">
        <v>1386000</v>
      </c>
      <c r="C35" s="145">
        <v>2000</v>
      </c>
      <c r="D35" s="145">
        <v>1584000</v>
      </c>
      <c r="E35" s="145">
        <v>2000</v>
      </c>
      <c r="F35" s="145">
        <v>1980000</v>
      </c>
      <c r="G35" s="145">
        <v>3000</v>
      </c>
      <c r="H35" s="145">
        <v>3564000</v>
      </c>
      <c r="I35" s="145">
        <v>1500</v>
      </c>
      <c r="J35" s="145">
        <v>4950000</v>
      </c>
      <c r="K35" s="145">
        <v>1500</v>
      </c>
      <c r="M35" s="153" t="s">
        <v>1041</v>
      </c>
      <c r="N35" s="153">
        <f t="shared" si="0"/>
        <v>2465100</v>
      </c>
      <c r="O35" s="2">
        <v>198</v>
      </c>
      <c r="P35" s="2">
        <v>5000000</v>
      </c>
      <c r="Q35" s="157">
        <f t="shared" si="2"/>
        <v>3.77025252525252</v>
      </c>
    </row>
    <row r="36" customHeight="1" spans="1:17">
      <c r="A36" s="113" t="s">
        <v>1071</v>
      </c>
      <c r="B36" s="145">
        <v>1386000</v>
      </c>
      <c r="C36" s="145">
        <v>2000</v>
      </c>
      <c r="D36" s="145">
        <v>1584000</v>
      </c>
      <c r="E36" s="145">
        <v>2000</v>
      </c>
      <c r="F36" s="145">
        <v>1980000</v>
      </c>
      <c r="G36" s="145">
        <v>3000</v>
      </c>
      <c r="H36" s="145">
        <v>3564000</v>
      </c>
      <c r="I36" s="145">
        <v>1500</v>
      </c>
      <c r="J36" s="145">
        <v>4950000</v>
      </c>
      <c r="K36" s="145">
        <v>1500</v>
      </c>
      <c r="M36" s="153" t="s">
        <v>1041</v>
      </c>
      <c r="N36" s="153">
        <f t="shared" si="0"/>
        <v>2465100</v>
      </c>
      <c r="O36" s="2">
        <v>198</v>
      </c>
      <c r="P36" s="2">
        <v>7400000</v>
      </c>
      <c r="Q36" s="157">
        <f t="shared" si="2"/>
        <v>4.98237373737374</v>
      </c>
    </row>
    <row r="37" customHeight="1" spans="1:17">
      <c r="A37" s="113" t="s">
        <v>1072</v>
      </c>
      <c r="B37" s="145">
        <v>2296000</v>
      </c>
      <c r="C37" s="145">
        <v>2000</v>
      </c>
      <c r="D37" s="145">
        <v>2624000</v>
      </c>
      <c r="E37" s="145">
        <v>2000</v>
      </c>
      <c r="F37" s="145">
        <v>3280000</v>
      </c>
      <c r="G37" s="145">
        <v>3000</v>
      </c>
      <c r="H37" s="145">
        <v>5904000</v>
      </c>
      <c r="I37" s="145">
        <v>1500</v>
      </c>
      <c r="J37" s="145">
        <v>8200000</v>
      </c>
      <c r="K37" s="145">
        <v>1500</v>
      </c>
      <c r="M37" s="153" t="s">
        <v>1041</v>
      </c>
      <c r="N37" s="153">
        <f t="shared" si="0"/>
        <v>4083600</v>
      </c>
      <c r="O37" s="2">
        <v>328</v>
      </c>
      <c r="P37" s="2">
        <v>8000000</v>
      </c>
      <c r="Q37" s="157">
        <f t="shared" si="2"/>
        <v>3.6840243902439</v>
      </c>
    </row>
    <row r="38" customHeight="1" spans="1:17">
      <c r="A38" s="113" t="s">
        <v>1073</v>
      </c>
      <c r="B38" s="145">
        <v>2296000</v>
      </c>
      <c r="C38" s="145">
        <v>2000</v>
      </c>
      <c r="D38" s="145">
        <v>2624000</v>
      </c>
      <c r="E38" s="145">
        <v>2000</v>
      </c>
      <c r="F38" s="145">
        <v>3280000</v>
      </c>
      <c r="G38" s="145">
        <v>3000</v>
      </c>
      <c r="H38" s="145">
        <v>5904000</v>
      </c>
      <c r="I38" s="145">
        <v>1500</v>
      </c>
      <c r="J38" s="145">
        <v>8200000</v>
      </c>
      <c r="K38" s="145">
        <v>1500</v>
      </c>
      <c r="M38" s="153" t="s">
        <v>1041</v>
      </c>
      <c r="N38" s="153">
        <f t="shared" si="0"/>
        <v>4083600</v>
      </c>
      <c r="O38" s="2">
        <v>328</v>
      </c>
      <c r="P38" s="2">
        <v>13000000</v>
      </c>
      <c r="Q38" s="157">
        <f t="shared" si="2"/>
        <v>5.20841463414634</v>
      </c>
    </row>
    <row r="39" customHeight="1" spans="1:17">
      <c r="A39" s="113" t="s">
        <v>1074</v>
      </c>
      <c r="B39" s="145">
        <v>4536000</v>
      </c>
      <c r="C39" s="145">
        <v>2000</v>
      </c>
      <c r="D39" s="145">
        <v>4536000</v>
      </c>
      <c r="E39" s="145">
        <v>2000</v>
      </c>
      <c r="F39" s="145">
        <v>5184000</v>
      </c>
      <c r="G39" s="145">
        <v>3000</v>
      </c>
      <c r="H39" s="145">
        <v>9720000</v>
      </c>
      <c r="I39" s="145">
        <v>1500</v>
      </c>
      <c r="J39" s="145">
        <v>12960000</v>
      </c>
      <c r="K39" s="145">
        <v>1500</v>
      </c>
      <c r="M39" s="153" t="s">
        <v>1041</v>
      </c>
      <c r="N39" s="153">
        <f t="shared" si="0"/>
        <v>6771600</v>
      </c>
      <c r="O39" s="2">
        <v>648</v>
      </c>
      <c r="P39" s="2">
        <v>18000000</v>
      </c>
      <c r="Q39" s="157">
        <f t="shared" si="2"/>
        <v>3.82277777777778</v>
      </c>
    </row>
    <row r="40" customHeight="1" spans="1:17">
      <c r="A40" s="151" t="s">
        <v>1075</v>
      </c>
      <c r="B40" s="145">
        <v>4536000</v>
      </c>
      <c r="C40" s="145">
        <v>2000</v>
      </c>
      <c r="D40" s="145">
        <v>4536000</v>
      </c>
      <c r="E40" s="145">
        <v>2000</v>
      </c>
      <c r="F40" s="145">
        <v>5184000</v>
      </c>
      <c r="G40" s="145">
        <v>3000</v>
      </c>
      <c r="H40" s="145">
        <v>9720000</v>
      </c>
      <c r="I40" s="145">
        <v>1500</v>
      </c>
      <c r="J40" s="145">
        <v>12960000</v>
      </c>
      <c r="K40" s="145">
        <v>1500</v>
      </c>
      <c r="M40" s="153" t="s">
        <v>1041</v>
      </c>
      <c r="N40" s="153">
        <f t="shared" si="0"/>
        <v>6771600</v>
      </c>
      <c r="O40" s="2">
        <v>648</v>
      </c>
      <c r="P40" s="2">
        <v>30000000</v>
      </c>
      <c r="Q40" s="157">
        <f t="shared" si="2"/>
        <v>5.67462962962963</v>
      </c>
    </row>
  </sheetData>
  <conditionalFormatting sqref="Q3">
    <cfRule type="dataBar" priority="4">
      <dataBar>
        <cfvo type="min"/>
        <cfvo type="max"/>
        <color rgb="FFFF555A"/>
      </dataBar>
      <extLst>
        <ext xmlns:x14="http://schemas.microsoft.com/office/spreadsheetml/2009/9/main" uri="{B025F937-C7B1-47D3-B67F-A62EFF666E3E}">
          <x14:id>{e75b5218-0dd8-4930-a7da-ae43cf91f8d1}</x14:id>
        </ext>
      </extLst>
    </cfRule>
  </conditionalFormatting>
  <conditionalFormatting sqref="A4:A27">
    <cfRule type="duplicateValues" dxfId="2" priority="2"/>
  </conditionalFormatting>
  <conditionalFormatting sqref="Q4:Q27">
    <cfRule type="dataBar" priority="3">
      <dataBar>
        <cfvo type="min"/>
        <cfvo type="max"/>
        <color rgb="FFFF555A"/>
      </dataBar>
      <extLst>
        <ext xmlns:x14="http://schemas.microsoft.com/office/spreadsheetml/2009/9/main" uri="{B025F937-C7B1-47D3-B67F-A62EFF666E3E}">
          <x14:id>{6ccd33d7-a43b-4cf6-922c-238c0cebb510}</x14:id>
        </ext>
      </extLst>
    </cfRule>
  </conditionalFormatting>
  <conditionalFormatting sqref="Q31:Q40">
    <cfRule type="dataBar" priority="1">
      <dataBar>
        <cfvo type="min"/>
        <cfvo type="max"/>
        <color rgb="FFFF555A"/>
      </dataBar>
      <extLst>
        <ext xmlns:x14="http://schemas.microsoft.com/office/spreadsheetml/2009/9/main" uri="{B025F937-C7B1-47D3-B67F-A62EFF666E3E}">
          <x14:id>{fe88a5a6-cb99-4e4e-9776-03209d9f9626}</x14:id>
        </ext>
      </extLst>
    </cfRule>
  </conditionalFormatting>
  <pageMargins left="0.699305555555556" right="0.699305555555556" top="0.75" bottom="0.75" header="0.3" footer="0.3"/>
  <headerFooter/>
  <drawing r:id="rId1"/>
  <extLst>
    <ext xmlns:x14="http://schemas.microsoft.com/office/spreadsheetml/2009/9/main" uri="{78C0D931-6437-407d-A8EE-F0AAD7539E65}">
      <x14:conditionalFormattings>
        <x14:conditionalFormatting xmlns:xm="http://schemas.microsoft.com/office/excel/2006/main">
          <x14:cfRule type="dataBar" id="{e75b5218-0dd8-4930-a7da-ae43cf91f8d1}">
            <x14:dataBar minLength="0" maxLength="100" border="1" negativeBarBorderColorSameAsPositive="0">
              <x14:cfvo type="autoMin"/>
              <x14:cfvo type="autoMax"/>
              <x14:borderColor rgb="FFFF555A"/>
              <x14:negativeFillColor rgb="FFFF0000"/>
              <x14:negativeBorderColor rgb="FFFF0000"/>
              <x14:axisColor rgb="FF000000"/>
            </x14:dataBar>
          </x14:cfRule>
          <xm:sqref>Q3</xm:sqref>
        </x14:conditionalFormatting>
        <x14:conditionalFormatting xmlns:xm="http://schemas.microsoft.com/office/excel/2006/main">
          <x14:cfRule type="dataBar" id="{6ccd33d7-a43b-4cf6-922c-238c0cebb510}">
            <x14:dataBar minLength="0" maxLength="100" border="1" negativeBarBorderColorSameAsPositive="0">
              <x14:cfvo type="autoMin"/>
              <x14:cfvo type="autoMax"/>
              <x14:borderColor rgb="FFFF555A"/>
              <x14:negativeFillColor rgb="FFFF0000"/>
              <x14:negativeBorderColor rgb="FFFF0000"/>
              <x14:axisColor rgb="FF000000"/>
            </x14:dataBar>
          </x14:cfRule>
          <xm:sqref>Q4:Q27</xm:sqref>
        </x14:conditionalFormatting>
        <x14:conditionalFormatting xmlns:xm="http://schemas.microsoft.com/office/excel/2006/main">
          <x14:cfRule type="dataBar" id="{fe88a5a6-cb99-4e4e-9776-03209d9f9626}">
            <x14:dataBar minLength="0" maxLength="100" border="1" negativeBarBorderColorSameAsPositive="0">
              <x14:cfvo type="autoMin"/>
              <x14:cfvo type="autoMax"/>
              <x14:borderColor rgb="FFFF555A"/>
              <x14:negativeFillColor rgb="FFFF0000"/>
              <x14:negativeBorderColor rgb="FFFF0000"/>
              <x14:axisColor rgb="FF000000"/>
            </x14:dataBar>
          </x14:cfRule>
          <xm:sqref>Q31:Q40</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S28"/>
  <sheetViews>
    <sheetView topLeftCell="A7" workbookViewId="0">
      <pane xSplit="6" topLeftCell="L1" activePane="topRight" state="frozen"/>
      <selection/>
      <selection pane="topRight" activeCell="M28" sqref="M28"/>
    </sheetView>
  </sheetViews>
  <sheetFormatPr defaultColWidth="22" defaultRowHeight="23.1" customHeight="1"/>
  <cols>
    <col min="4" max="4" width="18.5" customWidth="1"/>
    <col min="5" max="5" width="17.5986842105263" customWidth="1"/>
    <col min="6" max="6" width="17" customWidth="1"/>
    <col min="7" max="7" width="16.0986842105263" customWidth="1"/>
    <col min="8" max="10" width="18.4013157894737" customWidth="1"/>
    <col min="11" max="13" width="17.5" customWidth="1"/>
    <col min="14" max="14" width="16.5" customWidth="1"/>
    <col min="15" max="15" width="14.4013157894737" customWidth="1"/>
    <col min="16" max="16" width="16.5" customWidth="1"/>
    <col min="17" max="17" width="14.5986842105263" customWidth="1"/>
    <col min="18" max="18" width="27" customWidth="1"/>
    <col min="19" max="19" width="27.0986842105263" customWidth="1"/>
    <col min="20" max="20" width="26.4013157894737" customWidth="1"/>
  </cols>
  <sheetData>
    <row r="1" customHeight="1" spans="1:19">
      <c r="A1" s="80" t="s">
        <v>1076</v>
      </c>
      <c r="B1" s="80" t="s">
        <v>1077</v>
      </c>
      <c r="C1" s="80" t="s">
        <v>1078</v>
      </c>
      <c r="D1" s="80" t="s">
        <v>1079</v>
      </c>
      <c r="E1" s="80" t="s">
        <v>1080</v>
      </c>
      <c r="F1" s="80" t="s">
        <v>1081</v>
      </c>
      <c r="G1" s="80" t="s">
        <v>1082</v>
      </c>
      <c r="H1" s="80" t="s">
        <v>1083</v>
      </c>
      <c r="I1" s="80" t="s">
        <v>1084</v>
      </c>
      <c r="J1" s="80" t="s">
        <v>1085</v>
      </c>
      <c r="K1" s="80" t="s">
        <v>1086</v>
      </c>
      <c r="L1" s="80" t="s">
        <v>1087</v>
      </c>
      <c r="M1" s="80" t="s">
        <v>1088</v>
      </c>
      <c r="N1" s="80" t="s">
        <v>1089</v>
      </c>
      <c r="O1" s="80" t="s">
        <v>1090</v>
      </c>
      <c r="P1" s="80" t="s">
        <v>778</v>
      </c>
      <c r="Q1" s="80" t="s">
        <v>1091</v>
      </c>
      <c r="R1" s="80" t="s">
        <v>1092</v>
      </c>
      <c r="S1" s="80" t="s">
        <v>1093</v>
      </c>
    </row>
    <row r="2" customHeight="1" spans="1:19">
      <c r="A2" s="80" t="s">
        <v>39</v>
      </c>
      <c r="B2" s="80" t="s">
        <v>514</v>
      </c>
      <c r="C2" s="80" t="s">
        <v>514</v>
      </c>
      <c r="D2" s="80" t="s">
        <v>514</v>
      </c>
      <c r="E2" s="80" t="s">
        <v>514</v>
      </c>
      <c r="F2" s="80" t="s">
        <v>514</v>
      </c>
      <c r="G2" s="80" t="s">
        <v>39</v>
      </c>
      <c r="H2" s="80" t="s">
        <v>39</v>
      </c>
      <c r="I2" s="80" t="s">
        <v>650</v>
      </c>
      <c r="J2" s="80" t="s">
        <v>650</v>
      </c>
      <c r="K2" s="80" t="s">
        <v>514</v>
      </c>
      <c r="L2" s="80" t="s">
        <v>39</v>
      </c>
      <c r="M2" s="80" t="s">
        <v>39</v>
      </c>
      <c r="N2" s="80" t="s">
        <v>39</v>
      </c>
      <c r="O2" s="80" t="s">
        <v>39</v>
      </c>
      <c r="P2" s="80" t="s">
        <v>39</v>
      </c>
      <c r="Q2" s="80" t="s">
        <v>39</v>
      </c>
      <c r="R2" s="80" t="s">
        <v>514</v>
      </c>
      <c r="S2" s="80" t="s">
        <v>514</v>
      </c>
    </row>
    <row r="3" customHeight="1" spans="1:19">
      <c r="A3" s="80" t="s">
        <v>1094</v>
      </c>
      <c r="B3" s="80" t="s">
        <v>1095</v>
      </c>
      <c r="C3" s="80" t="s">
        <v>1096</v>
      </c>
      <c r="D3" s="80" t="s">
        <v>1097</v>
      </c>
      <c r="E3" s="80" t="s">
        <v>1098</v>
      </c>
      <c r="F3" s="112" t="s">
        <v>1099</v>
      </c>
      <c r="G3" s="80" t="s">
        <v>1100</v>
      </c>
      <c r="H3" s="80" t="s">
        <v>1101</v>
      </c>
      <c r="I3" s="112" t="s">
        <v>1102</v>
      </c>
      <c r="J3" s="80" t="s">
        <v>1103</v>
      </c>
      <c r="K3" s="80" t="s">
        <v>1104</v>
      </c>
      <c r="L3" s="80" t="s">
        <v>1105</v>
      </c>
      <c r="M3" s="80" t="s">
        <v>1106</v>
      </c>
      <c r="N3" s="80" t="s">
        <v>1107</v>
      </c>
      <c r="O3" s="80" t="s">
        <v>1108</v>
      </c>
      <c r="P3" s="80" t="s">
        <v>1109</v>
      </c>
      <c r="Q3" s="80" t="s">
        <v>1110</v>
      </c>
      <c r="R3" s="80" t="s">
        <v>1111</v>
      </c>
      <c r="S3" s="80" t="s">
        <v>1112</v>
      </c>
    </row>
    <row r="4" customHeight="1" spans="1:19">
      <c r="A4" s="80">
        <v>44000001</v>
      </c>
      <c r="B4" s="80" t="s">
        <v>1113</v>
      </c>
      <c r="C4" s="112" t="s">
        <v>1114</v>
      </c>
      <c r="D4" s="80" t="s">
        <v>1115</v>
      </c>
      <c r="E4" s="80" t="s">
        <v>1116</v>
      </c>
      <c r="F4" s="80" t="s">
        <v>1117</v>
      </c>
      <c r="G4" s="80">
        <v>999</v>
      </c>
      <c r="H4" s="80">
        <v>0</v>
      </c>
      <c r="I4" s="80" t="s">
        <v>589</v>
      </c>
      <c r="J4" s="80" t="s">
        <v>589</v>
      </c>
      <c r="K4" s="80"/>
      <c r="L4" s="80">
        <v>1</v>
      </c>
      <c r="M4" s="80">
        <v>1</v>
      </c>
      <c r="N4" s="80">
        <v>1</v>
      </c>
      <c r="O4" s="80">
        <v>0</v>
      </c>
      <c r="P4" s="80">
        <v>1</v>
      </c>
      <c r="Q4" s="80" t="s">
        <v>1118</v>
      </c>
      <c r="R4" s="80" t="s">
        <v>1119</v>
      </c>
      <c r="S4" s="80" t="s">
        <v>1119</v>
      </c>
    </row>
    <row r="5" customHeight="1" spans="1:19">
      <c r="A5" s="80">
        <v>44000002</v>
      </c>
      <c r="B5" s="80" t="s">
        <v>1120</v>
      </c>
      <c r="C5" s="80" t="s">
        <v>1121</v>
      </c>
      <c r="D5" s="80" t="s">
        <v>1122</v>
      </c>
      <c r="E5" s="80" t="s">
        <v>1123</v>
      </c>
      <c r="F5" s="144" t="s">
        <v>1124</v>
      </c>
      <c r="G5" s="80">
        <v>999</v>
      </c>
      <c r="H5" s="80">
        <v>0</v>
      </c>
      <c r="I5" s="80" t="s">
        <v>589</v>
      </c>
      <c r="J5" s="80" t="s">
        <v>589</v>
      </c>
      <c r="K5" s="80"/>
      <c r="L5" s="80">
        <v>1</v>
      </c>
      <c r="M5" s="80">
        <v>1</v>
      </c>
      <c r="N5" s="80">
        <v>1</v>
      </c>
      <c r="O5" s="80">
        <v>0</v>
      </c>
      <c r="P5" s="80">
        <v>1</v>
      </c>
      <c r="Q5" s="80" t="s">
        <v>520</v>
      </c>
      <c r="R5" s="80" t="s">
        <v>1125</v>
      </c>
      <c r="S5" s="80" t="s">
        <v>1125</v>
      </c>
    </row>
    <row r="6" customHeight="1" spans="1:19">
      <c r="A6" s="80">
        <v>44000003</v>
      </c>
      <c r="B6" s="80" t="s">
        <v>1126</v>
      </c>
      <c r="C6" s="112" t="s">
        <v>1127</v>
      </c>
      <c r="D6" s="112" t="s">
        <v>1128</v>
      </c>
      <c r="E6" s="80"/>
      <c r="F6" s="144" t="s">
        <v>1124</v>
      </c>
      <c r="G6" s="80">
        <v>999</v>
      </c>
      <c r="H6" s="80">
        <v>0</v>
      </c>
      <c r="I6" s="80" t="s">
        <v>589</v>
      </c>
      <c r="J6" s="80" t="s">
        <v>589</v>
      </c>
      <c r="K6" s="80"/>
      <c r="L6" s="80">
        <v>1</v>
      </c>
      <c r="M6" s="80">
        <v>3</v>
      </c>
      <c r="N6" s="80">
        <v>1</v>
      </c>
      <c r="O6" s="80">
        <v>1</v>
      </c>
      <c r="P6" s="80">
        <v>0</v>
      </c>
      <c r="Q6" s="80" t="s">
        <v>520</v>
      </c>
      <c r="R6" s="80" t="s">
        <v>1129</v>
      </c>
      <c r="S6" s="80" t="s">
        <v>1129</v>
      </c>
    </row>
    <row r="7" customHeight="1" spans="1:19">
      <c r="A7" s="80">
        <v>44000004</v>
      </c>
      <c r="B7" s="80" t="s">
        <v>1130</v>
      </c>
      <c r="C7" s="112" t="s">
        <v>1131</v>
      </c>
      <c r="D7" s="112" t="s">
        <v>1132</v>
      </c>
      <c r="E7" s="112" t="s">
        <v>1133</v>
      </c>
      <c r="F7" s="80" t="s">
        <v>1134</v>
      </c>
      <c r="G7" s="80">
        <v>999</v>
      </c>
      <c r="H7" s="80">
        <v>0</v>
      </c>
      <c r="I7" s="80" t="s">
        <v>589</v>
      </c>
      <c r="J7" s="80" t="s">
        <v>589</v>
      </c>
      <c r="K7" s="80"/>
      <c r="L7" s="80">
        <v>99999</v>
      </c>
      <c r="M7" s="80">
        <v>99999</v>
      </c>
      <c r="N7" s="80">
        <v>1</v>
      </c>
      <c r="O7" s="80">
        <v>0</v>
      </c>
      <c r="P7" s="80">
        <v>1</v>
      </c>
      <c r="Q7" s="80" t="s">
        <v>1118</v>
      </c>
      <c r="R7" s="80" t="s">
        <v>589</v>
      </c>
      <c r="S7" s="80" t="s">
        <v>589</v>
      </c>
    </row>
    <row r="8" customHeight="1" spans="1:19">
      <c r="A8" s="80">
        <v>44000005</v>
      </c>
      <c r="B8" s="80" t="s">
        <v>1135</v>
      </c>
      <c r="C8" s="112" t="s">
        <v>1136</v>
      </c>
      <c r="D8" s="112" t="s">
        <v>1137</v>
      </c>
      <c r="E8" s="112" t="s">
        <v>1138</v>
      </c>
      <c r="F8" s="80" t="s">
        <v>1139</v>
      </c>
      <c r="G8" s="80">
        <v>999</v>
      </c>
      <c r="H8" s="80">
        <v>0</v>
      </c>
      <c r="I8" s="80" t="s">
        <v>589</v>
      </c>
      <c r="J8" s="80" t="s">
        <v>589</v>
      </c>
      <c r="K8" s="80"/>
      <c r="L8" s="80">
        <v>1</v>
      </c>
      <c r="M8" s="80">
        <v>1</v>
      </c>
      <c r="N8" s="80">
        <v>1</v>
      </c>
      <c r="O8" s="80">
        <v>0</v>
      </c>
      <c r="P8" s="80">
        <v>1</v>
      </c>
      <c r="Q8" s="80" t="s">
        <v>1140</v>
      </c>
      <c r="R8" s="80" t="s">
        <v>1141</v>
      </c>
      <c r="S8" s="80" t="s">
        <v>1141</v>
      </c>
    </row>
    <row r="9" customHeight="1" spans="1:19">
      <c r="A9" s="80">
        <v>44000006</v>
      </c>
      <c r="B9" s="80" t="s">
        <v>1142</v>
      </c>
      <c r="C9" s="80" t="s">
        <v>1143</v>
      </c>
      <c r="D9" s="80"/>
      <c r="E9" s="80"/>
      <c r="F9" s="80" t="s">
        <v>1144</v>
      </c>
      <c r="G9" s="80">
        <v>0</v>
      </c>
      <c r="H9" s="80">
        <v>0</v>
      </c>
      <c r="I9" s="80" t="s">
        <v>589</v>
      </c>
      <c r="J9" s="80" t="s">
        <v>589</v>
      </c>
      <c r="K9" s="80"/>
      <c r="L9" s="80">
        <v>99999</v>
      </c>
      <c r="M9" s="80">
        <v>1</v>
      </c>
      <c r="N9" s="80">
        <v>0</v>
      </c>
      <c r="O9" s="80">
        <v>0</v>
      </c>
      <c r="P9" s="80">
        <v>1</v>
      </c>
      <c r="Q9" s="80" t="s">
        <v>520</v>
      </c>
      <c r="R9" s="80" t="s">
        <v>589</v>
      </c>
      <c r="S9" s="80" t="s">
        <v>589</v>
      </c>
    </row>
    <row r="10" customHeight="1" spans="1:19">
      <c r="A10" s="80">
        <v>44000007</v>
      </c>
      <c r="B10" s="80" t="s">
        <v>1145</v>
      </c>
      <c r="C10" s="112" t="s">
        <v>1146</v>
      </c>
      <c r="D10" s="80" t="s">
        <v>1147</v>
      </c>
      <c r="E10" s="80" t="s">
        <v>1148</v>
      </c>
      <c r="F10" s="80" t="s">
        <v>1149</v>
      </c>
      <c r="G10" s="80">
        <v>999</v>
      </c>
      <c r="H10" s="80">
        <v>0</v>
      </c>
      <c r="I10" s="80" t="s">
        <v>589</v>
      </c>
      <c r="J10" s="80" t="s">
        <v>589</v>
      </c>
      <c r="K10" s="80"/>
      <c r="L10" s="80">
        <v>1</v>
      </c>
      <c r="M10" s="80">
        <v>1</v>
      </c>
      <c r="N10" s="80">
        <v>1</v>
      </c>
      <c r="O10" s="80">
        <v>0</v>
      </c>
      <c r="P10" s="80">
        <v>0</v>
      </c>
      <c r="Q10" s="80" t="s">
        <v>520</v>
      </c>
      <c r="R10" s="80" t="s">
        <v>589</v>
      </c>
      <c r="S10" s="80" t="s">
        <v>589</v>
      </c>
    </row>
    <row r="11" customHeight="1" spans="1:19">
      <c r="A11" s="80">
        <v>44000008</v>
      </c>
      <c r="B11" s="80" t="s">
        <v>1150</v>
      </c>
      <c r="C11" s="80" t="s">
        <v>1151</v>
      </c>
      <c r="D11" s="80"/>
      <c r="E11" s="80"/>
      <c r="F11" s="80" t="s">
        <v>1152</v>
      </c>
      <c r="G11" s="80">
        <v>0</v>
      </c>
      <c r="H11" s="80">
        <v>0</v>
      </c>
      <c r="I11" s="80" t="s">
        <v>589</v>
      </c>
      <c r="J11" s="80" t="s">
        <v>589</v>
      </c>
      <c r="K11" s="80"/>
      <c r="L11" s="80">
        <v>99999</v>
      </c>
      <c r="M11" s="80">
        <v>2</v>
      </c>
      <c r="N11" s="80">
        <v>0</v>
      </c>
      <c r="O11" s="80">
        <v>0</v>
      </c>
      <c r="P11" s="80">
        <v>0</v>
      </c>
      <c r="Q11" s="80" t="s">
        <v>520</v>
      </c>
      <c r="R11" s="80" t="s">
        <v>1153</v>
      </c>
      <c r="S11" s="80" t="s">
        <v>1153</v>
      </c>
    </row>
    <row r="12" customHeight="1" spans="1:19">
      <c r="A12" s="80">
        <v>44000009</v>
      </c>
      <c r="B12" s="80" t="s">
        <v>1154</v>
      </c>
      <c r="C12" s="112" t="s">
        <v>1155</v>
      </c>
      <c r="D12" s="80" t="s">
        <v>1156</v>
      </c>
      <c r="E12" s="80"/>
      <c r="F12" s="80" t="s">
        <v>1157</v>
      </c>
      <c r="G12" s="80">
        <v>999</v>
      </c>
      <c r="H12" s="80">
        <v>0</v>
      </c>
      <c r="I12" s="80" t="s">
        <v>589</v>
      </c>
      <c r="J12" s="80" t="s">
        <v>589</v>
      </c>
      <c r="K12" s="80"/>
      <c r="L12" s="80">
        <v>99999</v>
      </c>
      <c r="M12" s="80">
        <v>99999</v>
      </c>
      <c r="N12" s="80">
        <v>0</v>
      </c>
      <c r="O12" s="80">
        <v>0</v>
      </c>
      <c r="P12" s="80">
        <v>1</v>
      </c>
      <c r="Q12" s="80" t="s">
        <v>522</v>
      </c>
      <c r="R12" s="80" t="s">
        <v>1141</v>
      </c>
      <c r="S12" s="80" t="s">
        <v>1141</v>
      </c>
    </row>
    <row r="13" customHeight="1" spans="1:19">
      <c r="A13" s="80">
        <v>44000010</v>
      </c>
      <c r="B13" s="80" t="s">
        <v>1158</v>
      </c>
      <c r="C13" s="80" t="s">
        <v>1159</v>
      </c>
      <c r="D13" s="80" t="s">
        <v>1160</v>
      </c>
      <c r="E13" s="80" t="s">
        <v>1161</v>
      </c>
      <c r="F13" s="80" t="s">
        <v>1162</v>
      </c>
      <c r="G13" s="80">
        <v>0</v>
      </c>
      <c r="H13" s="80">
        <v>0</v>
      </c>
      <c r="I13" s="80" t="s">
        <v>589</v>
      </c>
      <c r="J13" s="80" t="s">
        <v>589</v>
      </c>
      <c r="K13" s="80"/>
      <c r="L13" s="80">
        <v>3</v>
      </c>
      <c r="M13" s="80">
        <v>3</v>
      </c>
      <c r="N13" s="80">
        <v>0</v>
      </c>
      <c r="O13" s="80">
        <v>0</v>
      </c>
      <c r="P13" s="80">
        <v>1</v>
      </c>
      <c r="Q13" s="80" t="s">
        <v>522</v>
      </c>
      <c r="R13" s="80" t="s">
        <v>1153</v>
      </c>
      <c r="S13" s="80" t="s">
        <v>1153</v>
      </c>
    </row>
    <row r="14" customHeight="1" spans="1:19">
      <c r="A14" s="80">
        <v>44000011</v>
      </c>
      <c r="B14" s="80" t="s">
        <v>1163</v>
      </c>
      <c r="C14" s="112" t="s">
        <v>1164</v>
      </c>
      <c r="D14" s="80" t="s">
        <v>1160</v>
      </c>
      <c r="E14" s="80" t="s">
        <v>1161</v>
      </c>
      <c r="F14" s="80" t="s">
        <v>1165</v>
      </c>
      <c r="G14" s="80">
        <v>999</v>
      </c>
      <c r="H14" s="80">
        <v>0</v>
      </c>
      <c r="I14" s="80" t="s">
        <v>589</v>
      </c>
      <c r="J14" s="80" t="s">
        <v>589</v>
      </c>
      <c r="K14" s="80"/>
      <c r="L14" s="80">
        <v>3</v>
      </c>
      <c r="M14" s="80">
        <v>3</v>
      </c>
      <c r="N14" s="80">
        <v>0</v>
      </c>
      <c r="O14" s="80">
        <v>0</v>
      </c>
      <c r="P14" s="80">
        <v>1</v>
      </c>
      <c r="Q14" s="80" t="s">
        <v>1140</v>
      </c>
      <c r="R14" s="80" t="s">
        <v>1119</v>
      </c>
      <c r="S14" s="80" t="s">
        <v>1119</v>
      </c>
    </row>
    <row r="15" customHeight="1" spans="1:19">
      <c r="A15" s="80">
        <v>44000012</v>
      </c>
      <c r="B15" s="80" t="s">
        <v>1166</v>
      </c>
      <c r="C15" s="112" t="s">
        <v>1167</v>
      </c>
      <c r="D15" s="80"/>
      <c r="E15" s="80"/>
      <c r="F15" s="112" t="s">
        <v>1168</v>
      </c>
      <c r="G15" s="80">
        <v>0</v>
      </c>
      <c r="H15" s="80">
        <v>0</v>
      </c>
      <c r="I15" s="80" t="s">
        <v>589</v>
      </c>
      <c r="J15" s="80" t="s">
        <v>589</v>
      </c>
      <c r="K15" s="80"/>
      <c r="L15" s="80">
        <v>99999</v>
      </c>
      <c r="M15" s="80">
        <v>5</v>
      </c>
      <c r="N15" s="80">
        <v>0</v>
      </c>
      <c r="O15" s="80">
        <v>0</v>
      </c>
      <c r="P15" s="80">
        <v>1</v>
      </c>
      <c r="Q15" s="80" t="s">
        <v>520</v>
      </c>
      <c r="R15" s="80" t="s">
        <v>1169</v>
      </c>
      <c r="S15" s="80" t="s">
        <v>1169</v>
      </c>
    </row>
    <row r="16" customHeight="1" spans="1:19">
      <c r="A16" s="80">
        <v>44000013</v>
      </c>
      <c r="B16" s="80" t="s">
        <v>1170</v>
      </c>
      <c r="C16" s="112" t="s">
        <v>1171</v>
      </c>
      <c r="D16" s="112" t="s">
        <v>1172</v>
      </c>
      <c r="E16" s="112" t="s">
        <v>1172</v>
      </c>
      <c r="F16" s="144" t="s">
        <v>1173</v>
      </c>
      <c r="G16" s="80">
        <v>999</v>
      </c>
      <c r="H16" s="80">
        <v>0</v>
      </c>
      <c r="I16" s="80" t="s">
        <v>589</v>
      </c>
      <c r="J16" s="80" t="s">
        <v>589</v>
      </c>
      <c r="K16" s="80"/>
      <c r="L16" s="80">
        <v>1</v>
      </c>
      <c r="M16" s="80">
        <v>1</v>
      </c>
      <c r="N16" s="80">
        <v>1</v>
      </c>
      <c r="O16" s="80">
        <v>0</v>
      </c>
      <c r="P16" s="80">
        <v>1</v>
      </c>
      <c r="Q16" s="80" t="s">
        <v>1118</v>
      </c>
      <c r="R16" s="80" t="s">
        <v>1119</v>
      </c>
      <c r="S16" s="80" t="s">
        <v>1119</v>
      </c>
    </row>
    <row r="17" customHeight="1" spans="1:19">
      <c r="A17" s="80">
        <v>44000014</v>
      </c>
      <c r="B17" s="80" t="s">
        <v>1174</v>
      </c>
      <c r="C17" s="112" t="s">
        <v>1175</v>
      </c>
      <c r="D17" s="112" t="s">
        <v>1175</v>
      </c>
      <c r="E17" s="112" t="s">
        <v>1175</v>
      </c>
      <c r="F17" s="112" t="s">
        <v>1176</v>
      </c>
      <c r="G17" s="80">
        <v>0</v>
      </c>
      <c r="H17" s="80">
        <v>0</v>
      </c>
      <c r="I17" s="80" t="s">
        <v>589</v>
      </c>
      <c r="J17" s="80" t="s">
        <v>589</v>
      </c>
      <c r="K17" s="80"/>
      <c r="L17" s="80">
        <v>99999</v>
      </c>
      <c r="M17" s="80">
        <v>2</v>
      </c>
      <c r="N17" s="80">
        <v>0</v>
      </c>
      <c r="O17" s="80">
        <v>0</v>
      </c>
      <c r="P17" s="80">
        <v>0</v>
      </c>
      <c r="Q17" s="80" t="s">
        <v>520</v>
      </c>
      <c r="R17" s="80" t="s">
        <v>1177</v>
      </c>
      <c r="S17" s="80" t="s">
        <v>1177</v>
      </c>
    </row>
    <row r="18" customHeight="1" spans="1:19">
      <c r="A18" s="80">
        <v>44000015</v>
      </c>
      <c r="B18" s="80" t="s">
        <v>1178</v>
      </c>
      <c r="C18" s="112" t="s">
        <v>1179</v>
      </c>
      <c r="D18" s="80" t="s">
        <v>1180</v>
      </c>
      <c r="E18" s="80" t="s">
        <v>1181</v>
      </c>
      <c r="F18" s="80" t="s">
        <v>1182</v>
      </c>
      <c r="G18" s="80">
        <v>999</v>
      </c>
      <c r="H18" s="80">
        <v>0</v>
      </c>
      <c r="I18" s="80" t="s">
        <v>589</v>
      </c>
      <c r="J18" s="80" t="s">
        <v>589</v>
      </c>
      <c r="K18" s="80"/>
      <c r="L18" s="80">
        <v>3</v>
      </c>
      <c r="M18" s="80">
        <v>3</v>
      </c>
      <c r="N18" s="80">
        <v>1</v>
      </c>
      <c r="O18" s="80">
        <v>0</v>
      </c>
      <c r="P18" s="80">
        <v>0</v>
      </c>
      <c r="Q18" s="80" t="s">
        <v>1183</v>
      </c>
      <c r="R18" s="80" t="s">
        <v>589</v>
      </c>
      <c r="S18" s="80" t="s">
        <v>589</v>
      </c>
    </row>
    <row r="19" customHeight="1" spans="1:19">
      <c r="A19" s="80">
        <v>44000016</v>
      </c>
      <c r="B19" s="80" t="s">
        <v>1184</v>
      </c>
      <c r="C19" s="80" t="s">
        <v>1185</v>
      </c>
      <c r="D19" s="80" t="s">
        <v>1147</v>
      </c>
      <c r="E19" s="80" t="s">
        <v>1148</v>
      </c>
      <c r="F19" s="112" t="s">
        <v>1186</v>
      </c>
      <c r="G19" s="80">
        <v>999</v>
      </c>
      <c r="H19" s="80">
        <v>0</v>
      </c>
      <c r="I19" s="80" t="s">
        <v>589</v>
      </c>
      <c r="J19" s="80" t="s">
        <v>589</v>
      </c>
      <c r="K19" s="80"/>
      <c r="L19" s="80">
        <v>1</v>
      </c>
      <c r="M19" s="80">
        <v>1</v>
      </c>
      <c r="N19" s="80">
        <v>1</v>
      </c>
      <c r="O19" s="80">
        <v>0</v>
      </c>
      <c r="P19" s="80">
        <v>0</v>
      </c>
      <c r="Q19" s="80" t="s">
        <v>1118</v>
      </c>
      <c r="R19" s="80" t="s">
        <v>589</v>
      </c>
      <c r="S19" s="80" t="s">
        <v>589</v>
      </c>
    </row>
    <row r="20" customHeight="1" spans="1:19">
      <c r="A20" s="80">
        <v>44000017</v>
      </c>
      <c r="B20" s="80" t="s">
        <v>1187</v>
      </c>
      <c r="C20" s="80" t="s">
        <v>1185</v>
      </c>
      <c r="D20" s="80" t="s">
        <v>1147</v>
      </c>
      <c r="E20" s="80" t="s">
        <v>1148</v>
      </c>
      <c r="F20" s="80" t="s">
        <v>1188</v>
      </c>
      <c r="G20" s="80">
        <v>999</v>
      </c>
      <c r="H20" s="80">
        <v>0</v>
      </c>
      <c r="I20" s="80" t="s">
        <v>589</v>
      </c>
      <c r="J20" s="80" t="s">
        <v>589</v>
      </c>
      <c r="K20" s="80"/>
      <c r="L20" s="80">
        <v>1</v>
      </c>
      <c r="M20" s="80">
        <v>1</v>
      </c>
      <c r="N20" s="80">
        <v>1</v>
      </c>
      <c r="O20" s="80">
        <v>0</v>
      </c>
      <c r="P20" s="80">
        <v>0</v>
      </c>
      <c r="Q20" s="80" t="s">
        <v>520</v>
      </c>
      <c r="R20" s="80" t="s">
        <v>589</v>
      </c>
      <c r="S20" s="80" t="s">
        <v>589</v>
      </c>
    </row>
    <row r="21" customHeight="1" spans="1:19">
      <c r="A21" s="80">
        <v>44000018</v>
      </c>
      <c r="B21" s="80" t="s">
        <v>1189</v>
      </c>
      <c r="C21" s="80" t="s">
        <v>1185</v>
      </c>
      <c r="D21" s="80" t="s">
        <v>1147</v>
      </c>
      <c r="E21" s="80" t="s">
        <v>1148</v>
      </c>
      <c r="F21" s="80" t="s">
        <v>1190</v>
      </c>
      <c r="G21" s="80">
        <v>999</v>
      </c>
      <c r="H21" s="80">
        <v>0</v>
      </c>
      <c r="I21" s="80" t="s">
        <v>589</v>
      </c>
      <c r="J21" s="80" t="s">
        <v>589</v>
      </c>
      <c r="K21" s="80"/>
      <c r="L21" s="80">
        <v>1</v>
      </c>
      <c r="M21" s="80">
        <v>1</v>
      </c>
      <c r="N21" s="80">
        <v>1</v>
      </c>
      <c r="O21" s="80">
        <v>0</v>
      </c>
      <c r="P21" s="80">
        <v>0</v>
      </c>
      <c r="Q21" s="80" t="s">
        <v>520</v>
      </c>
      <c r="R21" s="80" t="s">
        <v>589</v>
      </c>
      <c r="S21" s="80" t="s">
        <v>589</v>
      </c>
    </row>
    <row r="22" customHeight="1" spans="1:19">
      <c r="A22" s="80">
        <v>44000019</v>
      </c>
      <c r="B22" s="80" t="s">
        <v>1191</v>
      </c>
      <c r="C22" s="80" t="s">
        <v>1185</v>
      </c>
      <c r="D22" s="80" t="s">
        <v>1147</v>
      </c>
      <c r="E22" s="80" t="s">
        <v>1148</v>
      </c>
      <c r="F22" s="80" t="s">
        <v>1192</v>
      </c>
      <c r="G22" s="80">
        <v>999</v>
      </c>
      <c r="H22" s="80">
        <v>0</v>
      </c>
      <c r="I22" s="80" t="s">
        <v>589</v>
      </c>
      <c r="J22" s="80" t="s">
        <v>589</v>
      </c>
      <c r="K22" s="80"/>
      <c r="L22" s="80">
        <v>1</v>
      </c>
      <c r="M22" s="80">
        <v>1</v>
      </c>
      <c r="N22" s="80">
        <v>1</v>
      </c>
      <c r="O22" s="80">
        <v>0</v>
      </c>
      <c r="P22" s="80">
        <v>0</v>
      </c>
      <c r="Q22" s="80" t="s">
        <v>520</v>
      </c>
      <c r="R22" s="80" t="s">
        <v>589</v>
      </c>
      <c r="S22" s="80" t="s">
        <v>589</v>
      </c>
    </row>
    <row r="23" customHeight="1" spans="1:19">
      <c r="A23" s="80">
        <v>44000020</v>
      </c>
      <c r="B23" s="80" t="s">
        <v>1193</v>
      </c>
      <c r="C23" s="112" t="s">
        <v>1194</v>
      </c>
      <c r="D23" s="112" t="s">
        <v>1194</v>
      </c>
      <c r="E23" s="112" t="s">
        <v>1194</v>
      </c>
      <c r="F23" s="112" t="s">
        <v>1195</v>
      </c>
      <c r="G23" s="80">
        <v>0</v>
      </c>
      <c r="H23" s="80">
        <v>0</v>
      </c>
      <c r="I23" s="80" t="s">
        <v>589</v>
      </c>
      <c r="J23" s="80" t="s">
        <v>589</v>
      </c>
      <c r="K23" s="80"/>
      <c r="L23" s="80">
        <v>99999</v>
      </c>
      <c r="M23" s="80">
        <v>99999</v>
      </c>
      <c r="N23" s="80">
        <v>0</v>
      </c>
      <c r="O23" s="80">
        <v>0</v>
      </c>
      <c r="P23" s="80">
        <v>1</v>
      </c>
      <c r="Q23" s="80" t="s">
        <v>1118</v>
      </c>
      <c r="R23" s="80" t="s">
        <v>589</v>
      </c>
      <c r="S23" s="80" t="s">
        <v>589</v>
      </c>
    </row>
    <row r="24" customHeight="1" spans="1:19">
      <c r="A24" s="80">
        <v>44000021</v>
      </c>
      <c r="B24" s="80" t="s">
        <v>1196</v>
      </c>
      <c r="C24" s="112" t="s">
        <v>1197</v>
      </c>
      <c r="D24" s="80" t="s">
        <v>1197</v>
      </c>
      <c r="E24" s="80" t="s">
        <v>1197</v>
      </c>
      <c r="F24" s="112" t="s">
        <v>1198</v>
      </c>
      <c r="G24" s="80">
        <v>0</v>
      </c>
      <c r="H24" s="80">
        <v>0</v>
      </c>
      <c r="I24" s="80" t="s">
        <v>589</v>
      </c>
      <c r="J24" s="80" t="s">
        <v>589</v>
      </c>
      <c r="K24" s="80"/>
      <c r="L24" s="80">
        <v>99999</v>
      </c>
      <c r="M24" s="80">
        <v>99999</v>
      </c>
      <c r="N24" s="80">
        <v>0</v>
      </c>
      <c r="O24" s="80">
        <v>0</v>
      </c>
      <c r="P24" s="80">
        <v>0</v>
      </c>
      <c r="Q24" s="80" t="s">
        <v>520</v>
      </c>
      <c r="R24" s="80" t="s">
        <v>1199</v>
      </c>
      <c r="S24" s="80" t="s">
        <v>1199</v>
      </c>
    </row>
    <row r="25" customHeight="1" spans="1:19">
      <c r="A25" s="80">
        <v>44000022</v>
      </c>
      <c r="B25" s="80" t="s">
        <v>1200</v>
      </c>
      <c r="C25" s="112" t="s">
        <v>1201</v>
      </c>
      <c r="D25" s="80"/>
      <c r="E25" s="80"/>
      <c r="F25" s="80" t="s">
        <v>1202</v>
      </c>
      <c r="G25" s="80">
        <v>999</v>
      </c>
      <c r="H25" s="80">
        <v>0</v>
      </c>
      <c r="I25" s="80" t="s">
        <v>589</v>
      </c>
      <c r="J25" s="80" t="s">
        <v>589</v>
      </c>
      <c r="K25" s="80"/>
      <c r="L25" s="80">
        <v>3</v>
      </c>
      <c r="M25" s="80">
        <v>1</v>
      </c>
      <c r="N25" s="80">
        <v>1</v>
      </c>
      <c r="O25" s="80">
        <v>0</v>
      </c>
      <c r="P25" s="80">
        <v>0</v>
      </c>
      <c r="Q25" s="80" t="s">
        <v>1183</v>
      </c>
      <c r="R25" s="80" t="s">
        <v>589</v>
      </c>
      <c r="S25" s="80" t="s">
        <v>589</v>
      </c>
    </row>
    <row r="26" customHeight="1" spans="1:19">
      <c r="A26" s="80">
        <v>44000023</v>
      </c>
      <c r="B26" s="80" t="s">
        <v>1203</v>
      </c>
      <c r="C26" s="112" t="s">
        <v>1204</v>
      </c>
      <c r="D26" s="112" t="s">
        <v>1205</v>
      </c>
      <c r="E26" s="80"/>
      <c r="F26" s="80" t="s">
        <v>1206</v>
      </c>
      <c r="G26" s="80">
        <v>0</v>
      </c>
      <c r="H26" s="80">
        <v>0</v>
      </c>
      <c r="I26" s="80" t="s">
        <v>589</v>
      </c>
      <c r="J26" s="80" t="s">
        <v>589</v>
      </c>
      <c r="K26" s="80"/>
      <c r="L26" s="80">
        <v>99999</v>
      </c>
      <c r="M26" s="80">
        <v>99999</v>
      </c>
      <c r="N26" s="80">
        <v>0</v>
      </c>
      <c r="O26" s="80">
        <v>1</v>
      </c>
      <c r="P26" s="80">
        <v>1</v>
      </c>
      <c r="Q26" s="80" t="s">
        <v>1207</v>
      </c>
      <c r="R26" s="80" t="s">
        <v>589</v>
      </c>
      <c r="S26" s="80" t="s">
        <v>589</v>
      </c>
    </row>
    <row r="27" customHeight="1" spans="1:19">
      <c r="A27" s="80">
        <v>44000024</v>
      </c>
      <c r="B27" s="80" t="s">
        <v>1208</v>
      </c>
      <c r="C27" s="112" t="s">
        <v>1209</v>
      </c>
      <c r="D27" s="80"/>
      <c r="E27" s="80"/>
      <c r="F27" s="80"/>
      <c r="G27" s="80">
        <v>0</v>
      </c>
      <c r="H27" s="80">
        <v>0</v>
      </c>
      <c r="I27" s="80" t="s">
        <v>589</v>
      </c>
      <c r="J27" s="80" t="s">
        <v>589</v>
      </c>
      <c r="K27" s="80"/>
      <c r="L27" s="80">
        <v>99999</v>
      </c>
      <c r="M27" s="80">
        <v>99999</v>
      </c>
      <c r="N27" s="80">
        <v>0</v>
      </c>
      <c r="O27" s="80">
        <v>0</v>
      </c>
      <c r="P27" s="80">
        <v>1</v>
      </c>
      <c r="Q27" s="80" t="s">
        <v>1140</v>
      </c>
      <c r="R27" s="80" t="s">
        <v>1210</v>
      </c>
      <c r="S27" s="80" t="s">
        <v>1211</v>
      </c>
    </row>
    <row r="28" customHeight="1" spans="1:19">
      <c r="A28" s="80">
        <v>44000025</v>
      </c>
      <c r="B28" s="80" t="s">
        <v>1212</v>
      </c>
      <c r="C28" s="112" t="s">
        <v>1213</v>
      </c>
      <c r="D28" s="80"/>
      <c r="E28" s="80"/>
      <c r="F28" s="80"/>
      <c r="G28" s="80">
        <v>0</v>
      </c>
      <c r="H28" s="80">
        <v>0</v>
      </c>
      <c r="I28" s="80" t="s">
        <v>589</v>
      </c>
      <c r="J28" s="80" t="s">
        <v>589</v>
      </c>
      <c r="K28" s="80"/>
      <c r="L28" s="80">
        <v>99999</v>
      </c>
      <c r="M28" s="80">
        <v>99999</v>
      </c>
      <c r="N28" s="80">
        <v>0</v>
      </c>
      <c r="O28" s="80">
        <v>0</v>
      </c>
      <c r="P28" s="80">
        <v>1</v>
      </c>
      <c r="Q28" s="80" t="s">
        <v>520</v>
      </c>
      <c r="R28" s="80" t="s">
        <v>1214</v>
      </c>
      <c r="S28" s="80" t="s">
        <v>1214</v>
      </c>
    </row>
  </sheetData>
  <pageMargins left="0.699305555555556" right="0.699305555555556" top="0.75" bottom="0.75" header="0.3" footer="0.3"/>
  <pageSetup paperSize="9" orientation="portrait"/>
  <headerFooter/>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V203"/>
  <sheetViews>
    <sheetView workbookViewId="0">
      <selection activeCell="N17" sqref="N17"/>
    </sheetView>
  </sheetViews>
  <sheetFormatPr defaultColWidth="9" defaultRowHeight="17.6"/>
  <cols>
    <col min="7" max="7" width="41.5" customWidth="1"/>
    <col min="9" max="9" width="16" customWidth="1"/>
    <col min="10" max="10" width="11.4013157894737" customWidth="1"/>
    <col min="11" max="11" width="10.5" customWidth="1"/>
    <col min="12" max="12" width="15" customWidth="1"/>
    <col min="13" max="13" width="10.5" customWidth="1"/>
    <col min="14" max="14" width="14.5" customWidth="1"/>
    <col min="16" max="17" width="9" style="138"/>
    <col min="18" max="18" width="16.4013157894737" style="138" customWidth="1"/>
    <col min="20" max="20" width="16.4013157894737" customWidth="1"/>
  </cols>
  <sheetData>
    <row r="1" ht="23.1" customHeight="1" spans="1:22">
      <c r="A1" s="80" t="s">
        <v>822</v>
      </c>
      <c r="B1" s="80" t="s">
        <v>1215</v>
      </c>
      <c r="C1" s="80" t="s">
        <v>1216</v>
      </c>
      <c r="D1" s="80" t="s">
        <v>29</v>
      </c>
      <c r="E1" s="84" t="s">
        <v>824</v>
      </c>
      <c r="F1" s="113" t="s">
        <v>825</v>
      </c>
      <c r="G1" s="113" t="s">
        <v>26</v>
      </c>
      <c r="I1" s="141" t="s">
        <v>1217</v>
      </c>
      <c r="J1" s="141" t="s">
        <v>1218</v>
      </c>
      <c r="K1" s="141" t="s">
        <v>1219</v>
      </c>
      <c r="L1" s="141" t="s">
        <v>1220</v>
      </c>
      <c r="M1" s="141" t="s">
        <v>1219</v>
      </c>
      <c r="N1" s="141" t="s">
        <v>1220</v>
      </c>
      <c r="P1" s="141" t="s">
        <v>1221</v>
      </c>
      <c r="Q1" s="141" t="s">
        <v>842</v>
      </c>
      <c r="R1" s="141" t="s">
        <v>824</v>
      </c>
      <c r="T1" s="141" t="s">
        <v>1222</v>
      </c>
      <c r="V1" s="141" t="s">
        <v>1223</v>
      </c>
    </row>
    <row r="2" ht="23.1" customHeight="1" spans="1:22">
      <c r="A2" s="80" t="s">
        <v>39</v>
      </c>
      <c r="B2" s="80" t="s">
        <v>39</v>
      </c>
      <c r="C2" s="80" t="s">
        <v>39</v>
      </c>
      <c r="D2" s="80" t="s">
        <v>39</v>
      </c>
      <c r="E2" s="84" t="s">
        <v>39</v>
      </c>
      <c r="F2" s="113" t="s">
        <v>39</v>
      </c>
      <c r="G2" s="113" t="s">
        <v>514</v>
      </c>
      <c r="I2" s="141" t="s">
        <v>39</v>
      </c>
      <c r="J2" s="141" t="s">
        <v>39</v>
      </c>
      <c r="K2" s="141" t="s">
        <v>39</v>
      </c>
      <c r="L2" s="141" t="s">
        <v>39</v>
      </c>
      <c r="M2" s="141" t="s">
        <v>39</v>
      </c>
      <c r="N2" s="141" t="s">
        <v>39</v>
      </c>
      <c r="P2" s="141" t="s">
        <v>39</v>
      </c>
      <c r="Q2" s="141" t="s">
        <v>39</v>
      </c>
      <c r="R2" s="141" t="s">
        <v>39</v>
      </c>
      <c r="T2" s="141" t="s">
        <v>39</v>
      </c>
      <c r="V2" s="141" t="s">
        <v>514</v>
      </c>
    </row>
    <row r="3" ht="23.1" customHeight="1" spans="1:22">
      <c r="A3" s="139" t="s">
        <v>1224</v>
      </c>
      <c r="B3" s="80" t="s">
        <v>535</v>
      </c>
      <c r="C3" s="80" t="s">
        <v>535</v>
      </c>
      <c r="D3" s="80" t="s">
        <v>827</v>
      </c>
      <c r="E3" s="84" t="s">
        <v>828</v>
      </c>
      <c r="F3" s="140" t="s">
        <v>829</v>
      </c>
      <c r="G3" s="140" t="s">
        <v>1225</v>
      </c>
      <c r="I3" s="142" t="s">
        <v>1226</v>
      </c>
      <c r="J3" s="142" t="s">
        <v>1227</v>
      </c>
      <c r="K3" s="142" t="s">
        <v>1228</v>
      </c>
      <c r="L3" s="142" t="s">
        <v>1229</v>
      </c>
      <c r="M3" s="142" t="s">
        <v>1228</v>
      </c>
      <c r="N3" s="142" t="s">
        <v>1229</v>
      </c>
      <c r="P3" s="143" t="s">
        <v>538</v>
      </c>
      <c r="Q3" s="143" t="s">
        <v>1230</v>
      </c>
      <c r="R3" s="143" t="s">
        <v>1231</v>
      </c>
      <c r="T3" s="143" t="s">
        <v>1232</v>
      </c>
      <c r="V3" s="143" t="s">
        <v>1233</v>
      </c>
    </row>
    <row r="4" ht="23.1" customHeight="1" spans="1:22">
      <c r="A4" s="80">
        <v>1</v>
      </c>
      <c r="B4" s="80">
        <v>200</v>
      </c>
      <c r="C4" s="80">
        <v>1000</v>
      </c>
      <c r="D4" s="80">
        <v>1154</v>
      </c>
      <c r="E4" s="84">
        <v>1</v>
      </c>
      <c r="F4" s="113">
        <v>3</v>
      </c>
      <c r="G4" s="140" t="s">
        <v>1234</v>
      </c>
      <c r="I4" s="141">
        <v>2</v>
      </c>
      <c r="J4" s="141">
        <v>3106</v>
      </c>
      <c r="K4" s="141">
        <v>1</v>
      </c>
      <c r="L4" s="141">
        <v>200</v>
      </c>
      <c r="M4" s="141">
        <v>5</v>
      </c>
      <c r="N4" s="141">
        <v>960</v>
      </c>
      <c r="P4" s="141">
        <v>1</v>
      </c>
      <c r="Q4" s="141">
        <v>10</v>
      </c>
      <c r="R4" s="141">
        <v>1</v>
      </c>
      <c r="T4" s="141">
        <v>20</v>
      </c>
      <c r="V4" s="141" t="s">
        <v>1235</v>
      </c>
    </row>
    <row r="5" ht="23.1" customHeight="1" spans="1:18">
      <c r="A5" s="80">
        <v>2</v>
      </c>
      <c r="B5" s="80">
        <v>500</v>
      </c>
      <c r="C5" s="80">
        <v>1000</v>
      </c>
      <c r="D5" s="80">
        <v>1164</v>
      </c>
      <c r="E5" s="84">
        <v>8</v>
      </c>
      <c r="F5" s="113">
        <v>0</v>
      </c>
      <c r="G5" s="140" t="s">
        <v>1236</v>
      </c>
      <c r="I5" s="141">
        <v>2</v>
      </c>
      <c r="J5" s="141">
        <v>1380</v>
      </c>
      <c r="K5" s="141">
        <v>1</v>
      </c>
      <c r="L5" s="141">
        <v>1</v>
      </c>
      <c r="M5" s="141">
        <v>5</v>
      </c>
      <c r="N5" s="141">
        <v>5</v>
      </c>
      <c r="P5" s="141">
        <v>2</v>
      </c>
      <c r="Q5" s="141">
        <v>10</v>
      </c>
      <c r="R5" s="141">
        <v>2</v>
      </c>
    </row>
    <row r="6" ht="23.1" customHeight="1" spans="1:18">
      <c r="A6" s="80">
        <v>3</v>
      </c>
      <c r="B6" s="80">
        <v>1000</v>
      </c>
      <c r="C6" s="80">
        <v>300</v>
      </c>
      <c r="D6" s="80">
        <v>1286</v>
      </c>
      <c r="E6" s="84">
        <v>1</v>
      </c>
      <c r="F6" s="113">
        <v>0</v>
      </c>
      <c r="G6" s="140" t="s">
        <v>1237</v>
      </c>
      <c r="P6" s="141">
        <v>3</v>
      </c>
      <c r="Q6" s="141">
        <v>10</v>
      </c>
      <c r="R6" s="141">
        <v>3</v>
      </c>
    </row>
    <row r="7" ht="23.1" customHeight="1" spans="1:18">
      <c r="A7" s="80">
        <v>4</v>
      </c>
      <c r="B7" s="80">
        <v>1500</v>
      </c>
      <c r="C7" s="80">
        <v>2000</v>
      </c>
      <c r="D7" s="80">
        <v>1287</v>
      </c>
      <c r="E7" s="84">
        <v>1</v>
      </c>
      <c r="F7" s="113">
        <v>0</v>
      </c>
      <c r="G7" s="140" t="s">
        <v>1238</v>
      </c>
      <c r="P7" s="141">
        <v>4</v>
      </c>
      <c r="Q7" s="141">
        <v>10</v>
      </c>
      <c r="R7" s="141">
        <v>4</v>
      </c>
    </row>
    <row r="8" ht="23.1" customHeight="1" spans="1:18">
      <c r="A8" s="80">
        <v>5</v>
      </c>
      <c r="B8" s="80">
        <v>500</v>
      </c>
      <c r="C8" s="80">
        <v>100</v>
      </c>
      <c r="D8" s="80">
        <v>1194</v>
      </c>
      <c r="E8" s="84">
        <v>1</v>
      </c>
      <c r="F8" s="113">
        <v>0</v>
      </c>
      <c r="G8" s="140" t="s">
        <v>1239</v>
      </c>
      <c r="P8" s="141">
        <v>5</v>
      </c>
      <c r="Q8" s="141">
        <v>10</v>
      </c>
      <c r="R8" s="141">
        <v>5</v>
      </c>
    </row>
    <row r="9" ht="23.1" customHeight="1" spans="1:18">
      <c r="A9" s="80">
        <v>6</v>
      </c>
      <c r="B9" s="80">
        <v>1000</v>
      </c>
      <c r="C9" s="80">
        <v>500</v>
      </c>
      <c r="D9" s="80">
        <v>1193</v>
      </c>
      <c r="E9" s="84">
        <v>1</v>
      </c>
      <c r="F9" s="113">
        <v>0</v>
      </c>
      <c r="G9" s="140" t="s">
        <v>1240</v>
      </c>
      <c r="P9" s="141">
        <v>6</v>
      </c>
      <c r="Q9" s="141">
        <v>10</v>
      </c>
      <c r="R9" s="141">
        <v>6</v>
      </c>
    </row>
    <row r="10" ht="23.1" customHeight="1" spans="1:18">
      <c r="A10" s="80">
        <v>7</v>
      </c>
      <c r="B10" s="80">
        <v>100</v>
      </c>
      <c r="C10" s="80">
        <v>10</v>
      </c>
      <c r="D10" s="80">
        <v>103</v>
      </c>
      <c r="E10" s="84">
        <v>10</v>
      </c>
      <c r="F10" s="113">
        <v>0</v>
      </c>
      <c r="G10" s="140" t="s">
        <v>1241</v>
      </c>
      <c r="P10" s="141">
        <v>7</v>
      </c>
      <c r="Q10" s="141">
        <v>10</v>
      </c>
      <c r="R10" s="141">
        <v>7</v>
      </c>
    </row>
    <row r="11" ht="23.1" customHeight="1" spans="1:18">
      <c r="A11" s="80">
        <v>8</v>
      </c>
      <c r="B11" s="80">
        <v>1000</v>
      </c>
      <c r="C11" s="80">
        <v>10</v>
      </c>
      <c r="D11" s="80">
        <v>103</v>
      </c>
      <c r="E11" s="84">
        <v>1</v>
      </c>
      <c r="F11" s="113">
        <v>0</v>
      </c>
      <c r="G11" s="140" t="s">
        <v>1241</v>
      </c>
      <c r="P11" s="141">
        <v>8</v>
      </c>
      <c r="Q11" s="141">
        <v>10</v>
      </c>
      <c r="R11" s="141">
        <v>8</v>
      </c>
    </row>
    <row r="12" ht="23.1" customHeight="1" spans="1:18">
      <c r="A12" s="80">
        <v>9</v>
      </c>
      <c r="B12" s="80">
        <v>1500</v>
      </c>
      <c r="C12" s="80">
        <v>1000</v>
      </c>
      <c r="D12" s="80">
        <v>101</v>
      </c>
      <c r="E12" s="84">
        <v>20000</v>
      </c>
      <c r="F12" s="113">
        <v>0</v>
      </c>
      <c r="G12" s="140" t="s">
        <v>1242</v>
      </c>
      <c r="P12" s="141">
        <v>9</v>
      </c>
      <c r="Q12" s="141">
        <v>10</v>
      </c>
      <c r="R12" s="141">
        <v>9</v>
      </c>
    </row>
    <row r="13" ht="23.1" customHeight="1" spans="1:18">
      <c r="A13" s="80">
        <v>10</v>
      </c>
      <c r="B13" s="80">
        <v>2700</v>
      </c>
      <c r="C13" s="80">
        <v>4080</v>
      </c>
      <c r="D13" s="80">
        <v>101</v>
      </c>
      <c r="E13" s="84">
        <v>6666</v>
      </c>
      <c r="F13" s="113">
        <v>0</v>
      </c>
      <c r="G13" s="140" t="s">
        <v>1242</v>
      </c>
      <c r="P13" s="141">
        <v>10</v>
      </c>
      <c r="Q13" s="141">
        <v>10</v>
      </c>
      <c r="R13" s="141">
        <v>10</v>
      </c>
    </row>
    <row r="14" spans="16:18">
      <c r="P14" s="141">
        <v>11</v>
      </c>
      <c r="Q14" s="141">
        <v>10</v>
      </c>
      <c r="R14" s="141">
        <v>11</v>
      </c>
    </row>
    <row r="15" spans="16:18">
      <c r="P15" s="141">
        <v>12</v>
      </c>
      <c r="Q15" s="141">
        <v>10</v>
      </c>
      <c r="R15" s="141">
        <v>12</v>
      </c>
    </row>
    <row r="16" spans="16:18">
      <c r="P16" s="141">
        <v>13</v>
      </c>
      <c r="Q16" s="141">
        <v>10</v>
      </c>
      <c r="R16" s="141">
        <v>13</v>
      </c>
    </row>
    <row r="17" spans="16:18">
      <c r="P17" s="141">
        <v>14</v>
      </c>
      <c r="Q17" s="141">
        <v>10</v>
      </c>
      <c r="R17" s="141">
        <v>14</v>
      </c>
    </row>
    <row r="18" spans="16:18">
      <c r="P18" s="141">
        <v>15</v>
      </c>
      <c r="Q18" s="141">
        <v>10</v>
      </c>
      <c r="R18" s="141">
        <v>15</v>
      </c>
    </row>
    <row r="19" spans="16:18">
      <c r="P19" s="141">
        <v>16</v>
      </c>
      <c r="Q19" s="141">
        <v>10</v>
      </c>
      <c r="R19" s="141">
        <v>16</v>
      </c>
    </row>
    <row r="20" spans="16:18">
      <c r="P20" s="141">
        <v>17</v>
      </c>
      <c r="Q20" s="141">
        <v>10</v>
      </c>
      <c r="R20" s="141">
        <v>17</v>
      </c>
    </row>
    <row r="21" spans="16:18">
      <c r="P21" s="141">
        <v>18</v>
      </c>
      <c r="Q21" s="141">
        <v>10</v>
      </c>
      <c r="R21" s="141">
        <v>18</v>
      </c>
    </row>
    <row r="22" spans="16:18">
      <c r="P22" s="141">
        <v>19</v>
      </c>
      <c r="Q22" s="141">
        <v>10</v>
      </c>
      <c r="R22" s="141">
        <v>19</v>
      </c>
    </row>
    <row r="23" spans="16:18">
      <c r="P23" s="141">
        <v>20</v>
      </c>
      <c r="Q23" s="141">
        <v>10</v>
      </c>
      <c r="R23" s="141">
        <v>20</v>
      </c>
    </row>
    <row r="24" spans="16:18">
      <c r="P24" s="141">
        <v>21</v>
      </c>
      <c r="Q24" s="141">
        <v>10</v>
      </c>
      <c r="R24" s="141">
        <v>21</v>
      </c>
    </row>
    <row r="25" spans="16:18">
      <c r="P25" s="141">
        <v>22</v>
      </c>
      <c r="Q25" s="141">
        <v>10</v>
      </c>
      <c r="R25" s="141">
        <v>22</v>
      </c>
    </row>
    <row r="26" spans="16:18">
      <c r="P26" s="141">
        <v>23</v>
      </c>
      <c r="Q26" s="141">
        <v>10</v>
      </c>
      <c r="R26" s="141">
        <v>23</v>
      </c>
    </row>
    <row r="27" spans="16:18">
      <c r="P27" s="141">
        <v>24</v>
      </c>
      <c r="Q27" s="141">
        <v>10</v>
      </c>
      <c r="R27" s="141">
        <v>24</v>
      </c>
    </row>
    <row r="28" spans="16:18">
      <c r="P28" s="141">
        <v>25</v>
      </c>
      <c r="Q28" s="141">
        <v>10</v>
      </c>
      <c r="R28" s="141">
        <v>25</v>
      </c>
    </row>
    <row r="29" spans="16:18">
      <c r="P29" s="141">
        <v>26</v>
      </c>
      <c r="Q29" s="141">
        <v>10</v>
      </c>
      <c r="R29" s="141">
        <v>26</v>
      </c>
    </row>
    <row r="30" spans="16:18">
      <c r="P30" s="141">
        <v>27</v>
      </c>
      <c r="Q30" s="141">
        <v>10</v>
      </c>
      <c r="R30" s="141">
        <v>27</v>
      </c>
    </row>
    <row r="31" spans="16:18">
      <c r="P31" s="141">
        <v>28</v>
      </c>
      <c r="Q31" s="141">
        <v>10</v>
      </c>
      <c r="R31" s="141">
        <v>28</v>
      </c>
    </row>
    <row r="32" spans="16:18">
      <c r="P32" s="141">
        <v>29</v>
      </c>
      <c r="Q32" s="141">
        <v>10</v>
      </c>
      <c r="R32" s="141">
        <v>29</v>
      </c>
    </row>
    <row r="33" spans="16:18">
      <c r="P33" s="141">
        <v>30</v>
      </c>
      <c r="Q33" s="141">
        <v>10</v>
      </c>
      <c r="R33" s="141">
        <v>30</v>
      </c>
    </row>
    <row r="34" spans="16:18">
      <c r="P34" s="141">
        <v>31</v>
      </c>
      <c r="Q34" s="141">
        <v>10</v>
      </c>
      <c r="R34" s="141">
        <v>31</v>
      </c>
    </row>
    <row r="35" spans="16:18">
      <c r="P35" s="141">
        <v>32</v>
      </c>
      <c r="Q35" s="141">
        <v>10</v>
      </c>
      <c r="R35" s="141">
        <v>32</v>
      </c>
    </row>
    <row r="36" spans="16:18">
      <c r="P36" s="141">
        <v>33</v>
      </c>
      <c r="Q36" s="141">
        <v>10</v>
      </c>
      <c r="R36" s="141">
        <v>33</v>
      </c>
    </row>
    <row r="37" spans="16:18">
      <c r="P37" s="141">
        <v>34</v>
      </c>
      <c r="Q37" s="141">
        <v>10</v>
      </c>
      <c r="R37" s="141">
        <v>34</v>
      </c>
    </row>
    <row r="38" spans="16:18">
      <c r="P38" s="141">
        <v>35</v>
      </c>
      <c r="Q38" s="141">
        <v>10</v>
      </c>
      <c r="R38" s="141">
        <v>35</v>
      </c>
    </row>
    <row r="39" spans="16:18">
      <c r="P39" s="141">
        <v>36</v>
      </c>
      <c r="Q39" s="141">
        <v>10</v>
      </c>
      <c r="R39" s="141">
        <v>36</v>
      </c>
    </row>
    <row r="40" spans="16:18">
      <c r="P40" s="141">
        <v>37</v>
      </c>
      <c r="Q40" s="141">
        <v>10</v>
      </c>
      <c r="R40" s="141">
        <v>37</v>
      </c>
    </row>
    <row r="41" spans="16:18">
      <c r="P41" s="141">
        <v>38</v>
      </c>
      <c r="Q41" s="141">
        <v>10</v>
      </c>
      <c r="R41" s="141">
        <v>38</v>
      </c>
    </row>
    <row r="42" spans="16:18">
      <c r="P42" s="141">
        <v>39</v>
      </c>
      <c r="Q42" s="141">
        <v>10</v>
      </c>
      <c r="R42" s="141">
        <v>39</v>
      </c>
    </row>
    <row r="43" spans="16:18">
      <c r="P43" s="141">
        <v>40</v>
      </c>
      <c r="Q43" s="141">
        <v>10</v>
      </c>
      <c r="R43" s="141">
        <v>40</v>
      </c>
    </row>
    <row r="44" spans="16:18">
      <c r="P44" s="141">
        <v>41</v>
      </c>
      <c r="Q44" s="141">
        <v>10</v>
      </c>
      <c r="R44" s="141">
        <v>41</v>
      </c>
    </row>
    <row r="45" spans="16:18">
      <c r="P45" s="141">
        <v>42</v>
      </c>
      <c r="Q45" s="141">
        <v>10</v>
      </c>
      <c r="R45" s="141">
        <v>42</v>
      </c>
    </row>
    <row r="46" spans="16:18">
      <c r="P46" s="141">
        <v>43</v>
      </c>
      <c r="Q46" s="141">
        <v>10</v>
      </c>
      <c r="R46" s="141">
        <v>43</v>
      </c>
    </row>
    <row r="47" spans="16:18">
      <c r="P47" s="141">
        <v>44</v>
      </c>
      <c r="Q47" s="141">
        <v>10</v>
      </c>
      <c r="R47" s="141">
        <v>44</v>
      </c>
    </row>
    <row r="48" spans="16:18">
      <c r="P48" s="141">
        <v>45</v>
      </c>
      <c r="Q48" s="141">
        <v>10</v>
      </c>
      <c r="R48" s="141">
        <v>45</v>
      </c>
    </row>
    <row r="49" spans="16:18">
      <c r="P49" s="141">
        <v>46</v>
      </c>
      <c r="Q49" s="141">
        <v>10</v>
      </c>
      <c r="R49" s="141">
        <v>46</v>
      </c>
    </row>
    <row r="50" spans="16:18">
      <c r="P50" s="141">
        <v>47</v>
      </c>
      <c r="Q50" s="141">
        <v>10</v>
      </c>
      <c r="R50" s="141">
        <v>47</v>
      </c>
    </row>
    <row r="51" spans="16:18">
      <c r="P51" s="141">
        <v>48</v>
      </c>
      <c r="Q51" s="141">
        <v>10</v>
      </c>
      <c r="R51" s="141">
        <v>48</v>
      </c>
    </row>
    <row r="52" spans="16:18">
      <c r="P52" s="141">
        <v>49</v>
      </c>
      <c r="Q52" s="141">
        <v>10</v>
      </c>
      <c r="R52" s="141">
        <v>49</v>
      </c>
    </row>
    <row r="53" spans="16:18">
      <c r="P53" s="141">
        <v>50</v>
      </c>
      <c r="Q53" s="141">
        <v>10</v>
      </c>
      <c r="R53" s="141">
        <v>50</v>
      </c>
    </row>
    <row r="54" spans="16:18">
      <c r="P54" s="141">
        <v>51</v>
      </c>
      <c r="Q54" s="141">
        <v>10</v>
      </c>
      <c r="R54" s="141">
        <v>51</v>
      </c>
    </row>
    <row r="55" spans="16:18">
      <c r="P55" s="141">
        <v>52</v>
      </c>
      <c r="Q55" s="141">
        <v>10</v>
      </c>
      <c r="R55" s="141">
        <v>52</v>
      </c>
    </row>
    <row r="56" spans="16:18">
      <c r="P56" s="141">
        <v>53</v>
      </c>
      <c r="Q56" s="141">
        <v>10</v>
      </c>
      <c r="R56" s="141">
        <v>53</v>
      </c>
    </row>
    <row r="57" spans="16:18">
      <c r="P57" s="141">
        <v>54</v>
      </c>
      <c r="Q57" s="141">
        <v>10</v>
      </c>
      <c r="R57" s="141">
        <v>54</v>
      </c>
    </row>
    <row r="58" spans="16:18">
      <c r="P58" s="141">
        <v>55</v>
      </c>
      <c r="Q58" s="141">
        <v>10</v>
      </c>
      <c r="R58" s="141">
        <v>55</v>
      </c>
    </row>
    <row r="59" spans="16:18">
      <c r="P59" s="141">
        <v>56</v>
      </c>
      <c r="Q59" s="141">
        <v>10</v>
      </c>
      <c r="R59" s="141">
        <v>56</v>
      </c>
    </row>
    <row r="60" spans="16:18">
      <c r="P60" s="141">
        <v>57</v>
      </c>
      <c r="Q60" s="141">
        <v>10</v>
      </c>
      <c r="R60" s="141">
        <v>57</v>
      </c>
    </row>
    <row r="61" spans="16:18">
      <c r="P61" s="141">
        <v>58</v>
      </c>
      <c r="Q61" s="141">
        <v>10</v>
      </c>
      <c r="R61" s="141">
        <v>58</v>
      </c>
    </row>
    <row r="62" spans="16:18">
      <c r="P62" s="141">
        <v>59</v>
      </c>
      <c r="Q62" s="141">
        <v>10</v>
      </c>
      <c r="R62" s="141">
        <v>59</v>
      </c>
    </row>
    <row r="63" spans="16:18">
      <c r="P63" s="141">
        <v>60</v>
      </c>
      <c r="Q63" s="141">
        <v>10</v>
      </c>
      <c r="R63" s="141">
        <v>60</v>
      </c>
    </row>
    <row r="64" spans="16:18">
      <c r="P64" s="141">
        <v>61</v>
      </c>
      <c r="Q64" s="141">
        <v>10</v>
      </c>
      <c r="R64" s="141">
        <v>61</v>
      </c>
    </row>
    <row r="65" spans="16:18">
      <c r="P65" s="141">
        <v>62</v>
      </c>
      <c r="Q65" s="141">
        <v>10</v>
      </c>
      <c r="R65" s="141">
        <v>62</v>
      </c>
    </row>
    <row r="66" spans="16:18">
      <c r="P66" s="141">
        <v>63</v>
      </c>
      <c r="Q66" s="141">
        <v>10</v>
      </c>
      <c r="R66" s="141">
        <v>63</v>
      </c>
    </row>
    <row r="67" spans="16:18">
      <c r="P67" s="141">
        <v>64</v>
      </c>
      <c r="Q67" s="141">
        <v>10</v>
      </c>
      <c r="R67" s="141">
        <v>64</v>
      </c>
    </row>
    <row r="68" spans="16:18">
      <c r="P68" s="141">
        <v>65</v>
      </c>
      <c r="Q68" s="141">
        <v>10</v>
      </c>
      <c r="R68" s="141">
        <v>65</v>
      </c>
    </row>
    <row r="69" spans="16:18">
      <c r="P69" s="141">
        <v>66</v>
      </c>
      <c r="Q69" s="141">
        <v>10</v>
      </c>
      <c r="R69" s="141">
        <v>66</v>
      </c>
    </row>
    <row r="70" spans="16:18">
      <c r="P70" s="141">
        <v>67</v>
      </c>
      <c r="Q70" s="141">
        <v>10</v>
      </c>
      <c r="R70" s="141">
        <v>67</v>
      </c>
    </row>
    <row r="71" spans="16:18">
      <c r="P71" s="141">
        <v>68</v>
      </c>
      <c r="Q71" s="141">
        <v>10</v>
      </c>
      <c r="R71" s="141">
        <v>68</v>
      </c>
    </row>
    <row r="72" spans="16:18">
      <c r="P72" s="141">
        <v>69</v>
      </c>
      <c r="Q72" s="141">
        <v>10</v>
      </c>
      <c r="R72" s="141">
        <v>69</v>
      </c>
    </row>
    <row r="73" spans="16:18">
      <c r="P73" s="141">
        <v>70</v>
      </c>
      <c r="Q73" s="141">
        <v>10</v>
      </c>
      <c r="R73" s="141">
        <v>70</v>
      </c>
    </row>
    <row r="74" spans="16:18">
      <c r="P74" s="141">
        <v>71</v>
      </c>
      <c r="Q74" s="141">
        <v>10</v>
      </c>
      <c r="R74" s="141">
        <v>71</v>
      </c>
    </row>
    <row r="75" spans="16:18">
      <c r="P75" s="141">
        <v>72</v>
      </c>
      <c r="Q75" s="141">
        <v>10</v>
      </c>
      <c r="R75" s="141">
        <v>72</v>
      </c>
    </row>
    <row r="76" spans="16:18">
      <c r="P76" s="141">
        <v>73</v>
      </c>
      <c r="Q76" s="141">
        <v>10</v>
      </c>
      <c r="R76" s="141">
        <v>73</v>
      </c>
    </row>
    <row r="77" spans="16:18">
      <c r="P77" s="141">
        <v>74</v>
      </c>
      <c r="Q77" s="141">
        <v>10</v>
      </c>
      <c r="R77" s="141">
        <v>74</v>
      </c>
    </row>
    <row r="78" spans="16:18">
      <c r="P78" s="141">
        <v>75</v>
      </c>
      <c r="Q78" s="141">
        <v>10</v>
      </c>
      <c r="R78" s="141">
        <v>75</v>
      </c>
    </row>
    <row r="79" spans="16:18">
      <c r="P79" s="141">
        <v>76</v>
      </c>
      <c r="Q79" s="141">
        <v>10</v>
      </c>
      <c r="R79" s="141">
        <v>76</v>
      </c>
    </row>
    <row r="80" spans="16:18">
      <c r="P80" s="141">
        <v>77</v>
      </c>
      <c r="Q80" s="141">
        <v>10</v>
      </c>
      <c r="R80" s="141">
        <v>77</v>
      </c>
    </row>
    <row r="81" spans="16:18">
      <c r="P81" s="141">
        <v>78</v>
      </c>
      <c r="Q81" s="141">
        <v>10</v>
      </c>
      <c r="R81" s="141">
        <v>78</v>
      </c>
    </row>
    <row r="82" spans="16:18">
      <c r="P82" s="141">
        <v>79</v>
      </c>
      <c r="Q82" s="141">
        <v>10</v>
      </c>
      <c r="R82" s="141">
        <v>79</v>
      </c>
    </row>
    <row r="83" spans="16:18">
      <c r="P83" s="141">
        <v>80</v>
      </c>
      <c r="Q83" s="141">
        <v>10</v>
      </c>
      <c r="R83" s="141">
        <v>80</v>
      </c>
    </row>
    <row r="84" spans="16:18">
      <c r="P84" s="141">
        <v>81</v>
      </c>
      <c r="Q84" s="141">
        <v>10</v>
      </c>
      <c r="R84" s="141">
        <v>81</v>
      </c>
    </row>
    <row r="85" spans="16:18">
      <c r="P85" s="141">
        <v>82</v>
      </c>
      <c r="Q85" s="141">
        <v>10</v>
      </c>
      <c r="R85" s="141">
        <v>82</v>
      </c>
    </row>
    <row r="86" spans="16:18">
      <c r="P86" s="141">
        <v>83</v>
      </c>
      <c r="Q86" s="141">
        <v>10</v>
      </c>
      <c r="R86" s="141">
        <v>83</v>
      </c>
    </row>
    <row r="87" spans="16:18">
      <c r="P87" s="141">
        <v>84</v>
      </c>
      <c r="Q87" s="141">
        <v>10</v>
      </c>
      <c r="R87" s="141">
        <v>84</v>
      </c>
    </row>
    <row r="88" spans="16:18">
      <c r="P88" s="141">
        <v>85</v>
      </c>
      <c r="Q88" s="141">
        <v>10</v>
      </c>
      <c r="R88" s="141">
        <v>85</v>
      </c>
    </row>
    <row r="89" spans="16:18">
      <c r="P89" s="141">
        <v>86</v>
      </c>
      <c r="Q89" s="141">
        <v>10</v>
      </c>
      <c r="R89" s="141">
        <v>86</v>
      </c>
    </row>
    <row r="90" spans="16:18">
      <c r="P90" s="141">
        <v>87</v>
      </c>
      <c r="Q90" s="141">
        <v>10</v>
      </c>
      <c r="R90" s="141">
        <v>87</v>
      </c>
    </row>
    <row r="91" spans="16:18">
      <c r="P91" s="141">
        <v>88</v>
      </c>
      <c r="Q91" s="141">
        <v>10</v>
      </c>
      <c r="R91" s="141">
        <v>88</v>
      </c>
    </row>
    <row r="92" spans="16:18">
      <c r="P92" s="141">
        <v>89</v>
      </c>
      <c r="Q92" s="141">
        <v>10</v>
      </c>
      <c r="R92" s="141">
        <v>89</v>
      </c>
    </row>
    <row r="93" spans="16:18">
      <c r="P93" s="141">
        <v>90</v>
      </c>
      <c r="Q93" s="141">
        <v>10</v>
      </c>
      <c r="R93" s="141">
        <v>90</v>
      </c>
    </row>
    <row r="94" spans="16:18">
      <c r="P94" s="141">
        <v>91</v>
      </c>
      <c r="Q94" s="141">
        <v>10</v>
      </c>
      <c r="R94" s="141">
        <v>91</v>
      </c>
    </row>
    <row r="95" spans="16:18">
      <c r="P95" s="141">
        <v>92</v>
      </c>
      <c r="Q95" s="141">
        <v>10</v>
      </c>
      <c r="R95" s="141">
        <v>92</v>
      </c>
    </row>
    <row r="96" spans="16:18">
      <c r="P96" s="141">
        <v>93</v>
      </c>
      <c r="Q96" s="141">
        <v>10</v>
      </c>
      <c r="R96" s="141">
        <v>93</v>
      </c>
    </row>
    <row r="97" spans="16:18">
      <c r="P97" s="141">
        <v>94</v>
      </c>
      <c r="Q97" s="141">
        <v>10</v>
      </c>
      <c r="R97" s="141">
        <v>94</v>
      </c>
    </row>
    <row r="98" spans="16:18">
      <c r="P98" s="141">
        <v>95</v>
      </c>
      <c r="Q98" s="141">
        <v>10</v>
      </c>
      <c r="R98" s="141">
        <v>95</v>
      </c>
    </row>
    <row r="99" spans="16:18">
      <c r="P99" s="141">
        <v>96</v>
      </c>
      <c r="Q99" s="141">
        <v>10</v>
      </c>
      <c r="R99" s="141">
        <v>96</v>
      </c>
    </row>
    <row r="100" spans="16:18">
      <c r="P100" s="141">
        <v>97</v>
      </c>
      <c r="Q100" s="141">
        <v>10</v>
      </c>
      <c r="R100" s="141">
        <v>97</v>
      </c>
    </row>
    <row r="101" spans="16:18">
      <c r="P101" s="141">
        <v>98</v>
      </c>
      <c r="Q101" s="141">
        <v>10</v>
      </c>
      <c r="R101" s="141">
        <v>98</v>
      </c>
    </row>
    <row r="102" spans="16:18">
      <c r="P102" s="141">
        <v>99</v>
      </c>
      <c r="Q102" s="141">
        <v>10</v>
      </c>
      <c r="R102" s="141">
        <v>99</v>
      </c>
    </row>
    <row r="103" spans="16:18">
      <c r="P103" s="141">
        <v>100</v>
      </c>
      <c r="Q103" s="141">
        <v>10</v>
      </c>
      <c r="R103" s="141">
        <v>100</v>
      </c>
    </row>
    <row r="104" spans="16:18">
      <c r="P104" s="141">
        <v>101</v>
      </c>
      <c r="Q104" s="141">
        <v>10</v>
      </c>
      <c r="R104" s="141">
        <v>101</v>
      </c>
    </row>
    <row r="105" spans="16:18">
      <c r="P105" s="141">
        <v>102</v>
      </c>
      <c r="Q105" s="141">
        <v>10</v>
      </c>
      <c r="R105" s="141">
        <v>102</v>
      </c>
    </row>
    <row r="106" spans="16:18">
      <c r="P106" s="141">
        <v>103</v>
      </c>
      <c r="Q106" s="141">
        <v>10</v>
      </c>
      <c r="R106" s="141">
        <v>103</v>
      </c>
    </row>
    <row r="107" spans="16:18">
      <c r="P107" s="141">
        <v>104</v>
      </c>
      <c r="Q107" s="141">
        <v>10</v>
      </c>
      <c r="R107" s="141">
        <v>104</v>
      </c>
    </row>
    <row r="108" spans="16:18">
      <c r="P108" s="141">
        <v>105</v>
      </c>
      <c r="Q108" s="141">
        <v>10</v>
      </c>
      <c r="R108" s="141">
        <v>105</v>
      </c>
    </row>
    <row r="109" spans="16:18">
      <c r="P109" s="141">
        <v>106</v>
      </c>
      <c r="Q109" s="141">
        <v>10</v>
      </c>
      <c r="R109" s="141">
        <v>106</v>
      </c>
    </row>
    <row r="110" spans="16:18">
      <c r="P110" s="141">
        <v>107</v>
      </c>
      <c r="Q110" s="141">
        <v>10</v>
      </c>
      <c r="R110" s="141">
        <v>107</v>
      </c>
    </row>
    <row r="111" spans="16:18">
      <c r="P111" s="141">
        <v>108</v>
      </c>
      <c r="Q111" s="141">
        <v>10</v>
      </c>
      <c r="R111" s="141">
        <v>108</v>
      </c>
    </row>
    <row r="112" spans="16:18">
      <c r="P112" s="141">
        <v>109</v>
      </c>
      <c r="Q112" s="141">
        <v>10</v>
      </c>
      <c r="R112" s="141">
        <v>109</v>
      </c>
    </row>
    <row r="113" spans="16:18">
      <c r="P113" s="141">
        <v>110</v>
      </c>
      <c r="Q113" s="141">
        <v>10</v>
      </c>
      <c r="R113" s="141">
        <v>110</v>
      </c>
    </row>
    <row r="114" spans="16:18">
      <c r="P114" s="141">
        <v>111</v>
      </c>
      <c r="Q114" s="141">
        <v>10</v>
      </c>
      <c r="R114" s="141">
        <v>111</v>
      </c>
    </row>
    <row r="115" spans="16:18">
      <c r="P115" s="141">
        <v>112</v>
      </c>
      <c r="Q115" s="141">
        <v>10</v>
      </c>
      <c r="R115" s="141">
        <v>112</v>
      </c>
    </row>
    <row r="116" spans="16:18">
      <c r="P116" s="141">
        <v>113</v>
      </c>
      <c r="Q116" s="141">
        <v>10</v>
      </c>
      <c r="R116" s="141">
        <v>113</v>
      </c>
    </row>
    <row r="117" spans="16:18">
      <c r="P117" s="141">
        <v>114</v>
      </c>
      <c r="Q117" s="141">
        <v>10</v>
      </c>
      <c r="R117" s="141">
        <v>114</v>
      </c>
    </row>
    <row r="118" spans="16:18">
      <c r="P118" s="141">
        <v>115</v>
      </c>
      <c r="Q118" s="141">
        <v>10</v>
      </c>
      <c r="R118" s="141">
        <v>115</v>
      </c>
    </row>
    <row r="119" spans="16:18">
      <c r="P119" s="141">
        <v>116</v>
      </c>
      <c r="Q119" s="141">
        <v>10</v>
      </c>
      <c r="R119" s="141">
        <v>116</v>
      </c>
    </row>
    <row r="120" spans="16:18">
      <c r="P120" s="141">
        <v>117</v>
      </c>
      <c r="Q120" s="141">
        <v>10</v>
      </c>
      <c r="R120" s="141">
        <v>117</v>
      </c>
    </row>
    <row r="121" spans="16:18">
      <c r="P121" s="141">
        <v>118</v>
      </c>
      <c r="Q121" s="141">
        <v>10</v>
      </c>
      <c r="R121" s="141">
        <v>118</v>
      </c>
    </row>
    <row r="122" spans="16:18">
      <c r="P122" s="141">
        <v>119</v>
      </c>
      <c r="Q122" s="141">
        <v>10</v>
      </c>
      <c r="R122" s="141">
        <v>119</v>
      </c>
    </row>
    <row r="123" spans="16:18">
      <c r="P123" s="141">
        <v>120</v>
      </c>
      <c r="Q123" s="141">
        <v>10</v>
      </c>
      <c r="R123" s="141">
        <v>120</v>
      </c>
    </row>
    <row r="124" spans="16:18">
      <c r="P124" s="141">
        <v>121</v>
      </c>
      <c r="Q124" s="141">
        <v>10</v>
      </c>
      <c r="R124" s="141">
        <v>121</v>
      </c>
    </row>
    <row r="125" spans="16:18">
      <c r="P125" s="141">
        <v>122</v>
      </c>
      <c r="Q125" s="141">
        <v>10</v>
      </c>
      <c r="R125" s="141">
        <v>122</v>
      </c>
    </row>
    <row r="126" spans="16:18">
      <c r="P126" s="141">
        <v>123</v>
      </c>
      <c r="Q126" s="141">
        <v>10</v>
      </c>
      <c r="R126" s="141">
        <v>123</v>
      </c>
    </row>
    <row r="127" spans="16:18">
      <c r="P127" s="141">
        <v>124</v>
      </c>
      <c r="Q127" s="141">
        <v>10</v>
      </c>
      <c r="R127" s="141">
        <v>124</v>
      </c>
    </row>
    <row r="128" spans="16:18">
      <c r="P128" s="141">
        <v>125</v>
      </c>
      <c r="Q128" s="141">
        <v>10</v>
      </c>
      <c r="R128" s="141">
        <v>125</v>
      </c>
    </row>
    <row r="129" spans="16:18">
      <c r="P129" s="141">
        <v>126</v>
      </c>
      <c r="Q129" s="141">
        <v>10</v>
      </c>
      <c r="R129" s="141">
        <v>126</v>
      </c>
    </row>
    <row r="130" spans="16:18">
      <c r="P130" s="141">
        <v>127</v>
      </c>
      <c r="Q130" s="141">
        <v>10</v>
      </c>
      <c r="R130" s="141">
        <v>127</v>
      </c>
    </row>
    <row r="131" spans="16:18">
      <c r="P131" s="141">
        <v>128</v>
      </c>
      <c r="Q131" s="141">
        <v>10</v>
      </c>
      <c r="R131" s="141">
        <v>128</v>
      </c>
    </row>
    <row r="132" spans="16:18">
      <c r="P132" s="141">
        <v>129</v>
      </c>
      <c r="Q132" s="141">
        <v>10</v>
      </c>
      <c r="R132" s="141">
        <v>129</v>
      </c>
    </row>
    <row r="133" spans="16:18">
      <c r="P133" s="141">
        <v>130</v>
      </c>
      <c r="Q133" s="141">
        <v>10</v>
      </c>
      <c r="R133" s="141">
        <v>130</v>
      </c>
    </row>
    <row r="134" spans="16:18">
      <c r="P134" s="141">
        <v>131</v>
      </c>
      <c r="Q134" s="141">
        <v>10</v>
      </c>
      <c r="R134" s="141">
        <v>131</v>
      </c>
    </row>
    <row r="135" spans="16:18">
      <c r="P135" s="141">
        <v>132</v>
      </c>
      <c r="Q135" s="141">
        <v>10</v>
      </c>
      <c r="R135" s="141">
        <v>132</v>
      </c>
    </row>
    <row r="136" spans="16:18">
      <c r="P136" s="141">
        <v>133</v>
      </c>
      <c r="Q136" s="141">
        <v>10</v>
      </c>
      <c r="R136" s="141">
        <v>133</v>
      </c>
    </row>
    <row r="137" spans="16:18">
      <c r="P137" s="141">
        <v>134</v>
      </c>
      <c r="Q137" s="141">
        <v>10</v>
      </c>
      <c r="R137" s="141">
        <v>134</v>
      </c>
    </row>
    <row r="138" spans="16:18">
      <c r="P138" s="141">
        <v>135</v>
      </c>
      <c r="Q138" s="141">
        <v>10</v>
      </c>
      <c r="R138" s="141">
        <v>135</v>
      </c>
    </row>
    <row r="139" spans="16:18">
      <c r="P139" s="141">
        <v>136</v>
      </c>
      <c r="Q139" s="141">
        <v>10</v>
      </c>
      <c r="R139" s="141">
        <v>136</v>
      </c>
    </row>
    <row r="140" spans="16:18">
      <c r="P140" s="141">
        <v>137</v>
      </c>
      <c r="Q140" s="141">
        <v>10</v>
      </c>
      <c r="R140" s="141">
        <v>137</v>
      </c>
    </row>
    <row r="141" spans="16:18">
      <c r="P141" s="141">
        <v>138</v>
      </c>
      <c r="Q141" s="141">
        <v>10</v>
      </c>
      <c r="R141" s="141">
        <v>138</v>
      </c>
    </row>
    <row r="142" spans="16:18">
      <c r="P142" s="141">
        <v>139</v>
      </c>
      <c r="Q142" s="141">
        <v>10</v>
      </c>
      <c r="R142" s="141">
        <v>139</v>
      </c>
    </row>
    <row r="143" spans="16:18">
      <c r="P143" s="141">
        <v>140</v>
      </c>
      <c r="Q143" s="141">
        <v>10</v>
      </c>
      <c r="R143" s="141">
        <v>140</v>
      </c>
    </row>
    <row r="144" spans="16:18">
      <c r="P144" s="141">
        <v>141</v>
      </c>
      <c r="Q144" s="141">
        <v>10</v>
      </c>
      <c r="R144" s="141">
        <v>141</v>
      </c>
    </row>
    <row r="145" spans="16:18">
      <c r="P145" s="141">
        <v>142</v>
      </c>
      <c r="Q145" s="141">
        <v>10</v>
      </c>
      <c r="R145" s="141">
        <v>142</v>
      </c>
    </row>
    <row r="146" spans="16:18">
      <c r="P146" s="141">
        <v>143</v>
      </c>
      <c r="Q146" s="141">
        <v>10</v>
      </c>
      <c r="R146" s="141">
        <v>143</v>
      </c>
    </row>
    <row r="147" spans="16:18">
      <c r="P147" s="141">
        <v>144</v>
      </c>
      <c r="Q147" s="141">
        <v>10</v>
      </c>
      <c r="R147" s="141">
        <v>144</v>
      </c>
    </row>
    <row r="148" spans="16:18">
      <c r="P148" s="141">
        <v>145</v>
      </c>
      <c r="Q148" s="141">
        <v>10</v>
      </c>
      <c r="R148" s="141">
        <v>145</v>
      </c>
    </row>
    <row r="149" spans="16:18">
      <c r="P149" s="141">
        <v>146</v>
      </c>
      <c r="Q149" s="141">
        <v>10</v>
      </c>
      <c r="R149" s="141">
        <v>146</v>
      </c>
    </row>
    <row r="150" spans="16:18">
      <c r="P150" s="141">
        <v>147</v>
      </c>
      <c r="Q150" s="141">
        <v>10</v>
      </c>
      <c r="R150" s="141">
        <v>147</v>
      </c>
    </row>
    <row r="151" spans="16:18">
      <c r="P151" s="141">
        <v>148</v>
      </c>
      <c r="Q151" s="141">
        <v>10</v>
      </c>
      <c r="R151" s="141">
        <v>148</v>
      </c>
    </row>
    <row r="152" spans="16:18">
      <c r="P152" s="141">
        <v>149</v>
      </c>
      <c r="Q152" s="141">
        <v>10</v>
      </c>
      <c r="R152" s="141">
        <v>149</v>
      </c>
    </row>
    <row r="153" spans="16:18">
      <c r="P153" s="141">
        <v>150</v>
      </c>
      <c r="Q153" s="141">
        <v>10</v>
      </c>
      <c r="R153" s="141">
        <v>150</v>
      </c>
    </row>
    <row r="154" spans="16:18">
      <c r="P154" s="141">
        <v>151</v>
      </c>
      <c r="Q154" s="141">
        <v>10</v>
      </c>
      <c r="R154" s="141">
        <v>151</v>
      </c>
    </row>
    <row r="155" spans="16:18">
      <c r="P155" s="141">
        <v>152</v>
      </c>
      <c r="Q155" s="141">
        <v>10</v>
      </c>
      <c r="R155" s="141">
        <v>152</v>
      </c>
    </row>
    <row r="156" spans="16:18">
      <c r="P156" s="141">
        <v>153</v>
      </c>
      <c r="Q156" s="141">
        <v>10</v>
      </c>
      <c r="R156" s="141">
        <v>153</v>
      </c>
    </row>
    <row r="157" spans="16:18">
      <c r="P157" s="141">
        <v>154</v>
      </c>
      <c r="Q157" s="141">
        <v>10</v>
      </c>
      <c r="R157" s="141">
        <v>154</v>
      </c>
    </row>
    <row r="158" spans="16:18">
      <c r="P158" s="141">
        <v>155</v>
      </c>
      <c r="Q158" s="141">
        <v>10</v>
      </c>
      <c r="R158" s="141">
        <v>155</v>
      </c>
    </row>
    <row r="159" spans="16:18">
      <c r="P159" s="141">
        <v>156</v>
      </c>
      <c r="Q159" s="141">
        <v>10</v>
      </c>
      <c r="R159" s="141">
        <v>156</v>
      </c>
    </row>
    <row r="160" spans="16:18">
      <c r="P160" s="141">
        <v>157</v>
      </c>
      <c r="Q160" s="141">
        <v>10</v>
      </c>
      <c r="R160" s="141">
        <v>157</v>
      </c>
    </row>
    <row r="161" spans="16:18">
      <c r="P161" s="141">
        <v>158</v>
      </c>
      <c r="Q161" s="141">
        <v>10</v>
      </c>
      <c r="R161" s="141">
        <v>158</v>
      </c>
    </row>
    <row r="162" spans="16:18">
      <c r="P162" s="141">
        <v>159</v>
      </c>
      <c r="Q162" s="141">
        <v>10</v>
      </c>
      <c r="R162" s="141">
        <v>159</v>
      </c>
    </row>
    <row r="163" spans="16:18">
      <c r="P163" s="141">
        <v>160</v>
      </c>
      <c r="Q163" s="141">
        <v>10</v>
      </c>
      <c r="R163" s="141">
        <v>160</v>
      </c>
    </row>
    <row r="164" spans="16:18">
      <c r="P164" s="141">
        <v>161</v>
      </c>
      <c r="Q164" s="141">
        <v>10</v>
      </c>
      <c r="R164" s="141">
        <v>161</v>
      </c>
    </row>
    <row r="165" spans="16:18">
      <c r="P165" s="141">
        <v>162</v>
      </c>
      <c r="Q165" s="141">
        <v>10</v>
      </c>
      <c r="R165" s="141">
        <v>162</v>
      </c>
    </row>
    <row r="166" spans="16:18">
      <c r="P166" s="141">
        <v>163</v>
      </c>
      <c r="Q166" s="141">
        <v>10</v>
      </c>
      <c r="R166" s="141">
        <v>163</v>
      </c>
    </row>
    <row r="167" spans="16:18">
      <c r="P167" s="141">
        <v>164</v>
      </c>
      <c r="Q167" s="141">
        <v>10</v>
      </c>
      <c r="R167" s="141">
        <v>164</v>
      </c>
    </row>
    <row r="168" spans="16:18">
      <c r="P168" s="141">
        <v>165</v>
      </c>
      <c r="Q168" s="141">
        <v>10</v>
      </c>
      <c r="R168" s="141">
        <v>165</v>
      </c>
    </row>
    <row r="169" spans="16:18">
      <c r="P169" s="141">
        <v>166</v>
      </c>
      <c r="Q169" s="141">
        <v>10</v>
      </c>
      <c r="R169" s="141">
        <v>166</v>
      </c>
    </row>
    <row r="170" spans="16:18">
      <c r="P170" s="141">
        <v>167</v>
      </c>
      <c r="Q170" s="141">
        <v>10</v>
      </c>
      <c r="R170" s="141">
        <v>167</v>
      </c>
    </row>
    <row r="171" spans="16:18">
      <c r="P171" s="141">
        <v>168</v>
      </c>
      <c r="Q171" s="141">
        <v>10</v>
      </c>
      <c r="R171" s="141">
        <v>168</v>
      </c>
    </row>
    <row r="172" spans="16:18">
      <c r="P172" s="141">
        <v>169</v>
      </c>
      <c r="Q172" s="141">
        <v>10</v>
      </c>
      <c r="R172" s="141">
        <v>169</v>
      </c>
    </row>
    <row r="173" spans="16:18">
      <c r="P173" s="141">
        <v>170</v>
      </c>
      <c r="Q173" s="141">
        <v>10</v>
      </c>
      <c r="R173" s="141">
        <v>170</v>
      </c>
    </row>
    <row r="174" spans="16:18">
      <c r="P174" s="141">
        <v>171</v>
      </c>
      <c r="Q174" s="141">
        <v>10</v>
      </c>
      <c r="R174" s="141">
        <v>171</v>
      </c>
    </row>
    <row r="175" spans="16:18">
      <c r="P175" s="141">
        <v>172</v>
      </c>
      <c r="Q175" s="141">
        <v>10</v>
      </c>
      <c r="R175" s="141">
        <v>172</v>
      </c>
    </row>
    <row r="176" spans="16:18">
      <c r="P176" s="141">
        <v>173</v>
      </c>
      <c r="Q176" s="141">
        <v>10</v>
      </c>
      <c r="R176" s="141">
        <v>173</v>
      </c>
    </row>
    <row r="177" spans="16:18">
      <c r="P177" s="141">
        <v>174</v>
      </c>
      <c r="Q177" s="141">
        <v>10</v>
      </c>
      <c r="R177" s="141">
        <v>174</v>
      </c>
    </row>
    <row r="178" spans="16:18">
      <c r="P178" s="141">
        <v>175</v>
      </c>
      <c r="Q178" s="141">
        <v>10</v>
      </c>
      <c r="R178" s="141">
        <v>175</v>
      </c>
    </row>
    <row r="179" spans="16:18">
      <c r="P179" s="141">
        <v>176</v>
      </c>
      <c r="Q179" s="141">
        <v>10</v>
      </c>
      <c r="R179" s="141">
        <v>176</v>
      </c>
    </row>
    <row r="180" spans="16:18">
      <c r="P180" s="141">
        <v>177</v>
      </c>
      <c r="Q180" s="141">
        <v>10</v>
      </c>
      <c r="R180" s="141">
        <v>177</v>
      </c>
    </row>
    <row r="181" spans="16:18">
      <c r="P181" s="141">
        <v>178</v>
      </c>
      <c r="Q181" s="141">
        <v>10</v>
      </c>
      <c r="R181" s="141">
        <v>178</v>
      </c>
    </row>
    <row r="182" spans="16:18">
      <c r="P182" s="141">
        <v>179</v>
      </c>
      <c r="Q182" s="141">
        <v>10</v>
      </c>
      <c r="R182" s="141">
        <v>179</v>
      </c>
    </row>
    <row r="183" spans="16:18">
      <c r="P183" s="141">
        <v>180</v>
      </c>
      <c r="Q183" s="141">
        <v>10</v>
      </c>
      <c r="R183" s="141">
        <v>180</v>
      </c>
    </row>
    <row r="184" spans="16:18">
      <c r="P184" s="141">
        <v>181</v>
      </c>
      <c r="Q184" s="141">
        <v>10</v>
      </c>
      <c r="R184" s="141">
        <v>181</v>
      </c>
    </row>
    <row r="185" spans="16:18">
      <c r="P185" s="141">
        <v>182</v>
      </c>
      <c r="Q185" s="141">
        <v>10</v>
      </c>
      <c r="R185" s="141">
        <v>182</v>
      </c>
    </row>
    <row r="186" spans="16:18">
      <c r="P186" s="141">
        <v>183</v>
      </c>
      <c r="Q186" s="141">
        <v>10</v>
      </c>
      <c r="R186" s="141">
        <v>183</v>
      </c>
    </row>
    <row r="187" spans="16:18">
      <c r="P187" s="141">
        <v>184</v>
      </c>
      <c r="Q187" s="141">
        <v>10</v>
      </c>
      <c r="R187" s="141">
        <v>184</v>
      </c>
    </row>
    <row r="188" spans="16:18">
      <c r="P188" s="141">
        <v>185</v>
      </c>
      <c r="Q188" s="141">
        <v>10</v>
      </c>
      <c r="R188" s="141">
        <v>185</v>
      </c>
    </row>
    <row r="189" spans="16:18">
      <c r="P189" s="141">
        <v>186</v>
      </c>
      <c r="Q189" s="141">
        <v>10</v>
      </c>
      <c r="R189" s="141">
        <v>186</v>
      </c>
    </row>
    <row r="190" spans="16:18">
      <c r="P190" s="141">
        <v>187</v>
      </c>
      <c r="Q190" s="141">
        <v>10</v>
      </c>
      <c r="R190" s="141">
        <v>187</v>
      </c>
    </row>
    <row r="191" spans="16:18">
      <c r="P191" s="141">
        <v>188</v>
      </c>
      <c r="Q191" s="141">
        <v>10</v>
      </c>
      <c r="R191" s="141">
        <v>188</v>
      </c>
    </row>
    <row r="192" spans="16:18">
      <c r="P192" s="141">
        <v>189</v>
      </c>
      <c r="Q192" s="141">
        <v>10</v>
      </c>
      <c r="R192" s="141">
        <v>189</v>
      </c>
    </row>
    <row r="193" spans="16:18">
      <c r="P193" s="141">
        <v>190</v>
      </c>
      <c r="Q193" s="141">
        <v>10</v>
      </c>
      <c r="R193" s="141">
        <v>190</v>
      </c>
    </row>
    <row r="194" spans="16:18">
      <c r="P194" s="141">
        <v>191</v>
      </c>
      <c r="Q194" s="141">
        <v>10</v>
      </c>
      <c r="R194" s="141">
        <v>191</v>
      </c>
    </row>
    <row r="195" spans="16:18">
      <c r="P195" s="141">
        <v>192</v>
      </c>
      <c r="Q195" s="141">
        <v>10</v>
      </c>
      <c r="R195" s="141">
        <v>192</v>
      </c>
    </row>
    <row r="196" spans="16:18">
      <c r="P196" s="141">
        <v>193</v>
      </c>
      <c r="Q196" s="141">
        <v>10</v>
      </c>
      <c r="R196" s="141">
        <v>193</v>
      </c>
    </row>
    <row r="197" spans="16:18">
      <c r="P197" s="141">
        <v>194</v>
      </c>
      <c r="Q197" s="141">
        <v>10</v>
      </c>
      <c r="R197" s="141">
        <v>194</v>
      </c>
    </row>
    <row r="198" spans="16:18">
      <c r="P198" s="141">
        <v>195</v>
      </c>
      <c r="Q198" s="141">
        <v>10</v>
      </c>
      <c r="R198" s="141">
        <v>195</v>
      </c>
    </row>
    <row r="199" spans="16:18">
      <c r="P199" s="141">
        <v>196</v>
      </c>
      <c r="Q199" s="141">
        <v>10</v>
      </c>
      <c r="R199" s="141">
        <v>196</v>
      </c>
    </row>
    <row r="200" spans="16:18">
      <c r="P200" s="141">
        <v>197</v>
      </c>
      <c r="Q200" s="141">
        <v>10</v>
      </c>
      <c r="R200" s="141">
        <v>197</v>
      </c>
    </row>
    <row r="201" spans="16:18">
      <c r="P201" s="141">
        <v>198</v>
      </c>
      <c r="Q201" s="141">
        <v>10</v>
      </c>
      <c r="R201" s="141">
        <v>198</v>
      </c>
    </row>
    <row r="202" spans="16:18">
      <c r="P202" s="141">
        <v>199</v>
      </c>
      <c r="Q202" s="141">
        <v>10</v>
      </c>
      <c r="R202" s="141">
        <v>199</v>
      </c>
    </row>
    <row r="203" spans="16:18">
      <c r="P203" s="141">
        <v>200</v>
      </c>
      <c r="Q203" s="141">
        <v>0</v>
      </c>
      <c r="R203" s="141">
        <v>200</v>
      </c>
    </row>
  </sheetData>
  <hyperlinks>
    <hyperlink ref="A3" r:id="rId1" display="索引"/>
  </hyperlinks>
  <pageMargins left="0.75" right="0.75" top="1" bottom="1" header="0.511805555555556" footer="0.511805555555556"/>
  <pageSetup paperSize="9" orientation="portrait"/>
  <headerFooter/>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O37"/>
  <sheetViews>
    <sheetView workbookViewId="0">
      <selection activeCell="C6" sqref="C6"/>
    </sheetView>
  </sheetViews>
  <sheetFormatPr defaultColWidth="7" defaultRowHeight="21.95" customHeight="1"/>
  <cols>
    <col min="1" max="1" width="6.59868421052632" style="27" customWidth="1"/>
    <col min="2" max="2" width="6.5" style="27" customWidth="1"/>
    <col min="3" max="3" width="5.90131578947368" style="27" customWidth="1"/>
    <col min="4" max="4" width="10.5" style="27" customWidth="1"/>
    <col min="5" max="5" width="10.6973684210526" style="27" customWidth="1"/>
    <col min="6" max="6" width="11.5" style="27" customWidth="1"/>
    <col min="7" max="7" width="7.59868421052632" style="27" customWidth="1"/>
    <col min="8" max="8" width="5.69736842105263" style="27" customWidth="1"/>
    <col min="9" max="9" width="5.90131578947368" style="27" customWidth="1"/>
    <col min="10" max="10" width="10.5" style="27" customWidth="1"/>
    <col min="11" max="11" width="10.6973684210526" style="27" customWidth="1"/>
    <col min="12" max="12" width="11.5" style="27" customWidth="1"/>
    <col min="13" max="13" width="7.59868421052632" style="27" customWidth="1"/>
    <col min="14" max="14" width="5.69736842105263" style="27" customWidth="1"/>
    <col min="15" max="15" width="5.90131578947368" style="27" customWidth="1"/>
    <col min="16" max="16" width="10.5" style="27" customWidth="1"/>
    <col min="17" max="17" width="10.6973684210526" style="27" customWidth="1"/>
    <col min="18" max="18" width="11.5" style="27" customWidth="1"/>
    <col min="19" max="19" width="7.59868421052632" style="27" customWidth="1"/>
    <col min="20" max="20" width="5.69736842105263" style="27" customWidth="1"/>
    <col min="21" max="21" width="5.90131578947368" style="27" customWidth="1"/>
    <col min="22" max="22" width="10.5" style="27" customWidth="1"/>
    <col min="23" max="23" width="10.6973684210526" style="27" customWidth="1"/>
    <col min="24" max="24" width="11.5" style="27" customWidth="1"/>
    <col min="25" max="25" width="7.59868421052632" style="27" customWidth="1"/>
    <col min="26" max="26" width="5.69736842105263" style="27" customWidth="1"/>
    <col min="27" max="27" width="5.90131578947368" style="27" customWidth="1"/>
    <col min="28" max="28" width="10.5" style="27" customWidth="1"/>
    <col min="29" max="29" width="10.6973684210526" style="27" customWidth="1"/>
    <col min="30" max="30" width="11.5" style="27" customWidth="1"/>
    <col min="31" max="31" width="7.59868421052632" style="27" customWidth="1"/>
    <col min="32" max="32" width="5.69736842105263" style="27" customWidth="1"/>
    <col min="33" max="33" width="5.90131578947368" style="27" customWidth="1"/>
    <col min="34" max="34" width="10.5" style="27" customWidth="1"/>
    <col min="35" max="35" width="10.6973684210526" style="27" customWidth="1"/>
    <col min="36" max="36" width="11.5" style="27" customWidth="1"/>
    <col min="37" max="37" width="7.59868421052632" style="27" customWidth="1"/>
    <col min="38" max="38" width="5.69736842105263" style="27" customWidth="1"/>
    <col min="39" max="39" width="5.90131578947368" style="27" customWidth="1"/>
    <col min="40" max="40" width="10.5" style="27" customWidth="1"/>
    <col min="41" max="41" width="10.6973684210526" style="27" customWidth="1"/>
    <col min="42" max="42" width="11.5" style="27" customWidth="1"/>
    <col min="43" max="43" width="7.59868421052632" style="27" customWidth="1"/>
    <col min="44" max="44" width="5.69736842105263" style="27" customWidth="1"/>
    <col min="45" max="45" width="6.09868421052632" style="27" customWidth="1"/>
    <col min="46" max="46" width="10.5" style="27" customWidth="1"/>
    <col min="47" max="47" width="10.6973684210526" style="27" customWidth="1"/>
    <col min="48" max="48" width="11.5" style="27" customWidth="1"/>
    <col min="49" max="49" width="7.59868421052632" style="27" customWidth="1"/>
    <col min="50" max="50" width="5.69736842105263" style="27" customWidth="1"/>
    <col min="51" max="51" width="6.09868421052632" style="27" customWidth="1"/>
    <col min="52" max="52" width="10.5" style="27" customWidth="1"/>
    <col min="53" max="53" width="10.6973684210526" style="27" customWidth="1"/>
    <col min="54" max="54" width="11.5" style="27" customWidth="1"/>
    <col min="55" max="55" width="7.59868421052632" style="27" customWidth="1"/>
    <col min="56" max="56" width="5.69736842105263" style="27" customWidth="1"/>
    <col min="57" max="57" width="6.09868421052632" style="27" customWidth="1"/>
    <col min="58" max="58" width="10.5" style="27" customWidth="1"/>
    <col min="59" max="59" width="10.6973684210526" style="27" customWidth="1"/>
    <col min="60" max="60" width="11.5" style="27" customWidth="1"/>
    <col min="61" max="61" width="7.59868421052632" style="27" customWidth="1"/>
    <col min="62" max="62" width="5.69736842105263" style="27" customWidth="1"/>
    <col min="63" max="63" width="6.09868421052632" style="27" customWidth="1"/>
    <col min="64" max="64" width="10.5" style="27" customWidth="1"/>
    <col min="65" max="65" width="10.6973684210526" style="27" customWidth="1"/>
    <col min="66" max="66" width="11.5" style="27" customWidth="1"/>
    <col min="67" max="67" width="7.59868421052632" style="27" customWidth="1"/>
    <col min="68" max="16384" width="7" style="27"/>
  </cols>
  <sheetData>
    <row r="1" customHeight="1" spans="1:67">
      <c r="A1" s="53" t="s">
        <v>773</v>
      </c>
      <c r="B1" s="125" t="s">
        <v>546</v>
      </c>
      <c r="C1" s="53" t="s">
        <v>543</v>
      </c>
      <c r="D1" s="53" t="s">
        <v>1243</v>
      </c>
      <c r="E1" s="53" t="s">
        <v>1244</v>
      </c>
      <c r="F1" s="53" t="s">
        <v>1245</v>
      </c>
      <c r="G1" s="53" t="s">
        <v>1246</v>
      </c>
      <c r="H1" s="127" t="s">
        <v>546</v>
      </c>
      <c r="I1" s="53" t="s">
        <v>543</v>
      </c>
      <c r="J1" s="53" t="s">
        <v>1243</v>
      </c>
      <c r="K1" s="53" t="s">
        <v>1244</v>
      </c>
      <c r="L1" s="53" t="s">
        <v>1245</v>
      </c>
      <c r="M1" s="53" t="s">
        <v>1246</v>
      </c>
      <c r="N1" s="128" t="s">
        <v>546</v>
      </c>
      <c r="O1" s="53" t="s">
        <v>543</v>
      </c>
      <c r="P1" s="53" t="s">
        <v>1243</v>
      </c>
      <c r="Q1" s="53" t="s">
        <v>1244</v>
      </c>
      <c r="R1" s="53" t="s">
        <v>1245</v>
      </c>
      <c r="S1" s="53" t="s">
        <v>1246</v>
      </c>
      <c r="T1" s="129" t="s">
        <v>546</v>
      </c>
      <c r="U1" s="53" t="s">
        <v>543</v>
      </c>
      <c r="V1" s="53" t="s">
        <v>1243</v>
      </c>
      <c r="W1" s="53" t="s">
        <v>1244</v>
      </c>
      <c r="X1" s="53" t="s">
        <v>1245</v>
      </c>
      <c r="Y1" s="53" t="s">
        <v>1246</v>
      </c>
      <c r="Z1" s="130" t="s">
        <v>546</v>
      </c>
      <c r="AA1" s="53" t="s">
        <v>543</v>
      </c>
      <c r="AB1" s="53" t="s">
        <v>1243</v>
      </c>
      <c r="AC1" s="53" t="s">
        <v>1244</v>
      </c>
      <c r="AD1" s="53" t="s">
        <v>1245</v>
      </c>
      <c r="AE1" s="53" t="s">
        <v>1246</v>
      </c>
      <c r="AF1" s="131" t="s">
        <v>546</v>
      </c>
      <c r="AG1" s="53" t="s">
        <v>543</v>
      </c>
      <c r="AH1" s="53" t="s">
        <v>1243</v>
      </c>
      <c r="AI1" s="53" t="s">
        <v>1244</v>
      </c>
      <c r="AJ1" s="53" t="s">
        <v>1245</v>
      </c>
      <c r="AK1" s="53" t="s">
        <v>1246</v>
      </c>
      <c r="AL1" s="132" t="s">
        <v>546</v>
      </c>
      <c r="AM1" s="53" t="s">
        <v>543</v>
      </c>
      <c r="AN1" s="53" t="s">
        <v>1243</v>
      </c>
      <c r="AO1" s="53" t="s">
        <v>1244</v>
      </c>
      <c r="AP1" s="53" t="s">
        <v>1245</v>
      </c>
      <c r="AQ1" s="53" t="s">
        <v>1246</v>
      </c>
      <c r="AR1" s="133" t="s">
        <v>546</v>
      </c>
      <c r="AS1" s="53" t="s">
        <v>543</v>
      </c>
      <c r="AT1" s="53" t="s">
        <v>1243</v>
      </c>
      <c r="AU1" s="53" t="s">
        <v>1244</v>
      </c>
      <c r="AV1" s="53" t="s">
        <v>1245</v>
      </c>
      <c r="AW1" s="53" t="s">
        <v>1246</v>
      </c>
      <c r="AX1" s="134" t="s">
        <v>546</v>
      </c>
      <c r="AY1" s="53" t="s">
        <v>543</v>
      </c>
      <c r="AZ1" s="53" t="s">
        <v>1243</v>
      </c>
      <c r="BA1" s="53" t="s">
        <v>1244</v>
      </c>
      <c r="BB1" s="53" t="s">
        <v>1245</v>
      </c>
      <c r="BC1" s="53" t="s">
        <v>1246</v>
      </c>
      <c r="BD1" s="135" t="s">
        <v>546</v>
      </c>
      <c r="BE1" s="53" t="s">
        <v>543</v>
      </c>
      <c r="BF1" s="53" t="s">
        <v>1243</v>
      </c>
      <c r="BG1" s="53" t="s">
        <v>1244</v>
      </c>
      <c r="BH1" s="53" t="s">
        <v>1245</v>
      </c>
      <c r="BI1" s="53" t="s">
        <v>1246</v>
      </c>
      <c r="BJ1" s="136" t="s">
        <v>546</v>
      </c>
      <c r="BK1" s="53" t="s">
        <v>543</v>
      </c>
      <c r="BL1" s="53" t="s">
        <v>1243</v>
      </c>
      <c r="BM1" s="53" t="s">
        <v>1244</v>
      </c>
      <c r="BN1" s="53" t="s">
        <v>1245</v>
      </c>
      <c r="BO1" s="53" t="s">
        <v>1246</v>
      </c>
    </row>
    <row r="2" customHeight="1" spans="1:67">
      <c r="A2" s="53" t="s">
        <v>39</v>
      </c>
      <c r="B2" s="125" t="s">
        <v>39</v>
      </c>
      <c r="C2" s="53" t="s">
        <v>39</v>
      </c>
      <c r="D2" s="53" t="s">
        <v>39</v>
      </c>
      <c r="E2" s="53" t="s">
        <v>39</v>
      </c>
      <c r="F2" s="53" t="s">
        <v>39</v>
      </c>
      <c r="G2" s="53" t="s">
        <v>39</v>
      </c>
      <c r="H2" s="127" t="s">
        <v>39</v>
      </c>
      <c r="I2" s="53" t="s">
        <v>39</v>
      </c>
      <c r="J2" s="53" t="s">
        <v>39</v>
      </c>
      <c r="K2" s="53" t="s">
        <v>39</v>
      </c>
      <c r="L2" s="53" t="s">
        <v>39</v>
      </c>
      <c r="M2" s="53" t="s">
        <v>39</v>
      </c>
      <c r="N2" s="128" t="s">
        <v>39</v>
      </c>
      <c r="O2" s="53" t="s">
        <v>39</v>
      </c>
      <c r="P2" s="53" t="s">
        <v>39</v>
      </c>
      <c r="Q2" s="53" t="s">
        <v>39</v>
      </c>
      <c r="R2" s="53" t="s">
        <v>39</v>
      </c>
      <c r="S2" s="53" t="s">
        <v>39</v>
      </c>
      <c r="T2" s="129" t="s">
        <v>39</v>
      </c>
      <c r="U2" s="53" t="s">
        <v>39</v>
      </c>
      <c r="V2" s="53" t="s">
        <v>39</v>
      </c>
      <c r="W2" s="53" t="s">
        <v>39</v>
      </c>
      <c r="X2" s="53" t="s">
        <v>39</v>
      </c>
      <c r="Y2" s="53" t="s">
        <v>39</v>
      </c>
      <c r="Z2" s="130" t="s">
        <v>39</v>
      </c>
      <c r="AA2" s="53" t="s">
        <v>39</v>
      </c>
      <c r="AB2" s="53" t="s">
        <v>39</v>
      </c>
      <c r="AC2" s="53" t="s">
        <v>39</v>
      </c>
      <c r="AD2" s="53" t="s">
        <v>39</v>
      </c>
      <c r="AE2" s="53" t="s">
        <v>39</v>
      </c>
      <c r="AF2" s="131" t="s">
        <v>39</v>
      </c>
      <c r="AG2" s="53" t="s">
        <v>39</v>
      </c>
      <c r="AH2" s="53" t="s">
        <v>39</v>
      </c>
      <c r="AI2" s="53" t="s">
        <v>39</v>
      </c>
      <c r="AJ2" s="53" t="s">
        <v>39</v>
      </c>
      <c r="AK2" s="53" t="s">
        <v>39</v>
      </c>
      <c r="AL2" s="132" t="s">
        <v>39</v>
      </c>
      <c r="AM2" s="53" t="s">
        <v>39</v>
      </c>
      <c r="AN2" s="53" t="s">
        <v>39</v>
      </c>
      <c r="AO2" s="53" t="s">
        <v>39</v>
      </c>
      <c r="AP2" s="53" t="s">
        <v>39</v>
      </c>
      <c r="AQ2" s="53" t="s">
        <v>39</v>
      </c>
      <c r="AR2" s="133" t="s">
        <v>39</v>
      </c>
      <c r="AS2" s="53" t="s">
        <v>39</v>
      </c>
      <c r="AT2" s="53" t="s">
        <v>39</v>
      </c>
      <c r="AU2" s="53" t="s">
        <v>39</v>
      </c>
      <c r="AV2" s="53" t="s">
        <v>39</v>
      </c>
      <c r="AW2" s="53" t="s">
        <v>39</v>
      </c>
      <c r="AX2" s="134" t="s">
        <v>39</v>
      </c>
      <c r="AY2" s="53" t="s">
        <v>39</v>
      </c>
      <c r="AZ2" s="53" t="s">
        <v>39</v>
      </c>
      <c r="BA2" s="53" t="s">
        <v>39</v>
      </c>
      <c r="BB2" s="53" t="s">
        <v>39</v>
      </c>
      <c r="BC2" s="53" t="s">
        <v>39</v>
      </c>
      <c r="BD2" s="135" t="s">
        <v>39</v>
      </c>
      <c r="BE2" s="53" t="s">
        <v>39</v>
      </c>
      <c r="BF2" s="53" t="s">
        <v>39</v>
      </c>
      <c r="BG2" s="53" t="s">
        <v>39</v>
      </c>
      <c r="BH2" s="53" t="s">
        <v>39</v>
      </c>
      <c r="BI2" s="53" t="s">
        <v>39</v>
      </c>
      <c r="BJ2" s="136" t="s">
        <v>39</v>
      </c>
      <c r="BK2" s="53" t="s">
        <v>39</v>
      </c>
      <c r="BL2" s="53" t="s">
        <v>39</v>
      </c>
      <c r="BM2" s="53" t="s">
        <v>39</v>
      </c>
      <c r="BN2" s="53" t="s">
        <v>39</v>
      </c>
      <c r="BO2" s="53" t="s">
        <v>39</v>
      </c>
    </row>
    <row r="3" customHeight="1" spans="1:67">
      <c r="A3" s="53" t="s">
        <v>811</v>
      </c>
      <c r="B3" s="125" t="s">
        <v>535</v>
      </c>
      <c r="C3" s="53" t="s">
        <v>1247</v>
      </c>
      <c r="D3" s="53" t="s">
        <v>1248</v>
      </c>
      <c r="E3" s="53" t="s">
        <v>1249</v>
      </c>
      <c r="F3" s="53" t="s">
        <v>1250</v>
      </c>
      <c r="G3" s="53" t="s">
        <v>1251</v>
      </c>
      <c r="H3" s="127" t="s">
        <v>535</v>
      </c>
      <c r="I3" s="53" t="s">
        <v>1247</v>
      </c>
      <c r="J3" s="53" t="s">
        <v>1248</v>
      </c>
      <c r="K3" s="53" t="s">
        <v>1249</v>
      </c>
      <c r="L3" s="53" t="s">
        <v>1250</v>
      </c>
      <c r="M3" s="53" t="s">
        <v>1251</v>
      </c>
      <c r="N3" s="128" t="s">
        <v>535</v>
      </c>
      <c r="O3" s="53" t="s">
        <v>1247</v>
      </c>
      <c r="P3" s="53" t="s">
        <v>1248</v>
      </c>
      <c r="Q3" s="53" t="s">
        <v>1249</v>
      </c>
      <c r="R3" s="53" t="s">
        <v>1250</v>
      </c>
      <c r="S3" s="53" t="s">
        <v>1251</v>
      </c>
      <c r="T3" s="129" t="s">
        <v>535</v>
      </c>
      <c r="U3" s="53" t="s">
        <v>1247</v>
      </c>
      <c r="V3" s="53" t="s">
        <v>1248</v>
      </c>
      <c r="W3" s="53" t="s">
        <v>1249</v>
      </c>
      <c r="X3" s="53" t="s">
        <v>1250</v>
      </c>
      <c r="Y3" s="53" t="s">
        <v>1251</v>
      </c>
      <c r="Z3" s="130" t="s">
        <v>535</v>
      </c>
      <c r="AA3" s="53" t="s">
        <v>1247</v>
      </c>
      <c r="AB3" s="53" t="s">
        <v>1248</v>
      </c>
      <c r="AC3" s="53" t="s">
        <v>1249</v>
      </c>
      <c r="AD3" s="53" t="s">
        <v>1250</v>
      </c>
      <c r="AE3" s="53" t="s">
        <v>1251</v>
      </c>
      <c r="AF3" s="131" t="s">
        <v>535</v>
      </c>
      <c r="AG3" s="53" t="s">
        <v>1247</v>
      </c>
      <c r="AH3" s="53" t="s">
        <v>1248</v>
      </c>
      <c r="AI3" s="53" t="s">
        <v>1249</v>
      </c>
      <c r="AJ3" s="53" t="s">
        <v>1250</v>
      </c>
      <c r="AK3" s="53" t="s">
        <v>1251</v>
      </c>
      <c r="AL3" s="132" t="s">
        <v>535</v>
      </c>
      <c r="AM3" s="53" t="s">
        <v>1247</v>
      </c>
      <c r="AN3" s="53" t="s">
        <v>1248</v>
      </c>
      <c r="AO3" s="53" t="s">
        <v>1249</v>
      </c>
      <c r="AP3" s="53" t="s">
        <v>1250</v>
      </c>
      <c r="AQ3" s="53" t="s">
        <v>1251</v>
      </c>
      <c r="AR3" s="133" t="s">
        <v>535</v>
      </c>
      <c r="AS3" s="53" t="s">
        <v>1247</v>
      </c>
      <c r="AT3" s="53" t="s">
        <v>1248</v>
      </c>
      <c r="AU3" s="53" t="s">
        <v>1249</v>
      </c>
      <c r="AV3" s="53" t="s">
        <v>1250</v>
      </c>
      <c r="AW3" s="53" t="s">
        <v>1251</v>
      </c>
      <c r="AX3" s="134" t="s">
        <v>535</v>
      </c>
      <c r="AY3" s="53" t="s">
        <v>1247</v>
      </c>
      <c r="AZ3" s="53" t="s">
        <v>1248</v>
      </c>
      <c r="BA3" s="53" t="s">
        <v>1249</v>
      </c>
      <c r="BB3" s="53" t="s">
        <v>1250</v>
      </c>
      <c r="BC3" s="53" t="s">
        <v>1251</v>
      </c>
      <c r="BD3" s="135" t="s">
        <v>535</v>
      </c>
      <c r="BE3" s="53" t="s">
        <v>1247</v>
      </c>
      <c r="BF3" s="53" t="s">
        <v>1248</v>
      </c>
      <c r="BG3" s="53" t="s">
        <v>1249</v>
      </c>
      <c r="BH3" s="53" t="s">
        <v>1250</v>
      </c>
      <c r="BI3" s="53" t="s">
        <v>1251</v>
      </c>
      <c r="BJ3" s="137" t="s">
        <v>535</v>
      </c>
      <c r="BK3" s="53" t="s">
        <v>1247</v>
      </c>
      <c r="BL3" s="53" t="s">
        <v>1248</v>
      </c>
      <c r="BM3" s="53" t="s">
        <v>1249</v>
      </c>
      <c r="BN3" s="53" t="s">
        <v>1250</v>
      </c>
      <c r="BO3" s="53" t="s">
        <v>1251</v>
      </c>
    </row>
    <row r="4" customHeight="1" spans="1:67">
      <c r="A4" s="53">
        <v>44001</v>
      </c>
      <c r="B4" s="125">
        <v>1000</v>
      </c>
      <c r="C4" s="53">
        <v>31402</v>
      </c>
      <c r="D4" s="53">
        <v>1</v>
      </c>
      <c r="E4" s="53">
        <v>1</v>
      </c>
      <c r="F4" s="53">
        <v>1</v>
      </c>
      <c r="G4" s="53">
        <v>0</v>
      </c>
      <c r="H4" s="127">
        <v>1000</v>
      </c>
      <c r="I4" s="53">
        <v>1137</v>
      </c>
      <c r="J4" s="53">
        <v>5</v>
      </c>
      <c r="K4" s="53">
        <v>1</v>
      </c>
      <c r="L4" s="53">
        <v>1</v>
      </c>
      <c r="M4" s="53">
        <v>0</v>
      </c>
      <c r="N4" s="128">
        <v>1000</v>
      </c>
      <c r="O4" s="53">
        <v>1145</v>
      </c>
      <c r="P4" s="53">
        <v>5</v>
      </c>
      <c r="Q4" s="53">
        <v>1</v>
      </c>
      <c r="R4" s="53">
        <v>1</v>
      </c>
      <c r="S4" s="53">
        <v>0</v>
      </c>
      <c r="T4" s="129">
        <v>1000</v>
      </c>
      <c r="U4" s="53">
        <v>1149</v>
      </c>
      <c r="V4" s="53">
        <v>5</v>
      </c>
      <c r="W4" s="53">
        <v>1</v>
      </c>
      <c r="X4" s="53">
        <v>1</v>
      </c>
      <c r="Y4" s="53">
        <v>0</v>
      </c>
      <c r="Z4" s="130">
        <v>3000</v>
      </c>
      <c r="AA4" s="53">
        <v>1408</v>
      </c>
      <c r="AB4" s="53">
        <v>5</v>
      </c>
      <c r="AC4" s="53">
        <v>1</v>
      </c>
      <c r="AD4" s="53">
        <v>1</v>
      </c>
      <c r="AE4" s="53">
        <v>0</v>
      </c>
      <c r="AF4" s="131">
        <v>0</v>
      </c>
      <c r="AG4" s="53">
        <v>1165</v>
      </c>
      <c r="AH4" s="53">
        <v>10</v>
      </c>
      <c r="AI4" s="53">
        <v>1</v>
      </c>
      <c r="AJ4" s="53">
        <v>1</v>
      </c>
      <c r="AK4" s="53">
        <v>0</v>
      </c>
      <c r="AL4" s="132">
        <v>2000</v>
      </c>
      <c r="AM4" s="53">
        <v>1288</v>
      </c>
      <c r="AN4" s="53">
        <v>10</v>
      </c>
      <c r="AO4" s="53">
        <v>1</v>
      </c>
      <c r="AP4" s="53">
        <v>1</v>
      </c>
      <c r="AQ4" s="53">
        <v>0</v>
      </c>
      <c r="AR4" s="133">
        <v>1000</v>
      </c>
      <c r="AS4" s="53">
        <v>31402</v>
      </c>
      <c r="AT4" s="53">
        <v>1</v>
      </c>
      <c r="AU4" s="53">
        <v>1</v>
      </c>
      <c r="AV4" s="53">
        <v>1</v>
      </c>
      <c r="AW4" s="53">
        <v>0</v>
      </c>
      <c r="AX4" s="134"/>
      <c r="AY4" s="53"/>
      <c r="AZ4" s="53"/>
      <c r="BA4" s="53"/>
      <c r="BB4" s="53"/>
      <c r="BC4" s="53"/>
      <c r="BD4" s="135"/>
      <c r="BE4" s="53"/>
      <c r="BF4" s="53"/>
      <c r="BG4" s="53"/>
      <c r="BH4" s="53"/>
      <c r="BI4" s="53"/>
      <c r="BJ4" s="136"/>
      <c r="BK4" s="53"/>
      <c r="BL4" s="53"/>
      <c r="BM4" s="53"/>
      <c r="BN4" s="53"/>
      <c r="BO4" s="53"/>
    </row>
    <row r="5" customHeight="1" spans="1:67">
      <c r="A5" s="53">
        <v>44002</v>
      </c>
      <c r="B5" s="125">
        <v>1000</v>
      </c>
      <c r="C5" s="53">
        <v>32402</v>
      </c>
      <c r="D5" s="53">
        <v>1</v>
      </c>
      <c r="E5" s="53">
        <v>1</v>
      </c>
      <c r="F5" s="53">
        <v>1</v>
      </c>
      <c r="G5" s="53">
        <v>0</v>
      </c>
      <c r="H5" s="127">
        <v>1500</v>
      </c>
      <c r="I5" s="53">
        <v>1137</v>
      </c>
      <c r="J5" s="53">
        <v>5</v>
      </c>
      <c r="K5" s="53">
        <v>1</v>
      </c>
      <c r="L5" s="53">
        <v>1</v>
      </c>
      <c r="M5" s="53">
        <v>0</v>
      </c>
      <c r="N5" s="128">
        <v>1000</v>
      </c>
      <c r="O5" s="53">
        <v>1145</v>
      </c>
      <c r="P5" s="53">
        <v>20</v>
      </c>
      <c r="Q5" s="53">
        <v>1</v>
      </c>
      <c r="R5" s="53">
        <v>1</v>
      </c>
      <c r="S5" s="53">
        <v>0</v>
      </c>
      <c r="T5" s="129">
        <v>1000</v>
      </c>
      <c r="U5" s="53">
        <v>1149</v>
      </c>
      <c r="V5" s="53">
        <v>20</v>
      </c>
      <c r="W5" s="53">
        <v>1</v>
      </c>
      <c r="X5" s="53">
        <v>1</v>
      </c>
      <c r="Y5" s="53">
        <v>0</v>
      </c>
      <c r="Z5" s="130">
        <v>1000</v>
      </c>
      <c r="AA5" s="53">
        <v>1147</v>
      </c>
      <c r="AB5" s="53">
        <v>20</v>
      </c>
      <c r="AC5" s="53">
        <v>1</v>
      </c>
      <c r="AD5" s="53">
        <v>1</v>
      </c>
      <c r="AE5" s="53">
        <v>0</v>
      </c>
      <c r="AF5" s="131">
        <v>2500</v>
      </c>
      <c r="AG5" s="53">
        <v>1408</v>
      </c>
      <c r="AH5" s="53">
        <v>5</v>
      </c>
      <c r="AI5" s="53">
        <v>1</v>
      </c>
      <c r="AJ5" s="53">
        <v>1</v>
      </c>
      <c r="AK5" s="53">
        <v>0</v>
      </c>
      <c r="AL5" s="132">
        <v>1000</v>
      </c>
      <c r="AM5" s="53">
        <v>1165</v>
      </c>
      <c r="AN5" s="53">
        <v>10</v>
      </c>
      <c r="AO5" s="53">
        <v>1</v>
      </c>
      <c r="AP5" s="53">
        <v>1</v>
      </c>
      <c r="AQ5" s="53">
        <v>0</v>
      </c>
      <c r="AR5" s="133">
        <v>0</v>
      </c>
      <c r="AS5" s="53">
        <v>1288</v>
      </c>
      <c r="AT5" s="53">
        <v>10</v>
      </c>
      <c r="AU5" s="53">
        <v>1</v>
      </c>
      <c r="AV5" s="53">
        <v>1</v>
      </c>
      <c r="AW5" s="53">
        <v>0</v>
      </c>
      <c r="AX5" s="134">
        <v>1000</v>
      </c>
      <c r="AY5" s="53">
        <v>32402</v>
      </c>
      <c r="AZ5" s="53">
        <v>1</v>
      </c>
      <c r="BA5" s="53">
        <v>1</v>
      </c>
      <c r="BB5" s="53">
        <v>1</v>
      </c>
      <c r="BC5" s="53">
        <v>0</v>
      </c>
      <c r="BD5" s="135"/>
      <c r="BE5" s="53"/>
      <c r="BF5" s="53"/>
      <c r="BG5" s="53"/>
      <c r="BH5" s="53"/>
      <c r="BI5" s="53"/>
      <c r="BJ5" s="136"/>
      <c r="BK5" s="53"/>
      <c r="BL5" s="53"/>
      <c r="BM5" s="53"/>
      <c r="BN5" s="53"/>
      <c r="BO5" s="53"/>
    </row>
    <row r="6" customHeight="1" spans="1:67">
      <c r="A6" s="53">
        <v>44003</v>
      </c>
      <c r="B6" s="125">
        <v>1000</v>
      </c>
      <c r="C6" s="53">
        <v>1137</v>
      </c>
      <c r="D6" s="53">
        <v>10</v>
      </c>
      <c r="E6" s="53">
        <v>1</v>
      </c>
      <c r="F6" s="53">
        <v>1</v>
      </c>
      <c r="G6" s="53">
        <v>0</v>
      </c>
      <c r="H6" s="127">
        <v>1000</v>
      </c>
      <c r="I6" s="53">
        <v>1145</v>
      </c>
      <c r="J6" s="53">
        <v>50</v>
      </c>
      <c r="K6" s="53">
        <v>1</v>
      </c>
      <c r="L6" s="53">
        <v>1</v>
      </c>
      <c r="M6" s="53">
        <v>0</v>
      </c>
      <c r="N6" s="128">
        <v>1000</v>
      </c>
      <c r="O6" s="53">
        <v>1149</v>
      </c>
      <c r="P6" s="53">
        <v>50</v>
      </c>
      <c r="Q6" s="53">
        <v>1</v>
      </c>
      <c r="R6" s="53">
        <v>1</v>
      </c>
      <c r="S6" s="53">
        <v>0</v>
      </c>
      <c r="T6" s="129">
        <v>1000</v>
      </c>
      <c r="U6" s="53">
        <v>1147</v>
      </c>
      <c r="V6" s="53">
        <v>50</v>
      </c>
      <c r="W6" s="53">
        <v>1</v>
      </c>
      <c r="X6" s="53">
        <v>1</v>
      </c>
      <c r="Y6" s="53">
        <v>0</v>
      </c>
      <c r="Z6" s="130">
        <v>3000</v>
      </c>
      <c r="AA6" s="53">
        <v>1408</v>
      </c>
      <c r="AB6" s="53">
        <v>5</v>
      </c>
      <c r="AC6" s="53">
        <v>1</v>
      </c>
      <c r="AD6" s="53">
        <v>1</v>
      </c>
      <c r="AE6" s="53">
        <v>0</v>
      </c>
      <c r="AF6" s="131">
        <v>2000</v>
      </c>
      <c r="AG6" s="53">
        <v>1165</v>
      </c>
      <c r="AH6" s="53">
        <v>10</v>
      </c>
      <c r="AI6" s="53">
        <v>1</v>
      </c>
      <c r="AJ6" s="53">
        <v>1</v>
      </c>
      <c r="AK6" s="53">
        <v>0</v>
      </c>
      <c r="AL6" s="132">
        <v>0</v>
      </c>
      <c r="AM6" s="53">
        <v>1288</v>
      </c>
      <c r="AN6" s="53">
        <v>10</v>
      </c>
      <c r="AO6" s="53">
        <v>1</v>
      </c>
      <c r="AP6" s="53">
        <v>1</v>
      </c>
      <c r="AQ6" s="53">
        <v>0</v>
      </c>
      <c r="AR6" s="133">
        <v>500</v>
      </c>
      <c r="AS6" s="53">
        <v>1166</v>
      </c>
      <c r="AT6" s="53">
        <v>10</v>
      </c>
      <c r="AU6" s="53">
        <v>1</v>
      </c>
      <c r="AV6" s="53">
        <v>1</v>
      </c>
      <c r="AW6" s="53">
        <v>0</v>
      </c>
      <c r="AX6" s="134">
        <v>500</v>
      </c>
      <c r="AY6" s="53">
        <v>33402</v>
      </c>
      <c r="AZ6" s="53">
        <v>1</v>
      </c>
      <c r="BA6" s="53">
        <v>1</v>
      </c>
      <c r="BB6" s="53">
        <v>1</v>
      </c>
      <c r="BC6" s="53">
        <v>0</v>
      </c>
      <c r="BD6" s="135"/>
      <c r="BE6" s="53"/>
      <c r="BF6" s="53"/>
      <c r="BG6" s="53"/>
      <c r="BH6" s="53"/>
      <c r="BI6" s="53"/>
      <c r="BJ6" s="136"/>
      <c r="BK6" s="53"/>
      <c r="BL6" s="53"/>
      <c r="BM6" s="53"/>
      <c r="BN6" s="53"/>
      <c r="BO6" s="53"/>
    </row>
    <row r="10" customHeight="1" spans="1:2">
      <c r="A10" s="126">
        <v>1145</v>
      </c>
      <c r="B10" s="126" t="s">
        <v>1252</v>
      </c>
    </row>
    <row r="11" customHeight="1" spans="1:2">
      <c r="A11" s="126">
        <v>1146</v>
      </c>
      <c r="B11" s="126" t="s">
        <v>1253</v>
      </c>
    </row>
    <row r="12" customHeight="1" spans="1:2">
      <c r="A12" s="126">
        <v>1147</v>
      </c>
      <c r="B12" s="126" t="s">
        <v>1254</v>
      </c>
    </row>
    <row r="13" customHeight="1" spans="1:2">
      <c r="A13" s="126">
        <v>1148</v>
      </c>
      <c r="B13" s="126" t="s">
        <v>1255</v>
      </c>
    </row>
    <row r="14" customHeight="1" spans="1:2">
      <c r="A14" s="126">
        <v>1149</v>
      </c>
      <c r="B14" s="126" t="s">
        <v>1256</v>
      </c>
    </row>
    <row r="15" customHeight="1" spans="1:2">
      <c r="A15" s="126">
        <v>1150</v>
      </c>
      <c r="B15" s="126" t="s">
        <v>1257</v>
      </c>
    </row>
    <row r="16" customHeight="1" spans="1:2">
      <c r="A16" s="126">
        <v>1152</v>
      </c>
      <c r="B16" s="126" t="s">
        <v>1258</v>
      </c>
    </row>
    <row r="17" customHeight="1" spans="1:2">
      <c r="A17" s="126">
        <v>1153</v>
      </c>
      <c r="B17" s="126" t="s">
        <v>1259</v>
      </c>
    </row>
    <row r="18" customHeight="1" spans="1:2">
      <c r="A18" s="126">
        <v>1154</v>
      </c>
      <c r="B18" s="126" t="s">
        <v>1260</v>
      </c>
    </row>
    <row r="19" customHeight="1" spans="1:2">
      <c r="A19" s="126"/>
      <c r="B19" s="126"/>
    </row>
    <row r="20" customHeight="1" spans="1:2">
      <c r="A20" s="126">
        <v>1165</v>
      </c>
      <c r="B20" s="126" t="s">
        <v>968</v>
      </c>
    </row>
    <row r="21" customHeight="1" spans="1:2">
      <c r="A21" s="126">
        <v>1166</v>
      </c>
      <c r="B21" s="126" t="s">
        <v>969</v>
      </c>
    </row>
    <row r="22" customHeight="1" spans="1:2">
      <c r="A22" s="126">
        <v>1167</v>
      </c>
      <c r="B22" s="126" t="s">
        <v>970</v>
      </c>
    </row>
    <row r="23" customHeight="1" spans="1:2">
      <c r="A23" s="126">
        <v>1288</v>
      </c>
      <c r="B23" s="126" t="s">
        <v>967</v>
      </c>
    </row>
    <row r="24" customHeight="1" spans="1:2">
      <c r="A24" s="126">
        <v>1289</v>
      </c>
      <c r="B24" s="126" t="s">
        <v>971</v>
      </c>
    </row>
    <row r="25" customHeight="1" spans="1:2">
      <c r="A25" s="126">
        <v>1290</v>
      </c>
      <c r="B25" s="126" t="s">
        <v>972</v>
      </c>
    </row>
    <row r="27" customHeight="1" spans="1:2">
      <c r="A27" s="27">
        <v>31402</v>
      </c>
      <c r="B27" s="27" t="s">
        <v>1261</v>
      </c>
    </row>
    <row r="28" customHeight="1" spans="1:1">
      <c r="A28" s="53"/>
    </row>
    <row r="29" customHeight="1" spans="1:1">
      <c r="A29" s="53"/>
    </row>
    <row r="30" customHeight="1" spans="1:2">
      <c r="A30" s="53">
        <v>44001</v>
      </c>
      <c r="B30" s="27">
        <v>1</v>
      </c>
    </row>
    <row r="31" customHeight="1" spans="1:2">
      <c r="A31" s="53">
        <v>44002</v>
      </c>
      <c r="B31" s="27">
        <v>10</v>
      </c>
    </row>
    <row r="32" customHeight="1" spans="1:2">
      <c r="A32" s="53">
        <v>44003</v>
      </c>
      <c r="B32" s="27">
        <v>50</v>
      </c>
    </row>
    <row r="33" customHeight="1" spans="1:2">
      <c r="A33" s="53">
        <v>44004</v>
      </c>
      <c r="B33" s="27">
        <v>200</v>
      </c>
    </row>
    <row r="34" customHeight="1" spans="1:2">
      <c r="A34" s="53">
        <v>44005</v>
      </c>
      <c r="B34" s="27">
        <v>500</v>
      </c>
    </row>
    <row r="36" customHeight="1" spans="1:67">
      <c r="A36" s="53">
        <v>44004</v>
      </c>
      <c r="B36" s="125">
        <v>500</v>
      </c>
      <c r="C36" s="53">
        <v>1137</v>
      </c>
      <c r="D36" s="53">
        <v>10</v>
      </c>
      <c r="E36" s="53">
        <v>10</v>
      </c>
      <c r="F36" s="53">
        <v>2</v>
      </c>
      <c r="G36" s="53">
        <v>0</v>
      </c>
      <c r="H36" s="127">
        <v>1500</v>
      </c>
      <c r="I36" s="53">
        <v>1145</v>
      </c>
      <c r="J36" s="53">
        <v>15</v>
      </c>
      <c r="K36" s="53">
        <v>10</v>
      </c>
      <c r="L36" s="53">
        <v>2</v>
      </c>
      <c r="M36" s="53">
        <v>0</v>
      </c>
      <c r="N36" s="128">
        <v>1500</v>
      </c>
      <c r="O36" s="53">
        <v>1149</v>
      </c>
      <c r="P36" s="53">
        <v>15</v>
      </c>
      <c r="Q36" s="53">
        <v>10</v>
      </c>
      <c r="R36" s="53">
        <v>2</v>
      </c>
      <c r="S36" s="53">
        <v>0</v>
      </c>
      <c r="T36" s="129">
        <v>1500</v>
      </c>
      <c r="U36" s="53">
        <v>1147</v>
      </c>
      <c r="V36" s="53">
        <v>15</v>
      </c>
      <c r="W36" s="53">
        <v>10</v>
      </c>
      <c r="X36" s="53">
        <v>2</v>
      </c>
      <c r="Y36" s="53">
        <v>0</v>
      </c>
      <c r="Z36" s="130">
        <v>500</v>
      </c>
      <c r="AA36" s="53">
        <v>1150</v>
      </c>
      <c r="AB36" s="53">
        <v>5</v>
      </c>
      <c r="AC36" s="53">
        <v>10</v>
      </c>
      <c r="AD36" s="53">
        <v>2</v>
      </c>
      <c r="AE36" s="53">
        <v>0</v>
      </c>
      <c r="AF36" s="131">
        <v>2500</v>
      </c>
      <c r="AG36" s="53">
        <v>1408</v>
      </c>
      <c r="AH36" s="53">
        <v>2</v>
      </c>
      <c r="AI36" s="53">
        <v>5</v>
      </c>
      <c r="AJ36" s="53">
        <v>2</v>
      </c>
      <c r="AK36" s="53">
        <v>0</v>
      </c>
      <c r="AL36" s="132">
        <v>1000</v>
      </c>
      <c r="AM36" s="53">
        <v>1165</v>
      </c>
      <c r="AN36" s="53">
        <v>1</v>
      </c>
      <c r="AO36" s="53">
        <v>3</v>
      </c>
      <c r="AP36" s="53">
        <v>2</v>
      </c>
      <c r="AQ36" s="53">
        <v>0</v>
      </c>
      <c r="AR36" s="133">
        <v>500</v>
      </c>
      <c r="AS36" s="53">
        <v>1166</v>
      </c>
      <c r="AT36" s="53">
        <v>1</v>
      </c>
      <c r="AU36" s="53">
        <v>3</v>
      </c>
      <c r="AV36" s="53">
        <v>2</v>
      </c>
      <c r="AW36" s="53">
        <v>0</v>
      </c>
      <c r="AX36" s="134">
        <v>400</v>
      </c>
      <c r="AY36" s="53">
        <v>1167</v>
      </c>
      <c r="AZ36" s="53">
        <v>1</v>
      </c>
      <c r="BA36" s="53">
        <v>3</v>
      </c>
      <c r="BB36" s="53">
        <v>2</v>
      </c>
      <c r="BC36" s="53">
        <v>0</v>
      </c>
      <c r="BD36" s="135">
        <v>100</v>
      </c>
      <c r="BE36" s="53">
        <v>34402</v>
      </c>
      <c r="BF36" s="53">
        <v>1</v>
      </c>
      <c r="BG36" s="53">
        <v>1</v>
      </c>
      <c r="BH36" s="53">
        <v>1</v>
      </c>
      <c r="BI36" s="53">
        <v>1000</v>
      </c>
      <c r="BJ36" s="136"/>
      <c r="BK36" s="53"/>
      <c r="BL36" s="53"/>
      <c r="BM36" s="53"/>
      <c r="BN36" s="53"/>
      <c r="BO36" s="53"/>
    </row>
    <row r="37" customHeight="1" spans="1:67">
      <c r="A37" s="53">
        <v>44005</v>
      </c>
      <c r="B37" s="125">
        <v>500</v>
      </c>
      <c r="C37" s="53">
        <v>1137</v>
      </c>
      <c r="D37" s="53">
        <v>10</v>
      </c>
      <c r="E37" s="53">
        <v>10</v>
      </c>
      <c r="F37" s="53">
        <v>2</v>
      </c>
      <c r="G37" s="53">
        <v>0</v>
      </c>
      <c r="H37" s="127">
        <v>1500</v>
      </c>
      <c r="I37" s="53">
        <v>1145</v>
      </c>
      <c r="J37" s="53">
        <v>20</v>
      </c>
      <c r="K37" s="53">
        <v>10</v>
      </c>
      <c r="L37" s="53">
        <v>2</v>
      </c>
      <c r="M37" s="53">
        <v>0</v>
      </c>
      <c r="N37" s="128">
        <v>1500</v>
      </c>
      <c r="O37" s="53">
        <v>1149</v>
      </c>
      <c r="P37" s="53">
        <v>20</v>
      </c>
      <c r="Q37" s="53">
        <v>10</v>
      </c>
      <c r="R37" s="53">
        <v>2</v>
      </c>
      <c r="S37" s="53">
        <v>0</v>
      </c>
      <c r="T37" s="129">
        <v>1500</v>
      </c>
      <c r="U37" s="53">
        <v>1147</v>
      </c>
      <c r="V37" s="53">
        <v>20</v>
      </c>
      <c r="W37" s="53">
        <v>10</v>
      </c>
      <c r="X37" s="53">
        <v>2</v>
      </c>
      <c r="Y37" s="53">
        <v>0</v>
      </c>
      <c r="Z37" s="130">
        <v>500</v>
      </c>
      <c r="AA37" s="53">
        <v>1150</v>
      </c>
      <c r="AB37" s="53">
        <v>5</v>
      </c>
      <c r="AC37" s="53">
        <v>10</v>
      </c>
      <c r="AD37" s="53">
        <v>2</v>
      </c>
      <c r="AE37" s="53">
        <v>0</v>
      </c>
      <c r="AF37" s="131">
        <v>500</v>
      </c>
      <c r="AG37" s="53">
        <v>1152</v>
      </c>
      <c r="AH37" s="53">
        <v>5</v>
      </c>
      <c r="AI37" s="53">
        <v>10</v>
      </c>
      <c r="AJ37" s="53">
        <v>2</v>
      </c>
      <c r="AK37" s="53">
        <v>0</v>
      </c>
      <c r="AL37" s="132">
        <v>2000</v>
      </c>
      <c r="AM37" s="53">
        <v>1408</v>
      </c>
      <c r="AN37" s="53">
        <v>2</v>
      </c>
      <c r="AO37" s="53">
        <v>5</v>
      </c>
      <c r="AP37" s="53">
        <v>2</v>
      </c>
      <c r="AQ37" s="53">
        <v>0</v>
      </c>
      <c r="AR37" s="133">
        <v>1000</v>
      </c>
      <c r="AS37" s="53">
        <v>1165</v>
      </c>
      <c r="AT37" s="53">
        <v>1</v>
      </c>
      <c r="AU37" s="53">
        <v>3</v>
      </c>
      <c r="AV37" s="53">
        <v>2</v>
      </c>
      <c r="AW37" s="53">
        <v>0</v>
      </c>
      <c r="AX37" s="134">
        <v>500</v>
      </c>
      <c r="AY37" s="53">
        <v>1166</v>
      </c>
      <c r="AZ37" s="53">
        <v>1</v>
      </c>
      <c r="BA37" s="53">
        <v>3</v>
      </c>
      <c r="BB37" s="53">
        <v>2</v>
      </c>
      <c r="BC37" s="53">
        <v>0</v>
      </c>
      <c r="BD37" s="135">
        <v>400</v>
      </c>
      <c r="BE37" s="53">
        <v>1167</v>
      </c>
      <c r="BF37" s="53">
        <v>1</v>
      </c>
      <c r="BG37" s="53">
        <v>3</v>
      </c>
      <c r="BH37" s="53">
        <v>2</v>
      </c>
      <c r="BI37" s="53">
        <v>0</v>
      </c>
      <c r="BJ37" s="136">
        <v>100</v>
      </c>
      <c r="BK37" s="53">
        <v>35402</v>
      </c>
      <c r="BL37" s="53">
        <v>1</v>
      </c>
      <c r="BM37" s="53">
        <v>1</v>
      </c>
      <c r="BN37" s="53">
        <v>1</v>
      </c>
      <c r="BO37" s="53">
        <v>1000</v>
      </c>
    </row>
  </sheetData>
  <pageMargins left="0.75" right="0.75" top="1" bottom="1" header="0.511805555555556" footer="0.511805555555556"/>
  <pageSetup paperSize="9" orientation="portrait"/>
  <headerFooter/>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17"/>
  <sheetViews>
    <sheetView zoomScale="120" zoomScaleNormal="120" workbookViewId="0">
      <selection activeCell="N52" sqref="N52"/>
    </sheetView>
  </sheetViews>
  <sheetFormatPr defaultColWidth="9" defaultRowHeight="15.2" outlineLevelCol="2"/>
  <cols>
    <col min="2" max="2" width="13.5986842105263" customWidth="1"/>
    <col min="3" max="3" width="11.5" customWidth="1"/>
  </cols>
  <sheetData>
    <row r="1" ht="16" spans="1:3">
      <c r="A1" s="1" t="s">
        <v>1262</v>
      </c>
      <c r="B1" s="1" t="s">
        <v>1263</v>
      </c>
      <c r="C1" s="1" t="s">
        <v>1264</v>
      </c>
    </row>
    <row r="2" ht="16" spans="1:3">
      <c r="A2" s="1" t="s">
        <v>39</v>
      </c>
      <c r="B2" s="1" t="s">
        <v>40</v>
      </c>
      <c r="C2" s="1" t="s">
        <v>40</v>
      </c>
    </row>
    <row r="3" spans="1:3">
      <c r="A3" s="1" t="s">
        <v>1265</v>
      </c>
      <c r="B3" s="1" t="s">
        <v>1266</v>
      </c>
      <c r="C3" s="1" t="s">
        <v>1267</v>
      </c>
    </row>
    <row r="4" spans="1:3">
      <c r="A4" s="1">
        <v>5000</v>
      </c>
      <c r="B4" s="1" t="s">
        <v>1268</v>
      </c>
      <c r="C4" s="1" t="s">
        <v>1269</v>
      </c>
    </row>
    <row r="5" spans="1:3">
      <c r="A5" s="1">
        <v>2000</v>
      </c>
      <c r="B5" s="1" t="s">
        <v>1270</v>
      </c>
      <c r="C5" s="1" t="s">
        <v>1271</v>
      </c>
    </row>
    <row r="6" spans="1:3">
      <c r="A6" s="1">
        <v>1000</v>
      </c>
      <c r="B6" s="1" t="s">
        <v>1272</v>
      </c>
      <c r="C6" s="1" t="s">
        <v>1273</v>
      </c>
    </row>
    <row r="7" ht="16" spans="1:3">
      <c r="A7" s="1">
        <v>500</v>
      </c>
      <c r="B7" s="1" t="s">
        <v>1274</v>
      </c>
      <c r="C7" s="1" t="s">
        <v>1275</v>
      </c>
    </row>
    <row r="8" ht="16" spans="1:3">
      <c r="A8" s="1">
        <v>100</v>
      </c>
      <c r="B8" s="1" t="s">
        <v>1276</v>
      </c>
      <c r="C8" s="1" t="s">
        <v>1277</v>
      </c>
    </row>
    <row r="9" ht="16" spans="1:3">
      <c r="A9" s="1">
        <v>80</v>
      </c>
      <c r="B9" s="1" t="s">
        <v>1278</v>
      </c>
      <c r="C9" s="1" t="s">
        <v>1279</v>
      </c>
    </row>
    <row r="10" ht="16" spans="1:3">
      <c r="A10" s="1">
        <v>50</v>
      </c>
      <c r="B10" s="1" t="s">
        <v>1280</v>
      </c>
      <c r="C10" s="1" t="s">
        <v>1281</v>
      </c>
    </row>
    <row r="11" ht="16" spans="1:3">
      <c r="A11" s="1">
        <v>30</v>
      </c>
      <c r="B11" s="1" t="s">
        <v>1282</v>
      </c>
      <c r="C11" s="1" t="s">
        <v>1283</v>
      </c>
    </row>
    <row r="12" ht="16" spans="1:3">
      <c r="A12" s="1">
        <v>20</v>
      </c>
      <c r="B12" s="1" t="s">
        <v>1284</v>
      </c>
      <c r="C12" s="1" t="s">
        <v>1285</v>
      </c>
    </row>
    <row r="13" ht="16" spans="1:3">
      <c r="A13" s="1">
        <v>10</v>
      </c>
      <c r="B13" s="1" t="s">
        <v>1286</v>
      </c>
      <c r="C13" s="1" t="s">
        <v>1287</v>
      </c>
    </row>
    <row r="14" ht="16" spans="1:3">
      <c r="A14" s="1">
        <v>5</v>
      </c>
      <c r="B14" s="1" t="s">
        <v>1288</v>
      </c>
      <c r="C14" s="1" t="s">
        <v>1289</v>
      </c>
    </row>
    <row r="15" ht="16" spans="1:3">
      <c r="A15" s="1">
        <v>3</v>
      </c>
      <c r="B15" s="1" t="s">
        <v>1290</v>
      </c>
      <c r="C15" s="1" t="s">
        <v>1291</v>
      </c>
    </row>
    <row r="16" ht="16" spans="1:3">
      <c r="A16" s="1">
        <v>2</v>
      </c>
      <c r="B16" s="1" t="s">
        <v>1292</v>
      </c>
      <c r="C16" s="1">
        <v>3</v>
      </c>
    </row>
    <row r="17" ht="16" spans="1:3">
      <c r="A17" s="1">
        <v>1</v>
      </c>
      <c r="B17" s="1" t="s">
        <v>1293</v>
      </c>
      <c r="C17" s="1">
        <v>2</v>
      </c>
    </row>
  </sheetData>
  <pageMargins left="0.75" right="0.75" top="1" bottom="1" header="0.511805555555556" footer="0.511805555555556"/>
  <pageSetup paperSize="9" orientation="portrait"/>
  <headerFooter/>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4"/>
  <sheetViews>
    <sheetView zoomScale="120" zoomScaleNormal="120" workbookViewId="0">
      <selection activeCell="B5" sqref="B5"/>
    </sheetView>
  </sheetViews>
  <sheetFormatPr defaultColWidth="9" defaultRowHeight="15.2" outlineLevelRow="3" outlineLevelCol="2"/>
  <cols>
    <col min="2" max="2" width="12.5" customWidth="1"/>
    <col min="3" max="3" width="15.4013157894737" customWidth="1"/>
  </cols>
  <sheetData>
    <row r="1" ht="23.1" customHeight="1" spans="1:3">
      <c r="A1" s="1" t="s">
        <v>1294</v>
      </c>
      <c r="B1" s="1" t="s">
        <v>1295</v>
      </c>
      <c r="C1" s="1" t="s">
        <v>1296</v>
      </c>
    </row>
    <row r="2" ht="16" spans="1:3">
      <c r="A2" s="1" t="s">
        <v>39</v>
      </c>
      <c r="B2" s="1" t="s">
        <v>39</v>
      </c>
      <c r="C2" s="1" t="s">
        <v>39</v>
      </c>
    </row>
    <row r="3" ht="36" spans="1:3">
      <c r="A3" s="124" t="s">
        <v>1297</v>
      </c>
      <c r="B3" s="124" t="s">
        <v>1298</v>
      </c>
      <c r="C3" s="124" t="s">
        <v>1299</v>
      </c>
    </row>
    <row r="4" spans="1:3">
      <c r="A4" s="1">
        <v>1452</v>
      </c>
      <c r="B4" s="1">
        <v>0.15</v>
      </c>
      <c r="C4" s="1">
        <v>0.15</v>
      </c>
    </row>
  </sheetData>
  <pageMargins left="0.75" right="0.75" top="1" bottom="1" header="0.511805555555556" footer="0.511805555555556"/>
  <pageSetup paperSize="9" orientation="portrait"/>
  <headerFooter/>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D8"/>
  <sheetViews>
    <sheetView topLeftCell="A2" workbookViewId="0">
      <selection activeCell="K31" sqref="K31"/>
    </sheetView>
  </sheetViews>
  <sheetFormatPr defaultColWidth="11.0986842105263" defaultRowHeight="15.2" outlineLevelRow="7" outlineLevelCol="3"/>
  <sheetData>
    <row r="1" ht="18" spans="1:4">
      <c r="A1" s="115" t="s">
        <v>689</v>
      </c>
      <c r="B1" s="116" t="s">
        <v>27</v>
      </c>
      <c r="C1" s="116" t="s">
        <v>1300</v>
      </c>
      <c r="D1" s="116" t="s">
        <v>1301</v>
      </c>
    </row>
    <row r="2" ht="18" spans="1:4">
      <c r="A2" s="117" t="s">
        <v>39</v>
      </c>
      <c r="B2" s="118" t="s">
        <v>39</v>
      </c>
      <c r="C2" s="118" t="s">
        <v>39</v>
      </c>
      <c r="D2" s="118" t="s">
        <v>39</v>
      </c>
    </row>
    <row r="3" ht="33" spans="1:4">
      <c r="A3" s="119" t="s">
        <v>673</v>
      </c>
      <c r="B3" s="120" t="s">
        <v>1302</v>
      </c>
      <c r="C3" s="120" t="s">
        <v>1303</v>
      </c>
      <c r="D3" s="120" t="s">
        <v>1304</v>
      </c>
    </row>
    <row r="4" ht="17.6" spans="1:4">
      <c r="A4" s="117">
        <v>44001</v>
      </c>
      <c r="B4" s="121">
        <v>40099</v>
      </c>
      <c r="C4" s="118">
        <v>60</v>
      </c>
      <c r="D4" s="118">
        <v>180</v>
      </c>
    </row>
    <row r="5" ht="17.6" spans="1:4">
      <c r="A5" s="117">
        <v>44002</v>
      </c>
      <c r="B5" s="122">
        <v>41099</v>
      </c>
      <c r="C5" s="118">
        <v>60</v>
      </c>
      <c r="D5" s="118">
        <v>180</v>
      </c>
    </row>
    <row r="6" ht="17.6" spans="1:4">
      <c r="A6" s="117">
        <v>44003</v>
      </c>
      <c r="B6" s="122">
        <v>42099</v>
      </c>
      <c r="C6" s="118">
        <v>60</v>
      </c>
      <c r="D6" s="118">
        <v>180</v>
      </c>
    </row>
    <row r="7" ht="17.6" spans="1:4">
      <c r="A7" s="117">
        <v>44004</v>
      </c>
      <c r="B7" s="122">
        <v>43099</v>
      </c>
      <c r="C7" s="118">
        <v>60</v>
      </c>
      <c r="D7" s="118">
        <v>180</v>
      </c>
    </row>
    <row r="8" ht="17.6" spans="1:4">
      <c r="A8" s="117">
        <v>44005</v>
      </c>
      <c r="B8" s="123">
        <v>44099</v>
      </c>
      <c r="C8" s="118">
        <v>60</v>
      </c>
      <c r="D8" s="118">
        <v>180</v>
      </c>
    </row>
  </sheetData>
  <pageMargins left="0.75" right="0.75" top="1" bottom="1" header="0.5" footer="0.5"/>
  <pageSetup paperSize="9" orientation="portrait"/>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8"/>
  <sheetViews>
    <sheetView zoomScale="120" zoomScaleNormal="120" workbookViewId="0">
      <selection activeCell="A9" sqref="$A9:$XFD10"/>
    </sheetView>
  </sheetViews>
  <sheetFormatPr defaultColWidth="9" defaultRowHeight="15.2" outlineLevelRow="7"/>
  <sheetData>
    <row r="1" ht="18" spans="1:14">
      <c r="A1" s="80" t="s">
        <v>689</v>
      </c>
      <c r="B1" s="80" t="s">
        <v>569</v>
      </c>
      <c r="C1" s="80" t="s">
        <v>694</v>
      </c>
      <c r="D1" s="80" t="s">
        <v>31</v>
      </c>
      <c r="E1" s="80" t="s">
        <v>695</v>
      </c>
      <c r="F1" s="80" t="s">
        <v>32</v>
      </c>
      <c r="G1" s="80" t="s">
        <v>696</v>
      </c>
      <c r="H1" s="80" t="s">
        <v>697</v>
      </c>
      <c r="I1" s="80" t="s">
        <v>698</v>
      </c>
      <c r="J1" s="80" t="s">
        <v>699</v>
      </c>
      <c r="K1" s="80" t="s">
        <v>700</v>
      </c>
      <c r="L1" s="80" t="s">
        <v>701</v>
      </c>
      <c r="M1" s="80" t="s">
        <v>702</v>
      </c>
      <c r="N1" s="80" t="s">
        <v>703</v>
      </c>
    </row>
    <row r="2" ht="18" spans="1:14">
      <c r="A2" s="80" t="s">
        <v>39</v>
      </c>
      <c r="B2" s="80" t="s">
        <v>39</v>
      </c>
      <c r="C2" s="80" t="s">
        <v>39</v>
      </c>
      <c r="D2" s="80" t="s">
        <v>39</v>
      </c>
      <c r="E2" s="80" t="s">
        <v>39</v>
      </c>
      <c r="F2" s="80" t="s">
        <v>39</v>
      </c>
      <c r="G2" s="80" t="s">
        <v>39</v>
      </c>
      <c r="H2" s="80" t="s">
        <v>39</v>
      </c>
      <c r="I2" s="80" t="s">
        <v>39</v>
      </c>
      <c r="J2" s="80" t="s">
        <v>39</v>
      </c>
      <c r="K2" s="80" t="s">
        <v>39</v>
      </c>
      <c r="L2" s="80" t="s">
        <v>39</v>
      </c>
      <c r="M2" s="80" t="s">
        <v>39</v>
      </c>
      <c r="N2" s="80" t="s">
        <v>39</v>
      </c>
    </row>
    <row r="3" ht="21" spans="1:14">
      <c r="A3" s="112" t="s">
        <v>811</v>
      </c>
      <c r="B3" s="112" t="s">
        <v>1305</v>
      </c>
      <c r="C3" s="80" t="s">
        <v>727</v>
      </c>
      <c r="D3" s="80" t="s">
        <v>513</v>
      </c>
      <c r="E3" s="80" t="s">
        <v>727</v>
      </c>
      <c r="F3" s="80" t="s">
        <v>513</v>
      </c>
      <c r="G3" s="80" t="s">
        <v>727</v>
      </c>
      <c r="H3" s="80" t="s">
        <v>513</v>
      </c>
      <c r="I3" s="80" t="s">
        <v>727</v>
      </c>
      <c r="J3" s="80" t="s">
        <v>513</v>
      </c>
      <c r="K3" s="80" t="s">
        <v>727</v>
      </c>
      <c r="L3" s="80" t="s">
        <v>513</v>
      </c>
      <c r="M3" s="80" t="s">
        <v>727</v>
      </c>
      <c r="N3" s="80" t="s">
        <v>513</v>
      </c>
    </row>
    <row r="4" ht="17.6" spans="1:14">
      <c r="A4" s="80">
        <v>44001</v>
      </c>
      <c r="B4" s="113">
        <v>90</v>
      </c>
      <c r="C4" s="113">
        <v>60118</v>
      </c>
      <c r="D4" s="113">
        <v>0</v>
      </c>
      <c r="E4" s="114">
        <v>16040</v>
      </c>
      <c r="F4" s="80">
        <v>10000</v>
      </c>
      <c r="G4" s="114">
        <v>65119</v>
      </c>
      <c r="H4" s="80">
        <v>0</v>
      </c>
      <c r="I4" s="80"/>
      <c r="J4" s="80"/>
      <c r="K4" s="80"/>
      <c r="L4" s="80"/>
      <c r="M4" s="80"/>
      <c r="N4" s="80"/>
    </row>
    <row r="5" ht="17.6" spans="1:14">
      <c r="A5" s="80">
        <v>44002</v>
      </c>
      <c r="B5" s="113">
        <v>90</v>
      </c>
      <c r="C5" s="113">
        <v>61118</v>
      </c>
      <c r="D5" s="113">
        <v>0</v>
      </c>
      <c r="E5" s="114">
        <v>17040</v>
      </c>
      <c r="F5" s="80">
        <v>10000</v>
      </c>
      <c r="G5" s="114">
        <v>66119</v>
      </c>
      <c r="H5" s="80">
        <v>0</v>
      </c>
      <c r="I5" s="80"/>
      <c r="J5" s="80"/>
      <c r="K5" s="80"/>
      <c r="L5" s="80"/>
      <c r="M5" s="80"/>
      <c r="N5" s="80"/>
    </row>
    <row r="6" ht="17.6" spans="1:14">
      <c r="A6" s="80">
        <v>44003</v>
      </c>
      <c r="B6" s="113">
        <v>60</v>
      </c>
      <c r="C6" s="113">
        <v>62118</v>
      </c>
      <c r="D6" s="113">
        <v>5000</v>
      </c>
      <c r="E6" s="114">
        <v>18040</v>
      </c>
      <c r="F6" s="80">
        <v>5000</v>
      </c>
      <c r="G6" s="114">
        <v>67119</v>
      </c>
      <c r="H6" s="80">
        <v>0</v>
      </c>
      <c r="I6" s="80"/>
      <c r="J6" s="80"/>
      <c r="K6" s="80"/>
      <c r="L6" s="80"/>
      <c r="M6" s="80"/>
      <c r="N6" s="80"/>
    </row>
    <row r="7" ht="17.6" spans="1:14">
      <c r="A7" s="80">
        <v>44004</v>
      </c>
      <c r="B7" s="113">
        <v>60</v>
      </c>
      <c r="C7" s="113">
        <v>63118</v>
      </c>
      <c r="D7" s="113">
        <v>3500</v>
      </c>
      <c r="E7" s="114">
        <v>19040</v>
      </c>
      <c r="F7" s="80">
        <v>3000</v>
      </c>
      <c r="G7" s="114">
        <v>68119</v>
      </c>
      <c r="H7" s="80">
        <v>3500</v>
      </c>
      <c r="I7" s="80"/>
      <c r="J7" s="80"/>
      <c r="K7" s="80"/>
      <c r="L7" s="80"/>
      <c r="M7" s="80"/>
      <c r="N7" s="80"/>
    </row>
    <row r="8" ht="17.6" spans="1:14">
      <c r="A8" s="80">
        <v>44005</v>
      </c>
      <c r="B8" s="113">
        <v>60</v>
      </c>
      <c r="C8" s="113">
        <v>64118</v>
      </c>
      <c r="D8" s="113">
        <v>3200</v>
      </c>
      <c r="E8" s="114">
        <v>20040</v>
      </c>
      <c r="F8" s="80">
        <v>3200</v>
      </c>
      <c r="G8" s="114">
        <v>69119</v>
      </c>
      <c r="H8" s="80">
        <v>3600</v>
      </c>
      <c r="I8" s="80"/>
      <c r="J8" s="80"/>
      <c r="K8" s="80"/>
      <c r="L8" s="80"/>
      <c r="M8" s="80"/>
      <c r="N8" s="80"/>
    </row>
  </sheetData>
  <pageMargins left="0.75" right="0.75" top="1" bottom="1" header="0.511805555555556" footer="0.511805555555556"/>
  <pageSetup paperSize="9" orientation="portrait"/>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H17"/>
  <sheetViews>
    <sheetView zoomScale="120" zoomScaleNormal="120" workbookViewId="0">
      <selection activeCell="A18" sqref="$A18:$XFD19"/>
    </sheetView>
  </sheetViews>
  <sheetFormatPr defaultColWidth="9" defaultRowHeight="15.2"/>
  <cols>
    <col min="2" max="2" width="11.9013157894737" customWidth="1"/>
  </cols>
  <sheetData>
    <row r="1" s="101" customFormat="1" spans="1:34">
      <c r="A1" s="101" t="s">
        <v>773</v>
      </c>
      <c r="B1" s="101" t="s">
        <v>1306</v>
      </c>
      <c r="C1" s="101" t="s">
        <v>1307</v>
      </c>
      <c r="D1" s="101" t="s">
        <v>1308</v>
      </c>
      <c r="E1" s="101" t="s">
        <v>1309</v>
      </c>
      <c r="F1" s="101" t="s">
        <v>1310</v>
      </c>
      <c r="G1" s="101" t="s">
        <v>694</v>
      </c>
      <c r="H1" s="101" t="s">
        <v>31</v>
      </c>
      <c r="I1" s="101" t="s">
        <v>695</v>
      </c>
      <c r="J1" s="101" t="s">
        <v>32</v>
      </c>
      <c r="K1" s="101" t="s">
        <v>696</v>
      </c>
      <c r="L1" s="101" t="s">
        <v>697</v>
      </c>
      <c r="M1" s="101" t="s">
        <v>698</v>
      </c>
      <c r="N1" s="101" t="s">
        <v>699</v>
      </c>
      <c r="O1" s="101" t="s">
        <v>700</v>
      </c>
      <c r="P1" s="101" t="s">
        <v>701</v>
      </c>
      <c r="Q1" s="101" t="s">
        <v>702</v>
      </c>
      <c r="R1" s="101" t="s">
        <v>703</v>
      </c>
      <c r="S1" s="101" t="s">
        <v>704</v>
      </c>
      <c r="T1" s="101" t="s">
        <v>705</v>
      </c>
      <c r="U1" s="101" t="s">
        <v>706</v>
      </c>
      <c r="V1" s="101" t="s">
        <v>707</v>
      </c>
      <c r="W1" s="101" t="s">
        <v>708</v>
      </c>
      <c r="X1" s="101" t="s">
        <v>709</v>
      </c>
      <c r="Y1" s="101" t="s">
        <v>710</v>
      </c>
      <c r="Z1" s="101" t="s">
        <v>711</v>
      </c>
      <c r="AA1" s="101" t="s">
        <v>712</v>
      </c>
      <c r="AB1" s="101" t="s">
        <v>713</v>
      </c>
      <c r="AC1" s="101" t="s">
        <v>714</v>
      </c>
      <c r="AD1" s="101" t="s">
        <v>715</v>
      </c>
      <c r="AE1" s="101" t="s">
        <v>716</v>
      </c>
      <c r="AF1" s="101" t="s">
        <v>717</v>
      </c>
      <c r="AG1" s="101" t="s">
        <v>718</v>
      </c>
      <c r="AH1" s="101" t="s">
        <v>1311</v>
      </c>
    </row>
    <row r="2" s="101" customFormat="1" spans="1:34">
      <c r="A2" s="101" t="s">
        <v>39</v>
      </c>
      <c r="B2" s="101" t="s">
        <v>39</v>
      </c>
      <c r="C2" s="101" t="s">
        <v>39</v>
      </c>
      <c r="D2" s="101" t="s">
        <v>39</v>
      </c>
      <c r="E2" s="101" t="s">
        <v>39</v>
      </c>
      <c r="F2" s="101" t="s">
        <v>39</v>
      </c>
      <c r="G2" s="101" t="s">
        <v>39</v>
      </c>
      <c r="H2" s="101" t="s">
        <v>39</v>
      </c>
      <c r="I2" s="101" t="s">
        <v>39</v>
      </c>
      <c r="J2" s="101" t="s">
        <v>39</v>
      </c>
      <c r="K2" s="101" t="s">
        <v>39</v>
      </c>
      <c r="L2" s="101" t="s">
        <v>39</v>
      </c>
      <c r="M2" s="101" t="s">
        <v>39</v>
      </c>
      <c r="N2" s="101" t="s">
        <v>39</v>
      </c>
      <c r="O2" s="101" t="s">
        <v>39</v>
      </c>
      <c r="P2" s="101" t="s">
        <v>39</v>
      </c>
      <c r="Q2" s="101" t="s">
        <v>39</v>
      </c>
      <c r="R2" s="101" t="s">
        <v>39</v>
      </c>
      <c r="S2" s="101" t="s">
        <v>39</v>
      </c>
      <c r="T2" s="101" t="s">
        <v>39</v>
      </c>
      <c r="U2" s="101" t="s">
        <v>39</v>
      </c>
      <c r="V2" s="101" t="s">
        <v>39</v>
      </c>
      <c r="W2" s="101" t="s">
        <v>39</v>
      </c>
      <c r="X2" s="101" t="s">
        <v>39</v>
      </c>
      <c r="Y2" s="101" t="s">
        <v>39</v>
      </c>
      <c r="Z2" s="101" t="s">
        <v>39</v>
      </c>
      <c r="AA2" s="101" t="s">
        <v>39</v>
      </c>
      <c r="AB2" s="101" t="s">
        <v>39</v>
      </c>
      <c r="AC2" s="101" t="s">
        <v>39</v>
      </c>
      <c r="AD2" s="101" t="s">
        <v>39</v>
      </c>
      <c r="AE2" s="101" t="s">
        <v>39</v>
      </c>
      <c r="AF2" s="101" t="s">
        <v>39</v>
      </c>
      <c r="AG2" s="101" t="s">
        <v>39</v>
      </c>
      <c r="AH2" s="101" t="s">
        <v>39</v>
      </c>
    </row>
    <row r="3" s="102" customFormat="1" ht="17.6" spans="1:34">
      <c r="A3" s="103" t="s">
        <v>673</v>
      </c>
      <c r="B3" s="104" t="s">
        <v>1312</v>
      </c>
      <c r="C3" s="104" t="s">
        <v>1313</v>
      </c>
      <c r="D3" s="104" t="s">
        <v>1314</v>
      </c>
      <c r="E3" s="110" t="s">
        <v>724</v>
      </c>
      <c r="F3" s="110" t="s">
        <v>725</v>
      </c>
      <c r="G3" s="103" t="s">
        <v>1315</v>
      </c>
      <c r="H3" s="103" t="s">
        <v>1316</v>
      </c>
      <c r="I3" s="107" t="s">
        <v>1317</v>
      </c>
      <c r="J3" s="107" t="s">
        <v>1318</v>
      </c>
      <c r="K3" s="103" t="s">
        <v>1319</v>
      </c>
      <c r="L3" s="103" t="s">
        <v>1320</v>
      </c>
      <c r="M3" s="107" t="s">
        <v>1321</v>
      </c>
      <c r="N3" s="108" t="s">
        <v>1322</v>
      </c>
      <c r="O3" s="103" t="s">
        <v>1323</v>
      </c>
      <c r="P3" s="111" t="s">
        <v>1324</v>
      </c>
      <c r="Q3" s="107" t="s">
        <v>1325</v>
      </c>
      <c r="R3" s="108" t="s">
        <v>1326</v>
      </c>
      <c r="S3" s="103" t="s">
        <v>1327</v>
      </c>
      <c r="T3" s="111" t="s">
        <v>1328</v>
      </c>
      <c r="U3" s="107" t="s">
        <v>1329</v>
      </c>
      <c r="V3" s="108" t="s">
        <v>1330</v>
      </c>
      <c r="W3" s="103" t="s">
        <v>1331</v>
      </c>
      <c r="X3" s="111" t="s">
        <v>1332</v>
      </c>
      <c r="Y3" s="107" t="s">
        <v>1333</v>
      </c>
      <c r="Z3" s="108" t="s">
        <v>1334</v>
      </c>
      <c r="AA3" s="103" t="s">
        <v>1335</v>
      </c>
      <c r="AB3" s="111" t="s">
        <v>1336</v>
      </c>
      <c r="AC3" s="107" t="s">
        <v>1337</v>
      </c>
      <c r="AD3" s="108" t="s">
        <v>1338</v>
      </c>
      <c r="AE3" s="103" t="s">
        <v>1339</v>
      </c>
      <c r="AF3" s="111" t="s">
        <v>1340</v>
      </c>
      <c r="AG3" s="107" t="s">
        <v>1341</v>
      </c>
      <c r="AH3" s="108" t="s">
        <v>1342</v>
      </c>
    </row>
    <row r="4" s="102" customFormat="1" ht="17.6" spans="1:34">
      <c r="A4" s="105">
        <v>44001</v>
      </c>
      <c r="B4" s="106">
        <v>5</v>
      </c>
      <c r="C4" s="106">
        <v>1</v>
      </c>
      <c r="D4" s="106">
        <v>2</v>
      </c>
      <c r="E4" s="106">
        <v>20</v>
      </c>
      <c r="F4" s="106">
        <v>25</v>
      </c>
      <c r="G4" s="105">
        <v>14007</v>
      </c>
      <c r="H4" s="105">
        <v>1000</v>
      </c>
      <c r="I4" s="109">
        <v>14013</v>
      </c>
      <c r="J4" s="109">
        <v>1000</v>
      </c>
      <c r="K4" s="105">
        <v>14017</v>
      </c>
      <c r="L4" s="105">
        <v>1000</v>
      </c>
      <c r="M4" s="109"/>
      <c r="N4" s="109"/>
      <c r="O4" s="105"/>
      <c r="P4" s="105"/>
      <c r="Q4" s="109"/>
      <c r="R4" s="109"/>
      <c r="S4" s="105"/>
      <c r="T4" s="105"/>
      <c r="U4" s="109"/>
      <c r="V4" s="109"/>
      <c r="W4" s="105"/>
      <c r="X4" s="105"/>
      <c r="Y4" s="109"/>
      <c r="Z4" s="109"/>
      <c r="AA4" s="105"/>
      <c r="AB4" s="105"/>
      <c r="AC4" s="109"/>
      <c r="AD4" s="109"/>
      <c r="AE4" s="105"/>
      <c r="AF4" s="105"/>
      <c r="AG4" s="109"/>
      <c r="AH4" s="109"/>
    </row>
    <row r="5" s="102" customFormat="1" ht="17.6" spans="1:34">
      <c r="A5" s="105">
        <v>44002</v>
      </c>
      <c r="B5" s="106">
        <v>5</v>
      </c>
      <c r="C5" s="106">
        <v>1</v>
      </c>
      <c r="D5" s="106">
        <v>3</v>
      </c>
      <c r="E5" s="106">
        <v>15</v>
      </c>
      <c r="F5" s="106">
        <v>20</v>
      </c>
      <c r="G5" s="105">
        <v>14007</v>
      </c>
      <c r="H5" s="105">
        <v>1000</v>
      </c>
      <c r="I5" s="109">
        <v>14009</v>
      </c>
      <c r="J5" s="109">
        <v>1000</v>
      </c>
      <c r="K5" s="105">
        <v>14013</v>
      </c>
      <c r="L5" s="105">
        <v>1000</v>
      </c>
      <c r="M5" s="109">
        <v>14017</v>
      </c>
      <c r="N5" s="109">
        <v>1000</v>
      </c>
      <c r="O5" s="105">
        <v>14020</v>
      </c>
      <c r="P5" s="105">
        <v>700</v>
      </c>
      <c r="Q5" s="109"/>
      <c r="R5" s="109"/>
      <c r="S5" s="105"/>
      <c r="T5" s="105"/>
      <c r="U5" s="109"/>
      <c r="V5" s="109"/>
      <c r="W5" s="105"/>
      <c r="X5" s="105"/>
      <c r="Y5" s="109"/>
      <c r="Z5" s="109"/>
      <c r="AA5" s="105"/>
      <c r="AB5" s="105"/>
      <c r="AC5" s="109"/>
      <c r="AD5" s="109"/>
      <c r="AE5" s="105"/>
      <c r="AF5" s="105"/>
      <c r="AG5" s="109"/>
      <c r="AH5" s="109"/>
    </row>
    <row r="6" s="102" customFormat="1" ht="17.6" spans="1:34">
      <c r="A6" s="105">
        <v>44003</v>
      </c>
      <c r="B6" s="106">
        <v>5</v>
      </c>
      <c r="C6" s="106">
        <v>1</v>
      </c>
      <c r="D6" s="106">
        <v>3</v>
      </c>
      <c r="E6" s="106">
        <v>15</v>
      </c>
      <c r="F6" s="106">
        <v>15</v>
      </c>
      <c r="G6" s="105">
        <v>14011</v>
      </c>
      <c r="H6" s="105">
        <v>1000</v>
      </c>
      <c r="I6" s="109">
        <v>14087</v>
      </c>
      <c r="J6" s="109">
        <v>1000</v>
      </c>
      <c r="K6" s="105">
        <v>14088</v>
      </c>
      <c r="L6" s="105">
        <v>700</v>
      </c>
      <c r="M6" s="109">
        <v>14019</v>
      </c>
      <c r="N6" s="109">
        <v>600</v>
      </c>
      <c r="O6" s="105">
        <v>14089</v>
      </c>
      <c r="P6" s="105">
        <v>600</v>
      </c>
      <c r="Q6" s="109">
        <v>14021</v>
      </c>
      <c r="R6" s="109">
        <v>400</v>
      </c>
      <c r="S6" s="105">
        <v>14022</v>
      </c>
      <c r="T6" s="105">
        <v>400</v>
      </c>
      <c r="U6" s="109">
        <v>14091</v>
      </c>
      <c r="V6" s="109">
        <v>400</v>
      </c>
      <c r="W6" s="105"/>
      <c r="X6" s="105"/>
      <c r="Y6" s="109"/>
      <c r="Z6" s="109"/>
      <c r="AA6" s="105"/>
      <c r="AB6" s="105"/>
      <c r="AC6" s="109"/>
      <c r="AD6" s="109"/>
      <c r="AE6" s="105"/>
      <c r="AF6" s="105"/>
      <c r="AG6" s="109"/>
      <c r="AH6" s="109"/>
    </row>
    <row r="7" s="102" customFormat="1" ht="17.6" spans="1:34">
      <c r="A7" s="105">
        <v>44004</v>
      </c>
      <c r="B7" s="106">
        <v>5</v>
      </c>
      <c r="C7" s="106">
        <v>1</v>
      </c>
      <c r="D7" s="106">
        <v>3</v>
      </c>
      <c r="E7" s="106">
        <v>15</v>
      </c>
      <c r="F7" s="106">
        <v>15</v>
      </c>
      <c r="G7" s="105">
        <v>14015</v>
      </c>
      <c r="H7" s="105">
        <v>1000</v>
      </c>
      <c r="I7" s="109">
        <v>14016</v>
      </c>
      <c r="J7" s="109">
        <v>1000</v>
      </c>
      <c r="K7" s="105">
        <v>14088</v>
      </c>
      <c r="L7" s="105">
        <v>800</v>
      </c>
      <c r="M7" s="109">
        <v>14019</v>
      </c>
      <c r="N7" s="109">
        <v>700</v>
      </c>
      <c r="O7" s="105">
        <v>14021</v>
      </c>
      <c r="P7" s="105">
        <v>600</v>
      </c>
      <c r="Q7" s="109">
        <v>14023</v>
      </c>
      <c r="R7" s="109">
        <v>600</v>
      </c>
      <c r="S7" s="105">
        <v>14091</v>
      </c>
      <c r="T7" s="105">
        <v>600</v>
      </c>
      <c r="U7" s="109">
        <v>14090</v>
      </c>
      <c r="V7" s="109">
        <v>600</v>
      </c>
      <c r="W7" s="105">
        <v>14024</v>
      </c>
      <c r="X7" s="105">
        <v>500</v>
      </c>
      <c r="Y7" s="109"/>
      <c r="Z7" s="109"/>
      <c r="AA7" s="105"/>
      <c r="AB7" s="105"/>
      <c r="AC7" s="109"/>
      <c r="AD7" s="109"/>
      <c r="AE7" s="105"/>
      <c r="AF7" s="105"/>
      <c r="AG7" s="109"/>
      <c r="AH7" s="109"/>
    </row>
    <row r="8" s="102" customFormat="1" ht="17.6" spans="1:34">
      <c r="A8" s="105">
        <v>44005</v>
      </c>
      <c r="B8" s="106">
        <v>5</v>
      </c>
      <c r="C8" s="106">
        <v>1</v>
      </c>
      <c r="D8" s="106">
        <v>3</v>
      </c>
      <c r="E8" s="106">
        <v>15</v>
      </c>
      <c r="F8" s="106">
        <v>15</v>
      </c>
      <c r="G8" s="105">
        <v>14013</v>
      </c>
      <c r="H8" s="105">
        <v>1000</v>
      </c>
      <c r="I8" s="109">
        <v>14087</v>
      </c>
      <c r="J8" s="109">
        <v>1000</v>
      </c>
      <c r="K8" s="105">
        <v>14016</v>
      </c>
      <c r="L8" s="105">
        <v>1000</v>
      </c>
      <c r="M8" s="109">
        <v>14020</v>
      </c>
      <c r="N8" s="109">
        <v>1000</v>
      </c>
      <c r="O8" s="105">
        <v>14089</v>
      </c>
      <c r="P8" s="105">
        <v>1000</v>
      </c>
      <c r="Q8" s="109">
        <v>14022</v>
      </c>
      <c r="R8" s="109">
        <v>1000</v>
      </c>
      <c r="S8" s="105">
        <v>14023</v>
      </c>
      <c r="T8" s="105">
        <v>1000</v>
      </c>
      <c r="U8" s="109">
        <v>14091</v>
      </c>
      <c r="V8" s="109">
        <v>800</v>
      </c>
      <c r="W8" s="105">
        <v>14090</v>
      </c>
      <c r="X8" s="105">
        <v>700</v>
      </c>
      <c r="Y8" s="109">
        <v>14025</v>
      </c>
      <c r="Z8" s="109">
        <v>500</v>
      </c>
      <c r="AA8" s="105"/>
      <c r="AB8" s="105"/>
      <c r="AC8" s="109"/>
      <c r="AD8" s="109"/>
      <c r="AE8" s="105"/>
      <c r="AF8" s="105"/>
      <c r="AG8" s="109"/>
      <c r="AH8" s="109"/>
    </row>
    <row r="10" spans="1:27">
      <c r="A10" s="101" t="s">
        <v>773</v>
      </c>
      <c r="B10" s="101" t="s">
        <v>1306</v>
      </c>
      <c r="C10" s="101" t="s">
        <v>1343</v>
      </c>
      <c r="D10" s="101" t="s">
        <v>1307</v>
      </c>
      <c r="E10" s="101" t="s">
        <v>1308</v>
      </c>
      <c r="F10" s="101" t="s">
        <v>1309</v>
      </c>
      <c r="G10" s="101" t="s">
        <v>1310</v>
      </c>
      <c r="H10" s="101" t="s">
        <v>1343</v>
      </c>
      <c r="I10" s="101" t="s">
        <v>1307</v>
      </c>
      <c r="J10" s="101" t="s">
        <v>1308</v>
      </c>
      <c r="K10" s="101" t="s">
        <v>1309</v>
      </c>
      <c r="L10" s="101" t="s">
        <v>1310</v>
      </c>
      <c r="M10" s="101" t="s">
        <v>1343</v>
      </c>
      <c r="N10" s="101" t="s">
        <v>1307</v>
      </c>
      <c r="O10" s="101" t="s">
        <v>1308</v>
      </c>
      <c r="P10" s="101" t="s">
        <v>1309</v>
      </c>
      <c r="Q10" s="101" t="s">
        <v>1310</v>
      </c>
      <c r="R10" s="101" t="s">
        <v>1343</v>
      </c>
      <c r="S10" s="101" t="s">
        <v>1307</v>
      </c>
      <c r="T10" s="101" t="s">
        <v>1308</v>
      </c>
      <c r="U10" s="101" t="s">
        <v>1309</v>
      </c>
      <c r="V10" s="101" t="s">
        <v>1310</v>
      </c>
      <c r="W10" s="101" t="s">
        <v>1343</v>
      </c>
      <c r="X10" s="101" t="s">
        <v>1307</v>
      </c>
      <c r="Y10" s="101" t="s">
        <v>1308</v>
      </c>
      <c r="Z10" s="101" t="s">
        <v>1309</v>
      </c>
      <c r="AA10" s="101" t="s">
        <v>1310</v>
      </c>
    </row>
    <row r="11" spans="1:27">
      <c r="A11" s="101" t="s">
        <v>39</v>
      </c>
      <c r="B11" s="101" t="s">
        <v>39</v>
      </c>
      <c r="C11" s="101" t="s">
        <v>39</v>
      </c>
      <c r="D11" s="101" t="s">
        <v>39</v>
      </c>
      <c r="E11" s="101" t="s">
        <v>39</v>
      </c>
      <c r="F11" s="101" t="s">
        <v>39</v>
      </c>
      <c r="G11" s="101" t="s">
        <v>39</v>
      </c>
      <c r="H11" s="101" t="s">
        <v>39</v>
      </c>
      <c r="I11" s="101" t="s">
        <v>39</v>
      </c>
      <c r="J11" s="101" t="s">
        <v>39</v>
      </c>
      <c r="K11" s="101" t="s">
        <v>39</v>
      </c>
      <c r="L11" s="101" t="s">
        <v>39</v>
      </c>
      <c r="M11" s="101" t="s">
        <v>39</v>
      </c>
      <c r="N11" s="101" t="s">
        <v>39</v>
      </c>
      <c r="O11" s="101" t="s">
        <v>39</v>
      </c>
      <c r="P11" s="101" t="s">
        <v>39</v>
      </c>
      <c r="Q11" s="101" t="s">
        <v>39</v>
      </c>
      <c r="R11" s="101" t="s">
        <v>39</v>
      </c>
      <c r="S11" s="101" t="s">
        <v>39</v>
      </c>
      <c r="T11" s="101" t="s">
        <v>39</v>
      </c>
      <c r="U11" s="101" t="s">
        <v>39</v>
      </c>
      <c r="V11" s="101" t="s">
        <v>39</v>
      </c>
      <c r="W11" s="101" t="s">
        <v>39</v>
      </c>
      <c r="X11" s="101" t="s">
        <v>39</v>
      </c>
      <c r="Y11" s="101" t="s">
        <v>39</v>
      </c>
      <c r="Z11" s="101" t="s">
        <v>39</v>
      </c>
      <c r="AA11" s="101" t="s">
        <v>39</v>
      </c>
    </row>
    <row r="12" ht="17.6" spans="1:27">
      <c r="A12" s="103" t="s">
        <v>673</v>
      </c>
      <c r="B12" s="104" t="s">
        <v>1312</v>
      </c>
      <c r="C12" s="107" t="s">
        <v>1315</v>
      </c>
      <c r="D12" s="108" t="s">
        <v>1313</v>
      </c>
      <c r="E12" s="108" t="s">
        <v>1314</v>
      </c>
      <c r="F12" s="107" t="s">
        <v>724</v>
      </c>
      <c r="G12" s="107" t="s">
        <v>725</v>
      </c>
      <c r="H12" s="103" t="s">
        <v>1317</v>
      </c>
      <c r="I12" s="111" t="s">
        <v>1313</v>
      </c>
      <c r="J12" s="111" t="s">
        <v>1314</v>
      </c>
      <c r="K12" s="103" t="s">
        <v>724</v>
      </c>
      <c r="L12" s="103" t="s">
        <v>725</v>
      </c>
      <c r="M12" s="107" t="s">
        <v>1319</v>
      </c>
      <c r="N12" s="108" t="s">
        <v>1313</v>
      </c>
      <c r="O12" s="108" t="s">
        <v>1314</v>
      </c>
      <c r="P12" s="107" t="s">
        <v>724</v>
      </c>
      <c r="Q12" s="107" t="s">
        <v>725</v>
      </c>
      <c r="R12" s="103" t="s">
        <v>1344</v>
      </c>
      <c r="S12" s="111" t="s">
        <v>1313</v>
      </c>
      <c r="T12" s="111" t="s">
        <v>1314</v>
      </c>
      <c r="U12" s="103" t="s">
        <v>724</v>
      </c>
      <c r="V12" s="103" t="s">
        <v>725</v>
      </c>
      <c r="W12" s="107" t="s">
        <v>1345</v>
      </c>
      <c r="X12" s="108" t="s">
        <v>1313</v>
      </c>
      <c r="Y12" s="108" t="s">
        <v>1314</v>
      </c>
      <c r="Z12" s="107" t="s">
        <v>724</v>
      </c>
      <c r="AA12" s="107" t="s">
        <v>725</v>
      </c>
    </row>
    <row r="13" ht="17.6" spans="1:27">
      <c r="A13" s="105">
        <v>44001</v>
      </c>
      <c r="B13" s="106">
        <v>5</v>
      </c>
      <c r="C13" s="109">
        <v>11017</v>
      </c>
      <c r="D13" s="109">
        <v>1</v>
      </c>
      <c r="E13" s="109">
        <v>3</v>
      </c>
      <c r="F13" s="109">
        <v>10</v>
      </c>
      <c r="G13" s="109">
        <v>20</v>
      </c>
      <c r="H13" s="105">
        <v>11018</v>
      </c>
      <c r="I13" s="105">
        <v>0</v>
      </c>
      <c r="J13" s="105">
        <v>2</v>
      </c>
      <c r="K13" s="105">
        <v>20</v>
      </c>
      <c r="L13" s="105">
        <v>30</v>
      </c>
      <c r="M13" s="109">
        <v>11020</v>
      </c>
      <c r="N13" s="109">
        <v>0</v>
      </c>
      <c r="O13" s="109">
        <v>2</v>
      </c>
      <c r="P13" s="109">
        <v>20</v>
      </c>
      <c r="Q13" s="109">
        <v>30</v>
      </c>
      <c r="R13" s="105">
        <v>72025</v>
      </c>
      <c r="S13" s="105">
        <v>1</v>
      </c>
      <c r="T13" s="105">
        <v>1</v>
      </c>
      <c r="U13" s="105">
        <v>20</v>
      </c>
      <c r="V13" s="105">
        <v>30</v>
      </c>
      <c r="W13" s="109"/>
      <c r="X13" s="109"/>
      <c r="Y13" s="109"/>
      <c r="Z13" s="109"/>
      <c r="AA13" s="109"/>
    </row>
    <row r="14" ht="17.6" spans="1:27">
      <c r="A14" s="105">
        <v>44002</v>
      </c>
      <c r="B14" s="106">
        <v>5</v>
      </c>
      <c r="C14" s="109">
        <v>11015</v>
      </c>
      <c r="D14" s="109">
        <v>1</v>
      </c>
      <c r="E14" s="109">
        <v>2</v>
      </c>
      <c r="F14" s="109">
        <v>10</v>
      </c>
      <c r="G14" s="109">
        <v>20</v>
      </c>
      <c r="H14" s="105">
        <v>11018</v>
      </c>
      <c r="I14" s="105">
        <v>1</v>
      </c>
      <c r="J14" s="105">
        <v>2</v>
      </c>
      <c r="K14" s="105">
        <v>10</v>
      </c>
      <c r="L14" s="105">
        <v>20</v>
      </c>
      <c r="M14" s="109">
        <v>11017</v>
      </c>
      <c r="N14" s="109">
        <v>1</v>
      </c>
      <c r="O14" s="109">
        <v>2</v>
      </c>
      <c r="P14" s="109">
        <v>10</v>
      </c>
      <c r="Q14" s="109">
        <v>20</v>
      </c>
      <c r="R14" s="105">
        <v>11020</v>
      </c>
      <c r="S14" s="105">
        <v>0</v>
      </c>
      <c r="T14" s="105">
        <v>2</v>
      </c>
      <c r="U14" s="105">
        <v>10</v>
      </c>
      <c r="V14" s="105">
        <v>20</v>
      </c>
      <c r="W14" s="109"/>
      <c r="X14" s="109"/>
      <c r="Y14" s="109"/>
      <c r="Z14" s="109"/>
      <c r="AA14" s="109"/>
    </row>
    <row r="15" ht="17.6" spans="1:27">
      <c r="A15" s="105">
        <v>44003</v>
      </c>
      <c r="B15" s="106">
        <v>5</v>
      </c>
      <c r="C15" s="109">
        <v>11089</v>
      </c>
      <c r="D15" s="109">
        <v>1</v>
      </c>
      <c r="E15" s="109">
        <v>1</v>
      </c>
      <c r="F15" s="109">
        <v>10</v>
      </c>
      <c r="G15" s="109">
        <v>15</v>
      </c>
      <c r="H15" s="105">
        <v>11021</v>
      </c>
      <c r="I15" s="105">
        <v>1</v>
      </c>
      <c r="J15" s="105">
        <v>1</v>
      </c>
      <c r="K15" s="105">
        <v>10</v>
      </c>
      <c r="L15" s="105">
        <v>15</v>
      </c>
      <c r="M15" s="109">
        <v>11022</v>
      </c>
      <c r="N15" s="109">
        <v>0</v>
      </c>
      <c r="O15" s="109">
        <v>1</v>
      </c>
      <c r="P15" s="109">
        <v>10</v>
      </c>
      <c r="Q15" s="109">
        <v>15</v>
      </c>
      <c r="R15" s="105">
        <v>11024</v>
      </c>
      <c r="S15" s="105">
        <v>0</v>
      </c>
      <c r="T15" s="105">
        <v>1</v>
      </c>
      <c r="U15" s="105">
        <v>20</v>
      </c>
      <c r="V15" s="105">
        <v>30</v>
      </c>
      <c r="W15" s="109"/>
      <c r="X15" s="109"/>
      <c r="Y15" s="109"/>
      <c r="Z15" s="109"/>
      <c r="AA15" s="109"/>
    </row>
    <row r="16" ht="17.6" spans="1:27">
      <c r="A16" s="105">
        <v>44004</v>
      </c>
      <c r="B16" s="106">
        <v>5</v>
      </c>
      <c r="C16" s="109">
        <v>11023</v>
      </c>
      <c r="D16" s="109">
        <v>1</v>
      </c>
      <c r="E16" s="109">
        <v>1</v>
      </c>
      <c r="F16" s="109">
        <v>10</v>
      </c>
      <c r="G16" s="109">
        <v>15</v>
      </c>
      <c r="H16" s="105">
        <v>11091</v>
      </c>
      <c r="I16" s="105">
        <v>1</v>
      </c>
      <c r="J16" s="105">
        <v>1</v>
      </c>
      <c r="K16" s="105">
        <v>10</v>
      </c>
      <c r="L16" s="105">
        <v>15</v>
      </c>
      <c r="M16" s="109">
        <v>11090</v>
      </c>
      <c r="N16" s="109">
        <v>0</v>
      </c>
      <c r="O16" s="109">
        <v>1</v>
      </c>
      <c r="P16" s="109">
        <v>10</v>
      </c>
      <c r="Q16" s="109">
        <v>15</v>
      </c>
      <c r="R16" s="105">
        <v>11024</v>
      </c>
      <c r="S16" s="105">
        <v>0</v>
      </c>
      <c r="T16" s="105">
        <v>2</v>
      </c>
      <c r="U16" s="105">
        <v>10</v>
      </c>
      <c r="V16" s="105">
        <v>20</v>
      </c>
      <c r="W16" s="109"/>
      <c r="X16" s="109"/>
      <c r="Y16" s="109"/>
      <c r="Z16" s="109"/>
      <c r="AA16" s="109"/>
    </row>
    <row r="17" ht="17.6" spans="1:27">
      <c r="A17" s="105">
        <v>44005</v>
      </c>
      <c r="B17" s="106">
        <v>5</v>
      </c>
      <c r="C17" s="109">
        <v>11091</v>
      </c>
      <c r="D17" s="109">
        <v>0</v>
      </c>
      <c r="E17" s="109">
        <v>1</v>
      </c>
      <c r="F17" s="109">
        <v>10</v>
      </c>
      <c r="G17" s="109">
        <v>15</v>
      </c>
      <c r="H17" s="105">
        <v>11090</v>
      </c>
      <c r="I17" s="105">
        <v>1</v>
      </c>
      <c r="J17" s="105">
        <v>1</v>
      </c>
      <c r="K17" s="105">
        <v>10</v>
      </c>
      <c r="L17" s="105">
        <v>15</v>
      </c>
      <c r="M17" s="109">
        <v>11025</v>
      </c>
      <c r="N17" s="109">
        <v>0</v>
      </c>
      <c r="O17" s="109">
        <v>1</v>
      </c>
      <c r="P17" s="109">
        <v>10</v>
      </c>
      <c r="Q17" s="109">
        <v>15</v>
      </c>
      <c r="R17" s="105">
        <v>11026</v>
      </c>
      <c r="S17" s="105">
        <v>0</v>
      </c>
      <c r="T17" s="105">
        <v>1</v>
      </c>
      <c r="U17" s="105">
        <v>20</v>
      </c>
      <c r="V17" s="105">
        <v>30</v>
      </c>
      <c r="W17" s="109"/>
      <c r="X17" s="109"/>
      <c r="Y17" s="109"/>
      <c r="Z17" s="109"/>
      <c r="AA17" s="109"/>
    </row>
  </sheetData>
  <pageMargins left="0.75" right="0.75" top="1" bottom="1" header="0.511805555555556" footer="0.511805555555556"/>
  <pageSetup paperSize="9" orientation="portrait"/>
  <headerFooter/>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9"/>
  <sheetViews>
    <sheetView zoomScale="120" zoomScaleNormal="120" workbookViewId="0">
      <selection activeCell="A9" sqref="A9"/>
    </sheetView>
  </sheetViews>
  <sheetFormatPr defaultColWidth="9" defaultRowHeight="15.2"/>
  <cols>
    <col min="4" max="4" width="12.9013157894737" customWidth="1"/>
    <col min="5" max="5" width="13" customWidth="1"/>
    <col min="6" max="6" width="14.5" customWidth="1"/>
    <col min="7" max="7" width="9.69736842105263" customWidth="1"/>
    <col min="10" max="10" width="12.9013157894737" customWidth="1"/>
    <col min="11" max="11" width="13" customWidth="1"/>
    <col min="12" max="12" width="14.5" customWidth="1"/>
    <col min="13" max="13" width="9.69736842105263" customWidth="1"/>
  </cols>
  <sheetData>
    <row r="1" spans="1:14">
      <c r="A1" s="98" t="s">
        <v>773</v>
      </c>
      <c r="B1" s="98" t="s">
        <v>1346</v>
      </c>
      <c r="C1" s="98" t="s">
        <v>1221</v>
      </c>
      <c r="D1" s="98" t="s">
        <v>1347</v>
      </c>
      <c r="E1" s="98" t="s">
        <v>1348</v>
      </c>
      <c r="F1" s="98" t="s">
        <v>1349</v>
      </c>
      <c r="G1" s="98" t="s">
        <v>1350</v>
      </c>
      <c r="H1" s="98" t="s">
        <v>846</v>
      </c>
      <c r="I1" s="98" t="s">
        <v>1221</v>
      </c>
      <c r="J1" s="98" t="s">
        <v>1347</v>
      </c>
      <c r="K1" s="98" t="s">
        <v>1348</v>
      </c>
      <c r="L1" s="98" t="s">
        <v>1349</v>
      </c>
      <c r="M1" s="98" t="s">
        <v>1350</v>
      </c>
      <c r="N1" s="98" t="s">
        <v>846</v>
      </c>
    </row>
    <row r="2" spans="1:14">
      <c r="A2" s="98" t="s">
        <v>39</v>
      </c>
      <c r="B2" s="98" t="s">
        <v>39</v>
      </c>
      <c r="C2" s="98" t="s">
        <v>39</v>
      </c>
      <c r="D2" s="98" t="s">
        <v>40</v>
      </c>
      <c r="E2" s="98" t="s">
        <v>40</v>
      </c>
      <c r="F2" s="98" t="s">
        <v>40</v>
      </c>
      <c r="G2" s="98" t="s">
        <v>40</v>
      </c>
      <c r="H2" s="98" t="s">
        <v>39</v>
      </c>
      <c r="I2" s="98" t="s">
        <v>39</v>
      </c>
      <c r="J2" s="98" t="s">
        <v>40</v>
      </c>
      <c r="K2" s="98" t="s">
        <v>40</v>
      </c>
      <c r="L2" s="98" t="s">
        <v>40</v>
      </c>
      <c r="M2" s="98" t="s">
        <v>40</v>
      </c>
      <c r="N2" s="98" t="s">
        <v>39</v>
      </c>
    </row>
    <row r="3" ht="17.6" spans="1:14">
      <c r="A3" s="99" t="s">
        <v>811</v>
      </c>
      <c r="B3" s="99" t="s">
        <v>1351</v>
      </c>
      <c r="C3" s="99" t="s">
        <v>538</v>
      </c>
      <c r="D3" s="99" t="s">
        <v>1352</v>
      </c>
      <c r="E3" s="99" t="s">
        <v>1353</v>
      </c>
      <c r="F3" s="99" t="s">
        <v>1354</v>
      </c>
      <c r="G3" s="99" t="s">
        <v>1355</v>
      </c>
      <c r="H3" s="99" t="s">
        <v>513</v>
      </c>
      <c r="I3" s="99" t="s">
        <v>538</v>
      </c>
      <c r="J3" s="99" t="s">
        <v>1352</v>
      </c>
      <c r="K3" s="99" t="s">
        <v>1353</v>
      </c>
      <c r="L3" s="99" t="s">
        <v>1354</v>
      </c>
      <c r="M3" s="99" t="s">
        <v>1355</v>
      </c>
      <c r="N3" s="99" t="s">
        <v>513</v>
      </c>
    </row>
    <row r="4" ht="17.6" spans="1:14">
      <c r="A4" s="100">
        <v>44001</v>
      </c>
      <c r="B4" s="98">
        <v>1</v>
      </c>
      <c r="C4" s="98">
        <v>1</v>
      </c>
      <c r="D4" s="98" t="s">
        <v>1356</v>
      </c>
      <c r="E4" s="98" t="s">
        <v>1357</v>
      </c>
      <c r="F4" s="98" t="s">
        <v>1358</v>
      </c>
      <c r="G4" s="98" t="s">
        <v>1359</v>
      </c>
      <c r="H4" s="98">
        <v>10000</v>
      </c>
      <c r="I4" s="98"/>
      <c r="J4" s="98"/>
      <c r="K4" s="98"/>
      <c r="L4" s="98"/>
      <c r="M4" s="98"/>
      <c r="N4" s="98"/>
    </row>
    <row r="5" ht="17.6" spans="1:14">
      <c r="A5" s="100">
        <v>44002</v>
      </c>
      <c r="B5" s="98">
        <v>0</v>
      </c>
      <c r="C5" s="98">
        <v>1</v>
      </c>
      <c r="D5" s="98" t="s">
        <v>1356</v>
      </c>
      <c r="E5" s="98" t="s">
        <v>1357</v>
      </c>
      <c r="F5" s="98" t="s">
        <v>1358</v>
      </c>
      <c r="G5" s="98" t="s">
        <v>1359</v>
      </c>
      <c r="H5" s="98">
        <v>10000</v>
      </c>
      <c r="I5" s="98"/>
      <c r="J5" s="98"/>
      <c r="K5" s="98"/>
      <c r="L5" s="98"/>
      <c r="M5" s="98"/>
      <c r="N5" s="98"/>
    </row>
    <row r="6" ht="17.6" spans="1:14">
      <c r="A6" s="100">
        <v>44003</v>
      </c>
      <c r="B6" s="98">
        <v>0</v>
      </c>
      <c r="C6" s="98">
        <v>1</v>
      </c>
      <c r="D6" s="98" t="s">
        <v>1356</v>
      </c>
      <c r="E6" s="98" t="s">
        <v>1357</v>
      </c>
      <c r="F6" s="98" t="s">
        <v>1358</v>
      </c>
      <c r="G6" s="98" t="s">
        <v>1359</v>
      </c>
      <c r="H6" s="98">
        <v>10000</v>
      </c>
      <c r="I6" s="98"/>
      <c r="J6" s="98"/>
      <c r="K6" s="98"/>
      <c r="L6" s="98"/>
      <c r="M6" s="98"/>
      <c r="N6" s="98"/>
    </row>
    <row r="7" ht="17.6" spans="1:14">
      <c r="A7" s="100">
        <v>44004</v>
      </c>
      <c r="B7" s="98">
        <v>0</v>
      </c>
      <c r="C7" s="98">
        <v>1</v>
      </c>
      <c r="D7" s="98" t="s">
        <v>1356</v>
      </c>
      <c r="E7" s="98" t="s">
        <v>1357</v>
      </c>
      <c r="F7" s="98" t="s">
        <v>1358</v>
      </c>
      <c r="G7" s="98" t="s">
        <v>1359</v>
      </c>
      <c r="H7" s="98">
        <v>10000</v>
      </c>
      <c r="I7" s="98"/>
      <c r="J7" s="98"/>
      <c r="K7" s="98"/>
      <c r="L7" s="98"/>
      <c r="M7" s="98"/>
      <c r="N7" s="98"/>
    </row>
    <row r="8" ht="17.6" spans="1:14">
      <c r="A8" s="100">
        <v>44005</v>
      </c>
      <c r="B8" s="98">
        <v>0</v>
      </c>
      <c r="C8" s="98">
        <v>1</v>
      </c>
      <c r="D8" s="98" t="s">
        <v>1356</v>
      </c>
      <c r="E8" s="98" t="s">
        <v>1357</v>
      </c>
      <c r="F8" s="98" t="s">
        <v>1358</v>
      </c>
      <c r="G8" s="98" t="s">
        <v>1359</v>
      </c>
      <c r="H8" s="98">
        <v>10000</v>
      </c>
      <c r="I8" s="98"/>
      <c r="J8" s="98"/>
      <c r="K8" s="98"/>
      <c r="L8" s="98"/>
      <c r="M8" s="98"/>
      <c r="N8" s="98"/>
    </row>
    <row r="9" ht="17.6" spans="1:14">
      <c r="A9" s="100">
        <v>44501</v>
      </c>
      <c r="B9" s="98">
        <v>0</v>
      </c>
      <c r="C9" s="98">
        <v>1</v>
      </c>
      <c r="D9" s="98" t="s">
        <v>1356</v>
      </c>
      <c r="E9" s="98" t="s">
        <v>1357</v>
      </c>
      <c r="F9" s="98" t="s">
        <v>1358</v>
      </c>
      <c r="G9" s="98" t="s">
        <v>1359</v>
      </c>
      <c r="H9" s="98">
        <v>0</v>
      </c>
      <c r="I9" s="98"/>
      <c r="J9" s="98"/>
      <c r="K9" s="98"/>
      <c r="L9" s="98"/>
      <c r="M9" s="98"/>
      <c r="N9" s="98"/>
    </row>
  </sheetData>
  <pageMargins left="0.75" right="0.75" top="1" bottom="1" header="0.511805555555556" footer="0.511805555555556"/>
  <pageSetup paperSize="9" orientation="portrait"/>
  <headerFooter/>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D9"/>
  <sheetViews>
    <sheetView workbookViewId="0">
      <selection activeCell="A9" sqref="A9"/>
    </sheetView>
  </sheetViews>
  <sheetFormatPr defaultColWidth="8.90131578947368" defaultRowHeight="15.2" outlineLevelCol="3"/>
  <cols>
    <col min="4" max="4" width="11.6973684210526" customWidth="1"/>
  </cols>
  <sheetData>
    <row r="1" ht="18" spans="1:4">
      <c r="A1" s="80" t="s">
        <v>1360</v>
      </c>
      <c r="B1" s="80" t="s">
        <v>1346</v>
      </c>
      <c r="C1" s="80" t="s">
        <v>569</v>
      </c>
      <c r="D1" s="80" t="s">
        <v>824</v>
      </c>
    </row>
    <row r="2" ht="18" spans="1:4">
      <c r="A2" s="80" t="s">
        <v>39</v>
      </c>
      <c r="B2" s="80" t="s">
        <v>39</v>
      </c>
      <c r="C2" s="80" t="s">
        <v>39</v>
      </c>
      <c r="D2" s="80" t="s">
        <v>39</v>
      </c>
    </row>
    <row r="3" ht="33" spans="1:4">
      <c r="A3" s="80" t="s">
        <v>811</v>
      </c>
      <c r="B3" s="80" t="s">
        <v>1361</v>
      </c>
      <c r="C3" s="80" t="s">
        <v>1362</v>
      </c>
      <c r="D3" s="80" t="s">
        <v>1363</v>
      </c>
    </row>
    <row r="4" ht="17.6" spans="1:4">
      <c r="A4" s="80">
        <v>44001</v>
      </c>
      <c r="B4" s="80">
        <v>1</v>
      </c>
      <c r="C4" s="80">
        <v>10</v>
      </c>
      <c r="D4" s="80">
        <v>30</v>
      </c>
    </row>
    <row r="5" ht="17.6" spans="1:4">
      <c r="A5" s="80">
        <v>44002</v>
      </c>
      <c r="B5" s="80">
        <v>1</v>
      </c>
      <c r="C5" s="80">
        <v>10</v>
      </c>
      <c r="D5" s="80">
        <v>30</v>
      </c>
    </row>
    <row r="6" ht="17.6" spans="1:4">
      <c r="A6" s="80">
        <v>44003</v>
      </c>
      <c r="B6" s="80">
        <v>1</v>
      </c>
      <c r="C6" s="80">
        <v>10</v>
      </c>
      <c r="D6" s="80">
        <v>30</v>
      </c>
    </row>
    <row r="7" ht="17.6" spans="1:4">
      <c r="A7" s="80">
        <v>44004</v>
      </c>
      <c r="B7" s="80">
        <v>1</v>
      </c>
      <c r="C7" s="80">
        <v>10</v>
      </c>
      <c r="D7" s="80">
        <v>30</v>
      </c>
    </row>
    <row r="8" ht="17.6" spans="1:4">
      <c r="A8" s="80">
        <v>44005</v>
      </c>
      <c r="B8" s="80">
        <v>1</v>
      </c>
      <c r="C8" s="80">
        <v>10</v>
      </c>
      <c r="D8" s="80">
        <v>30</v>
      </c>
    </row>
    <row r="9" ht="17.6" spans="1:4">
      <c r="A9" s="80">
        <v>44501</v>
      </c>
      <c r="B9" s="80">
        <v>1</v>
      </c>
      <c r="C9" s="80">
        <v>10</v>
      </c>
      <c r="D9" s="80">
        <v>30</v>
      </c>
    </row>
  </sheetData>
  <pageMargins left="0.75" right="0.75" top="1" bottom="1" header="0.511805555555556" footer="0.511805555555556"/>
  <pageSetup paperSize="9" orientation="portrait"/>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D34"/>
  <sheetViews>
    <sheetView topLeftCell="A4" workbookViewId="0">
      <selection activeCell="E4" sqref="E4"/>
    </sheetView>
  </sheetViews>
  <sheetFormatPr defaultColWidth="8.90131578947368" defaultRowHeight="15.2"/>
  <cols>
    <col min="2" max="2" width="16.6973684210526" customWidth="1"/>
    <col min="3" max="3" width="20.5" customWidth="1"/>
    <col min="4" max="4" width="14.0986842105263" customWidth="1"/>
    <col min="5" max="5" width="13.5986842105263" customWidth="1"/>
  </cols>
  <sheetData>
    <row r="1" ht="16" spans="1:30">
      <c r="A1" s="89" t="s">
        <v>1346</v>
      </c>
      <c r="B1" s="89" t="s">
        <v>1364</v>
      </c>
      <c r="C1" s="89" t="s">
        <v>1365</v>
      </c>
      <c r="D1" s="89" t="s">
        <v>1366</v>
      </c>
      <c r="E1" s="89" t="s">
        <v>1367</v>
      </c>
      <c r="F1" s="16" t="s">
        <v>1368</v>
      </c>
      <c r="G1" s="16" t="s">
        <v>1369</v>
      </c>
      <c r="H1" s="19"/>
      <c r="I1" s="19"/>
      <c r="J1" s="19"/>
      <c r="K1" s="19"/>
      <c r="L1" s="19"/>
      <c r="M1" s="19"/>
      <c r="N1" s="19"/>
      <c r="O1" s="19"/>
      <c r="P1" s="19"/>
      <c r="Q1" s="19"/>
      <c r="R1" s="19"/>
      <c r="S1" s="19"/>
      <c r="T1" s="19"/>
      <c r="U1" s="19"/>
      <c r="V1" s="19"/>
      <c r="W1" s="19"/>
      <c r="X1" s="19"/>
      <c r="Y1" s="19"/>
      <c r="Z1" s="19"/>
      <c r="AA1" s="19"/>
      <c r="AB1" s="19"/>
      <c r="AC1" s="19"/>
      <c r="AD1" s="19"/>
    </row>
    <row r="2" ht="16" spans="1:30">
      <c r="A2" s="89" t="s">
        <v>39</v>
      </c>
      <c r="B2" s="89" t="s">
        <v>40</v>
      </c>
      <c r="C2" s="89" t="s">
        <v>40</v>
      </c>
      <c r="D2" s="89" t="s">
        <v>39</v>
      </c>
      <c r="E2" s="89" t="s">
        <v>40</v>
      </c>
      <c r="F2" s="16" t="s">
        <v>39</v>
      </c>
      <c r="G2" s="16" t="s">
        <v>39</v>
      </c>
      <c r="H2" s="19"/>
      <c r="I2" s="19"/>
      <c r="J2" s="19"/>
      <c r="K2" s="19"/>
      <c r="L2" s="19"/>
      <c r="M2" s="19"/>
      <c r="N2" s="19"/>
      <c r="O2" s="19"/>
      <c r="P2" s="19"/>
      <c r="Q2" s="19"/>
      <c r="R2" s="19"/>
      <c r="S2" s="19"/>
      <c r="T2" s="19"/>
      <c r="U2" s="19"/>
      <c r="V2" s="19"/>
      <c r="W2" s="19"/>
      <c r="X2" s="19"/>
      <c r="Y2" s="19"/>
      <c r="Z2" s="19"/>
      <c r="AA2" s="19"/>
      <c r="AB2" s="19"/>
      <c r="AC2" s="19"/>
      <c r="AD2" s="19"/>
    </row>
    <row r="3" spans="1:30">
      <c r="A3" s="89" t="s">
        <v>1370</v>
      </c>
      <c r="B3" s="89" t="s">
        <v>1371</v>
      </c>
      <c r="C3" s="89" t="s">
        <v>1372</v>
      </c>
      <c r="D3" s="89" t="s">
        <v>1373</v>
      </c>
      <c r="E3" s="91" t="s">
        <v>1374</v>
      </c>
      <c r="F3" s="16" t="s">
        <v>8</v>
      </c>
      <c r="G3" s="16" t="s">
        <v>1375</v>
      </c>
      <c r="H3" s="92"/>
      <c r="I3" s="19"/>
      <c r="J3" s="19"/>
      <c r="K3" s="19"/>
      <c r="L3" s="19"/>
      <c r="M3" s="19"/>
      <c r="N3" s="19"/>
      <c r="O3" s="19"/>
      <c r="P3" s="19"/>
      <c r="Q3" s="19"/>
      <c r="R3" s="19"/>
      <c r="S3" s="19"/>
      <c r="T3" s="19"/>
      <c r="U3" s="19"/>
      <c r="V3" s="19"/>
      <c r="W3" s="19"/>
      <c r="X3" s="19"/>
      <c r="Y3" s="19"/>
      <c r="Z3" s="19"/>
      <c r="AA3" s="19"/>
      <c r="AB3" s="19"/>
      <c r="AC3" s="19"/>
      <c r="AD3" s="19"/>
    </row>
    <row r="4" ht="198" customHeight="1" spans="1:30">
      <c r="A4" s="16">
        <v>1</v>
      </c>
      <c r="B4" s="16" t="s">
        <v>1376</v>
      </c>
      <c r="C4" s="16" t="s">
        <v>1377</v>
      </c>
      <c r="D4" s="16">
        <v>300</v>
      </c>
      <c r="E4" s="16" t="s">
        <v>1378</v>
      </c>
      <c r="F4" s="16">
        <v>1</v>
      </c>
      <c r="G4" s="16">
        <v>300</v>
      </c>
      <c r="H4" s="19"/>
      <c r="I4" s="19"/>
      <c r="J4" s="19"/>
      <c r="K4" s="19"/>
      <c r="L4" s="19"/>
      <c r="M4" s="19"/>
      <c r="N4" s="19"/>
      <c r="O4" s="19"/>
      <c r="P4" s="19"/>
      <c r="Q4" s="19"/>
      <c r="R4" s="19"/>
      <c r="S4" s="19"/>
      <c r="T4" s="19"/>
      <c r="U4" s="19"/>
      <c r="V4" s="19"/>
      <c r="W4" s="19"/>
      <c r="X4" s="19"/>
      <c r="Y4" s="19"/>
      <c r="Z4" s="19"/>
      <c r="AA4" s="19"/>
      <c r="AB4" s="19"/>
      <c r="AC4" s="19"/>
      <c r="AD4" s="19"/>
    </row>
    <row r="5" spans="1:30">
      <c r="A5" s="19"/>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row>
    <row r="6" ht="29" spans="1:29">
      <c r="A6" s="90" t="s">
        <v>1379</v>
      </c>
      <c r="B6" s="90" t="s">
        <v>1380</v>
      </c>
      <c r="C6" s="90" t="s">
        <v>1381</v>
      </c>
      <c r="D6" s="90" t="s">
        <v>1382</v>
      </c>
      <c r="E6" s="93" t="s">
        <v>1383</v>
      </c>
      <c r="F6" s="93" t="s">
        <v>1384</v>
      </c>
      <c r="G6" s="93" t="s">
        <v>1385</v>
      </c>
      <c r="H6" s="90" t="s">
        <v>1386</v>
      </c>
      <c r="I6" s="90" t="s">
        <v>1387</v>
      </c>
      <c r="J6" s="95" t="s">
        <v>1388</v>
      </c>
      <c r="K6" s="96" t="s">
        <v>1389</v>
      </c>
      <c r="L6" s="97" t="s">
        <v>1390</v>
      </c>
      <c r="M6" s="90" t="s">
        <v>1391</v>
      </c>
      <c r="N6" s="90" t="s">
        <v>1392</v>
      </c>
      <c r="O6" s="95" t="s">
        <v>1388</v>
      </c>
      <c r="P6" s="96" t="s">
        <v>1389</v>
      </c>
      <c r="Q6" s="97" t="s">
        <v>1393</v>
      </c>
      <c r="R6" s="90" t="s">
        <v>1391</v>
      </c>
      <c r="S6" s="90" t="s">
        <v>1392</v>
      </c>
      <c r="T6" s="95" t="s">
        <v>1388</v>
      </c>
      <c r="U6" s="96" t="s">
        <v>1389</v>
      </c>
      <c r="V6" s="97" t="s">
        <v>1394</v>
      </c>
      <c r="W6" s="90" t="s">
        <v>1391</v>
      </c>
      <c r="X6" s="90" t="s">
        <v>1392</v>
      </c>
      <c r="Y6" s="95" t="s">
        <v>1388</v>
      </c>
      <c r="Z6" s="96" t="s">
        <v>1389</v>
      </c>
      <c r="AA6" s="97" t="s">
        <v>1395</v>
      </c>
      <c r="AB6" s="90" t="s">
        <v>1391</v>
      </c>
      <c r="AC6" s="90" t="s">
        <v>1392</v>
      </c>
    </row>
    <row r="7" ht="16" spans="1:29">
      <c r="A7" s="90" t="s">
        <v>39</v>
      </c>
      <c r="B7" s="90" t="s">
        <v>39</v>
      </c>
      <c r="C7" s="90" t="s">
        <v>39</v>
      </c>
      <c r="D7" s="90" t="s">
        <v>39</v>
      </c>
      <c r="E7" s="94" t="s">
        <v>40</v>
      </c>
      <c r="F7" s="94" t="s">
        <v>39</v>
      </c>
      <c r="G7" s="94" t="s">
        <v>39</v>
      </c>
      <c r="H7" s="90" t="s">
        <v>39</v>
      </c>
      <c r="I7" s="90" t="s">
        <v>39</v>
      </c>
      <c r="J7" s="95" t="s">
        <v>39</v>
      </c>
      <c r="K7" s="97" t="s">
        <v>40</v>
      </c>
      <c r="L7" s="97" t="s">
        <v>39</v>
      </c>
      <c r="M7" s="90" t="s">
        <v>39</v>
      </c>
      <c r="N7" s="90" t="s">
        <v>39</v>
      </c>
      <c r="O7" s="95" t="s">
        <v>39</v>
      </c>
      <c r="P7" s="97" t="s">
        <v>40</v>
      </c>
      <c r="Q7" s="97" t="s">
        <v>39</v>
      </c>
      <c r="R7" s="90" t="s">
        <v>39</v>
      </c>
      <c r="S7" s="90" t="s">
        <v>39</v>
      </c>
      <c r="T7" s="95" t="s">
        <v>39</v>
      </c>
      <c r="U7" s="97" t="s">
        <v>40</v>
      </c>
      <c r="V7" s="97" t="s">
        <v>39</v>
      </c>
      <c r="W7" s="90" t="s">
        <v>39</v>
      </c>
      <c r="X7" s="90" t="s">
        <v>39</v>
      </c>
      <c r="Y7" s="95" t="s">
        <v>39</v>
      </c>
      <c r="Z7" s="97" t="s">
        <v>40</v>
      </c>
      <c r="AA7" s="97" t="s">
        <v>39</v>
      </c>
      <c r="AB7" s="90" t="s">
        <v>39</v>
      </c>
      <c r="AC7" s="90" t="s">
        <v>39</v>
      </c>
    </row>
    <row r="8" ht="31" spans="1:29">
      <c r="A8" s="90" t="s">
        <v>1396</v>
      </c>
      <c r="B8" s="90" t="s">
        <v>1397</v>
      </c>
      <c r="C8" s="90" t="s">
        <v>1398</v>
      </c>
      <c r="D8" s="90" t="s">
        <v>1399</v>
      </c>
      <c r="E8" s="94" t="s">
        <v>1263</v>
      </c>
      <c r="F8" s="94" t="s">
        <v>1400</v>
      </c>
      <c r="G8" s="94" t="s">
        <v>1401</v>
      </c>
      <c r="H8" s="90" t="s">
        <v>1402</v>
      </c>
      <c r="I8" s="90" t="s">
        <v>1403</v>
      </c>
      <c r="J8" s="95" t="s">
        <v>1404</v>
      </c>
      <c r="K8" s="97" t="s">
        <v>1263</v>
      </c>
      <c r="L8" s="97" t="s">
        <v>1405</v>
      </c>
      <c r="M8" s="90" t="s">
        <v>1406</v>
      </c>
      <c r="N8" s="90" t="s">
        <v>1407</v>
      </c>
      <c r="O8" s="95" t="s">
        <v>1408</v>
      </c>
      <c r="P8" s="97" t="s">
        <v>1263</v>
      </c>
      <c r="Q8" s="97" t="s">
        <v>1409</v>
      </c>
      <c r="R8" s="90" t="s">
        <v>1410</v>
      </c>
      <c r="S8" s="90" t="s">
        <v>1411</v>
      </c>
      <c r="T8" s="95" t="s">
        <v>1412</v>
      </c>
      <c r="U8" s="97" t="s">
        <v>1263</v>
      </c>
      <c r="V8" s="97" t="s">
        <v>1413</v>
      </c>
      <c r="W8" s="90" t="s">
        <v>1414</v>
      </c>
      <c r="X8" s="90" t="s">
        <v>1415</v>
      </c>
      <c r="Y8" s="95" t="s">
        <v>1416</v>
      </c>
      <c r="Z8" s="97" t="s">
        <v>1263</v>
      </c>
      <c r="AA8" s="97" t="s">
        <v>1417</v>
      </c>
      <c r="AB8" s="90" t="s">
        <v>1418</v>
      </c>
      <c r="AC8" s="90" t="s">
        <v>1419</v>
      </c>
    </row>
    <row r="9" ht="76" spans="1:29">
      <c r="A9" s="90">
        <v>1</v>
      </c>
      <c r="B9" s="90">
        <v>55000000</v>
      </c>
      <c r="C9" s="90">
        <v>0.01</v>
      </c>
      <c r="D9" s="90">
        <v>0.1</v>
      </c>
      <c r="E9" s="93" t="s">
        <v>12</v>
      </c>
      <c r="F9" s="94" t="s">
        <v>1420</v>
      </c>
      <c r="G9" s="94">
        <v>2</v>
      </c>
      <c r="H9" s="90">
        <v>2250</v>
      </c>
      <c r="I9" s="90">
        <v>4</v>
      </c>
      <c r="J9" s="95">
        <v>8500</v>
      </c>
      <c r="K9" s="96" t="s">
        <v>6</v>
      </c>
      <c r="L9" s="97">
        <v>101</v>
      </c>
      <c r="M9" s="90">
        <v>4</v>
      </c>
      <c r="N9" s="90">
        <v>4</v>
      </c>
      <c r="O9" s="95">
        <v>500</v>
      </c>
      <c r="P9" s="96" t="s">
        <v>6</v>
      </c>
      <c r="Q9" s="97">
        <v>103</v>
      </c>
      <c r="R9" s="90">
        <v>0.006</v>
      </c>
      <c r="S9" s="90">
        <v>0.006</v>
      </c>
      <c r="T9" s="95">
        <v>500</v>
      </c>
      <c r="U9" s="96" t="s">
        <v>6</v>
      </c>
      <c r="V9" s="97">
        <v>3106</v>
      </c>
      <c r="W9" s="90">
        <v>0.008</v>
      </c>
      <c r="X9" s="90">
        <v>0.008</v>
      </c>
      <c r="Y9" s="95">
        <v>500</v>
      </c>
      <c r="Z9" s="96" t="s">
        <v>6</v>
      </c>
      <c r="AA9" s="97">
        <v>1301</v>
      </c>
      <c r="AB9" s="90">
        <v>0.0004</v>
      </c>
      <c r="AC9" s="90">
        <v>0.0004</v>
      </c>
    </row>
    <row r="10" ht="76" spans="1:29">
      <c r="A10" s="90">
        <v>2</v>
      </c>
      <c r="B10" s="90">
        <v>55000000</v>
      </c>
      <c r="C10" s="90">
        <v>0.01</v>
      </c>
      <c r="D10" s="90">
        <v>0.1</v>
      </c>
      <c r="E10" s="93" t="s">
        <v>12</v>
      </c>
      <c r="F10" s="94" t="s">
        <v>1420</v>
      </c>
      <c r="G10" s="94">
        <v>2</v>
      </c>
      <c r="H10" s="90">
        <v>2250</v>
      </c>
      <c r="I10" s="90">
        <v>4</v>
      </c>
      <c r="J10" s="95">
        <v>8500</v>
      </c>
      <c r="K10" s="96" t="s">
        <v>6</v>
      </c>
      <c r="L10" s="97">
        <v>101</v>
      </c>
      <c r="M10" s="90">
        <v>4</v>
      </c>
      <c r="N10" s="90">
        <v>4</v>
      </c>
      <c r="O10" s="95">
        <v>500</v>
      </c>
      <c r="P10" s="96" t="s">
        <v>6</v>
      </c>
      <c r="Q10" s="97">
        <v>103</v>
      </c>
      <c r="R10" s="90">
        <v>0.006</v>
      </c>
      <c r="S10" s="90">
        <v>0.006</v>
      </c>
      <c r="T10" s="95">
        <v>500</v>
      </c>
      <c r="U10" s="96" t="s">
        <v>6</v>
      </c>
      <c r="V10" s="97">
        <v>3106</v>
      </c>
      <c r="W10" s="90">
        <v>0.008</v>
      </c>
      <c r="X10" s="90">
        <v>0.008</v>
      </c>
      <c r="Y10" s="95">
        <v>500</v>
      </c>
      <c r="Z10" s="96" t="s">
        <v>6</v>
      </c>
      <c r="AA10" s="97">
        <v>1137</v>
      </c>
      <c r="AB10" s="90">
        <v>0.0004</v>
      </c>
      <c r="AC10" s="90">
        <v>0.0004</v>
      </c>
    </row>
    <row r="11" ht="76" spans="1:29">
      <c r="A11" s="90">
        <v>3</v>
      </c>
      <c r="B11" s="90">
        <v>55000000</v>
      </c>
      <c r="C11" s="90">
        <v>0.01</v>
      </c>
      <c r="D11" s="90">
        <v>0.1</v>
      </c>
      <c r="E11" s="93" t="s">
        <v>12</v>
      </c>
      <c r="F11" s="94" t="s">
        <v>1420</v>
      </c>
      <c r="G11" s="94">
        <v>2</v>
      </c>
      <c r="H11" s="90">
        <v>2250</v>
      </c>
      <c r="I11" s="90">
        <v>4</v>
      </c>
      <c r="J11" s="95">
        <v>8500</v>
      </c>
      <c r="K11" s="96" t="s">
        <v>6</v>
      </c>
      <c r="L11" s="97">
        <v>101</v>
      </c>
      <c r="M11" s="90">
        <v>4</v>
      </c>
      <c r="N11" s="90">
        <v>4</v>
      </c>
      <c r="O11" s="95">
        <v>500</v>
      </c>
      <c r="P11" s="96" t="s">
        <v>6</v>
      </c>
      <c r="Q11" s="97">
        <v>103</v>
      </c>
      <c r="R11" s="90">
        <v>0.006</v>
      </c>
      <c r="S11" s="90">
        <v>0.006</v>
      </c>
      <c r="T11" s="95">
        <v>500</v>
      </c>
      <c r="U11" s="96" t="s">
        <v>6</v>
      </c>
      <c r="V11" s="97">
        <v>3106</v>
      </c>
      <c r="W11" s="90">
        <v>0.008</v>
      </c>
      <c r="X11" s="90">
        <v>0.008</v>
      </c>
      <c r="Y11" s="95">
        <v>500</v>
      </c>
      <c r="Z11" s="96" t="s">
        <v>6</v>
      </c>
      <c r="AA11" s="97">
        <v>1137</v>
      </c>
      <c r="AB11" s="90">
        <v>0.0004</v>
      </c>
      <c r="AC11" s="90">
        <v>0.0004</v>
      </c>
    </row>
    <row r="12" ht="76" spans="1:29">
      <c r="A12" s="90">
        <v>4</v>
      </c>
      <c r="B12" s="90">
        <v>55000000</v>
      </c>
      <c r="C12" s="90">
        <v>0.01</v>
      </c>
      <c r="D12" s="90">
        <v>0.1</v>
      </c>
      <c r="E12" s="93" t="s">
        <v>12</v>
      </c>
      <c r="F12" s="94" t="s">
        <v>1420</v>
      </c>
      <c r="G12" s="94">
        <v>2</v>
      </c>
      <c r="H12" s="90">
        <v>1800</v>
      </c>
      <c r="I12" s="90">
        <v>5</v>
      </c>
      <c r="J12" s="95">
        <v>8500</v>
      </c>
      <c r="K12" s="96" t="s">
        <v>6</v>
      </c>
      <c r="L12" s="97">
        <v>101</v>
      </c>
      <c r="M12" s="90">
        <v>5</v>
      </c>
      <c r="N12" s="90">
        <v>5</v>
      </c>
      <c r="O12" s="95">
        <v>500</v>
      </c>
      <c r="P12" s="96" t="s">
        <v>6</v>
      </c>
      <c r="Q12" s="97">
        <v>103</v>
      </c>
      <c r="R12" s="90">
        <v>0.008</v>
      </c>
      <c r="S12" s="90">
        <v>0.008</v>
      </c>
      <c r="T12" s="95">
        <v>500</v>
      </c>
      <c r="U12" s="96" t="s">
        <v>6</v>
      </c>
      <c r="V12" s="97">
        <v>3106</v>
      </c>
      <c r="W12" s="90">
        <v>0.01</v>
      </c>
      <c r="X12" s="90">
        <v>0.01</v>
      </c>
      <c r="Y12" s="95">
        <v>500</v>
      </c>
      <c r="Z12" s="96" t="s">
        <v>6</v>
      </c>
      <c r="AA12" s="97">
        <v>1137</v>
      </c>
      <c r="AB12" s="90">
        <v>0.0005</v>
      </c>
      <c r="AC12" s="90">
        <v>0.0005</v>
      </c>
    </row>
    <row r="13" ht="76" spans="1:29">
      <c r="A13" s="90">
        <v>5</v>
      </c>
      <c r="B13" s="90">
        <v>55000000</v>
      </c>
      <c r="C13" s="90">
        <v>0.01</v>
      </c>
      <c r="D13" s="90">
        <v>0.1</v>
      </c>
      <c r="E13" s="93" t="s">
        <v>12</v>
      </c>
      <c r="F13" s="94" t="s">
        <v>1420</v>
      </c>
      <c r="G13" s="94">
        <v>2</v>
      </c>
      <c r="H13" s="90">
        <v>1800</v>
      </c>
      <c r="I13" s="90">
        <v>5</v>
      </c>
      <c r="J13" s="95">
        <v>8500</v>
      </c>
      <c r="K13" s="96" t="s">
        <v>6</v>
      </c>
      <c r="L13" s="97">
        <v>101</v>
      </c>
      <c r="M13" s="90">
        <v>5</v>
      </c>
      <c r="N13" s="90">
        <v>5</v>
      </c>
      <c r="O13" s="95">
        <v>500</v>
      </c>
      <c r="P13" s="96" t="s">
        <v>6</v>
      </c>
      <c r="Q13" s="97">
        <v>103</v>
      </c>
      <c r="R13" s="90">
        <v>0.008</v>
      </c>
      <c r="S13" s="90">
        <v>0.008</v>
      </c>
      <c r="T13" s="95">
        <v>500</v>
      </c>
      <c r="U13" s="96" t="s">
        <v>6</v>
      </c>
      <c r="V13" s="97">
        <v>3106</v>
      </c>
      <c r="W13" s="90">
        <v>0.01</v>
      </c>
      <c r="X13" s="90">
        <v>0.01</v>
      </c>
      <c r="Y13" s="95">
        <v>500</v>
      </c>
      <c r="Z13" s="96" t="s">
        <v>6</v>
      </c>
      <c r="AA13" s="97">
        <v>1137</v>
      </c>
      <c r="AB13" s="90">
        <v>0.0005</v>
      </c>
      <c r="AC13" s="90">
        <v>0.0005</v>
      </c>
    </row>
    <row r="14" ht="76" spans="1:29">
      <c r="A14" s="90">
        <v>6</v>
      </c>
      <c r="B14" s="90">
        <v>55000000</v>
      </c>
      <c r="C14" s="90">
        <v>0.01</v>
      </c>
      <c r="D14" s="90">
        <v>0.1</v>
      </c>
      <c r="E14" s="93" t="s">
        <v>12</v>
      </c>
      <c r="F14" s="94" t="s">
        <v>1420</v>
      </c>
      <c r="G14" s="94">
        <v>2</v>
      </c>
      <c r="H14" s="90">
        <v>1800</v>
      </c>
      <c r="I14" s="90">
        <v>5</v>
      </c>
      <c r="J14" s="95">
        <v>8500</v>
      </c>
      <c r="K14" s="96" t="s">
        <v>6</v>
      </c>
      <c r="L14" s="97">
        <v>101</v>
      </c>
      <c r="M14" s="90">
        <v>5</v>
      </c>
      <c r="N14" s="90">
        <v>5</v>
      </c>
      <c r="O14" s="95">
        <v>500</v>
      </c>
      <c r="P14" s="96" t="s">
        <v>6</v>
      </c>
      <c r="Q14" s="97">
        <v>103</v>
      </c>
      <c r="R14" s="90">
        <v>0.008</v>
      </c>
      <c r="S14" s="90">
        <v>0.008</v>
      </c>
      <c r="T14" s="95">
        <v>500</v>
      </c>
      <c r="U14" s="96" t="s">
        <v>6</v>
      </c>
      <c r="V14" s="97">
        <v>3106</v>
      </c>
      <c r="W14" s="90">
        <v>0.01</v>
      </c>
      <c r="X14" s="90">
        <v>0.01</v>
      </c>
      <c r="Y14" s="95">
        <v>500</v>
      </c>
      <c r="Z14" s="96" t="s">
        <v>6</v>
      </c>
      <c r="AA14" s="97">
        <v>1137</v>
      </c>
      <c r="AB14" s="90">
        <v>0.0005</v>
      </c>
      <c r="AC14" s="90">
        <v>0.0005</v>
      </c>
    </row>
    <row r="15" ht="76" spans="1:29">
      <c r="A15" s="90">
        <v>7</v>
      </c>
      <c r="B15" s="90">
        <v>55000000</v>
      </c>
      <c r="C15" s="90">
        <v>0.01</v>
      </c>
      <c r="D15" s="90">
        <v>0.1</v>
      </c>
      <c r="E15" s="93" t="s">
        <v>12</v>
      </c>
      <c r="F15" s="94" t="s">
        <v>1420</v>
      </c>
      <c r="G15" s="94">
        <v>2</v>
      </c>
      <c r="H15" s="90">
        <v>1500</v>
      </c>
      <c r="I15" s="90">
        <v>6</v>
      </c>
      <c r="J15" s="95">
        <v>8500</v>
      </c>
      <c r="K15" s="96" t="s">
        <v>6</v>
      </c>
      <c r="L15" s="97">
        <v>101</v>
      </c>
      <c r="M15" s="90">
        <v>6</v>
      </c>
      <c r="N15" s="90">
        <v>6</v>
      </c>
      <c r="O15" s="95">
        <v>500</v>
      </c>
      <c r="P15" s="96" t="s">
        <v>6</v>
      </c>
      <c r="Q15" s="97">
        <v>103</v>
      </c>
      <c r="R15" s="90">
        <v>0.01</v>
      </c>
      <c r="S15" s="90">
        <v>0.01</v>
      </c>
      <c r="T15" s="95">
        <v>500</v>
      </c>
      <c r="U15" s="96" t="s">
        <v>6</v>
      </c>
      <c r="V15" s="97">
        <v>3106</v>
      </c>
      <c r="W15" s="90">
        <v>0.012</v>
      </c>
      <c r="X15" s="90">
        <v>0.012</v>
      </c>
      <c r="Y15" s="95">
        <v>500</v>
      </c>
      <c r="Z15" s="96" t="s">
        <v>6</v>
      </c>
      <c r="AA15" s="97">
        <v>1137</v>
      </c>
      <c r="AB15" s="90">
        <v>0.0005</v>
      </c>
      <c r="AC15" s="90">
        <v>0.0005</v>
      </c>
    </row>
    <row r="16" ht="76" spans="1:29">
      <c r="A16" s="90">
        <v>8</v>
      </c>
      <c r="B16" s="90">
        <v>55000000</v>
      </c>
      <c r="C16" s="90">
        <v>0.01</v>
      </c>
      <c r="D16" s="90">
        <v>0.1</v>
      </c>
      <c r="E16" s="93" t="s">
        <v>12</v>
      </c>
      <c r="F16" s="94" t="s">
        <v>1420</v>
      </c>
      <c r="G16" s="94">
        <v>2</v>
      </c>
      <c r="H16" s="90">
        <v>1280</v>
      </c>
      <c r="I16" s="90">
        <v>7</v>
      </c>
      <c r="J16" s="95">
        <v>8500</v>
      </c>
      <c r="K16" s="96" t="s">
        <v>6</v>
      </c>
      <c r="L16" s="97">
        <v>101</v>
      </c>
      <c r="M16" s="90">
        <v>7</v>
      </c>
      <c r="N16" s="90">
        <v>7</v>
      </c>
      <c r="O16" s="95">
        <v>500</v>
      </c>
      <c r="P16" s="96" t="s">
        <v>6</v>
      </c>
      <c r="Q16" s="97">
        <v>103</v>
      </c>
      <c r="R16" s="90">
        <v>0.011</v>
      </c>
      <c r="S16" s="90">
        <v>0.011</v>
      </c>
      <c r="T16" s="95">
        <v>500</v>
      </c>
      <c r="U16" s="96" t="s">
        <v>6</v>
      </c>
      <c r="V16" s="97">
        <v>3106</v>
      </c>
      <c r="W16" s="90">
        <v>0.014</v>
      </c>
      <c r="X16" s="90">
        <v>0.014</v>
      </c>
      <c r="Y16" s="95">
        <v>500</v>
      </c>
      <c r="Z16" s="96" t="s">
        <v>6</v>
      </c>
      <c r="AA16" s="97">
        <v>1137</v>
      </c>
      <c r="AB16" s="90">
        <v>0.0007</v>
      </c>
      <c r="AC16" s="90">
        <v>0.0007</v>
      </c>
    </row>
    <row r="17" ht="76" spans="1:29">
      <c r="A17" s="90">
        <v>9</v>
      </c>
      <c r="B17" s="90">
        <v>55000000</v>
      </c>
      <c r="C17" s="90">
        <v>0.01</v>
      </c>
      <c r="D17" s="90">
        <v>0.1</v>
      </c>
      <c r="E17" s="93" t="s">
        <v>12</v>
      </c>
      <c r="F17" s="94" t="s">
        <v>1420</v>
      </c>
      <c r="G17" s="94">
        <v>2</v>
      </c>
      <c r="H17" s="90">
        <v>1120</v>
      </c>
      <c r="I17" s="90">
        <v>8</v>
      </c>
      <c r="J17" s="95">
        <v>8500</v>
      </c>
      <c r="K17" s="96" t="s">
        <v>6</v>
      </c>
      <c r="L17" s="97">
        <v>101</v>
      </c>
      <c r="M17" s="90">
        <v>8</v>
      </c>
      <c r="N17" s="90">
        <v>8</v>
      </c>
      <c r="O17" s="95">
        <v>500</v>
      </c>
      <c r="P17" s="96" t="s">
        <v>6</v>
      </c>
      <c r="Q17" s="97">
        <v>103</v>
      </c>
      <c r="R17" s="90">
        <v>0.013</v>
      </c>
      <c r="S17" s="90">
        <v>0.013</v>
      </c>
      <c r="T17" s="95">
        <v>500</v>
      </c>
      <c r="U17" s="96" t="s">
        <v>6</v>
      </c>
      <c r="V17" s="97">
        <v>3106</v>
      </c>
      <c r="W17" s="90">
        <v>0.016</v>
      </c>
      <c r="X17" s="90">
        <v>0.016</v>
      </c>
      <c r="Y17" s="95">
        <v>500</v>
      </c>
      <c r="Z17" s="96" t="s">
        <v>6</v>
      </c>
      <c r="AA17" s="97">
        <v>1137</v>
      </c>
      <c r="AB17" s="90">
        <v>0.0008</v>
      </c>
      <c r="AC17" s="90">
        <v>0.0008</v>
      </c>
    </row>
    <row r="18" ht="76" spans="1:29">
      <c r="A18" s="90">
        <v>10</v>
      </c>
      <c r="B18" s="90">
        <v>55000000</v>
      </c>
      <c r="C18" s="90">
        <v>0.01</v>
      </c>
      <c r="D18" s="90">
        <v>0.1</v>
      </c>
      <c r="E18" s="93" t="s">
        <v>12</v>
      </c>
      <c r="F18" s="94" t="s">
        <v>1420</v>
      </c>
      <c r="G18" s="94">
        <v>2</v>
      </c>
      <c r="H18" s="90">
        <v>1000</v>
      </c>
      <c r="I18" s="90">
        <v>9</v>
      </c>
      <c r="J18" s="95">
        <v>8500</v>
      </c>
      <c r="K18" s="96" t="s">
        <v>6</v>
      </c>
      <c r="L18" s="97">
        <v>101</v>
      </c>
      <c r="M18" s="90">
        <v>9</v>
      </c>
      <c r="N18" s="90">
        <v>9</v>
      </c>
      <c r="O18" s="95">
        <v>500</v>
      </c>
      <c r="P18" s="96" t="s">
        <v>6</v>
      </c>
      <c r="Q18" s="97">
        <v>103</v>
      </c>
      <c r="R18" s="90">
        <v>0.015</v>
      </c>
      <c r="S18" s="90">
        <v>0.015</v>
      </c>
      <c r="T18" s="95">
        <v>500</v>
      </c>
      <c r="U18" s="96" t="s">
        <v>6</v>
      </c>
      <c r="V18" s="97">
        <v>3106</v>
      </c>
      <c r="W18" s="90">
        <v>0.018</v>
      </c>
      <c r="X18" s="90">
        <v>0.018</v>
      </c>
      <c r="Y18" s="95">
        <v>500</v>
      </c>
      <c r="Z18" s="96" t="s">
        <v>6</v>
      </c>
      <c r="AA18" s="97">
        <v>1137</v>
      </c>
      <c r="AB18" s="90">
        <v>0.0009</v>
      </c>
      <c r="AC18" s="90">
        <v>0.0009</v>
      </c>
    </row>
    <row r="19" ht="76" spans="1:29">
      <c r="A19" s="90">
        <v>11</v>
      </c>
      <c r="B19" s="90">
        <v>40000000</v>
      </c>
      <c r="C19" s="90">
        <v>0</v>
      </c>
      <c r="D19" s="90">
        <v>1</v>
      </c>
      <c r="E19" s="93" t="s">
        <v>12</v>
      </c>
      <c r="F19" s="94" t="s">
        <v>1420</v>
      </c>
      <c r="G19" s="94">
        <v>4</v>
      </c>
      <c r="H19" s="90">
        <v>90</v>
      </c>
      <c r="I19" s="90">
        <v>10</v>
      </c>
      <c r="J19" s="95">
        <v>8500</v>
      </c>
      <c r="K19" s="96" t="s">
        <v>6</v>
      </c>
      <c r="L19" s="97">
        <v>101</v>
      </c>
      <c r="M19" s="90">
        <v>10</v>
      </c>
      <c r="N19" s="90">
        <v>10</v>
      </c>
      <c r="O19" s="95">
        <v>500</v>
      </c>
      <c r="P19" s="96" t="s">
        <v>6</v>
      </c>
      <c r="Q19" s="97">
        <v>103</v>
      </c>
      <c r="R19" s="90">
        <v>0.016</v>
      </c>
      <c r="S19" s="90">
        <v>0.016</v>
      </c>
      <c r="T19" s="95">
        <v>500</v>
      </c>
      <c r="U19" s="96" t="s">
        <v>6</v>
      </c>
      <c r="V19" s="97">
        <v>3106</v>
      </c>
      <c r="W19" s="90">
        <v>0.02</v>
      </c>
      <c r="X19" s="90">
        <v>0.02</v>
      </c>
      <c r="Y19" s="95">
        <v>500</v>
      </c>
      <c r="Z19" s="96" t="s">
        <v>6</v>
      </c>
      <c r="AA19" s="97">
        <v>1137</v>
      </c>
      <c r="AB19" s="90">
        <v>0.001</v>
      </c>
      <c r="AC19" s="90">
        <v>0.001</v>
      </c>
    </row>
    <row r="20" spans="1:30">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row>
    <row r="21" spans="1:30">
      <c r="A21" s="90" t="s">
        <v>1421</v>
      </c>
      <c r="B21" s="90" t="s">
        <v>1422</v>
      </c>
      <c r="C21" s="90" t="s">
        <v>1423</v>
      </c>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row>
    <row r="22" ht="16" spans="1:30">
      <c r="A22" s="90" t="s">
        <v>39</v>
      </c>
      <c r="B22" s="90" t="s">
        <v>40</v>
      </c>
      <c r="C22" s="90" t="s">
        <v>40</v>
      </c>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row>
    <row r="23" ht="16" spans="1:30">
      <c r="A23" s="90" t="s">
        <v>1262</v>
      </c>
      <c r="B23" s="90" t="s">
        <v>1263</v>
      </c>
      <c r="C23" s="90" t="s">
        <v>1424</v>
      </c>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row>
    <row r="24" ht="31" spans="1:30">
      <c r="A24" s="90">
        <v>1</v>
      </c>
      <c r="B24" s="90" t="s">
        <v>1425</v>
      </c>
      <c r="C24" s="90" t="s">
        <v>1426</v>
      </c>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row>
    <row r="25" ht="31" spans="1:30">
      <c r="A25" s="90">
        <v>2</v>
      </c>
      <c r="B25" s="90" t="s">
        <v>1425</v>
      </c>
      <c r="C25" s="90" t="s">
        <v>1427</v>
      </c>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row>
    <row r="26" ht="31" spans="1:30">
      <c r="A26" s="90">
        <v>3</v>
      </c>
      <c r="B26" s="90" t="s">
        <v>1425</v>
      </c>
      <c r="C26" s="90" t="s">
        <v>1428</v>
      </c>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row>
    <row r="27" ht="31" spans="1:30">
      <c r="A27" s="90">
        <v>4</v>
      </c>
      <c r="B27" s="90" t="s">
        <v>1429</v>
      </c>
      <c r="C27" s="90" t="s">
        <v>1430</v>
      </c>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row>
    <row r="28" ht="31" spans="1:30">
      <c r="A28" s="90">
        <v>5</v>
      </c>
      <c r="B28" s="90" t="s">
        <v>1429</v>
      </c>
      <c r="C28" s="90" t="s">
        <v>1431</v>
      </c>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row>
    <row r="29" ht="31" spans="1:30">
      <c r="A29" s="90">
        <v>6</v>
      </c>
      <c r="B29" s="90" t="s">
        <v>1429</v>
      </c>
      <c r="C29" s="90" t="s">
        <v>1432</v>
      </c>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row>
    <row r="30" ht="31" spans="1:30">
      <c r="A30" s="90">
        <v>7</v>
      </c>
      <c r="B30" s="90" t="s">
        <v>1429</v>
      </c>
      <c r="C30" s="90" t="s">
        <v>1433</v>
      </c>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row>
    <row r="31" ht="31" spans="1:30">
      <c r="A31" s="90">
        <v>8</v>
      </c>
      <c r="B31" s="90" t="s">
        <v>1429</v>
      </c>
      <c r="C31" s="90" t="s">
        <v>1434</v>
      </c>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row>
    <row r="32" ht="31" spans="1:30">
      <c r="A32" s="90">
        <v>9</v>
      </c>
      <c r="B32" s="90" t="s">
        <v>1429</v>
      </c>
      <c r="C32" s="90" t="s">
        <v>1435</v>
      </c>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row>
    <row r="33" ht="31" spans="1:30">
      <c r="A33" s="64">
        <v>10</v>
      </c>
      <c r="B33" s="64" t="s">
        <v>1429</v>
      </c>
      <c r="C33" s="64" t="s">
        <v>1436</v>
      </c>
      <c r="D33" s="59"/>
      <c r="E33" s="59"/>
      <c r="F33" s="59"/>
      <c r="G33" s="59"/>
      <c r="H33" s="59"/>
      <c r="I33" s="59"/>
      <c r="J33" s="59"/>
      <c r="K33" s="59"/>
      <c r="L33" s="59"/>
      <c r="M33" s="59"/>
      <c r="N33" s="59"/>
      <c r="O33" s="59"/>
      <c r="P33" s="59"/>
      <c r="Q33" s="59"/>
      <c r="R33" s="59"/>
      <c r="S33" s="59"/>
      <c r="T33" s="59"/>
      <c r="U33" s="59"/>
      <c r="V33" s="59"/>
      <c r="W33" s="59"/>
      <c r="X33" s="59"/>
      <c r="Y33" s="59"/>
      <c r="Z33" s="59"/>
      <c r="AA33" s="59"/>
      <c r="AB33" s="59"/>
      <c r="AC33" s="59"/>
      <c r="AD33" s="59"/>
    </row>
    <row r="34" ht="20.1" customHeight="1"/>
  </sheetData>
  <pageMargins left="0.75" right="0.75" top="1" bottom="1" header="0.511805555555556" footer="0.511805555555556"/>
  <headerFooter/>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L4"/>
  <sheetViews>
    <sheetView workbookViewId="0">
      <selection activeCell="E4" sqref="E4:F4"/>
    </sheetView>
  </sheetViews>
  <sheetFormatPr defaultColWidth="8.90131578947368" defaultRowHeight="15.2" outlineLevelRow="3"/>
  <cols>
    <col min="1" max="1" width="12.6973684210526" customWidth="1"/>
    <col min="4" max="4" width="17.5" customWidth="1"/>
    <col min="5" max="7" width="26.9013157894737" customWidth="1"/>
    <col min="9" max="9" width="11.0986842105263" customWidth="1"/>
    <col min="10" max="10" width="11.4013157894737" customWidth="1"/>
  </cols>
  <sheetData>
    <row r="1" ht="36" spans="1:12">
      <c r="A1" s="80" t="s">
        <v>1437</v>
      </c>
      <c r="B1" s="80" t="s">
        <v>1438</v>
      </c>
      <c r="C1" s="80" t="s">
        <v>1439</v>
      </c>
      <c r="D1" s="80" t="s">
        <v>1440</v>
      </c>
      <c r="E1" s="80" t="s">
        <v>1441</v>
      </c>
      <c r="F1" s="80" t="s">
        <v>1442</v>
      </c>
      <c r="G1" s="80" t="s">
        <v>1443</v>
      </c>
      <c r="H1" s="80" t="s">
        <v>1444</v>
      </c>
      <c r="I1" s="80" t="s">
        <v>1445</v>
      </c>
      <c r="J1" s="84" t="s">
        <v>1446</v>
      </c>
      <c r="K1" s="64" t="s">
        <v>1447</v>
      </c>
      <c r="L1" s="80" t="s">
        <v>1448</v>
      </c>
    </row>
    <row r="2" ht="20" spans="1:12">
      <c r="A2" s="80" t="s">
        <v>40</v>
      </c>
      <c r="B2" s="80" t="s">
        <v>39</v>
      </c>
      <c r="C2" s="80" t="s">
        <v>39</v>
      </c>
      <c r="D2" s="80" t="s">
        <v>40</v>
      </c>
      <c r="E2" s="80" t="s">
        <v>39</v>
      </c>
      <c r="F2" s="80" t="s">
        <v>39</v>
      </c>
      <c r="G2" s="80" t="s">
        <v>39</v>
      </c>
      <c r="H2" s="80" t="s">
        <v>39</v>
      </c>
      <c r="I2" s="80" t="s">
        <v>39</v>
      </c>
      <c r="J2" s="85" t="s">
        <v>39</v>
      </c>
      <c r="K2" s="64" t="s">
        <v>39</v>
      </c>
      <c r="L2" s="80" t="s">
        <v>39</v>
      </c>
    </row>
    <row r="3" ht="45" spans="1:12">
      <c r="A3" s="81" t="s">
        <v>1449</v>
      </c>
      <c r="B3" s="81" t="s">
        <v>1450</v>
      </c>
      <c r="C3" s="81" t="s">
        <v>1451</v>
      </c>
      <c r="D3" s="81" t="s">
        <v>1452</v>
      </c>
      <c r="E3" s="81" t="s">
        <v>1453</v>
      </c>
      <c r="F3" s="81" t="s">
        <v>1454</v>
      </c>
      <c r="G3" s="81" t="s">
        <v>1455</v>
      </c>
      <c r="H3" s="81" t="s">
        <v>1456</v>
      </c>
      <c r="I3" s="81" t="s">
        <v>1456</v>
      </c>
      <c r="J3" s="86" t="s">
        <v>1456</v>
      </c>
      <c r="K3" s="87" t="s">
        <v>1457</v>
      </c>
      <c r="L3" s="81" t="s">
        <v>1458</v>
      </c>
    </row>
    <row r="4" ht="20" spans="1:12">
      <c r="A4" s="80" t="s">
        <v>1459</v>
      </c>
      <c r="B4" s="80">
        <v>1</v>
      </c>
      <c r="C4" s="80">
        <v>30</v>
      </c>
      <c r="D4" s="82" t="s">
        <v>1460</v>
      </c>
      <c r="E4" s="82">
        <v>30000000000</v>
      </c>
      <c r="F4" s="82">
        <v>30000000</v>
      </c>
      <c r="G4" s="82">
        <v>100</v>
      </c>
      <c r="H4" s="83" t="s">
        <v>1461</v>
      </c>
      <c r="I4" s="82" t="s">
        <v>1462</v>
      </c>
      <c r="J4" s="88" t="s">
        <v>1463</v>
      </c>
      <c r="K4" s="82">
        <v>10</v>
      </c>
      <c r="L4" s="82">
        <v>0.3</v>
      </c>
    </row>
  </sheetData>
  <pageMargins left="0.75" right="0.75" top="1" bottom="1" header="0.511805555555556" footer="0.511805555555556"/>
  <pageSetup paperSize="9" orientation="portrait"/>
  <headerFooter/>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37"/>
  <sheetViews>
    <sheetView workbookViewId="0">
      <selection activeCell="B37" sqref="B37"/>
    </sheetView>
  </sheetViews>
  <sheetFormatPr defaultColWidth="8.69736842105263" defaultRowHeight="15.2" outlineLevelCol="5"/>
  <cols>
    <col min="2" max="2" width="80.5986842105263" customWidth="1"/>
    <col min="3" max="3" width="19.6973684210526" style="68" customWidth="1"/>
    <col min="4" max="4" width="21.5986842105263" customWidth="1"/>
    <col min="6" max="6" width="45.6973684210526" customWidth="1"/>
  </cols>
  <sheetData>
    <row r="1" ht="16" spans="1:6">
      <c r="A1" s="1" t="s">
        <v>1221</v>
      </c>
      <c r="B1" s="1" t="s">
        <v>1424</v>
      </c>
      <c r="C1" s="69" t="s">
        <v>1464</v>
      </c>
      <c r="D1" s="2" t="s">
        <v>1263</v>
      </c>
      <c r="E1" s="2"/>
      <c r="F1" s="2"/>
    </row>
    <row r="2" ht="16" spans="1:6">
      <c r="A2" s="1" t="s">
        <v>39</v>
      </c>
      <c r="B2" s="1" t="s">
        <v>40</v>
      </c>
      <c r="C2" s="69" t="s">
        <v>39</v>
      </c>
      <c r="D2" s="2" t="s">
        <v>40</v>
      </c>
      <c r="E2" s="2"/>
      <c r="F2" s="2"/>
    </row>
    <row r="3" spans="1:6">
      <c r="A3" s="70" t="s">
        <v>538</v>
      </c>
      <c r="B3" s="70" t="s">
        <v>1465</v>
      </c>
      <c r="C3" s="71" t="s">
        <v>1466</v>
      </c>
      <c r="D3" s="72" t="s">
        <v>53</v>
      </c>
      <c r="E3" s="72" t="s">
        <v>1467</v>
      </c>
      <c r="F3" s="72" t="s">
        <v>1468</v>
      </c>
    </row>
    <row r="4" spans="1:6">
      <c r="A4" s="73">
        <v>7</v>
      </c>
      <c r="B4" s="67"/>
      <c r="C4" s="74">
        <v>0</v>
      </c>
      <c r="D4" s="67"/>
      <c r="E4" s="67"/>
      <c r="F4" s="67"/>
    </row>
    <row r="5" spans="1:6">
      <c r="A5" s="75">
        <v>8</v>
      </c>
      <c r="B5" s="76"/>
      <c r="C5" s="77">
        <v>0</v>
      </c>
      <c r="D5" s="67"/>
      <c r="E5" s="67"/>
      <c r="F5" s="67"/>
    </row>
    <row r="6" spans="1:6">
      <c r="A6" s="73">
        <v>9</v>
      </c>
      <c r="B6" s="9"/>
      <c r="C6" s="74">
        <v>0</v>
      </c>
      <c r="D6" s="67"/>
      <c r="E6" s="67"/>
      <c r="F6" s="67"/>
    </row>
    <row r="7" spans="1:6">
      <c r="A7" s="75">
        <v>10</v>
      </c>
      <c r="B7" s="78" t="s">
        <v>1469</v>
      </c>
      <c r="C7" s="77">
        <v>0</v>
      </c>
      <c r="D7" s="67"/>
      <c r="E7" s="67">
        <v>2000</v>
      </c>
      <c r="F7" s="67" t="s">
        <v>1470</v>
      </c>
    </row>
    <row r="8" spans="1:6">
      <c r="A8" s="73">
        <v>1</v>
      </c>
      <c r="B8" s="9"/>
      <c r="C8" s="74">
        <v>0</v>
      </c>
      <c r="D8" s="67"/>
      <c r="E8" s="67"/>
      <c r="F8" s="67"/>
    </row>
    <row r="9" spans="1:6">
      <c r="A9" s="75">
        <v>12</v>
      </c>
      <c r="B9" s="76" t="s">
        <v>1471</v>
      </c>
      <c r="C9" s="77">
        <v>0</v>
      </c>
      <c r="D9" s="67"/>
      <c r="E9" s="67">
        <v>3000</v>
      </c>
      <c r="F9" s="67" t="s">
        <v>1472</v>
      </c>
    </row>
    <row r="10" spans="1:6">
      <c r="A10" s="73">
        <v>13</v>
      </c>
      <c r="B10" s="9"/>
      <c r="C10" s="74">
        <v>0</v>
      </c>
      <c r="D10" s="67"/>
      <c r="E10" s="67"/>
      <c r="F10" s="67"/>
    </row>
    <row r="11" spans="1:6">
      <c r="A11" s="75">
        <v>14</v>
      </c>
      <c r="B11" s="76" t="s">
        <v>1473</v>
      </c>
      <c r="C11" s="77">
        <v>0</v>
      </c>
      <c r="D11" s="67"/>
      <c r="E11" s="67">
        <v>4000</v>
      </c>
      <c r="F11" s="67" t="s">
        <v>1474</v>
      </c>
    </row>
    <row r="12" spans="1:6">
      <c r="A12" s="73">
        <v>15</v>
      </c>
      <c r="B12" s="9"/>
      <c r="C12" s="74">
        <v>0</v>
      </c>
      <c r="D12" s="67"/>
      <c r="E12" s="67"/>
      <c r="F12" s="67"/>
    </row>
    <row r="13" spans="1:6">
      <c r="A13" s="75">
        <v>16</v>
      </c>
      <c r="B13" s="78" t="s">
        <v>1475</v>
      </c>
      <c r="C13" s="77">
        <v>10000</v>
      </c>
      <c r="D13" s="67"/>
      <c r="E13" s="67">
        <v>5000</v>
      </c>
      <c r="F13" s="67" t="s">
        <v>1476</v>
      </c>
    </row>
    <row r="14" spans="1:6">
      <c r="A14" s="73">
        <v>17</v>
      </c>
      <c r="B14" s="9"/>
      <c r="C14" s="74">
        <v>0</v>
      </c>
      <c r="D14" s="67"/>
      <c r="E14" s="67"/>
      <c r="F14" s="67"/>
    </row>
    <row r="15" spans="1:6">
      <c r="A15" s="75">
        <v>18</v>
      </c>
      <c r="B15" s="76" t="s">
        <v>1477</v>
      </c>
      <c r="C15" s="77">
        <v>10000</v>
      </c>
      <c r="D15" s="67"/>
      <c r="E15" s="67">
        <v>6000</v>
      </c>
      <c r="F15" s="79" t="s">
        <v>1478</v>
      </c>
    </row>
    <row r="16" spans="1:6">
      <c r="A16" s="73">
        <v>19</v>
      </c>
      <c r="B16" s="9"/>
      <c r="C16" s="74">
        <v>0</v>
      </c>
      <c r="D16" s="67"/>
      <c r="E16" s="67"/>
      <c r="F16" s="67"/>
    </row>
    <row r="17" spans="1:6">
      <c r="A17" s="75">
        <v>20</v>
      </c>
      <c r="B17" s="78" t="s">
        <v>1479</v>
      </c>
      <c r="C17" s="77">
        <v>15000</v>
      </c>
      <c r="D17" s="67"/>
      <c r="E17" s="67">
        <v>8000</v>
      </c>
      <c r="F17" s="67" t="s">
        <v>1480</v>
      </c>
    </row>
    <row r="18" spans="1:6">
      <c r="A18" s="73">
        <v>21</v>
      </c>
      <c r="B18" s="9"/>
      <c r="C18" s="74">
        <v>0</v>
      </c>
      <c r="D18" s="67"/>
      <c r="E18" s="67"/>
      <c r="F18" s="67"/>
    </row>
    <row r="19" spans="1:6">
      <c r="A19" s="75">
        <v>22</v>
      </c>
      <c r="B19" s="78" t="s">
        <v>1481</v>
      </c>
      <c r="C19" s="77">
        <v>15000</v>
      </c>
      <c r="D19" s="67"/>
      <c r="E19" s="67">
        <v>10000</v>
      </c>
      <c r="F19" s="79" t="s">
        <v>1482</v>
      </c>
    </row>
    <row r="20" spans="1:6">
      <c r="A20" s="73">
        <v>23</v>
      </c>
      <c r="B20" s="9"/>
      <c r="C20" s="74">
        <v>0</v>
      </c>
      <c r="D20" s="67"/>
      <c r="E20" s="67"/>
      <c r="F20" s="67"/>
    </row>
    <row r="21" spans="1:6">
      <c r="A21" s="75">
        <v>24</v>
      </c>
      <c r="B21" s="78" t="s">
        <v>1483</v>
      </c>
      <c r="C21" s="77">
        <v>15000</v>
      </c>
      <c r="D21" s="67"/>
      <c r="E21" s="67">
        <v>15000</v>
      </c>
      <c r="F21" s="67" t="s">
        <v>1484</v>
      </c>
    </row>
    <row r="22" spans="1:6">
      <c r="A22" s="73">
        <v>25</v>
      </c>
      <c r="B22" s="9"/>
      <c r="C22" s="74">
        <v>0</v>
      </c>
      <c r="D22" s="67"/>
      <c r="E22" s="67"/>
      <c r="F22" s="67"/>
    </row>
    <row r="23" spans="1:6">
      <c r="A23" s="75">
        <v>26</v>
      </c>
      <c r="B23" s="76" t="s">
        <v>1485</v>
      </c>
      <c r="C23" s="77">
        <v>15000</v>
      </c>
      <c r="D23" s="67"/>
      <c r="E23" s="67">
        <v>20000</v>
      </c>
      <c r="F23" s="67" t="s">
        <v>1486</v>
      </c>
    </row>
    <row r="24" spans="1:6">
      <c r="A24" s="73">
        <v>27</v>
      </c>
      <c r="B24" s="9"/>
      <c r="C24" s="74">
        <v>0</v>
      </c>
      <c r="D24" s="67"/>
      <c r="E24" s="67"/>
      <c r="F24" s="67"/>
    </row>
    <row r="25" spans="1:6">
      <c r="A25" s="75">
        <v>28</v>
      </c>
      <c r="B25" s="78" t="s">
        <v>1487</v>
      </c>
      <c r="C25" s="77">
        <v>15000</v>
      </c>
      <c r="D25" s="67"/>
      <c r="E25" s="67">
        <v>30000</v>
      </c>
      <c r="F25" s="67" t="s">
        <v>1488</v>
      </c>
    </row>
    <row r="26" spans="1:6">
      <c r="A26" s="73">
        <v>29</v>
      </c>
      <c r="B26" s="9"/>
      <c r="C26" s="74">
        <v>0</v>
      </c>
      <c r="D26" s="67"/>
      <c r="E26" s="67"/>
      <c r="F26" s="67"/>
    </row>
    <row r="27" spans="1:6">
      <c r="A27" s="75">
        <v>30</v>
      </c>
      <c r="B27" s="78" t="s">
        <v>1489</v>
      </c>
      <c r="C27" s="77">
        <v>30000</v>
      </c>
      <c r="D27" s="67"/>
      <c r="E27" s="67">
        <v>40000</v>
      </c>
      <c r="F27" s="79" t="s">
        <v>1490</v>
      </c>
    </row>
    <row r="28" spans="1:6">
      <c r="A28" s="73">
        <v>31</v>
      </c>
      <c r="B28" s="9"/>
      <c r="C28" s="74">
        <v>0</v>
      </c>
      <c r="D28" s="67"/>
      <c r="E28" s="67"/>
      <c r="F28" s="67"/>
    </row>
    <row r="29" spans="1:6">
      <c r="A29" s="75">
        <v>32</v>
      </c>
      <c r="B29" s="76" t="s">
        <v>1491</v>
      </c>
      <c r="C29" s="77">
        <v>30000</v>
      </c>
      <c r="D29" s="67"/>
      <c r="E29" s="67">
        <v>50000</v>
      </c>
      <c r="F29" s="67" t="s">
        <v>1492</v>
      </c>
    </row>
    <row r="30" spans="1:6">
      <c r="A30" s="73">
        <v>33</v>
      </c>
      <c r="B30" s="9"/>
      <c r="C30" s="74">
        <v>0</v>
      </c>
      <c r="D30" s="67"/>
      <c r="E30" s="67"/>
      <c r="F30" s="67"/>
    </row>
    <row r="31" spans="1:6">
      <c r="A31" s="75">
        <v>34</v>
      </c>
      <c r="B31" s="76" t="s">
        <v>1493</v>
      </c>
      <c r="C31" s="77">
        <v>30000</v>
      </c>
      <c r="D31" s="67"/>
      <c r="E31" s="67">
        <v>100000</v>
      </c>
      <c r="F31" s="67" t="s">
        <v>1494</v>
      </c>
    </row>
    <row r="32" spans="1:6">
      <c r="A32" s="73">
        <v>35</v>
      </c>
      <c r="B32" s="9"/>
      <c r="C32" s="74">
        <v>0</v>
      </c>
      <c r="D32" s="67"/>
      <c r="E32" s="67"/>
      <c r="F32" s="67"/>
    </row>
    <row r="33" spans="1:6">
      <c r="A33" s="75">
        <v>36</v>
      </c>
      <c r="B33" s="78" t="s">
        <v>1495</v>
      </c>
      <c r="C33" s="77">
        <v>30000</v>
      </c>
      <c r="D33" s="67"/>
      <c r="E33" s="67">
        <v>200000</v>
      </c>
      <c r="F33" s="67" t="s">
        <v>1496</v>
      </c>
    </row>
    <row r="34" spans="1:6">
      <c r="A34" s="73">
        <v>37</v>
      </c>
      <c r="B34" s="9"/>
      <c r="C34" s="74">
        <v>0</v>
      </c>
      <c r="D34" s="67"/>
      <c r="E34" s="67"/>
      <c r="F34" s="67"/>
    </row>
    <row r="35" spans="1:6">
      <c r="A35" s="75">
        <v>38</v>
      </c>
      <c r="B35" s="76" t="s">
        <v>1497</v>
      </c>
      <c r="C35" s="77">
        <v>30000</v>
      </c>
      <c r="D35" s="67"/>
      <c r="E35" s="67">
        <v>300000</v>
      </c>
      <c r="F35" s="67" t="s">
        <v>1498</v>
      </c>
    </row>
    <row r="36" spans="1:6">
      <c r="A36" s="73">
        <v>39</v>
      </c>
      <c r="B36" s="9"/>
      <c r="C36" s="74">
        <v>0</v>
      </c>
      <c r="D36" s="67"/>
      <c r="E36" s="67"/>
      <c r="F36" s="9"/>
    </row>
    <row r="37" spans="1:6">
      <c r="A37" s="75">
        <v>40</v>
      </c>
      <c r="B37" s="78" t="s">
        <v>1499</v>
      </c>
      <c r="C37" s="77">
        <v>50000</v>
      </c>
      <c r="D37" s="67"/>
      <c r="E37" s="67">
        <v>500000</v>
      </c>
      <c r="F37" s="9" t="s">
        <v>1500</v>
      </c>
    </row>
  </sheetData>
  <pageMargins left="0.75" right="0.75" top="1" bottom="1" header="0.511805555555556" footer="0.511805555555556"/>
  <pageSetup paperSize="9" orientation="portrait"/>
  <headerFooter/>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37"/>
  <sheetViews>
    <sheetView workbookViewId="0">
      <selection activeCell="B35" sqref="B35"/>
    </sheetView>
  </sheetViews>
  <sheetFormatPr defaultColWidth="8.69736842105263" defaultRowHeight="15.2" outlineLevelCol="5"/>
  <cols>
    <col min="2" max="2" width="80.5986842105263" customWidth="1"/>
    <col min="3" max="3" width="19.6973684210526" style="68" customWidth="1"/>
    <col min="4" max="4" width="21.5986842105263" customWidth="1"/>
    <col min="6" max="6" width="45.6973684210526" customWidth="1"/>
  </cols>
  <sheetData>
    <row r="1" ht="16" spans="1:6">
      <c r="A1" s="1" t="s">
        <v>1221</v>
      </c>
      <c r="B1" s="1" t="s">
        <v>1424</v>
      </c>
      <c r="C1" s="69" t="s">
        <v>1464</v>
      </c>
      <c r="D1" s="2" t="s">
        <v>1263</v>
      </c>
      <c r="E1" s="2"/>
      <c r="F1" s="2"/>
    </row>
    <row r="2" ht="16" spans="1:6">
      <c r="A2" s="1" t="s">
        <v>39</v>
      </c>
      <c r="B2" s="1" t="s">
        <v>40</v>
      </c>
      <c r="C2" s="69" t="s">
        <v>39</v>
      </c>
      <c r="D2" s="2" t="s">
        <v>40</v>
      </c>
      <c r="E2" s="2"/>
      <c r="F2" s="2"/>
    </row>
    <row r="3" spans="1:6">
      <c r="A3" s="70" t="s">
        <v>538</v>
      </c>
      <c r="B3" s="70" t="s">
        <v>1465</v>
      </c>
      <c r="C3" s="71" t="s">
        <v>1466</v>
      </c>
      <c r="D3" s="72" t="s">
        <v>53</v>
      </c>
      <c r="E3" s="72" t="s">
        <v>1467</v>
      </c>
      <c r="F3" s="72" t="s">
        <v>1468</v>
      </c>
    </row>
    <row r="4" spans="1:6">
      <c r="A4" s="73">
        <v>7</v>
      </c>
      <c r="B4" s="67"/>
      <c r="C4" s="74">
        <v>0</v>
      </c>
      <c r="D4" s="67"/>
      <c r="E4" s="67"/>
      <c r="F4" s="67"/>
    </row>
    <row r="5" spans="1:6">
      <c r="A5" s="75">
        <v>8</v>
      </c>
      <c r="B5" s="76"/>
      <c r="C5" s="77">
        <v>0</v>
      </c>
      <c r="D5" s="67"/>
      <c r="E5" s="67"/>
      <c r="F5" s="67"/>
    </row>
    <row r="6" spans="1:6">
      <c r="A6" s="73">
        <v>9</v>
      </c>
      <c r="B6" s="9"/>
      <c r="C6" s="74">
        <v>0</v>
      </c>
      <c r="D6" s="67"/>
      <c r="E6" s="67"/>
      <c r="F6" s="67"/>
    </row>
    <row r="7" spans="1:6">
      <c r="A7" s="75">
        <v>10</v>
      </c>
      <c r="B7" s="78" t="s">
        <v>1469</v>
      </c>
      <c r="C7" s="77">
        <v>0</v>
      </c>
      <c r="D7" s="67"/>
      <c r="E7" s="67">
        <v>2000</v>
      </c>
      <c r="F7" s="67" t="s">
        <v>1470</v>
      </c>
    </row>
    <row r="8" spans="1:6">
      <c r="A8" s="73">
        <v>1</v>
      </c>
      <c r="B8" s="9"/>
      <c r="C8" s="74">
        <v>0</v>
      </c>
      <c r="D8" s="67"/>
      <c r="E8" s="67"/>
      <c r="F8" s="67"/>
    </row>
    <row r="9" spans="1:6">
      <c r="A9" s="75">
        <v>12</v>
      </c>
      <c r="B9" s="76" t="s">
        <v>1471</v>
      </c>
      <c r="C9" s="77">
        <v>0</v>
      </c>
      <c r="D9" s="67"/>
      <c r="E9" s="67">
        <v>3000</v>
      </c>
      <c r="F9" s="67" t="s">
        <v>1472</v>
      </c>
    </row>
    <row r="10" spans="1:6">
      <c r="A10" s="73">
        <v>13</v>
      </c>
      <c r="B10" s="9"/>
      <c r="C10" s="74">
        <v>0</v>
      </c>
      <c r="D10" s="67"/>
      <c r="E10" s="67"/>
      <c r="F10" s="67"/>
    </row>
    <row r="11" spans="1:6">
      <c r="A11" s="75">
        <v>14</v>
      </c>
      <c r="B11" s="76" t="s">
        <v>1473</v>
      </c>
      <c r="C11" s="77">
        <v>0</v>
      </c>
      <c r="D11" s="67"/>
      <c r="E11" s="67">
        <v>4000</v>
      </c>
      <c r="F11" s="67" t="s">
        <v>1474</v>
      </c>
    </row>
    <row r="12" spans="1:6">
      <c r="A12" s="73">
        <v>15</v>
      </c>
      <c r="B12" s="9"/>
      <c r="C12" s="74">
        <v>0</v>
      </c>
      <c r="D12" s="67"/>
      <c r="E12" s="67"/>
      <c r="F12" s="67"/>
    </row>
    <row r="13" spans="1:6">
      <c r="A13" s="75">
        <v>16</v>
      </c>
      <c r="B13" s="78" t="s">
        <v>1475</v>
      </c>
      <c r="C13" s="77">
        <v>10000</v>
      </c>
      <c r="D13" s="67"/>
      <c r="E13" s="67">
        <v>5000</v>
      </c>
      <c r="F13" s="67" t="s">
        <v>1476</v>
      </c>
    </row>
    <row r="14" spans="1:6">
      <c r="A14" s="73">
        <v>17</v>
      </c>
      <c r="B14" s="9"/>
      <c r="C14" s="74">
        <v>0</v>
      </c>
      <c r="D14" s="67"/>
      <c r="E14" s="67"/>
      <c r="F14" s="67"/>
    </row>
    <row r="15" spans="1:6">
      <c r="A15" s="75">
        <v>18</v>
      </c>
      <c r="B15" s="76" t="s">
        <v>1501</v>
      </c>
      <c r="C15" s="77">
        <v>10000</v>
      </c>
      <c r="D15" s="67"/>
      <c r="E15" s="67">
        <v>6000</v>
      </c>
      <c r="F15" s="79" t="s">
        <v>1502</v>
      </c>
    </row>
    <row r="16" spans="1:6">
      <c r="A16" s="73">
        <v>19</v>
      </c>
      <c r="B16" s="9"/>
      <c r="C16" s="74">
        <v>0</v>
      </c>
      <c r="D16" s="67"/>
      <c r="E16" s="67"/>
      <c r="F16" s="67"/>
    </row>
    <row r="17" spans="1:6">
      <c r="A17" s="75">
        <v>20</v>
      </c>
      <c r="B17" s="78" t="s">
        <v>1479</v>
      </c>
      <c r="C17" s="77">
        <v>15000</v>
      </c>
      <c r="D17" s="67"/>
      <c r="E17" s="67">
        <v>8000</v>
      </c>
      <c r="F17" s="67" t="s">
        <v>1480</v>
      </c>
    </row>
    <row r="18" spans="1:6">
      <c r="A18" s="73">
        <v>21</v>
      </c>
      <c r="B18" s="9"/>
      <c r="C18" s="74">
        <v>0</v>
      </c>
      <c r="D18" s="67"/>
      <c r="E18" s="67"/>
      <c r="F18" s="67"/>
    </row>
    <row r="19" spans="1:6">
      <c r="A19" s="75">
        <v>22</v>
      </c>
      <c r="B19" s="78" t="s">
        <v>1503</v>
      </c>
      <c r="C19" s="77">
        <v>15000</v>
      </c>
      <c r="D19" s="67"/>
      <c r="E19" s="67">
        <v>10000</v>
      </c>
      <c r="F19" s="79" t="s">
        <v>1504</v>
      </c>
    </row>
    <row r="20" spans="1:6">
      <c r="A20" s="73">
        <v>23</v>
      </c>
      <c r="B20" s="9"/>
      <c r="C20" s="74">
        <v>0</v>
      </c>
      <c r="D20" s="67"/>
      <c r="E20" s="67"/>
      <c r="F20" s="67"/>
    </row>
    <row r="21" spans="1:6">
      <c r="A21" s="75">
        <v>24</v>
      </c>
      <c r="B21" s="78" t="s">
        <v>1483</v>
      </c>
      <c r="C21" s="77">
        <v>15000</v>
      </c>
      <c r="D21" s="67"/>
      <c r="E21" s="67">
        <v>15000</v>
      </c>
      <c r="F21" s="67" t="s">
        <v>1484</v>
      </c>
    </row>
    <row r="22" spans="1:6">
      <c r="A22" s="73">
        <v>25</v>
      </c>
      <c r="B22" s="9"/>
      <c r="C22" s="74">
        <v>0</v>
      </c>
      <c r="D22" s="67"/>
      <c r="E22" s="67"/>
      <c r="F22" s="67"/>
    </row>
    <row r="23" spans="1:6">
      <c r="A23" s="75">
        <v>26</v>
      </c>
      <c r="B23" s="76" t="s">
        <v>1485</v>
      </c>
      <c r="C23" s="77">
        <v>15000</v>
      </c>
      <c r="D23" s="67"/>
      <c r="E23" s="67">
        <v>20000</v>
      </c>
      <c r="F23" s="67" t="s">
        <v>1486</v>
      </c>
    </row>
    <row r="24" spans="1:6">
      <c r="A24" s="73">
        <v>27</v>
      </c>
      <c r="B24" s="9"/>
      <c r="C24" s="74">
        <v>0</v>
      </c>
      <c r="D24" s="67"/>
      <c r="E24" s="67"/>
      <c r="F24" s="67"/>
    </row>
    <row r="25" spans="1:6">
      <c r="A25" s="75">
        <v>28</v>
      </c>
      <c r="B25" s="78" t="s">
        <v>1487</v>
      </c>
      <c r="C25" s="77">
        <v>15000</v>
      </c>
      <c r="D25" s="67"/>
      <c r="E25" s="67">
        <v>30000</v>
      </c>
      <c r="F25" s="67" t="s">
        <v>1488</v>
      </c>
    </row>
    <row r="26" spans="1:6">
      <c r="A26" s="73">
        <v>29</v>
      </c>
      <c r="B26" s="9"/>
      <c r="C26" s="74">
        <v>0</v>
      </c>
      <c r="D26" s="67"/>
      <c r="E26" s="67"/>
      <c r="F26" s="67"/>
    </row>
    <row r="27" spans="1:6">
      <c r="A27" s="75">
        <v>30</v>
      </c>
      <c r="B27" s="78" t="s">
        <v>1505</v>
      </c>
      <c r="C27" s="77">
        <v>30000</v>
      </c>
      <c r="D27" s="67"/>
      <c r="E27" s="67">
        <v>40000</v>
      </c>
      <c r="F27" s="79" t="s">
        <v>1506</v>
      </c>
    </row>
    <row r="28" spans="1:6">
      <c r="A28" s="73">
        <v>31</v>
      </c>
      <c r="B28" s="9"/>
      <c r="C28" s="74">
        <v>0</v>
      </c>
      <c r="D28" s="67"/>
      <c r="E28" s="67"/>
      <c r="F28" s="67"/>
    </row>
    <row r="29" spans="1:6">
      <c r="A29" s="75">
        <v>32</v>
      </c>
      <c r="B29" s="76" t="s">
        <v>1491</v>
      </c>
      <c r="C29" s="77">
        <v>30000</v>
      </c>
      <c r="D29" s="67"/>
      <c r="E29" s="67">
        <v>50000</v>
      </c>
      <c r="F29" s="67" t="s">
        <v>1492</v>
      </c>
    </row>
    <row r="30" spans="1:6">
      <c r="A30" s="73">
        <v>33</v>
      </c>
      <c r="B30" s="9"/>
      <c r="C30" s="74">
        <v>0</v>
      </c>
      <c r="D30" s="67"/>
      <c r="E30" s="67"/>
      <c r="F30" s="67"/>
    </row>
    <row r="31" spans="1:6">
      <c r="A31" s="75">
        <v>34</v>
      </c>
      <c r="B31" s="76" t="s">
        <v>1493</v>
      </c>
      <c r="C31" s="77">
        <v>30000</v>
      </c>
      <c r="D31" s="67"/>
      <c r="E31" s="67">
        <v>100000</v>
      </c>
      <c r="F31" s="67" t="s">
        <v>1494</v>
      </c>
    </row>
    <row r="32" spans="1:6">
      <c r="A32" s="73">
        <v>35</v>
      </c>
      <c r="B32" s="9"/>
      <c r="C32" s="74">
        <v>0</v>
      </c>
      <c r="D32" s="67"/>
      <c r="E32" s="67"/>
      <c r="F32" s="67"/>
    </row>
    <row r="33" spans="1:6">
      <c r="A33" s="75">
        <v>36</v>
      </c>
      <c r="B33" s="78" t="s">
        <v>1495</v>
      </c>
      <c r="C33" s="77">
        <v>30000</v>
      </c>
      <c r="D33" s="67"/>
      <c r="E33" s="67">
        <v>200000</v>
      </c>
      <c r="F33" s="67" t="s">
        <v>1496</v>
      </c>
    </row>
    <row r="34" spans="1:6">
      <c r="A34" s="73">
        <v>37</v>
      </c>
      <c r="B34" s="9"/>
      <c r="C34" s="74">
        <v>0</v>
      </c>
      <c r="D34" s="67"/>
      <c r="E34" s="67"/>
      <c r="F34" s="67"/>
    </row>
    <row r="35" spans="1:6">
      <c r="A35" s="75">
        <v>38</v>
      </c>
      <c r="B35" s="76" t="s">
        <v>1497</v>
      </c>
      <c r="C35" s="77">
        <v>30000</v>
      </c>
      <c r="D35" s="67"/>
      <c r="E35" s="67">
        <v>300000</v>
      </c>
      <c r="F35" s="67" t="s">
        <v>1498</v>
      </c>
    </row>
    <row r="36" spans="1:6">
      <c r="A36" s="73">
        <v>39</v>
      </c>
      <c r="B36" s="9"/>
      <c r="C36" s="74">
        <v>0</v>
      </c>
      <c r="D36" s="67"/>
      <c r="E36" s="67"/>
      <c r="F36" s="9"/>
    </row>
    <row r="37" spans="1:6">
      <c r="A37" s="75">
        <v>40</v>
      </c>
      <c r="B37" s="78" t="s">
        <v>1499</v>
      </c>
      <c r="C37" s="77">
        <v>50000</v>
      </c>
      <c r="D37" s="67"/>
      <c r="E37" s="67">
        <v>500000</v>
      </c>
      <c r="F37" s="9" t="s">
        <v>1500</v>
      </c>
    </row>
  </sheetData>
  <pageMargins left="0.699305555555556" right="0.699305555555556" top="0.75" bottom="0.75" header="0.3" footer="0.3"/>
  <headerFooter/>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22"/>
  <sheetViews>
    <sheetView workbookViewId="0">
      <selection activeCell="F25" sqref="F25"/>
    </sheetView>
  </sheetViews>
  <sheetFormatPr defaultColWidth="8.69736842105263" defaultRowHeight="15.2" outlineLevelCol="6"/>
  <cols>
    <col min="2" max="2" width="41.0986842105263" customWidth="1"/>
    <col min="3" max="3" width="39.0986842105263" customWidth="1"/>
    <col min="7" max="7" width="53.5986842105263" customWidth="1"/>
  </cols>
  <sheetData>
    <row r="1" ht="16" spans="1:7">
      <c r="A1" s="1" t="s">
        <v>1401</v>
      </c>
      <c r="B1" s="1" t="s">
        <v>1507</v>
      </c>
      <c r="C1" s="1" t="s">
        <v>1508</v>
      </c>
      <c r="E1" s="1" t="s">
        <v>1509</v>
      </c>
      <c r="F1" s="1" t="s">
        <v>28</v>
      </c>
      <c r="G1" s="1" t="s">
        <v>1510</v>
      </c>
    </row>
    <row r="2" ht="16" spans="1:7">
      <c r="A2" s="1" t="s">
        <v>39</v>
      </c>
      <c r="B2" s="1" t="s">
        <v>40</v>
      </c>
      <c r="C2" s="1" t="s">
        <v>40</v>
      </c>
      <c r="E2" s="1" t="s">
        <v>40</v>
      </c>
      <c r="F2" s="1" t="s">
        <v>39</v>
      </c>
      <c r="G2" s="1" t="s">
        <v>40</v>
      </c>
    </row>
    <row r="3" spans="1:7">
      <c r="A3" s="67" t="s">
        <v>1511</v>
      </c>
      <c r="B3" s="67" t="s">
        <v>1512</v>
      </c>
      <c r="C3" s="67" t="s">
        <v>1513</v>
      </c>
      <c r="E3" s="3" t="s">
        <v>1514</v>
      </c>
      <c r="F3" s="3" t="s">
        <v>1515</v>
      </c>
      <c r="G3" s="3" t="s">
        <v>1516</v>
      </c>
    </row>
    <row r="4" ht="16" spans="1:7">
      <c r="A4" s="67">
        <v>0</v>
      </c>
      <c r="B4" s="67" t="s">
        <v>1517</v>
      </c>
      <c r="C4" s="67" t="s">
        <v>1518</v>
      </c>
      <c r="E4" s="1" t="s">
        <v>1519</v>
      </c>
      <c r="F4" s="1">
        <v>2</v>
      </c>
      <c r="G4" s="3" t="s">
        <v>1520</v>
      </c>
    </row>
    <row r="5" ht="16" spans="1:7">
      <c r="A5" s="67">
        <v>1</v>
      </c>
      <c r="B5" s="67" t="s">
        <v>1517</v>
      </c>
      <c r="C5" s="67" t="s">
        <v>1518</v>
      </c>
      <c r="E5" s="1" t="s">
        <v>1521</v>
      </c>
      <c r="F5" s="1">
        <v>1</v>
      </c>
      <c r="G5" s="3" t="s">
        <v>1520</v>
      </c>
    </row>
    <row r="6" ht="16" spans="1:7">
      <c r="A6" s="67">
        <v>2</v>
      </c>
      <c r="B6" s="67" t="s">
        <v>1517</v>
      </c>
      <c r="C6" s="67" t="s">
        <v>1518</v>
      </c>
      <c r="E6" s="1" t="s">
        <v>1522</v>
      </c>
      <c r="F6" s="1">
        <v>1</v>
      </c>
      <c r="G6" s="3" t="s">
        <v>1520</v>
      </c>
    </row>
    <row r="7" ht="16" spans="1:7">
      <c r="A7" s="67">
        <v>3</v>
      </c>
      <c r="B7" s="67" t="s">
        <v>1517</v>
      </c>
      <c r="C7" s="67" t="s">
        <v>1518</v>
      </c>
      <c r="E7" s="1" t="s">
        <v>1523</v>
      </c>
      <c r="F7" s="1">
        <v>1</v>
      </c>
      <c r="G7" s="3" t="s">
        <v>1520</v>
      </c>
    </row>
    <row r="8" ht="16" spans="1:7">
      <c r="A8" s="67">
        <v>4</v>
      </c>
      <c r="B8" s="67" t="s">
        <v>1524</v>
      </c>
      <c r="C8" s="67" t="s">
        <v>1525</v>
      </c>
      <c r="E8" s="1" t="s">
        <v>1526</v>
      </c>
      <c r="F8" s="1">
        <v>1</v>
      </c>
      <c r="G8" s="3" t="s">
        <v>1520</v>
      </c>
    </row>
    <row r="9" ht="16" spans="1:7">
      <c r="A9" s="67">
        <v>5</v>
      </c>
      <c r="B9" s="67" t="s">
        <v>1524</v>
      </c>
      <c r="C9" s="67" t="s">
        <v>1525</v>
      </c>
      <c r="E9" s="1" t="s">
        <v>1527</v>
      </c>
      <c r="F9" s="1">
        <v>1</v>
      </c>
      <c r="G9" s="3" t="s">
        <v>1520</v>
      </c>
    </row>
    <row r="10" ht="16" spans="1:7">
      <c r="A10" s="67">
        <v>6</v>
      </c>
      <c r="B10" s="67" t="s">
        <v>1524</v>
      </c>
      <c r="C10" s="67" t="s">
        <v>1525</v>
      </c>
      <c r="E10" s="1" t="s">
        <v>1528</v>
      </c>
      <c r="F10" s="1">
        <v>1</v>
      </c>
      <c r="G10" s="3" t="s">
        <v>1520</v>
      </c>
    </row>
    <row r="11" ht="16" spans="1:7">
      <c r="A11" s="67">
        <v>7</v>
      </c>
      <c r="B11" s="67" t="s">
        <v>1524</v>
      </c>
      <c r="C11" s="67" t="s">
        <v>1525</v>
      </c>
      <c r="E11" s="1" t="s">
        <v>1529</v>
      </c>
      <c r="F11" s="1">
        <v>1</v>
      </c>
      <c r="G11" s="3" t="s">
        <v>1520</v>
      </c>
    </row>
    <row r="12" ht="16" spans="1:7">
      <c r="A12" s="67">
        <v>8</v>
      </c>
      <c r="B12" s="67" t="s">
        <v>1530</v>
      </c>
      <c r="C12" s="67" t="s">
        <v>1531</v>
      </c>
      <c r="E12" s="1" t="s">
        <v>1532</v>
      </c>
      <c r="F12" s="1">
        <v>1</v>
      </c>
      <c r="G12" s="3" t="s">
        <v>1520</v>
      </c>
    </row>
    <row r="13" ht="16" spans="1:7">
      <c r="A13" s="67">
        <v>9</v>
      </c>
      <c r="B13" s="67" t="s">
        <v>1530</v>
      </c>
      <c r="C13" s="67" t="s">
        <v>1531</v>
      </c>
      <c r="E13" s="1" t="s">
        <v>1533</v>
      </c>
      <c r="F13" s="1">
        <v>1</v>
      </c>
      <c r="G13" s="3" t="s">
        <v>1520</v>
      </c>
    </row>
    <row r="14" ht="16" spans="1:7">
      <c r="A14" s="67">
        <v>10</v>
      </c>
      <c r="B14" s="67" t="s">
        <v>1530</v>
      </c>
      <c r="C14" s="67" t="s">
        <v>1531</v>
      </c>
      <c r="E14" s="1" t="s">
        <v>1534</v>
      </c>
      <c r="F14" s="1">
        <v>1</v>
      </c>
      <c r="G14" s="3" t="s">
        <v>1520</v>
      </c>
    </row>
    <row r="15" ht="16" spans="1:7">
      <c r="A15" s="67">
        <v>11</v>
      </c>
      <c r="B15" s="67" t="s">
        <v>1530</v>
      </c>
      <c r="C15" s="67" t="s">
        <v>1531</v>
      </c>
      <c r="E15" s="1" t="s">
        <v>1535</v>
      </c>
      <c r="F15" s="1">
        <v>1</v>
      </c>
      <c r="G15" s="3" t="s">
        <v>1520</v>
      </c>
    </row>
    <row r="16" ht="16" spans="1:7">
      <c r="A16" s="67">
        <v>12</v>
      </c>
      <c r="B16" s="67" t="s">
        <v>1536</v>
      </c>
      <c r="C16" s="67" t="s">
        <v>1537</v>
      </c>
      <c r="E16" s="1" t="s">
        <v>1538</v>
      </c>
      <c r="F16" s="1">
        <v>1</v>
      </c>
      <c r="G16" s="3" t="s">
        <v>1520</v>
      </c>
    </row>
    <row r="17" ht="16" spans="5:7">
      <c r="E17" s="1" t="s">
        <v>1539</v>
      </c>
      <c r="F17" s="1">
        <v>1</v>
      </c>
      <c r="G17" s="3" t="s">
        <v>1520</v>
      </c>
    </row>
    <row r="18" ht="16" spans="5:7">
      <c r="E18" s="1" t="s">
        <v>1540</v>
      </c>
      <c r="F18" s="1">
        <v>2</v>
      </c>
      <c r="G18" s="3" t="s">
        <v>1520</v>
      </c>
    </row>
    <row r="19" ht="16" spans="5:7">
      <c r="E19" s="1" t="s">
        <v>1541</v>
      </c>
      <c r="F19" s="1">
        <v>1</v>
      </c>
      <c r="G19" s="3" t="s">
        <v>1520</v>
      </c>
    </row>
    <row r="20" ht="16" spans="5:7">
      <c r="E20" s="1" t="s">
        <v>1542</v>
      </c>
      <c r="F20" s="1">
        <v>1</v>
      </c>
      <c r="G20" s="3" t="s">
        <v>1520</v>
      </c>
    </row>
    <row r="21" ht="16" spans="5:7">
      <c r="E21" s="1" t="s">
        <v>1543</v>
      </c>
      <c r="F21" s="1">
        <v>1</v>
      </c>
      <c r="G21" s="3" t="s">
        <v>1520</v>
      </c>
    </row>
    <row r="22" ht="16" spans="5:7">
      <c r="E22" s="1" t="s">
        <v>1544</v>
      </c>
      <c r="F22" s="1">
        <v>1</v>
      </c>
      <c r="G22" s="3" t="s">
        <v>1520</v>
      </c>
    </row>
  </sheetData>
  <pageMargins left="0.75" right="0.75" top="1" bottom="1" header="0.511805555555556" footer="0.511805555555556"/>
  <pageSetup paperSize="9" orientation="portrait"/>
  <headerFooter/>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G20"/>
  <sheetViews>
    <sheetView topLeftCell="J1" workbookViewId="0">
      <selection activeCell="S7" sqref="S7"/>
    </sheetView>
  </sheetViews>
  <sheetFormatPr defaultColWidth="8.90131578947368" defaultRowHeight="15.2"/>
  <cols>
    <col min="1" max="1" width="13.5986842105263" customWidth="1"/>
    <col min="6" max="6" width="16" customWidth="1"/>
    <col min="9" max="9" width="17" customWidth="1"/>
    <col min="12" max="12" width="17" customWidth="1"/>
    <col min="14" max="14" width="8.09868421052632" customWidth="1"/>
    <col min="19" max="19" width="14.5" customWidth="1"/>
    <col min="21" max="21" width="21" customWidth="1"/>
    <col min="24" max="24" width="21" customWidth="1"/>
    <col min="27" max="27" width="22.9013157894737" customWidth="1"/>
    <col min="30" max="30" width="23.9013157894737" customWidth="1"/>
    <col min="33" max="33" width="23.9013157894737" customWidth="1"/>
    <col min="36" max="36" width="23.9013157894737" customWidth="1"/>
    <col min="39" max="39" width="23.9013157894737" customWidth="1"/>
    <col min="42" max="42" width="23.9013157894737" customWidth="1"/>
    <col min="45" max="45" width="23.9013157894737" customWidth="1"/>
    <col min="48" max="48" width="23.9013157894737" customWidth="1"/>
    <col min="54" max="54" width="145.598684210526" customWidth="1"/>
  </cols>
  <sheetData>
    <row r="1" ht="16" spans="1:59">
      <c r="A1" s="1" t="s">
        <v>1545</v>
      </c>
      <c r="C1" s="5" t="s">
        <v>25</v>
      </c>
      <c r="D1" s="5" t="s">
        <v>1360</v>
      </c>
      <c r="E1" s="5" t="s">
        <v>1546</v>
      </c>
      <c r="F1" s="5" t="s">
        <v>1547</v>
      </c>
      <c r="G1" s="5" t="s">
        <v>1360</v>
      </c>
      <c r="H1" s="5" t="s">
        <v>1546</v>
      </c>
      <c r="I1" s="5" t="s">
        <v>1547</v>
      </c>
      <c r="J1" s="5" t="s">
        <v>1360</v>
      </c>
      <c r="K1" s="5" t="s">
        <v>1546</v>
      </c>
      <c r="L1" s="5" t="s">
        <v>1547</v>
      </c>
      <c r="M1" s="5" t="s">
        <v>1360</v>
      </c>
      <c r="N1" s="5" t="s">
        <v>1546</v>
      </c>
      <c r="O1" s="5" t="s">
        <v>1547</v>
      </c>
      <c r="Q1" s="5" t="s">
        <v>1360</v>
      </c>
      <c r="R1" s="5" t="s">
        <v>1548</v>
      </c>
      <c r="S1" s="5" t="s">
        <v>1549</v>
      </c>
      <c r="T1" s="5" t="s">
        <v>1550</v>
      </c>
      <c r="U1" s="5" t="s">
        <v>1424</v>
      </c>
      <c r="V1" s="5" t="s">
        <v>545</v>
      </c>
      <c r="W1" s="5" t="s">
        <v>1551</v>
      </c>
      <c r="X1" s="5" t="s">
        <v>1424</v>
      </c>
      <c r="Y1" s="5" t="s">
        <v>545</v>
      </c>
      <c r="Z1" s="5" t="s">
        <v>1551</v>
      </c>
      <c r="AA1" s="5" t="s">
        <v>1424</v>
      </c>
      <c r="AB1" s="5" t="s">
        <v>545</v>
      </c>
      <c r="AC1" s="5" t="s">
        <v>1551</v>
      </c>
      <c r="AD1" s="5" t="s">
        <v>1424</v>
      </c>
      <c r="AE1" s="5" t="s">
        <v>545</v>
      </c>
      <c r="AF1" s="5" t="s">
        <v>1551</v>
      </c>
      <c r="AG1" s="5" t="s">
        <v>1424</v>
      </c>
      <c r="AH1" s="5" t="s">
        <v>545</v>
      </c>
      <c r="AI1" s="5" t="s">
        <v>1551</v>
      </c>
      <c r="AJ1" s="5" t="s">
        <v>1424</v>
      </c>
      <c r="AK1" s="5" t="s">
        <v>545</v>
      </c>
      <c r="AL1" s="5" t="s">
        <v>1551</v>
      </c>
      <c r="AM1" s="5" t="s">
        <v>1424</v>
      </c>
      <c r="AN1" s="5" t="s">
        <v>545</v>
      </c>
      <c r="AO1" s="5" t="s">
        <v>1551</v>
      </c>
      <c r="AP1" s="5" t="s">
        <v>1424</v>
      </c>
      <c r="AQ1" s="5" t="s">
        <v>545</v>
      </c>
      <c r="AR1" s="5" t="s">
        <v>1551</v>
      </c>
      <c r="AS1" s="5" t="s">
        <v>1424</v>
      </c>
      <c r="AT1" s="5" t="s">
        <v>545</v>
      </c>
      <c r="AU1" s="5" t="s">
        <v>1551</v>
      </c>
      <c r="AV1" s="5" t="s">
        <v>1424</v>
      </c>
      <c r="AW1" s="5" t="s">
        <v>545</v>
      </c>
      <c r="AX1" s="5" t="s">
        <v>1551</v>
      </c>
      <c r="AZ1" s="5" t="s">
        <v>1552</v>
      </c>
      <c r="BA1" s="5" t="s">
        <v>1360</v>
      </c>
      <c r="BB1" s="5" t="s">
        <v>1553</v>
      </c>
      <c r="BC1" s="5" t="s">
        <v>1360</v>
      </c>
      <c r="BD1" s="5" t="s">
        <v>1553</v>
      </c>
      <c r="BE1" s="27"/>
      <c r="BF1" s="27"/>
      <c r="BG1" s="27"/>
    </row>
    <row r="2" ht="16" spans="1:59">
      <c r="A2" s="1" t="s">
        <v>39</v>
      </c>
      <c r="C2" s="5" t="s">
        <v>39</v>
      </c>
      <c r="D2" s="5" t="s">
        <v>39</v>
      </c>
      <c r="E2" s="5" t="s">
        <v>39</v>
      </c>
      <c r="F2" s="5" t="s">
        <v>40</v>
      </c>
      <c r="G2" s="5" t="s">
        <v>39</v>
      </c>
      <c r="H2" s="5" t="s">
        <v>39</v>
      </c>
      <c r="I2" s="5" t="s">
        <v>40</v>
      </c>
      <c r="J2" s="5" t="s">
        <v>39</v>
      </c>
      <c r="K2" s="5" t="s">
        <v>39</v>
      </c>
      <c r="L2" s="5" t="s">
        <v>40</v>
      </c>
      <c r="M2" s="5" t="s">
        <v>39</v>
      </c>
      <c r="N2" s="5" t="s">
        <v>39</v>
      </c>
      <c r="O2" s="5" t="s">
        <v>40</v>
      </c>
      <c r="Q2" s="5" t="s">
        <v>39</v>
      </c>
      <c r="R2" s="5" t="s">
        <v>39</v>
      </c>
      <c r="S2" s="5" t="s">
        <v>39</v>
      </c>
      <c r="T2" s="5" t="s">
        <v>40</v>
      </c>
      <c r="U2" s="5" t="s">
        <v>40</v>
      </c>
      <c r="V2" s="5" t="s">
        <v>39</v>
      </c>
      <c r="W2" s="5" t="s">
        <v>39</v>
      </c>
      <c r="X2" s="5" t="s">
        <v>40</v>
      </c>
      <c r="Y2" s="5" t="s">
        <v>39</v>
      </c>
      <c r="Z2" s="5" t="s">
        <v>39</v>
      </c>
      <c r="AA2" s="5" t="s">
        <v>40</v>
      </c>
      <c r="AB2" s="5" t="s">
        <v>39</v>
      </c>
      <c r="AC2" s="5" t="s">
        <v>39</v>
      </c>
      <c r="AD2" s="5" t="s">
        <v>40</v>
      </c>
      <c r="AE2" s="5" t="s">
        <v>39</v>
      </c>
      <c r="AF2" s="5" t="s">
        <v>39</v>
      </c>
      <c r="AG2" s="5" t="s">
        <v>40</v>
      </c>
      <c r="AH2" s="5" t="s">
        <v>39</v>
      </c>
      <c r="AI2" s="5" t="s">
        <v>39</v>
      </c>
      <c r="AJ2" s="5" t="s">
        <v>40</v>
      </c>
      <c r="AK2" s="5" t="s">
        <v>39</v>
      </c>
      <c r="AL2" s="5" t="s">
        <v>39</v>
      </c>
      <c r="AM2" s="5" t="s">
        <v>40</v>
      </c>
      <c r="AN2" s="5" t="s">
        <v>39</v>
      </c>
      <c r="AO2" s="5" t="s">
        <v>39</v>
      </c>
      <c r="AP2" s="5" t="s">
        <v>40</v>
      </c>
      <c r="AQ2" s="5" t="s">
        <v>39</v>
      </c>
      <c r="AR2" s="5" t="s">
        <v>39</v>
      </c>
      <c r="AS2" s="5" t="s">
        <v>40</v>
      </c>
      <c r="AT2" s="5" t="s">
        <v>39</v>
      </c>
      <c r="AU2" s="5" t="s">
        <v>39</v>
      </c>
      <c r="AV2" s="5" t="s">
        <v>40</v>
      </c>
      <c r="AW2" s="5" t="s">
        <v>39</v>
      </c>
      <c r="AX2" s="5" t="s">
        <v>39</v>
      </c>
      <c r="AZ2" s="5" t="s">
        <v>39</v>
      </c>
      <c r="BA2" s="5" t="s">
        <v>39</v>
      </c>
      <c r="BB2" s="5" t="s">
        <v>40</v>
      </c>
      <c r="BC2" s="5" t="s">
        <v>39</v>
      </c>
      <c r="BD2" s="5" t="s">
        <v>40</v>
      </c>
      <c r="BE2" s="27"/>
      <c r="BF2" s="27"/>
      <c r="BG2" s="27"/>
    </row>
    <row r="3" spans="1:59">
      <c r="A3" s="3" t="s">
        <v>1554</v>
      </c>
      <c r="C3" s="5" t="s">
        <v>1555</v>
      </c>
      <c r="D3" s="5" t="s">
        <v>811</v>
      </c>
      <c r="E3" s="5" t="s">
        <v>1556</v>
      </c>
      <c r="F3" s="5" t="s">
        <v>1557</v>
      </c>
      <c r="G3" s="5" t="s">
        <v>811</v>
      </c>
      <c r="H3" s="5" t="s">
        <v>1556</v>
      </c>
      <c r="I3" s="5" t="s">
        <v>1557</v>
      </c>
      <c r="J3" s="5" t="s">
        <v>811</v>
      </c>
      <c r="K3" s="5" t="s">
        <v>1556</v>
      </c>
      <c r="L3" s="5" t="s">
        <v>1557</v>
      </c>
      <c r="M3" s="5" t="s">
        <v>811</v>
      </c>
      <c r="N3" s="5" t="s">
        <v>1556</v>
      </c>
      <c r="O3" s="5" t="s">
        <v>1557</v>
      </c>
      <c r="Q3" s="5" t="s">
        <v>811</v>
      </c>
      <c r="R3" s="5" t="s">
        <v>1558</v>
      </c>
      <c r="S3" s="5" t="s">
        <v>1559</v>
      </c>
      <c r="T3" s="5" t="s">
        <v>1560</v>
      </c>
      <c r="U3" s="5" t="s">
        <v>1465</v>
      </c>
      <c r="V3" s="5" t="s">
        <v>535</v>
      </c>
      <c r="W3" s="5" t="s">
        <v>1561</v>
      </c>
      <c r="X3" s="5" t="s">
        <v>1465</v>
      </c>
      <c r="Y3" s="5" t="s">
        <v>535</v>
      </c>
      <c r="Z3" s="5" t="s">
        <v>1561</v>
      </c>
      <c r="AA3" s="5" t="s">
        <v>1465</v>
      </c>
      <c r="AB3" s="5" t="s">
        <v>535</v>
      </c>
      <c r="AC3" s="5" t="s">
        <v>1561</v>
      </c>
      <c r="AD3" s="5" t="s">
        <v>1465</v>
      </c>
      <c r="AE3" s="5" t="s">
        <v>535</v>
      </c>
      <c r="AF3" s="5" t="s">
        <v>1561</v>
      </c>
      <c r="AG3" s="5" t="s">
        <v>1465</v>
      </c>
      <c r="AH3" s="5" t="s">
        <v>535</v>
      </c>
      <c r="AI3" s="5" t="s">
        <v>1561</v>
      </c>
      <c r="AJ3" s="5" t="s">
        <v>1465</v>
      </c>
      <c r="AK3" s="5" t="s">
        <v>535</v>
      </c>
      <c r="AL3" s="5" t="s">
        <v>1561</v>
      </c>
      <c r="AM3" s="5" t="s">
        <v>1465</v>
      </c>
      <c r="AN3" s="5" t="s">
        <v>535</v>
      </c>
      <c r="AO3" s="5" t="s">
        <v>1561</v>
      </c>
      <c r="AP3" s="5" t="s">
        <v>1465</v>
      </c>
      <c r="AQ3" s="5" t="s">
        <v>535</v>
      </c>
      <c r="AR3" s="5" t="s">
        <v>1561</v>
      </c>
      <c r="AS3" s="5" t="s">
        <v>1465</v>
      </c>
      <c r="AT3" s="5" t="s">
        <v>535</v>
      </c>
      <c r="AU3" s="5" t="s">
        <v>1561</v>
      </c>
      <c r="AV3" s="5" t="s">
        <v>1465</v>
      </c>
      <c r="AW3" s="5" t="s">
        <v>535</v>
      </c>
      <c r="AX3" s="5" t="s">
        <v>1561</v>
      </c>
      <c r="AZ3" s="5" t="s">
        <v>755</v>
      </c>
      <c r="BA3" s="5" t="s">
        <v>811</v>
      </c>
      <c r="BB3" s="5" t="s">
        <v>561</v>
      </c>
      <c r="BC3" s="5" t="s">
        <v>811</v>
      </c>
      <c r="BD3" s="5" t="s">
        <v>561</v>
      </c>
      <c r="BE3" s="27"/>
      <c r="BF3" s="27"/>
      <c r="BG3" s="27"/>
    </row>
    <row r="4" spans="1:59">
      <c r="A4" s="1">
        <v>9</v>
      </c>
      <c r="C4" s="5">
        <v>1</v>
      </c>
      <c r="D4" s="5">
        <v>44002</v>
      </c>
      <c r="E4" s="5">
        <v>12000</v>
      </c>
      <c r="F4" s="5" t="s">
        <v>1562</v>
      </c>
      <c r="G4" s="5">
        <v>44003</v>
      </c>
      <c r="H4" s="5">
        <v>90000</v>
      </c>
      <c r="I4" s="5" t="s">
        <v>1563</v>
      </c>
      <c r="J4" s="5">
        <v>44004</v>
      </c>
      <c r="K4" s="5">
        <v>480000</v>
      </c>
      <c r="L4" s="5" t="s">
        <v>1564</v>
      </c>
      <c r="M4" s="5">
        <v>44005</v>
      </c>
      <c r="N4" s="5">
        <v>1800000</v>
      </c>
      <c r="O4" s="5" t="s">
        <v>1565</v>
      </c>
      <c r="Q4" s="5">
        <v>44002</v>
      </c>
      <c r="R4" s="5">
        <v>444031000</v>
      </c>
      <c r="S4" s="5">
        <v>500</v>
      </c>
      <c r="T4" s="5" t="s">
        <v>522</v>
      </c>
      <c r="U4" s="5" t="s">
        <v>1566</v>
      </c>
      <c r="V4" s="5">
        <v>1</v>
      </c>
      <c r="W4" s="5">
        <v>1</v>
      </c>
      <c r="X4" s="5" t="s">
        <v>1567</v>
      </c>
      <c r="Y4" s="5">
        <v>30000</v>
      </c>
      <c r="Z4" s="5">
        <v>0</v>
      </c>
      <c r="AA4" s="5" t="s">
        <v>1568</v>
      </c>
      <c r="AB4" s="5">
        <v>6000</v>
      </c>
      <c r="AC4" s="5">
        <v>0</v>
      </c>
      <c r="AD4" s="5" t="s">
        <v>1569</v>
      </c>
      <c r="AE4" s="5">
        <v>12000</v>
      </c>
      <c r="AF4" s="5">
        <v>0</v>
      </c>
      <c r="AG4" s="5" t="s">
        <v>1570</v>
      </c>
      <c r="AH4" s="5">
        <v>50000</v>
      </c>
      <c r="AI4" s="5">
        <v>0</v>
      </c>
      <c r="AJ4" s="5" t="s">
        <v>1571</v>
      </c>
      <c r="AK4" s="5">
        <v>2000</v>
      </c>
      <c r="AL4" s="5">
        <v>0</v>
      </c>
      <c r="AM4" s="5" t="s">
        <v>1572</v>
      </c>
      <c r="AN4" s="5">
        <v>20000</v>
      </c>
      <c r="AO4" s="5">
        <v>0</v>
      </c>
      <c r="AP4" s="5" t="s">
        <v>1573</v>
      </c>
      <c r="AQ4" s="5">
        <v>10000</v>
      </c>
      <c r="AR4" s="5">
        <v>0</v>
      </c>
      <c r="AS4" s="5" t="s">
        <v>1574</v>
      </c>
      <c r="AT4" s="5">
        <v>15000</v>
      </c>
      <c r="AU4" s="5">
        <v>0</v>
      </c>
      <c r="AV4" s="5" t="s">
        <v>1575</v>
      </c>
      <c r="AW4" s="5">
        <v>145000</v>
      </c>
      <c r="AX4" s="5">
        <v>0</v>
      </c>
      <c r="AZ4" s="5">
        <v>2</v>
      </c>
      <c r="BA4" s="5">
        <v>0</v>
      </c>
      <c r="BB4" s="5" t="s">
        <v>1576</v>
      </c>
      <c r="BC4" s="62"/>
      <c r="BD4" s="63"/>
      <c r="BE4" s="27"/>
      <c r="BF4" s="27"/>
      <c r="BG4" s="65"/>
    </row>
    <row r="5" spans="3:56">
      <c r="C5" s="5">
        <v>2</v>
      </c>
      <c r="D5" s="5">
        <v>44002</v>
      </c>
      <c r="E5" s="5">
        <v>14000</v>
      </c>
      <c r="F5" s="5" t="s">
        <v>1562</v>
      </c>
      <c r="G5" s="5">
        <v>44003</v>
      </c>
      <c r="H5" s="5">
        <v>105000</v>
      </c>
      <c r="I5" s="5" t="s">
        <v>1563</v>
      </c>
      <c r="J5" s="5">
        <v>44004</v>
      </c>
      <c r="K5" s="5">
        <v>560000</v>
      </c>
      <c r="L5" s="5" t="s">
        <v>1564</v>
      </c>
      <c r="M5" s="5">
        <v>44005</v>
      </c>
      <c r="N5" s="5">
        <v>2100000</v>
      </c>
      <c r="O5" s="5" t="s">
        <v>1565</v>
      </c>
      <c r="Q5" s="5">
        <v>44003</v>
      </c>
      <c r="R5" s="5">
        <v>444041000</v>
      </c>
      <c r="S5" s="5">
        <v>2000</v>
      </c>
      <c r="T5" s="5" t="s">
        <v>1577</v>
      </c>
      <c r="U5" s="5" t="s">
        <v>1578</v>
      </c>
      <c r="V5" s="5">
        <v>1</v>
      </c>
      <c r="W5" s="5">
        <v>1</v>
      </c>
      <c r="X5" s="5" t="s">
        <v>1579</v>
      </c>
      <c r="Y5" s="5">
        <v>30000</v>
      </c>
      <c r="Z5" s="5">
        <v>0</v>
      </c>
      <c r="AA5" s="5" t="s">
        <v>1580</v>
      </c>
      <c r="AB5" s="5">
        <v>6000</v>
      </c>
      <c r="AC5" s="5">
        <v>0</v>
      </c>
      <c r="AD5" s="5" t="s">
        <v>1581</v>
      </c>
      <c r="AE5" s="5">
        <v>12000</v>
      </c>
      <c r="AF5" s="5">
        <v>0</v>
      </c>
      <c r="AG5" s="5" t="s">
        <v>1566</v>
      </c>
      <c r="AH5" s="5">
        <v>50000</v>
      </c>
      <c r="AI5" s="5">
        <v>0</v>
      </c>
      <c r="AJ5" s="5" t="s">
        <v>1582</v>
      </c>
      <c r="AK5" s="5">
        <v>2000</v>
      </c>
      <c r="AL5" s="5">
        <v>0</v>
      </c>
      <c r="AM5" s="5" t="s">
        <v>1583</v>
      </c>
      <c r="AN5" s="5">
        <v>20000</v>
      </c>
      <c r="AO5" s="5">
        <v>0</v>
      </c>
      <c r="AP5" s="5" t="s">
        <v>1584</v>
      </c>
      <c r="AQ5" s="5">
        <v>10000</v>
      </c>
      <c r="AR5" s="5">
        <v>0</v>
      </c>
      <c r="AS5" s="5" t="s">
        <v>1585</v>
      </c>
      <c r="AT5" s="5">
        <v>15000</v>
      </c>
      <c r="AU5" s="5">
        <v>0</v>
      </c>
      <c r="AV5" s="5" t="s">
        <v>1586</v>
      </c>
      <c r="AW5" s="5">
        <v>145000</v>
      </c>
      <c r="AX5" s="5">
        <v>0</v>
      </c>
      <c r="AZ5" s="5">
        <v>3</v>
      </c>
      <c r="BA5" s="5">
        <v>0</v>
      </c>
      <c r="BB5" s="5" t="s">
        <v>1587</v>
      </c>
      <c r="BC5" s="64"/>
      <c r="BD5" s="64"/>
    </row>
    <row r="6" spans="3:56">
      <c r="C6" s="5">
        <v>3</v>
      </c>
      <c r="D6" s="5">
        <v>44002</v>
      </c>
      <c r="E6" s="5">
        <v>16000</v>
      </c>
      <c r="F6" s="5" t="s">
        <v>1562</v>
      </c>
      <c r="G6" s="5">
        <v>44003</v>
      </c>
      <c r="H6" s="5">
        <v>120000</v>
      </c>
      <c r="I6" s="5" t="s">
        <v>1563</v>
      </c>
      <c r="J6" s="5">
        <v>44004</v>
      </c>
      <c r="K6" s="5">
        <v>640000</v>
      </c>
      <c r="L6" s="5" t="s">
        <v>1564</v>
      </c>
      <c r="M6" s="5">
        <v>44005</v>
      </c>
      <c r="N6" s="5">
        <v>2400000</v>
      </c>
      <c r="O6" s="5" t="s">
        <v>1565</v>
      </c>
      <c r="Q6" s="5">
        <v>44004</v>
      </c>
      <c r="R6" s="5">
        <v>444051000</v>
      </c>
      <c r="S6" s="5">
        <v>5000</v>
      </c>
      <c r="T6" s="5" t="s">
        <v>1588</v>
      </c>
      <c r="U6" s="5" t="s">
        <v>1589</v>
      </c>
      <c r="V6" s="5">
        <v>1</v>
      </c>
      <c r="W6" s="5">
        <v>1</v>
      </c>
      <c r="X6" s="5" t="s">
        <v>1590</v>
      </c>
      <c r="Y6" s="5">
        <v>30000</v>
      </c>
      <c r="Z6" s="5">
        <v>0</v>
      </c>
      <c r="AA6" s="5" t="s">
        <v>1591</v>
      </c>
      <c r="AB6" s="5">
        <v>6000</v>
      </c>
      <c r="AC6" s="5">
        <v>0</v>
      </c>
      <c r="AD6" s="5" t="s">
        <v>1592</v>
      </c>
      <c r="AE6" s="5">
        <v>12000</v>
      </c>
      <c r="AF6" s="5">
        <v>0</v>
      </c>
      <c r="AG6" s="5" t="s">
        <v>1593</v>
      </c>
      <c r="AH6" s="5">
        <v>50000</v>
      </c>
      <c r="AI6" s="5">
        <v>0</v>
      </c>
      <c r="AJ6" s="5" t="s">
        <v>1594</v>
      </c>
      <c r="AK6" s="5">
        <v>2000</v>
      </c>
      <c r="AL6" s="5">
        <v>0</v>
      </c>
      <c r="AM6" s="5" t="s">
        <v>1578</v>
      </c>
      <c r="AN6" s="5">
        <v>20000</v>
      </c>
      <c r="AO6" s="5">
        <v>0</v>
      </c>
      <c r="AP6" s="5" t="s">
        <v>1595</v>
      </c>
      <c r="AQ6" s="5">
        <v>10000</v>
      </c>
      <c r="AR6" s="5">
        <v>0</v>
      </c>
      <c r="AS6" s="5" t="s">
        <v>1596</v>
      </c>
      <c r="AT6" s="5">
        <v>15000</v>
      </c>
      <c r="AU6" s="5">
        <v>0</v>
      </c>
      <c r="AV6" s="5" t="s">
        <v>1593</v>
      </c>
      <c r="AW6" s="5">
        <v>145000</v>
      </c>
      <c r="AX6" s="5">
        <v>0</v>
      </c>
      <c r="AZ6" s="5">
        <v>4</v>
      </c>
      <c r="BA6" s="5">
        <v>0</v>
      </c>
      <c r="BB6" s="5" t="s">
        <v>1597</v>
      </c>
      <c r="BC6" s="64"/>
      <c r="BD6" s="64"/>
    </row>
    <row r="7" spans="3:50">
      <c r="C7" s="5">
        <v>4</v>
      </c>
      <c r="D7" s="5">
        <v>44002</v>
      </c>
      <c r="E7" s="5">
        <v>20000</v>
      </c>
      <c r="F7" s="5" t="s">
        <v>1562</v>
      </c>
      <c r="G7" s="5">
        <v>44003</v>
      </c>
      <c r="H7" s="5">
        <v>150000</v>
      </c>
      <c r="I7" s="5" t="s">
        <v>1563</v>
      </c>
      <c r="J7" s="5">
        <v>44004</v>
      </c>
      <c r="K7" s="5">
        <v>800000</v>
      </c>
      <c r="L7" s="5" t="s">
        <v>1564</v>
      </c>
      <c r="M7" s="5">
        <v>44005</v>
      </c>
      <c r="N7" s="5">
        <v>3000000</v>
      </c>
      <c r="O7" s="5" t="s">
        <v>1565</v>
      </c>
      <c r="Q7" s="5">
        <v>44005</v>
      </c>
      <c r="R7" s="5">
        <v>0</v>
      </c>
      <c r="S7" s="5">
        <v>0</v>
      </c>
      <c r="T7" s="5" t="s">
        <v>1588</v>
      </c>
      <c r="U7" s="5" t="s">
        <v>1598</v>
      </c>
      <c r="V7" s="5">
        <v>1</v>
      </c>
      <c r="W7" s="5">
        <v>1</v>
      </c>
      <c r="X7" s="5" t="s">
        <v>1599</v>
      </c>
      <c r="Y7" s="5">
        <v>30000</v>
      </c>
      <c r="Z7" s="5">
        <v>0</v>
      </c>
      <c r="AA7" s="5" t="s">
        <v>1600</v>
      </c>
      <c r="AB7" s="5">
        <v>6000</v>
      </c>
      <c r="AC7" s="5">
        <v>0</v>
      </c>
      <c r="AD7" s="5" t="s">
        <v>1601</v>
      </c>
      <c r="AE7" s="5">
        <v>12000</v>
      </c>
      <c r="AF7" s="5">
        <v>0</v>
      </c>
      <c r="AG7" s="5" t="s">
        <v>1594</v>
      </c>
      <c r="AH7" s="5">
        <v>50000</v>
      </c>
      <c r="AI7" s="5">
        <v>0</v>
      </c>
      <c r="AJ7" s="5" t="s">
        <v>1602</v>
      </c>
      <c r="AK7" s="5">
        <v>2000</v>
      </c>
      <c r="AL7" s="5">
        <v>0</v>
      </c>
      <c r="AM7" s="5" t="s">
        <v>1603</v>
      </c>
      <c r="AN7" s="5">
        <v>20000</v>
      </c>
      <c r="AO7" s="5">
        <v>0</v>
      </c>
      <c r="AP7" s="5" t="s">
        <v>1604</v>
      </c>
      <c r="AQ7" s="5">
        <v>10000</v>
      </c>
      <c r="AR7" s="5">
        <v>0</v>
      </c>
      <c r="AS7" s="5" t="s">
        <v>1605</v>
      </c>
      <c r="AT7" s="5">
        <v>15000</v>
      </c>
      <c r="AU7" s="5">
        <v>0</v>
      </c>
      <c r="AV7" s="5" t="s">
        <v>1595</v>
      </c>
      <c r="AW7" s="5">
        <v>145000</v>
      </c>
      <c r="AX7" s="5">
        <v>0</v>
      </c>
    </row>
    <row r="8" spans="3:50">
      <c r="C8" s="5">
        <v>5</v>
      </c>
      <c r="D8" s="5">
        <v>44002</v>
      </c>
      <c r="E8" s="5">
        <v>24000</v>
      </c>
      <c r="F8" s="5" t="s">
        <v>1562</v>
      </c>
      <c r="G8" s="5">
        <v>44003</v>
      </c>
      <c r="H8" s="5">
        <v>180000</v>
      </c>
      <c r="I8" s="5" t="s">
        <v>1563</v>
      </c>
      <c r="J8" s="5">
        <v>44004</v>
      </c>
      <c r="K8" s="5">
        <v>960000</v>
      </c>
      <c r="L8" s="5" t="s">
        <v>1564</v>
      </c>
      <c r="M8" s="5">
        <v>44005</v>
      </c>
      <c r="N8" s="5">
        <v>3600000</v>
      </c>
      <c r="O8" s="5" t="s">
        <v>1565</v>
      </c>
      <c r="U8" s="61"/>
      <c r="V8" s="61"/>
      <c r="W8" s="61"/>
      <c r="X8" s="61"/>
      <c r="Y8" s="61"/>
      <c r="Z8" s="61"/>
      <c r="AA8" s="61"/>
      <c r="AB8" s="61"/>
      <c r="AC8" s="61"/>
      <c r="AD8" s="61"/>
      <c r="AE8" s="61"/>
      <c r="AF8" s="61"/>
      <c r="AG8" s="61"/>
      <c r="AH8" s="61"/>
      <c r="AI8" s="61"/>
      <c r="AJ8" s="61"/>
      <c r="AK8" s="61"/>
      <c r="AL8" s="61"/>
      <c r="AM8" s="61"/>
      <c r="AN8" s="61"/>
      <c r="AO8" s="61"/>
      <c r="AP8" s="61"/>
      <c r="AQ8" s="61"/>
      <c r="AR8" s="61"/>
      <c r="AS8" s="61"/>
      <c r="AT8" s="61"/>
      <c r="AU8" s="61"/>
      <c r="AV8" s="61"/>
      <c r="AW8" s="61"/>
      <c r="AX8" s="61"/>
    </row>
    <row r="9" spans="3:50">
      <c r="C9" s="5">
        <v>6</v>
      </c>
      <c r="D9" s="5">
        <v>44002</v>
      </c>
      <c r="E9" s="5">
        <v>28000</v>
      </c>
      <c r="F9" s="5" t="s">
        <v>1562</v>
      </c>
      <c r="G9" s="5">
        <v>44003</v>
      </c>
      <c r="H9" s="5">
        <v>210000</v>
      </c>
      <c r="I9" s="5" t="s">
        <v>1563</v>
      </c>
      <c r="J9" s="5">
        <v>44004</v>
      </c>
      <c r="K9" s="5">
        <v>1120000</v>
      </c>
      <c r="L9" s="5" t="s">
        <v>1564</v>
      </c>
      <c r="M9" s="5">
        <v>44005</v>
      </c>
      <c r="N9" s="5">
        <v>4200000</v>
      </c>
      <c r="O9" s="5" t="s">
        <v>1565</v>
      </c>
      <c r="U9" s="61"/>
      <c r="V9" s="61"/>
      <c r="W9" s="61"/>
      <c r="X9" s="61"/>
      <c r="Y9" s="61"/>
      <c r="Z9" s="61"/>
      <c r="AA9" s="61"/>
      <c r="AB9" s="61"/>
      <c r="AC9" s="61"/>
      <c r="AD9" s="61"/>
      <c r="AE9" s="61"/>
      <c r="AF9" s="61"/>
      <c r="AG9" s="61"/>
      <c r="AH9" s="61"/>
      <c r="AI9" s="61"/>
      <c r="AJ9" s="61"/>
      <c r="AK9" s="61"/>
      <c r="AL9" s="61"/>
      <c r="AM9" s="61"/>
      <c r="AN9" s="61"/>
      <c r="AO9" s="61"/>
      <c r="AP9" s="61"/>
      <c r="AQ9" s="61"/>
      <c r="AR9" s="61"/>
      <c r="AS9" s="61"/>
      <c r="AT9" s="61"/>
      <c r="AU9" s="61"/>
      <c r="AV9" s="61"/>
      <c r="AW9" s="61"/>
      <c r="AX9" s="61"/>
    </row>
    <row r="10" spans="3:50">
      <c r="C10" s="5">
        <v>7</v>
      </c>
      <c r="D10" s="5">
        <v>44002</v>
      </c>
      <c r="E10" s="5">
        <v>32000</v>
      </c>
      <c r="F10" s="5" t="s">
        <v>1562</v>
      </c>
      <c r="G10" s="5">
        <v>44003</v>
      </c>
      <c r="H10" s="5">
        <v>240000</v>
      </c>
      <c r="I10" s="5" t="s">
        <v>1563</v>
      </c>
      <c r="J10" s="5">
        <v>44004</v>
      </c>
      <c r="K10" s="5">
        <v>1280000</v>
      </c>
      <c r="L10" s="5" t="s">
        <v>1564</v>
      </c>
      <c r="M10" s="5">
        <v>44005</v>
      </c>
      <c r="N10" s="5">
        <v>4800000</v>
      </c>
      <c r="O10" s="5" t="s">
        <v>1565</v>
      </c>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row>
    <row r="11" spans="3:50">
      <c r="C11" s="5">
        <v>8</v>
      </c>
      <c r="D11" s="5">
        <v>44002</v>
      </c>
      <c r="E11" s="5">
        <v>36000</v>
      </c>
      <c r="F11" s="5" t="s">
        <v>1562</v>
      </c>
      <c r="G11" s="5">
        <v>44003</v>
      </c>
      <c r="H11" s="5">
        <v>270000</v>
      </c>
      <c r="I11" s="5" t="s">
        <v>1563</v>
      </c>
      <c r="J11" s="5">
        <v>44004</v>
      </c>
      <c r="K11" s="5">
        <v>1440000</v>
      </c>
      <c r="L11" s="5" t="s">
        <v>1564</v>
      </c>
      <c r="M11" s="5">
        <v>44005</v>
      </c>
      <c r="N11" s="5">
        <v>5400000</v>
      </c>
      <c r="O11" s="5" t="s">
        <v>1565</v>
      </c>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row>
    <row r="12" spans="3:50">
      <c r="C12" s="5">
        <v>9</v>
      </c>
      <c r="D12" s="5">
        <v>44002</v>
      </c>
      <c r="E12" s="5">
        <v>40000</v>
      </c>
      <c r="F12" s="5" t="s">
        <v>1562</v>
      </c>
      <c r="G12" s="5">
        <v>44003</v>
      </c>
      <c r="H12" s="5">
        <v>300000</v>
      </c>
      <c r="I12" s="5" t="s">
        <v>1563</v>
      </c>
      <c r="J12" s="5">
        <v>44004</v>
      </c>
      <c r="K12" s="5">
        <v>1600000</v>
      </c>
      <c r="L12" s="5" t="s">
        <v>1564</v>
      </c>
      <c r="M12" s="5">
        <v>44005</v>
      </c>
      <c r="N12" s="5">
        <v>6000000</v>
      </c>
      <c r="O12" s="5" t="s">
        <v>1565</v>
      </c>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row>
    <row r="13" spans="3:50">
      <c r="C13" s="5">
        <v>10</v>
      </c>
      <c r="D13" s="5">
        <v>44002</v>
      </c>
      <c r="E13" s="5">
        <v>80000</v>
      </c>
      <c r="F13" s="5" t="s">
        <v>1562</v>
      </c>
      <c r="G13" s="5">
        <v>44003</v>
      </c>
      <c r="H13" s="5">
        <v>600000</v>
      </c>
      <c r="I13" s="5" t="s">
        <v>1563</v>
      </c>
      <c r="J13" s="5">
        <v>44004</v>
      </c>
      <c r="K13" s="5">
        <v>3200000</v>
      </c>
      <c r="L13" s="5" t="s">
        <v>1564</v>
      </c>
      <c r="M13" s="5">
        <v>44005</v>
      </c>
      <c r="N13" s="5">
        <v>12000000</v>
      </c>
      <c r="O13" s="5" t="s">
        <v>1565</v>
      </c>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row>
    <row r="14" spans="21:50">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row>
    <row r="15" spans="21:50">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row>
    <row r="16" spans="21:50">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row>
    <row r="17" spans="21:50">
      <c r="U17" s="61"/>
      <c r="V17" s="61"/>
      <c r="W17" s="61"/>
      <c r="X17" s="61"/>
      <c r="Y17" s="61"/>
      <c r="Z17" s="61"/>
      <c r="AA17" s="61"/>
      <c r="AB17" s="61"/>
      <c r="AC17" s="61"/>
      <c r="AD17" s="61"/>
      <c r="AE17" s="61"/>
      <c r="AF17" s="61"/>
      <c r="AG17" s="61"/>
      <c r="AH17" s="61"/>
      <c r="AI17" s="61"/>
      <c r="AJ17" s="61"/>
      <c r="AK17" s="61"/>
      <c r="AL17" s="61"/>
      <c r="AM17" s="61"/>
      <c r="AN17" s="61"/>
      <c r="AO17" s="61"/>
      <c r="AP17" s="61"/>
      <c r="AQ17" s="61"/>
      <c r="AR17" s="61"/>
      <c r="AS17" s="61"/>
      <c r="AT17" s="61"/>
      <c r="AU17" s="61"/>
      <c r="AV17" s="61"/>
      <c r="AW17" s="61"/>
      <c r="AX17" s="61"/>
    </row>
    <row r="18" spans="21:50">
      <c r="U18" s="61"/>
      <c r="V18" s="61"/>
      <c r="W18" s="61"/>
      <c r="X18" s="61"/>
      <c r="Y18" s="61"/>
      <c r="Z18" s="61"/>
      <c r="AA18" s="61"/>
      <c r="AB18" s="61"/>
      <c r="AC18" s="61"/>
      <c r="AD18" s="61"/>
      <c r="AE18" s="61"/>
      <c r="AF18" s="61"/>
      <c r="AG18" s="61"/>
      <c r="AH18" s="61"/>
      <c r="AI18" s="61"/>
      <c r="AJ18" s="61"/>
      <c r="AK18" s="61"/>
      <c r="AL18" s="61"/>
      <c r="AM18" s="61"/>
      <c r="AN18" s="61"/>
      <c r="AO18" s="61"/>
      <c r="AP18" s="61"/>
      <c r="AQ18" s="61"/>
      <c r="AR18" s="61"/>
      <c r="AS18" s="61"/>
      <c r="AT18" s="61"/>
      <c r="AU18" s="61"/>
      <c r="AV18" s="61"/>
      <c r="AW18" s="61"/>
      <c r="AX18" s="61"/>
    </row>
    <row r="19" spans="21:24">
      <c r="U19" s="61"/>
      <c r="V19" s="61"/>
      <c r="W19" s="61"/>
      <c r="X19" s="61"/>
    </row>
    <row r="20" spans="21:24">
      <c r="U20" s="61"/>
      <c r="V20" s="61"/>
      <c r="W20" s="61"/>
      <c r="X20" s="61"/>
    </row>
  </sheetData>
  <pageMargins left="0.75" right="0.75" top="1" bottom="1" header="0.511805555555556" footer="0.511805555555556"/>
  <headerFooter/>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G16"/>
  <sheetViews>
    <sheetView workbookViewId="0">
      <selection activeCell="A4" sqref="A4"/>
    </sheetView>
  </sheetViews>
  <sheetFormatPr defaultColWidth="8.90131578947368" defaultRowHeight="15.2"/>
  <cols>
    <col min="1" max="1" width="13.5986842105263" customWidth="1"/>
    <col min="3" max="4" width="10.0986842105263" customWidth="1"/>
    <col min="18" max="18" width="7.09868421052632" customWidth="1"/>
    <col min="19" max="19" width="8.09868421052632" customWidth="1"/>
    <col min="20" max="20" width="14.0986842105263" customWidth="1"/>
    <col min="21" max="21" width="19" customWidth="1"/>
    <col min="24" max="24" width="21" customWidth="1"/>
    <col min="27" max="27" width="22.9013157894737" customWidth="1"/>
    <col min="30" max="30" width="23.9013157894737" customWidth="1"/>
    <col min="33" max="33" width="23.9013157894737" customWidth="1"/>
    <col min="36" max="36" width="23.9013157894737" customWidth="1"/>
    <col min="39" max="39" width="23.9013157894737" customWidth="1"/>
    <col min="42" max="42" width="23.9013157894737" customWidth="1"/>
    <col min="45" max="45" width="23.9013157894737" customWidth="1"/>
    <col min="48" max="48" width="23.9013157894737" customWidth="1"/>
    <col min="54" max="54" width="145.598684210526" customWidth="1"/>
  </cols>
  <sheetData>
    <row r="1" ht="16" spans="1:59">
      <c r="A1" s="54" t="s">
        <v>1545</v>
      </c>
      <c r="C1" s="5" t="s">
        <v>1606</v>
      </c>
      <c r="D1" s="5" t="s">
        <v>1607</v>
      </c>
      <c r="F1" s="5" t="s">
        <v>781</v>
      </c>
      <c r="G1" s="5" t="s">
        <v>1547</v>
      </c>
      <c r="H1" s="5" t="s">
        <v>1546</v>
      </c>
      <c r="I1" s="5" t="s">
        <v>781</v>
      </c>
      <c r="J1" s="5" t="s">
        <v>1547</v>
      </c>
      <c r="K1" s="5" t="s">
        <v>1546</v>
      </c>
      <c r="L1" s="5" t="s">
        <v>781</v>
      </c>
      <c r="M1" s="5" t="s">
        <v>1547</v>
      </c>
      <c r="N1" s="5" t="s">
        <v>1546</v>
      </c>
      <c r="O1" s="5" t="s">
        <v>781</v>
      </c>
      <c r="P1" s="5" t="s">
        <v>1547</v>
      </c>
      <c r="Q1" s="5" t="s">
        <v>1546</v>
      </c>
      <c r="S1" s="5" t="s">
        <v>781</v>
      </c>
      <c r="T1" s="5" t="s">
        <v>1550</v>
      </c>
      <c r="U1" s="5" t="s">
        <v>1424</v>
      </c>
      <c r="V1" s="5" t="s">
        <v>545</v>
      </c>
      <c r="W1" s="5" t="s">
        <v>1551</v>
      </c>
      <c r="X1" s="5" t="s">
        <v>1424</v>
      </c>
      <c r="Y1" s="5" t="s">
        <v>545</v>
      </c>
      <c r="Z1" s="5" t="s">
        <v>1551</v>
      </c>
      <c r="AA1" s="5" t="s">
        <v>1424</v>
      </c>
      <c r="AB1" s="5" t="s">
        <v>545</v>
      </c>
      <c r="AC1" s="5" t="s">
        <v>1551</v>
      </c>
      <c r="AD1" s="5" t="s">
        <v>1424</v>
      </c>
      <c r="AE1" s="5" t="s">
        <v>545</v>
      </c>
      <c r="AF1" s="5" t="s">
        <v>1551</v>
      </c>
      <c r="AG1" s="5" t="s">
        <v>1424</v>
      </c>
      <c r="AH1" s="5" t="s">
        <v>545</v>
      </c>
      <c r="AI1" s="5" t="s">
        <v>1551</v>
      </c>
      <c r="AJ1" s="5" t="s">
        <v>1424</v>
      </c>
      <c r="AK1" s="5" t="s">
        <v>545</v>
      </c>
      <c r="AL1" s="5" t="s">
        <v>1551</v>
      </c>
      <c r="AM1" s="5" t="s">
        <v>1424</v>
      </c>
      <c r="AN1" s="5" t="s">
        <v>545</v>
      </c>
      <c r="AO1" s="5" t="s">
        <v>1551</v>
      </c>
      <c r="AP1" s="5" t="s">
        <v>1424</v>
      </c>
      <c r="AQ1" s="5" t="s">
        <v>545</v>
      </c>
      <c r="AR1" s="5" t="s">
        <v>1551</v>
      </c>
      <c r="AS1" s="5" t="s">
        <v>1424</v>
      </c>
      <c r="AT1" s="5" t="s">
        <v>545</v>
      </c>
      <c r="AU1" s="5" t="s">
        <v>1551</v>
      </c>
      <c r="AV1" s="5" t="s">
        <v>1424</v>
      </c>
      <c r="AW1" s="5" t="s">
        <v>545</v>
      </c>
      <c r="AX1" s="5" t="s">
        <v>1551</v>
      </c>
      <c r="AZ1" s="5" t="s">
        <v>1552</v>
      </c>
      <c r="BA1" s="5" t="s">
        <v>1360</v>
      </c>
      <c r="BB1" s="5" t="s">
        <v>1553</v>
      </c>
      <c r="BC1" s="5" t="s">
        <v>1360</v>
      </c>
      <c r="BD1" s="5" t="s">
        <v>1553</v>
      </c>
      <c r="BE1" s="27"/>
      <c r="BF1" s="27"/>
      <c r="BG1" s="27"/>
    </row>
    <row r="2" ht="16" spans="1:59">
      <c r="A2" s="54" t="s">
        <v>39</v>
      </c>
      <c r="C2" s="5" t="s">
        <v>41</v>
      </c>
      <c r="D2" s="5" t="s">
        <v>41</v>
      </c>
      <c r="F2" s="5" t="s">
        <v>39</v>
      </c>
      <c r="G2" s="5" t="s">
        <v>39</v>
      </c>
      <c r="H2" s="5" t="s">
        <v>39</v>
      </c>
      <c r="I2" s="5" t="s">
        <v>39</v>
      </c>
      <c r="J2" s="5" t="s">
        <v>39</v>
      </c>
      <c r="K2" s="5" t="s">
        <v>39</v>
      </c>
      <c r="L2" s="5" t="s">
        <v>39</v>
      </c>
      <c r="M2" s="5" t="s">
        <v>39</v>
      </c>
      <c r="N2" s="5" t="s">
        <v>39</v>
      </c>
      <c r="O2" s="5" t="s">
        <v>39</v>
      </c>
      <c r="P2" s="5" t="s">
        <v>39</v>
      </c>
      <c r="Q2" s="5" t="s">
        <v>39</v>
      </c>
      <c r="S2" s="5" t="s">
        <v>39</v>
      </c>
      <c r="T2" s="5" t="s">
        <v>40</v>
      </c>
      <c r="U2" s="5" t="s">
        <v>40</v>
      </c>
      <c r="V2" s="5" t="s">
        <v>39</v>
      </c>
      <c r="W2" s="5" t="s">
        <v>39</v>
      </c>
      <c r="X2" s="5" t="s">
        <v>40</v>
      </c>
      <c r="Y2" s="5" t="s">
        <v>39</v>
      </c>
      <c r="Z2" s="5" t="s">
        <v>39</v>
      </c>
      <c r="AA2" s="5" t="s">
        <v>40</v>
      </c>
      <c r="AB2" s="5" t="s">
        <v>39</v>
      </c>
      <c r="AC2" s="5" t="s">
        <v>39</v>
      </c>
      <c r="AD2" s="5" t="s">
        <v>40</v>
      </c>
      <c r="AE2" s="5" t="s">
        <v>39</v>
      </c>
      <c r="AF2" s="5" t="s">
        <v>39</v>
      </c>
      <c r="AG2" s="5" t="s">
        <v>40</v>
      </c>
      <c r="AH2" s="5" t="s">
        <v>39</v>
      </c>
      <c r="AI2" s="5" t="s">
        <v>39</v>
      </c>
      <c r="AJ2" s="5" t="s">
        <v>40</v>
      </c>
      <c r="AK2" s="5" t="s">
        <v>39</v>
      </c>
      <c r="AL2" s="5" t="s">
        <v>39</v>
      </c>
      <c r="AM2" s="5" t="s">
        <v>40</v>
      </c>
      <c r="AN2" s="5" t="s">
        <v>39</v>
      </c>
      <c r="AO2" s="5" t="s">
        <v>39</v>
      </c>
      <c r="AP2" s="5" t="s">
        <v>40</v>
      </c>
      <c r="AQ2" s="5" t="s">
        <v>39</v>
      </c>
      <c r="AR2" s="5" t="s">
        <v>39</v>
      </c>
      <c r="AS2" s="5" t="s">
        <v>40</v>
      </c>
      <c r="AT2" s="5" t="s">
        <v>39</v>
      </c>
      <c r="AU2" s="5" t="s">
        <v>39</v>
      </c>
      <c r="AV2" s="5" t="s">
        <v>40</v>
      </c>
      <c r="AW2" s="5" t="s">
        <v>39</v>
      </c>
      <c r="AX2" s="5" t="s">
        <v>39</v>
      </c>
      <c r="AZ2" s="5" t="s">
        <v>39</v>
      </c>
      <c r="BA2" s="5" t="s">
        <v>39</v>
      </c>
      <c r="BB2" s="5" t="s">
        <v>40</v>
      </c>
      <c r="BC2" s="5" t="s">
        <v>39</v>
      </c>
      <c r="BD2" s="5" t="s">
        <v>40</v>
      </c>
      <c r="BE2" s="27"/>
      <c r="BF2" s="27"/>
      <c r="BG2" s="27"/>
    </row>
    <row r="3" spans="1:59">
      <c r="A3" s="55" t="s">
        <v>1554</v>
      </c>
      <c r="C3" s="5" t="s">
        <v>1608</v>
      </c>
      <c r="D3" s="5" t="s">
        <v>1609</v>
      </c>
      <c r="F3" s="5" t="s">
        <v>561</v>
      </c>
      <c r="G3" s="5" t="s">
        <v>1610</v>
      </c>
      <c r="H3" s="5" t="s">
        <v>1556</v>
      </c>
      <c r="I3" s="5" t="s">
        <v>561</v>
      </c>
      <c r="J3" s="5" t="s">
        <v>1610</v>
      </c>
      <c r="K3" s="5" t="s">
        <v>1556</v>
      </c>
      <c r="L3" s="5" t="s">
        <v>561</v>
      </c>
      <c r="M3" s="5" t="s">
        <v>1610</v>
      </c>
      <c r="N3" s="5" t="s">
        <v>1556</v>
      </c>
      <c r="O3" s="5" t="s">
        <v>561</v>
      </c>
      <c r="P3" s="5" t="s">
        <v>1610</v>
      </c>
      <c r="Q3" s="5" t="s">
        <v>1556</v>
      </c>
      <c r="S3" s="5" t="s">
        <v>561</v>
      </c>
      <c r="T3" s="5" t="s">
        <v>1560</v>
      </c>
      <c r="U3" s="5" t="s">
        <v>1465</v>
      </c>
      <c r="V3" s="5" t="s">
        <v>535</v>
      </c>
      <c r="W3" s="5" t="s">
        <v>1561</v>
      </c>
      <c r="X3" s="5" t="s">
        <v>1465</v>
      </c>
      <c r="Y3" s="5" t="s">
        <v>535</v>
      </c>
      <c r="Z3" s="5" t="s">
        <v>1561</v>
      </c>
      <c r="AA3" s="5" t="s">
        <v>1465</v>
      </c>
      <c r="AB3" s="5" t="s">
        <v>535</v>
      </c>
      <c r="AC3" s="5" t="s">
        <v>1561</v>
      </c>
      <c r="AD3" s="5" t="s">
        <v>1465</v>
      </c>
      <c r="AE3" s="5" t="s">
        <v>535</v>
      </c>
      <c r="AF3" s="5" t="s">
        <v>1561</v>
      </c>
      <c r="AG3" s="5" t="s">
        <v>1465</v>
      </c>
      <c r="AH3" s="5" t="s">
        <v>535</v>
      </c>
      <c r="AI3" s="5" t="s">
        <v>1561</v>
      </c>
      <c r="AJ3" s="5" t="s">
        <v>1465</v>
      </c>
      <c r="AK3" s="5" t="s">
        <v>535</v>
      </c>
      <c r="AL3" s="5" t="s">
        <v>1561</v>
      </c>
      <c r="AM3" s="5" t="s">
        <v>1465</v>
      </c>
      <c r="AN3" s="5" t="s">
        <v>535</v>
      </c>
      <c r="AO3" s="5" t="s">
        <v>1561</v>
      </c>
      <c r="AP3" s="5" t="s">
        <v>1465</v>
      </c>
      <c r="AQ3" s="5" t="s">
        <v>535</v>
      </c>
      <c r="AR3" s="5" t="s">
        <v>1561</v>
      </c>
      <c r="AS3" s="5" t="s">
        <v>1465</v>
      </c>
      <c r="AT3" s="5" t="s">
        <v>535</v>
      </c>
      <c r="AU3" s="5" t="s">
        <v>1561</v>
      </c>
      <c r="AV3" s="5" t="s">
        <v>1465</v>
      </c>
      <c r="AW3" s="5" t="s">
        <v>535</v>
      </c>
      <c r="AX3" s="5" t="s">
        <v>1561</v>
      </c>
      <c r="AZ3" s="5" t="s">
        <v>755</v>
      </c>
      <c r="BA3" s="5" t="s">
        <v>811</v>
      </c>
      <c r="BB3" s="5" t="s">
        <v>561</v>
      </c>
      <c r="BC3" s="5" t="s">
        <v>811</v>
      </c>
      <c r="BD3" s="5" t="s">
        <v>561</v>
      </c>
      <c r="BE3" s="27"/>
      <c r="BF3" s="27"/>
      <c r="BG3" s="27"/>
    </row>
    <row r="4" spans="1:59">
      <c r="A4" s="54">
        <v>9</v>
      </c>
      <c r="C4" s="5">
        <v>0.01</v>
      </c>
      <c r="D4" s="56">
        <v>0.3</v>
      </c>
      <c r="F4" s="57">
        <v>50</v>
      </c>
      <c r="G4" s="58">
        <v>10800</v>
      </c>
      <c r="H4" s="58">
        <v>108000</v>
      </c>
      <c r="I4" s="57">
        <v>100</v>
      </c>
      <c r="J4" s="58">
        <v>28800</v>
      </c>
      <c r="K4" s="57">
        <v>288000</v>
      </c>
      <c r="L4" s="57">
        <v>200</v>
      </c>
      <c r="M4" s="58">
        <v>57600</v>
      </c>
      <c r="N4" s="57">
        <v>576000</v>
      </c>
      <c r="O4" s="57">
        <v>500</v>
      </c>
      <c r="P4" s="58">
        <v>216000</v>
      </c>
      <c r="Q4" s="57">
        <v>2160000</v>
      </c>
      <c r="S4" s="56">
        <v>50</v>
      </c>
      <c r="T4" s="56" t="s">
        <v>589</v>
      </c>
      <c r="U4" s="5" t="s">
        <v>1611</v>
      </c>
      <c r="V4" s="5">
        <v>50</v>
      </c>
      <c r="W4" s="5">
        <v>1</v>
      </c>
      <c r="X4" s="5" t="s">
        <v>1612</v>
      </c>
      <c r="Y4" s="5">
        <v>30000</v>
      </c>
      <c r="Z4" s="5">
        <v>1</v>
      </c>
      <c r="AA4" s="5" t="s">
        <v>1613</v>
      </c>
      <c r="AB4" s="5">
        <v>1600</v>
      </c>
      <c r="AC4" s="5">
        <v>1</v>
      </c>
      <c r="AD4" s="5" t="s">
        <v>1614</v>
      </c>
      <c r="AE4" s="5">
        <v>6000</v>
      </c>
      <c r="AF4" s="5">
        <v>1</v>
      </c>
      <c r="AG4" s="5" t="s">
        <v>1615</v>
      </c>
      <c r="AH4" s="5">
        <v>6000</v>
      </c>
      <c r="AI4" s="5">
        <v>1</v>
      </c>
      <c r="AJ4" s="5" t="s">
        <v>1616</v>
      </c>
      <c r="AK4" s="5">
        <v>2500</v>
      </c>
      <c r="AL4" s="5">
        <v>1</v>
      </c>
      <c r="AM4" s="5" t="s">
        <v>1617</v>
      </c>
      <c r="AN4" s="5">
        <v>3600</v>
      </c>
      <c r="AO4" s="5">
        <v>1</v>
      </c>
      <c r="AP4" s="5" t="s">
        <v>1618</v>
      </c>
      <c r="AQ4" s="5">
        <v>25000</v>
      </c>
      <c r="AR4" s="5">
        <v>1</v>
      </c>
      <c r="AS4" s="5" t="s">
        <v>1619</v>
      </c>
      <c r="AT4" s="5">
        <v>250</v>
      </c>
      <c r="AU4" s="5">
        <v>1</v>
      </c>
      <c r="AV4" s="5" t="s">
        <v>1620</v>
      </c>
      <c r="AW4" s="5">
        <v>25000</v>
      </c>
      <c r="AX4" s="5">
        <v>1</v>
      </c>
      <c r="AZ4" s="5">
        <v>2</v>
      </c>
      <c r="BA4" s="5">
        <v>0</v>
      </c>
      <c r="BB4" s="5" t="s">
        <v>1576</v>
      </c>
      <c r="BC4" s="62"/>
      <c r="BD4" s="63"/>
      <c r="BE4" s="27"/>
      <c r="BF4" s="27"/>
      <c r="BG4" s="65"/>
    </row>
    <row r="5" spans="5:56">
      <c r="E5" s="59"/>
      <c r="F5" s="11"/>
      <c r="G5" s="60"/>
      <c r="H5" s="11"/>
      <c r="I5" s="11"/>
      <c r="J5" s="60"/>
      <c r="K5" s="11"/>
      <c r="L5" s="11"/>
      <c r="M5" s="60"/>
      <c r="N5" s="11"/>
      <c r="O5" s="11"/>
      <c r="P5" s="60"/>
      <c r="Q5" s="11"/>
      <c r="S5" s="5">
        <v>100</v>
      </c>
      <c r="T5" s="56" t="s">
        <v>589</v>
      </c>
      <c r="U5" s="5" t="s">
        <v>1621</v>
      </c>
      <c r="V5" s="5">
        <v>50</v>
      </c>
      <c r="W5" s="5">
        <v>1</v>
      </c>
      <c r="X5" s="5" t="s">
        <v>1622</v>
      </c>
      <c r="Y5" s="5">
        <v>25000</v>
      </c>
      <c r="Z5" s="5">
        <v>1</v>
      </c>
      <c r="AA5" s="5" t="s">
        <v>1623</v>
      </c>
      <c r="AB5" s="5">
        <v>700</v>
      </c>
      <c r="AC5" s="5">
        <v>1</v>
      </c>
      <c r="AD5" s="5" t="s">
        <v>1624</v>
      </c>
      <c r="AE5" s="5">
        <v>2000</v>
      </c>
      <c r="AF5" s="5">
        <v>1</v>
      </c>
      <c r="AG5" s="5" t="s">
        <v>1625</v>
      </c>
      <c r="AH5" s="5">
        <v>18000</v>
      </c>
      <c r="AI5" s="5">
        <v>1</v>
      </c>
      <c r="AJ5" s="5" t="s">
        <v>1616</v>
      </c>
      <c r="AK5" s="5">
        <v>2000</v>
      </c>
      <c r="AL5" s="5">
        <v>1</v>
      </c>
      <c r="AM5" s="5" t="s">
        <v>1626</v>
      </c>
      <c r="AN5" s="5">
        <v>9000</v>
      </c>
      <c r="AO5" s="5">
        <v>1</v>
      </c>
      <c r="AP5" s="5" t="s">
        <v>1625</v>
      </c>
      <c r="AQ5" s="5">
        <v>25000</v>
      </c>
      <c r="AR5" s="5">
        <v>1</v>
      </c>
      <c r="AS5" s="5" t="s">
        <v>1627</v>
      </c>
      <c r="AT5" s="5">
        <v>250</v>
      </c>
      <c r="AU5" s="5">
        <v>1</v>
      </c>
      <c r="AV5" s="5" t="s">
        <v>1622</v>
      </c>
      <c r="AW5" s="5">
        <v>18000</v>
      </c>
      <c r="AX5" s="5">
        <v>1</v>
      </c>
      <c r="AZ5" s="5">
        <v>3</v>
      </c>
      <c r="BA5" s="5">
        <v>0</v>
      </c>
      <c r="BB5" s="5" t="s">
        <v>1587</v>
      </c>
      <c r="BC5" s="64"/>
      <c r="BD5" s="64"/>
    </row>
    <row r="6" spans="5:56">
      <c r="E6" s="59"/>
      <c r="F6" s="11"/>
      <c r="G6" s="60"/>
      <c r="H6" s="11"/>
      <c r="I6" s="11"/>
      <c r="J6" s="60"/>
      <c r="K6" s="11"/>
      <c r="L6" s="11"/>
      <c r="M6" s="60"/>
      <c r="N6" s="11"/>
      <c r="O6" s="11"/>
      <c r="P6" s="60"/>
      <c r="Q6" s="11"/>
      <c r="S6" s="5">
        <v>200</v>
      </c>
      <c r="T6" s="56" t="s">
        <v>589</v>
      </c>
      <c r="U6" s="5" t="s">
        <v>1628</v>
      </c>
      <c r="V6" s="5">
        <v>50</v>
      </c>
      <c r="W6" s="5">
        <v>1</v>
      </c>
      <c r="X6" s="5" t="s">
        <v>1626</v>
      </c>
      <c r="Y6" s="5">
        <v>35000</v>
      </c>
      <c r="Z6" s="5">
        <v>1</v>
      </c>
      <c r="AA6" s="5" t="s">
        <v>1621</v>
      </c>
      <c r="AB6" s="5">
        <v>700</v>
      </c>
      <c r="AC6" s="5">
        <v>1</v>
      </c>
      <c r="AD6" s="5" t="s">
        <v>1625</v>
      </c>
      <c r="AE6" s="5">
        <v>4000</v>
      </c>
      <c r="AF6" s="5">
        <v>1</v>
      </c>
      <c r="AG6" s="5" t="s">
        <v>1629</v>
      </c>
      <c r="AH6" s="5">
        <v>10000</v>
      </c>
      <c r="AI6" s="5">
        <v>1</v>
      </c>
      <c r="AJ6" s="5" t="s">
        <v>1616</v>
      </c>
      <c r="AK6" s="5">
        <v>4000</v>
      </c>
      <c r="AL6" s="5">
        <v>1</v>
      </c>
      <c r="AM6" s="5" t="s">
        <v>1623</v>
      </c>
      <c r="AN6" s="5">
        <v>4000</v>
      </c>
      <c r="AO6" s="5">
        <v>1</v>
      </c>
      <c r="AP6" s="5" t="s">
        <v>1630</v>
      </c>
      <c r="AQ6" s="5">
        <v>32000</v>
      </c>
      <c r="AR6" s="5">
        <v>1</v>
      </c>
      <c r="AS6" s="5" t="s">
        <v>1631</v>
      </c>
      <c r="AT6" s="5">
        <v>250</v>
      </c>
      <c r="AU6" s="5">
        <v>1</v>
      </c>
      <c r="AV6" s="5" t="s">
        <v>1632</v>
      </c>
      <c r="AW6" s="5">
        <v>10000</v>
      </c>
      <c r="AX6" s="5">
        <v>1</v>
      </c>
      <c r="AZ6" s="5">
        <v>4</v>
      </c>
      <c r="BA6" s="5">
        <v>0</v>
      </c>
      <c r="BB6" s="5" t="s">
        <v>1597</v>
      </c>
      <c r="BC6" s="64"/>
      <c r="BD6" s="64"/>
    </row>
    <row r="7" spans="5:50">
      <c r="E7" s="59"/>
      <c r="F7" s="11"/>
      <c r="G7" s="60"/>
      <c r="H7" s="11"/>
      <c r="I7" s="11"/>
      <c r="J7" s="60"/>
      <c r="K7" s="11"/>
      <c r="L7" s="11"/>
      <c r="M7" s="60"/>
      <c r="N7" s="11"/>
      <c r="O7" s="11"/>
      <c r="P7" s="60"/>
      <c r="Q7" s="11"/>
      <c r="S7" s="5">
        <v>500</v>
      </c>
      <c r="T7" s="56" t="s">
        <v>589</v>
      </c>
      <c r="U7" s="5" t="s">
        <v>1633</v>
      </c>
      <c r="V7" s="5">
        <v>50</v>
      </c>
      <c r="W7" s="5">
        <v>1</v>
      </c>
      <c r="X7" s="5" t="s">
        <v>1634</v>
      </c>
      <c r="Y7" s="5">
        <v>36000</v>
      </c>
      <c r="Z7" s="5">
        <v>1</v>
      </c>
      <c r="AA7" s="5" t="s">
        <v>1635</v>
      </c>
      <c r="AB7" s="5">
        <v>700</v>
      </c>
      <c r="AC7" s="5">
        <v>1</v>
      </c>
      <c r="AD7" s="5" t="s">
        <v>1636</v>
      </c>
      <c r="AE7" s="5">
        <v>5000</v>
      </c>
      <c r="AF7" s="5">
        <v>1</v>
      </c>
      <c r="AG7" s="5" t="s">
        <v>1637</v>
      </c>
      <c r="AH7" s="5">
        <v>7000</v>
      </c>
      <c r="AI7" s="5">
        <v>1</v>
      </c>
      <c r="AJ7" s="5" t="s">
        <v>1616</v>
      </c>
      <c r="AK7" s="5">
        <v>4000</v>
      </c>
      <c r="AL7" s="5">
        <v>1</v>
      </c>
      <c r="AM7" s="5" t="s">
        <v>1638</v>
      </c>
      <c r="AN7" s="5">
        <v>2000</v>
      </c>
      <c r="AO7" s="5">
        <v>1</v>
      </c>
      <c r="AP7" s="5" t="s">
        <v>1639</v>
      </c>
      <c r="AQ7" s="5">
        <v>30000</v>
      </c>
      <c r="AR7" s="5">
        <v>1</v>
      </c>
      <c r="AS7" s="5" t="s">
        <v>1640</v>
      </c>
      <c r="AT7" s="5">
        <v>250</v>
      </c>
      <c r="AU7" s="5">
        <v>1</v>
      </c>
      <c r="AV7" s="5" t="s">
        <v>1641</v>
      </c>
      <c r="AW7" s="5">
        <v>15000</v>
      </c>
      <c r="AX7" s="5">
        <v>1</v>
      </c>
    </row>
    <row r="8" spans="5:24">
      <c r="E8" s="59"/>
      <c r="F8" s="59"/>
      <c r="G8" s="59"/>
      <c r="H8" s="59"/>
      <c r="I8" s="59"/>
      <c r="J8" s="59"/>
      <c r="K8" s="59"/>
      <c r="L8" s="59"/>
      <c r="M8" s="59"/>
      <c r="N8" s="59"/>
      <c r="O8" s="59"/>
      <c r="P8" s="59"/>
      <c r="Q8" s="59"/>
      <c r="U8" s="61"/>
      <c r="V8" s="61"/>
      <c r="W8" s="61"/>
      <c r="X8" s="61"/>
    </row>
    <row r="9" spans="5:24">
      <c r="E9" s="59"/>
      <c r="F9" s="59"/>
      <c r="G9" s="59"/>
      <c r="H9" s="59"/>
      <c r="I9" s="59"/>
      <c r="J9" s="59"/>
      <c r="K9" s="59"/>
      <c r="L9" s="59"/>
      <c r="M9" s="59"/>
      <c r="N9" s="59"/>
      <c r="O9" s="59"/>
      <c r="P9" s="59"/>
      <c r="Q9" s="59"/>
      <c r="U9" s="61"/>
      <c r="V9" s="61"/>
      <c r="W9" s="61"/>
      <c r="X9" s="61"/>
    </row>
    <row r="10" spans="5:17">
      <c r="E10" s="59"/>
      <c r="F10" s="59"/>
      <c r="G10" s="59"/>
      <c r="H10" s="59"/>
      <c r="I10" s="59"/>
      <c r="J10" s="59"/>
      <c r="K10" s="59"/>
      <c r="L10" s="59"/>
      <c r="M10" s="59"/>
      <c r="N10" s="59"/>
      <c r="O10" s="59"/>
      <c r="P10" s="59"/>
      <c r="Q10" s="59"/>
    </row>
    <row r="11" spans="5:17">
      <c r="E11" s="59"/>
      <c r="F11" s="59"/>
      <c r="G11" s="59"/>
      <c r="H11" s="59"/>
      <c r="I11" s="59"/>
      <c r="J11" s="59"/>
      <c r="K11" s="59"/>
      <c r="L11" s="59"/>
      <c r="M11" s="59"/>
      <c r="N11" s="59"/>
      <c r="O11" s="59"/>
      <c r="P11" s="59"/>
      <c r="Q11" s="59"/>
    </row>
    <row r="12" spans="5:17">
      <c r="E12" s="59"/>
      <c r="F12" s="59"/>
      <c r="G12" s="59"/>
      <c r="H12" s="59"/>
      <c r="I12" s="59"/>
      <c r="J12" s="59"/>
      <c r="K12" s="59"/>
      <c r="L12" s="59"/>
      <c r="M12" s="59"/>
      <c r="N12" s="59"/>
      <c r="O12" s="59"/>
      <c r="P12" s="59"/>
      <c r="Q12" s="59"/>
    </row>
    <row r="13" spans="5:34">
      <c r="E13" s="59"/>
      <c r="F13" s="59"/>
      <c r="G13" s="59"/>
      <c r="H13" s="59"/>
      <c r="I13" s="59"/>
      <c r="J13" s="59"/>
      <c r="K13" s="59"/>
      <c r="L13" s="59"/>
      <c r="M13" s="59"/>
      <c r="N13" s="59"/>
      <c r="O13" s="59"/>
      <c r="P13" s="59"/>
      <c r="Q13" s="59"/>
      <c r="U13" s="11"/>
      <c r="V13" s="11"/>
      <c r="W13" s="59"/>
      <c r="X13" s="11"/>
      <c r="Y13" s="11"/>
      <c r="Z13" s="59"/>
      <c r="AA13" s="11"/>
      <c r="AB13" s="11"/>
      <c r="AC13" s="59"/>
      <c r="AD13" s="59"/>
      <c r="AE13" s="59"/>
      <c r="AF13" s="59"/>
      <c r="AG13" s="11"/>
      <c r="AH13" s="11"/>
    </row>
    <row r="14" spans="5:34">
      <c r="E14" s="59"/>
      <c r="F14" s="59"/>
      <c r="G14" s="59"/>
      <c r="H14" s="59"/>
      <c r="I14" s="59"/>
      <c r="J14" s="59"/>
      <c r="K14" s="59"/>
      <c r="L14" s="59"/>
      <c r="M14" s="59"/>
      <c r="N14" s="59"/>
      <c r="O14" s="59"/>
      <c r="P14" s="59"/>
      <c r="Q14" s="59"/>
      <c r="U14" s="11"/>
      <c r="V14" s="11"/>
      <c r="W14" s="59"/>
      <c r="X14" s="11"/>
      <c r="Y14" s="11"/>
      <c r="Z14" s="59"/>
      <c r="AA14" s="11"/>
      <c r="AB14" s="11"/>
      <c r="AC14" s="59"/>
      <c r="AD14" s="59"/>
      <c r="AE14" s="59"/>
      <c r="AF14" s="59"/>
      <c r="AG14" s="11"/>
      <c r="AH14" s="11"/>
    </row>
    <row r="15" spans="5:34">
      <c r="E15" s="59"/>
      <c r="F15" s="59"/>
      <c r="G15" s="59"/>
      <c r="H15" s="59"/>
      <c r="I15" s="59"/>
      <c r="J15" s="59"/>
      <c r="K15" s="59"/>
      <c r="L15" s="59"/>
      <c r="M15" s="59"/>
      <c r="N15" s="59"/>
      <c r="O15" s="59"/>
      <c r="P15" s="59"/>
      <c r="Q15" s="59"/>
      <c r="U15" s="11"/>
      <c r="V15" s="11"/>
      <c r="W15" s="59"/>
      <c r="X15" s="11"/>
      <c r="Y15" s="11"/>
      <c r="Z15" s="59"/>
      <c r="AA15" s="11"/>
      <c r="AB15" s="11"/>
      <c r="AC15" s="59"/>
      <c r="AD15" s="59"/>
      <c r="AE15" s="59"/>
      <c r="AF15" s="59"/>
      <c r="AG15" s="11"/>
      <c r="AH15" s="11"/>
    </row>
    <row r="16" spans="21:34">
      <c r="U16" s="11"/>
      <c r="V16" s="11"/>
      <c r="W16" s="59"/>
      <c r="X16" s="11"/>
      <c r="Y16" s="11"/>
      <c r="Z16" s="59"/>
      <c r="AA16" s="11"/>
      <c r="AB16" s="11"/>
      <c r="AC16" s="59"/>
      <c r="AD16" s="59"/>
      <c r="AE16" s="59"/>
      <c r="AF16" s="59"/>
      <c r="AG16" s="11"/>
      <c r="AH16" s="11"/>
    </row>
  </sheetData>
  <pageMargins left="0.75" right="0.75" top="1" bottom="1" header="0.511805555555556" footer="0.511805555555556"/>
  <headerFooter/>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12"/>
  <sheetViews>
    <sheetView workbookViewId="0">
      <selection activeCell="B18" sqref="B18"/>
    </sheetView>
  </sheetViews>
  <sheetFormatPr defaultColWidth="8.90131578947368" defaultRowHeight="15.2" outlineLevelCol="2"/>
  <cols>
    <col min="1" max="1" width="17.0986842105263" customWidth="1"/>
    <col min="2" max="2" width="15" customWidth="1"/>
    <col min="3" max="3" width="12.9013157894737" customWidth="1"/>
  </cols>
  <sheetData>
    <row r="1" ht="16" spans="1:3">
      <c r="A1" s="2" t="s">
        <v>1642</v>
      </c>
      <c r="B1" s="2" t="s">
        <v>26</v>
      </c>
      <c r="C1" s="2"/>
    </row>
    <row r="2" ht="16" spans="1:3">
      <c r="A2" s="2" t="s">
        <v>39</v>
      </c>
      <c r="B2" s="2" t="s">
        <v>40</v>
      </c>
      <c r="C2" s="2"/>
    </row>
    <row r="3" ht="16" spans="1:3">
      <c r="A3" s="2" t="s">
        <v>1247</v>
      </c>
      <c r="B3" s="2" t="s">
        <v>1643</v>
      </c>
      <c r="C3" s="2"/>
    </row>
    <row r="4" spans="1:3">
      <c r="A4" s="2">
        <v>1301</v>
      </c>
      <c r="B4" s="2" t="s">
        <v>1644</v>
      </c>
      <c r="C4" s="2"/>
    </row>
    <row r="5" spans="1:3">
      <c r="A5" s="2">
        <v>1193</v>
      </c>
      <c r="B5" s="2" t="s">
        <v>1429</v>
      </c>
      <c r="C5" s="2"/>
    </row>
    <row r="6" spans="1:3">
      <c r="A6" s="2">
        <v>1194</v>
      </c>
      <c r="B6" s="2" t="s">
        <v>1425</v>
      </c>
      <c r="C6" s="2"/>
    </row>
    <row r="7" spans="1:3">
      <c r="A7" s="2">
        <v>1137</v>
      </c>
      <c r="B7" s="2" t="s">
        <v>921</v>
      </c>
      <c r="C7" s="2"/>
    </row>
    <row r="8" spans="1:3">
      <c r="A8" s="2">
        <v>1429</v>
      </c>
      <c r="B8" s="2" t="s">
        <v>1645</v>
      </c>
      <c r="C8" s="2"/>
    </row>
    <row r="9" spans="1:3">
      <c r="A9" s="2">
        <v>1430</v>
      </c>
      <c r="B9" s="2" t="s">
        <v>1646</v>
      </c>
      <c r="C9" s="2"/>
    </row>
    <row r="10" spans="1:3">
      <c r="A10" s="2">
        <v>1431</v>
      </c>
      <c r="B10" s="2" t="s">
        <v>1647</v>
      </c>
      <c r="C10" s="2"/>
    </row>
    <row r="11" spans="1:3">
      <c r="A11" s="2">
        <v>103</v>
      </c>
      <c r="B11" s="2" t="s">
        <v>12</v>
      </c>
      <c r="C11" s="2"/>
    </row>
    <row r="12" spans="1:3">
      <c r="A12" s="2">
        <v>13543</v>
      </c>
      <c r="B12" s="2" t="s">
        <v>1648</v>
      </c>
      <c r="C12" s="2"/>
    </row>
  </sheetData>
  <pageMargins left="0.75" right="0.75" top="1" bottom="1" header="0.511805555555556" footer="0.511805555555556"/>
  <headerFooter/>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R17"/>
  <sheetViews>
    <sheetView workbookViewId="0">
      <selection activeCell="N13" sqref="N13"/>
    </sheetView>
  </sheetViews>
  <sheetFormatPr defaultColWidth="8.90131578947368" defaultRowHeight="15.2"/>
  <cols>
    <col min="6" max="6" width="30.1973684210526" customWidth="1"/>
    <col min="14" max="14" width="18.4013157894737" customWidth="1"/>
    <col min="16" max="16" width="11.4013157894737" customWidth="1"/>
    <col min="18" max="18" width="17.6973684210526" customWidth="1"/>
  </cols>
  <sheetData>
    <row r="1" ht="23.1" customHeight="1" spans="1:18">
      <c r="A1" s="1" t="s">
        <v>822</v>
      </c>
      <c r="B1" s="1" t="s">
        <v>1649</v>
      </c>
      <c r="C1" s="1" t="s">
        <v>29</v>
      </c>
      <c r="D1" s="1" t="s">
        <v>824</v>
      </c>
      <c r="E1" s="1" t="s">
        <v>825</v>
      </c>
      <c r="F1" s="1" t="s">
        <v>26</v>
      </c>
      <c r="G1" s="1" t="s">
        <v>1650</v>
      </c>
      <c r="H1" s="2"/>
      <c r="I1" s="1" t="s">
        <v>1262</v>
      </c>
      <c r="J1" s="1" t="s">
        <v>29</v>
      </c>
      <c r="K1" s="1" t="s">
        <v>824</v>
      </c>
      <c r="L1" s="1" t="s">
        <v>26</v>
      </c>
      <c r="N1" s="1" t="s">
        <v>1651</v>
      </c>
      <c r="P1" s="1" t="s">
        <v>1652</v>
      </c>
      <c r="R1" s="1" t="s">
        <v>1653</v>
      </c>
    </row>
    <row r="2" ht="23.1" customHeight="1" spans="1:18">
      <c r="A2" s="1" t="s">
        <v>39</v>
      </c>
      <c r="B2" s="1" t="s">
        <v>39</v>
      </c>
      <c r="C2" s="1" t="s">
        <v>39</v>
      </c>
      <c r="D2" s="1" t="s">
        <v>39</v>
      </c>
      <c r="E2" s="1" t="s">
        <v>39</v>
      </c>
      <c r="F2" s="1" t="s">
        <v>514</v>
      </c>
      <c r="G2" s="1" t="s">
        <v>39</v>
      </c>
      <c r="H2" s="2"/>
      <c r="I2" s="1" t="s">
        <v>39</v>
      </c>
      <c r="J2" s="1" t="s">
        <v>39</v>
      </c>
      <c r="K2" s="1" t="s">
        <v>39</v>
      </c>
      <c r="L2" s="1" t="s">
        <v>514</v>
      </c>
      <c r="N2" s="1" t="s">
        <v>39</v>
      </c>
      <c r="P2" s="1" t="s">
        <v>39</v>
      </c>
      <c r="R2" s="1" t="s">
        <v>514</v>
      </c>
    </row>
    <row r="3" ht="23.1" customHeight="1" spans="1:18">
      <c r="A3" s="3" t="s">
        <v>790</v>
      </c>
      <c r="B3" s="3" t="s">
        <v>535</v>
      </c>
      <c r="C3" s="3" t="s">
        <v>1654</v>
      </c>
      <c r="D3" s="3" t="s">
        <v>828</v>
      </c>
      <c r="E3" s="3" t="s">
        <v>1655</v>
      </c>
      <c r="F3" s="3" t="s">
        <v>1225</v>
      </c>
      <c r="G3" s="3" t="s">
        <v>1656</v>
      </c>
      <c r="H3" s="2"/>
      <c r="I3" s="3" t="s">
        <v>1421</v>
      </c>
      <c r="J3" s="3" t="s">
        <v>1654</v>
      </c>
      <c r="K3" s="3" t="s">
        <v>828</v>
      </c>
      <c r="L3" s="3" t="s">
        <v>1225</v>
      </c>
      <c r="N3" s="3" t="s">
        <v>1657</v>
      </c>
      <c r="P3" s="3" t="s">
        <v>1658</v>
      </c>
      <c r="R3" s="1" t="s">
        <v>1659</v>
      </c>
    </row>
    <row r="4" ht="23.1" customHeight="1" spans="1:18">
      <c r="A4" s="1">
        <v>1</v>
      </c>
      <c r="B4" s="1">
        <v>5000</v>
      </c>
      <c r="C4" s="1">
        <v>101</v>
      </c>
      <c r="D4" s="1">
        <v>50000</v>
      </c>
      <c r="E4" s="1">
        <v>0</v>
      </c>
      <c r="F4" s="3" t="s">
        <v>1660</v>
      </c>
      <c r="G4" s="1">
        <v>2</v>
      </c>
      <c r="H4" s="2"/>
      <c r="I4" s="1">
        <v>1</v>
      </c>
      <c r="J4" s="1">
        <v>1194</v>
      </c>
      <c r="K4" s="1">
        <v>10</v>
      </c>
      <c r="L4" s="3" t="s">
        <v>1425</v>
      </c>
      <c r="N4" s="1">
        <v>0</v>
      </c>
      <c r="P4" s="1">
        <v>33</v>
      </c>
      <c r="R4" s="1" t="s">
        <v>1661</v>
      </c>
    </row>
    <row r="5" ht="23.1" customHeight="1" spans="1:18">
      <c r="A5" s="1">
        <v>2</v>
      </c>
      <c r="B5" s="1">
        <v>1000</v>
      </c>
      <c r="C5" s="1">
        <v>1194</v>
      </c>
      <c r="D5" s="1">
        <v>1</v>
      </c>
      <c r="E5" s="1">
        <v>0</v>
      </c>
      <c r="F5" s="3" t="s">
        <v>1239</v>
      </c>
      <c r="G5" s="1">
        <v>1</v>
      </c>
      <c r="H5" s="2"/>
      <c r="I5" s="1">
        <v>2</v>
      </c>
      <c r="J5" s="1">
        <v>1194</v>
      </c>
      <c r="K5" s="1">
        <v>8</v>
      </c>
      <c r="L5" s="3" t="s">
        <v>1425</v>
      </c>
      <c r="N5" s="1">
        <v>12</v>
      </c>
      <c r="R5" s="1" t="s">
        <v>1662</v>
      </c>
    </row>
    <row r="6" ht="23.1" customHeight="1" spans="1:18">
      <c r="A6" s="1">
        <v>3</v>
      </c>
      <c r="B6" s="1">
        <v>5000</v>
      </c>
      <c r="C6" s="1">
        <v>1430</v>
      </c>
      <c r="D6" s="1">
        <v>2</v>
      </c>
      <c r="E6" s="1">
        <v>0</v>
      </c>
      <c r="F6" s="3" t="s">
        <v>1663</v>
      </c>
      <c r="G6" s="1">
        <v>3</v>
      </c>
      <c r="H6" s="2"/>
      <c r="I6" s="1">
        <v>3</v>
      </c>
      <c r="J6" s="1">
        <v>1194</v>
      </c>
      <c r="K6" s="1">
        <v>6</v>
      </c>
      <c r="L6" s="3" t="s">
        <v>1425</v>
      </c>
      <c r="N6" s="1">
        <v>18</v>
      </c>
      <c r="R6" s="1" t="s">
        <v>1664</v>
      </c>
    </row>
    <row r="7" ht="23.1" customHeight="1" spans="1:18">
      <c r="A7" s="1">
        <v>4</v>
      </c>
      <c r="B7" s="1">
        <v>2500</v>
      </c>
      <c r="C7" s="1">
        <v>1193</v>
      </c>
      <c r="D7" s="1">
        <v>1</v>
      </c>
      <c r="E7" s="1">
        <v>0</v>
      </c>
      <c r="F7" s="3" t="s">
        <v>1240</v>
      </c>
      <c r="G7" s="1">
        <v>2</v>
      </c>
      <c r="H7" s="2"/>
      <c r="I7" s="1">
        <v>4</v>
      </c>
      <c r="J7" s="1">
        <v>1194</v>
      </c>
      <c r="K7" s="1">
        <v>4</v>
      </c>
      <c r="L7" s="3" t="s">
        <v>1425</v>
      </c>
      <c r="N7" s="1">
        <v>21</v>
      </c>
      <c r="R7" s="1" t="s">
        <v>1665</v>
      </c>
    </row>
    <row r="8" ht="23.1" customHeight="1" spans="1:18">
      <c r="A8" s="1">
        <v>5</v>
      </c>
      <c r="B8" s="1">
        <v>15000</v>
      </c>
      <c r="C8" s="1">
        <v>1287</v>
      </c>
      <c r="D8" s="1">
        <v>1</v>
      </c>
      <c r="E8" s="1">
        <v>0</v>
      </c>
      <c r="F8" s="3" t="s">
        <v>1238</v>
      </c>
      <c r="G8" s="1">
        <v>5</v>
      </c>
      <c r="H8" s="2"/>
      <c r="I8" s="1">
        <v>5</v>
      </c>
      <c r="J8" s="1">
        <v>1194</v>
      </c>
      <c r="K8" s="1">
        <v>3</v>
      </c>
      <c r="L8" s="3" t="s">
        <v>1425</v>
      </c>
      <c r="R8" s="1" t="s">
        <v>1666</v>
      </c>
    </row>
    <row r="9" ht="23.1" customHeight="1" spans="1:18">
      <c r="A9" s="1">
        <v>6</v>
      </c>
      <c r="B9" s="1">
        <v>10000</v>
      </c>
      <c r="C9" s="1">
        <v>1137</v>
      </c>
      <c r="D9" s="1">
        <v>30</v>
      </c>
      <c r="E9" s="1">
        <v>0</v>
      </c>
      <c r="F9" s="3" t="s">
        <v>1667</v>
      </c>
      <c r="G9" s="1">
        <v>4</v>
      </c>
      <c r="H9" s="2"/>
      <c r="I9" s="1">
        <v>6</v>
      </c>
      <c r="J9" s="1">
        <v>1194</v>
      </c>
      <c r="K9" s="1">
        <v>2</v>
      </c>
      <c r="L9" s="3" t="s">
        <v>1425</v>
      </c>
      <c r="R9" s="1" t="s">
        <v>1668</v>
      </c>
    </row>
    <row r="10" ht="23.1" customHeight="1" spans="1:18">
      <c r="A10" s="1">
        <v>7</v>
      </c>
      <c r="B10" s="1">
        <v>400</v>
      </c>
      <c r="C10" s="1">
        <v>1472</v>
      </c>
      <c r="D10" s="1">
        <v>1</v>
      </c>
      <c r="E10" s="1">
        <v>1</v>
      </c>
      <c r="F10" s="3" t="s">
        <v>1669</v>
      </c>
      <c r="G10" s="1">
        <v>0</v>
      </c>
      <c r="H10" s="2"/>
      <c r="I10" s="1">
        <v>7</v>
      </c>
      <c r="J10" s="1">
        <v>1194</v>
      </c>
      <c r="K10" s="1">
        <v>1</v>
      </c>
      <c r="L10" s="3" t="s">
        <v>1425</v>
      </c>
      <c r="R10" s="1" t="s">
        <v>1670</v>
      </c>
    </row>
    <row r="11" ht="23.1" customHeight="1" spans="1:18">
      <c r="A11" s="1">
        <v>8</v>
      </c>
      <c r="B11" s="1">
        <v>15000</v>
      </c>
      <c r="C11" s="1">
        <v>1301</v>
      </c>
      <c r="D11" s="1">
        <v>1</v>
      </c>
      <c r="E11" s="1">
        <v>0</v>
      </c>
      <c r="F11" s="3" t="s">
        <v>1671</v>
      </c>
      <c r="G11" s="1">
        <v>3</v>
      </c>
      <c r="H11" s="2"/>
      <c r="I11" s="1">
        <v>8</v>
      </c>
      <c r="J11" s="1">
        <v>1194</v>
      </c>
      <c r="K11" s="1">
        <v>1</v>
      </c>
      <c r="L11" s="3" t="s">
        <v>1425</v>
      </c>
      <c r="R11" s="1" t="s">
        <v>1672</v>
      </c>
    </row>
    <row r="12" ht="23.1" customHeight="1" spans="1:18">
      <c r="A12" s="1">
        <v>9</v>
      </c>
      <c r="B12" s="1">
        <v>1000</v>
      </c>
      <c r="C12" s="1">
        <v>1431</v>
      </c>
      <c r="D12" s="1">
        <v>1</v>
      </c>
      <c r="E12" s="1">
        <v>0</v>
      </c>
      <c r="F12" s="3" t="s">
        <v>1673</v>
      </c>
      <c r="G12" s="1">
        <v>1</v>
      </c>
      <c r="H12" s="2"/>
      <c r="I12" s="1">
        <v>9</v>
      </c>
      <c r="J12" s="1">
        <v>1194</v>
      </c>
      <c r="K12" s="1">
        <v>1</v>
      </c>
      <c r="L12" s="3" t="s">
        <v>1425</v>
      </c>
      <c r="R12" s="1" t="s">
        <v>1674</v>
      </c>
    </row>
    <row r="13" ht="23.1" customHeight="1" spans="1:12">
      <c r="A13" s="1">
        <v>10</v>
      </c>
      <c r="B13" s="1">
        <v>25000</v>
      </c>
      <c r="C13" s="1">
        <v>101</v>
      </c>
      <c r="D13" s="1">
        <v>10000</v>
      </c>
      <c r="E13" s="1">
        <v>0</v>
      </c>
      <c r="F13" s="3" t="s">
        <v>1660</v>
      </c>
      <c r="G13" s="1">
        <v>5</v>
      </c>
      <c r="H13" s="2"/>
      <c r="I13" s="1">
        <v>10</v>
      </c>
      <c r="J13" s="1">
        <v>1194</v>
      </c>
      <c r="K13" s="1">
        <v>1</v>
      </c>
      <c r="L13" s="3" t="s">
        <v>1425</v>
      </c>
    </row>
    <row r="14" ht="23.1" customHeight="1" spans="1:8">
      <c r="A14" s="1">
        <v>11</v>
      </c>
      <c r="B14" s="1">
        <v>15000</v>
      </c>
      <c r="C14" s="1">
        <v>1408</v>
      </c>
      <c r="D14" s="1">
        <v>10</v>
      </c>
      <c r="E14" s="1">
        <v>0</v>
      </c>
      <c r="F14" s="3" t="s">
        <v>1675</v>
      </c>
      <c r="G14" s="1">
        <v>4</v>
      </c>
      <c r="H14" s="2"/>
    </row>
    <row r="15" ht="23.1" customHeight="1" spans="1:8">
      <c r="A15" s="1">
        <v>12</v>
      </c>
      <c r="B15" s="1">
        <v>90</v>
      </c>
      <c r="C15" s="1">
        <v>103</v>
      </c>
      <c r="D15" s="1">
        <v>10</v>
      </c>
      <c r="E15" s="1">
        <v>0</v>
      </c>
      <c r="F15" s="3" t="s">
        <v>1676</v>
      </c>
      <c r="G15" s="1">
        <v>1</v>
      </c>
      <c r="H15" s="2"/>
    </row>
    <row r="16" ht="23.1" customHeight="1" spans="1:8">
      <c r="A16" s="1">
        <v>13</v>
      </c>
      <c r="B16" s="1">
        <v>5000</v>
      </c>
      <c r="C16" s="1">
        <v>1429</v>
      </c>
      <c r="D16" s="1">
        <v>2</v>
      </c>
      <c r="E16" s="1">
        <v>0</v>
      </c>
      <c r="F16" s="3" t="s">
        <v>1677</v>
      </c>
      <c r="G16" s="1">
        <v>3</v>
      </c>
      <c r="H16" s="2"/>
    </row>
    <row r="17" ht="23.1" customHeight="1" spans="1:8">
      <c r="A17" s="1">
        <v>14</v>
      </c>
      <c r="B17" s="1">
        <v>10</v>
      </c>
      <c r="C17" s="1">
        <v>13549</v>
      </c>
      <c r="D17" s="1">
        <v>1</v>
      </c>
      <c r="E17" s="1">
        <v>1</v>
      </c>
      <c r="F17" s="3" t="s">
        <v>1678</v>
      </c>
      <c r="G17" s="1">
        <v>0</v>
      </c>
      <c r="H17" s="2"/>
    </row>
  </sheetData>
  <pageMargins left="0.75" right="0.75" top="1" bottom="1" header="0.511805555555556" footer="0.511805555555556"/>
  <pageSetup paperSize="9" orientation="portrait"/>
  <headerFooter/>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X16"/>
  <sheetViews>
    <sheetView topLeftCell="E1" workbookViewId="0">
      <selection activeCell="Q17" sqref="Q17"/>
    </sheetView>
  </sheetViews>
  <sheetFormatPr defaultColWidth="8.69736842105263" defaultRowHeight="21" customHeight="1"/>
  <cols>
    <col min="2" max="2" width="12.5986842105263" customWidth="1"/>
    <col min="18" max="18" width="12.5986842105263" customWidth="1"/>
    <col min="22" max="22" width="13.6973684210526" customWidth="1"/>
  </cols>
  <sheetData>
    <row r="1" customHeight="1" spans="1:24">
      <c r="A1" s="29" t="s">
        <v>1401</v>
      </c>
      <c r="B1" s="29" t="s">
        <v>824</v>
      </c>
      <c r="D1" s="29" t="s">
        <v>822</v>
      </c>
      <c r="E1" s="29" t="s">
        <v>1649</v>
      </c>
      <c r="F1" s="29" t="s">
        <v>543</v>
      </c>
      <c r="G1" s="29" t="s">
        <v>824</v>
      </c>
      <c r="H1" s="29" t="s">
        <v>825</v>
      </c>
      <c r="I1" s="29" t="s">
        <v>1679</v>
      </c>
      <c r="J1" s="29" t="s">
        <v>26</v>
      </c>
      <c r="K1" s="29" t="s">
        <v>1680</v>
      </c>
      <c r="L1" s="29" t="s">
        <v>1681</v>
      </c>
      <c r="M1" s="29" t="s">
        <v>1682</v>
      </c>
      <c r="N1" s="29" t="s">
        <v>1221</v>
      </c>
      <c r="O1" s="29" t="s">
        <v>1683</v>
      </c>
      <c r="P1" s="29" t="s">
        <v>1684</v>
      </c>
      <c r="R1" s="29" t="s">
        <v>1685</v>
      </c>
      <c r="T1" s="29" t="s">
        <v>1686</v>
      </c>
      <c r="V1" s="29" t="s">
        <v>1653</v>
      </c>
      <c r="X1" s="29" t="s">
        <v>1223</v>
      </c>
    </row>
    <row r="2" customHeight="1" spans="1:24">
      <c r="A2" s="53" t="s">
        <v>39</v>
      </c>
      <c r="B2" s="53" t="s">
        <v>39</v>
      </c>
      <c r="D2" s="29" t="s">
        <v>39</v>
      </c>
      <c r="E2" s="29" t="s">
        <v>39</v>
      </c>
      <c r="F2" s="29" t="s">
        <v>39</v>
      </c>
      <c r="G2" s="29" t="s">
        <v>39</v>
      </c>
      <c r="H2" s="29" t="s">
        <v>39</v>
      </c>
      <c r="I2" s="29" t="s">
        <v>39</v>
      </c>
      <c r="J2" s="29" t="s">
        <v>514</v>
      </c>
      <c r="K2" s="29" t="s">
        <v>39</v>
      </c>
      <c r="L2" s="29" t="s">
        <v>39</v>
      </c>
      <c r="M2" s="29" t="s">
        <v>39</v>
      </c>
      <c r="N2" s="29" t="s">
        <v>39</v>
      </c>
      <c r="O2" s="29" t="s">
        <v>39</v>
      </c>
      <c r="P2" s="29" t="s">
        <v>39</v>
      </c>
      <c r="R2" s="29" t="s">
        <v>1687</v>
      </c>
      <c r="T2" s="29" t="s">
        <v>39</v>
      </c>
      <c r="V2" s="29" t="s">
        <v>514</v>
      </c>
      <c r="X2" s="29" t="s">
        <v>514</v>
      </c>
    </row>
    <row r="3" customHeight="1" spans="1:24">
      <c r="A3" s="29" t="s">
        <v>1688</v>
      </c>
      <c r="B3" s="30" t="s">
        <v>1689</v>
      </c>
      <c r="D3" s="29" t="s">
        <v>790</v>
      </c>
      <c r="E3" s="29" t="s">
        <v>535</v>
      </c>
      <c r="F3" s="29" t="s">
        <v>1690</v>
      </c>
      <c r="G3" s="29" t="s">
        <v>828</v>
      </c>
      <c r="H3" s="29" t="s">
        <v>1655</v>
      </c>
      <c r="I3" s="30" t="s">
        <v>1691</v>
      </c>
      <c r="J3" s="29" t="s">
        <v>1225</v>
      </c>
      <c r="K3" s="29" t="s">
        <v>1692</v>
      </c>
      <c r="L3" s="29" t="s">
        <v>1693</v>
      </c>
      <c r="M3" s="29" t="s">
        <v>1694</v>
      </c>
      <c r="N3" s="29" t="s">
        <v>1695</v>
      </c>
      <c r="O3" s="29" t="s">
        <v>1696</v>
      </c>
      <c r="P3" s="29" t="s">
        <v>1697</v>
      </c>
      <c r="R3" s="29" t="s">
        <v>1698</v>
      </c>
      <c r="T3" s="29" t="s">
        <v>1699</v>
      </c>
      <c r="V3" s="30" t="s">
        <v>1700</v>
      </c>
      <c r="X3" s="29" t="s">
        <v>1701</v>
      </c>
    </row>
    <row r="4" customHeight="1" spans="1:24">
      <c r="A4" s="29">
        <v>0</v>
      </c>
      <c r="B4" s="29">
        <v>1</v>
      </c>
      <c r="D4" s="29">
        <v>1</v>
      </c>
      <c r="E4" s="29">
        <v>100</v>
      </c>
      <c r="F4" s="29">
        <v>13550</v>
      </c>
      <c r="G4" s="29">
        <v>1</v>
      </c>
      <c r="H4" s="29">
        <v>1</v>
      </c>
      <c r="I4" s="29">
        <v>1</v>
      </c>
      <c r="J4" s="29" t="s">
        <v>1702</v>
      </c>
      <c r="K4" s="29">
        <v>-1</v>
      </c>
      <c r="L4" s="29">
        <v>1000</v>
      </c>
      <c r="M4" s="29">
        <v>12</v>
      </c>
      <c r="N4" s="29">
        <v>30</v>
      </c>
      <c r="O4" s="29">
        <v>1</v>
      </c>
      <c r="P4" s="29">
        <v>2</v>
      </c>
      <c r="R4" s="29" t="s">
        <v>1703</v>
      </c>
      <c r="T4" s="29">
        <v>5</v>
      </c>
      <c r="V4" s="29" t="s">
        <v>1661</v>
      </c>
      <c r="X4" s="29" t="s">
        <v>1704</v>
      </c>
    </row>
    <row r="5" customHeight="1" spans="1:22">
      <c r="A5" s="29">
        <v>1</v>
      </c>
      <c r="B5" s="29">
        <v>2</v>
      </c>
      <c r="D5" s="29">
        <v>2</v>
      </c>
      <c r="E5" s="29">
        <v>200</v>
      </c>
      <c r="F5" s="29">
        <v>13549</v>
      </c>
      <c r="G5" s="29">
        <v>1</v>
      </c>
      <c r="H5" s="29">
        <v>1</v>
      </c>
      <c r="I5" s="29">
        <v>1</v>
      </c>
      <c r="J5" s="29" t="s">
        <v>1705</v>
      </c>
      <c r="K5" s="29">
        <v>-1</v>
      </c>
      <c r="L5" s="29">
        <v>200</v>
      </c>
      <c r="M5" s="29">
        <v>8</v>
      </c>
      <c r="N5" s="29">
        <v>25</v>
      </c>
      <c r="O5" s="29">
        <v>1</v>
      </c>
      <c r="P5" s="29">
        <v>5</v>
      </c>
      <c r="T5" s="29">
        <v>11</v>
      </c>
      <c r="V5" s="29" t="s">
        <v>1662</v>
      </c>
    </row>
    <row r="6" customHeight="1" spans="1:22">
      <c r="A6" s="29">
        <v>2</v>
      </c>
      <c r="B6" s="29">
        <v>3</v>
      </c>
      <c r="D6" s="29">
        <v>3</v>
      </c>
      <c r="E6" s="29">
        <v>500</v>
      </c>
      <c r="F6" s="29">
        <v>13548</v>
      </c>
      <c r="G6" s="29">
        <v>1</v>
      </c>
      <c r="H6" s="29">
        <v>1</v>
      </c>
      <c r="I6" s="29">
        <v>1</v>
      </c>
      <c r="J6" s="29" t="s">
        <v>1706</v>
      </c>
      <c r="K6" s="29">
        <v>-1</v>
      </c>
      <c r="L6" s="29">
        <v>20</v>
      </c>
      <c r="M6" s="29">
        <v>4</v>
      </c>
      <c r="N6" s="29">
        <v>15</v>
      </c>
      <c r="O6" s="29">
        <v>2</v>
      </c>
      <c r="P6" s="29">
        <v>100</v>
      </c>
      <c r="T6" s="29">
        <v>17</v>
      </c>
      <c r="V6" s="29" t="s">
        <v>1664</v>
      </c>
    </row>
    <row r="7" customHeight="1" spans="1:22">
      <c r="A7" s="29">
        <v>3</v>
      </c>
      <c r="B7" s="29">
        <v>3</v>
      </c>
      <c r="D7" s="29">
        <v>4</v>
      </c>
      <c r="E7" s="29">
        <v>5</v>
      </c>
      <c r="F7" s="29">
        <v>101</v>
      </c>
      <c r="G7" s="29">
        <v>5000000</v>
      </c>
      <c r="H7" s="29">
        <v>0</v>
      </c>
      <c r="I7" s="29">
        <v>0</v>
      </c>
      <c r="J7" s="29" t="s">
        <v>6</v>
      </c>
      <c r="K7" s="29">
        <v>-1</v>
      </c>
      <c r="L7" s="29">
        <v>50</v>
      </c>
      <c r="M7" s="29">
        <v>4</v>
      </c>
      <c r="N7" s="29">
        <v>20</v>
      </c>
      <c r="O7" s="29">
        <v>-1</v>
      </c>
      <c r="P7" s="29">
        <v>-1</v>
      </c>
      <c r="T7" s="29">
        <v>23</v>
      </c>
      <c r="V7" s="29" t="s">
        <v>1665</v>
      </c>
    </row>
    <row r="8" customHeight="1" spans="1:22">
      <c r="A8" s="29">
        <v>4</v>
      </c>
      <c r="B8" s="29">
        <v>3</v>
      </c>
      <c r="D8" s="29">
        <v>5</v>
      </c>
      <c r="E8" s="29">
        <v>30</v>
      </c>
      <c r="F8" s="29">
        <v>101</v>
      </c>
      <c r="G8" s="29">
        <v>1000000</v>
      </c>
      <c r="H8" s="29">
        <v>0</v>
      </c>
      <c r="I8" s="29">
        <v>0</v>
      </c>
      <c r="J8" s="29" t="s">
        <v>6</v>
      </c>
      <c r="K8" s="29">
        <v>-1</v>
      </c>
      <c r="L8" s="29">
        <v>0</v>
      </c>
      <c r="M8" s="29">
        <v>0</v>
      </c>
      <c r="N8" s="29">
        <v>0</v>
      </c>
      <c r="O8" s="29">
        <v>-1</v>
      </c>
      <c r="P8" s="29">
        <v>-1</v>
      </c>
      <c r="V8" s="29" t="s">
        <v>1666</v>
      </c>
    </row>
    <row r="9" customHeight="1" spans="1:22">
      <c r="A9" s="29">
        <v>5</v>
      </c>
      <c r="B9" s="29">
        <v>4</v>
      </c>
      <c r="D9" s="29">
        <v>6</v>
      </c>
      <c r="E9" s="29">
        <v>100</v>
      </c>
      <c r="F9" s="29">
        <v>101</v>
      </c>
      <c r="G9" s="29">
        <v>500000</v>
      </c>
      <c r="H9" s="29">
        <v>0</v>
      </c>
      <c r="I9" s="29">
        <v>0</v>
      </c>
      <c r="J9" s="29" t="s">
        <v>6</v>
      </c>
      <c r="K9" s="29">
        <v>-1</v>
      </c>
      <c r="L9" s="29">
        <v>0</v>
      </c>
      <c r="M9" s="29">
        <v>0</v>
      </c>
      <c r="N9" s="29">
        <v>0</v>
      </c>
      <c r="O9" s="29">
        <v>-1</v>
      </c>
      <c r="P9" s="29">
        <v>-1</v>
      </c>
      <c r="V9" s="29" t="s">
        <v>1668</v>
      </c>
    </row>
    <row r="10" customHeight="1" spans="1:22">
      <c r="A10" s="29">
        <v>6</v>
      </c>
      <c r="B10" s="29">
        <v>4</v>
      </c>
      <c r="D10" s="29">
        <v>7</v>
      </c>
      <c r="E10" s="29">
        <v>500</v>
      </c>
      <c r="F10" s="29">
        <v>101</v>
      </c>
      <c r="G10" s="29">
        <v>100000</v>
      </c>
      <c r="H10" s="29">
        <v>0</v>
      </c>
      <c r="I10" s="29">
        <v>0</v>
      </c>
      <c r="J10" s="29" t="s">
        <v>6</v>
      </c>
      <c r="K10" s="29">
        <v>-1</v>
      </c>
      <c r="L10" s="29">
        <v>0</v>
      </c>
      <c r="M10" s="29">
        <v>0</v>
      </c>
      <c r="N10" s="29">
        <v>0</v>
      </c>
      <c r="O10" s="29">
        <v>-1</v>
      </c>
      <c r="P10" s="29">
        <v>-1</v>
      </c>
      <c r="V10" s="29" t="s">
        <v>1670</v>
      </c>
    </row>
    <row r="11" customHeight="1" spans="1:22">
      <c r="A11" s="29">
        <v>7</v>
      </c>
      <c r="B11" s="29">
        <v>4</v>
      </c>
      <c r="D11" s="29">
        <v>8</v>
      </c>
      <c r="E11" s="29">
        <v>1000</v>
      </c>
      <c r="F11" s="29">
        <v>101</v>
      </c>
      <c r="G11" s="29">
        <v>66666</v>
      </c>
      <c r="H11" s="29">
        <v>0</v>
      </c>
      <c r="I11" s="29">
        <v>0</v>
      </c>
      <c r="J11" s="29" t="s">
        <v>6</v>
      </c>
      <c r="K11" s="29">
        <v>-1</v>
      </c>
      <c r="L11" s="29">
        <v>0</v>
      </c>
      <c r="M11" s="29">
        <v>0</v>
      </c>
      <c r="N11" s="29">
        <v>0</v>
      </c>
      <c r="O11" s="29">
        <v>-1</v>
      </c>
      <c r="P11" s="29">
        <v>-1</v>
      </c>
      <c r="V11" s="29" t="s">
        <v>1672</v>
      </c>
    </row>
    <row r="12" customHeight="1" spans="1:22">
      <c r="A12" s="29">
        <v>8</v>
      </c>
      <c r="B12" s="29">
        <v>5</v>
      </c>
      <c r="D12" s="29">
        <v>9</v>
      </c>
      <c r="E12" s="29">
        <v>3000</v>
      </c>
      <c r="F12" s="29">
        <v>101</v>
      </c>
      <c r="G12" s="29">
        <v>30000</v>
      </c>
      <c r="H12" s="29">
        <v>0</v>
      </c>
      <c r="I12" s="29">
        <v>0</v>
      </c>
      <c r="J12" s="29" t="s">
        <v>6</v>
      </c>
      <c r="K12" s="29">
        <v>1</v>
      </c>
      <c r="L12" s="29">
        <v>0</v>
      </c>
      <c r="M12" s="29">
        <v>0</v>
      </c>
      <c r="N12" s="29">
        <v>0</v>
      </c>
      <c r="O12" s="29">
        <v>-1</v>
      </c>
      <c r="P12" s="29">
        <v>-1</v>
      </c>
      <c r="V12" s="29" t="s">
        <v>1674</v>
      </c>
    </row>
    <row r="13" customHeight="1" spans="1:16">
      <c r="A13" s="29">
        <v>9</v>
      </c>
      <c r="B13" s="29">
        <v>5</v>
      </c>
      <c r="D13" s="29">
        <v>10</v>
      </c>
      <c r="E13" s="29">
        <v>8565</v>
      </c>
      <c r="F13" s="29">
        <v>101</v>
      </c>
      <c r="G13" s="29">
        <v>10000</v>
      </c>
      <c r="H13" s="29">
        <v>0</v>
      </c>
      <c r="I13" s="29">
        <v>0</v>
      </c>
      <c r="J13" s="29" t="s">
        <v>6</v>
      </c>
      <c r="K13" s="29">
        <v>-1</v>
      </c>
      <c r="L13" s="29">
        <v>0</v>
      </c>
      <c r="M13" s="29">
        <v>0</v>
      </c>
      <c r="N13" s="29">
        <v>0</v>
      </c>
      <c r="O13" s="29">
        <v>-1</v>
      </c>
      <c r="P13" s="29">
        <v>-1</v>
      </c>
    </row>
    <row r="14" customHeight="1" spans="1:16">
      <c r="A14" s="29">
        <v>10</v>
      </c>
      <c r="B14" s="29">
        <v>5</v>
      </c>
      <c r="D14" s="29">
        <v>11</v>
      </c>
      <c r="E14" s="29">
        <v>5000</v>
      </c>
      <c r="F14" s="29">
        <v>1137</v>
      </c>
      <c r="G14" s="29">
        <v>10</v>
      </c>
      <c r="H14" s="29">
        <v>0</v>
      </c>
      <c r="I14" s="29">
        <v>1</v>
      </c>
      <c r="J14" s="29" t="s">
        <v>921</v>
      </c>
      <c r="K14" s="29">
        <v>-1</v>
      </c>
      <c r="L14" s="29">
        <v>0</v>
      </c>
      <c r="M14" s="29">
        <v>0</v>
      </c>
      <c r="N14" s="29">
        <v>18</v>
      </c>
      <c r="O14" s="29">
        <v>-1</v>
      </c>
      <c r="P14" s="29">
        <v>-1</v>
      </c>
    </row>
    <row r="15" customHeight="1" spans="1:16">
      <c r="A15" s="29">
        <v>11</v>
      </c>
      <c r="B15" s="29">
        <v>7</v>
      </c>
      <c r="D15" s="29">
        <v>12</v>
      </c>
      <c r="E15" s="29">
        <v>1000</v>
      </c>
      <c r="F15" s="29">
        <v>1472</v>
      </c>
      <c r="G15" s="29">
        <v>1</v>
      </c>
      <c r="H15" s="29">
        <v>0</v>
      </c>
      <c r="I15" s="29">
        <v>1</v>
      </c>
      <c r="J15" s="29" t="s">
        <v>1707</v>
      </c>
      <c r="K15" s="29">
        <v>-1</v>
      </c>
      <c r="L15" s="29">
        <v>0</v>
      </c>
      <c r="M15" s="29">
        <v>0</v>
      </c>
      <c r="N15" s="29">
        <v>25</v>
      </c>
      <c r="O15" s="29">
        <v>-1</v>
      </c>
      <c r="P15" s="29">
        <v>-1</v>
      </c>
    </row>
    <row r="16" customHeight="1" spans="1:2">
      <c r="A16" s="29">
        <v>12</v>
      </c>
      <c r="B16" s="29">
        <v>10</v>
      </c>
    </row>
  </sheetData>
  <pageMargins left="0.75" right="0.75" top="1" bottom="1" header="0.511805555555556" footer="0.511805555555556"/>
  <headerFooter/>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D23"/>
  <sheetViews>
    <sheetView workbookViewId="0">
      <selection activeCell="E12" sqref="E12"/>
    </sheetView>
  </sheetViews>
  <sheetFormatPr defaultColWidth="8.69736842105263" defaultRowHeight="15.2"/>
  <cols>
    <col min="1" max="7" width="8.69736842105263" style="19"/>
    <col min="8" max="8" width="54.9013157894737" style="19" customWidth="1"/>
    <col min="9" max="9" width="8.69736842105263" style="19"/>
    <col min="10" max="10" width="18.5986842105263" style="19" customWidth="1"/>
    <col min="11" max="11" width="8.69736842105263" style="19"/>
    <col min="12" max="12" width="16.5" style="19" customWidth="1"/>
    <col min="13" max="17" width="8.69736842105263" style="19"/>
    <col min="18" max="18" width="15.5986842105263" style="19" customWidth="1"/>
    <col min="19" max="19" width="20.5" style="19" customWidth="1"/>
    <col min="20" max="20" width="12.9013157894737" style="19" customWidth="1"/>
    <col min="21" max="21" width="8.69736842105263" style="19"/>
    <col min="22" max="22" width="9.59868421052632" style="19" customWidth="1"/>
    <col min="23" max="16384" width="8.69736842105263" style="19"/>
  </cols>
  <sheetData>
    <row r="1" ht="31" spans="1:30">
      <c r="A1" s="46" t="s">
        <v>1708</v>
      </c>
      <c r="B1" s="46" t="s">
        <v>543</v>
      </c>
      <c r="C1" s="46" t="s">
        <v>824</v>
      </c>
      <c r="D1" s="47" t="s">
        <v>26</v>
      </c>
      <c r="F1" s="50" t="s">
        <v>1682</v>
      </c>
      <c r="G1" s="51"/>
      <c r="H1" s="51" t="s">
        <v>1223</v>
      </c>
      <c r="I1" s="51"/>
      <c r="J1" s="51" t="s">
        <v>1709</v>
      </c>
      <c r="K1" s="51"/>
      <c r="L1" s="51" t="s">
        <v>1709</v>
      </c>
      <c r="N1" s="23" t="s">
        <v>1709</v>
      </c>
      <c r="P1" s="23" t="s">
        <v>543</v>
      </c>
      <c r="Q1" s="23" t="s">
        <v>26</v>
      </c>
      <c r="S1" s="11" t="s">
        <v>1710</v>
      </c>
      <c r="T1" s="11" t="s">
        <v>1711</v>
      </c>
      <c r="V1" s="23" t="s">
        <v>1712</v>
      </c>
      <c r="X1" s="46" t="s">
        <v>543</v>
      </c>
      <c r="Y1" s="47" t="s">
        <v>26</v>
      </c>
      <c r="AA1" s="23" t="s">
        <v>1713</v>
      </c>
      <c r="AB1" s="23" t="s">
        <v>1712</v>
      </c>
      <c r="AC1" s="23"/>
      <c r="AD1" s="23" t="s">
        <v>1308</v>
      </c>
    </row>
    <row r="2" ht="20" spans="1:30">
      <c r="A2" s="46" t="s">
        <v>39</v>
      </c>
      <c r="B2" s="46" t="s">
        <v>39</v>
      </c>
      <c r="C2" s="46" t="s">
        <v>39</v>
      </c>
      <c r="D2" s="46" t="s">
        <v>514</v>
      </c>
      <c r="F2" s="51" t="s">
        <v>39</v>
      </c>
      <c r="G2" s="51"/>
      <c r="H2" s="51" t="s">
        <v>514</v>
      </c>
      <c r="I2" s="51"/>
      <c r="J2" s="51" t="s">
        <v>514</v>
      </c>
      <c r="K2" s="51"/>
      <c r="L2" s="51" t="s">
        <v>514</v>
      </c>
      <c r="N2" s="23" t="s">
        <v>514</v>
      </c>
      <c r="P2" s="23" t="s">
        <v>39</v>
      </c>
      <c r="Q2" s="23" t="s">
        <v>514</v>
      </c>
      <c r="S2" s="11" t="s">
        <v>39</v>
      </c>
      <c r="T2" s="11" t="s">
        <v>39</v>
      </c>
      <c r="V2" s="23" t="s">
        <v>41</v>
      </c>
      <c r="X2" s="46" t="s">
        <v>39</v>
      </c>
      <c r="Y2" s="46" t="s">
        <v>514</v>
      </c>
      <c r="AA2" s="23" t="s">
        <v>39</v>
      </c>
      <c r="AB2" s="23" t="s">
        <v>39</v>
      </c>
      <c r="AC2" s="23"/>
      <c r="AD2" s="23" t="s">
        <v>39</v>
      </c>
    </row>
    <row r="3" ht="51" customHeight="1" spans="1:30">
      <c r="A3" s="48" t="s">
        <v>9</v>
      </c>
      <c r="B3" s="48" t="s">
        <v>1714</v>
      </c>
      <c r="C3" s="48" t="s">
        <v>1229</v>
      </c>
      <c r="D3" s="48" t="s">
        <v>1225</v>
      </c>
      <c r="F3" s="48" t="s">
        <v>1715</v>
      </c>
      <c r="G3" s="23"/>
      <c r="H3" s="48" t="s">
        <v>1716</v>
      </c>
      <c r="I3" s="23"/>
      <c r="J3" s="48" t="s">
        <v>1717</v>
      </c>
      <c r="K3" s="23"/>
      <c r="L3" s="48" t="s">
        <v>1718</v>
      </c>
      <c r="N3" s="48" t="s">
        <v>1719</v>
      </c>
      <c r="P3" s="48" t="s">
        <v>1247</v>
      </c>
      <c r="Q3" s="48" t="s">
        <v>1643</v>
      </c>
      <c r="S3" s="52" t="s">
        <v>1720</v>
      </c>
      <c r="T3" s="52" t="s">
        <v>1721</v>
      </c>
      <c r="V3" s="48" t="s">
        <v>1722</v>
      </c>
      <c r="X3" s="48" t="s">
        <v>1714</v>
      </c>
      <c r="Y3" s="48" t="s">
        <v>1225</v>
      </c>
      <c r="AA3" s="48" t="s">
        <v>1723</v>
      </c>
      <c r="AB3" s="48" t="s">
        <v>1724</v>
      </c>
      <c r="AC3" s="23"/>
      <c r="AD3" s="48" t="s">
        <v>1725</v>
      </c>
    </row>
    <row r="4" ht="47.1" customHeight="1" spans="1:30">
      <c r="A4" s="49">
        <v>1</v>
      </c>
      <c r="B4" s="49">
        <v>14120</v>
      </c>
      <c r="C4" s="49">
        <v>10</v>
      </c>
      <c r="D4" s="48" t="s">
        <v>1726</v>
      </c>
      <c r="F4" s="23">
        <v>4</v>
      </c>
      <c r="G4" s="23"/>
      <c r="H4" s="48" t="s">
        <v>1727</v>
      </c>
      <c r="I4" s="23"/>
      <c r="J4" s="48" t="s">
        <v>1728</v>
      </c>
      <c r="K4" s="23"/>
      <c r="L4" s="48" t="s">
        <v>1729</v>
      </c>
      <c r="N4" s="48" t="s">
        <v>1730</v>
      </c>
      <c r="P4" s="23">
        <v>14120</v>
      </c>
      <c r="Q4" s="48" t="s">
        <v>1726</v>
      </c>
      <c r="S4" s="11">
        <v>100</v>
      </c>
      <c r="T4" s="11">
        <v>100</v>
      </c>
      <c r="V4" s="23">
        <v>24</v>
      </c>
      <c r="X4" s="23">
        <v>14120</v>
      </c>
      <c r="Y4" s="48" t="s">
        <v>1726</v>
      </c>
      <c r="AA4" s="23">
        <v>7</v>
      </c>
      <c r="AB4" s="23">
        <v>23</v>
      </c>
      <c r="AC4" s="23"/>
      <c r="AD4" s="23">
        <v>100</v>
      </c>
    </row>
    <row r="5" spans="1:25">
      <c r="A5" s="49">
        <v>2</v>
      </c>
      <c r="B5" s="49">
        <v>14120</v>
      </c>
      <c r="C5" s="49">
        <v>10</v>
      </c>
      <c r="D5" s="48" t="s">
        <v>1726</v>
      </c>
      <c r="P5" s="23">
        <v>14119</v>
      </c>
      <c r="Q5" s="48" t="s">
        <v>1731</v>
      </c>
      <c r="X5" s="23">
        <v>14119</v>
      </c>
      <c r="Y5" s="48" t="s">
        <v>1731</v>
      </c>
    </row>
    <row r="6" spans="1:25">
      <c r="A6" s="49">
        <v>3</v>
      </c>
      <c r="B6" s="49">
        <v>14120</v>
      </c>
      <c r="C6" s="49">
        <v>10</v>
      </c>
      <c r="D6" s="48" t="s">
        <v>1726</v>
      </c>
      <c r="P6" s="23">
        <v>1429</v>
      </c>
      <c r="Q6" s="48" t="s">
        <v>1645</v>
      </c>
      <c r="X6" s="23">
        <v>1429</v>
      </c>
      <c r="Y6" s="48" t="s">
        <v>1645</v>
      </c>
    </row>
    <row r="7" spans="1:25">
      <c r="A7" s="49">
        <v>4</v>
      </c>
      <c r="B7" s="49">
        <v>14120</v>
      </c>
      <c r="C7" s="49">
        <v>15</v>
      </c>
      <c r="D7" s="48" t="s">
        <v>1726</v>
      </c>
      <c r="P7" s="23">
        <v>1430</v>
      </c>
      <c r="Q7" s="48" t="s">
        <v>1646</v>
      </c>
      <c r="X7" s="23">
        <v>1430</v>
      </c>
      <c r="Y7" s="48" t="s">
        <v>1646</v>
      </c>
    </row>
    <row r="8" spans="1:25">
      <c r="A8" s="49">
        <v>5</v>
      </c>
      <c r="B8" s="49">
        <v>14120</v>
      </c>
      <c r="C8" s="49">
        <v>15</v>
      </c>
      <c r="D8" s="48" t="s">
        <v>1726</v>
      </c>
      <c r="P8" s="23">
        <v>1193</v>
      </c>
      <c r="Q8" s="48" t="s">
        <v>1429</v>
      </c>
      <c r="X8" s="23">
        <v>1193</v>
      </c>
      <c r="Y8" s="48" t="s">
        <v>1429</v>
      </c>
    </row>
    <row r="9" spans="1:25">
      <c r="A9" s="49">
        <v>6</v>
      </c>
      <c r="B9" s="49">
        <v>14119</v>
      </c>
      <c r="C9" s="49">
        <v>10</v>
      </c>
      <c r="D9" s="48" t="s">
        <v>1731</v>
      </c>
      <c r="P9" s="23">
        <v>1194</v>
      </c>
      <c r="Q9" s="48" t="s">
        <v>1425</v>
      </c>
      <c r="X9" s="23">
        <v>1194</v>
      </c>
      <c r="Y9" s="48" t="s">
        <v>1425</v>
      </c>
    </row>
    <row r="10" spans="1:25">
      <c r="A10" s="49">
        <v>7</v>
      </c>
      <c r="B10" s="49">
        <v>14119</v>
      </c>
      <c r="C10" s="49">
        <v>10</v>
      </c>
      <c r="D10" s="48" t="s">
        <v>1731</v>
      </c>
      <c r="X10" s="49"/>
      <c r="Y10" s="48"/>
    </row>
    <row r="11" spans="1:25">
      <c r="A11" s="49">
        <v>8</v>
      </c>
      <c r="B11" s="49">
        <v>14119</v>
      </c>
      <c r="C11" s="49">
        <v>10</v>
      </c>
      <c r="D11" s="48" t="s">
        <v>1731</v>
      </c>
      <c r="X11" s="49"/>
      <c r="Y11" s="48"/>
    </row>
    <row r="12" spans="1:25">
      <c r="A12" s="49">
        <v>9</v>
      </c>
      <c r="B12" s="49">
        <v>14119</v>
      </c>
      <c r="C12" s="49">
        <v>15</v>
      </c>
      <c r="D12" s="48" t="s">
        <v>1731</v>
      </c>
      <c r="X12" s="49"/>
      <c r="Y12" s="48"/>
    </row>
    <row r="13" spans="1:25">
      <c r="A13" s="49">
        <v>10</v>
      </c>
      <c r="B13" s="49">
        <v>14119</v>
      </c>
      <c r="C13" s="49">
        <v>15</v>
      </c>
      <c r="D13" s="48" t="s">
        <v>1731</v>
      </c>
      <c r="X13" s="49"/>
      <c r="Y13" s="48"/>
    </row>
    <row r="14" spans="1:25">
      <c r="A14" s="49">
        <v>11</v>
      </c>
      <c r="B14" s="49">
        <v>1429</v>
      </c>
      <c r="C14" s="49">
        <v>2</v>
      </c>
      <c r="D14" s="48" t="s">
        <v>1645</v>
      </c>
      <c r="X14" s="49"/>
      <c r="Y14" s="48"/>
    </row>
    <row r="15" spans="1:25">
      <c r="A15" s="49">
        <v>12</v>
      </c>
      <c r="B15" s="49">
        <v>1429</v>
      </c>
      <c r="C15" s="49">
        <v>2</v>
      </c>
      <c r="D15" s="48" t="s">
        <v>1645</v>
      </c>
      <c r="X15" s="49"/>
      <c r="Y15" s="48"/>
    </row>
    <row r="16" spans="1:25">
      <c r="A16" s="49">
        <v>13</v>
      </c>
      <c r="B16" s="49">
        <v>1429</v>
      </c>
      <c r="C16" s="49">
        <v>3</v>
      </c>
      <c r="D16" s="48" t="s">
        <v>1645</v>
      </c>
      <c r="X16" s="49"/>
      <c r="Y16" s="48"/>
    </row>
    <row r="17" spans="1:25">
      <c r="A17" s="49">
        <v>14</v>
      </c>
      <c r="B17" s="49">
        <v>1429</v>
      </c>
      <c r="C17" s="49">
        <v>4</v>
      </c>
      <c r="D17" s="48" t="s">
        <v>1645</v>
      </c>
      <c r="X17" s="49"/>
      <c r="Y17" s="48"/>
    </row>
    <row r="18" spans="1:25">
      <c r="A18" s="49">
        <v>15</v>
      </c>
      <c r="B18" s="49">
        <v>1430</v>
      </c>
      <c r="C18" s="49">
        <v>2</v>
      </c>
      <c r="D18" s="48" t="s">
        <v>1646</v>
      </c>
      <c r="X18" s="49"/>
      <c r="Y18" s="48"/>
    </row>
    <row r="19" spans="1:25">
      <c r="A19" s="49">
        <v>16</v>
      </c>
      <c r="B19" s="49">
        <v>1430</v>
      </c>
      <c r="C19" s="49">
        <v>2</v>
      </c>
      <c r="D19" s="48" t="s">
        <v>1646</v>
      </c>
      <c r="X19" s="49"/>
      <c r="Y19" s="48"/>
    </row>
    <row r="20" spans="1:25">
      <c r="A20" s="49">
        <v>17</v>
      </c>
      <c r="B20" s="49">
        <v>1430</v>
      </c>
      <c r="C20" s="49">
        <v>3</v>
      </c>
      <c r="D20" s="48" t="s">
        <v>1646</v>
      </c>
      <c r="X20" s="49"/>
      <c r="Y20" s="48"/>
    </row>
    <row r="21" spans="1:25">
      <c r="A21" s="49">
        <v>18</v>
      </c>
      <c r="B21" s="49">
        <v>1430</v>
      </c>
      <c r="C21" s="49">
        <v>4</v>
      </c>
      <c r="D21" s="48" t="s">
        <v>1646</v>
      </c>
      <c r="X21" s="49"/>
      <c r="Y21" s="48"/>
    </row>
    <row r="22" spans="1:25">
      <c r="A22" s="49">
        <v>19</v>
      </c>
      <c r="B22" s="49">
        <v>1193</v>
      </c>
      <c r="C22" s="49">
        <v>1</v>
      </c>
      <c r="D22" s="48" t="s">
        <v>1429</v>
      </c>
      <c r="X22" s="49"/>
      <c r="Y22" s="48"/>
    </row>
    <row r="23" spans="1:25">
      <c r="A23" s="49">
        <v>20</v>
      </c>
      <c r="B23" s="49">
        <v>1193</v>
      </c>
      <c r="C23" s="49">
        <v>1</v>
      </c>
      <c r="D23" s="48" t="s">
        <v>1429</v>
      </c>
      <c r="X23" s="49"/>
      <c r="Y23" s="48"/>
    </row>
  </sheetData>
  <pageMargins left="0.75" right="0.75" top="1" bottom="1" header="0.511805555555556" footer="0.511805555555556"/>
  <pageSetup paperSize="9" orientation="portrait"/>
  <headerFooter/>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S44"/>
  <sheetViews>
    <sheetView workbookViewId="0">
      <selection activeCell="G7" sqref="G7:G10"/>
    </sheetView>
  </sheetViews>
  <sheetFormatPr defaultColWidth="8.90131578947368" defaultRowHeight="15.2"/>
  <cols>
    <col min="1" max="1" width="10.5" customWidth="1"/>
    <col min="4" max="4" width="18.5986842105263" customWidth="1"/>
    <col min="8" max="8" width="11.9013157894737" customWidth="1"/>
    <col min="9" max="9" width="14.5" customWidth="1"/>
    <col min="10" max="10" width="15.0986842105263" customWidth="1"/>
    <col min="11" max="11" width="9.90131578947368" customWidth="1"/>
    <col min="14" max="14" width="8.5" customWidth="1"/>
    <col min="15" max="15" width="27.0986842105263" customWidth="1"/>
    <col min="16" max="16" width="42" customWidth="1"/>
    <col min="17" max="17" width="14" customWidth="1"/>
    <col min="19" max="19" width="31.0986842105263" customWidth="1"/>
  </cols>
  <sheetData>
    <row r="1" ht="18" spans="1:19">
      <c r="A1" s="1" t="s">
        <v>1732</v>
      </c>
      <c r="C1" s="6" t="s">
        <v>780</v>
      </c>
      <c r="D1" s="6" t="s">
        <v>1733</v>
      </c>
      <c r="E1" s="6" t="s">
        <v>28</v>
      </c>
      <c r="F1" s="6" t="s">
        <v>26</v>
      </c>
      <c r="G1" s="6" t="s">
        <v>1734</v>
      </c>
      <c r="H1" s="6" t="s">
        <v>1735</v>
      </c>
      <c r="I1" s="6" t="s">
        <v>1736</v>
      </c>
      <c r="J1" s="6" t="s">
        <v>1737</v>
      </c>
      <c r="K1" s="6" t="s">
        <v>1263</v>
      </c>
      <c r="M1" s="6" t="s">
        <v>1221</v>
      </c>
      <c r="N1" s="6" t="s">
        <v>780</v>
      </c>
      <c r="O1" s="6" t="s">
        <v>1263</v>
      </c>
      <c r="P1" s="6" t="s">
        <v>1738</v>
      </c>
      <c r="Q1" s="6" t="s">
        <v>1739</v>
      </c>
      <c r="R1" s="6" t="s">
        <v>1263</v>
      </c>
      <c r="S1" s="6" t="s">
        <v>1740</v>
      </c>
    </row>
    <row r="2" ht="18" spans="1:19">
      <c r="A2" s="1" t="s">
        <v>514</v>
      </c>
      <c r="C2" s="6" t="s">
        <v>39</v>
      </c>
      <c r="D2" s="6" t="s">
        <v>514</v>
      </c>
      <c r="E2" s="6" t="s">
        <v>39</v>
      </c>
      <c r="F2" s="6" t="s">
        <v>514</v>
      </c>
      <c r="G2" s="6" t="s">
        <v>514</v>
      </c>
      <c r="H2" s="6" t="s">
        <v>39</v>
      </c>
      <c r="I2" s="6" t="s">
        <v>39</v>
      </c>
      <c r="J2" s="6" t="s">
        <v>514</v>
      </c>
      <c r="K2" s="6" t="s">
        <v>514</v>
      </c>
      <c r="M2" s="6" t="s">
        <v>39</v>
      </c>
      <c r="N2" s="6" t="s">
        <v>39</v>
      </c>
      <c r="O2" s="6" t="s">
        <v>514</v>
      </c>
      <c r="P2" s="6" t="s">
        <v>514</v>
      </c>
      <c r="Q2" s="6" t="s">
        <v>39</v>
      </c>
      <c r="R2" s="6" t="s">
        <v>514</v>
      </c>
      <c r="S2" s="6" t="s">
        <v>514</v>
      </c>
    </row>
    <row r="3" ht="18" spans="1:19">
      <c r="A3" s="3" t="s">
        <v>1741</v>
      </c>
      <c r="C3" s="6" t="s">
        <v>790</v>
      </c>
      <c r="D3" s="6" t="s">
        <v>1742</v>
      </c>
      <c r="E3" s="6" t="s">
        <v>8</v>
      </c>
      <c r="F3" s="6" t="s">
        <v>1743</v>
      </c>
      <c r="G3" s="6" t="s">
        <v>1744</v>
      </c>
      <c r="H3" s="6" t="s">
        <v>1745</v>
      </c>
      <c r="I3" s="6" t="s">
        <v>1746</v>
      </c>
      <c r="J3" s="6" t="s">
        <v>1747</v>
      </c>
      <c r="K3" s="6" t="s">
        <v>1748</v>
      </c>
      <c r="M3" s="6" t="s">
        <v>1749</v>
      </c>
      <c r="N3" s="7" t="s">
        <v>1750</v>
      </c>
      <c r="O3" s="6" t="s">
        <v>1751</v>
      </c>
      <c r="P3" s="6" t="s">
        <v>1752</v>
      </c>
      <c r="Q3" s="6" t="s">
        <v>1466</v>
      </c>
      <c r="R3" s="6" t="s">
        <v>1753</v>
      </c>
      <c r="S3" s="6" t="s">
        <v>1754</v>
      </c>
    </row>
    <row r="4" ht="88" spans="1:19">
      <c r="A4" s="1" t="s">
        <v>1755</v>
      </c>
      <c r="C4" s="6">
        <v>1</v>
      </c>
      <c r="D4" s="6" t="s">
        <v>1756</v>
      </c>
      <c r="E4" s="6">
        <v>1</v>
      </c>
      <c r="F4" s="6" t="s">
        <v>1757</v>
      </c>
      <c r="G4" s="6" t="s">
        <v>1758</v>
      </c>
      <c r="H4" s="6">
        <v>30</v>
      </c>
      <c r="I4" s="6">
        <v>300</v>
      </c>
      <c r="J4" s="6" t="s">
        <v>1759</v>
      </c>
      <c r="K4" s="7" t="s">
        <v>1760</v>
      </c>
      <c r="M4" s="32">
        <v>10</v>
      </c>
      <c r="N4" s="32">
        <v>1</v>
      </c>
      <c r="O4" s="32" t="s">
        <v>1761</v>
      </c>
      <c r="P4" s="32" t="s">
        <v>1762</v>
      </c>
      <c r="Q4" s="32">
        <v>0</v>
      </c>
      <c r="R4" s="33" t="s">
        <v>1763</v>
      </c>
      <c r="S4" s="32" t="s">
        <v>1764</v>
      </c>
    </row>
    <row r="5" ht="88" spans="3:19">
      <c r="C5" s="6">
        <v>2</v>
      </c>
      <c r="D5" s="6" t="s">
        <v>1765</v>
      </c>
      <c r="E5" s="6">
        <v>2</v>
      </c>
      <c r="F5" s="6" t="s">
        <v>1766</v>
      </c>
      <c r="G5" s="6" t="s">
        <v>1758</v>
      </c>
      <c r="H5" s="6">
        <v>198</v>
      </c>
      <c r="I5" s="6">
        <v>1980</v>
      </c>
      <c r="J5" s="6" t="s">
        <v>1767</v>
      </c>
      <c r="K5" s="7" t="s">
        <v>1768</v>
      </c>
      <c r="M5" s="32">
        <v>11</v>
      </c>
      <c r="N5" s="32">
        <v>1</v>
      </c>
      <c r="O5" s="33" t="s">
        <v>6</v>
      </c>
      <c r="P5" s="32" t="s">
        <v>1769</v>
      </c>
      <c r="Q5" s="32">
        <v>0</v>
      </c>
      <c r="R5" s="33" t="s">
        <v>1770</v>
      </c>
      <c r="S5" s="32" t="s">
        <v>1771</v>
      </c>
    </row>
    <row r="6" ht="88" spans="3:19">
      <c r="C6" s="6">
        <v>3</v>
      </c>
      <c r="D6" s="6" t="s">
        <v>1772</v>
      </c>
      <c r="E6" s="6">
        <v>3</v>
      </c>
      <c r="F6" s="6" t="s">
        <v>1773</v>
      </c>
      <c r="G6" s="6" t="s">
        <v>1758</v>
      </c>
      <c r="H6" s="6">
        <v>328</v>
      </c>
      <c r="I6" s="6">
        <v>3280</v>
      </c>
      <c r="J6" s="6" t="s">
        <v>1774</v>
      </c>
      <c r="K6" s="7" t="s">
        <v>1775</v>
      </c>
      <c r="M6" s="32">
        <v>12</v>
      </c>
      <c r="N6" s="32">
        <v>1</v>
      </c>
      <c r="O6" s="33" t="s">
        <v>6</v>
      </c>
      <c r="P6" s="32" t="s">
        <v>1776</v>
      </c>
      <c r="Q6" s="32">
        <v>0</v>
      </c>
      <c r="R6" s="32" t="s">
        <v>6</v>
      </c>
      <c r="S6" s="32" t="s">
        <v>1777</v>
      </c>
    </row>
    <row r="7" ht="88" spans="3:19">
      <c r="C7" s="6">
        <v>4</v>
      </c>
      <c r="D7" s="6" t="s">
        <v>1778</v>
      </c>
      <c r="E7" s="6">
        <v>4</v>
      </c>
      <c r="F7" s="6" t="s">
        <v>1779</v>
      </c>
      <c r="G7" s="6" t="s">
        <v>1758</v>
      </c>
      <c r="H7" s="6">
        <v>648</v>
      </c>
      <c r="I7" s="6">
        <v>6480</v>
      </c>
      <c r="J7" s="6" t="s">
        <v>1780</v>
      </c>
      <c r="K7" s="7" t="s">
        <v>1781</v>
      </c>
      <c r="M7" s="32">
        <v>13</v>
      </c>
      <c r="N7" s="32">
        <v>1</v>
      </c>
      <c r="O7" s="32" t="s">
        <v>6</v>
      </c>
      <c r="P7" s="32" t="s">
        <v>1782</v>
      </c>
      <c r="Q7" s="32">
        <v>0</v>
      </c>
      <c r="R7" s="32" t="s">
        <v>6</v>
      </c>
      <c r="S7" s="32" t="s">
        <v>1783</v>
      </c>
    </row>
    <row r="8" ht="88" spans="3:19">
      <c r="C8" s="6">
        <v>5</v>
      </c>
      <c r="D8" s="6" t="s">
        <v>1784</v>
      </c>
      <c r="E8" s="6">
        <v>4</v>
      </c>
      <c r="F8" s="6" t="s">
        <v>1779</v>
      </c>
      <c r="G8" s="6" t="s">
        <v>1758</v>
      </c>
      <c r="H8" s="6">
        <v>328</v>
      </c>
      <c r="I8" s="6">
        <v>3280</v>
      </c>
      <c r="J8" s="6" t="s">
        <v>1774</v>
      </c>
      <c r="K8" s="7" t="s">
        <v>1785</v>
      </c>
      <c r="M8" s="32">
        <v>14</v>
      </c>
      <c r="N8" s="32">
        <v>1</v>
      </c>
      <c r="O8" s="32" t="s">
        <v>940</v>
      </c>
      <c r="P8" s="32" t="s">
        <v>1786</v>
      </c>
      <c r="Q8" s="32">
        <v>0</v>
      </c>
      <c r="R8" s="32" t="s">
        <v>6</v>
      </c>
      <c r="S8" s="32" t="s">
        <v>1787</v>
      </c>
    </row>
    <row r="9" ht="88" spans="3:19">
      <c r="C9" s="6">
        <v>6</v>
      </c>
      <c r="D9" s="6" t="s">
        <v>1788</v>
      </c>
      <c r="E9" s="6">
        <v>5</v>
      </c>
      <c r="F9" s="6" t="s">
        <v>1789</v>
      </c>
      <c r="G9" s="6" t="s">
        <v>1758</v>
      </c>
      <c r="H9" s="6">
        <v>648</v>
      </c>
      <c r="I9" s="6">
        <v>6480</v>
      </c>
      <c r="J9" s="6" t="s">
        <v>1780</v>
      </c>
      <c r="K9" s="7" t="s">
        <v>1790</v>
      </c>
      <c r="M9" s="32">
        <v>15</v>
      </c>
      <c r="N9" s="32">
        <v>1</v>
      </c>
      <c r="O9" s="32" t="s">
        <v>6</v>
      </c>
      <c r="P9" s="32" t="s">
        <v>1791</v>
      </c>
      <c r="Q9" s="32">
        <v>0</v>
      </c>
      <c r="R9" s="32" t="s">
        <v>6</v>
      </c>
      <c r="S9" s="32" t="s">
        <v>1792</v>
      </c>
    </row>
    <row r="10" ht="88" spans="3:19">
      <c r="C10" s="6">
        <v>7</v>
      </c>
      <c r="D10" s="6" t="s">
        <v>1793</v>
      </c>
      <c r="E10" s="6">
        <v>5</v>
      </c>
      <c r="F10" s="6" t="s">
        <v>1789</v>
      </c>
      <c r="G10" s="6" t="s">
        <v>1758</v>
      </c>
      <c r="H10" s="6">
        <v>328</v>
      </c>
      <c r="I10" s="6">
        <v>3280</v>
      </c>
      <c r="J10" s="6" t="s">
        <v>1774</v>
      </c>
      <c r="K10" s="7" t="s">
        <v>1794</v>
      </c>
      <c r="M10" s="32">
        <v>16</v>
      </c>
      <c r="N10" s="32">
        <v>1</v>
      </c>
      <c r="O10" s="32" t="s">
        <v>1795</v>
      </c>
      <c r="P10" s="34" t="s">
        <v>1796</v>
      </c>
      <c r="Q10" s="32">
        <v>15000</v>
      </c>
      <c r="R10" s="32" t="s">
        <v>6</v>
      </c>
      <c r="S10" s="32" t="s">
        <v>1797</v>
      </c>
    </row>
    <row r="11" ht="18" spans="13:19">
      <c r="M11" s="32">
        <v>17</v>
      </c>
      <c r="N11" s="32">
        <v>1</v>
      </c>
      <c r="O11" s="32" t="s">
        <v>6</v>
      </c>
      <c r="P11" s="32" t="s">
        <v>1798</v>
      </c>
      <c r="Q11" s="32">
        <v>0</v>
      </c>
      <c r="R11" s="32" t="s">
        <v>6</v>
      </c>
      <c r="S11" s="32" t="s">
        <v>1799</v>
      </c>
    </row>
    <row r="12" ht="18" spans="13:19">
      <c r="M12" s="32">
        <v>18</v>
      </c>
      <c r="N12" s="32">
        <v>1</v>
      </c>
      <c r="O12" s="32" t="s">
        <v>1800</v>
      </c>
      <c r="P12" s="32" t="s">
        <v>1801</v>
      </c>
      <c r="Q12" s="32">
        <v>15000</v>
      </c>
      <c r="R12" s="32" t="s">
        <v>6</v>
      </c>
      <c r="S12" s="32" t="s">
        <v>1802</v>
      </c>
    </row>
    <row r="13" ht="18" spans="13:19">
      <c r="M13" s="32">
        <v>19</v>
      </c>
      <c r="N13" s="32">
        <v>1</v>
      </c>
      <c r="O13" s="32" t="s">
        <v>6</v>
      </c>
      <c r="P13" s="32" t="s">
        <v>1803</v>
      </c>
      <c r="Q13" s="32">
        <v>0</v>
      </c>
      <c r="R13" s="32" t="s">
        <v>6</v>
      </c>
      <c r="S13" s="32" t="s">
        <v>1804</v>
      </c>
    </row>
    <row r="14" ht="18" spans="13:19">
      <c r="M14" s="32">
        <v>20</v>
      </c>
      <c r="N14" s="32">
        <v>1</v>
      </c>
      <c r="O14" s="32" t="s">
        <v>1257</v>
      </c>
      <c r="P14" s="34" t="s">
        <v>1805</v>
      </c>
      <c r="Q14" s="32">
        <v>15000</v>
      </c>
      <c r="R14" s="32" t="s">
        <v>6</v>
      </c>
      <c r="S14" s="32" t="s">
        <v>1806</v>
      </c>
    </row>
    <row r="15" ht="18" spans="13:19">
      <c r="M15" s="36">
        <v>21</v>
      </c>
      <c r="N15" s="36">
        <v>2</v>
      </c>
      <c r="O15" s="36" t="s">
        <v>6</v>
      </c>
      <c r="P15" s="36" t="s">
        <v>1807</v>
      </c>
      <c r="Q15" s="36">
        <v>0</v>
      </c>
      <c r="R15" s="36" t="s">
        <v>6</v>
      </c>
      <c r="S15" s="36" t="s">
        <v>1808</v>
      </c>
    </row>
    <row r="16" ht="18" spans="13:19">
      <c r="M16" s="36">
        <v>22</v>
      </c>
      <c r="N16" s="36">
        <v>2</v>
      </c>
      <c r="O16" s="36" t="s">
        <v>1809</v>
      </c>
      <c r="P16" s="36" t="s">
        <v>1810</v>
      </c>
      <c r="Q16" s="36">
        <v>20000</v>
      </c>
      <c r="R16" s="36" t="s">
        <v>6</v>
      </c>
      <c r="S16" s="36" t="s">
        <v>1811</v>
      </c>
    </row>
    <row r="17" ht="18" spans="13:19">
      <c r="M17" s="36">
        <v>23</v>
      </c>
      <c r="N17" s="36">
        <v>2</v>
      </c>
      <c r="O17" s="36" t="s">
        <v>6</v>
      </c>
      <c r="P17" s="36" t="s">
        <v>1812</v>
      </c>
      <c r="Q17" s="36">
        <v>0</v>
      </c>
      <c r="R17" s="36" t="s">
        <v>6</v>
      </c>
      <c r="S17" s="36" t="s">
        <v>1813</v>
      </c>
    </row>
    <row r="18" ht="18" spans="13:19">
      <c r="M18" s="36">
        <v>24</v>
      </c>
      <c r="N18" s="36">
        <v>2</v>
      </c>
      <c r="O18" s="36" t="s">
        <v>969</v>
      </c>
      <c r="P18" s="37" t="s">
        <v>1814</v>
      </c>
      <c r="Q18" s="36">
        <v>20000</v>
      </c>
      <c r="R18" s="36" t="s">
        <v>6</v>
      </c>
      <c r="S18" s="36" t="s">
        <v>1815</v>
      </c>
    </row>
    <row r="19" ht="18" spans="13:19">
      <c r="M19" s="36">
        <v>25</v>
      </c>
      <c r="N19" s="36">
        <v>2</v>
      </c>
      <c r="O19" s="36" t="s">
        <v>6</v>
      </c>
      <c r="P19" s="36" t="s">
        <v>1816</v>
      </c>
      <c r="Q19" s="36">
        <v>0</v>
      </c>
      <c r="R19" s="36" t="s">
        <v>6</v>
      </c>
      <c r="S19" s="36" t="s">
        <v>1817</v>
      </c>
    </row>
    <row r="20" ht="18" spans="13:19">
      <c r="M20" s="38">
        <v>26</v>
      </c>
      <c r="N20" s="38">
        <v>3</v>
      </c>
      <c r="O20" s="38" t="s">
        <v>1795</v>
      </c>
      <c r="P20" s="39" t="s">
        <v>1818</v>
      </c>
      <c r="Q20" s="38">
        <v>30000</v>
      </c>
      <c r="R20" s="38" t="s">
        <v>6</v>
      </c>
      <c r="S20" s="38" t="s">
        <v>1815</v>
      </c>
    </row>
    <row r="21" ht="18" spans="13:19">
      <c r="M21" s="38">
        <v>27</v>
      </c>
      <c r="N21" s="38">
        <v>3</v>
      </c>
      <c r="O21" s="38" t="s">
        <v>6</v>
      </c>
      <c r="P21" s="38" t="s">
        <v>1819</v>
      </c>
      <c r="Q21" s="38">
        <v>0</v>
      </c>
      <c r="R21" s="38" t="s">
        <v>6</v>
      </c>
      <c r="S21" s="38" t="s">
        <v>1820</v>
      </c>
    </row>
    <row r="22" ht="18" spans="13:19">
      <c r="M22" s="38">
        <v>28</v>
      </c>
      <c r="N22" s="38">
        <v>3</v>
      </c>
      <c r="O22" s="38" t="s">
        <v>1821</v>
      </c>
      <c r="P22" s="38" t="s">
        <v>1822</v>
      </c>
      <c r="Q22" s="38">
        <v>30000</v>
      </c>
      <c r="R22" s="38" t="s">
        <v>6</v>
      </c>
      <c r="S22" s="38" t="s">
        <v>1823</v>
      </c>
    </row>
    <row r="23" ht="18" spans="13:19">
      <c r="M23" s="38">
        <v>29</v>
      </c>
      <c r="N23" s="38">
        <v>3</v>
      </c>
      <c r="O23" s="38" t="s">
        <v>6</v>
      </c>
      <c r="P23" s="38" t="s">
        <v>1764</v>
      </c>
      <c r="Q23" s="38">
        <v>0</v>
      </c>
      <c r="R23" s="38" t="s">
        <v>6</v>
      </c>
      <c r="S23" s="38" t="s">
        <v>1824</v>
      </c>
    </row>
    <row r="24" ht="18" spans="13:19">
      <c r="M24" s="38">
        <v>30</v>
      </c>
      <c r="N24" s="38">
        <v>3</v>
      </c>
      <c r="O24" s="38" t="s">
        <v>1258</v>
      </c>
      <c r="P24" s="39" t="s">
        <v>1825</v>
      </c>
      <c r="Q24" s="38">
        <v>30000</v>
      </c>
      <c r="R24" s="38" t="s">
        <v>6</v>
      </c>
      <c r="S24" s="38" t="s">
        <v>1826</v>
      </c>
    </row>
    <row r="25" ht="18" spans="13:19">
      <c r="M25" s="41">
        <v>31</v>
      </c>
      <c r="N25" s="41">
        <v>4</v>
      </c>
      <c r="O25" s="41" t="s">
        <v>6</v>
      </c>
      <c r="P25" s="41" t="s">
        <v>1771</v>
      </c>
      <c r="Q25" s="41">
        <v>0</v>
      </c>
      <c r="R25" s="41" t="s">
        <v>6</v>
      </c>
      <c r="S25" s="41" t="s">
        <v>1826</v>
      </c>
    </row>
    <row r="26" ht="18" spans="13:19">
      <c r="M26" s="41">
        <v>32</v>
      </c>
      <c r="N26" s="41">
        <v>4</v>
      </c>
      <c r="O26" s="41" t="s">
        <v>1827</v>
      </c>
      <c r="P26" s="41" t="s">
        <v>1828</v>
      </c>
      <c r="Q26" s="41">
        <v>40000</v>
      </c>
      <c r="R26" s="41" t="s">
        <v>6</v>
      </c>
      <c r="S26" s="41" t="s">
        <v>1829</v>
      </c>
    </row>
    <row r="27" ht="18" spans="13:19">
      <c r="M27" s="41">
        <v>33</v>
      </c>
      <c r="N27" s="41">
        <v>4</v>
      </c>
      <c r="O27" s="41" t="s">
        <v>6</v>
      </c>
      <c r="P27" s="41" t="s">
        <v>1777</v>
      </c>
      <c r="Q27" s="41">
        <v>0</v>
      </c>
      <c r="R27" s="41" t="s">
        <v>6</v>
      </c>
      <c r="S27" s="41" t="s">
        <v>1830</v>
      </c>
    </row>
    <row r="28" ht="18" spans="13:19">
      <c r="M28" s="41">
        <v>34</v>
      </c>
      <c r="N28" s="41">
        <v>4</v>
      </c>
      <c r="O28" s="41" t="s">
        <v>970</v>
      </c>
      <c r="P28" s="41" t="s">
        <v>1831</v>
      </c>
      <c r="Q28" s="41">
        <v>40000</v>
      </c>
      <c r="R28" s="41" t="s">
        <v>6</v>
      </c>
      <c r="S28" s="41" t="s">
        <v>1832</v>
      </c>
    </row>
    <row r="29" ht="18" spans="13:19">
      <c r="M29" s="41">
        <v>35</v>
      </c>
      <c r="N29" s="41">
        <v>4</v>
      </c>
      <c r="O29" s="41" t="s">
        <v>6</v>
      </c>
      <c r="P29" s="41" t="s">
        <v>1787</v>
      </c>
      <c r="Q29" s="41">
        <v>0</v>
      </c>
      <c r="R29" s="41" t="s">
        <v>6</v>
      </c>
      <c r="S29" s="41" t="s">
        <v>1833</v>
      </c>
    </row>
    <row r="30" ht="18" spans="13:19">
      <c r="M30" s="42">
        <v>31</v>
      </c>
      <c r="N30" s="42">
        <v>5</v>
      </c>
      <c r="O30" s="42" t="s">
        <v>6</v>
      </c>
      <c r="P30" s="42" t="s">
        <v>1771</v>
      </c>
      <c r="Q30" s="42">
        <v>0</v>
      </c>
      <c r="R30" s="42" t="s">
        <v>6</v>
      </c>
      <c r="S30" s="42" t="s">
        <v>1820</v>
      </c>
    </row>
    <row r="31" ht="18" spans="13:19">
      <c r="M31" s="42">
        <v>32</v>
      </c>
      <c r="N31" s="42">
        <v>5</v>
      </c>
      <c r="O31" s="42" t="s">
        <v>1827</v>
      </c>
      <c r="P31" s="42" t="s">
        <v>1828</v>
      </c>
      <c r="Q31" s="42">
        <v>40000</v>
      </c>
      <c r="R31" s="42" t="s">
        <v>6</v>
      </c>
      <c r="S31" s="42" t="s">
        <v>1817</v>
      </c>
    </row>
    <row r="32" ht="18" spans="13:19">
      <c r="M32" s="42">
        <v>33</v>
      </c>
      <c r="N32" s="42">
        <v>5</v>
      </c>
      <c r="O32" s="42" t="s">
        <v>6</v>
      </c>
      <c r="P32" s="42" t="s">
        <v>1777</v>
      </c>
      <c r="Q32" s="42">
        <v>0</v>
      </c>
      <c r="R32" s="42" t="s">
        <v>6</v>
      </c>
      <c r="S32" s="42" t="s">
        <v>1834</v>
      </c>
    </row>
    <row r="33" ht="18" spans="13:19">
      <c r="M33" s="42">
        <v>34</v>
      </c>
      <c r="N33" s="42">
        <v>5</v>
      </c>
      <c r="O33" s="42" t="s">
        <v>970</v>
      </c>
      <c r="P33" s="42" t="s">
        <v>1831</v>
      </c>
      <c r="Q33" s="42">
        <v>40000</v>
      </c>
      <c r="R33" s="42" t="s">
        <v>6</v>
      </c>
      <c r="S33" s="42" t="s">
        <v>1835</v>
      </c>
    </row>
    <row r="34" ht="18" spans="13:19">
      <c r="M34" s="42">
        <v>35</v>
      </c>
      <c r="N34" s="42">
        <v>5</v>
      </c>
      <c r="O34" s="42" t="s">
        <v>6</v>
      </c>
      <c r="P34" s="42" t="s">
        <v>1787</v>
      </c>
      <c r="Q34" s="42">
        <v>0</v>
      </c>
      <c r="R34" s="42" t="s">
        <v>6</v>
      </c>
      <c r="S34" s="42" t="s">
        <v>1826</v>
      </c>
    </row>
    <row r="35" ht="18" spans="13:19">
      <c r="M35" s="41">
        <v>36</v>
      </c>
      <c r="N35" s="41">
        <v>6</v>
      </c>
      <c r="O35" s="41" t="s">
        <v>1836</v>
      </c>
      <c r="P35" s="41" t="s">
        <v>1837</v>
      </c>
      <c r="Q35" s="41">
        <v>50000</v>
      </c>
      <c r="R35" s="41" t="s">
        <v>6</v>
      </c>
      <c r="S35" s="41" t="s">
        <v>1829</v>
      </c>
    </row>
    <row r="36" ht="18" spans="13:19">
      <c r="M36" s="41">
        <v>37</v>
      </c>
      <c r="N36" s="41">
        <v>6</v>
      </c>
      <c r="O36" s="41" t="s">
        <v>6</v>
      </c>
      <c r="P36" s="41" t="s">
        <v>1797</v>
      </c>
      <c r="Q36" s="41">
        <v>0</v>
      </c>
      <c r="R36" s="41" t="s">
        <v>6</v>
      </c>
      <c r="S36" s="41" t="s">
        <v>1830</v>
      </c>
    </row>
    <row r="37" ht="18" spans="13:19">
      <c r="M37" s="41">
        <v>38</v>
      </c>
      <c r="N37" s="41">
        <v>6</v>
      </c>
      <c r="O37" s="41" t="s">
        <v>1648</v>
      </c>
      <c r="P37" s="41" t="s">
        <v>1838</v>
      </c>
      <c r="Q37" s="41">
        <v>50000</v>
      </c>
      <c r="R37" s="41" t="s">
        <v>6</v>
      </c>
      <c r="S37" s="41" t="s">
        <v>1832</v>
      </c>
    </row>
    <row r="38" ht="18" spans="13:19">
      <c r="M38" s="41">
        <v>39</v>
      </c>
      <c r="N38" s="41">
        <v>6</v>
      </c>
      <c r="O38" s="41" t="s">
        <v>6</v>
      </c>
      <c r="P38" s="41" t="s">
        <v>1806</v>
      </c>
      <c r="Q38" s="41">
        <v>0</v>
      </c>
      <c r="R38" s="41" t="s">
        <v>6</v>
      </c>
      <c r="S38" s="41" t="s">
        <v>1833</v>
      </c>
    </row>
    <row r="39" ht="18" spans="13:19">
      <c r="M39" s="41">
        <v>40</v>
      </c>
      <c r="N39" s="41">
        <v>6</v>
      </c>
      <c r="O39" s="41" t="s">
        <v>972</v>
      </c>
      <c r="P39" s="44" t="s">
        <v>1839</v>
      </c>
      <c r="Q39" s="41">
        <v>100000</v>
      </c>
      <c r="R39" s="41" t="s">
        <v>6</v>
      </c>
      <c r="S39" s="41" t="s">
        <v>1840</v>
      </c>
    </row>
    <row r="40" ht="18" spans="13:19">
      <c r="M40" s="42">
        <v>36</v>
      </c>
      <c r="N40" s="42">
        <v>7</v>
      </c>
      <c r="O40" s="42" t="s">
        <v>1836</v>
      </c>
      <c r="P40" s="42" t="s">
        <v>1837</v>
      </c>
      <c r="Q40" s="42">
        <v>50000</v>
      </c>
      <c r="R40" s="42" t="s">
        <v>6</v>
      </c>
      <c r="S40" s="42" t="s">
        <v>1817</v>
      </c>
    </row>
    <row r="41" ht="18" spans="13:19">
      <c r="M41" s="42">
        <v>37</v>
      </c>
      <c r="N41" s="42">
        <v>7</v>
      </c>
      <c r="O41" s="42" t="s">
        <v>6</v>
      </c>
      <c r="P41" s="42" t="s">
        <v>1797</v>
      </c>
      <c r="Q41" s="42">
        <v>0</v>
      </c>
      <c r="R41" s="42" t="s">
        <v>6</v>
      </c>
      <c r="S41" s="42" t="s">
        <v>1834</v>
      </c>
    </row>
    <row r="42" ht="18" spans="13:19">
      <c r="M42" s="42">
        <v>38</v>
      </c>
      <c r="N42" s="42">
        <v>7</v>
      </c>
      <c r="O42" s="42" t="s">
        <v>1648</v>
      </c>
      <c r="P42" s="42" t="s">
        <v>1838</v>
      </c>
      <c r="Q42" s="42">
        <v>50000</v>
      </c>
      <c r="R42" s="42" t="s">
        <v>6</v>
      </c>
      <c r="S42" s="42" t="s">
        <v>1824</v>
      </c>
    </row>
    <row r="43" ht="18" spans="13:19">
      <c r="M43" s="42">
        <v>39</v>
      </c>
      <c r="N43" s="42">
        <v>7</v>
      </c>
      <c r="O43" s="42" t="s">
        <v>6</v>
      </c>
      <c r="P43" s="42" t="s">
        <v>1806</v>
      </c>
      <c r="Q43" s="42">
        <v>0</v>
      </c>
      <c r="R43" s="42" t="s">
        <v>6</v>
      </c>
      <c r="S43" s="42" t="s">
        <v>1826</v>
      </c>
    </row>
    <row r="44" ht="18" spans="13:19">
      <c r="M44" s="42">
        <v>40</v>
      </c>
      <c r="N44" s="42">
        <v>7</v>
      </c>
      <c r="O44" s="42" t="s">
        <v>972</v>
      </c>
      <c r="P44" s="45" t="s">
        <v>1839</v>
      </c>
      <c r="Q44" s="42">
        <v>100000</v>
      </c>
      <c r="R44" s="42" t="s">
        <v>6</v>
      </c>
      <c r="S44" s="42" t="s">
        <v>1829</v>
      </c>
    </row>
  </sheetData>
  <pageMargins left="0.75" right="0.75" top="1" bottom="1" header="0.511805555555556" footer="0.511805555555556"/>
  <headerFooter/>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S44"/>
  <sheetViews>
    <sheetView workbookViewId="0">
      <selection activeCell="H7" sqref="H7"/>
    </sheetView>
  </sheetViews>
  <sheetFormatPr defaultColWidth="8.90131578947368" defaultRowHeight="15.2"/>
  <cols>
    <col min="1" max="1" width="10.5" customWidth="1"/>
    <col min="4" max="4" width="18.5986842105263" customWidth="1"/>
    <col min="8" max="8" width="11.9013157894737" customWidth="1"/>
    <col min="9" max="9" width="14.5" customWidth="1"/>
    <col min="10" max="10" width="15.0986842105263" customWidth="1"/>
    <col min="11" max="11" width="11.4013157894737" customWidth="1"/>
    <col min="14" max="14" width="8.5" customWidth="1"/>
    <col min="15" max="15" width="27.0986842105263" customWidth="1"/>
    <col min="16" max="16" width="42" customWidth="1"/>
    <col min="17" max="17" width="14" customWidth="1"/>
    <col min="19" max="19" width="31.0986842105263" customWidth="1"/>
  </cols>
  <sheetData>
    <row r="1" ht="18" spans="1:19">
      <c r="A1" s="1" t="s">
        <v>1732</v>
      </c>
      <c r="C1" s="6" t="s">
        <v>780</v>
      </c>
      <c r="D1" s="6" t="s">
        <v>1733</v>
      </c>
      <c r="E1" s="6" t="s">
        <v>28</v>
      </c>
      <c r="F1" s="6" t="s">
        <v>26</v>
      </c>
      <c r="G1" s="6" t="s">
        <v>1734</v>
      </c>
      <c r="H1" s="6" t="s">
        <v>1735</v>
      </c>
      <c r="I1" s="6" t="s">
        <v>1736</v>
      </c>
      <c r="J1" s="6" t="s">
        <v>1737</v>
      </c>
      <c r="K1" s="6" t="s">
        <v>1263</v>
      </c>
      <c r="M1" s="6" t="s">
        <v>1221</v>
      </c>
      <c r="N1" s="6" t="s">
        <v>780</v>
      </c>
      <c r="O1" s="6" t="s">
        <v>1263</v>
      </c>
      <c r="P1" s="6" t="s">
        <v>1738</v>
      </c>
      <c r="Q1" s="6" t="s">
        <v>1739</v>
      </c>
      <c r="R1" s="6" t="s">
        <v>1263</v>
      </c>
      <c r="S1" s="6" t="s">
        <v>1740</v>
      </c>
    </row>
    <row r="2" ht="18" spans="1:19">
      <c r="A2" s="1" t="s">
        <v>514</v>
      </c>
      <c r="C2" s="6" t="s">
        <v>39</v>
      </c>
      <c r="D2" s="6" t="s">
        <v>514</v>
      </c>
      <c r="E2" s="6" t="s">
        <v>39</v>
      </c>
      <c r="F2" s="6" t="s">
        <v>514</v>
      </c>
      <c r="G2" s="6" t="s">
        <v>514</v>
      </c>
      <c r="H2" s="6" t="s">
        <v>39</v>
      </c>
      <c r="I2" s="6" t="s">
        <v>39</v>
      </c>
      <c r="J2" s="6" t="s">
        <v>514</v>
      </c>
      <c r="K2" s="6" t="s">
        <v>514</v>
      </c>
      <c r="M2" s="6" t="s">
        <v>39</v>
      </c>
      <c r="N2" s="6" t="s">
        <v>39</v>
      </c>
      <c r="O2" s="6" t="s">
        <v>514</v>
      </c>
      <c r="P2" s="6" t="s">
        <v>514</v>
      </c>
      <c r="Q2" s="6" t="s">
        <v>39</v>
      </c>
      <c r="R2" s="6" t="s">
        <v>514</v>
      </c>
      <c r="S2" s="6" t="s">
        <v>514</v>
      </c>
    </row>
    <row r="3" ht="18" spans="1:19">
      <c r="A3" s="3" t="s">
        <v>1741</v>
      </c>
      <c r="C3" s="6" t="s">
        <v>790</v>
      </c>
      <c r="D3" s="6" t="s">
        <v>1742</v>
      </c>
      <c r="E3" s="6" t="s">
        <v>8</v>
      </c>
      <c r="F3" s="6" t="s">
        <v>1743</v>
      </c>
      <c r="G3" s="6" t="s">
        <v>1744</v>
      </c>
      <c r="H3" s="6" t="s">
        <v>1745</v>
      </c>
      <c r="I3" s="6" t="s">
        <v>1746</v>
      </c>
      <c r="J3" s="6" t="s">
        <v>1747</v>
      </c>
      <c r="K3" s="6" t="s">
        <v>1748</v>
      </c>
      <c r="M3" s="6" t="s">
        <v>1749</v>
      </c>
      <c r="N3" s="7" t="s">
        <v>1750</v>
      </c>
      <c r="O3" s="6" t="s">
        <v>1751</v>
      </c>
      <c r="P3" s="6" t="s">
        <v>1752</v>
      </c>
      <c r="Q3" s="6" t="s">
        <v>1466</v>
      </c>
      <c r="R3" s="6" t="s">
        <v>1753</v>
      </c>
      <c r="S3" s="6" t="s">
        <v>1754</v>
      </c>
    </row>
    <row r="4" ht="88" spans="1:19">
      <c r="A4" s="1" t="s">
        <v>1755</v>
      </c>
      <c r="C4" s="6">
        <v>1</v>
      </c>
      <c r="D4" s="6" t="s">
        <v>1756</v>
      </c>
      <c r="E4" s="6">
        <v>1</v>
      </c>
      <c r="F4" s="6" t="s">
        <v>1757</v>
      </c>
      <c r="G4" s="6" t="s">
        <v>1841</v>
      </c>
      <c r="H4" s="6">
        <v>30</v>
      </c>
      <c r="I4" s="6">
        <v>300</v>
      </c>
      <c r="J4" s="6" t="s">
        <v>1759</v>
      </c>
      <c r="K4" s="7" t="s">
        <v>1760</v>
      </c>
      <c r="M4" s="32">
        <v>10</v>
      </c>
      <c r="N4" s="32">
        <v>1</v>
      </c>
      <c r="O4" s="32" t="s">
        <v>1761</v>
      </c>
      <c r="P4" s="32" t="s">
        <v>1762</v>
      </c>
      <c r="Q4" s="32">
        <v>0</v>
      </c>
      <c r="R4" s="33" t="s">
        <v>1763</v>
      </c>
      <c r="S4" s="32" t="s">
        <v>1764</v>
      </c>
    </row>
    <row r="5" ht="88" spans="3:19">
      <c r="C5" s="6">
        <v>2</v>
      </c>
      <c r="D5" s="6" t="s">
        <v>1765</v>
      </c>
      <c r="E5" s="6">
        <v>2</v>
      </c>
      <c r="F5" s="6" t="s">
        <v>1766</v>
      </c>
      <c r="G5" s="6" t="s">
        <v>1841</v>
      </c>
      <c r="H5" s="6">
        <v>198</v>
      </c>
      <c r="I5" s="6">
        <v>1980</v>
      </c>
      <c r="J5" s="6" t="s">
        <v>1767</v>
      </c>
      <c r="K5" s="7" t="s">
        <v>1768</v>
      </c>
      <c r="M5" s="32">
        <v>11</v>
      </c>
      <c r="N5" s="32">
        <v>1</v>
      </c>
      <c r="O5" s="33" t="s">
        <v>6</v>
      </c>
      <c r="P5" s="32" t="s">
        <v>1769</v>
      </c>
      <c r="Q5" s="32">
        <v>0</v>
      </c>
      <c r="R5" s="33" t="s">
        <v>1770</v>
      </c>
      <c r="S5" s="32" t="s">
        <v>1771</v>
      </c>
    </row>
    <row r="6" ht="88" spans="3:19">
      <c r="C6" s="6">
        <v>3</v>
      </c>
      <c r="D6" s="6" t="s">
        <v>1772</v>
      </c>
      <c r="E6" s="6">
        <v>3</v>
      </c>
      <c r="F6" s="6" t="s">
        <v>1773</v>
      </c>
      <c r="G6" s="6" t="s">
        <v>1841</v>
      </c>
      <c r="H6" s="6">
        <v>328</v>
      </c>
      <c r="I6" s="6">
        <v>3280</v>
      </c>
      <c r="J6" s="6" t="s">
        <v>1774</v>
      </c>
      <c r="K6" s="7" t="s">
        <v>1775</v>
      </c>
      <c r="M6" s="32">
        <v>12</v>
      </c>
      <c r="N6" s="32">
        <v>1</v>
      </c>
      <c r="O6" s="33" t="s">
        <v>6</v>
      </c>
      <c r="P6" s="32" t="s">
        <v>1776</v>
      </c>
      <c r="Q6" s="32">
        <v>0</v>
      </c>
      <c r="R6" s="32" t="s">
        <v>6</v>
      </c>
      <c r="S6" s="32" t="s">
        <v>1777</v>
      </c>
    </row>
    <row r="7" ht="88" spans="3:19">
      <c r="C7" s="6">
        <v>4</v>
      </c>
      <c r="D7" s="6" t="s">
        <v>1778</v>
      </c>
      <c r="E7" s="6">
        <v>4</v>
      </c>
      <c r="F7" s="6" t="s">
        <v>1779</v>
      </c>
      <c r="G7" s="6" t="s">
        <v>1841</v>
      </c>
      <c r="H7" s="6">
        <v>648</v>
      </c>
      <c r="I7" s="6">
        <v>6480</v>
      </c>
      <c r="J7" s="6" t="s">
        <v>1780</v>
      </c>
      <c r="K7" s="7" t="s">
        <v>1781</v>
      </c>
      <c r="M7" s="32">
        <v>13</v>
      </c>
      <c r="N7" s="32">
        <v>1</v>
      </c>
      <c r="O7" s="32" t="s">
        <v>6</v>
      </c>
      <c r="P7" s="32" t="s">
        <v>1782</v>
      </c>
      <c r="Q7" s="32">
        <v>0</v>
      </c>
      <c r="R7" s="32" t="s">
        <v>6</v>
      </c>
      <c r="S7" s="32" t="s">
        <v>1783</v>
      </c>
    </row>
    <row r="8" ht="88" spans="3:19">
      <c r="C8" s="6">
        <v>5</v>
      </c>
      <c r="D8" s="6" t="s">
        <v>1784</v>
      </c>
      <c r="E8" s="6">
        <v>4</v>
      </c>
      <c r="F8" s="6" t="s">
        <v>1779</v>
      </c>
      <c r="G8" s="6" t="s">
        <v>1841</v>
      </c>
      <c r="H8" s="6">
        <v>328</v>
      </c>
      <c r="I8" s="6">
        <v>3280</v>
      </c>
      <c r="J8" s="6" t="s">
        <v>1774</v>
      </c>
      <c r="K8" s="7" t="s">
        <v>1785</v>
      </c>
      <c r="M8" s="32">
        <v>14</v>
      </c>
      <c r="N8" s="32">
        <v>1</v>
      </c>
      <c r="O8" s="32" t="s">
        <v>940</v>
      </c>
      <c r="P8" s="32" t="s">
        <v>1786</v>
      </c>
      <c r="Q8" s="32">
        <v>0</v>
      </c>
      <c r="R8" s="32" t="s">
        <v>6</v>
      </c>
      <c r="S8" s="32" t="s">
        <v>1787</v>
      </c>
    </row>
    <row r="9" ht="88" spans="3:19">
      <c r="C9" s="6">
        <v>6</v>
      </c>
      <c r="D9" s="6" t="s">
        <v>1788</v>
      </c>
      <c r="E9" s="6">
        <v>5</v>
      </c>
      <c r="F9" s="6" t="s">
        <v>1789</v>
      </c>
      <c r="G9" s="6" t="s">
        <v>1841</v>
      </c>
      <c r="H9" s="6">
        <v>648</v>
      </c>
      <c r="I9" s="6">
        <v>6480</v>
      </c>
      <c r="J9" s="6" t="s">
        <v>1780</v>
      </c>
      <c r="K9" s="7" t="s">
        <v>1790</v>
      </c>
      <c r="M9" s="32">
        <v>15</v>
      </c>
      <c r="N9" s="32">
        <v>1</v>
      </c>
      <c r="O9" s="32" t="s">
        <v>6</v>
      </c>
      <c r="P9" s="32" t="s">
        <v>1791</v>
      </c>
      <c r="Q9" s="32">
        <v>0</v>
      </c>
      <c r="R9" s="32" t="s">
        <v>6</v>
      </c>
      <c r="S9" s="32" t="s">
        <v>1792</v>
      </c>
    </row>
    <row r="10" ht="88" spans="3:19">
      <c r="C10" s="6">
        <v>7</v>
      </c>
      <c r="D10" s="6" t="s">
        <v>1793</v>
      </c>
      <c r="E10" s="6">
        <v>5</v>
      </c>
      <c r="F10" s="6" t="s">
        <v>1789</v>
      </c>
      <c r="G10" s="6" t="s">
        <v>1841</v>
      </c>
      <c r="H10" s="6">
        <v>328</v>
      </c>
      <c r="I10" s="6">
        <v>3280</v>
      </c>
      <c r="J10" s="6" t="s">
        <v>1774</v>
      </c>
      <c r="K10" s="7" t="s">
        <v>1794</v>
      </c>
      <c r="M10" s="32">
        <v>16</v>
      </c>
      <c r="N10" s="32">
        <v>1</v>
      </c>
      <c r="O10" s="32" t="s">
        <v>1795</v>
      </c>
      <c r="P10" s="34" t="s">
        <v>1796</v>
      </c>
      <c r="Q10" s="32">
        <v>15000</v>
      </c>
      <c r="R10" s="32" t="s">
        <v>6</v>
      </c>
      <c r="S10" s="32" t="s">
        <v>1797</v>
      </c>
    </row>
    <row r="11" ht="18" spans="13:19">
      <c r="M11" s="32">
        <v>17</v>
      </c>
      <c r="N11" s="32">
        <v>1</v>
      </c>
      <c r="O11" s="32" t="s">
        <v>6</v>
      </c>
      <c r="P11" s="32" t="s">
        <v>1798</v>
      </c>
      <c r="Q11" s="32">
        <v>0</v>
      </c>
      <c r="R11" s="32" t="s">
        <v>6</v>
      </c>
      <c r="S11" s="32" t="s">
        <v>1799</v>
      </c>
    </row>
    <row r="12" ht="21" spans="13:19">
      <c r="M12" s="32">
        <v>18</v>
      </c>
      <c r="N12" s="32">
        <v>1</v>
      </c>
      <c r="O12" s="35" t="s">
        <v>1648</v>
      </c>
      <c r="P12" s="32" t="s">
        <v>1842</v>
      </c>
      <c r="Q12" s="32">
        <v>15000</v>
      </c>
      <c r="R12" s="32" t="s">
        <v>6</v>
      </c>
      <c r="S12" s="32" t="s">
        <v>1802</v>
      </c>
    </row>
    <row r="13" ht="18" spans="13:19">
      <c r="M13" s="32">
        <v>19</v>
      </c>
      <c r="N13" s="32">
        <v>1</v>
      </c>
      <c r="O13" s="32" t="s">
        <v>6</v>
      </c>
      <c r="P13" s="32" t="s">
        <v>1803</v>
      </c>
      <c r="Q13" s="32">
        <v>0</v>
      </c>
      <c r="R13" s="32" t="s">
        <v>6</v>
      </c>
      <c r="S13" s="32" t="s">
        <v>1804</v>
      </c>
    </row>
    <row r="14" ht="18" spans="13:19">
      <c r="M14" s="32">
        <v>20</v>
      </c>
      <c r="N14" s="32">
        <v>1</v>
      </c>
      <c r="O14" s="32" t="s">
        <v>1257</v>
      </c>
      <c r="P14" s="34" t="s">
        <v>1805</v>
      </c>
      <c r="Q14" s="32">
        <v>15000</v>
      </c>
      <c r="R14" s="32" t="s">
        <v>6</v>
      </c>
      <c r="S14" s="32" t="s">
        <v>1806</v>
      </c>
    </row>
    <row r="15" ht="18" spans="13:19">
      <c r="M15" s="36">
        <v>21</v>
      </c>
      <c r="N15" s="36">
        <v>2</v>
      </c>
      <c r="O15" s="36" t="s">
        <v>6</v>
      </c>
      <c r="P15" s="36" t="s">
        <v>1807</v>
      </c>
      <c r="Q15" s="36">
        <v>0</v>
      </c>
      <c r="R15" s="36" t="s">
        <v>6</v>
      </c>
      <c r="S15" s="36" t="s">
        <v>1808</v>
      </c>
    </row>
    <row r="16" ht="18" spans="13:19">
      <c r="M16" s="36">
        <v>22</v>
      </c>
      <c r="N16" s="36">
        <v>2</v>
      </c>
      <c r="O16" s="36" t="s">
        <v>1809</v>
      </c>
      <c r="P16" s="36" t="s">
        <v>1810</v>
      </c>
      <c r="Q16" s="36">
        <v>20000</v>
      </c>
      <c r="R16" s="36" t="s">
        <v>6</v>
      </c>
      <c r="S16" s="36" t="s">
        <v>1811</v>
      </c>
    </row>
    <row r="17" ht="18" spans="13:19">
      <c r="M17" s="36">
        <v>23</v>
      </c>
      <c r="N17" s="36">
        <v>2</v>
      </c>
      <c r="O17" s="36" t="s">
        <v>6</v>
      </c>
      <c r="P17" s="36" t="s">
        <v>1812</v>
      </c>
      <c r="Q17" s="36">
        <v>0</v>
      </c>
      <c r="R17" s="36" t="s">
        <v>6</v>
      </c>
      <c r="S17" s="36" t="s">
        <v>1813</v>
      </c>
    </row>
    <row r="18" ht="18" spans="13:19">
      <c r="M18" s="36">
        <v>24</v>
      </c>
      <c r="N18" s="36">
        <v>2</v>
      </c>
      <c r="O18" s="36" t="s">
        <v>969</v>
      </c>
      <c r="P18" s="37" t="s">
        <v>1814</v>
      </c>
      <c r="Q18" s="36">
        <v>20000</v>
      </c>
      <c r="R18" s="36" t="s">
        <v>6</v>
      </c>
      <c r="S18" s="36" t="s">
        <v>1815</v>
      </c>
    </row>
    <row r="19" ht="18" spans="13:19">
      <c r="M19" s="36">
        <v>25</v>
      </c>
      <c r="N19" s="36">
        <v>2</v>
      </c>
      <c r="O19" s="36" t="s">
        <v>6</v>
      </c>
      <c r="P19" s="36" t="s">
        <v>1816</v>
      </c>
      <c r="Q19" s="36">
        <v>0</v>
      </c>
      <c r="R19" s="36" t="s">
        <v>6</v>
      </c>
      <c r="S19" s="36" t="s">
        <v>1817</v>
      </c>
    </row>
    <row r="20" ht="18" spans="13:19">
      <c r="M20" s="38">
        <v>26</v>
      </c>
      <c r="N20" s="38">
        <v>3</v>
      </c>
      <c r="O20" s="38" t="s">
        <v>1795</v>
      </c>
      <c r="P20" s="39" t="s">
        <v>1818</v>
      </c>
      <c r="Q20" s="38">
        <v>30000</v>
      </c>
      <c r="R20" s="38" t="s">
        <v>6</v>
      </c>
      <c r="S20" s="38" t="s">
        <v>1815</v>
      </c>
    </row>
    <row r="21" ht="18" spans="13:19">
      <c r="M21" s="38">
        <v>27</v>
      </c>
      <c r="N21" s="38">
        <v>3</v>
      </c>
      <c r="O21" s="38" t="s">
        <v>6</v>
      </c>
      <c r="P21" s="38" t="s">
        <v>1819</v>
      </c>
      <c r="Q21" s="38">
        <v>0</v>
      </c>
      <c r="R21" s="38" t="s">
        <v>6</v>
      </c>
      <c r="S21" s="38" t="s">
        <v>1820</v>
      </c>
    </row>
    <row r="22" ht="21" spans="13:19">
      <c r="M22" s="38">
        <v>28</v>
      </c>
      <c r="N22" s="38">
        <v>3</v>
      </c>
      <c r="O22" s="40" t="s">
        <v>1648</v>
      </c>
      <c r="P22" s="38" t="s">
        <v>1843</v>
      </c>
      <c r="Q22" s="38">
        <v>30000</v>
      </c>
      <c r="R22" s="38" t="s">
        <v>6</v>
      </c>
      <c r="S22" s="38" t="s">
        <v>1823</v>
      </c>
    </row>
    <row r="23" ht="18" spans="13:19">
      <c r="M23" s="38">
        <v>29</v>
      </c>
      <c r="N23" s="38">
        <v>3</v>
      </c>
      <c r="O23" s="38" t="s">
        <v>6</v>
      </c>
      <c r="P23" s="38" t="s">
        <v>1764</v>
      </c>
      <c r="Q23" s="38">
        <v>0</v>
      </c>
      <c r="R23" s="38" t="s">
        <v>6</v>
      </c>
      <c r="S23" s="38" t="s">
        <v>1824</v>
      </c>
    </row>
    <row r="24" ht="18" spans="13:19">
      <c r="M24" s="38">
        <v>30</v>
      </c>
      <c r="N24" s="38">
        <v>3</v>
      </c>
      <c r="O24" s="38" t="s">
        <v>1258</v>
      </c>
      <c r="P24" s="39" t="s">
        <v>1825</v>
      </c>
      <c r="Q24" s="38">
        <v>30000</v>
      </c>
      <c r="R24" s="38" t="s">
        <v>6</v>
      </c>
      <c r="S24" s="38" t="s">
        <v>1826</v>
      </c>
    </row>
    <row r="25" ht="18" spans="13:19">
      <c r="M25" s="41">
        <v>31</v>
      </c>
      <c r="N25" s="41">
        <v>4</v>
      </c>
      <c r="O25" s="41" t="s">
        <v>6</v>
      </c>
      <c r="P25" s="41" t="s">
        <v>1771</v>
      </c>
      <c r="Q25" s="41">
        <v>0</v>
      </c>
      <c r="R25" s="41" t="s">
        <v>6</v>
      </c>
      <c r="S25" s="41" t="s">
        <v>1826</v>
      </c>
    </row>
    <row r="26" ht="18" spans="13:19">
      <c r="M26" s="41">
        <v>32</v>
      </c>
      <c r="N26" s="41">
        <v>4</v>
      </c>
      <c r="O26" s="41" t="s">
        <v>1827</v>
      </c>
      <c r="P26" s="41" t="s">
        <v>1828</v>
      </c>
      <c r="Q26" s="41">
        <v>40000</v>
      </c>
      <c r="R26" s="41" t="s">
        <v>6</v>
      </c>
      <c r="S26" s="41" t="s">
        <v>1829</v>
      </c>
    </row>
    <row r="27" ht="18" spans="13:19">
      <c r="M27" s="41">
        <v>33</v>
      </c>
      <c r="N27" s="41">
        <v>4</v>
      </c>
      <c r="O27" s="41" t="s">
        <v>6</v>
      </c>
      <c r="P27" s="41" t="s">
        <v>1777</v>
      </c>
      <c r="Q27" s="41">
        <v>0</v>
      </c>
      <c r="R27" s="41" t="s">
        <v>6</v>
      </c>
      <c r="S27" s="41" t="s">
        <v>1830</v>
      </c>
    </row>
    <row r="28" ht="18" spans="13:19">
      <c r="M28" s="41">
        <v>34</v>
      </c>
      <c r="N28" s="41">
        <v>4</v>
      </c>
      <c r="O28" s="41" t="s">
        <v>970</v>
      </c>
      <c r="P28" s="41" t="s">
        <v>1831</v>
      </c>
      <c r="Q28" s="41">
        <v>40000</v>
      </c>
      <c r="R28" s="41" t="s">
        <v>6</v>
      </c>
      <c r="S28" s="41" t="s">
        <v>1832</v>
      </c>
    </row>
    <row r="29" ht="18" spans="13:19">
      <c r="M29" s="41">
        <v>35</v>
      </c>
      <c r="N29" s="41">
        <v>4</v>
      </c>
      <c r="O29" s="41" t="s">
        <v>6</v>
      </c>
      <c r="P29" s="41" t="s">
        <v>1787</v>
      </c>
      <c r="Q29" s="41">
        <v>0</v>
      </c>
      <c r="R29" s="41" t="s">
        <v>6</v>
      </c>
      <c r="S29" s="41" t="s">
        <v>1833</v>
      </c>
    </row>
    <row r="30" ht="18" spans="13:19">
      <c r="M30" s="42">
        <v>31</v>
      </c>
      <c r="N30" s="42">
        <v>5</v>
      </c>
      <c r="O30" s="42" t="s">
        <v>6</v>
      </c>
      <c r="P30" s="42" t="s">
        <v>1771</v>
      </c>
      <c r="Q30" s="42">
        <v>0</v>
      </c>
      <c r="R30" s="42" t="s">
        <v>6</v>
      </c>
      <c r="S30" s="42" t="s">
        <v>1820</v>
      </c>
    </row>
    <row r="31" ht="18" spans="13:19">
      <c r="M31" s="42">
        <v>32</v>
      </c>
      <c r="N31" s="42">
        <v>5</v>
      </c>
      <c r="O31" s="42" t="s">
        <v>1827</v>
      </c>
      <c r="P31" s="42" t="s">
        <v>1828</v>
      </c>
      <c r="Q31" s="42">
        <v>40000</v>
      </c>
      <c r="R31" s="42" t="s">
        <v>6</v>
      </c>
      <c r="S31" s="42" t="s">
        <v>1817</v>
      </c>
    </row>
    <row r="32" ht="18" spans="13:19">
      <c r="M32" s="42">
        <v>33</v>
      </c>
      <c r="N32" s="42">
        <v>5</v>
      </c>
      <c r="O32" s="42" t="s">
        <v>6</v>
      </c>
      <c r="P32" s="42" t="s">
        <v>1777</v>
      </c>
      <c r="Q32" s="42">
        <v>0</v>
      </c>
      <c r="R32" s="42" t="s">
        <v>6</v>
      </c>
      <c r="S32" s="42" t="s">
        <v>1834</v>
      </c>
    </row>
    <row r="33" ht="18" spans="13:19">
      <c r="M33" s="42">
        <v>34</v>
      </c>
      <c r="N33" s="42">
        <v>5</v>
      </c>
      <c r="O33" s="42" t="s">
        <v>970</v>
      </c>
      <c r="P33" s="42" t="s">
        <v>1831</v>
      </c>
      <c r="Q33" s="42">
        <v>40000</v>
      </c>
      <c r="R33" s="42" t="s">
        <v>6</v>
      </c>
      <c r="S33" s="42" t="s">
        <v>1835</v>
      </c>
    </row>
    <row r="34" ht="18" spans="13:19">
      <c r="M34" s="42">
        <v>35</v>
      </c>
      <c r="N34" s="42">
        <v>5</v>
      </c>
      <c r="O34" s="42" t="s">
        <v>6</v>
      </c>
      <c r="P34" s="42" t="s">
        <v>1787</v>
      </c>
      <c r="Q34" s="42">
        <v>0</v>
      </c>
      <c r="R34" s="42" t="s">
        <v>6</v>
      </c>
      <c r="S34" s="42" t="s">
        <v>1826</v>
      </c>
    </row>
    <row r="35" ht="21" spans="13:19">
      <c r="M35" s="41">
        <v>36</v>
      </c>
      <c r="N35" s="41">
        <v>6</v>
      </c>
      <c r="O35" s="43" t="s">
        <v>971</v>
      </c>
      <c r="P35" s="41" t="s">
        <v>1844</v>
      </c>
      <c r="Q35" s="41">
        <v>50000</v>
      </c>
      <c r="R35" s="41" t="s">
        <v>6</v>
      </c>
      <c r="S35" s="41" t="s">
        <v>1829</v>
      </c>
    </row>
    <row r="36" ht="18" spans="13:19">
      <c r="M36" s="41">
        <v>37</v>
      </c>
      <c r="N36" s="41">
        <v>6</v>
      </c>
      <c r="O36" s="41" t="s">
        <v>6</v>
      </c>
      <c r="P36" s="41" t="s">
        <v>1797</v>
      </c>
      <c r="Q36" s="41">
        <v>0</v>
      </c>
      <c r="R36" s="41" t="s">
        <v>6</v>
      </c>
      <c r="S36" s="41" t="s">
        <v>1830</v>
      </c>
    </row>
    <row r="37" ht="18" spans="13:19">
      <c r="M37" s="41">
        <v>38</v>
      </c>
      <c r="N37" s="41">
        <v>6</v>
      </c>
      <c r="O37" s="41" t="s">
        <v>1648</v>
      </c>
      <c r="P37" s="41" t="s">
        <v>1838</v>
      </c>
      <c r="Q37" s="41">
        <v>50000</v>
      </c>
      <c r="R37" s="41" t="s">
        <v>6</v>
      </c>
      <c r="S37" s="41" t="s">
        <v>1832</v>
      </c>
    </row>
    <row r="38" ht="18" spans="13:19">
      <c r="M38" s="41">
        <v>39</v>
      </c>
      <c r="N38" s="41">
        <v>6</v>
      </c>
      <c r="O38" s="41" t="s">
        <v>6</v>
      </c>
      <c r="P38" s="41" t="s">
        <v>1806</v>
      </c>
      <c r="Q38" s="41">
        <v>0</v>
      </c>
      <c r="R38" s="41" t="s">
        <v>6</v>
      </c>
      <c r="S38" s="41" t="s">
        <v>1833</v>
      </c>
    </row>
    <row r="39" ht="18" spans="13:19">
      <c r="M39" s="41">
        <v>40</v>
      </c>
      <c r="N39" s="41">
        <v>6</v>
      </c>
      <c r="O39" s="41" t="s">
        <v>972</v>
      </c>
      <c r="P39" s="44" t="s">
        <v>1839</v>
      </c>
      <c r="Q39" s="41">
        <v>100000</v>
      </c>
      <c r="R39" s="41" t="s">
        <v>6</v>
      </c>
      <c r="S39" s="41" t="s">
        <v>1840</v>
      </c>
    </row>
    <row r="40" ht="18" spans="13:19">
      <c r="M40" s="42">
        <v>36</v>
      </c>
      <c r="N40" s="42">
        <v>7</v>
      </c>
      <c r="O40" s="42" t="s">
        <v>971</v>
      </c>
      <c r="P40" s="42" t="s">
        <v>1844</v>
      </c>
      <c r="Q40" s="42">
        <v>50000</v>
      </c>
      <c r="R40" s="42" t="s">
        <v>6</v>
      </c>
      <c r="S40" s="42" t="s">
        <v>1817</v>
      </c>
    </row>
    <row r="41" ht="18" spans="13:19">
      <c r="M41" s="42">
        <v>37</v>
      </c>
      <c r="N41" s="42">
        <v>7</v>
      </c>
      <c r="O41" s="42" t="s">
        <v>6</v>
      </c>
      <c r="P41" s="42" t="s">
        <v>1797</v>
      </c>
      <c r="Q41" s="42">
        <v>0</v>
      </c>
      <c r="R41" s="42" t="s">
        <v>6</v>
      </c>
      <c r="S41" s="42" t="s">
        <v>1834</v>
      </c>
    </row>
    <row r="42" ht="18" spans="13:19">
      <c r="M42" s="42">
        <v>38</v>
      </c>
      <c r="N42" s="42">
        <v>7</v>
      </c>
      <c r="O42" s="42" t="s">
        <v>1648</v>
      </c>
      <c r="P42" s="42" t="s">
        <v>1838</v>
      </c>
      <c r="Q42" s="42">
        <v>50000</v>
      </c>
      <c r="R42" s="42" t="s">
        <v>6</v>
      </c>
      <c r="S42" s="42" t="s">
        <v>1824</v>
      </c>
    </row>
    <row r="43" ht="18" spans="13:19">
      <c r="M43" s="42">
        <v>39</v>
      </c>
      <c r="N43" s="42">
        <v>7</v>
      </c>
      <c r="O43" s="42" t="s">
        <v>6</v>
      </c>
      <c r="P43" s="42" t="s">
        <v>1806</v>
      </c>
      <c r="Q43" s="42">
        <v>0</v>
      </c>
      <c r="R43" s="42" t="s">
        <v>6</v>
      </c>
      <c r="S43" s="42" t="s">
        <v>1826</v>
      </c>
    </row>
    <row r="44" ht="18" spans="13:19">
      <c r="M44" s="42">
        <v>40</v>
      </c>
      <c r="N44" s="42">
        <v>7</v>
      </c>
      <c r="O44" s="42" t="s">
        <v>972</v>
      </c>
      <c r="P44" s="45" t="s">
        <v>1839</v>
      </c>
      <c r="Q44" s="42">
        <v>100000</v>
      </c>
      <c r="R44" s="42" t="s">
        <v>6</v>
      </c>
      <c r="S44" s="42" t="s">
        <v>1829</v>
      </c>
    </row>
  </sheetData>
  <pageMargins left="0.75" right="0.75" top="1" bottom="1" header="0.511805555555556" footer="0.511805555555556"/>
  <headerFooter/>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N16"/>
  <sheetViews>
    <sheetView workbookViewId="0">
      <selection activeCell="B7" sqref="B7"/>
    </sheetView>
  </sheetViews>
  <sheetFormatPr defaultColWidth="8.90131578947368" defaultRowHeight="21.95" customHeight="1"/>
  <cols>
    <col min="2" max="2" width="20.0986842105263" customWidth="1"/>
    <col min="4" max="4" width="9.40131578947368" customWidth="1"/>
    <col min="13" max="13" width="12.5" customWidth="1"/>
  </cols>
  <sheetData>
    <row r="1" customHeight="1" spans="1:14">
      <c r="A1" s="29" t="s">
        <v>1012</v>
      </c>
      <c r="B1" s="29" t="s">
        <v>26</v>
      </c>
      <c r="C1" s="29" t="s">
        <v>543</v>
      </c>
      <c r="D1" s="29" t="s">
        <v>824</v>
      </c>
      <c r="E1" s="29" t="s">
        <v>1845</v>
      </c>
      <c r="F1" s="29" t="s">
        <v>1846</v>
      </c>
      <c r="G1" s="29" t="s">
        <v>1847</v>
      </c>
      <c r="H1" s="29" t="s">
        <v>1848</v>
      </c>
      <c r="I1" s="29" t="s">
        <v>1849</v>
      </c>
      <c r="J1" s="29" t="s">
        <v>1850</v>
      </c>
      <c r="K1" s="27"/>
      <c r="L1" s="29" t="s">
        <v>26</v>
      </c>
      <c r="M1" s="29" t="s">
        <v>35</v>
      </c>
      <c r="N1" s="29" t="s">
        <v>1850</v>
      </c>
    </row>
    <row r="2" customHeight="1" spans="1:14">
      <c r="A2" s="29" t="s">
        <v>514</v>
      </c>
      <c r="B2" s="29" t="s">
        <v>514</v>
      </c>
      <c r="C2" s="29" t="s">
        <v>39</v>
      </c>
      <c r="D2" s="29" t="s">
        <v>39</v>
      </c>
      <c r="E2" s="29" t="s">
        <v>39</v>
      </c>
      <c r="F2" s="29" t="s">
        <v>39</v>
      </c>
      <c r="G2" s="29" t="s">
        <v>39</v>
      </c>
      <c r="H2" s="29" t="s">
        <v>39</v>
      </c>
      <c r="I2" s="29" t="s">
        <v>514</v>
      </c>
      <c r="J2" s="29" t="s">
        <v>514</v>
      </c>
      <c r="K2" s="27"/>
      <c r="L2" s="29" t="s">
        <v>514</v>
      </c>
      <c r="M2" s="29" t="s">
        <v>514</v>
      </c>
      <c r="N2" s="29" t="s">
        <v>514</v>
      </c>
    </row>
    <row r="3" customHeight="1" spans="1:14">
      <c r="A3" s="29" t="s">
        <v>1851</v>
      </c>
      <c r="B3" s="29" t="s">
        <v>1225</v>
      </c>
      <c r="C3" s="29" t="s">
        <v>1690</v>
      </c>
      <c r="D3" s="29" t="s">
        <v>828</v>
      </c>
      <c r="E3" s="29" t="s">
        <v>1852</v>
      </c>
      <c r="F3" s="29" t="s">
        <v>1853</v>
      </c>
      <c r="G3" s="29" t="s">
        <v>1854</v>
      </c>
      <c r="H3" s="29" t="s">
        <v>1855</v>
      </c>
      <c r="I3" s="29" t="s">
        <v>53</v>
      </c>
      <c r="J3" s="29" t="s">
        <v>1856</v>
      </c>
      <c r="K3" s="27"/>
      <c r="L3" s="29" t="s">
        <v>1857</v>
      </c>
      <c r="M3" s="29" t="s">
        <v>653</v>
      </c>
      <c r="N3" s="29" t="s">
        <v>1856</v>
      </c>
    </row>
    <row r="4" customHeight="1" spans="1:14">
      <c r="A4" s="29" t="s">
        <v>1858</v>
      </c>
      <c r="B4" s="29" t="s">
        <v>1859</v>
      </c>
      <c r="C4" s="29">
        <v>101</v>
      </c>
      <c r="D4" s="29">
        <v>50000000</v>
      </c>
      <c r="E4" s="29">
        <v>30000</v>
      </c>
      <c r="F4" s="29">
        <v>3</v>
      </c>
      <c r="G4" s="29">
        <v>1</v>
      </c>
      <c r="H4" s="29">
        <v>8</v>
      </c>
      <c r="I4" s="29"/>
      <c r="J4" s="29" t="s">
        <v>1860</v>
      </c>
      <c r="K4" s="27"/>
      <c r="L4" s="29" t="s">
        <v>1861</v>
      </c>
      <c r="M4" s="29" t="s">
        <v>1862</v>
      </c>
      <c r="N4" s="29" t="s">
        <v>1863</v>
      </c>
    </row>
    <row r="5" customHeight="1" spans="1:14">
      <c r="A5" s="29" t="s">
        <v>1864</v>
      </c>
      <c r="B5" s="29" t="s">
        <v>1865</v>
      </c>
      <c r="C5" s="29">
        <v>1429</v>
      </c>
      <c r="D5" s="29">
        <v>10</v>
      </c>
      <c r="E5" s="29">
        <v>4000</v>
      </c>
      <c r="F5" s="29">
        <v>0</v>
      </c>
      <c r="G5" s="29">
        <v>-1</v>
      </c>
      <c r="H5" s="29">
        <v>8</v>
      </c>
      <c r="I5" s="29"/>
      <c r="J5" s="29" t="s">
        <v>1866</v>
      </c>
      <c r="K5" s="27"/>
      <c r="L5" s="27"/>
      <c r="M5" s="27"/>
      <c r="N5" s="27"/>
    </row>
    <row r="6" customHeight="1" spans="1:14">
      <c r="A6" s="29" t="s">
        <v>1867</v>
      </c>
      <c r="B6" s="29" t="s">
        <v>1868</v>
      </c>
      <c r="C6" s="29">
        <v>1430</v>
      </c>
      <c r="D6" s="29">
        <v>10</v>
      </c>
      <c r="E6" s="29">
        <v>4000</v>
      </c>
      <c r="F6" s="29">
        <v>0</v>
      </c>
      <c r="G6" s="29">
        <v>-1</v>
      </c>
      <c r="H6" s="29">
        <v>8</v>
      </c>
      <c r="I6" s="29"/>
      <c r="J6" s="29" t="s">
        <v>1869</v>
      </c>
      <c r="K6" s="27"/>
      <c r="L6" s="27"/>
      <c r="M6" s="27"/>
      <c r="N6" s="27"/>
    </row>
    <row r="7" customHeight="1" spans="1:14">
      <c r="A7" s="29" t="s">
        <v>1870</v>
      </c>
      <c r="B7" s="29" t="s">
        <v>1871</v>
      </c>
      <c r="C7" s="29">
        <v>101</v>
      </c>
      <c r="D7" s="29">
        <v>2000000</v>
      </c>
      <c r="E7" s="29">
        <v>10000</v>
      </c>
      <c r="F7" s="29">
        <v>0</v>
      </c>
      <c r="G7" s="29">
        <v>-1</v>
      </c>
      <c r="H7" s="29">
        <v>8</v>
      </c>
      <c r="I7" s="29"/>
      <c r="J7" s="29" t="s">
        <v>1872</v>
      </c>
      <c r="K7" s="27"/>
      <c r="L7" s="27"/>
      <c r="M7" s="27"/>
      <c r="N7" s="27"/>
    </row>
    <row r="8" customHeight="1" spans="1:14">
      <c r="A8" s="29" t="s">
        <v>1873</v>
      </c>
      <c r="B8" s="29" t="s">
        <v>1874</v>
      </c>
      <c r="C8" s="29">
        <v>1137</v>
      </c>
      <c r="D8" s="29">
        <v>2000</v>
      </c>
      <c r="E8" s="29">
        <v>20000</v>
      </c>
      <c r="F8" s="29">
        <v>2</v>
      </c>
      <c r="G8" s="29">
        <v>1</v>
      </c>
      <c r="H8" s="29">
        <v>8</v>
      </c>
      <c r="I8" s="29"/>
      <c r="J8" s="29" t="s">
        <v>1875</v>
      </c>
      <c r="K8" s="27"/>
      <c r="L8" s="27"/>
      <c r="M8" s="27"/>
      <c r="N8" s="27"/>
    </row>
    <row r="9" customHeight="1" spans="1:14">
      <c r="A9" s="29" t="s">
        <v>1876</v>
      </c>
      <c r="B9" s="30" t="s">
        <v>1877</v>
      </c>
      <c r="C9" s="29">
        <v>13573</v>
      </c>
      <c r="D9" s="29">
        <v>1</v>
      </c>
      <c r="E9" s="29">
        <v>4000</v>
      </c>
      <c r="F9" s="29">
        <v>3</v>
      </c>
      <c r="G9" s="29">
        <v>1</v>
      </c>
      <c r="H9" s="29">
        <v>8</v>
      </c>
      <c r="I9" s="29"/>
      <c r="J9" s="29" t="s">
        <v>1878</v>
      </c>
      <c r="K9" s="27"/>
      <c r="L9" s="27"/>
      <c r="M9" s="27"/>
      <c r="N9" s="27"/>
    </row>
    <row r="10" customHeight="1" spans="1:14">
      <c r="A10" s="29" t="s">
        <v>1879</v>
      </c>
      <c r="B10" s="30" t="s">
        <v>1880</v>
      </c>
      <c r="C10" s="29">
        <v>13574</v>
      </c>
      <c r="D10" s="29">
        <v>1</v>
      </c>
      <c r="E10" s="29">
        <v>6000</v>
      </c>
      <c r="F10" s="29">
        <v>3</v>
      </c>
      <c r="G10" s="29">
        <v>1</v>
      </c>
      <c r="H10" s="29">
        <v>8</v>
      </c>
      <c r="I10" s="29"/>
      <c r="J10" s="29" t="s">
        <v>1881</v>
      </c>
      <c r="K10" s="27"/>
      <c r="L10" s="27"/>
      <c r="M10" s="27"/>
      <c r="N10" s="27"/>
    </row>
    <row r="11" customHeight="1" spans="1:14">
      <c r="A11" s="29" t="s">
        <v>1882</v>
      </c>
      <c r="B11" s="30" t="s">
        <v>1883</v>
      </c>
      <c r="C11" s="29">
        <v>13575</v>
      </c>
      <c r="D11" s="29">
        <v>1</v>
      </c>
      <c r="E11" s="29">
        <v>10000</v>
      </c>
      <c r="F11" s="29">
        <v>3</v>
      </c>
      <c r="G11" s="29">
        <v>1</v>
      </c>
      <c r="H11" s="29">
        <v>8</v>
      </c>
      <c r="I11" s="29"/>
      <c r="J11" s="29" t="s">
        <v>1884</v>
      </c>
      <c r="K11" s="27"/>
      <c r="L11" s="27"/>
      <c r="M11" s="27"/>
      <c r="N11" s="27"/>
    </row>
    <row r="12" customHeight="1" spans="1:14">
      <c r="A12" s="29" t="s">
        <v>1885</v>
      </c>
      <c r="B12" s="30" t="s">
        <v>1886</v>
      </c>
      <c r="C12" s="29">
        <v>13576</v>
      </c>
      <c r="D12" s="29">
        <v>1</v>
      </c>
      <c r="E12" s="29">
        <v>20000</v>
      </c>
      <c r="F12" s="29">
        <v>3</v>
      </c>
      <c r="G12" s="29">
        <v>1</v>
      </c>
      <c r="H12" s="29">
        <v>8</v>
      </c>
      <c r="I12" s="29"/>
      <c r="J12" s="29" t="s">
        <v>1887</v>
      </c>
      <c r="K12" s="27"/>
      <c r="L12" s="27"/>
      <c r="M12" s="27"/>
      <c r="N12" s="27"/>
    </row>
    <row r="13" customHeight="1" spans="1:14">
      <c r="A13" s="29" t="s">
        <v>1888</v>
      </c>
      <c r="B13" s="30" t="s">
        <v>1889</v>
      </c>
      <c r="C13" s="29">
        <v>13577</v>
      </c>
      <c r="D13" s="29">
        <v>1</v>
      </c>
      <c r="E13" s="29">
        <v>32000</v>
      </c>
      <c r="F13" s="29">
        <v>3</v>
      </c>
      <c r="G13" s="29">
        <v>1</v>
      </c>
      <c r="H13" s="29">
        <v>8</v>
      </c>
      <c r="I13" s="29"/>
      <c r="J13" s="29" t="s">
        <v>1890</v>
      </c>
      <c r="K13" s="27"/>
      <c r="L13" s="27"/>
      <c r="M13" s="27"/>
      <c r="N13" s="27"/>
    </row>
    <row r="14" customHeight="1" spans="1:14">
      <c r="A14" s="29"/>
      <c r="B14" s="29"/>
      <c r="C14" s="29"/>
      <c r="D14" s="29"/>
      <c r="E14" s="29"/>
      <c r="F14" s="29"/>
      <c r="G14" s="29"/>
      <c r="H14" s="29"/>
      <c r="I14" s="29"/>
      <c r="J14" s="29"/>
      <c r="K14" s="27"/>
      <c r="L14" s="27"/>
      <c r="M14" s="27"/>
      <c r="N14" s="27"/>
    </row>
    <row r="15" customHeight="1" spans="1:14">
      <c r="A15" s="29" t="s">
        <v>1891</v>
      </c>
      <c r="B15" s="29" t="s">
        <v>1892</v>
      </c>
      <c r="C15" s="29">
        <v>0</v>
      </c>
      <c r="D15" s="29">
        <v>0</v>
      </c>
      <c r="E15" s="29">
        <v>10000</v>
      </c>
      <c r="F15" s="29">
        <v>1</v>
      </c>
      <c r="G15" s="29">
        <v>1</v>
      </c>
      <c r="H15" s="29">
        <v>8</v>
      </c>
      <c r="I15" s="29" t="s">
        <v>1893</v>
      </c>
      <c r="J15" s="29" t="s">
        <v>1894</v>
      </c>
      <c r="K15" s="27"/>
      <c r="L15" s="27"/>
      <c r="M15" s="27"/>
      <c r="N15" s="27"/>
    </row>
    <row r="16" customHeight="1" spans="1:14">
      <c r="A16" s="29" t="s">
        <v>1895</v>
      </c>
      <c r="B16" s="29" t="s">
        <v>1896</v>
      </c>
      <c r="C16" s="29">
        <v>0</v>
      </c>
      <c r="D16" s="29">
        <v>0</v>
      </c>
      <c r="E16" s="29">
        <v>1000</v>
      </c>
      <c r="F16" s="29">
        <v>0</v>
      </c>
      <c r="G16" s="29">
        <v>-1</v>
      </c>
      <c r="H16" s="29">
        <v>8</v>
      </c>
      <c r="I16" s="29" t="s">
        <v>1893</v>
      </c>
      <c r="J16" s="29" t="s">
        <v>1897</v>
      </c>
      <c r="K16" s="27"/>
      <c r="L16" s="27"/>
      <c r="M16" s="27"/>
      <c r="N16" s="27"/>
    </row>
  </sheetData>
  <pageMargins left="0.75" right="0.75" top="1" bottom="1" header="0.511805555555556" footer="0.511805555555556"/>
  <headerFooter/>
  <legacyDrawing r:id="rId2"/>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X6"/>
  <sheetViews>
    <sheetView workbookViewId="0">
      <selection activeCell="C1" sqref="C1:H6"/>
    </sheetView>
  </sheetViews>
  <sheetFormatPr defaultColWidth="8.90131578947368" defaultRowHeight="15.2" outlineLevelRow="5"/>
  <cols>
    <col min="3" max="3" width="19.0986842105263" customWidth="1"/>
    <col min="4" max="4" width="12.9013157894737" customWidth="1"/>
    <col min="5" max="5" width="10.0986842105263" customWidth="1"/>
    <col min="7" max="7" width="12.6973684210526" customWidth="1"/>
    <col min="8" max="8" width="14.5986842105263" customWidth="1"/>
    <col min="9" max="9" width="16.0986842105263" customWidth="1"/>
    <col min="10" max="10" width="26" customWidth="1"/>
    <col min="11" max="11" width="15.5986842105263" customWidth="1"/>
    <col min="13" max="13" width="25.9013157894737" customWidth="1"/>
    <col min="14" max="14" width="15.5986842105263" customWidth="1"/>
    <col min="16" max="16" width="27.0986842105263" customWidth="1"/>
    <col min="17" max="17" width="15.5986842105263" customWidth="1"/>
    <col min="19" max="19" width="27.0986842105263" customWidth="1"/>
    <col min="20" max="20" width="15.5986842105263" customWidth="1"/>
    <col min="22" max="22" width="25" customWidth="1"/>
    <col min="23" max="23" width="15.5986842105263" customWidth="1"/>
  </cols>
  <sheetData>
    <row r="1" ht="18" spans="1:24">
      <c r="A1" s="6" t="s">
        <v>1308</v>
      </c>
      <c r="C1" s="6" t="s">
        <v>1012</v>
      </c>
      <c r="D1" s="6" t="s">
        <v>26</v>
      </c>
      <c r="E1" s="6" t="s">
        <v>1263</v>
      </c>
      <c r="F1" s="6" t="s">
        <v>1734</v>
      </c>
      <c r="G1" s="6" t="s">
        <v>1735</v>
      </c>
      <c r="H1" s="6" t="s">
        <v>1736</v>
      </c>
      <c r="I1" s="6" t="s">
        <v>1737</v>
      </c>
      <c r="J1" s="6" t="s">
        <v>1424</v>
      </c>
      <c r="K1" s="6" t="s">
        <v>1898</v>
      </c>
      <c r="L1" s="6" t="s">
        <v>545</v>
      </c>
      <c r="M1" s="6" t="s">
        <v>1424</v>
      </c>
      <c r="N1" s="6" t="s">
        <v>1898</v>
      </c>
      <c r="O1" s="6" t="s">
        <v>545</v>
      </c>
      <c r="P1" s="6" t="s">
        <v>1424</v>
      </c>
      <c r="Q1" s="6" t="s">
        <v>1898</v>
      </c>
      <c r="R1" s="6" t="s">
        <v>545</v>
      </c>
      <c r="S1" s="6" t="s">
        <v>1424</v>
      </c>
      <c r="T1" s="6" t="s">
        <v>1898</v>
      </c>
      <c r="U1" s="6" t="s">
        <v>545</v>
      </c>
      <c r="V1" s="6" t="s">
        <v>1424</v>
      </c>
      <c r="W1" s="6" t="s">
        <v>1898</v>
      </c>
      <c r="X1" s="6" t="s">
        <v>545</v>
      </c>
    </row>
    <row r="2" ht="18" spans="1:24">
      <c r="A2" s="6" t="s">
        <v>39</v>
      </c>
      <c r="C2" s="6" t="s">
        <v>514</v>
      </c>
      <c r="D2" s="6" t="s">
        <v>514</v>
      </c>
      <c r="E2" s="6" t="s">
        <v>514</v>
      </c>
      <c r="F2" s="6" t="s">
        <v>514</v>
      </c>
      <c r="G2" s="6" t="s">
        <v>39</v>
      </c>
      <c r="H2" s="6" t="s">
        <v>39</v>
      </c>
      <c r="I2" s="6" t="s">
        <v>514</v>
      </c>
      <c r="J2" s="6" t="s">
        <v>514</v>
      </c>
      <c r="K2" s="6" t="s">
        <v>514</v>
      </c>
      <c r="L2" s="6" t="s">
        <v>39</v>
      </c>
      <c r="M2" s="6" t="s">
        <v>514</v>
      </c>
      <c r="N2" s="6" t="s">
        <v>514</v>
      </c>
      <c r="O2" s="6" t="s">
        <v>39</v>
      </c>
      <c r="P2" s="6" t="s">
        <v>514</v>
      </c>
      <c r="Q2" s="6" t="s">
        <v>514</v>
      </c>
      <c r="R2" s="6" t="s">
        <v>39</v>
      </c>
      <c r="S2" s="6" t="s">
        <v>514</v>
      </c>
      <c r="T2" s="6" t="s">
        <v>514</v>
      </c>
      <c r="U2" s="6" t="s">
        <v>39</v>
      </c>
      <c r="V2" s="6" t="s">
        <v>514</v>
      </c>
      <c r="W2" s="6" t="s">
        <v>514</v>
      </c>
      <c r="X2" s="6" t="s">
        <v>39</v>
      </c>
    </row>
    <row r="3" ht="18" spans="1:24">
      <c r="A3" s="6" t="s">
        <v>1899</v>
      </c>
      <c r="C3" s="6" t="s">
        <v>1900</v>
      </c>
      <c r="D3" s="6" t="s">
        <v>0</v>
      </c>
      <c r="E3" s="6" t="s">
        <v>53</v>
      </c>
      <c r="F3" s="6" t="s">
        <v>1744</v>
      </c>
      <c r="G3" s="6" t="s">
        <v>1745</v>
      </c>
      <c r="H3" s="6" t="s">
        <v>1746</v>
      </c>
      <c r="I3" s="6" t="s">
        <v>1747</v>
      </c>
      <c r="J3" s="6" t="s">
        <v>1465</v>
      </c>
      <c r="K3" s="7" t="s">
        <v>1901</v>
      </c>
      <c r="L3" s="6" t="s">
        <v>535</v>
      </c>
      <c r="M3" s="6" t="s">
        <v>1465</v>
      </c>
      <c r="N3" s="7" t="s">
        <v>1901</v>
      </c>
      <c r="O3" s="6" t="s">
        <v>535</v>
      </c>
      <c r="P3" s="6" t="s">
        <v>1465</v>
      </c>
      <c r="Q3" s="7" t="s">
        <v>1901</v>
      </c>
      <c r="R3" s="6" t="s">
        <v>535</v>
      </c>
      <c r="S3" s="6" t="s">
        <v>1465</v>
      </c>
      <c r="T3" s="7" t="s">
        <v>1901</v>
      </c>
      <c r="U3" s="6" t="s">
        <v>535</v>
      </c>
      <c r="V3" s="6" t="s">
        <v>1465</v>
      </c>
      <c r="W3" s="7" t="s">
        <v>1901</v>
      </c>
      <c r="X3" s="6" t="s">
        <v>535</v>
      </c>
    </row>
    <row r="4" ht="66" spans="1:24">
      <c r="A4" s="6">
        <v>5</v>
      </c>
      <c r="C4" s="6" t="s">
        <v>1902</v>
      </c>
      <c r="D4" s="27" t="s">
        <v>1903</v>
      </c>
      <c r="E4" s="31" t="s">
        <v>1904</v>
      </c>
      <c r="F4" s="6" t="s">
        <v>1758</v>
      </c>
      <c r="G4" s="6">
        <v>25</v>
      </c>
      <c r="H4" s="6">
        <v>250</v>
      </c>
      <c r="I4" s="6" t="s">
        <v>1905</v>
      </c>
      <c r="J4" s="6" t="s">
        <v>1811</v>
      </c>
      <c r="K4" s="6" t="s">
        <v>1906</v>
      </c>
      <c r="L4" s="6">
        <v>10000</v>
      </c>
      <c r="M4" s="6" t="s">
        <v>1907</v>
      </c>
      <c r="N4" s="6" t="s">
        <v>1908</v>
      </c>
      <c r="O4" s="6">
        <v>10000</v>
      </c>
      <c r="P4" s="6" t="s">
        <v>1909</v>
      </c>
      <c r="Q4" s="6" t="s">
        <v>1910</v>
      </c>
      <c r="R4" s="6">
        <v>10000</v>
      </c>
      <c r="S4" s="6" t="s">
        <v>1806</v>
      </c>
      <c r="T4" s="6" t="s">
        <v>1911</v>
      </c>
      <c r="U4" s="6">
        <v>10000</v>
      </c>
      <c r="V4" s="6" t="s">
        <v>1797</v>
      </c>
      <c r="W4" s="6" t="s">
        <v>1906</v>
      </c>
      <c r="X4" s="6">
        <v>10000</v>
      </c>
    </row>
    <row r="5" ht="71" spans="3:24">
      <c r="C5" s="6" t="s">
        <v>1912</v>
      </c>
      <c r="D5" s="6" t="s">
        <v>1913</v>
      </c>
      <c r="E5" s="31" t="s">
        <v>1914</v>
      </c>
      <c r="F5" s="6" t="s">
        <v>1758</v>
      </c>
      <c r="G5" s="6">
        <v>200</v>
      </c>
      <c r="H5" s="6">
        <v>2000</v>
      </c>
      <c r="I5" s="6" t="s">
        <v>1915</v>
      </c>
      <c r="J5" s="6" t="s">
        <v>1916</v>
      </c>
      <c r="K5" s="6" t="s">
        <v>1911</v>
      </c>
      <c r="L5" s="6">
        <v>10000</v>
      </c>
      <c r="M5" s="6" t="s">
        <v>1833</v>
      </c>
      <c r="N5" s="6" t="s">
        <v>1906</v>
      </c>
      <c r="O5" s="6">
        <v>10000</v>
      </c>
      <c r="P5" s="6" t="s">
        <v>1830</v>
      </c>
      <c r="Q5" s="6" t="s">
        <v>1910</v>
      </c>
      <c r="R5" s="6">
        <v>10000</v>
      </c>
      <c r="S5" s="6" t="s">
        <v>1817</v>
      </c>
      <c r="T5" s="6" t="s">
        <v>1908</v>
      </c>
      <c r="U5" s="6">
        <v>10000</v>
      </c>
      <c r="V5" s="6" t="s">
        <v>1811</v>
      </c>
      <c r="W5" s="6" t="s">
        <v>1910</v>
      </c>
      <c r="X5" s="6">
        <v>10000</v>
      </c>
    </row>
    <row r="6" ht="66" spans="3:24">
      <c r="C6" s="6" t="s">
        <v>1917</v>
      </c>
      <c r="D6" s="6" t="s">
        <v>1918</v>
      </c>
      <c r="E6" s="31" t="s">
        <v>1919</v>
      </c>
      <c r="F6" s="6" t="s">
        <v>1758</v>
      </c>
      <c r="G6" s="6">
        <v>100</v>
      </c>
      <c r="H6" s="6">
        <v>1000</v>
      </c>
      <c r="I6" s="6" t="s">
        <v>1920</v>
      </c>
      <c r="J6" s="6" t="s">
        <v>1921</v>
      </c>
      <c r="K6" s="6" t="s">
        <v>1911</v>
      </c>
      <c r="L6" s="6">
        <v>10000</v>
      </c>
      <c r="M6" s="6" t="s">
        <v>1922</v>
      </c>
      <c r="N6" s="6" t="s">
        <v>1906</v>
      </c>
      <c r="O6" s="6">
        <v>10000</v>
      </c>
      <c r="P6" s="6" t="s">
        <v>1923</v>
      </c>
      <c r="Q6" s="6" t="s">
        <v>1910</v>
      </c>
      <c r="R6" s="6">
        <v>10000</v>
      </c>
      <c r="S6" s="6" t="s">
        <v>1924</v>
      </c>
      <c r="T6" s="6" t="s">
        <v>1908</v>
      </c>
      <c r="U6" s="6">
        <v>10000</v>
      </c>
      <c r="V6" s="6" t="s">
        <v>1925</v>
      </c>
      <c r="W6" s="6" t="s">
        <v>1910</v>
      </c>
      <c r="X6" s="6">
        <v>10000</v>
      </c>
    </row>
  </sheetData>
  <pageMargins left="0.75" right="0.75" top="1" bottom="1" header="0.511805555555556" footer="0.511805555555556"/>
  <pageSetup paperSize="9" orientation="portrait"/>
  <headerFooter/>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R48"/>
  <sheetViews>
    <sheetView topLeftCell="C24" workbookViewId="0">
      <selection activeCell="G43" sqref="G43"/>
    </sheetView>
  </sheetViews>
  <sheetFormatPr defaultColWidth="7.09868421052632" defaultRowHeight="23.1" customHeight="1"/>
  <cols>
    <col min="1" max="1" width="10.0986842105263" style="27" customWidth="1"/>
    <col min="2" max="2" width="10.9013157894737" style="27" customWidth="1"/>
    <col min="3" max="3" width="19.5986842105263" style="27" customWidth="1"/>
    <col min="4" max="4" width="28.0986842105263" style="27" customWidth="1"/>
    <col min="5" max="8" width="7.09868421052632" style="27"/>
    <col min="9" max="9" width="12" style="27" customWidth="1"/>
    <col min="10" max="10" width="7.09868421052632" style="27"/>
    <col min="11" max="11" width="15.5" style="27" customWidth="1"/>
    <col min="12" max="12" width="11.0986842105263" style="27" customWidth="1"/>
    <col min="13" max="13" width="7.09868421052632" style="27"/>
    <col min="14" max="14" width="11.9013157894737" style="27" customWidth="1"/>
    <col min="15" max="15" width="7.09868421052632" style="27"/>
    <col min="16" max="16" width="21.5" style="27" customWidth="1"/>
    <col min="17" max="22" width="7.09868421052632" style="27"/>
    <col min="23" max="23" width="11.0986842105263" style="27" customWidth="1"/>
    <col min="24" max="29" width="7.09868421052632" style="27"/>
    <col min="30" max="30" width="7.59868421052632" style="27" customWidth="1"/>
    <col min="31" max="36" width="7.09868421052632" style="27"/>
    <col min="37" max="37" width="9.90131578947368" style="27" customWidth="1"/>
    <col min="38" max="38" width="7" style="27" customWidth="1"/>
    <col min="39" max="41" width="7.09868421052632" style="27"/>
    <col min="42" max="42" width="10.0986842105263" style="27" customWidth="1"/>
    <col min="43" max="43" width="7.09868421052632" style="27"/>
    <col min="44" max="44" width="9.40131578947368" style="27" customWidth="1"/>
    <col min="45" max="16384" width="7.09868421052632" style="27"/>
  </cols>
  <sheetData>
    <row r="1" customHeight="1" spans="1:18">
      <c r="A1" s="28" t="s">
        <v>1926</v>
      </c>
      <c r="B1" s="28" t="s">
        <v>1927</v>
      </c>
      <c r="C1" s="28" t="s">
        <v>1928</v>
      </c>
      <c r="D1" s="28" t="s">
        <v>1929</v>
      </c>
      <c r="F1" s="29" t="s">
        <v>1926</v>
      </c>
      <c r="G1" s="29" t="s">
        <v>1649</v>
      </c>
      <c r="H1" s="29" t="s">
        <v>543</v>
      </c>
      <c r="I1" s="29" t="s">
        <v>824</v>
      </c>
      <c r="J1" s="29" t="s">
        <v>825</v>
      </c>
      <c r="K1" s="29" t="s">
        <v>26</v>
      </c>
      <c r="L1" s="29" t="s">
        <v>1682</v>
      </c>
      <c r="N1" s="29" t="s">
        <v>1930</v>
      </c>
      <c r="P1" s="29" t="s">
        <v>1223</v>
      </c>
      <c r="R1" s="29" t="s">
        <v>1931</v>
      </c>
    </row>
    <row r="2" customHeight="1" spans="1:18">
      <c r="A2" s="28" t="s">
        <v>39</v>
      </c>
      <c r="B2" s="28" t="s">
        <v>514</v>
      </c>
      <c r="C2" s="28" t="s">
        <v>39</v>
      </c>
      <c r="D2" s="28" t="s">
        <v>1932</v>
      </c>
      <c r="F2" s="29" t="s">
        <v>39</v>
      </c>
      <c r="G2" s="29" t="s">
        <v>39</v>
      </c>
      <c r="H2" s="29" t="s">
        <v>39</v>
      </c>
      <c r="I2" s="29" t="s">
        <v>39</v>
      </c>
      <c r="J2" s="29" t="s">
        <v>39</v>
      </c>
      <c r="K2" s="29" t="s">
        <v>514</v>
      </c>
      <c r="L2" s="29" t="s">
        <v>39</v>
      </c>
      <c r="N2" s="29" t="s">
        <v>514</v>
      </c>
      <c r="P2" s="29" t="s">
        <v>514</v>
      </c>
      <c r="R2" s="29" t="s">
        <v>39</v>
      </c>
    </row>
    <row r="3" customHeight="1" spans="1:18">
      <c r="A3" s="28" t="s">
        <v>1933</v>
      </c>
      <c r="B3" s="28" t="s">
        <v>1934</v>
      </c>
      <c r="C3" s="28" t="s">
        <v>1935</v>
      </c>
      <c r="D3" s="28" t="s">
        <v>1936</v>
      </c>
      <c r="F3" s="29" t="s">
        <v>1933</v>
      </c>
      <c r="G3" s="29" t="s">
        <v>535</v>
      </c>
      <c r="H3" s="29" t="s">
        <v>1690</v>
      </c>
      <c r="I3" s="29" t="s">
        <v>828</v>
      </c>
      <c r="J3" s="29" t="s">
        <v>1655</v>
      </c>
      <c r="K3" s="29" t="s">
        <v>1225</v>
      </c>
      <c r="L3" s="29" t="s">
        <v>1694</v>
      </c>
      <c r="N3" s="29" t="s">
        <v>1937</v>
      </c>
      <c r="P3" s="30" t="s">
        <v>1938</v>
      </c>
      <c r="R3" s="29" t="s">
        <v>1939</v>
      </c>
    </row>
    <row r="4" customHeight="1" spans="1:18">
      <c r="A4" s="28">
        <v>1</v>
      </c>
      <c r="B4" s="28" t="s">
        <v>1940</v>
      </c>
      <c r="C4" s="28">
        <v>3</v>
      </c>
      <c r="D4" s="28" t="s">
        <v>1941</v>
      </c>
      <c r="F4" s="29">
        <v>1</v>
      </c>
      <c r="G4" s="29">
        <v>100</v>
      </c>
      <c r="H4" s="29">
        <v>101</v>
      </c>
      <c r="I4" s="29">
        <v>200000</v>
      </c>
      <c r="J4" s="29">
        <v>1</v>
      </c>
      <c r="K4" s="29"/>
      <c r="L4" s="29">
        <v>0</v>
      </c>
      <c r="N4" s="29" t="s">
        <v>1942</v>
      </c>
      <c r="P4" s="29" t="s">
        <v>1943</v>
      </c>
      <c r="R4" s="29">
        <v>2</v>
      </c>
    </row>
    <row r="5" customHeight="1" spans="1:12">
      <c r="A5" s="28">
        <v>2</v>
      </c>
      <c r="B5" s="28" t="s">
        <v>1944</v>
      </c>
      <c r="C5" s="28">
        <v>3</v>
      </c>
      <c r="D5" s="28" t="s">
        <v>1945</v>
      </c>
      <c r="F5" s="29">
        <v>1</v>
      </c>
      <c r="G5" s="29">
        <v>200</v>
      </c>
      <c r="H5" s="29">
        <v>1285</v>
      </c>
      <c r="I5" s="29">
        <v>1</v>
      </c>
      <c r="J5" s="29">
        <v>0</v>
      </c>
      <c r="K5" s="29" t="s">
        <v>975</v>
      </c>
      <c r="L5" s="29">
        <v>0</v>
      </c>
    </row>
    <row r="6" customHeight="1" spans="1:12">
      <c r="A6" s="28">
        <v>3</v>
      </c>
      <c r="B6" s="28" t="s">
        <v>1946</v>
      </c>
      <c r="C6" s="28">
        <v>3</v>
      </c>
      <c r="D6" s="28" t="s">
        <v>1947</v>
      </c>
      <c r="F6" s="29">
        <v>1</v>
      </c>
      <c r="G6" s="29">
        <v>1000</v>
      </c>
      <c r="H6" s="29">
        <v>1137</v>
      </c>
      <c r="I6" s="29">
        <v>100</v>
      </c>
      <c r="J6" s="29">
        <v>0</v>
      </c>
      <c r="K6" s="29"/>
      <c r="L6" s="29">
        <v>0</v>
      </c>
    </row>
    <row r="7" customHeight="1" spans="1:12">
      <c r="A7" s="28">
        <v>4</v>
      </c>
      <c r="B7" s="28" t="s">
        <v>1948</v>
      </c>
      <c r="C7" s="28">
        <v>3</v>
      </c>
      <c r="D7" s="28" t="s">
        <v>1949</v>
      </c>
      <c r="F7" s="29">
        <v>1</v>
      </c>
      <c r="G7" s="29">
        <v>500</v>
      </c>
      <c r="H7" s="29">
        <v>101</v>
      </c>
      <c r="I7" s="29">
        <v>100000</v>
      </c>
      <c r="J7" s="29">
        <v>0</v>
      </c>
      <c r="K7" s="29"/>
      <c r="L7" s="29">
        <v>0</v>
      </c>
    </row>
    <row r="8" customHeight="1" spans="1:12">
      <c r="A8" s="28">
        <v>5</v>
      </c>
      <c r="B8" s="28" t="s">
        <v>1950</v>
      </c>
      <c r="C8" s="28">
        <v>3</v>
      </c>
      <c r="D8" s="28" t="s">
        <v>1951</v>
      </c>
      <c r="F8" s="29">
        <v>1</v>
      </c>
      <c r="G8" s="29">
        <v>500</v>
      </c>
      <c r="H8" s="29">
        <v>1408</v>
      </c>
      <c r="I8" s="29">
        <v>20</v>
      </c>
      <c r="J8" s="29">
        <v>0</v>
      </c>
      <c r="K8" s="29" t="s">
        <v>1809</v>
      </c>
      <c r="L8" s="29">
        <v>0</v>
      </c>
    </row>
    <row r="9" customHeight="1" spans="6:12">
      <c r="F9" s="29">
        <v>1</v>
      </c>
      <c r="G9" s="29">
        <v>1000</v>
      </c>
      <c r="H9" s="29">
        <v>101</v>
      </c>
      <c r="I9" s="29">
        <v>80000</v>
      </c>
      <c r="J9" s="29">
        <v>0</v>
      </c>
      <c r="K9" s="29"/>
      <c r="L9" s="29">
        <v>0</v>
      </c>
    </row>
    <row r="10" customHeight="1" spans="6:12">
      <c r="F10" s="29">
        <v>1</v>
      </c>
      <c r="G10" s="29">
        <v>1000</v>
      </c>
      <c r="H10" s="29">
        <v>101</v>
      </c>
      <c r="I10" s="29">
        <v>40000</v>
      </c>
      <c r="J10" s="29">
        <v>0</v>
      </c>
      <c r="K10" s="29"/>
      <c r="L10" s="29">
        <v>0</v>
      </c>
    </row>
    <row r="11" customHeight="1" spans="6:12">
      <c r="F11" s="29">
        <v>1</v>
      </c>
      <c r="G11" s="29">
        <v>1000</v>
      </c>
      <c r="H11" s="29">
        <v>101</v>
      </c>
      <c r="I11" s="29">
        <v>20000</v>
      </c>
      <c r="J11" s="29">
        <v>0</v>
      </c>
      <c r="K11" s="29"/>
      <c r="L11" s="29">
        <v>0</v>
      </c>
    </row>
    <row r="12" customHeight="1" spans="6:12">
      <c r="F12" s="29">
        <v>1</v>
      </c>
      <c r="G12" s="29">
        <v>500</v>
      </c>
      <c r="H12" s="29">
        <v>101</v>
      </c>
      <c r="I12" s="29">
        <v>10000</v>
      </c>
      <c r="J12" s="29">
        <v>0</v>
      </c>
      <c r="K12" s="29"/>
      <c r="L12" s="29">
        <v>0</v>
      </c>
    </row>
    <row r="13" customHeight="1" spans="6:12">
      <c r="F13" s="29">
        <v>2</v>
      </c>
      <c r="G13" s="29">
        <v>100</v>
      </c>
      <c r="H13" s="29">
        <v>13548</v>
      </c>
      <c r="I13" s="29">
        <v>1</v>
      </c>
      <c r="J13" s="29">
        <v>1</v>
      </c>
      <c r="K13" s="29" t="s">
        <v>1706</v>
      </c>
      <c r="L13" s="29">
        <v>0</v>
      </c>
    </row>
    <row r="14" customHeight="1" spans="6:12">
      <c r="F14" s="29">
        <v>2</v>
      </c>
      <c r="G14" s="29">
        <v>300</v>
      </c>
      <c r="H14" s="29">
        <v>101</v>
      </c>
      <c r="I14" s="29">
        <v>300000</v>
      </c>
      <c r="J14" s="29">
        <v>1</v>
      </c>
      <c r="K14" s="29"/>
      <c r="L14" s="29">
        <v>0</v>
      </c>
    </row>
    <row r="15" customHeight="1" spans="6:12">
      <c r="F15" s="29">
        <v>2</v>
      </c>
      <c r="G15" s="29">
        <v>100</v>
      </c>
      <c r="H15" s="29">
        <v>13543</v>
      </c>
      <c r="I15" s="29">
        <v>500</v>
      </c>
      <c r="J15" s="29">
        <v>0</v>
      </c>
      <c r="K15" s="29"/>
      <c r="L15" s="29">
        <v>0</v>
      </c>
    </row>
    <row r="16" customHeight="1" spans="6:12">
      <c r="F16" s="29">
        <v>2</v>
      </c>
      <c r="G16" s="29">
        <v>300</v>
      </c>
      <c r="H16" s="29">
        <v>1137</v>
      </c>
      <c r="I16" s="29">
        <v>500</v>
      </c>
      <c r="J16" s="29">
        <v>0</v>
      </c>
      <c r="K16" s="29"/>
      <c r="L16" s="29">
        <v>0</v>
      </c>
    </row>
    <row r="17" customHeight="1" spans="6:12">
      <c r="F17" s="29">
        <v>2</v>
      </c>
      <c r="G17" s="29">
        <v>500</v>
      </c>
      <c r="H17" s="29">
        <v>101</v>
      </c>
      <c r="I17" s="29">
        <v>200000</v>
      </c>
      <c r="J17" s="29">
        <v>0</v>
      </c>
      <c r="K17" s="29"/>
      <c r="L17" s="29">
        <v>0</v>
      </c>
    </row>
    <row r="18" customHeight="1" spans="6:12">
      <c r="F18" s="29">
        <v>2</v>
      </c>
      <c r="G18" s="29">
        <v>500</v>
      </c>
      <c r="H18" s="29">
        <v>101</v>
      </c>
      <c r="I18" s="29">
        <v>150000</v>
      </c>
      <c r="J18" s="29">
        <v>0</v>
      </c>
      <c r="K18" s="29"/>
      <c r="L18" s="29">
        <v>0</v>
      </c>
    </row>
    <row r="19" customHeight="1" spans="6:12">
      <c r="F19" s="29">
        <v>2</v>
      </c>
      <c r="G19" s="29">
        <v>2000</v>
      </c>
      <c r="H19" s="29">
        <v>101</v>
      </c>
      <c r="I19" s="29">
        <v>100000</v>
      </c>
      <c r="J19" s="29">
        <v>0</v>
      </c>
      <c r="K19" s="29"/>
      <c r="L19" s="29">
        <v>0</v>
      </c>
    </row>
    <row r="20" customHeight="1" spans="6:12">
      <c r="F20" s="29">
        <v>2</v>
      </c>
      <c r="G20" s="29">
        <v>1000</v>
      </c>
      <c r="H20" s="29">
        <v>101</v>
      </c>
      <c r="I20" s="29">
        <v>80000</v>
      </c>
      <c r="J20" s="29">
        <v>0</v>
      </c>
      <c r="K20" s="29"/>
      <c r="L20" s="29">
        <v>0</v>
      </c>
    </row>
    <row r="21" customHeight="1" spans="6:12">
      <c r="F21" s="29">
        <v>2</v>
      </c>
      <c r="G21" s="29">
        <v>500</v>
      </c>
      <c r="H21" s="29">
        <v>101</v>
      </c>
      <c r="I21" s="29">
        <v>50000</v>
      </c>
      <c r="J21" s="29">
        <v>0</v>
      </c>
      <c r="K21" s="29"/>
      <c r="L21" s="29">
        <v>0</v>
      </c>
    </row>
    <row r="22" customHeight="1" spans="6:12">
      <c r="F22" s="29">
        <v>3</v>
      </c>
      <c r="G22" s="29">
        <v>50</v>
      </c>
      <c r="H22" s="29">
        <v>101</v>
      </c>
      <c r="I22" s="29">
        <v>3000000</v>
      </c>
      <c r="J22" s="29">
        <v>1</v>
      </c>
      <c r="K22" s="29"/>
      <c r="L22" s="29">
        <v>0</v>
      </c>
    </row>
    <row r="23" customHeight="1" spans="6:12">
      <c r="F23" s="29">
        <v>3</v>
      </c>
      <c r="G23" s="29">
        <v>50</v>
      </c>
      <c r="H23" s="29">
        <v>13543</v>
      </c>
      <c r="I23" s="29">
        <v>1000</v>
      </c>
      <c r="J23" s="29">
        <v>1</v>
      </c>
      <c r="K23" s="29"/>
      <c r="L23" s="29">
        <v>0</v>
      </c>
    </row>
    <row r="24" customHeight="1" spans="6:12">
      <c r="F24" s="29">
        <v>3</v>
      </c>
      <c r="G24" s="29">
        <v>500</v>
      </c>
      <c r="H24" s="29">
        <v>1289</v>
      </c>
      <c r="I24" s="29">
        <v>720</v>
      </c>
      <c r="J24" s="29">
        <v>0</v>
      </c>
      <c r="K24" s="29" t="s">
        <v>971</v>
      </c>
      <c r="L24" s="29">
        <v>0</v>
      </c>
    </row>
    <row r="25" customHeight="1" spans="6:12">
      <c r="F25" s="29">
        <v>3</v>
      </c>
      <c r="G25" s="29">
        <v>100</v>
      </c>
      <c r="H25" s="29">
        <v>101</v>
      </c>
      <c r="I25" s="29">
        <v>2000000</v>
      </c>
      <c r="J25" s="29">
        <v>0</v>
      </c>
      <c r="K25" s="29"/>
      <c r="L25" s="29">
        <v>0</v>
      </c>
    </row>
    <row r="26" customHeight="1" spans="6:12">
      <c r="F26" s="29">
        <v>3</v>
      </c>
      <c r="G26" s="29">
        <v>500</v>
      </c>
      <c r="H26" s="29">
        <v>101</v>
      </c>
      <c r="I26" s="29">
        <v>1000000</v>
      </c>
      <c r="J26" s="29">
        <v>0</v>
      </c>
      <c r="K26" s="29"/>
      <c r="L26" s="29">
        <v>0</v>
      </c>
    </row>
    <row r="27" customHeight="1" spans="6:12">
      <c r="F27" s="29">
        <v>3</v>
      </c>
      <c r="G27" s="29">
        <v>3000</v>
      </c>
      <c r="H27" s="29">
        <v>101</v>
      </c>
      <c r="I27" s="29">
        <v>800000</v>
      </c>
      <c r="J27" s="29">
        <v>0</v>
      </c>
      <c r="K27" s="29"/>
      <c r="L27" s="29">
        <v>0</v>
      </c>
    </row>
    <row r="28" customHeight="1" spans="6:12">
      <c r="F28" s="29">
        <v>3</v>
      </c>
      <c r="G28" s="29">
        <v>2000</v>
      </c>
      <c r="H28" s="29">
        <v>101</v>
      </c>
      <c r="I28" s="29">
        <v>600000</v>
      </c>
      <c r="J28" s="29">
        <v>0</v>
      </c>
      <c r="K28" s="29"/>
      <c r="L28" s="29">
        <v>0</v>
      </c>
    </row>
    <row r="29" customHeight="1" spans="6:12">
      <c r="F29" s="29">
        <v>3</v>
      </c>
      <c r="G29" s="29">
        <v>1500</v>
      </c>
      <c r="H29" s="29">
        <v>101</v>
      </c>
      <c r="I29" s="29">
        <v>400000</v>
      </c>
      <c r="J29" s="29">
        <v>0</v>
      </c>
      <c r="K29" s="29"/>
      <c r="L29" s="29">
        <v>0</v>
      </c>
    </row>
    <row r="30" customHeight="1" spans="6:12">
      <c r="F30" s="29">
        <v>3</v>
      </c>
      <c r="G30" s="29">
        <v>500</v>
      </c>
      <c r="H30" s="29">
        <v>101</v>
      </c>
      <c r="I30" s="29">
        <v>200000</v>
      </c>
      <c r="J30" s="29">
        <v>0</v>
      </c>
      <c r="K30" s="29"/>
      <c r="L30" s="29">
        <v>0</v>
      </c>
    </row>
    <row r="31" customHeight="1" spans="6:12">
      <c r="F31" s="29">
        <v>4</v>
      </c>
      <c r="G31" s="29">
        <v>10</v>
      </c>
      <c r="H31" s="29">
        <v>13549</v>
      </c>
      <c r="I31" s="29">
        <v>1</v>
      </c>
      <c r="J31" s="29">
        <v>1</v>
      </c>
      <c r="K31" s="29" t="s">
        <v>1705</v>
      </c>
      <c r="L31" s="29">
        <v>10</v>
      </c>
    </row>
    <row r="32" customHeight="1" spans="6:12">
      <c r="F32" s="29">
        <v>4</v>
      </c>
      <c r="G32" s="29">
        <v>100</v>
      </c>
      <c r="H32" s="29">
        <v>101</v>
      </c>
      <c r="I32" s="29">
        <v>10000000</v>
      </c>
      <c r="J32" s="29">
        <v>1</v>
      </c>
      <c r="K32" s="29"/>
      <c r="L32" s="29">
        <v>0</v>
      </c>
    </row>
    <row r="33" customHeight="1" spans="6:12">
      <c r="F33" s="29">
        <v>4</v>
      </c>
      <c r="G33" s="29">
        <v>100</v>
      </c>
      <c r="H33" s="29">
        <v>13543</v>
      </c>
      <c r="I33" s="29">
        <v>2000</v>
      </c>
      <c r="J33" s="29">
        <v>0</v>
      </c>
      <c r="K33" s="29"/>
      <c r="L33" s="29">
        <v>0</v>
      </c>
    </row>
    <row r="34" customHeight="1" spans="6:12">
      <c r="F34" s="29">
        <v>4</v>
      </c>
      <c r="G34" s="29">
        <v>300</v>
      </c>
      <c r="H34" s="29">
        <v>1286</v>
      </c>
      <c r="I34" s="29">
        <v>20</v>
      </c>
      <c r="J34" s="29">
        <v>0</v>
      </c>
      <c r="K34" s="29" t="s">
        <v>976</v>
      </c>
      <c r="L34" s="29">
        <v>0</v>
      </c>
    </row>
    <row r="35" customHeight="1" spans="6:12">
      <c r="F35" s="29">
        <v>4</v>
      </c>
      <c r="G35" s="29">
        <v>500</v>
      </c>
      <c r="H35" s="29">
        <v>101</v>
      </c>
      <c r="I35" s="29">
        <v>8000000</v>
      </c>
      <c r="J35" s="29">
        <v>0</v>
      </c>
      <c r="K35" s="29"/>
      <c r="L35" s="29">
        <v>0</v>
      </c>
    </row>
    <row r="36" customHeight="1" spans="6:12">
      <c r="F36" s="29">
        <v>4</v>
      </c>
      <c r="G36" s="29">
        <v>500</v>
      </c>
      <c r="H36" s="29">
        <v>101</v>
      </c>
      <c r="I36" s="29">
        <v>6000000</v>
      </c>
      <c r="J36" s="29">
        <v>0</v>
      </c>
      <c r="K36" s="29"/>
      <c r="L36" s="29">
        <v>0</v>
      </c>
    </row>
    <row r="37" customHeight="1" spans="6:12">
      <c r="F37" s="29">
        <v>4</v>
      </c>
      <c r="G37" s="29">
        <v>2000</v>
      </c>
      <c r="H37" s="29">
        <v>101</v>
      </c>
      <c r="I37" s="29">
        <v>4000000</v>
      </c>
      <c r="J37" s="29">
        <v>0</v>
      </c>
      <c r="K37" s="29"/>
      <c r="L37" s="29">
        <v>0</v>
      </c>
    </row>
    <row r="38" customHeight="1" spans="6:12">
      <c r="F38" s="29">
        <v>4</v>
      </c>
      <c r="G38" s="29">
        <v>1500</v>
      </c>
      <c r="H38" s="29">
        <v>101</v>
      </c>
      <c r="I38" s="29">
        <v>2000000</v>
      </c>
      <c r="J38" s="29">
        <v>0</v>
      </c>
      <c r="K38" s="29"/>
      <c r="L38" s="29">
        <v>0</v>
      </c>
    </row>
    <row r="39" customHeight="1" spans="6:12">
      <c r="F39" s="29">
        <v>4</v>
      </c>
      <c r="G39" s="29">
        <v>500</v>
      </c>
      <c r="H39" s="29">
        <v>101</v>
      </c>
      <c r="I39" s="29">
        <v>1000000</v>
      </c>
      <c r="J39" s="29">
        <v>0</v>
      </c>
      <c r="K39" s="29"/>
      <c r="L39" s="29">
        <v>0</v>
      </c>
    </row>
    <row r="40" customHeight="1" spans="6:12">
      <c r="F40" s="29">
        <v>5</v>
      </c>
      <c r="G40" s="29">
        <v>0</v>
      </c>
      <c r="H40" s="29">
        <v>13551</v>
      </c>
      <c r="I40" s="29">
        <v>1</v>
      </c>
      <c r="J40" s="29">
        <v>1</v>
      </c>
      <c r="K40" s="29" t="s">
        <v>1952</v>
      </c>
      <c r="L40" s="29">
        <v>12</v>
      </c>
    </row>
    <row r="41" customHeight="1" spans="6:12">
      <c r="F41" s="29">
        <v>5</v>
      </c>
      <c r="G41" s="29">
        <v>10</v>
      </c>
      <c r="H41" s="29">
        <v>13550</v>
      </c>
      <c r="I41" s="29">
        <v>1</v>
      </c>
      <c r="J41" s="29">
        <v>1</v>
      </c>
      <c r="K41" s="29" t="s">
        <v>1702</v>
      </c>
      <c r="L41" s="29">
        <v>12</v>
      </c>
    </row>
    <row r="42" customHeight="1" spans="6:12">
      <c r="F42" s="29">
        <v>5</v>
      </c>
      <c r="G42" s="29">
        <v>30</v>
      </c>
      <c r="H42" s="29">
        <v>13555</v>
      </c>
      <c r="I42" s="29">
        <v>1</v>
      </c>
      <c r="J42" s="29">
        <v>1</v>
      </c>
      <c r="K42" s="29" t="s">
        <v>1953</v>
      </c>
      <c r="L42" s="29">
        <v>12</v>
      </c>
    </row>
    <row r="43" customHeight="1" spans="6:12">
      <c r="F43" s="29">
        <v>5</v>
      </c>
      <c r="G43" s="29">
        <v>100</v>
      </c>
      <c r="H43" s="29">
        <v>101</v>
      </c>
      <c r="I43" s="29">
        <v>20000000</v>
      </c>
      <c r="J43" s="29">
        <v>0</v>
      </c>
      <c r="K43" s="29"/>
      <c r="L43" s="29">
        <v>0</v>
      </c>
    </row>
    <row r="44" customHeight="1" spans="6:12">
      <c r="F44" s="29">
        <v>5</v>
      </c>
      <c r="G44" s="29">
        <v>100</v>
      </c>
      <c r="H44" s="29">
        <v>101</v>
      </c>
      <c r="I44" s="29">
        <v>10000000</v>
      </c>
      <c r="J44" s="29">
        <v>0</v>
      </c>
      <c r="K44" s="29"/>
      <c r="L44" s="29">
        <v>0</v>
      </c>
    </row>
    <row r="45" customHeight="1" spans="6:12">
      <c r="F45" s="29">
        <v>5</v>
      </c>
      <c r="G45" s="29">
        <v>100</v>
      </c>
      <c r="H45" s="29">
        <v>101</v>
      </c>
      <c r="I45" s="29">
        <v>8000000</v>
      </c>
      <c r="J45" s="29">
        <v>0</v>
      </c>
      <c r="K45" s="29"/>
      <c r="L45" s="29">
        <v>0</v>
      </c>
    </row>
    <row r="46" customHeight="1" spans="6:12">
      <c r="F46" s="29">
        <v>5</v>
      </c>
      <c r="G46" s="29">
        <v>3500</v>
      </c>
      <c r="H46" s="29">
        <v>101</v>
      </c>
      <c r="I46" s="29">
        <v>6000000</v>
      </c>
      <c r="J46" s="29">
        <v>0</v>
      </c>
      <c r="K46" s="29"/>
      <c r="L46" s="29">
        <v>0</v>
      </c>
    </row>
    <row r="47" customHeight="1" spans="6:12">
      <c r="F47" s="29">
        <v>5</v>
      </c>
      <c r="G47" s="29">
        <v>2500</v>
      </c>
      <c r="H47" s="29">
        <v>101</v>
      </c>
      <c r="I47" s="29">
        <v>4000000</v>
      </c>
      <c r="J47" s="29">
        <v>0</v>
      </c>
      <c r="K47" s="29"/>
      <c r="L47" s="29">
        <v>0</v>
      </c>
    </row>
    <row r="48" customHeight="1" spans="6:12">
      <c r="F48" s="29">
        <v>5</v>
      </c>
      <c r="G48" s="29">
        <v>1000</v>
      </c>
      <c r="H48" s="29">
        <v>101</v>
      </c>
      <c r="I48" s="29">
        <v>2000000</v>
      </c>
      <c r="J48" s="29">
        <v>0</v>
      </c>
      <c r="K48" s="29"/>
      <c r="L48" s="29">
        <v>0</v>
      </c>
    </row>
  </sheetData>
  <pageMargins left="0.75" right="0.75" top="1" bottom="1" header="0.511805555555556" footer="0.511805555555556"/>
  <pageSetup paperSize="9" orientation="portrait"/>
  <headerFooter/>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T17"/>
  <sheetViews>
    <sheetView topLeftCell="G1" workbookViewId="0">
      <selection activeCell="L28" sqref="L28"/>
    </sheetView>
  </sheetViews>
  <sheetFormatPr defaultColWidth="8.69736842105263" defaultRowHeight="15.2"/>
  <cols>
    <col min="6" max="6" width="29" customWidth="1"/>
    <col min="14" max="14" width="15.5986842105263" customWidth="1"/>
    <col min="16" max="16" width="10.0986842105263" customWidth="1"/>
    <col min="17" max="17" width="8.09868421052632" customWidth="1"/>
    <col min="18" max="18" width="13.0986842105263" customWidth="1"/>
    <col min="19" max="19" width="6.69736842105263" customWidth="1"/>
    <col min="20" max="20" width="33.0986842105263" style="2" customWidth="1"/>
  </cols>
  <sheetData>
    <row r="1" ht="16" spans="1:20">
      <c r="A1" s="1" t="s">
        <v>822</v>
      </c>
      <c r="B1" s="1" t="s">
        <v>1649</v>
      </c>
      <c r="C1" s="1" t="s">
        <v>29</v>
      </c>
      <c r="D1" s="1" t="s">
        <v>824</v>
      </c>
      <c r="E1" s="1" t="s">
        <v>825</v>
      </c>
      <c r="F1" s="1" t="s">
        <v>26</v>
      </c>
      <c r="G1" s="1" t="s">
        <v>1650</v>
      </c>
      <c r="H1" s="2"/>
      <c r="I1" s="1" t="s">
        <v>1262</v>
      </c>
      <c r="J1" s="1" t="s">
        <v>29</v>
      </c>
      <c r="K1" s="1" t="s">
        <v>824</v>
      </c>
      <c r="L1" s="1" t="s">
        <v>26</v>
      </c>
      <c r="N1" s="1" t="s">
        <v>1954</v>
      </c>
      <c r="P1" s="1" t="s">
        <v>1955</v>
      </c>
      <c r="R1" s="1" t="s">
        <v>1956</v>
      </c>
      <c r="T1" s="1" t="s">
        <v>1957</v>
      </c>
    </row>
    <row r="2" ht="16" spans="1:20">
      <c r="A2" s="1" t="s">
        <v>39</v>
      </c>
      <c r="B2" s="1" t="s">
        <v>39</v>
      </c>
      <c r="C2" s="1" t="s">
        <v>39</v>
      </c>
      <c r="D2" s="1" t="s">
        <v>39</v>
      </c>
      <c r="E2" s="1" t="s">
        <v>39</v>
      </c>
      <c r="F2" s="1" t="s">
        <v>514</v>
      </c>
      <c r="G2" s="1" t="s">
        <v>39</v>
      </c>
      <c r="H2" s="2"/>
      <c r="I2" s="1" t="s">
        <v>39</v>
      </c>
      <c r="J2" s="1" t="s">
        <v>39</v>
      </c>
      <c r="K2" s="1" t="s">
        <v>39</v>
      </c>
      <c r="L2" s="1" t="s">
        <v>514</v>
      </c>
      <c r="N2" s="1" t="s">
        <v>39</v>
      </c>
      <c r="P2" s="1" t="s">
        <v>514</v>
      </c>
      <c r="R2" s="1" t="s">
        <v>514</v>
      </c>
      <c r="T2" s="1" t="s">
        <v>39</v>
      </c>
    </row>
    <row r="3" ht="16" spans="1:20">
      <c r="A3" s="3" t="s">
        <v>790</v>
      </c>
      <c r="B3" s="3" t="s">
        <v>535</v>
      </c>
      <c r="C3" s="3" t="s">
        <v>1654</v>
      </c>
      <c r="D3" s="3" t="s">
        <v>828</v>
      </c>
      <c r="E3" s="3" t="s">
        <v>1655</v>
      </c>
      <c r="F3" s="3" t="s">
        <v>1225</v>
      </c>
      <c r="G3" s="3" t="s">
        <v>1656</v>
      </c>
      <c r="H3" s="2"/>
      <c r="I3" s="3" t="s">
        <v>1421</v>
      </c>
      <c r="J3" s="3" t="s">
        <v>1654</v>
      </c>
      <c r="K3" s="3" t="s">
        <v>828</v>
      </c>
      <c r="L3" s="3" t="s">
        <v>1225</v>
      </c>
      <c r="N3" s="3" t="s">
        <v>1958</v>
      </c>
      <c r="P3" s="3" t="s">
        <v>1959</v>
      </c>
      <c r="R3" s="3" t="s">
        <v>1960</v>
      </c>
      <c r="T3" s="3" t="s">
        <v>1961</v>
      </c>
    </row>
    <row r="4" s="2" customFormat="1" ht="26" spans="1:20">
      <c r="A4" s="1">
        <v>1</v>
      </c>
      <c r="B4" s="1">
        <v>5000</v>
      </c>
      <c r="C4" s="1">
        <v>14106</v>
      </c>
      <c r="D4" s="24">
        <v>1</v>
      </c>
      <c r="E4" s="26">
        <v>0</v>
      </c>
      <c r="F4" s="24" t="s">
        <v>1962</v>
      </c>
      <c r="G4" s="24">
        <v>1</v>
      </c>
      <c r="I4" s="1">
        <v>1</v>
      </c>
      <c r="J4" s="1">
        <v>1194</v>
      </c>
      <c r="K4" s="1">
        <v>10</v>
      </c>
      <c r="L4" s="3" t="s">
        <v>1425</v>
      </c>
      <c r="N4" s="1">
        <v>14105</v>
      </c>
      <c r="P4" s="3" t="s">
        <v>1963</v>
      </c>
      <c r="R4" s="3" t="s">
        <v>1964</v>
      </c>
      <c r="T4" s="1" t="s">
        <v>1965</v>
      </c>
    </row>
    <row r="5" spans="1:12">
      <c r="A5" s="1">
        <v>2</v>
      </c>
      <c r="B5" s="1">
        <v>1000</v>
      </c>
      <c r="C5" s="1">
        <v>14106</v>
      </c>
      <c r="D5" s="25">
        <v>30</v>
      </c>
      <c r="E5" s="26">
        <v>0</v>
      </c>
      <c r="F5" s="24" t="s">
        <v>1962</v>
      </c>
      <c r="G5" s="25">
        <v>30</v>
      </c>
      <c r="H5" s="2"/>
      <c r="I5" s="1">
        <v>2</v>
      </c>
      <c r="J5" s="1">
        <v>1194</v>
      </c>
      <c r="K5" s="1">
        <v>8</v>
      </c>
      <c r="L5" s="3" t="s">
        <v>1425</v>
      </c>
    </row>
    <row r="6" spans="1:12">
      <c r="A6" s="1">
        <v>3</v>
      </c>
      <c r="B6" s="1">
        <v>5000</v>
      </c>
      <c r="C6" s="1">
        <v>0</v>
      </c>
      <c r="D6" s="25">
        <v>0</v>
      </c>
      <c r="E6" s="26">
        <v>0</v>
      </c>
      <c r="F6" s="24" t="s">
        <v>1962</v>
      </c>
      <c r="G6" s="25">
        <v>0</v>
      </c>
      <c r="H6" s="2"/>
      <c r="I6" s="1">
        <v>3</v>
      </c>
      <c r="J6" s="1">
        <v>1194</v>
      </c>
      <c r="K6" s="1">
        <v>6</v>
      </c>
      <c r="L6" s="3" t="s">
        <v>1425</v>
      </c>
    </row>
    <row r="7" spans="1:12">
      <c r="A7" s="1">
        <v>4</v>
      </c>
      <c r="B7" s="1">
        <v>2500</v>
      </c>
      <c r="C7" s="1">
        <v>14106</v>
      </c>
      <c r="D7" s="25">
        <v>20</v>
      </c>
      <c r="E7" s="26">
        <v>0</v>
      </c>
      <c r="F7" s="24" t="s">
        <v>1962</v>
      </c>
      <c r="G7" s="25">
        <v>20</v>
      </c>
      <c r="H7" s="2"/>
      <c r="I7" s="1">
        <v>4</v>
      </c>
      <c r="J7" s="1">
        <v>1194</v>
      </c>
      <c r="K7" s="1">
        <v>4</v>
      </c>
      <c r="L7" s="3" t="s">
        <v>1425</v>
      </c>
    </row>
    <row r="8" spans="1:12">
      <c r="A8" s="1">
        <v>5</v>
      </c>
      <c r="B8" s="1">
        <v>15000</v>
      </c>
      <c r="C8" s="1">
        <v>0</v>
      </c>
      <c r="D8" s="25">
        <v>0</v>
      </c>
      <c r="E8" s="26">
        <v>0</v>
      </c>
      <c r="F8" s="24" t="s">
        <v>1962</v>
      </c>
      <c r="G8" s="25">
        <v>0</v>
      </c>
      <c r="H8" s="2"/>
      <c r="I8" s="1">
        <v>5</v>
      </c>
      <c r="J8" s="1">
        <v>1194</v>
      </c>
      <c r="K8" s="1">
        <v>3</v>
      </c>
      <c r="L8" s="3" t="s">
        <v>1425</v>
      </c>
    </row>
    <row r="9" spans="1:12">
      <c r="A9" s="1">
        <v>6</v>
      </c>
      <c r="B9" s="1">
        <v>10000</v>
      </c>
      <c r="C9" s="1">
        <v>14106</v>
      </c>
      <c r="D9" s="25">
        <v>5</v>
      </c>
      <c r="E9" s="26">
        <v>0</v>
      </c>
      <c r="F9" s="24" t="s">
        <v>1962</v>
      </c>
      <c r="G9" s="25">
        <v>5</v>
      </c>
      <c r="H9" s="2"/>
      <c r="I9" s="1">
        <v>6</v>
      </c>
      <c r="J9" s="1">
        <v>1194</v>
      </c>
      <c r="K9" s="1">
        <v>2</v>
      </c>
      <c r="L9" s="3" t="s">
        <v>1425</v>
      </c>
    </row>
    <row r="10" spans="1:12">
      <c r="A10" s="1">
        <v>7</v>
      </c>
      <c r="B10" s="1">
        <v>400</v>
      </c>
      <c r="C10" s="1">
        <v>14106</v>
      </c>
      <c r="D10" s="25">
        <v>100</v>
      </c>
      <c r="E10" s="26">
        <v>1</v>
      </c>
      <c r="F10" s="24" t="s">
        <v>1962</v>
      </c>
      <c r="G10" s="25">
        <v>100</v>
      </c>
      <c r="H10" s="2"/>
      <c r="I10" s="1">
        <v>7</v>
      </c>
      <c r="J10" s="1">
        <v>1194</v>
      </c>
      <c r="K10" s="1">
        <v>1</v>
      </c>
      <c r="L10" s="3" t="s">
        <v>1425</v>
      </c>
    </row>
    <row r="11" spans="1:12">
      <c r="A11" s="1">
        <v>8</v>
      </c>
      <c r="B11" s="1">
        <v>15000</v>
      </c>
      <c r="C11" s="1">
        <v>14106</v>
      </c>
      <c r="D11" s="25">
        <v>1</v>
      </c>
      <c r="E11" s="26">
        <v>0</v>
      </c>
      <c r="F11" s="24" t="s">
        <v>1962</v>
      </c>
      <c r="G11" s="25">
        <v>1</v>
      </c>
      <c r="H11" s="2"/>
      <c r="I11" s="1">
        <v>8</v>
      </c>
      <c r="J11" s="1">
        <v>1194</v>
      </c>
      <c r="K11" s="1">
        <v>1</v>
      </c>
      <c r="L11" s="3" t="s">
        <v>1425</v>
      </c>
    </row>
    <row r="12" spans="1:12">
      <c r="A12" s="1">
        <v>9</v>
      </c>
      <c r="B12" s="1">
        <v>1000</v>
      </c>
      <c r="C12" s="1">
        <v>14106</v>
      </c>
      <c r="D12" s="25">
        <v>10</v>
      </c>
      <c r="E12" s="26">
        <v>0</v>
      </c>
      <c r="F12" s="24" t="s">
        <v>1962</v>
      </c>
      <c r="G12" s="25">
        <v>10</v>
      </c>
      <c r="H12" s="2"/>
      <c r="I12" s="1">
        <v>9</v>
      </c>
      <c r="J12" s="1">
        <v>1194</v>
      </c>
      <c r="K12" s="1">
        <v>1</v>
      </c>
      <c r="L12" s="3" t="s">
        <v>1425</v>
      </c>
    </row>
    <row r="13" spans="1:12">
      <c r="A13" s="1">
        <v>10</v>
      </c>
      <c r="B13" s="1">
        <v>25000</v>
      </c>
      <c r="C13" s="1">
        <v>0</v>
      </c>
      <c r="D13" s="25">
        <v>0</v>
      </c>
      <c r="E13" s="26">
        <v>0</v>
      </c>
      <c r="F13" s="24" t="s">
        <v>1962</v>
      </c>
      <c r="G13" s="25">
        <v>0</v>
      </c>
      <c r="H13" s="2"/>
      <c r="I13" s="1">
        <v>10</v>
      </c>
      <c r="J13" s="1">
        <v>1194</v>
      </c>
      <c r="K13" s="1">
        <v>1</v>
      </c>
      <c r="L13" s="3" t="s">
        <v>1425</v>
      </c>
    </row>
    <row r="14" spans="1:8">
      <c r="A14" s="1">
        <v>11</v>
      </c>
      <c r="B14" s="1">
        <v>15000</v>
      </c>
      <c r="C14" s="1">
        <v>14106</v>
      </c>
      <c r="D14" s="25">
        <v>50</v>
      </c>
      <c r="E14" s="26">
        <v>0</v>
      </c>
      <c r="F14" s="24" t="s">
        <v>1962</v>
      </c>
      <c r="G14" s="25">
        <v>50</v>
      </c>
      <c r="H14" s="2"/>
    </row>
    <row r="15" spans="1:8">
      <c r="A15" s="1">
        <v>12</v>
      </c>
      <c r="B15" s="1">
        <v>90</v>
      </c>
      <c r="C15" s="1">
        <v>0</v>
      </c>
      <c r="D15" s="25">
        <v>0</v>
      </c>
      <c r="E15" s="26">
        <v>0</v>
      </c>
      <c r="F15" s="24" t="s">
        <v>1962</v>
      </c>
      <c r="G15" s="25">
        <v>0</v>
      </c>
      <c r="H15" s="2"/>
    </row>
    <row r="16" spans="1:8">
      <c r="A16" s="1">
        <v>13</v>
      </c>
      <c r="B16" s="1">
        <v>5000</v>
      </c>
      <c r="C16" s="1">
        <v>14106</v>
      </c>
      <c r="D16" s="25">
        <v>5</v>
      </c>
      <c r="E16" s="26">
        <v>0</v>
      </c>
      <c r="F16" s="24" t="s">
        <v>1962</v>
      </c>
      <c r="G16" s="25">
        <v>5</v>
      </c>
      <c r="H16" s="2"/>
    </row>
    <row r="17" spans="1:8">
      <c r="A17" s="1">
        <v>14</v>
      </c>
      <c r="B17" s="1">
        <v>10</v>
      </c>
      <c r="C17" s="1">
        <v>14106</v>
      </c>
      <c r="D17" s="25">
        <v>100</v>
      </c>
      <c r="E17" s="26">
        <v>1</v>
      </c>
      <c r="F17" s="24" t="s">
        <v>1962</v>
      </c>
      <c r="G17" s="25">
        <v>100</v>
      </c>
      <c r="H17" s="2"/>
    </row>
  </sheetData>
  <pageMargins left="0.75" right="0.75" top="1" bottom="1" header="0.511805555555556" footer="0.511805555555556"/>
  <pageSetup paperSize="9" orientation="portrait"/>
  <headerFooter/>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4"/>
  <sheetViews>
    <sheetView workbookViewId="0">
      <selection activeCell="A4" sqref="A4"/>
    </sheetView>
  </sheetViews>
  <sheetFormatPr defaultColWidth="8.90131578947368" defaultRowHeight="15.2" outlineLevelRow="3"/>
  <cols>
    <col min="1" max="1" width="10.6973684210526" style="2" customWidth="1"/>
    <col min="2" max="2" width="8.90131578947368" style="2"/>
    <col min="3" max="3" width="35.0986842105263" style="2" customWidth="1"/>
    <col min="4" max="4" width="8.90131578947368" style="2"/>
    <col min="5" max="5" width="17.9013157894737" style="2" customWidth="1"/>
    <col min="6" max="6" width="8.90131578947368" style="2"/>
    <col min="7" max="7" width="14.0986842105263" style="2" customWidth="1"/>
    <col min="8" max="10" width="8.90131578947368" style="2"/>
    <col min="11" max="11" width="16.0986842105263" style="2" customWidth="1"/>
    <col min="12" max="16384" width="8.90131578947368" style="2"/>
  </cols>
  <sheetData>
    <row r="1" ht="31" spans="1:9">
      <c r="A1" s="16" t="s">
        <v>1954</v>
      </c>
      <c r="B1" s="23"/>
      <c r="C1" s="1" t="s">
        <v>1966</v>
      </c>
      <c r="E1" s="1" t="s">
        <v>1967</v>
      </c>
      <c r="G1" s="1" t="s">
        <v>1968</v>
      </c>
      <c r="I1" s="1" t="s">
        <v>885</v>
      </c>
    </row>
    <row r="2" ht="16" spans="1:9">
      <c r="A2" s="16" t="s">
        <v>39</v>
      </c>
      <c r="B2" s="23"/>
      <c r="C2" s="1" t="s">
        <v>39</v>
      </c>
      <c r="E2" s="1" t="s">
        <v>41</v>
      </c>
      <c r="G2" s="1" t="s">
        <v>514</v>
      </c>
      <c r="I2" s="1" t="s">
        <v>39</v>
      </c>
    </row>
    <row r="3" ht="21" customHeight="1" spans="1:9">
      <c r="A3" s="17" t="s">
        <v>1969</v>
      </c>
      <c r="B3" s="23"/>
      <c r="C3" s="3" t="s">
        <v>1970</v>
      </c>
      <c r="E3" s="3" t="s">
        <v>1971</v>
      </c>
      <c r="G3" s="3" t="s">
        <v>1972</v>
      </c>
      <c r="I3" s="3" t="s">
        <v>1973</v>
      </c>
    </row>
    <row r="4" ht="26" spans="1:9">
      <c r="A4" s="16">
        <v>14069</v>
      </c>
      <c r="B4" s="23"/>
      <c r="C4" s="1">
        <v>22</v>
      </c>
      <c r="E4" s="1">
        <v>24</v>
      </c>
      <c r="G4" s="3" t="s">
        <v>1974</v>
      </c>
      <c r="I4" s="1">
        <v>1478</v>
      </c>
    </row>
  </sheetData>
  <pageMargins left="0.75" right="0.75" top="1" bottom="1" header="0.511805555555556" footer="0.511805555555556"/>
  <headerFooter/>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H13"/>
  <sheetViews>
    <sheetView topLeftCell="T1" workbookViewId="0">
      <selection activeCell="V16" sqref="V16"/>
    </sheetView>
  </sheetViews>
  <sheetFormatPr defaultColWidth="8.69736842105263" defaultRowHeight="15.2"/>
  <cols>
    <col min="1" max="1" width="11.4013157894737" customWidth="1"/>
    <col min="2" max="2" width="4.69736842105263" customWidth="1"/>
    <col min="4" max="4" width="16.0986842105263" customWidth="1"/>
    <col min="6" max="6" width="10.0986842105263" customWidth="1"/>
    <col min="7" max="7" width="11.0986842105263" customWidth="1"/>
    <col min="13" max="13" width="10.5986842105263" customWidth="1"/>
    <col min="14" max="14" width="12.9013157894737" customWidth="1"/>
    <col min="17" max="17" width="11.6973684210526" customWidth="1"/>
    <col min="18" max="18" width="13.0986842105263" customWidth="1"/>
    <col min="19" max="19" width="13" customWidth="1"/>
    <col min="21" max="22" width="40.5986842105263" customWidth="1"/>
    <col min="23" max="23" width="18.6973684210526" customWidth="1"/>
    <col min="25" max="25" width="17.0986842105263" customWidth="1"/>
    <col min="30" max="30" width="14.6973684210526" customWidth="1"/>
    <col min="31" max="31" width="23" customWidth="1"/>
    <col min="32" max="32" width="14.6973684210526" customWidth="1"/>
  </cols>
  <sheetData>
    <row r="1" ht="31" spans="1:34">
      <c r="A1" s="1" t="s">
        <v>781</v>
      </c>
      <c r="B1" s="1" t="s">
        <v>1975</v>
      </c>
      <c r="D1" s="1" t="s">
        <v>1976</v>
      </c>
      <c r="F1" s="1" t="s">
        <v>1977</v>
      </c>
      <c r="G1" s="1" t="s">
        <v>1978</v>
      </c>
      <c r="H1" s="1" t="s">
        <v>1307</v>
      </c>
      <c r="I1" s="2"/>
      <c r="J1" s="1" t="s">
        <v>1012</v>
      </c>
      <c r="K1" s="1" t="s">
        <v>26</v>
      </c>
      <c r="L1" s="1" t="s">
        <v>1734</v>
      </c>
      <c r="M1" s="1" t="s">
        <v>1735</v>
      </c>
      <c r="N1" s="1" t="s">
        <v>1736</v>
      </c>
      <c r="O1" s="1" t="s">
        <v>29</v>
      </c>
      <c r="P1" s="1" t="s">
        <v>1424</v>
      </c>
      <c r="Q1" s="1" t="s">
        <v>1979</v>
      </c>
      <c r="R1" s="1" t="s">
        <v>1980</v>
      </c>
      <c r="S1" s="1" t="s">
        <v>1981</v>
      </c>
      <c r="U1" s="1" t="s">
        <v>1982</v>
      </c>
      <c r="V1" s="1" t="s">
        <v>1983</v>
      </c>
      <c r="W1" s="1" t="s">
        <v>1984</v>
      </c>
      <c r="Y1" s="1" t="s">
        <v>1550</v>
      </c>
      <c r="AA1" s="1" t="s">
        <v>1985</v>
      </c>
      <c r="AB1" s="1" t="s">
        <v>1986</v>
      </c>
      <c r="AD1" s="1" t="s">
        <v>1346</v>
      </c>
      <c r="AE1" s="1" t="s">
        <v>1987</v>
      </c>
      <c r="AF1" s="1" t="s">
        <v>1988</v>
      </c>
      <c r="AG1" s="1" t="s">
        <v>1989</v>
      </c>
      <c r="AH1" s="1" t="s">
        <v>569</v>
      </c>
    </row>
    <row r="2" ht="16" spans="1:34">
      <c r="A2" s="1" t="s">
        <v>39</v>
      </c>
      <c r="B2" s="1" t="s">
        <v>39</v>
      </c>
      <c r="D2" s="1" t="s">
        <v>514</v>
      </c>
      <c r="F2" s="1" t="s">
        <v>39</v>
      </c>
      <c r="G2" s="1" t="s">
        <v>39</v>
      </c>
      <c r="H2" s="1" t="s">
        <v>39</v>
      </c>
      <c r="I2" s="2"/>
      <c r="J2" s="1" t="s">
        <v>514</v>
      </c>
      <c r="K2" s="1" t="s">
        <v>514</v>
      </c>
      <c r="L2" s="1" t="s">
        <v>514</v>
      </c>
      <c r="M2" s="1" t="s">
        <v>39</v>
      </c>
      <c r="N2" s="1" t="s">
        <v>39</v>
      </c>
      <c r="O2" s="1" t="s">
        <v>39</v>
      </c>
      <c r="P2" s="1" t="s">
        <v>39</v>
      </c>
      <c r="Q2" s="1" t="s">
        <v>39</v>
      </c>
      <c r="R2" s="1" t="s">
        <v>39</v>
      </c>
      <c r="S2" s="1" t="s">
        <v>39</v>
      </c>
      <c r="U2" s="1" t="s">
        <v>514</v>
      </c>
      <c r="V2" s="1" t="s">
        <v>514</v>
      </c>
      <c r="W2" s="1" t="s">
        <v>39</v>
      </c>
      <c r="Y2" s="1" t="s">
        <v>514</v>
      </c>
      <c r="AA2" s="1" t="s">
        <v>514</v>
      </c>
      <c r="AB2" s="1" t="s">
        <v>514</v>
      </c>
      <c r="AD2" s="1" t="s">
        <v>39</v>
      </c>
      <c r="AE2" s="1" t="s">
        <v>514</v>
      </c>
      <c r="AF2" s="1" t="s">
        <v>514</v>
      </c>
      <c r="AG2" s="1" t="s">
        <v>39</v>
      </c>
      <c r="AH2" s="1" t="s">
        <v>39</v>
      </c>
    </row>
    <row r="3" ht="26" spans="1:34">
      <c r="A3" s="3" t="s">
        <v>791</v>
      </c>
      <c r="B3" s="3" t="s">
        <v>1656</v>
      </c>
      <c r="D3" s="3" t="s">
        <v>1990</v>
      </c>
      <c r="F3" s="3" t="s">
        <v>1991</v>
      </c>
      <c r="G3" s="3" t="s">
        <v>1992</v>
      </c>
      <c r="H3" s="3" t="s">
        <v>1993</v>
      </c>
      <c r="I3" s="4"/>
      <c r="J3" s="1" t="s">
        <v>1742</v>
      </c>
      <c r="K3" s="3" t="s">
        <v>0</v>
      </c>
      <c r="L3" s="3" t="s">
        <v>1744</v>
      </c>
      <c r="M3" s="3" t="s">
        <v>1994</v>
      </c>
      <c r="N3" s="3" t="s">
        <v>1746</v>
      </c>
      <c r="O3" s="3" t="s">
        <v>1995</v>
      </c>
      <c r="P3" s="3" t="s">
        <v>1465</v>
      </c>
      <c r="Q3" s="3" t="s">
        <v>1996</v>
      </c>
      <c r="R3" s="3" t="s">
        <v>1997</v>
      </c>
      <c r="S3" s="3" t="s">
        <v>1998</v>
      </c>
      <c r="U3" s="3" t="s">
        <v>1999</v>
      </c>
      <c r="V3" s="3" t="s">
        <v>2000</v>
      </c>
      <c r="W3" s="3" t="s">
        <v>2001</v>
      </c>
      <c r="Y3" s="3" t="s">
        <v>2002</v>
      </c>
      <c r="AA3" s="3" t="s">
        <v>2003</v>
      </c>
      <c r="AB3" s="3" t="s">
        <v>2004</v>
      </c>
      <c r="AD3" s="3" t="s">
        <v>2005</v>
      </c>
      <c r="AE3" s="3" t="s">
        <v>2006</v>
      </c>
      <c r="AF3" s="3" t="s">
        <v>2007</v>
      </c>
      <c r="AG3" s="3" t="s">
        <v>2008</v>
      </c>
      <c r="AH3" s="3" t="s">
        <v>2009</v>
      </c>
    </row>
    <row r="4" ht="31" spans="1:34">
      <c r="A4" s="1">
        <v>10</v>
      </c>
      <c r="B4" s="1">
        <v>10</v>
      </c>
      <c r="D4" s="1" t="s">
        <v>2010</v>
      </c>
      <c r="F4" s="1">
        <v>999999999</v>
      </c>
      <c r="G4" s="1">
        <v>10000000</v>
      </c>
      <c r="H4" s="1">
        <v>10000</v>
      </c>
      <c r="I4" s="2"/>
      <c r="J4" s="1" t="s">
        <v>1063</v>
      </c>
      <c r="K4" s="22" t="s">
        <v>2011</v>
      </c>
      <c r="L4" s="1" t="s">
        <v>1758</v>
      </c>
      <c r="M4" s="1">
        <v>30</v>
      </c>
      <c r="N4" s="1">
        <v>300</v>
      </c>
      <c r="O4" s="1">
        <v>101</v>
      </c>
      <c r="P4" s="1">
        <v>400000</v>
      </c>
      <c r="Q4" s="1">
        <v>0</v>
      </c>
      <c r="R4" s="1">
        <v>2</v>
      </c>
      <c r="S4" s="1">
        <v>0</v>
      </c>
      <c r="U4" s="1" t="s">
        <v>2012</v>
      </c>
      <c r="V4" s="1" t="s">
        <v>2012</v>
      </c>
      <c r="W4" s="1">
        <v>3</v>
      </c>
      <c r="Y4" s="1" t="s">
        <v>2013</v>
      </c>
      <c r="AA4" s="1"/>
      <c r="AB4" s="1"/>
      <c r="AD4" s="1">
        <v>1</v>
      </c>
      <c r="AE4" s="1" t="s">
        <v>2014</v>
      </c>
      <c r="AF4" s="1" t="s">
        <v>2015</v>
      </c>
      <c r="AG4" s="1">
        <v>2000</v>
      </c>
      <c r="AH4" s="1">
        <v>10</v>
      </c>
    </row>
    <row r="5" ht="31" spans="1:23">
      <c r="A5" s="1">
        <v>50</v>
      </c>
      <c r="B5" s="1">
        <v>20</v>
      </c>
      <c r="J5" s="1" t="s">
        <v>1064</v>
      </c>
      <c r="K5" s="22" t="s">
        <v>2016</v>
      </c>
      <c r="L5" s="1" t="s">
        <v>1758</v>
      </c>
      <c r="M5" s="1">
        <v>60</v>
      </c>
      <c r="N5" s="1">
        <v>600</v>
      </c>
      <c r="O5" s="1">
        <v>101</v>
      </c>
      <c r="P5" s="1">
        <v>800000</v>
      </c>
      <c r="Q5" s="1">
        <v>400000</v>
      </c>
      <c r="R5" s="1">
        <v>4</v>
      </c>
      <c r="S5" s="1">
        <v>3</v>
      </c>
      <c r="U5" s="1" t="s">
        <v>2017</v>
      </c>
      <c r="V5" s="1" t="s">
        <v>2017</v>
      </c>
      <c r="W5" s="2"/>
    </row>
    <row r="6" ht="31" spans="1:23">
      <c r="A6" s="1">
        <v>100</v>
      </c>
      <c r="B6" s="1">
        <v>20</v>
      </c>
      <c r="J6" s="1" t="s">
        <v>1065</v>
      </c>
      <c r="K6" s="22" t="s">
        <v>2018</v>
      </c>
      <c r="L6" s="1" t="s">
        <v>1758</v>
      </c>
      <c r="M6" s="1">
        <v>120</v>
      </c>
      <c r="N6" s="1">
        <v>1200</v>
      </c>
      <c r="O6" s="1">
        <v>101</v>
      </c>
      <c r="P6" s="1">
        <v>1600000</v>
      </c>
      <c r="Q6" s="1">
        <v>800000</v>
      </c>
      <c r="R6" s="1">
        <v>10</v>
      </c>
      <c r="S6" s="1">
        <v>3</v>
      </c>
      <c r="U6" s="1" t="s">
        <v>2019</v>
      </c>
      <c r="V6" s="1" t="s">
        <v>2020</v>
      </c>
      <c r="W6" s="2"/>
    </row>
    <row r="7" ht="16" spans="1:23">
      <c r="A7" s="1">
        <v>200</v>
      </c>
      <c r="B7" s="1">
        <v>40</v>
      </c>
      <c r="U7" s="1" t="s">
        <v>2021</v>
      </c>
      <c r="V7" s="1" t="s">
        <v>2019</v>
      </c>
      <c r="W7" s="2"/>
    </row>
    <row r="8" ht="16" spans="1:23">
      <c r="A8" s="1">
        <v>500</v>
      </c>
      <c r="B8" s="1">
        <v>100</v>
      </c>
      <c r="U8" s="1" t="s">
        <v>2022</v>
      </c>
      <c r="V8" s="1" t="s">
        <v>2023</v>
      </c>
      <c r="W8" s="2"/>
    </row>
    <row r="9" ht="16" spans="21:23">
      <c r="U9" s="1" t="s">
        <v>2022</v>
      </c>
      <c r="V9" s="1" t="s">
        <v>2021</v>
      </c>
      <c r="W9" s="2"/>
    </row>
    <row r="10" ht="16" spans="21:23">
      <c r="U10" s="1" t="s">
        <v>2024</v>
      </c>
      <c r="V10" s="1" t="s">
        <v>2025</v>
      </c>
      <c r="W10" s="2"/>
    </row>
    <row r="11" ht="16" spans="21:23">
      <c r="U11" s="1" t="s">
        <v>2024</v>
      </c>
      <c r="V11" s="1" t="s">
        <v>2026</v>
      </c>
      <c r="W11" s="2"/>
    </row>
    <row r="12" ht="16" spans="21:23">
      <c r="U12" s="1" t="s">
        <v>2024</v>
      </c>
      <c r="V12" s="1" t="s">
        <v>2027</v>
      </c>
      <c r="W12" s="2"/>
    </row>
    <row r="13" ht="16" spans="21:23">
      <c r="U13" s="1" t="s">
        <v>2028</v>
      </c>
      <c r="V13" s="1" t="s">
        <v>2024</v>
      </c>
      <c r="W13" s="2"/>
    </row>
  </sheetData>
  <pageMargins left="0.75" right="0.75" top="1" bottom="1" header="0.511805555555556" footer="0.511805555555556"/>
  <headerFooter/>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10"/>
  <sheetViews>
    <sheetView workbookViewId="0">
      <selection activeCell="B13" sqref="B13"/>
    </sheetView>
  </sheetViews>
  <sheetFormatPr defaultColWidth="8.69736842105263" defaultRowHeight="15.2" outlineLevelCol="1"/>
  <sheetData>
    <row r="1" ht="16" spans="1:2">
      <c r="A1" s="1" t="s">
        <v>991</v>
      </c>
      <c r="B1" s="1" t="s">
        <v>2029</v>
      </c>
    </row>
    <row r="2" ht="16" spans="1:2">
      <c r="A2" s="1" t="s">
        <v>39</v>
      </c>
      <c r="B2" s="1" t="s">
        <v>39</v>
      </c>
    </row>
    <row r="3" ht="16" spans="1:2">
      <c r="A3" s="3" t="s">
        <v>2030</v>
      </c>
      <c r="B3" s="3" t="s">
        <v>2031</v>
      </c>
    </row>
    <row r="4" ht="15.6" spans="1:2">
      <c r="A4" s="21">
        <v>44499</v>
      </c>
      <c r="B4" s="21">
        <v>400</v>
      </c>
    </row>
    <row r="5" ht="15.6" spans="1:2">
      <c r="A5" s="21">
        <v>44401</v>
      </c>
      <c r="B5" s="21">
        <v>600</v>
      </c>
    </row>
    <row r="6" ht="15.6" spans="1:2">
      <c r="A6" s="21">
        <v>44402</v>
      </c>
      <c r="B6" s="21">
        <v>800</v>
      </c>
    </row>
    <row r="7" ht="15.6" spans="1:2">
      <c r="A7" s="21">
        <v>44403</v>
      </c>
      <c r="B7" s="21">
        <v>1000</v>
      </c>
    </row>
    <row r="8" ht="15.6" spans="1:2">
      <c r="A8" s="21">
        <v>44404</v>
      </c>
      <c r="B8" s="21">
        <v>1200</v>
      </c>
    </row>
    <row r="9" ht="15.6" spans="1:2">
      <c r="A9" s="21">
        <v>44405</v>
      </c>
      <c r="B9" s="21">
        <v>2000</v>
      </c>
    </row>
    <row r="10" ht="15.6" spans="1:2">
      <c r="A10" s="21">
        <v>44501</v>
      </c>
      <c r="B10" s="21">
        <v>2000</v>
      </c>
    </row>
  </sheetData>
  <pageMargins left="0.75" right="0.75" top="1" bottom="1" header="0.511805555555556" footer="0.511805555555556"/>
  <pageSetup paperSize="9" orientation="portrait"/>
  <headerFooter/>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11"/>
  <sheetViews>
    <sheetView workbookViewId="0">
      <selection activeCell="C7" sqref="C7"/>
    </sheetView>
  </sheetViews>
  <sheetFormatPr defaultColWidth="9" defaultRowHeight="15.2" outlineLevelCol="4"/>
  <cols>
    <col min="2" max="2" width="29.1973684210526" customWidth="1"/>
    <col min="3" max="3" width="24.9013157894737" customWidth="1"/>
    <col min="4" max="4" width="36.6973684210526" customWidth="1"/>
    <col min="5" max="5" width="12.1973684210526" customWidth="1"/>
  </cols>
  <sheetData>
    <row r="1" ht="16" spans="1:5">
      <c r="A1" s="1" t="s">
        <v>2032</v>
      </c>
      <c r="B1" s="1" t="s">
        <v>2033</v>
      </c>
      <c r="C1" s="1" t="s">
        <v>2034</v>
      </c>
      <c r="D1" s="1" t="s">
        <v>1263</v>
      </c>
      <c r="E1" s="1" t="s">
        <v>2035</v>
      </c>
    </row>
    <row r="2" ht="16" spans="1:5">
      <c r="A2" s="20" t="s">
        <v>39</v>
      </c>
      <c r="B2" s="1" t="s">
        <v>2036</v>
      </c>
      <c r="C2" s="1" t="s">
        <v>2036</v>
      </c>
      <c r="D2" s="1" t="s">
        <v>40</v>
      </c>
      <c r="E2" s="1" t="s">
        <v>39</v>
      </c>
    </row>
    <row r="3" spans="1:5">
      <c r="A3" s="20" t="s">
        <v>790</v>
      </c>
      <c r="B3" s="20" t="s">
        <v>1465</v>
      </c>
      <c r="C3" s="20" t="s">
        <v>2037</v>
      </c>
      <c r="D3" s="20" t="s">
        <v>2038</v>
      </c>
      <c r="E3" s="20" t="s">
        <v>2039</v>
      </c>
    </row>
    <row r="4" ht="46" spans="1:5">
      <c r="A4" s="1">
        <v>0</v>
      </c>
      <c r="B4" s="1" t="s">
        <v>2040</v>
      </c>
      <c r="C4" s="1" t="s">
        <v>1565</v>
      </c>
      <c r="D4" s="1"/>
      <c r="E4" s="1">
        <v>0</v>
      </c>
    </row>
    <row r="5" ht="46" spans="1:5">
      <c r="A5" s="1">
        <v>1</v>
      </c>
      <c r="B5" s="1" t="s">
        <v>2041</v>
      </c>
      <c r="C5" s="1" t="s">
        <v>1565</v>
      </c>
      <c r="D5" s="1"/>
      <c r="E5" s="1">
        <v>0</v>
      </c>
    </row>
    <row r="6" ht="46" spans="1:5">
      <c r="A6" s="1">
        <v>2</v>
      </c>
      <c r="B6" s="1" t="s">
        <v>2042</v>
      </c>
      <c r="C6" s="1" t="s">
        <v>1565</v>
      </c>
      <c r="D6" s="1" t="s">
        <v>2043</v>
      </c>
      <c r="E6" s="1">
        <v>0</v>
      </c>
    </row>
    <row r="7" ht="46" spans="1:5">
      <c r="A7" s="1">
        <v>3</v>
      </c>
      <c r="B7" s="1" t="s">
        <v>2044</v>
      </c>
      <c r="C7" s="1" t="s">
        <v>1565</v>
      </c>
      <c r="D7" s="1"/>
      <c r="E7" s="1">
        <v>0</v>
      </c>
    </row>
    <row r="8" ht="46" spans="1:5">
      <c r="A8" s="1">
        <v>4</v>
      </c>
      <c r="B8" s="1" t="s">
        <v>2045</v>
      </c>
      <c r="C8" s="1" t="s">
        <v>1565</v>
      </c>
      <c r="D8" s="1" t="s">
        <v>2046</v>
      </c>
      <c r="E8" s="1">
        <v>0</v>
      </c>
    </row>
    <row r="9" ht="46" spans="1:5">
      <c r="A9" s="1">
        <v>5</v>
      </c>
      <c r="B9" s="1" t="s">
        <v>2047</v>
      </c>
      <c r="C9" s="1" t="s">
        <v>1565</v>
      </c>
      <c r="D9" s="1"/>
      <c r="E9" s="1">
        <v>0</v>
      </c>
    </row>
    <row r="10" ht="46" spans="1:5">
      <c r="A10" s="1">
        <v>6</v>
      </c>
      <c r="B10" s="1" t="s">
        <v>2048</v>
      </c>
      <c r="C10" s="1" t="s">
        <v>1565</v>
      </c>
      <c r="D10" s="1" t="s">
        <v>2049</v>
      </c>
      <c r="E10" s="1">
        <v>0</v>
      </c>
    </row>
    <row r="11" ht="46" spans="1:5">
      <c r="A11" s="1">
        <v>7</v>
      </c>
      <c r="B11" s="1" t="s">
        <v>2050</v>
      </c>
      <c r="C11" s="1" t="s">
        <v>1565</v>
      </c>
      <c r="D11" s="1"/>
      <c r="E11" s="1">
        <v>0</v>
      </c>
    </row>
  </sheetData>
  <pageMargins left="0.699305555555556" right="0.699305555555556" top="0.75" bottom="0.75" header="0.3" footer="0.3"/>
  <headerFooter/>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W8"/>
  <sheetViews>
    <sheetView topLeftCell="H1" workbookViewId="0">
      <selection activeCell="I20" sqref="I20"/>
    </sheetView>
  </sheetViews>
  <sheetFormatPr defaultColWidth="8.69736842105263" defaultRowHeight="15.2" outlineLevelRow="7"/>
  <cols>
    <col min="3" max="3" width="49.1973684210526" customWidth="1"/>
    <col min="4" max="4" width="14.5986842105263" customWidth="1"/>
    <col min="5" max="5" width="10.1973684210526" customWidth="1"/>
    <col min="8" max="8" width="9.5" customWidth="1"/>
    <col min="9" max="9" width="69.4013157894737" customWidth="1"/>
    <col min="10" max="10" width="59.9013157894737" customWidth="1"/>
    <col min="12" max="12" width="16.1973684210526" customWidth="1"/>
    <col min="14" max="14" width="17.6973684210526" customWidth="1"/>
    <col min="17" max="18" width="26.4013157894737" customWidth="1"/>
    <col min="20" max="20" width="15.5986842105263" customWidth="1"/>
    <col min="21" max="21" width="17.4013157894737" customWidth="1"/>
    <col min="23" max="23" width="14.9013157894737" customWidth="1"/>
  </cols>
  <sheetData>
    <row r="1" ht="16" spans="1:23">
      <c r="A1" s="5" t="s">
        <v>1360</v>
      </c>
      <c r="B1" s="5" t="s">
        <v>2051</v>
      </c>
      <c r="C1" s="5" t="s">
        <v>2052</v>
      </c>
      <c r="D1" s="8" t="s">
        <v>2053</v>
      </c>
      <c r="E1" s="8" t="s">
        <v>1548</v>
      </c>
      <c r="F1" s="11"/>
      <c r="G1" s="5" t="s">
        <v>39</v>
      </c>
      <c r="H1" s="8" t="s">
        <v>991</v>
      </c>
      <c r="I1" s="5" t="s">
        <v>40</v>
      </c>
      <c r="J1" s="5" t="s">
        <v>39</v>
      </c>
      <c r="K1" s="5" t="s">
        <v>2054</v>
      </c>
      <c r="L1" s="8" t="s">
        <v>2055</v>
      </c>
      <c r="M1" s="11"/>
      <c r="N1" s="5" t="s">
        <v>2056</v>
      </c>
      <c r="O1" s="16" t="s">
        <v>2057</v>
      </c>
      <c r="P1" s="16"/>
      <c r="Q1" s="16" t="s">
        <v>2058</v>
      </c>
      <c r="R1" s="16" t="s">
        <v>2059</v>
      </c>
      <c r="S1" s="19"/>
      <c r="T1" s="16" t="s">
        <v>1223</v>
      </c>
      <c r="U1" s="16" t="s">
        <v>2060</v>
      </c>
      <c r="W1" s="16" t="s">
        <v>2061</v>
      </c>
    </row>
    <row r="2" ht="16" spans="1:23">
      <c r="A2" s="5" t="s">
        <v>39</v>
      </c>
      <c r="B2" s="5" t="s">
        <v>39</v>
      </c>
      <c r="C2" s="5" t="s">
        <v>40</v>
      </c>
      <c r="D2" s="8" t="s">
        <v>514</v>
      </c>
      <c r="E2" s="8" t="s">
        <v>39</v>
      </c>
      <c r="F2" s="11"/>
      <c r="G2" s="5" t="s">
        <v>39</v>
      </c>
      <c r="H2" s="8" t="s">
        <v>39</v>
      </c>
      <c r="I2" s="5" t="s">
        <v>40</v>
      </c>
      <c r="J2" s="5" t="s">
        <v>40</v>
      </c>
      <c r="K2" s="5" t="s">
        <v>39</v>
      </c>
      <c r="L2" s="8" t="s">
        <v>39</v>
      </c>
      <c r="M2" s="11"/>
      <c r="N2" s="5" t="s">
        <v>514</v>
      </c>
      <c r="O2" s="16" t="s">
        <v>39</v>
      </c>
      <c r="P2" s="16"/>
      <c r="Q2" s="16" t="s">
        <v>40</v>
      </c>
      <c r="R2" s="16" t="s">
        <v>40</v>
      </c>
      <c r="S2" s="19"/>
      <c r="T2" s="16" t="s">
        <v>514</v>
      </c>
      <c r="U2" s="16" t="s">
        <v>514</v>
      </c>
      <c r="W2" s="16" t="s">
        <v>40</v>
      </c>
    </row>
    <row r="3" ht="26" spans="1:23">
      <c r="A3" s="9" t="s">
        <v>811</v>
      </c>
      <c r="B3" s="9" t="s">
        <v>2062</v>
      </c>
      <c r="C3" s="9" t="s">
        <v>2063</v>
      </c>
      <c r="D3" s="8" t="s">
        <v>2064</v>
      </c>
      <c r="E3" s="12" t="s">
        <v>2065</v>
      </c>
      <c r="F3" s="11"/>
      <c r="G3" s="9" t="s">
        <v>811</v>
      </c>
      <c r="H3" s="12" t="s">
        <v>2066</v>
      </c>
      <c r="I3" s="9" t="s">
        <v>2067</v>
      </c>
      <c r="J3" s="9" t="s">
        <v>1465</v>
      </c>
      <c r="K3" s="9" t="s">
        <v>2068</v>
      </c>
      <c r="L3" s="10" t="s">
        <v>2069</v>
      </c>
      <c r="M3" s="11"/>
      <c r="N3" s="5" t="s">
        <v>2070</v>
      </c>
      <c r="O3" s="17" t="s">
        <v>2071</v>
      </c>
      <c r="P3" s="17"/>
      <c r="Q3" s="17" t="s">
        <v>2072</v>
      </c>
      <c r="R3" s="17" t="s">
        <v>2073</v>
      </c>
      <c r="S3" s="19"/>
      <c r="T3" s="17" t="s">
        <v>2074</v>
      </c>
      <c r="U3" s="17" t="s">
        <v>2075</v>
      </c>
      <c r="W3" s="17" t="s">
        <v>2076</v>
      </c>
    </row>
    <row r="4" ht="60.95" customHeight="1" spans="1:23">
      <c r="A4" s="9">
        <v>44001</v>
      </c>
      <c r="B4" s="9">
        <v>1</v>
      </c>
      <c r="C4" s="9" t="s">
        <v>2077</v>
      </c>
      <c r="D4" s="10">
        <v>2</v>
      </c>
      <c r="E4" s="9">
        <v>444021000</v>
      </c>
      <c r="F4" s="13"/>
      <c r="G4" s="9">
        <v>44001</v>
      </c>
      <c r="H4" s="9">
        <v>444011000</v>
      </c>
      <c r="I4" s="9" t="s">
        <v>2078</v>
      </c>
      <c r="J4" s="9" t="s">
        <v>2079</v>
      </c>
      <c r="K4" s="9">
        <v>1</v>
      </c>
      <c r="L4" s="10">
        <v>1</v>
      </c>
      <c r="M4" s="13"/>
      <c r="N4" s="18" t="s">
        <v>2080</v>
      </c>
      <c r="O4" s="16">
        <v>7</v>
      </c>
      <c r="P4" s="16"/>
      <c r="Q4" s="14" t="s">
        <v>2081</v>
      </c>
      <c r="R4" s="14" t="s">
        <v>2082</v>
      </c>
      <c r="S4" s="19"/>
      <c r="T4" s="16" t="s">
        <v>2083</v>
      </c>
      <c r="U4" s="16" t="s">
        <v>2084</v>
      </c>
      <c r="W4" s="16" t="s">
        <v>1539</v>
      </c>
    </row>
    <row r="5" ht="62.1" customHeight="1" spans="1:20">
      <c r="A5" s="9">
        <v>44002</v>
      </c>
      <c r="B5" s="9">
        <v>10</v>
      </c>
      <c r="C5" s="9" t="s">
        <v>2085</v>
      </c>
      <c r="D5" s="10">
        <v>3</v>
      </c>
      <c r="E5" s="5">
        <v>444031000</v>
      </c>
      <c r="F5" s="13"/>
      <c r="G5" s="9">
        <v>44002</v>
      </c>
      <c r="H5" s="9">
        <v>444021000</v>
      </c>
      <c r="I5" s="9" t="s">
        <v>2086</v>
      </c>
      <c r="J5" s="9" t="s">
        <v>2087</v>
      </c>
      <c r="K5" s="9">
        <v>5</v>
      </c>
      <c r="L5" s="10">
        <v>5</v>
      </c>
      <c r="M5" s="13"/>
      <c r="N5" s="19"/>
      <c r="O5" s="19"/>
      <c r="P5" s="19"/>
      <c r="Q5" s="19"/>
      <c r="R5" s="19"/>
      <c r="S5" s="19"/>
      <c r="T5" s="19"/>
    </row>
    <row r="6" ht="57.95" customHeight="1" spans="1:20">
      <c r="A6" s="9">
        <v>44003</v>
      </c>
      <c r="B6" s="9">
        <v>50</v>
      </c>
      <c r="C6" s="9" t="s">
        <v>2088</v>
      </c>
      <c r="D6" s="10">
        <v>4</v>
      </c>
      <c r="E6" s="5">
        <v>444041000</v>
      </c>
      <c r="F6" s="13"/>
      <c r="G6" s="9">
        <v>44003</v>
      </c>
      <c r="H6" s="5">
        <v>444031000</v>
      </c>
      <c r="I6" s="9" t="s">
        <v>2089</v>
      </c>
      <c r="J6" s="14" t="s">
        <v>2090</v>
      </c>
      <c r="K6" s="9">
        <v>5</v>
      </c>
      <c r="L6" s="15">
        <v>0</v>
      </c>
      <c r="M6" s="13"/>
      <c r="N6" s="19"/>
      <c r="O6" s="19"/>
      <c r="P6" s="19"/>
      <c r="Q6" s="19"/>
      <c r="R6" s="19"/>
      <c r="S6" s="19"/>
      <c r="T6" s="19"/>
    </row>
    <row r="7" ht="75" customHeight="1" spans="1:20">
      <c r="A7" s="9">
        <v>44004</v>
      </c>
      <c r="B7" s="9">
        <v>200</v>
      </c>
      <c r="C7" s="9" t="s">
        <v>2091</v>
      </c>
      <c r="D7" s="10">
        <v>5</v>
      </c>
      <c r="E7" s="5">
        <v>444051000</v>
      </c>
      <c r="F7" s="13"/>
      <c r="G7" s="9">
        <v>44004</v>
      </c>
      <c r="H7" s="5">
        <v>444041000</v>
      </c>
      <c r="I7" s="9" t="s">
        <v>2092</v>
      </c>
      <c r="J7" s="14" t="s">
        <v>2093</v>
      </c>
      <c r="K7" s="9">
        <v>8</v>
      </c>
      <c r="L7" s="15">
        <v>3</v>
      </c>
      <c r="M7" s="13"/>
      <c r="N7" s="19"/>
      <c r="O7" s="19"/>
      <c r="P7" s="19"/>
      <c r="Q7" s="19"/>
      <c r="R7" s="19"/>
      <c r="S7" s="19"/>
      <c r="T7" s="19"/>
    </row>
    <row r="8" ht="59.1" customHeight="1" spans="1:20">
      <c r="A8" s="9">
        <v>44005</v>
      </c>
      <c r="B8" s="9">
        <v>500</v>
      </c>
      <c r="C8" s="9" t="s">
        <v>2094</v>
      </c>
      <c r="D8" s="10">
        <v>10</v>
      </c>
      <c r="E8" s="9">
        <v>0</v>
      </c>
      <c r="F8" s="13"/>
      <c r="G8" s="9">
        <v>44005</v>
      </c>
      <c r="H8" s="5">
        <v>444051000</v>
      </c>
      <c r="I8" s="9" t="s">
        <v>2095</v>
      </c>
      <c r="J8" s="14" t="s">
        <v>2096</v>
      </c>
      <c r="K8" s="9">
        <v>10</v>
      </c>
      <c r="L8" s="15">
        <v>3</v>
      </c>
      <c r="M8" s="13"/>
      <c r="N8" s="19"/>
      <c r="O8" s="19"/>
      <c r="P8" s="19"/>
      <c r="Q8" s="19"/>
      <c r="R8" s="19"/>
      <c r="S8" s="19"/>
      <c r="T8" s="19"/>
    </row>
  </sheetData>
  <conditionalFormatting sqref="N4">
    <cfRule type="cellIs" dxfId="3" priority="1" operator="equal">
      <formula>2</formula>
    </cfRule>
    <cfRule type="cellIs" dxfId="4" priority="2" operator="equal">
      <formula>1</formula>
    </cfRule>
    <cfRule type="cellIs" dxfId="5" priority="3" operator="equal">
      <formula>1</formula>
    </cfRule>
  </conditionalFormatting>
  <pageMargins left="0.75" right="0.75" top="1" bottom="1" header="0.511805555555556" footer="0.511805555555556"/>
  <headerFooter/>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6"/>
  <sheetViews>
    <sheetView workbookViewId="0">
      <selection activeCell="D10" sqref="D10"/>
    </sheetView>
  </sheetViews>
  <sheetFormatPr defaultColWidth="8.90131578947368" defaultRowHeight="21.95" customHeight="1" outlineLevelRow="5" outlineLevelCol="6"/>
  <cols>
    <col min="1" max="1" width="32.0986842105263" customWidth="1"/>
    <col min="2" max="2" width="22.1973684210526" customWidth="1"/>
    <col min="3" max="3" width="22.0986842105263" customWidth="1"/>
    <col min="5" max="5" width="13.4013157894737" customWidth="1"/>
    <col min="6" max="6" width="30.9013157894737" customWidth="1"/>
    <col min="7" max="7" width="22.4013157894737" customWidth="1"/>
  </cols>
  <sheetData>
    <row r="1" customHeight="1" spans="1:7">
      <c r="A1" s="6" t="s">
        <v>2097</v>
      </c>
      <c r="B1" s="6" t="s">
        <v>1012</v>
      </c>
      <c r="C1" s="6" t="s">
        <v>26</v>
      </c>
      <c r="D1" s="6" t="s">
        <v>1734</v>
      </c>
      <c r="E1" s="6" t="s">
        <v>1735</v>
      </c>
      <c r="F1" s="6" t="s">
        <v>1736</v>
      </c>
      <c r="G1" s="6" t="s">
        <v>2098</v>
      </c>
    </row>
    <row r="2" customHeight="1" spans="1:7">
      <c r="A2" s="6" t="s">
        <v>514</v>
      </c>
      <c r="B2" s="6" t="s">
        <v>514</v>
      </c>
      <c r="C2" s="6" t="s">
        <v>514</v>
      </c>
      <c r="D2" s="6" t="s">
        <v>514</v>
      </c>
      <c r="E2" s="6" t="s">
        <v>39</v>
      </c>
      <c r="F2" s="6" t="s">
        <v>39</v>
      </c>
      <c r="G2" s="6" t="s">
        <v>514</v>
      </c>
    </row>
    <row r="3" customHeight="1" spans="1:7">
      <c r="A3" s="7" t="s">
        <v>2099</v>
      </c>
      <c r="B3" s="6" t="s">
        <v>1742</v>
      </c>
      <c r="C3" s="6" t="s">
        <v>0</v>
      </c>
      <c r="D3" s="6" t="s">
        <v>1744</v>
      </c>
      <c r="E3" s="6" t="s">
        <v>1745</v>
      </c>
      <c r="F3" s="6" t="s">
        <v>1746</v>
      </c>
      <c r="G3" s="7" t="s">
        <v>2100</v>
      </c>
    </row>
    <row r="4" customHeight="1" spans="1:7">
      <c r="A4" s="6" t="s">
        <v>2101</v>
      </c>
      <c r="B4" s="6" t="s">
        <v>2102</v>
      </c>
      <c r="C4" s="6" t="s">
        <v>2103</v>
      </c>
      <c r="D4" s="6" t="s">
        <v>1758</v>
      </c>
      <c r="E4" s="6">
        <v>12</v>
      </c>
      <c r="F4" s="6">
        <v>120</v>
      </c>
      <c r="G4" s="6" t="s">
        <v>2104</v>
      </c>
    </row>
    <row r="5" customHeight="1" spans="1:7">
      <c r="A5" s="6" t="s">
        <v>2105</v>
      </c>
      <c r="B5" s="6" t="s">
        <v>2106</v>
      </c>
      <c r="C5" s="6" t="s">
        <v>2107</v>
      </c>
      <c r="D5" s="6" t="s">
        <v>1758</v>
      </c>
      <c r="E5" s="6">
        <v>120</v>
      </c>
      <c r="F5" s="6">
        <v>1200</v>
      </c>
      <c r="G5" s="6" t="s">
        <v>2108</v>
      </c>
    </row>
    <row r="6" customHeight="1" spans="1:7">
      <c r="A6" s="6" t="s">
        <v>2109</v>
      </c>
      <c r="B6" s="6" t="s">
        <v>2110</v>
      </c>
      <c r="C6" s="6" t="s">
        <v>2111</v>
      </c>
      <c r="D6" s="6" t="s">
        <v>1758</v>
      </c>
      <c r="E6" s="6">
        <v>600</v>
      </c>
      <c r="F6" s="6">
        <v>6000</v>
      </c>
      <c r="G6" s="6" t="s">
        <v>2112</v>
      </c>
    </row>
  </sheetData>
  <pageMargins left="0.75" right="0.75" top="1" bottom="1" header="0.511805555555556" footer="0.511805555555556"/>
  <headerFooter/>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6"/>
  <sheetViews>
    <sheetView workbookViewId="0">
      <selection activeCell="A1" sqref="A1:G6"/>
    </sheetView>
  </sheetViews>
  <sheetFormatPr defaultColWidth="8.90131578947368" defaultRowHeight="21.95" customHeight="1" outlineLevelRow="5" outlineLevelCol="6"/>
  <cols>
    <col min="1" max="1" width="32.0986842105263" customWidth="1"/>
    <col min="2" max="2" width="22.1973684210526" customWidth="1"/>
    <col min="3" max="3" width="22.0986842105263" customWidth="1"/>
    <col min="5" max="5" width="13.4013157894737" customWidth="1"/>
    <col min="6" max="6" width="30.9013157894737" customWidth="1"/>
    <col min="7" max="7" width="22.4013157894737" customWidth="1"/>
  </cols>
  <sheetData>
    <row r="1" customHeight="1" spans="1:7">
      <c r="A1" s="6" t="s">
        <v>2097</v>
      </c>
      <c r="B1" s="6" t="s">
        <v>1012</v>
      </c>
      <c r="C1" s="6" t="s">
        <v>26</v>
      </c>
      <c r="D1" s="6" t="s">
        <v>1734</v>
      </c>
      <c r="E1" s="6" t="s">
        <v>1735</v>
      </c>
      <c r="F1" s="6" t="s">
        <v>1736</v>
      </c>
      <c r="G1" s="6" t="s">
        <v>2098</v>
      </c>
    </row>
    <row r="2" customHeight="1" spans="1:7">
      <c r="A2" s="6" t="s">
        <v>514</v>
      </c>
      <c r="B2" s="6" t="s">
        <v>514</v>
      </c>
      <c r="C2" s="6" t="s">
        <v>514</v>
      </c>
      <c r="D2" s="6" t="s">
        <v>514</v>
      </c>
      <c r="E2" s="6" t="s">
        <v>39</v>
      </c>
      <c r="F2" s="6" t="s">
        <v>39</v>
      </c>
      <c r="G2" s="6" t="s">
        <v>514</v>
      </c>
    </row>
    <row r="3" customHeight="1" spans="1:7">
      <c r="A3" s="7" t="s">
        <v>2099</v>
      </c>
      <c r="B3" s="6" t="s">
        <v>1742</v>
      </c>
      <c r="C3" s="6" t="s">
        <v>0</v>
      </c>
      <c r="D3" s="6" t="s">
        <v>1744</v>
      </c>
      <c r="E3" s="6" t="s">
        <v>1745</v>
      </c>
      <c r="F3" s="6" t="s">
        <v>1746</v>
      </c>
      <c r="G3" s="7" t="s">
        <v>2100</v>
      </c>
    </row>
    <row r="4" customHeight="1" spans="1:7">
      <c r="A4" s="6" t="s">
        <v>2113</v>
      </c>
      <c r="B4" s="6" t="s">
        <v>2102</v>
      </c>
      <c r="C4" s="6" t="s">
        <v>2103</v>
      </c>
      <c r="D4" s="6" t="s">
        <v>1841</v>
      </c>
      <c r="E4" s="6">
        <v>12</v>
      </c>
      <c r="F4" s="6">
        <v>120</v>
      </c>
      <c r="G4" s="6" t="s">
        <v>2104</v>
      </c>
    </row>
    <row r="5" customHeight="1" spans="1:7">
      <c r="A5" s="6" t="s">
        <v>2114</v>
      </c>
      <c r="B5" s="6" t="s">
        <v>2106</v>
      </c>
      <c r="C5" s="6" t="s">
        <v>2107</v>
      </c>
      <c r="D5" s="6" t="s">
        <v>1841</v>
      </c>
      <c r="E5" s="6">
        <v>120</v>
      </c>
      <c r="F5" s="6">
        <v>1200</v>
      </c>
      <c r="G5" s="6" t="s">
        <v>2108</v>
      </c>
    </row>
    <row r="6" customHeight="1" spans="1:7">
      <c r="A6" s="6" t="s">
        <v>2115</v>
      </c>
      <c r="B6" s="6" t="s">
        <v>2110</v>
      </c>
      <c r="C6" s="6" t="s">
        <v>2111</v>
      </c>
      <c r="D6" s="6" t="s">
        <v>1841</v>
      </c>
      <c r="E6" s="6">
        <v>600</v>
      </c>
      <c r="F6" s="6">
        <v>6000</v>
      </c>
      <c r="G6" s="6" t="s">
        <v>2112</v>
      </c>
    </row>
  </sheetData>
  <pageMargins left="0.75" right="0.75" top="1" bottom="1" header="0.511805555555556" footer="0.511805555555556"/>
  <headerFooter/>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6"/>
  <sheetViews>
    <sheetView workbookViewId="0">
      <selection activeCell="A1" sqref="A1:G6"/>
    </sheetView>
  </sheetViews>
  <sheetFormatPr defaultColWidth="8.90131578947368" defaultRowHeight="21.95" customHeight="1" outlineLevelRow="5" outlineLevelCol="6"/>
  <cols>
    <col min="1" max="1" width="32.0986842105263" customWidth="1"/>
    <col min="2" max="2" width="22.1973684210526" customWidth="1"/>
    <col min="3" max="3" width="22.0986842105263" customWidth="1"/>
    <col min="5" max="5" width="13.4013157894737" customWidth="1"/>
    <col min="6" max="6" width="30.9013157894737" customWidth="1"/>
    <col min="7" max="7" width="22.4013157894737" customWidth="1"/>
  </cols>
  <sheetData>
    <row r="1" customHeight="1" spans="1:7">
      <c r="A1" s="6" t="s">
        <v>2097</v>
      </c>
      <c r="B1" s="6" t="s">
        <v>1012</v>
      </c>
      <c r="C1" s="6" t="s">
        <v>26</v>
      </c>
      <c r="D1" s="6" t="s">
        <v>1734</v>
      </c>
      <c r="E1" s="6" t="s">
        <v>1735</v>
      </c>
      <c r="F1" s="6" t="s">
        <v>1736</v>
      </c>
      <c r="G1" s="6" t="s">
        <v>2098</v>
      </c>
    </row>
    <row r="2" customHeight="1" spans="1:7">
      <c r="A2" s="6" t="s">
        <v>514</v>
      </c>
      <c r="B2" s="6" t="s">
        <v>514</v>
      </c>
      <c r="C2" s="6" t="s">
        <v>514</v>
      </c>
      <c r="D2" s="6" t="s">
        <v>514</v>
      </c>
      <c r="E2" s="6" t="s">
        <v>39</v>
      </c>
      <c r="F2" s="6" t="s">
        <v>39</v>
      </c>
      <c r="G2" s="6" t="s">
        <v>514</v>
      </c>
    </row>
    <row r="3" customHeight="1" spans="1:7">
      <c r="A3" s="7" t="s">
        <v>2099</v>
      </c>
      <c r="B3" s="6" t="s">
        <v>1742</v>
      </c>
      <c r="C3" s="6" t="s">
        <v>0</v>
      </c>
      <c r="D3" s="6" t="s">
        <v>1744</v>
      </c>
      <c r="E3" s="6" t="s">
        <v>1745</v>
      </c>
      <c r="F3" s="6" t="s">
        <v>1746</v>
      </c>
      <c r="G3" s="7" t="s">
        <v>2100</v>
      </c>
    </row>
    <row r="4" customHeight="1" spans="1:7">
      <c r="A4" s="6" t="s">
        <v>2113</v>
      </c>
      <c r="B4" s="6" t="s">
        <v>2102</v>
      </c>
      <c r="C4" s="6" t="s">
        <v>2103</v>
      </c>
      <c r="D4" s="6" t="s">
        <v>2116</v>
      </c>
      <c r="E4" s="6">
        <v>12</v>
      </c>
      <c r="F4" s="6">
        <v>120</v>
      </c>
      <c r="G4" s="6" t="s">
        <v>2104</v>
      </c>
    </row>
    <row r="5" customHeight="1" spans="1:7">
      <c r="A5" s="6" t="s">
        <v>2114</v>
      </c>
      <c r="B5" s="6" t="s">
        <v>2106</v>
      </c>
      <c r="C5" s="6" t="s">
        <v>2107</v>
      </c>
      <c r="D5" s="6" t="s">
        <v>2116</v>
      </c>
      <c r="E5" s="6">
        <v>120</v>
      </c>
      <c r="F5" s="6">
        <v>1200</v>
      </c>
      <c r="G5" s="6" t="s">
        <v>2108</v>
      </c>
    </row>
    <row r="6" customHeight="1" spans="1:7">
      <c r="A6" s="6" t="s">
        <v>2115</v>
      </c>
      <c r="B6" s="6" t="s">
        <v>2110</v>
      </c>
      <c r="C6" s="6" t="s">
        <v>2111</v>
      </c>
      <c r="D6" s="6" t="s">
        <v>2116</v>
      </c>
      <c r="E6" s="6">
        <v>600</v>
      </c>
      <c r="F6" s="6">
        <v>6000</v>
      </c>
      <c r="G6" s="6" t="s">
        <v>2112</v>
      </c>
    </row>
  </sheetData>
  <pageMargins left="0.75" right="0.75" top="1" bottom="1" header="0.511805555555556" footer="0.511805555555556"/>
  <headerFooter/>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K28"/>
  <sheetViews>
    <sheetView workbookViewId="0">
      <selection activeCell="C4" sqref="C4"/>
    </sheetView>
  </sheetViews>
  <sheetFormatPr defaultColWidth="8.90131578947368" defaultRowHeight="15.2"/>
  <cols>
    <col min="1" max="3" width="12.1973684210526" style="2" customWidth="1"/>
    <col min="4" max="5" width="8.90131578947368" style="2"/>
    <col min="6" max="6" width="29.5986842105263" style="2" customWidth="1"/>
    <col min="7" max="8" width="8.90131578947368" style="2"/>
    <col min="9" max="9" width="23" style="2" customWidth="1"/>
    <col min="10" max="10" width="8.90131578947368" style="2"/>
    <col min="11" max="11" width="13" style="2" customWidth="1"/>
    <col min="12" max="16384" width="8.90131578947368" style="2"/>
  </cols>
  <sheetData>
    <row r="1" ht="16" spans="1:11">
      <c r="A1" s="1" t="s">
        <v>2117</v>
      </c>
      <c r="B1" s="2" t="s">
        <v>2118</v>
      </c>
      <c r="C1" s="2" t="s">
        <v>2119</v>
      </c>
      <c r="E1" s="1" t="s">
        <v>2120</v>
      </c>
      <c r="F1" s="1" t="s">
        <v>2121</v>
      </c>
      <c r="H1" s="1" t="s">
        <v>2122</v>
      </c>
      <c r="I1" s="1" t="s">
        <v>2121</v>
      </c>
      <c r="K1" s="1" t="s">
        <v>2123</v>
      </c>
    </row>
    <row r="2" ht="16" spans="1:11">
      <c r="A2" s="1" t="s">
        <v>39</v>
      </c>
      <c r="B2" s="2" t="s">
        <v>39</v>
      </c>
      <c r="C2" s="2" t="s">
        <v>39</v>
      </c>
      <c r="E2" s="1" t="s">
        <v>39</v>
      </c>
      <c r="F2" s="1" t="s">
        <v>39</v>
      </c>
      <c r="H2" s="1" t="s">
        <v>39</v>
      </c>
      <c r="I2" s="1" t="s">
        <v>39</v>
      </c>
      <c r="K2" s="1" t="s">
        <v>514</v>
      </c>
    </row>
    <row r="3" ht="16" spans="1:11">
      <c r="A3" s="3" t="s">
        <v>2124</v>
      </c>
      <c r="B3" s="4" t="s">
        <v>2125</v>
      </c>
      <c r="C3" s="4" t="s">
        <v>2126</v>
      </c>
      <c r="E3" s="3" t="s">
        <v>576</v>
      </c>
      <c r="F3" s="3" t="s">
        <v>2127</v>
      </c>
      <c r="H3" s="3" t="s">
        <v>599</v>
      </c>
      <c r="I3" s="3" t="s">
        <v>2128</v>
      </c>
      <c r="K3" s="3" t="s">
        <v>2129</v>
      </c>
    </row>
    <row r="4" ht="31" spans="1:11">
      <c r="A4" s="1">
        <v>5107</v>
      </c>
      <c r="B4" s="2">
        <v>1151</v>
      </c>
      <c r="C4" s="2">
        <v>1161</v>
      </c>
      <c r="E4" s="5">
        <v>1</v>
      </c>
      <c r="F4" s="1">
        <v>0</v>
      </c>
      <c r="H4" s="5">
        <v>1</v>
      </c>
      <c r="I4" s="1">
        <v>0</v>
      </c>
      <c r="K4" s="1" t="s">
        <v>2130</v>
      </c>
    </row>
    <row r="5" spans="5:9">
      <c r="E5" s="5">
        <v>2</v>
      </c>
      <c r="F5" s="1">
        <v>2</v>
      </c>
      <c r="H5" s="5">
        <v>2</v>
      </c>
      <c r="I5" s="1">
        <v>200</v>
      </c>
    </row>
    <row r="6" spans="5:9">
      <c r="E6" s="5">
        <v>3</v>
      </c>
      <c r="F6" s="1">
        <v>4</v>
      </c>
      <c r="H6" s="5">
        <v>3</v>
      </c>
      <c r="I6" s="1">
        <v>700</v>
      </c>
    </row>
    <row r="7" spans="5:9">
      <c r="E7" s="5">
        <v>4</v>
      </c>
      <c r="F7" s="1">
        <v>6</v>
      </c>
      <c r="H7" s="5">
        <v>4</v>
      </c>
      <c r="I7" s="1">
        <v>1600</v>
      </c>
    </row>
    <row r="8" spans="5:9">
      <c r="E8" s="5">
        <v>5</v>
      </c>
      <c r="F8" s="1">
        <v>8</v>
      </c>
      <c r="H8" s="5">
        <v>5</v>
      </c>
      <c r="I8" s="1">
        <v>3200</v>
      </c>
    </row>
    <row r="9" spans="5:6">
      <c r="E9" s="5">
        <v>6</v>
      </c>
      <c r="F9" s="1">
        <v>10</v>
      </c>
    </row>
    <row r="10" spans="5:6">
      <c r="E10" s="5">
        <v>7</v>
      </c>
      <c r="F10" s="1">
        <v>13</v>
      </c>
    </row>
    <row r="11" spans="5:6">
      <c r="E11" s="5">
        <v>8</v>
      </c>
      <c r="F11" s="1">
        <v>18</v>
      </c>
    </row>
    <row r="12" spans="5:6">
      <c r="E12" s="5">
        <v>9</v>
      </c>
      <c r="F12" s="1">
        <v>28</v>
      </c>
    </row>
    <row r="13" spans="5:6">
      <c r="E13" s="5">
        <v>10</v>
      </c>
      <c r="F13" s="1">
        <v>41</v>
      </c>
    </row>
    <row r="14" spans="5:6">
      <c r="E14" s="5">
        <v>11</v>
      </c>
      <c r="F14" s="1">
        <v>56</v>
      </c>
    </row>
    <row r="15" spans="5:6">
      <c r="E15" s="5">
        <v>12</v>
      </c>
      <c r="F15" s="1">
        <v>86</v>
      </c>
    </row>
    <row r="16" spans="5:6">
      <c r="E16" s="5">
        <v>13</v>
      </c>
      <c r="F16" s="1">
        <v>146</v>
      </c>
    </row>
    <row r="17" spans="5:6">
      <c r="E17" s="5">
        <v>14</v>
      </c>
      <c r="F17" s="1">
        <v>216</v>
      </c>
    </row>
    <row r="18" spans="5:6">
      <c r="E18" s="5">
        <v>15</v>
      </c>
      <c r="F18" s="1">
        <v>296</v>
      </c>
    </row>
    <row r="19" spans="5:6">
      <c r="E19" s="5">
        <v>16</v>
      </c>
      <c r="F19" s="1">
        <v>421</v>
      </c>
    </row>
    <row r="20" spans="5:6">
      <c r="E20" s="5">
        <v>17</v>
      </c>
      <c r="F20" s="1">
        <v>671</v>
      </c>
    </row>
    <row r="21" spans="5:6">
      <c r="E21" s="5">
        <v>18</v>
      </c>
      <c r="F21" s="1">
        <v>946</v>
      </c>
    </row>
    <row r="22" spans="5:6">
      <c r="E22" s="5">
        <v>19</v>
      </c>
      <c r="F22" s="1">
        <v>1246</v>
      </c>
    </row>
    <row r="23" spans="5:6">
      <c r="E23" s="5">
        <v>20</v>
      </c>
      <c r="F23" s="1">
        <v>1596</v>
      </c>
    </row>
    <row r="24" spans="5:6">
      <c r="E24" s="5">
        <v>21</v>
      </c>
      <c r="F24" s="1">
        <v>2096</v>
      </c>
    </row>
    <row r="25" spans="5:6">
      <c r="E25" s="5">
        <v>22</v>
      </c>
      <c r="F25" s="1">
        <v>3096</v>
      </c>
    </row>
    <row r="26" spans="5:6">
      <c r="E26" s="5">
        <v>23</v>
      </c>
      <c r="F26" s="1">
        <v>5096</v>
      </c>
    </row>
    <row r="27" spans="5:6">
      <c r="E27" s="5">
        <v>24</v>
      </c>
      <c r="F27" s="1">
        <v>9096</v>
      </c>
    </row>
    <row r="28" spans="5:6">
      <c r="E28" s="5">
        <v>25</v>
      </c>
      <c r="F28" s="1">
        <v>16596</v>
      </c>
    </row>
  </sheetData>
  <pageMargins left="0.75" right="0.75" top="1" bottom="1" header="0.511805555555556" footer="0.511805555555556"/>
  <headerFooter/>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I4"/>
  <sheetViews>
    <sheetView topLeftCell="C1" workbookViewId="0">
      <selection activeCell="G7" sqref="G7"/>
    </sheetView>
  </sheetViews>
  <sheetFormatPr defaultColWidth="8.90131578947368" defaultRowHeight="15.2" outlineLevelRow="3"/>
  <cols>
    <col min="1" max="1" width="13.5986842105263" customWidth="1"/>
    <col min="2" max="2" width="18.4013157894737" customWidth="1"/>
    <col min="3" max="3" width="20.9013157894737" customWidth="1"/>
    <col min="4" max="4" width="45.1973684210526" customWidth="1"/>
    <col min="5" max="5" width="29.4013157894737" customWidth="1"/>
    <col min="6" max="6" width="23.1973684210526" customWidth="1"/>
    <col min="7" max="7" width="20.0986842105263" customWidth="1"/>
    <col min="8" max="8" width="17.4013157894737" customWidth="1"/>
    <col min="9" max="9" width="18.9013157894737" customWidth="1"/>
  </cols>
  <sheetData>
    <row r="1" ht="20.1" customHeight="1" spans="1:9">
      <c r="A1" s="1" t="s">
        <v>2131</v>
      </c>
      <c r="B1" s="1" t="s">
        <v>2132</v>
      </c>
      <c r="C1" s="1" t="s">
        <v>2133</v>
      </c>
      <c r="D1" s="1" t="s">
        <v>2134</v>
      </c>
      <c r="E1" s="1" t="s">
        <v>2135</v>
      </c>
      <c r="F1" s="1" t="s">
        <v>2136</v>
      </c>
      <c r="G1" s="1" t="s">
        <v>2137</v>
      </c>
      <c r="H1" s="1" t="s">
        <v>2138</v>
      </c>
      <c r="I1" s="1" t="s">
        <v>1464</v>
      </c>
    </row>
    <row r="2" ht="16" spans="1:9">
      <c r="A2" s="1" t="s">
        <v>2139</v>
      </c>
      <c r="B2" s="1" t="s">
        <v>2140</v>
      </c>
      <c r="C2" s="1" t="s">
        <v>2141</v>
      </c>
      <c r="D2" s="1" t="s">
        <v>2142</v>
      </c>
      <c r="E2" s="1" t="s">
        <v>2143</v>
      </c>
      <c r="F2" s="1" t="s">
        <v>2144</v>
      </c>
      <c r="G2" s="1" t="s">
        <v>2145</v>
      </c>
      <c r="H2" s="1" t="s">
        <v>2146</v>
      </c>
      <c r="I2" s="1" t="s">
        <v>1466</v>
      </c>
    </row>
    <row r="3" ht="16" spans="1:9">
      <c r="A3" s="1" t="s">
        <v>40</v>
      </c>
      <c r="B3" s="1" t="s">
        <v>40</v>
      </c>
      <c r="C3" s="1" t="s">
        <v>40</v>
      </c>
      <c r="D3" s="1" t="s">
        <v>40</v>
      </c>
      <c r="E3" s="1" t="s">
        <v>40</v>
      </c>
      <c r="F3" s="1" t="s">
        <v>40</v>
      </c>
      <c r="G3" s="1" t="s">
        <v>40</v>
      </c>
      <c r="H3" s="1" t="s">
        <v>40</v>
      </c>
      <c r="I3" s="1" t="s">
        <v>40</v>
      </c>
    </row>
    <row r="4" ht="152.1" customHeight="1" spans="1:9">
      <c r="A4" s="1" t="s">
        <v>2147</v>
      </c>
      <c r="B4" s="1" t="s">
        <v>2148</v>
      </c>
      <c r="C4" s="1" t="s">
        <v>2149</v>
      </c>
      <c r="D4" s="1" t="s">
        <v>2150</v>
      </c>
      <c r="E4" s="1" t="s">
        <v>2151</v>
      </c>
      <c r="F4" s="1" t="s">
        <v>1565</v>
      </c>
      <c r="G4" s="1" t="s">
        <v>1565</v>
      </c>
      <c r="H4" s="1" t="s">
        <v>1565</v>
      </c>
      <c r="I4" s="1" t="s">
        <v>2152</v>
      </c>
    </row>
  </sheetData>
  <pageMargins left="0.75" right="0.75" top="1" bottom="1" header="0.511805555555556" footer="0.511805555555556"/>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72</vt:i4>
      </vt:variant>
    </vt:vector>
  </HeadingPairs>
  <TitlesOfParts>
    <vt:vector size="72" baseType="lpstr">
      <vt:lpstr>ID</vt:lpstr>
      <vt:lpstr>Fish</vt:lpstr>
      <vt:lpstr>Weapon</vt:lpstr>
      <vt:lpstr>WeaponPowerRate</vt:lpstr>
      <vt:lpstr>WeaponStageCount</vt:lpstr>
      <vt:lpstr>Level</vt:lpstr>
      <vt:lpstr>GunLevel</vt:lpstr>
      <vt:lpstr>SkillGrade</vt:lpstr>
      <vt:lpstr>SkillStar</vt:lpstr>
      <vt:lpstr>StarAbility</vt:lpstr>
      <vt:lpstr>Guide</vt:lpstr>
      <vt:lpstr>Ncmptt</vt:lpstr>
      <vt:lpstr>Cmptt</vt:lpstr>
      <vt:lpstr>Bonus</vt:lpstr>
      <vt:lpstr>CouponFish</vt:lpstr>
      <vt:lpstr>UserCouponFish</vt:lpstr>
      <vt:lpstr>BossFish</vt:lpstr>
      <vt:lpstr>MultipleFish</vt:lpstr>
      <vt:lpstr>ChestFish</vt:lpstr>
      <vt:lpstr>ActivityFish</vt:lpstr>
      <vt:lpstr>ShareFish</vt:lpstr>
      <vt:lpstr>HitBoss</vt:lpstr>
      <vt:lpstr>DynamicOdds</vt:lpstr>
      <vt:lpstr>CatchDrop</vt:lpstr>
      <vt:lpstr>CallMultipleFish</vt:lpstr>
      <vt:lpstr>MatchCallMultipleFish</vt:lpstr>
      <vt:lpstr>StarfishBonus</vt:lpstr>
      <vt:lpstr>GameTimeBonus</vt:lpstr>
      <vt:lpstr>Gun</vt:lpstr>
      <vt:lpstr>GunSkin</vt:lpstr>
      <vt:lpstr>GuideFollowedTask</vt:lpstr>
      <vt:lpstr>TableTask</vt:lpstr>
      <vt:lpstr>RoomTask</vt:lpstr>
      <vt:lpstr>InviteTask</vt:lpstr>
      <vt:lpstr>RechargePool</vt:lpstr>
      <vt:lpstr>Share</vt:lpstr>
      <vt:lpstr>StarfishTurntable</vt:lpstr>
      <vt:lpstr>FlyPigReward</vt:lpstr>
      <vt:lpstr>SurpassTarget</vt:lpstr>
      <vt:lpstr>SpecialItem</vt:lpstr>
      <vt:lpstr>HippoFish</vt:lpstr>
      <vt:lpstr>TerrorFish</vt:lpstr>
      <vt:lpstr>AutofillFish</vt:lpstr>
      <vt:lpstr>Robot</vt:lpstr>
      <vt:lpstr>ReportFishCB</vt:lpstr>
      <vt:lpstr>Worldboss</vt:lpstr>
      <vt:lpstr>GrandPrize</vt:lpstr>
      <vt:lpstr>LevelRewards</vt:lpstr>
      <vt:lpstr>LevelRewards_25794</vt:lpstr>
      <vt:lpstr>UpdateVerRewards</vt:lpstr>
      <vt:lpstr>PrizeWheel</vt:lpstr>
      <vt:lpstr>GrandPrixPrizeWheel</vt:lpstr>
      <vt:lpstr>StatisProp</vt:lpstr>
      <vt:lpstr>SlotMachine</vt:lpstr>
      <vt:lpstr>MoneyTree</vt:lpstr>
      <vt:lpstr>CannedFish</vt:lpstr>
      <vt:lpstr>LevelFunds</vt:lpstr>
      <vt:lpstr>LevelFunds_25794</vt:lpstr>
      <vt:lpstr>CreditStore</vt:lpstr>
      <vt:lpstr>SuperEggs</vt:lpstr>
      <vt:lpstr>SupplyBox</vt:lpstr>
      <vt:lpstr>FestivalTurntable</vt:lpstr>
      <vt:lpstr>CollectItem</vt:lpstr>
      <vt:lpstr>Competition</vt:lpstr>
      <vt:lpstr>BigPrize</vt:lpstr>
      <vt:lpstr>Newbie7DaysGift</vt:lpstr>
      <vt:lpstr>LotteryTicket</vt:lpstr>
      <vt:lpstr>PassCard</vt:lpstr>
      <vt:lpstr>PassCard_25794</vt:lpstr>
      <vt:lpstr>PassCard_26993</vt:lpstr>
      <vt:lpstr>SkillCompensate</vt:lpstr>
      <vt:lpstr>ABTest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caokai</dc:creator>
  <cp:lastModifiedBy>caokai</cp:lastModifiedBy>
  <dcterms:created xsi:type="dcterms:W3CDTF">2018-02-19T19:36:00Z</dcterms:created>
  <dcterms:modified xsi:type="dcterms:W3CDTF">2020-08-28T22:07:56Z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2052-2.5.0.4070</vt:lpwstr>
  </property>
</Properties>
</file>